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p\PycharmProjects\MASM\input\weather\OROURKE\"/>
    </mc:Choice>
  </mc:AlternateContent>
  <xr:revisionPtr revIDLastSave="0" documentId="13_ncr:1_{44AE52E7-CA78-4392-877A-6939A11E663F}" xr6:coauthVersionLast="46" xr6:coauthVersionMax="47" xr10:uidLastSave="{00000000-0000-0000-0000-000000000000}"/>
  <bookViews>
    <workbookView xWindow="-120" yWindow="-120" windowWidth="20730" windowHeight="11760" firstSheet="1" activeTab="2" xr2:uid="{91954460-BDB4-4846-8930-69E544019B7F}"/>
  </bookViews>
  <sheets>
    <sheet name="Julian Day" sheetId="1" r:id="rId1"/>
    <sheet name="Summer 2006" sheetId="2" r:id="rId2"/>
    <sheet name="Summer 2006_Joseph_Formulas" sheetId="7" r:id="rId3"/>
    <sheet name="Summer 2006_Joseph_Values" sheetId="8" r:id="rId4"/>
    <sheet name="winter 2006" sheetId="3" r:id="rId5"/>
    <sheet name="Spring 2007" sheetId="4" r:id="rId6"/>
    <sheet name="Winter_Natural rainfall" sheetId="5" r:id="rId7"/>
    <sheet name="Moisture and temperature" sheetId="6" r:id="rId8"/>
  </sheets>
  <definedNames>
    <definedName name="_xlnm._FilterDatabase" localSheetId="2" hidden="1">'Summer 2006_Joseph_Formulas'!$A$1:$N$1529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91" i="7" l="1"/>
  <c r="A1219" i="7"/>
  <c r="A1347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2" i="7"/>
  <c r="I3" i="7"/>
  <c r="A3" i="7" s="1"/>
  <c r="I4" i="7"/>
  <c r="A4" i="7" s="1"/>
  <c r="I5" i="7"/>
  <c r="A5" i="7" s="1"/>
  <c r="I6" i="7"/>
  <c r="A6" i="7" s="1"/>
  <c r="I7" i="7"/>
  <c r="A7" i="7" s="1"/>
  <c r="I8" i="7"/>
  <c r="A8" i="7" s="1"/>
  <c r="I9" i="7"/>
  <c r="A9" i="7" s="1"/>
  <c r="I10" i="7"/>
  <c r="A10" i="7" s="1"/>
  <c r="I11" i="7"/>
  <c r="A11" i="7" s="1"/>
  <c r="I12" i="7"/>
  <c r="A12" i="7" s="1"/>
  <c r="I13" i="7"/>
  <c r="A13" i="7" s="1"/>
  <c r="I14" i="7"/>
  <c r="A14" i="7" s="1"/>
  <c r="I15" i="7"/>
  <c r="A15" i="7" s="1"/>
  <c r="I16" i="7"/>
  <c r="A16" i="7" s="1"/>
  <c r="I17" i="7"/>
  <c r="A17" i="7" s="1"/>
  <c r="I18" i="7"/>
  <c r="A18" i="7" s="1"/>
  <c r="I19" i="7"/>
  <c r="A19" i="7" s="1"/>
  <c r="I20" i="7"/>
  <c r="A20" i="7" s="1"/>
  <c r="I21" i="7"/>
  <c r="A21" i="7" s="1"/>
  <c r="I22" i="7"/>
  <c r="A22" i="7" s="1"/>
  <c r="I23" i="7"/>
  <c r="A23" i="7" s="1"/>
  <c r="I24" i="7"/>
  <c r="A24" i="7" s="1"/>
  <c r="I25" i="7"/>
  <c r="A25" i="7" s="1"/>
  <c r="I26" i="7"/>
  <c r="A26" i="7" s="1"/>
  <c r="I27" i="7"/>
  <c r="A27" i="7" s="1"/>
  <c r="I28" i="7"/>
  <c r="A28" i="7" s="1"/>
  <c r="I29" i="7"/>
  <c r="A29" i="7" s="1"/>
  <c r="I30" i="7"/>
  <c r="A30" i="7" s="1"/>
  <c r="I31" i="7"/>
  <c r="A31" i="7" s="1"/>
  <c r="I32" i="7"/>
  <c r="A32" i="7" s="1"/>
  <c r="I33" i="7"/>
  <c r="A33" i="7" s="1"/>
  <c r="I34" i="7"/>
  <c r="A34" i="7" s="1"/>
  <c r="I35" i="7"/>
  <c r="A35" i="7" s="1"/>
  <c r="I36" i="7"/>
  <c r="A36" i="7" s="1"/>
  <c r="I37" i="7"/>
  <c r="A37" i="7" s="1"/>
  <c r="I38" i="7"/>
  <c r="A38" i="7" s="1"/>
  <c r="I39" i="7"/>
  <c r="A39" i="7" s="1"/>
  <c r="I40" i="7"/>
  <c r="A40" i="7" s="1"/>
  <c r="I41" i="7"/>
  <c r="A41" i="7" s="1"/>
  <c r="I42" i="7"/>
  <c r="A42" i="7" s="1"/>
  <c r="I43" i="7"/>
  <c r="A43" i="7" s="1"/>
  <c r="I44" i="7"/>
  <c r="A44" i="7" s="1"/>
  <c r="I45" i="7"/>
  <c r="A45" i="7" s="1"/>
  <c r="I46" i="7"/>
  <c r="A46" i="7" s="1"/>
  <c r="I47" i="7"/>
  <c r="A47" i="7" s="1"/>
  <c r="I48" i="7"/>
  <c r="A48" i="7" s="1"/>
  <c r="I49" i="7"/>
  <c r="A49" i="7" s="1"/>
  <c r="I50" i="7"/>
  <c r="A50" i="7" s="1"/>
  <c r="I51" i="7"/>
  <c r="A51" i="7" s="1"/>
  <c r="I52" i="7"/>
  <c r="A52" i="7" s="1"/>
  <c r="I53" i="7"/>
  <c r="A53" i="7" s="1"/>
  <c r="I54" i="7"/>
  <c r="A54" i="7" s="1"/>
  <c r="I55" i="7"/>
  <c r="A55" i="7" s="1"/>
  <c r="I56" i="7"/>
  <c r="A56" i="7" s="1"/>
  <c r="I57" i="7"/>
  <c r="A57" i="7" s="1"/>
  <c r="I58" i="7"/>
  <c r="A58" i="7" s="1"/>
  <c r="I59" i="7"/>
  <c r="A59" i="7" s="1"/>
  <c r="I60" i="7"/>
  <c r="A60" i="7" s="1"/>
  <c r="I61" i="7"/>
  <c r="A61" i="7" s="1"/>
  <c r="I62" i="7"/>
  <c r="A62" i="7" s="1"/>
  <c r="I63" i="7"/>
  <c r="A63" i="7" s="1"/>
  <c r="I64" i="7"/>
  <c r="A64" i="7" s="1"/>
  <c r="I65" i="7"/>
  <c r="A65" i="7" s="1"/>
  <c r="I66" i="7"/>
  <c r="A66" i="7" s="1"/>
  <c r="I67" i="7"/>
  <c r="A67" i="7" s="1"/>
  <c r="I68" i="7"/>
  <c r="A68" i="7" s="1"/>
  <c r="I69" i="7"/>
  <c r="A69" i="7" s="1"/>
  <c r="I70" i="7"/>
  <c r="A70" i="7" s="1"/>
  <c r="I71" i="7"/>
  <c r="A71" i="7" s="1"/>
  <c r="I72" i="7"/>
  <c r="A72" i="7" s="1"/>
  <c r="I73" i="7"/>
  <c r="A73" i="7" s="1"/>
  <c r="I74" i="7"/>
  <c r="A74" i="7" s="1"/>
  <c r="I75" i="7"/>
  <c r="A75" i="7" s="1"/>
  <c r="I76" i="7"/>
  <c r="A76" i="7" s="1"/>
  <c r="I77" i="7"/>
  <c r="A77" i="7" s="1"/>
  <c r="I78" i="7"/>
  <c r="A78" i="7" s="1"/>
  <c r="I79" i="7"/>
  <c r="A79" i="7" s="1"/>
  <c r="I80" i="7"/>
  <c r="A80" i="7" s="1"/>
  <c r="I81" i="7"/>
  <c r="A81" i="7" s="1"/>
  <c r="I82" i="7"/>
  <c r="A82" i="7" s="1"/>
  <c r="I83" i="7"/>
  <c r="A83" i="7" s="1"/>
  <c r="I84" i="7"/>
  <c r="A84" i="7" s="1"/>
  <c r="I85" i="7"/>
  <c r="A85" i="7" s="1"/>
  <c r="I86" i="7"/>
  <c r="A86" i="7" s="1"/>
  <c r="I87" i="7"/>
  <c r="A87" i="7" s="1"/>
  <c r="I88" i="7"/>
  <c r="A88" i="7" s="1"/>
  <c r="I89" i="7"/>
  <c r="A89" i="7" s="1"/>
  <c r="I90" i="7"/>
  <c r="A90" i="7" s="1"/>
  <c r="I91" i="7"/>
  <c r="A91" i="7" s="1"/>
  <c r="I92" i="7"/>
  <c r="A92" i="7" s="1"/>
  <c r="I93" i="7"/>
  <c r="A93" i="7" s="1"/>
  <c r="I94" i="7"/>
  <c r="A94" i="7" s="1"/>
  <c r="I95" i="7"/>
  <c r="A95" i="7" s="1"/>
  <c r="I96" i="7"/>
  <c r="A96" i="7" s="1"/>
  <c r="I97" i="7"/>
  <c r="A97" i="7" s="1"/>
  <c r="I98" i="7"/>
  <c r="A98" i="7" s="1"/>
  <c r="I99" i="7"/>
  <c r="A99" i="7" s="1"/>
  <c r="I100" i="7"/>
  <c r="A100" i="7" s="1"/>
  <c r="I101" i="7"/>
  <c r="A101" i="7" s="1"/>
  <c r="I102" i="7"/>
  <c r="A102" i="7" s="1"/>
  <c r="I103" i="7"/>
  <c r="A103" i="7" s="1"/>
  <c r="I104" i="7"/>
  <c r="A104" i="7" s="1"/>
  <c r="I105" i="7"/>
  <c r="A105" i="7" s="1"/>
  <c r="I106" i="7"/>
  <c r="A106" i="7" s="1"/>
  <c r="I107" i="7"/>
  <c r="A107" i="7" s="1"/>
  <c r="I108" i="7"/>
  <c r="A108" i="7" s="1"/>
  <c r="I109" i="7"/>
  <c r="A109" i="7" s="1"/>
  <c r="I110" i="7"/>
  <c r="A110" i="7" s="1"/>
  <c r="I111" i="7"/>
  <c r="A111" i="7" s="1"/>
  <c r="I112" i="7"/>
  <c r="A112" i="7" s="1"/>
  <c r="I113" i="7"/>
  <c r="A113" i="7" s="1"/>
  <c r="I114" i="7"/>
  <c r="A114" i="7" s="1"/>
  <c r="I115" i="7"/>
  <c r="A115" i="7" s="1"/>
  <c r="I116" i="7"/>
  <c r="A116" i="7" s="1"/>
  <c r="I117" i="7"/>
  <c r="A117" i="7" s="1"/>
  <c r="I118" i="7"/>
  <c r="A118" i="7" s="1"/>
  <c r="I119" i="7"/>
  <c r="A119" i="7" s="1"/>
  <c r="I120" i="7"/>
  <c r="A120" i="7" s="1"/>
  <c r="I121" i="7"/>
  <c r="A121" i="7" s="1"/>
  <c r="I122" i="7"/>
  <c r="A122" i="7" s="1"/>
  <c r="I123" i="7"/>
  <c r="A123" i="7" s="1"/>
  <c r="I124" i="7"/>
  <c r="A124" i="7" s="1"/>
  <c r="I125" i="7"/>
  <c r="A125" i="7" s="1"/>
  <c r="I126" i="7"/>
  <c r="A126" i="7" s="1"/>
  <c r="I127" i="7"/>
  <c r="A127" i="7" s="1"/>
  <c r="I128" i="7"/>
  <c r="A128" i="7" s="1"/>
  <c r="I129" i="7"/>
  <c r="A129" i="7" s="1"/>
  <c r="I130" i="7"/>
  <c r="A130" i="7" s="1"/>
  <c r="I131" i="7"/>
  <c r="A131" i="7" s="1"/>
  <c r="I132" i="7"/>
  <c r="A132" i="7" s="1"/>
  <c r="I133" i="7"/>
  <c r="A133" i="7" s="1"/>
  <c r="I134" i="7"/>
  <c r="A134" i="7" s="1"/>
  <c r="I135" i="7"/>
  <c r="A135" i="7" s="1"/>
  <c r="I136" i="7"/>
  <c r="A136" i="7" s="1"/>
  <c r="I137" i="7"/>
  <c r="A137" i="7" s="1"/>
  <c r="I138" i="7"/>
  <c r="A138" i="7" s="1"/>
  <c r="I139" i="7"/>
  <c r="A139" i="7" s="1"/>
  <c r="I140" i="7"/>
  <c r="A140" i="7" s="1"/>
  <c r="I141" i="7"/>
  <c r="A141" i="7" s="1"/>
  <c r="I142" i="7"/>
  <c r="A142" i="7" s="1"/>
  <c r="I143" i="7"/>
  <c r="A143" i="7" s="1"/>
  <c r="I144" i="7"/>
  <c r="A144" i="7" s="1"/>
  <c r="I145" i="7"/>
  <c r="A145" i="7" s="1"/>
  <c r="I146" i="7"/>
  <c r="A146" i="7" s="1"/>
  <c r="I147" i="7"/>
  <c r="A147" i="7" s="1"/>
  <c r="I148" i="7"/>
  <c r="A148" i="7" s="1"/>
  <c r="I149" i="7"/>
  <c r="A149" i="7" s="1"/>
  <c r="I150" i="7"/>
  <c r="A150" i="7" s="1"/>
  <c r="I151" i="7"/>
  <c r="A151" i="7" s="1"/>
  <c r="I152" i="7"/>
  <c r="A152" i="7" s="1"/>
  <c r="I153" i="7"/>
  <c r="A153" i="7" s="1"/>
  <c r="I154" i="7"/>
  <c r="A154" i="7" s="1"/>
  <c r="I155" i="7"/>
  <c r="A155" i="7" s="1"/>
  <c r="I156" i="7"/>
  <c r="A156" i="7" s="1"/>
  <c r="I157" i="7"/>
  <c r="A157" i="7" s="1"/>
  <c r="I158" i="7"/>
  <c r="A158" i="7" s="1"/>
  <c r="I159" i="7"/>
  <c r="A159" i="7" s="1"/>
  <c r="I160" i="7"/>
  <c r="A160" i="7" s="1"/>
  <c r="I161" i="7"/>
  <c r="A161" i="7" s="1"/>
  <c r="I162" i="7"/>
  <c r="A162" i="7" s="1"/>
  <c r="I163" i="7"/>
  <c r="A163" i="7" s="1"/>
  <c r="I164" i="7"/>
  <c r="A164" i="7" s="1"/>
  <c r="I165" i="7"/>
  <c r="A165" i="7" s="1"/>
  <c r="I166" i="7"/>
  <c r="A166" i="7" s="1"/>
  <c r="I167" i="7"/>
  <c r="A167" i="7" s="1"/>
  <c r="I168" i="7"/>
  <c r="A168" i="7" s="1"/>
  <c r="I169" i="7"/>
  <c r="A169" i="7" s="1"/>
  <c r="I170" i="7"/>
  <c r="A170" i="7" s="1"/>
  <c r="I171" i="7"/>
  <c r="A171" i="7" s="1"/>
  <c r="I172" i="7"/>
  <c r="A172" i="7" s="1"/>
  <c r="I173" i="7"/>
  <c r="A173" i="7" s="1"/>
  <c r="I174" i="7"/>
  <c r="A174" i="7" s="1"/>
  <c r="I175" i="7"/>
  <c r="A175" i="7" s="1"/>
  <c r="I176" i="7"/>
  <c r="A176" i="7" s="1"/>
  <c r="I177" i="7"/>
  <c r="A177" i="7" s="1"/>
  <c r="I178" i="7"/>
  <c r="A178" i="7" s="1"/>
  <c r="I179" i="7"/>
  <c r="A179" i="7" s="1"/>
  <c r="I180" i="7"/>
  <c r="A180" i="7" s="1"/>
  <c r="I181" i="7"/>
  <c r="A181" i="7" s="1"/>
  <c r="I182" i="7"/>
  <c r="A182" i="7" s="1"/>
  <c r="I183" i="7"/>
  <c r="A183" i="7" s="1"/>
  <c r="I184" i="7"/>
  <c r="A184" i="7" s="1"/>
  <c r="I185" i="7"/>
  <c r="A185" i="7" s="1"/>
  <c r="I186" i="7"/>
  <c r="A186" i="7" s="1"/>
  <c r="I187" i="7"/>
  <c r="A187" i="7" s="1"/>
  <c r="I188" i="7"/>
  <c r="A188" i="7" s="1"/>
  <c r="I189" i="7"/>
  <c r="A189" i="7" s="1"/>
  <c r="I190" i="7"/>
  <c r="A190" i="7" s="1"/>
  <c r="I191" i="7"/>
  <c r="A191" i="7" s="1"/>
  <c r="I192" i="7"/>
  <c r="A192" i="7" s="1"/>
  <c r="I193" i="7"/>
  <c r="A193" i="7" s="1"/>
  <c r="I194" i="7"/>
  <c r="A194" i="7" s="1"/>
  <c r="I195" i="7"/>
  <c r="A195" i="7" s="1"/>
  <c r="I196" i="7"/>
  <c r="A196" i="7" s="1"/>
  <c r="I197" i="7"/>
  <c r="A197" i="7" s="1"/>
  <c r="I198" i="7"/>
  <c r="A198" i="7" s="1"/>
  <c r="I199" i="7"/>
  <c r="A199" i="7" s="1"/>
  <c r="I200" i="7"/>
  <c r="A200" i="7" s="1"/>
  <c r="I201" i="7"/>
  <c r="A201" i="7" s="1"/>
  <c r="I202" i="7"/>
  <c r="A202" i="7" s="1"/>
  <c r="I203" i="7"/>
  <c r="A203" i="7" s="1"/>
  <c r="I204" i="7"/>
  <c r="A204" i="7" s="1"/>
  <c r="I205" i="7"/>
  <c r="A205" i="7" s="1"/>
  <c r="I206" i="7"/>
  <c r="A206" i="7" s="1"/>
  <c r="I207" i="7"/>
  <c r="A207" i="7" s="1"/>
  <c r="I208" i="7"/>
  <c r="A208" i="7" s="1"/>
  <c r="I209" i="7"/>
  <c r="A209" i="7" s="1"/>
  <c r="I210" i="7"/>
  <c r="A210" i="7" s="1"/>
  <c r="I211" i="7"/>
  <c r="A211" i="7" s="1"/>
  <c r="I212" i="7"/>
  <c r="A212" i="7" s="1"/>
  <c r="I213" i="7"/>
  <c r="A213" i="7" s="1"/>
  <c r="I214" i="7"/>
  <c r="A214" i="7" s="1"/>
  <c r="I215" i="7"/>
  <c r="A215" i="7" s="1"/>
  <c r="I216" i="7"/>
  <c r="A216" i="7" s="1"/>
  <c r="I217" i="7"/>
  <c r="A217" i="7" s="1"/>
  <c r="I218" i="7"/>
  <c r="A218" i="7" s="1"/>
  <c r="I219" i="7"/>
  <c r="A219" i="7" s="1"/>
  <c r="I220" i="7"/>
  <c r="A220" i="7" s="1"/>
  <c r="I221" i="7"/>
  <c r="A221" i="7" s="1"/>
  <c r="I222" i="7"/>
  <c r="A222" i="7" s="1"/>
  <c r="I223" i="7"/>
  <c r="A223" i="7" s="1"/>
  <c r="I224" i="7"/>
  <c r="A224" i="7" s="1"/>
  <c r="I225" i="7"/>
  <c r="A225" i="7" s="1"/>
  <c r="I226" i="7"/>
  <c r="A226" i="7" s="1"/>
  <c r="I227" i="7"/>
  <c r="A227" i="7" s="1"/>
  <c r="I228" i="7"/>
  <c r="A228" i="7" s="1"/>
  <c r="I229" i="7"/>
  <c r="A229" i="7" s="1"/>
  <c r="I230" i="7"/>
  <c r="A230" i="7" s="1"/>
  <c r="I231" i="7"/>
  <c r="A231" i="7" s="1"/>
  <c r="I232" i="7"/>
  <c r="A232" i="7" s="1"/>
  <c r="I233" i="7"/>
  <c r="A233" i="7" s="1"/>
  <c r="I234" i="7"/>
  <c r="A234" i="7" s="1"/>
  <c r="I235" i="7"/>
  <c r="A235" i="7" s="1"/>
  <c r="I236" i="7"/>
  <c r="A236" i="7" s="1"/>
  <c r="I237" i="7"/>
  <c r="A237" i="7" s="1"/>
  <c r="I238" i="7"/>
  <c r="A238" i="7" s="1"/>
  <c r="I239" i="7"/>
  <c r="A239" i="7" s="1"/>
  <c r="I240" i="7"/>
  <c r="A240" i="7" s="1"/>
  <c r="I241" i="7"/>
  <c r="A241" i="7" s="1"/>
  <c r="I242" i="7"/>
  <c r="A242" i="7" s="1"/>
  <c r="I243" i="7"/>
  <c r="A243" i="7" s="1"/>
  <c r="I244" i="7"/>
  <c r="A244" i="7" s="1"/>
  <c r="I245" i="7"/>
  <c r="A245" i="7" s="1"/>
  <c r="I246" i="7"/>
  <c r="A246" i="7" s="1"/>
  <c r="I247" i="7"/>
  <c r="A247" i="7" s="1"/>
  <c r="I248" i="7"/>
  <c r="A248" i="7" s="1"/>
  <c r="I249" i="7"/>
  <c r="A249" i="7" s="1"/>
  <c r="I250" i="7"/>
  <c r="A250" i="7" s="1"/>
  <c r="I251" i="7"/>
  <c r="A251" i="7" s="1"/>
  <c r="I252" i="7"/>
  <c r="A252" i="7" s="1"/>
  <c r="I253" i="7"/>
  <c r="A253" i="7" s="1"/>
  <c r="I254" i="7"/>
  <c r="A254" i="7" s="1"/>
  <c r="I255" i="7"/>
  <c r="A255" i="7" s="1"/>
  <c r="I256" i="7"/>
  <c r="A256" i="7" s="1"/>
  <c r="I257" i="7"/>
  <c r="A257" i="7" s="1"/>
  <c r="I258" i="7"/>
  <c r="A258" i="7" s="1"/>
  <c r="I259" i="7"/>
  <c r="A259" i="7" s="1"/>
  <c r="I260" i="7"/>
  <c r="A260" i="7" s="1"/>
  <c r="I261" i="7"/>
  <c r="A261" i="7" s="1"/>
  <c r="I262" i="7"/>
  <c r="A262" i="7" s="1"/>
  <c r="I263" i="7"/>
  <c r="A263" i="7" s="1"/>
  <c r="I264" i="7"/>
  <c r="A264" i="7" s="1"/>
  <c r="I265" i="7"/>
  <c r="A265" i="7" s="1"/>
  <c r="I266" i="7"/>
  <c r="A266" i="7" s="1"/>
  <c r="I267" i="7"/>
  <c r="A267" i="7" s="1"/>
  <c r="I268" i="7"/>
  <c r="A268" i="7" s="1"/>
  <c r="I269" i="7"/>
  <c r="A269" i="7" s="1"/>
  <c r="I270" i="7"/>
  <c r="A270" i="7" s="1"/>
  <c r="I271" i="7"/>
  <c r="A271" i="7" s="1"/>
  <c r="I272" i="7"/>
  <c r="A272" i="7" s="1"/>
  <c r="I273" i="7"/>
  <c r="A273" i="7" s="1"/>
  <c r="I274" i="7"/>
  <c r="A274" i="7" s="1"/>
  <c r="I275" i="7"/>
  <c r="A275" i="7" s="1"/>
  <c r="I276" i="7"/>
  <c r="A276" i="7" s="1"/>
  <c r="I277" i="7"/>
  <c r="A277" i="7" s="1"/>
  <c r="I278" i="7"/>
  <c r="A278" i="7" s="1"/>
  <c r="I279" i="7"/>
  <c r="A279" i="7" s="1"/>
  <c r="I280" i="7"/>
  <c r="A280" i="7" s="1"/>
  <c r="I281" i="7"/>
  <c r="A281" i="7" s="1"/>
  <c r="I282" i="7"/>
  <c r="A282" i="7" s="1"/>
  <c r="I283" i="7"/>
  <c r="A283" i="7" s="1"/>
  <c r="I284" i="7"/>
  <c r="A284" i="7" s="1"/>
  <c r="I285" i="7"/>
  <c r="A285" i="7" s="1"/>
  <c r="I286" i="7"/>
  <c r="A286" i="7" s="1"/>
  <c r="I287" i="7"/>
  <c r="A287" i="7" s="1"/>
  <c r="I288" i="7"/>
  <c r="A288" i="7" s="1"/>
  <c r="I289" i="7"/>
  <c r="A289" i="7" s="1"/>
  <c r="I290" i="7"/>
  <c r="A290" i="7" s="1"/>
  <c r="I291" i="7"/>
  <c r="A291" i="7" s="1"/>
  <c r="I292" i="7"/>
  <c r="A292" i="7" s="1"/>
  <c r="I293" i="7"/>
  <c r="A293" i="7" s="1"/>
  <c r="I294" i="7"/>
  <c r="A294" i="7" s="1"/>
  <c r="I295" i="7"/>
  <c r="A295" i="7" s="1"/>
  <c r="I296" i="7"/>
  <c r="A296" i="7" s="1"/>
  <c r="I297" i="7"/>
  <c r="A297" i="7" s="1"/>
  <c r="I298" i="7"/>
  <c r="A298" i="7" s="1"/>
  <c r="I299" i="7"/>
  <c r="A299" i="7" s="1"/>
  <c r="I300" i="7"/>
  <c r="A300" i="7" s="1"/>
  <c r="I301" i="7"/>
  <c r="A301" i="7" s="1"/>
  <c r="I302" i="7"/>
  <c r="A302" i="7" s="1"/>
  <c r="I303" i="7"/>
  <c r="A303" i="7" s="1"/>
  <c r="I304" i="7"/>
  <c r="A304" i="7" s="1"/>
  <c r="I305" i="7"/>
  <c r="A305" i="7" s="1"/>
  <c r="I306" i="7"/>
  <c r="A306" i="7" s="1"/>
  <c r="I307" i="7"/>
  <c r="A307" i="7" s="1"/>
  <c r="I308" i="7"/>
  <c r="A308" i="7" s="1"/>
  <c r="I309" i="7"/>
  <c r="A309" i="7" s="1"/>
  <c r="I310" i="7"/>
  <c r="A310" i="7" s="1"/>
  <c r="I311" i="7"/>
  <c r="A311" i="7" s="1"/>
  <c r="I312" i="7"/>
  <c r="A312" i="7" s="1"/>
  <c r="I313" i="7"/>
  <c r="A313" i="7" s="1"/>
  <c r="I314" i="7"/>
  <c r="A314" i="7" s="1"/>
  <c r="I315" i="7"/>
  <c r="A315" i="7" s="1"/>
  <c r="I316" i="7"/>
  <c r="A316" i="7" s="1"/>
  <c r="I317" i="7"/>
  <c r="A317" i="7" s="1"/>
  <c r="I318" i="7"/>
  <c r="A318" i="7" s="1"/>
  <c r="I319" i="7"/>
  <c r="A319" i="7" s="1"/>
  <c r="I320" i="7"/>
  <c r="A320" i="7" s="1"/>
  <c r="I321" i="7"/>
  <c r="A321" i="7" s="1"/>
  <c r="I322" i="7"/>
  <c r="A322" i="7" s="1"/>
  <c r="I323" i="7"/>
  <c r="A323" i="7" s="1"/>
  <c r="I324" i="7"/>
  <c r="A324" i="7" s="1"/>
  <c r="I325" i="7"/>
  <c r="A325" i="7" s="1"/>
  <c r="I326" i="7"/>
  <c r="A326" i="7" s="1"/>
  <c r="I327" i="7"/>
  <c r="A327" i="7" s="1"/>
  <c r="I328" i="7"/>
  <c r="A328" i="7" s="1"/>
  <c r="I329" i="7"/>
  <c r="A329" i="7" s="1"/>
  <c r="I330" i="7"/>
  <c r="A330" i="7" s="1"/>
  <c r="I331" i="7"/>
  <c r="A331" i="7" s="1"/>
  <c r="I332" i="7"/>
  <c r="A332" i="7" s="1"/>
  <c r="I333" i="7"/>
  <c r="A333" i="7" s="1"/>
  <c r="I334" i="7"/>
  <c r="A334" i="7" s="1"/>
  <c r="I335" i="7"/>
  <c r="A335" i="7" s="1"/>
  <c r="I336" i="7"/>
  <c r="A336" i="7" s="1"/>
  <c r="I337" i="7"/>
  <c r="A337" i="7" s="1"/>
  <c r="I338" i="7"/>
  <c r="A338" i="7" s="1"/>
  <c r="I339" i="7"/>
  <c r="A339" i="7" s="1"/>
  <c r="I340" i="7"/>
  <c r="A340" i="7" s="1"/>
  <c r="I341" i="7"/>
  <c r="A341" i="7" s="1"/>
  <c r="I342" i="7"/>
  <c r="A342" i="7" s="1"/>
  <c r="I343" i="7"/>
  <c r="A343" i="7" s="1"/>
  <c r="I344" i="7"/>
  <c r="A344" i="7" s="1"/>
  <c r="I345" i="7"/>
  <c r="A345" i="7" s="1"/>
  <c r="I346" i="7"/>
  <c r="A346" i="7" s="1"/>
  <c r="I347" i="7"/>
  <c r="A347" i="7" s="1"/>
  <c r="I348" i="7"/>
  <c r="A348" i="7" s="1"/>
  <c r="I349" i="7"/>
  <c r="A349" i="7" s="1"/>
  <c r="I350" i="7"/>
  <c r="A350" i="7" s="1"/>
  <c r="I351" i="7"/>
  <c r="A351" i="7" s="1"/>
  <c r="I352" i="7"/>
  <c r="A352" i="7" s="1"/>
  <c r="I353" i="7"/>
  <c r="A353" i="7" s="1"/>
  <c r="I354" i="7"/>
  <c r="A354" i="7" s="1"/>
  <c r="I355" i="7"/>
  <c r="A355" i="7" s="1"/>
  <c r="I356" i="7"/>
  <c r="A356" i="7" s="1"/>
  <c r="I357" i="7"/>
  <c r="A357" i="7" s="1"/>
  <c r="I358" i="7"/>
  <c r="A358" i="7" s="1"/>
  <c r="I359" i="7"/>
  <c r="A359" i="7" s="1"/>
  <c r="I360" i="7"/>
  <c r="A360" i="7" s="1"/>
  <c r="I361" i="7"/>
  <c r="A361" i="7" s="1"/>
  <c r="I362" i="7"/>
  <c r="A362" i="7" s="1"/>
  <c r="I363" i="7"/>
  <c r="A363" i="7" s="1"/>
  <c r="I364" i="7"/>
  <c r="A364" i="7" s="1"/>
  <c r="I365" i="7"/>
  <c r="A365" i="7" s="1"/>
  <c r="I366" i="7"/>
  <c r="A366" i="7" s="1"/>
  <c r="I367" i="7"/>
  <c r="A367" i="7" s="1"/>
  <c r="I368" i="7"/>
  <c r="A368" i="7" s="1"/>
  <c r="I369" i="7"/>
  <c r="A369" i="7" s="1"/>
  <c r="I370" i="7"/>
  <c r="A370" i="7" s="1"/>
  <c r="I371" i="7"/>
  <c r="A371" i="7" s="1"/>
  <c r="I372" i="7"/>
  <c r="A372" i="7" s="1"/>
  <c r="I373" i="7"/>
  <c r="A373" i="7" s="1"/>
  <c r="I374" i="7"/>
  <c r="A374" i="7" s="1"/>
  <c r="I375" i="7"/>
  <c r="A375" i="7" s="1"/>
  <c r="I376" i="7"/>
  <c r="A376" i="7" s="1"/>
  <c r="I377" i="7"/>
  <c r="A377" i="7" s="1"/>
  <c r="I378" i="7"/>
  <c r="A378" i="7" s="1"/>
  <c r="I379" i="7"/>
  <c r="A379" i="7" s="1"/>
  <c r="I380" i="7"/>
  <c r="A380" i="7" s="1"/>
  <c r="I381" i="7"/>
  <c r="A381" i="7" s="1"/>
  <c r="I382" i="7"/>
  <c r="A382" i="7" s="1"/>
  <c r="I383" i="7"/>
  <c r="A383" i="7" s="1"/>
  <c r="I384" i="7"/>
  <c r="A384" i="7" s="1"/>
  <c r="I385" i="7"/>
  <c r="A385" i="7" s="1"/>
  <c r="I386" i="7"/>
  <c r="A386" i="7" s="1"/>
  <c r="I387" i="7"/>
  <c r="A387" i="7" s="1"/>
  <c r="I388" i="7"/>
  <c r="A388" i="7" s="1"/>
  <c r="I389" i="7"/>
  <c r="A389" i="7" s="1"/>
  <c r="I390" i="7"/>
  <c r="A390" i="7" s="1"/>
  <c r="I391" i="7"/>
  <c r="A391" i="7" s="1"/>
  <c r="I392" i="7"/>
  <c r="A392" i="7" s="1"/>
  <c r="I393" i="7"/>
  <c r="A393" i="7" s="1"/>
  <c r="I394" i="7"/>
  <c r="A394" i="7" s="1"/>
  <c r="I395" i="7"/>
  <c r="A395" i="7" s="1"/>
  <c r="I396" i="7"/>
  <c r="A396" i="7" s="1"/>
  <c r="I397" i="7"/>
  <c r="A397" i="7" s="1"/>
  <c r="I398" i="7"/>
  <c r="A398" i="7" s="1"/>
  <c r="I399" i="7"/>
  <c r="A399" i="7" s="1"/>
  <c r="I400" i="7"/>
  <c r="A400" i="7" s="1"/>
  <c r="I401" i="7"/>
  <c r="A401" i="7" s="1"/>
  <c r="I402" i="7"/>
  <c r="A402" i="7" s="1"/>
  <c r="I403" i="7"/>
  <c r="A403" i="7" s="1"/>
  <c r="I404" i="7"/>
  <c r="A404" i="7" s="1"/>
  <c r="I405" i="7"/>
  <c r="A405" i="7" s="1"/>
  <c r="I406" i="7"/>
  <c r="A406" i="7" s="1"/>
  <c r="I407" i="7"/>
  <c r="A407" i="7" s="1"/>
  <c r="I408" i="7"/>
  <c r="A408" i="7" s="1"/>
  <c r="I409" i="7"/>
  <c r="A409" i="7" s="1"/>
  <c r="I410" i="7"/>
  <c r="A410" i="7" s="1"/>
  <c r="I411" i="7"/>
  <c r="A411" i="7" s="1"/>
  <c r="I412" i="7"/>
  <c r="A412" i="7" s="1"/>
  <c r="I413" i="7"/>
  <c r="A413" i="7" s="1"/>
  <c r="I414" i="7"/>
  <c r="A414" i="7" s="1"/>
  <c r="I415" i="7"/>
  <c r="A415" i="7" s="1"/>
  <c r="I416" i="7"/>
  <c r="A416" i="7" s="1"/>
  <c r="I417" i="7"/>
  <c r="A417" i="7" s="1"/>
  <c r="I418" i="7"/>
  <c r="A418" i="7" s="1"/>
  <c r="I419" i="7"/>
  <c r="A419" i="7" s="1"/>
  <c r="I420" i="7"/>
  <c r="A420" i="7" s="1"/>
  <c r="I421" i="7"/>
  <c r="A421" i="7" s="1"/>
  <c r="I422" i="7"/>
  <c r="A422" i="7" s="1"/>
  <c r="I423" i="7"/>
  <c r="A423" i="7" s="1"/>
  <c r="I424" i="7"/>
  <c r="A424" i="7" s="1"/>
  <c r="I425" i="7"/>
  <c r="A425" i="7" s="1"/>
  <c r="I426" i="7"/>
  <c r="A426" i="7" s="1"/>
  <c r="I427" i="7"/>
  <c r="A427" i="7" s="1"/>
  <c r="I428" i="7"/>
  <c r="A428" i="7" s="1"/>
  <c r="I429" i="7"/>
  <c r="A429" i="7" s="1"/>
  <c r="I430" i="7"/>
  <c r="A430" i="7" s="1"/>
  <c r="I431" i="7"/>
  <c r="A431" i="7" s="1"/>
  <c r="I432" i="7"/>
  <c r="A432" i="7" s="1"/>
  <c r="I433" i="7"/>
  <c r="A433" i="7" s="1"/>
  <c r="I434" i="7"/>
  <c r="A434" i="7" s="1"/>
  <c r="I435" i="7"/>
  <c r="A435" i="7" s="1"/>
  <c r="I436" i="7"/>
  <c r="A436" i="7" s="1"/>
  <c r="I437" i="7"/>
  <c r="A437" i="7" s="1"/>
  <c r="I438" i="7"/>
  <c r="A438" i="7" s="1"/>
  <c r="I439" i="7"/>
  <c r="A439" i="7" s="1"/>
  <c r="I440" i="7"/>
  <c r="A440" i="7" s="1"/>
  <c r="I441" i="7"/>
  <c r="A441" i="7" s="1"/>
  <c r="I442" i="7"/>
  <c r="A442" i="7" s="1"/>
  <c r="I443" i="7"/>
  <c r="A443" i="7" s="1"/>
  <c r="I444" i="7"/>
  <c r="A444" i="7" s="1"/>
  <c r="I445" i="7"/>
  <c r="A445" i="7" s="1"/>
  <c r="I446" i="7"/>
  <c r="A446" i="7" s="1"/>
  <c r="I447" i="7"/>
  <c r="A447" i="7" s="1"/>
  <c r="I448" i="7"/>
  <c r="A448" i="7" s="1"/>
  <c r="I449" i="7"/>
  <c r="A449" i="7" s="1"/>
  <c r="I450" i="7"/>
  <c r="A450" i="7" s="1"/>
  <c r="I451" i="7"/>
  <c r="A451" i="7" s="1"/>
  <c r="I452" i="7"/>
  <c r="A452" i="7" s="1"/>
  <c r="I453" i="7"/>
  <c r="A453" i="7" s="1"/>
  <c r="I454" i="7"/>
  <c r="A454" i="7" s="1"/>
  <c r="I455" i="7"/>
  <c r="A455" i="7" s="1"/>
  <c r="I456" i="7"/>
  <c r="A456" i="7" s="1"/>
  <c r="I457" i="7"/>
  <c r="A457" i="7" s="1"/>
  <c r="I458" i="7"/>
  <c r="A458" i="7" s="1"/>
  <c r="I459" i="7"/>
  <c r="A459" i="7" s="1"/>
  <c r="I460" i="7"/>
  <c r="A460" i="7" s="1"/>
  <c r="I461" i="7"/>
  <c r="A461" i="7" s="1"/>
  <c r="I462" i="7"/>
  <c r="A462" i="7" s="1"/>
  <c r="I463" i="7"/>
  <c r="A463" i="7" s="1"/>
  <c r="I464" i="7"/>
  <c r="A464" i="7" s="1"/>
  <c r="I465" i="7"/>
  <c r="A465" i="7" s="1"/>
  <c r="I466" i="7"/>
  <c r="A466" i="7" s="1"/>
  <c r="I467" i="7"/>
  <c r="A467" i="7" s="1"/>
  <c r="I468" i="7"/>
  <c r="A468" i="7" s="1"/>
  <c r="I469" i="7"/>
  <c r="A469" i="7" s="1"/>
  <c r="I470" i="7"/>
  <c r="A470" i="7" s="1"/>
  <c r="I471" i="7"/>
  <c r="A471" i="7" s="1"/>
  <c r="I472" i="7"/>
  <c r="A472" i="7" s="1"/>
  <c r="I473" i="7"/>
  <c r="A473" i="7" s="1"/>
  <c r="I474" i="7"/>
  <c r="A474" i="7" s="1"/>
  <c r="I475" i="7"/>
  <c r="A475" i="7" s="1"/>
  <c r="I476" i="7"/>
  <c r="A476" i="7" s="1"/>
  <c r="I477" i="7"/>
  <c r="A477" i="7" s="1"/>
  <c r="I478" i="7"/>
  <c r="A478" i="7" s="1"/>
  <c r="I479" i="7"/>
  <c r="A479" i="7" s="1"/>
  <c r="I480" i="7"/>
  <c r="A480" i="7" s="1"/>
  <c r="I481" i="7"/>
  <c r="A481" i="7" s="1"/>
  <c r="I482" i="7"/>
  <c r="A482" i="7" s="1"/>
  <c r="I483" i="7"/>
  <c r="A483" i="7" s="1"/>
  <c r="I484" i="7"/>
  <c r="A484" i="7" s="1"/>
  <c r="I485" i="7"/>
  <c r="A485" i="7" s="1"/>
  <c r="I486" i="7"/>
  <c r="A486" i="7" s="1"/>
  <c r="I487" i="7"/>
  <c r="A487" i="7" s="1"/>
  <c r="I488" i="7"/>
  <c r="A488" i="7" s="1"/>
  <c r="I489" i="7"/>
  <c r="A489" i="7" s="1"/>
  <c r="I490" i="7"/>
  <c r="A490" i="7" s="1"/>
  <c r="I491" i="7"/>
  <c r="A491" i="7" s="1"/>
  <c r="I492" i="7"/>
  <c r="A492" i="7" s="1"/>
  <c r="I493" i="7"/>
  <c r="A493" i="7" s="1"/>
  <c r="I494" i="7"/>
  <c r="A494" i="7" s="1"/>
  <c r="I495" i="7"/>
  <c r="A495" i="7" s="1"/>
  <c r="I496" i="7"/>
  <c r="A496" i="7" s="1"/>
  <c r="I497" i="7"/>
  <c r="A497" i="7" s="1"/>
  <c r="I498" i="7"/>
  <c r="A498" i="7" s="1"/>
  <c r="I499" i="7"/>
  <c r="A499" i="7" s="1"/>
  <c r="I500" i="7"/>
  <c r="A500" i="7" s="1"/>
  <c r="I501" i="7"/>
  <c r="A501" i="7" s="1"/>
  <c r="I502" i="7"/>
  <c r="A502" i="7" s="1"/>
  <c r="I503" i="7"/>
  <c r="A503" i="7" s="1"/>
  <c r="I504" i="7"/>
  <c r="A504" i="7" s="1"/>
  <c r="I505" i="7"/>
  <c r="A505" i="7" s="1"/>
  <c r="I506" i="7"/>
  <c r="A506" i="7" s="1"/>
  <c r="I507" i="7"/>
  <c r="A507" i="7" s="1"/>
  <c r="I508" i="7"/>
  <c r="A508" i="7" s="1"/>
  <c r="I509" i="7"/>
  <c r="A509" i="7" s="1"/>
  <c r="I510" i="7"/>
  <c r="A510" i="7" s="1"/>
  <c r="I511" i="7"/>
  <c r="A511" i="7" s="1"/>
  <c r="I512" i="7"/>
  <c r="A512" i="7" s="1"/>
  <c r="I513" i="7"/>
  <c r="A513" i="7" s="1"/>
  <c r="I514" i="7"/>
  <c r="A514" i="7" s="1"/>
  <c r="I515" i="7"/>
  <c r="A515" i="7" s="1"/>
  <c r="I516" i="7"/>
  <c r="A516" i="7" s="1"/>
  <c r="I517" i="7"/>
  <c r="A517" i="7" s="1"/>
  <c r="I518" i="7"/>
  <c r="A518" i="7" s="1"/>
  <c r="I519" i="7"/>
  <c r="A519" i="7" s="1"/>
  <c r="I520" i="7"/>
  <c r="A520" i="7" s="1"/>
  <c r="I521" i="7"/>
  <c r="A521" i="7" s="1"/>
  <c r="I522" i="7"/>
  <c r="A522" i="7" s="1"/>
  <c r="I523" i="7"/>
  <c r="A523" i="7" s="1"/>
  <c r="I524" i="7"/>
  <c r="A524" i="7" s="1"/>
  <c r="I525" i="7"/>
  <c r="A525" i="7" s="1"/>
  <c r="I526" i="7"/>
  <c r="A526" i="7" s="1"/>
  <c r="I527" i="7"/>
  <c r="A527" i="7" s="1"/>
  <c r="I528" i="7"/>
  <c r="A528" i="7" s="1"/>
  <c r="I529" i="7"/>
  <c r="A529" i="7" s="1"/>
  <c r="I530" i="7"/>
  <c r="A530" i="7" s="1"/>
  <c r="I531" i="7"/>
  <c r="A531" i="7" s="1"/>
  <c r="I532" i="7"/>
  <c r="A532" i="7" s="1"/>
  <c r="I533" i="7"/>
  <c r="A533" i="7" s="1"/>
  <c r="I534" i="7"/>
  <c r="A534" i="7" s="1"/>
  <c r="I535" i="7"/>
  <c r="A535" i="7" s="1"/>
  <c r="I536" i="7"/>
  <c r="A536" i="7" s="1"/>
  <c r="I537" i="7"/>
  <c r="A537" i="7" s="1"/>
  <c r="I538" i="7"/>
  <c r="A538" i="7" s="1"/>
  <c r="I539" i="7"/>
  <c r="A539" i="7" s="1"/>
  <c r="I540" i="7"/>
  <c r="A540" i="7" s="1"/>
  <c r="I541" i="7"/>
  <c r="A541" i="7" s="1"/>
  <c r="I542" i="7"/>
  <c r="A542" i="7" s="1"/>
  <c r="I543" i="7"/>
  <c r="A543" i="7" s="1"/>
  <c r="I544" i="7"/>
  <c r="A544" i="7" s="1"/>
  <c r="I545" i="7"/>
  <c r="A545" i="7" s="1"/>
  <c r="I546" i="7"/>
  <c r="A546" i="7" s="1"/>
  <c r="I547" i="7"/>
  <c r="A547" i="7" s="1"/>
  <c r="I548" i="7"/>
  <c r="A548" i="7" s="1"/>
  <c r="I549" i="7"/>
  <c r="A549" i="7" s="1"/>
  <c r="I550" i="7"/>
  <c r="A550" i="7" s="1"/>
  <c r="I551" i="7"/>
  <c r="A551" i="7" s="1"/>
  <c r="I552" i="7"/>
  <c r="A552" i="7" s="1"/>
  <c r="I553" i="7"/>
  <c r="A553" i="7" s="1"/>
  <c r="I554" i="7"/>
  <c r="A554" i="7" s="1"/>
  <c r="I555" i="7"/>
  <c r="A555" i="7" s="1"/>
  <c r="I556" i="7"/>
  <c r="A556" i="7" s="1"/>
  <c r="I557" i="7"/>
  <c r="A557" i="7" s="1"/>
  <c r="I558" i="7"/>
  <c r="A558" i="7" s="1"/>
  <c r="I559" i="7"/>
  <c r="A559" i="7" s="1"/>
  <c r="I560" i="7"/>
  <c r="A560" i="7" s="1"/>
  <c r="I561" i="7"/>
  <c r="A561" i="7" s="1"/>
  <c r="I562" i="7"/>
  <c r="A562" i="7" s="1"/>
  <c r="I563" i="7"/>
  <c r="A563" i="7" s="1"/>
  <c r="I564" i="7"/>
  <c r="A564" i="7" s="1"/>
  <c r="I565" i="7"/>
  <c r="A565" i="7" s="1"/>
  <c r="I566" i="7"/>
  <c r="A566" i="7" s="1"/>
  <c r="I567" i="7"/>
  <c r="A567" i="7" s="1"/>
  <c r="I568" i="7"/>
  <c r="A568" i="7" s="1"/>
  <c r="I569" i="7"/>
  <c r="A569" i="7" s="1"/>
  <c r="I570" i="7"/>
  <c r="A570" i="7" s="1"/>
  <c r="I571" i="7"/>
  <c r="A571" i="7" s="1"/>
  <c r="I572" i="7"/>
  <c r="A572" i="7" s="1"/>
  <c r="I573" i="7"/>
  <c r="A573" i="7" s="1"/>
  <c r="I574" i="7"/>
  <c r="A574" i="7" s="1"/>
  <c r="I575" i="7"/>
  <c r="A575" i="7" s="1"/>
  <c r="I576" i="7"/>
  <c r="A576" i="7" s="1"/>
  <c r="I577" i="7"/>
  <c r="A577" i="7" s="1"/>
  <c r="I578" i="7"/>
  <c r="A578" i="7" s="1"/>
  <c r="I579" i="7"/>
  <c r="A579" i="7" s="1"/>
  <c r="I580" i="7"/>
  <c r="A580" i="7" s="1"/>
  <c r="I581" i="7"/>
  <c r="A581" i="7" s="1"/>
  <c r="I582" i="7"/>
  <c r="A582" i="7" s="1"/>
  <c r="I583" i="7"/>
  <c r="A583" i="7" s="1"/>
  <c r="I584" i="7"/>
  <c r="A584" i="7" s="1"/>
  <c r="I585" i="7"/>
  <c r="A585" i="7" s="1"/>
  <c r="I586" i="7"/>
  <c r="A586" i="7" s="1"/>
  <c r="I587" i="7"/>
  <c r="A587" i="7" s="1"/>
  <c r="I588" i="7"/>
  <c r="A588" i="7" s="1"/>
  <c r="I589" i="7"/>
  <c r="A589" i="7" s="1"/>
  <c r="I590" i="7"/>
  <c r="A590" i="7" s="1"/>
  <c r="I591" i="7"/>
  <c r="A591" i="7" s="1"/>
  <c r="I592" i="7"/>
  <c r="A592" i="7" s="1"/>
  <c r="I593" i="7"/>
  <c r="A593" i="7" s="1"/>
  <c r="I594" i="7"/>
  <c r="A594" i="7" s="1"/>
  <c r="I595" i="7"/>
  <c r="A595" i="7" s="1"/>
  <c r="I596" i="7"/>
  <c r="A596" i="7" s="1"/>
  <c r="I597" i="7"/>
  <c r="A597" i="7" s="1"/>
  <c r="I598" i="7"/>
  <c r="A598" i="7" s="1"/>
  <c r="I599" i="7"/>
  <c r="A599" i="7" s="1"/>
  <c r="I600" i="7"/>
  <c r="A600" i="7" s="1"/>
  <c r="I601" i="7"/>
  <c r="A601" i="7" s="1"/>
  <c r="I602" i="7"/>
  <c r="A602" i="7" s="1"/>
  <c r="I603" i="7"/>
  <c r="A603" i="7" s="1"/>
  <c r="I604" i="7"/>
  <c r="A604" i="7" s="1"/>
  <c r="I605" i="7"/>
  <c r="A605" i="7" s="1"/>
  <c r="I606" i="7"/>
  <c r="A606" i="7" s="1"/>
  <c r="I607" i="7"/>
  <c r="A607" i="7" s="1"/>
  <c r="I608" i="7"/>
  <c r="A608" i="7" s="1"/>
  <c r="I609" i="7"/>
  <c r="A609" i="7" s="1"/>
  <c r="I610" i="7"/>
  <c r="A610" i="7" s="1"/>
  <c r="I611" i="7"/>
  <c r="A611" i="7" s="1"/>
  <c r="I612" i="7"/>
  <c r="A612" i="7" s="1"/>
  <c r="I613" i="7"/>
  <c r="A613" i="7" s="1"/>
  <c r="I614" i="7"/>
  <c r="A614" i="7" s="1"/>
  <c r="I615" i="7"/>
  <c r="A615" i="7" s="1"/>
  <c r="I616" i="7"/>
  <c r="A616" i="7" s="1"/>
  <c r="I617" i="7"/>
  <c r="A617" i="7" s="1"/>
  <c r="I618" i="7"/>
  <c r="A618" i="7" s="1"/>
  <c r="I619" i="7"/>
  <c r="A619" i="7" s="1"/>
  <c r="I620" i="7"/>
  <c r="A620" i="7" s="1"/>
  <c r="I621" i="7"/>
  <c r="A621" i="7" s="1"/>
  <c r="I622" i="7"/>
  <c r="A622" i="7" s="1"/>
  <c r="I623" i="7"/>
  <c r="A623" i="7" s="1"/>
  <c r="I624" i="7"/>
  <c r="A624" i="7" s="1"/>
  <c r="I625" i="7"/>
  <c r="A625" i="7" s="1"/>
  <c r="I626" i="7"/>
  <c r="A626" i="7" s="1"/>
  <c r="I627" i="7"/>
  <c r="A627" i="7" s="1"/>
  <c r="I628" i="7"/>
  <c r="A628" i="7" s="1"/>
  <c r="I629" i="7"/>
  <c r="A629" i="7" s="1"/>
  <c r="I630" i="7"/>
  <c r="A630" i="7" s="1"/>
  <c r="I631" i="7"/>
  <c r="A631" i="7" s="1"/>
  <c r="I632" i="7"/>
  <c r="A632" i="7" s="1"/>
  <c r="I633" i="7"/>
  <c r="A633" i="7" s="1"/>
  <c r="I634" i="7"/>
  <c r="A634" i="7" s="1"/>
  <c r="I635" i="7"/>
  <c r="A635" i="7" s="1"/>
  <c r="I636" i="7"/>
  <c r="A636" i="7" s="1"/>
  <c r="I637" i="7"/>
  <c r="A637" i="7" s="1"/>
  <c r="I638" i="7"/>
  <c r="A638" i="7" s="1"/>
  <c r="I639" i="7"/>
  <c r="A639" i="7" s="1"/>
  <c r="I640" i="7"/>
  <c r="A640" i="7" s="1"/>
  <c r="I641" i="7"/>
  <c r="A641" i="7" s="1"/>
  <c r="I642" i="7"/>
  <c r="A642" i="7" s="1"/>
  <c r="I643" i="7"/>
  <c r="A643" i="7" s="1"/>
  <c r="I644" i="7"/>
  <c r="A644" i="7" s="1"/>
  <c r="I645" i="7"/>
  <c r="A645" i="7" s="1"/>
  <c r="I646" i="7"/>
  <c r="A646" i="7" s="1"/>
  <c r="I647" i="7"/>
  <c r="A647" i="7" s="1"/>
  <c r="I648" i="7"/>
  <c r="A648" i="7" s="1"/>
  <c r="I649" i="7"/>
  <c r="A649" i="7" s="1"/>
  <c r="I650" i="7"/>
  <c r="A650" i="7" s="1"/>
  <c r="I651" i="7"/>
  <c r="A651" i="7" s="1"/>
  <c r="I652" i="7"/>
  <c r="A652" i="7" s="1"/>
  <c r="I653" i="7"/>
  <c r="A653" i="7" s="1"/>
  <c r="I654" i="7"/>
  <c r="A654" i="7" s="1"/>
  <c r="I655" i="7"/>
  <c r="A655" i="7" s="1"/>
  <c r="I656" i="7"/>
  <c r="A656" i="7" s="1"/>
  <c r="I657" i="7"/>
  <c r="A657" i="7" s="1"/>
  <c r="I658" i="7"/>
  <c r="A658" i="7" s="1"/>
  <c r="I659" i="7"/>
  <c r="A659" i="7" s="1"/>
  <c r="I660" i="7"/>
  <c r="A660" i="7" s="1"/>
  <c r="I661" i="7"/>
  <c r="A661" i="7" s="1"/>
  <c r="I662" i="7"/>
  <c r="A662" i="7" s="1"/>
  <c r="I663" i="7"/>
  <c r="A663" i="7" s="1"/>
  <c r="I664" i="7"/>
  <c r="A664" i="7" s="1"/>
  <c r="I665" i="7"/>
  <c r="A665" i="7" s="1"/>
  <c r="I666" i="7"/>
  <c r="A666" i="7" s="1"/>
  <c r="I667" i="7"/>
  <c r="A667" i="7" s="1"/>
  <c r="I668" i="7"/>
  <c r="A668" i="7" s="1"/>
  <c r="I669" i="7"/>
  <c r="A669" i="7" s="1"/>
  <c r="I670" i="7"/>
  <c r="A670" i="7" s="1"/>
  <c r="I671" i="7"/>
  <c r="A671" i="7" s="1"/>
  <c r="I672" i="7"/>
  <c r="A672" i="7" s="1"/>
  <c r="I673" i="7"/>
  <c r="A673" i="7" s="1"/>
  <c r="I674" i="7"/>
  <c r="A674" i="7" s="1"/>
  <c r="I675" i="7"/>
  <c r="A675" i="7" s="1"/>
  <c r="I676" i="7"/>
  <c r="A676" i="7" s="1"/>
  <c r="I677" i="7"/>
  <c r="A677" i="7" s="1"/>
  <c r="I678" i="7"/>
  <c r="A678" i="7" s="1"/>
  <c r="I679" i="7"/>
  <c r="A679" i="7" s="1"/>
  <c r="I680" i="7"/>
  <c r="A680" i="7" s="1"/>
  <c r="I681" i="7"/>
  <c r="A681" i="7" s="1"/>
  <c r="I682" i="7"/>
  <c r="A682" i="7" s="1"/>
  <c r="I683" i="7"/>
  <c r="A683" i="7" s="1"/>
  <c r="I684" i="7"/>
  <c r="A684" i="7" s="1"/>
  <c r="I685" i="7"/>
  <c r="A685" i="7" s="1"/>
  <c r="I686" i="7"/>
  <c r="A686" i="7" s="1"/>
  <c r="I687" i="7"/>
  <c r="A687" i="7" s="1"/>
  <c r="I688" i="7"/>
  <c r="A688" i="7" s="1"/>
  <c r="I689" i="7"/>
  <c r="A689" i="7" s="1"/>
  <c r="I690" i="7"/>
  <c r="A690" i="7" s="1"/>
  <c r="I691" i="7"/>
  <c r="A691" i="7" s="1"/>
  <c r="I692" i="7"/>
  <c r="A692" i="7" s="1"/>
  <c r="I693" i="7"/>
  <c r="A693" i="7" s="1"/>
  <c r="I694" i="7"/>
  <c r="A694" i="7" s="1"/>
  <c r="I695" i="7"/>
  <c r="A695" i="7" s="1"/>
  <c r="I696" i="7"/>
  <c r="A696" i="7" s="1"/>
  <c r="I697" i="7"/>
  <c r="A697" i="7" s="1"/>
  <c r="I698" i="7"/>
  <c r="A698" i="7" s="1"/>
  <c r="I699" i="7"/>
  <c r="A699" i="7" s="1"/>
  <c r="I700" i="7"/>
  <c r="A700" i="7" s="1"/>
  <c r="I701" i="7"/>
  <c r="A701" i="7" s="1"/>
  <c r="I702" i="7"/>
  <c r="A702" i="7" s="1"/>
  <c r="I703" i="7"/>
  <c r="A703" i="7" s="1"/>
  <c r="I704" i="7"/>
  <c r="A704" i="7" s="1"/>
  <c r="I705" i="7"/>
  <c r="A705" i="7" s="1"/>
  <c r="I706" i="7"/>
  <c r="A706" i="7" s="1"/>
  <c r="I707" i="7"/>
  <c r="A707" i="7" s="1"/>
  <c r="I708" i="7"/>
  <c r="A708" i="7" s="1"/>
  <c r="I709" i="7"/>
  <c r="A709" i="7" s="1"/>
  <c r="I710" i="7"/>
  <c r="A710" i="7" s="1"/>
  <c r="I711" i="7"/>
  <c r="A711" i="7" s="1"/>
  <c r="I712" i="7"/>
  <c r="A712" i="7" s="1"/>
  <c r="I713" i="7"/>
  <c r="A713" i="7" s="1"/>
  <c r="I714" i="7"/>
  <c r="A714" i="7" s="1"/>
  <c r="I715" i="7"/>
  <c r="A715" i="7" s="1"/>
  <c r="I716" i="7"/>
  <c r="A716" i="7" s="1"/>
  <c r="I717" i="7"/>
  <c r="A717" i="7" s="1"/>
  <c r="I718" i="7"/>
  <c r="A718" i="7" s="1"/>
  <c r="I719" i="7"/>
  <c r="A719" i="7" s="1"/>
  <c r="I720" i="7"/>
  <c r="A720" i="7" s="1"/>
  <c r="I721" i="7"/>
  <c r="A721" i="7" s="1"/>
  <c r="I722" i="7"/>
  <c r="A722" i="7" s="1"/>
  <c r="I723" i="7"/>
  <c r="A723" i="7" s="1"/>
  <c r="I724" i="7"/>
  <c r="A724" i="7" s="1"/>
  <c r="I725" i="7"/>
  <c r="A725" i="7" s="1"/>
  <c r="I726" i="7"/>
  <c r="A726" i="7" s="1"/>
  <c r="I727" i="7"/>
  <c r="A727" i="7" s="1"/>
  <c r="I728" i="7"/>
  <c r="A728" i="7" s="1"/>
  <c r="I729" i="7"/>
  <c r="A729" i="7" s="1"/>
  <c r="I730" i="7"/>
  <c r="A730" i="7" s="1"/>
  <c r="I731" i="7"/>
  <c r="A731" i="7" s="1"/>
  <c r="I732" i="7"/>
  <c r="A732" i="7" s="1"/>
  <c r="I733" i="7"/>
  <c r="A733" i="7" s="1"/>
  <c r="I734" i="7"/>
  <c r="A734" i="7" s="1"/>
  <c r="I735" i="7"/>
  <c r="A735" i="7" s="1"/>
  <c r="I736" i="7"/>
  <c r="A736" i="7" s="1"/>
  <c r="I737" i="7"/>
  <c r="A737" i="7" s="1"/>
  <c r="I738" i="7"/>
  <c r="A738" i="7" s="1"/>
  <c r="I739" i="7"/>
  <c r="A739" i="7" s="1"/>
  <c r="I740" i="7"/>
  <c r="A740" i="7" s="1"/>
  <c r="I741" i="7"/>
  <c r="A741" i="7" s="1"/>
  <c r="I742" i="7"/>
  <c r="A742" i="7" s="1"/>
  <c r="I743" i="7"/>
  <c r="A743" i="7" s="1"/>
  <c r="I744" i="7"/>
  <c r="A744" i="7" s="1"/>
  <c r="I745" i="7"/>
  <c r="A745" i="7" s="1"/>
  <c r="I746" i="7"/>
  <c r="A746" i="7" s="1"/>
  <c r="I747" i="7"/>
  <c r="A747" i="7" s="1"/>
  <c r="I748" i="7"/>
  <c r="A748" i="7" s="1"/>
  <c r="I749" i="7"/>
  <c r="A749" i="7" s="1"/>
  <c r="I750" i="7"/>
  <c r="A750" i="7" s="1"/>
  <c r="I751" i="7"/>
  <c r="A751" i="7" s="1"/>
  <c r="I752" i="7"/>
  <c r="A752" i="7" s="1"/>
  <c r="I753" i="7"/>
  <c r="A753" i="7" s="1"/>
  <c r="I754" i="7"/>
  <c r="A754" i="7" s="1"/>
  <c r="I755" i="7"/>
  <c r="A755" i="7" s="1"/>
  <c r="I756" i="7"/>
  <c r="A756" i="7" s="1"/>
  <c r="I757" i="7"/>
  <c r="A757" i="7" s="1"/>
  <c r="I758" i="7"/>
  <c r="A758" i="7" s="1"/>
  <c r="I759" i="7"/>
  <c r="A759" i="7" s="1"/>
  <c r="I760" i="7"/>
  <c r="A760" i="7" s="1"/>
  <c r="I761" i="7"/>
  <c r="A761" i="7" s="1"/>
  <c r="I762" i="7"/>
  <c r="A762" i="7" s="1"/>
  <c r="I763" i="7"/>
  <c r="A763" i="7" s="1"/>
  <c r="I764" i="7"/>
  <c r="A764" i="7" s="1"/>
  <c r="I765" i="7"/>
  <c r="A765" i="7" s="1"/>
  <c r="I766" i="7"/>
  <c r="A766" i="7" s="1"/>
  <c r="I767" i="7"/>
  <c r="A767" i="7" s="1"/>
  <c r="I768" i="7"/>
  <c r="A768" i="7" s="1"/>
  <c r="I769" i="7"/>
  <c r="A769" i="7" s="1"/>
  <c r="I770" i="7"/>
  <c r="A770" i="7" s="1"/>
  <c r="I771" i="7"/>
  <c r="A771" i="7" s="1"/>
  <c r="I772" i="7"/>
  <c r="A772" i="7" s="1"/>
  <c r="I773" i="7"/>
  <c r="A773" i="7" s="1"/>
  <c r="I774" i="7"/>
  <c r="A774" i="7" s="1"/>
  <c r="I775" i="7"/>
  <c r="A775" i="7" s="1"/>
  <c r="I776" i="7"/>
  <c r="A776" i="7" s="1"/>
  <c r="I777" i="7"/>
  <c r="A777" i="7" s="1"/>
  <c r="I778" i="7"/>
  <c r="A778" i="7" s="1"/>
  <c r="I779" i="7"/>
  <c r="A779" i="7" s="1"/>
  <c r="I780" i="7"/>
  <c r="A780" i="7" s="1"/>
  <c r="I781" i="7"/>
  <c r="A781" i="7" s="1"/>
  <c r="I782" i="7"/>
  <c r="A782" i="7" s="1"/>
  <c r="I783" i="7"/>
  <c r="A783" i="7" s="1"/>
  <c r="I784" i="7"/>
  <c r="A784" i="7" s="1"/>
  <c r="I785" i="7"/>
  <c r="A785" i="7" s="1"/>
  <c r="I786" i="7"/>
  <c r="A786" i="7" s="1"/>
  <c r="I787" i="7"/>
  <c r="A787" i="7" s="1"/>
  <c r="I788" i="7"/>
  <c r="A788" i="7" s="1"/>
  <c r="I789" i="7"/>
  <c r="A789" i="7" s="1"/>
  <c r="I790" i="7"/>
  <c r="A790" i="7" s="1"/>
  <c r="I791" i="7"/>
  <c r="A791" i="7" s="1"/>
  <c r="I792" i="7"/>
  <c r="A792" i="7" s="1"/>
  <c r="I793" i="7"/>
  <c r="A793" i="7" s="1"/>
  <c r="I794" i="7"/>
  <c r="A794" i="7" s="1"/>
  <c r="I795" i="7"/>
  <c r="A795" i="7" s="1"/>
  <c r="I796" i="7"/>
  <c r="A796" i="7" s="1"/>
  <c r="I797" i="7"/>
  <c r="A797" i="7" s="1"/>
  <c r="I798" i="7"/>
  <c r="A798" i="7" s="1"/>
  <c r="I799" i="7"/>
  <c r="A799" i="7" s="1"/>
  <c r="I800" i="7"/>
  <c r="A800" i="7" s="1"/>
  <c r="I801" i="7"/>
  <c r="A801" i="7" s="1"/>
  <c r="I802" i="7"/>
  <c r="A802" i="7" s="1"/>
  <c r="I803" i="7"/>
  <c r="A803" i="7" s="1"/>
  <c r="I804" i="7"/>
  <c r="A804" i="7" s="1"/>
  <c r="I805" i="7"/>
  <c r="A805" i="7" s="1"/>
  <c r="I806" i="7"/>
  <c r="A806" i="7" s="1"/>
  <c r="I807" i="7"/>
  <c r="A807" i="7" s="1"/>
  <c r="I808" i="7"/>
  <c r="A808" i="7" s="1"/>
  <c r="I809" i="7"/>
  <c r="A809" i="7" s="1"/>
  <c r="I810" i="7"/>
  <c r="A810" i="7" s="1"/>
  <c r="I811" i="7"/>
  <c r="A811" i="7" s="1"/>
  <c r="I812" i="7"/>
  <c r="A812" i="7" s="1"/>
  <c r="I813" i="7"/>
  <c r="A813" i="7" s="1"/>
  <c r="I814" i="7"/>
  <c r="A814" i="7" s="1"/>
  <c r="I815" i="7"/>
  <c r="A815" i="7" s="1"/>
  <c r="I816" i="7"/>
  <c r="A816" i="7" s="1"/>
  <c r="I817" i="7"/>
  <c r="A817" i="7" s="1"/>
  <c r="I818" i="7"/>
  <c r="A818" i="7" s="1"/>
  <c r="I819" i="7"/>
  <c r="A819" i="7" s="1"/>
  <c r="I820" i="7"/>
  <c r="A820" i="7" s="1"/>
  <c r="I821" i="7"/>
  <c r="A821" i="7" s="1"/>
  <c r="I822" i="7"/>
  <c r="A822" i="7" s="1"/>
  <c r="I823" i="7"/>
  <c r="A823" i="7" s="1"/>
  <c r="I824" i="7"/>
  <c r="A824" i="7" s="1"/>
  <c r="I825" i="7"/>
  <c r="A825" i="7" s="1"/>
  <c r="I826" i="7"/>
  <c r="A826" i="7" s="1"/>
  <c r="I827" i="7"/>
  <c r="A827" i="7" s="1"/>
  <c r="I828" i="7"/>
  <c r="A828" i="7" s="1"/>
  <c r="I829" i="7"/>
  <c r="A829" i="7" s="1"/>
  <c r="I830" i="7"/>
  <c r="A830" i="7" s="1"/>
  <c r="I831" i="7"/>
  <c r="A831" i="7" s="1"/>
  <c r="I832" i="7"/>
  <c r="A832" i="7" s="1"/>
  <c r="I833" i="7"/>
  <c r="A833" i="7" s="1"/>
  <c r="I834" i="7"/>
  <c r="A834" i="7" s="1"/>
  <c r="I835" i="7"/>
  <c r="A835" i="7" s="1"/>
  <c r="I836" i="7"/>
  <c r="A836" i="7" s="1"/>
  <c r="I837" i="7"/>
  <c r="A837" i="7" s="1"/>
  <c r="I838" i="7"/>
  <c r="A838" i="7" s="1"/>
  <c r="I839" i="7"/>
  <c r="A839" i="7" s="1"/>
  <c r="I840" i="7"/>
  <c r="A840" i="7" s="1"/>
  <c r="I841" i="7"/>
  <c r="A841" i="7" s="1"/>
  <c r="I842" i="7"/>
  <c r="A842" i="7" s="1"/>
  <c r="I843" i="7"/>
  <c r="A843" i="7" s="1"/>
  <c r="I844" i="7"/>
  <c r="A844" i="7" s="1"/>
  <c r="I845" i="7"/>
  <c r="A845" i="7" s="1"/>
  <c r="I846" i="7"/>
  <c r="A846" i="7" s="1"/>
  <c r="I847" i="7"/>
  <c r="A847" i="7" s="1"/>
  <c r="I848" i="7"/>
  <c r="A848" i="7" s="1"/>
  <c r="I849" i="7"/>
  <c r="A849" i="7" s="1"/>
  <c r="I850" i="7"/>
  <c r="A850" i="7" s="1"/>
  <c r="I851" i="7"/>
  <c r="A851" i="7" s="1"/>
  <c r="I852" i="7"/>
  <c r="A852" i="7" s="1"/>
  <c r="I853" i="7"/>
  <c r="A853" i="7" s="1"/>
  <c r="I854" i="7"/>
  <c r="A854" i="7" s="1"/>
  <c r="I855" i="7"/>
  <c r="A855" i="7" s="1"/>
  <c r="I856" i="7"/>
  <c r="A856" i="7" s="1"/>
  <c r="I857" i="7"/>
  <c r="A857" i="7" s="1"/>
  <c r="I858" i="7"/>
  <c r="A858" i="7" s="1"/>
  <c r="I859" i="7"/>
  <c r="A859" i="7" s="1"/>
  <c r="I860" i="7"/>
  <c r="A860" i="7" s="1"/>
  <c r="I861" i="7"/>
  <c r="A861" i="7" s="1"/>
  <c r="I862" i="7"/>
  <c r="A862" i="7" s="1"/>
  <c r="I863" i="7"/>
  <c r="A863" i="7" s="1"/>
  <c r="I864" i="7"/>
  <c r="A864" i="7" s="1"/>
  <c r="I865" i="7"/>
  <c r="A865" i="7" s="1"/>
  <c r="I866" i="7"/>
  <c r="A866" i="7" s="1"/>
  <c r="I867" i="7"/>
  <c r="A867" i="7" s="1"/>
  <c r="I868" i="7"/>
  <c r="A868" i="7" s="1"/>
  <c r="I869" i="7"/>
  <c r="A869" i="7" s="1"/>
  <c r="I870" i="7"/>
  <c r="A870" i="7" s="1"/>
  <c r="I871" i="7"/>
  <c r="A871" i="7" s="1"/>
  <c r="I872" i="7"/>
  <c r="A872" i="7" s="1"/>
  <c r="I873" i="7"/>
  <c r="A873" i="7" s="1"/>
  <c r="I874" i="7"/>
  <c r="A874" i="7" s="1"/>
  <c r="I875" i="7"/>
  <c r="A875" i="7" s="1"/>
  <c r="I876" i="7"/>
  <c r="A876" i="7" s="1"/>
  <c r="I877" i="7"/>
  <c r="A877" i="7" s="1"/>
  <c r="I878" i="7"/>
  <c r="A878" i="7" s="1"/>
  <c r="I879" i="7"/>
  <c r="A879" i="7" s="1"/>
  <c r="I880" i="7"/>
  <c r="A880" i="7" s="1"/>
  <c r="I881" i="7"/>
  <c r="A881" i="7" s="1"/>
  <c r="I882" i="7"/>
  <c r="A882" i="7" s="1"/>
  <c r="I883" i="7"/>
  <c r="A883" i="7" s="1"/>
  <c r="I884" i="7"/>
  <c r="A884" i="7" s="1"/>
  <c r="I885" i="7"/>
  <c r="A885" i="7" s="1"/>
  <c r="I886" i="7"/>
  <c r="A886" i="7" s="1"/>
  <c r="I887" i="7"/>
  <c r="A887" i="7" s="1"/>
  <c r="I888" i="7"/>
  <c r="A888" i="7" s="1"/>
  <c r="I889" i="7"/>
  <c r="A889" i="7" s="1"/>
  <c r="I890" i="7"/>
  <c r="A890" i="7" s="1"/>
  <c r="I891" i="7"/>
  <c r="A891" i="7" s="1"/>
  <c r="I892" i="7"/>
  <c r="A892" i="7" s="1"/>
  <c r="I893" i="7"/>
  <c r="A893" i="7" s="1"/>
  <c r="I894" i="7"/>
  <c r="A894" i="7" s="1"/>
  <c r="I895" i="7"/>
  <c r="A895" i="7" s="1"/>
  <c r="I896" i="7"/>
  <c r="A896" i="7" s="1"/>
  <c r="I897" i="7"/>
  <c r="A897" i="7" s="1"/>
  <c r="I898" i="7"/>
  <c r="A898" i="7" s="1"/>
  <c r="I899" i="7"/>
  <c r="A899" i="7" s="1"/>
  <c r="I900" i="7"/>
  <c r="A900" i="7" s="1"/>
  <c r="I901" i="7"/>
  <c r="A901" i="7" s="1"/>
  <c r="I902" i="7"/>
  <c r="A902" i="7" s="1"/>
  <c r="I903" i="7"/>
  <c r="A903" i="7" s="1"/>
  <c r="I904" i="7"/>
  <c r="A904" i="7" s="1"/>
  <c r="I905" i="7"/>
  <c r="A905" i="7" s="1"/>
  <c r="I906" i="7"/>
  <c r="A906" i="7" s="1"/>
  <c r="I907" i="7"/>
  <c r="A907" i="7" s="1"/>
  <c r="I908" i="7"/>
  <c r="A908" i="7" s="1"/>
  <c r="I909" i="7"/>
  <c r="A909" i="7" s="1"/>
  <c r="I910" i="7"/>
  <c r="A910" i="7" s="1"/>
  <c r="I911" i="7"/>
  <c r="A911" i="7" s="1"/>
  <c r="I912" i="7"/>
  <c r="A912" i="7" s="1"/>
  <c r="I913" i="7"/>
  <c r="A913" i="7" s="1"/>
  <c r="I914" i="7"/>
  <c r="A914" i="7" s="1"/>
  <c r="I915" i="7"/>
  <c r="A915" i="7" s="1"/>
  <c r="I916" i="7"/>
  <c r="A916" i="7" s="1"/>
  <c r="I917" i="7"/>
  <c r="A917" i="7" s="1"/>
  <c r="I918" i="7"/>
  <c r="A918" i="7" s="1"/>
  <c r="I919" i="7"/>
  <c r="A919" i="7" s="1"/>
  <c r="I920" i="7"/>
  <c r="A920" i="7" s="1"/>
  <c r="I921" i="7"/>
  <c r="A921" i="7" s="1"/>
  <c r="I922" i="7"/>
  <c r="A922" i="7" s="1"/>
  <c r="I923" i="7"/>
  <c r="A923" i="7" s="1"/>
  <c r="I924" i="7"/>
  <c r="A924" i="7" s="1"/>
  <c r="I925" i="7"/>
  <c r="A925" i="7" s="1"/>
  <c r="I926" i="7"/>
  <c r="A926" i="7" s="1"/>
  <c r="I927" i="7"/>
  <c r="A927" i="7" s="1"/>
  <c r="I928" i="7"/>
  <c r="A928" i="7" s="1"/>
  <c r="I929" i="7"/>
  <c r="A929" i="7" s="1"/>
  <c r="I930" i="7"/>
  <c r="A930" i="7" s="1"/>
  <c r="I931" i="7"/>
  <c r="A931" i="7" s="1"/>
  <c r="I932" i="7"/>
  <c r="A932" i="7" s="1"/>
  <c r="I933" i="7"/>
  <c r="A933" i="7" s="1"/>
  <c r="I934" i="7"/>
  <c r="A934" i="7" s="1"/>
  <c r="I935" i="7"/>
  <c r="A935" i="7" s="1"/>
  <c r="I936" i="7"/>
  <c r="A936" i="7" s="1"/>
  <c r="I937" i="7"/>
  <c r="A937" i="7" s="1"/>
  <c r="I938" i="7"/>
  <c r="A938" i="7" s="1"/>
  <c r="I939" i="7"/>
  <c r="A939" i="7" s="1"/>
  <c r="I940" i="7"/>
  <c r="A940" i="7" s="1"/>
  <c r="I941" i="7"/>
  <c r="A941" i="7" s="1"/>
  <c r="I942" i="7"/>
  <c r="A942" i="7" s="1"/>
  <c r="I943" i="7"/>
  <c r="A943" i="7" s="1"/>
  <c r="I944" i="7"/>
  <c r="A944" i="7" s="1"/>
  <c r="I945" i="7"/>
  <c r="A945" i="7" s="1"/>
  <c r="I946" i="7"/>
  <c r="A946" i="7" s="1"/>
  <c r="I947" i="7"/>
  <c r="A947" i="7" s="1"/>
  <c r="I948" i="7"/>
  <c r="A948" i="7" s="1"/>
  <c r="I949" i="7"/>
  <c r="A949" i="7" s="1"/>
  <c r="I950" i="7"/>
  <c r="A950" i="7" s="1"/>
  <c r="I951" i="7"/>
  <c r="A951" i="7" s="1"/>
  <c r="I952" i="7"/>
  <c r="A952" i="7" s="1"/>
  <c r="I953" i="7"/>
  <c r="A953" i="7" s="1"/>
  <c r="I954" i="7"/>
  <c r="A954" i="7" s="1"/>
  <c r="I955" i="7"/>
  <c r="A955" i="7" s="1"/>
  <c r="I956" i="7"/>
  <c r="A956" i="7" s="1"/>
  <c r="I957" i="7"/>
  <c r="A957" i="7" s="1"/>
  <c r="I958" i="7"/>
  <c r="A958" i="7" s="1"/>
  <c r="I959" i="7"/>
  <c r="A959" i="7" s="1"/>
  <c r="I960" i="7"/>
  <c r="A960" i="7" s="1"/>
  <c r="I961" i="7"/>
  <c r="A961" i="7" s="1"/>
  <c r="I962" i="7"/>
  <c r="A962" i="7" s="1"/>
  <c r="I963" i="7"/>
  <c r="A963" i="7" s="1"/>
  <c r="I964" i="7"/>
  <c r="A964" i="7" s="1"/>
  <c r="I965" i="7"/>
  <c r="A965" i="7" s="1"/>
  <c r="I966" i="7"/>
  <c r="A966" i="7" s="1"/>
  <c r="I967" i="7"/>
  <c r="A967" i="7" s="1"/>
  <c r="I968" i="7"/>
  <c r="A968" i="7" s="1"/>
  <c r="I969" i="7"/>
  <c r="A969" i="7" s="1"/>
  <c r="I970" i="7"/>
  <c r="A970" i="7" s="1"/>
  <c r="I971" i="7"/>
  <c r="A971" i="7" s="1"/>
  <c r="I972" i="7"/>
  <c r="A972" i="7" s="1"/>
  <c r="I973" i="7"/>
  <c r="A973" i="7" s="1"/>
  <c r="I974" i="7"/>
  <c r="A974" i="7" s="1"/>
  <c r="I975" i="7"/>
  <c r="A975" i="7" s="1"/>
  <c r="I976" i="7"/>
  <c r="A976" i="7" s="1"/>
  <c r="I977" i="7"/>
  <c r="A977" i="7" s="1"/>
  <c r="I978" i="7"/>
  <c r="A978" i="7" s="1"/>
  <c r="I979" i="7"/>
  <c r="A979" i="7" s="1"/>
  <c r="I980" i="7"/>
  <c r="A980" i="7" s="1"/>
  <c r="I981" i="7"/>
  <c r="A981" i="7" s="1"/>
  <c r="I982" i="7"/>
  <c r="A982" i="7" s="1"/>
  <c r="I983" i="7"/>
  <c r="A983" i="7" s="1"/>
  <c r="I984" i="7"/>
  <c r="A984" i="7" s="1"/>
  <c r="I985" i="7"/>
  <c r="A985" i="7" s="1"/>
  <c r="I986" i="7"/>
  <c r="A986" i="7" s="1"/>
  <c r="I987" i="7"/>
  <c r="A987" i="7" s="1"/>
  <c r="I988" i="7"/>
  <c r="A988" i="7" s="1"/>
  <c r="I989" i="7"/>
  <c r="A989" i="7" s="1"/>
  <c r="I990" i="7"/>
  <c r="A990" i="7" s="1"/>
  <c r="I991" i="7"/>
  <c r="A991" i="7" s="1"/>
  <c r="I992" i="7"/>
  <c r="A992" i="7" s="1"/>
  <c r="I993" i="7"/>
  <c r="A993" i="7" s="1"/>
  <c r="I994" i="7"/>
  <c r="A994" i="7" s="1"/>
  <c r="I995" i="7"/>
  <c r="A995" i="7" s="1"/>
  <c r="I996" i="7"/>
  <c r="A996" i="7" s="1"/>
  <c r="I997" i="7"/>
  <c r="A997" i="7" s="1"/>
  <c r="I998" i="7"/>
  <c r="A998" i="7" s="1"/>
  <c r="I999" i="7"/>
  <c r="A999" i="7" s="1"/>
  <c r="I1000" i="7"/>
  <c r="A1000" i="7" s="1"/>
  <c r="I1001" i="7"/>
  <c r="A1001" i="7" s="1"/>
  <c r="I1002" i="7"/>
  <c r="A1002" i="7" s="1"/>
  <c r="I1003" i="7"/>
  <c r="A1003" i="7" s="1"/>
  <c r="I1004" i="7"/>
  <c r="A1004" i="7" s="1"/>
  <c r="I1005" i="7"/>
  <c r="A1005" i="7" s="1"/>
  <c r="I1006" i="7"/>
  <c r="A1006" i="7" s="1"/>
  <c r="I1007" i="7"/>
  <c r="A1007" i="7" s="1"/>
  <c r="I1008" i="7"/>
  <c r="A1008" i="7" s="1"/>
  <c r="I1009" i="7"/>
  <c r="A1009" i="7" s="1"/>
  <c r="I1010" i="7"/>
  <c r="A1010" i="7" s="1"/>
  <c r="I1011" i="7"/>
  <c r="A1011" i="7" s="1"/>
  <c r="I1012" i="7"/>
  <c r="A1012" i="7" s="1"/>
  <c r="I1013" i="7"/>
  <c r="A1013" i="7" s="1"/>
  <c r="I1014" i="7"/>
  <c r="A1014" i="7" s="1"/>
  <c r="I1015" i="7"/>
  <c r="A1015" i="7" s="1"/>
  <c r="I1016" i="7"/>
  <c r="A1016" i="7" s="1"/>
  <c r="I1017" i="7"/>
  <c r="A1017" i="7" s="1"/>
  <c r="I1018" i="7"/>
  <c r="A1018" i="7" s="1"/>
  <c r="I1019" i="7"/>
  <c r="A1019" i="7" s="1"/>
  <c r="I1020" i="7"/>
  <c r="A1020" i="7" s="1"/>
  <c r="I1021" i="7"/>
  <c r="A1021" i="7" s="1"/>
  <c r="I1022" i="7"/>
  <c r="A1022" i="7" s="1"/>
  <c r="I1023" i="7"/>
  <c r="A1023" i="7" s="1"/>
  <c r="I1024" i="7"/>
  <c r="A1024" i="7" s="1"/>
  <c r="I1025" i="7"/>
  <c r="A1025" i="7" s="1"/>
  <c r="I1026" i="7"/>
  <c r="A1026" i="7" s="1"/>
  <c r="I1027" i="7"/>
  <c r="A1027" i="7" s="1"/>
  <c r="I1028" i="7"/>
  <c r="A1028" i="7" s="1"/>
  <c r="I1029" i="7"/>
  <c r="A1029" i="7" s="1"/>
  <c r="I1030" i="7"/>
  <c r="A1030" i="7" s="1"/>
  <c r="I1031" i="7"/>
  <c r="A1031" i="7" s="1"/>
  <c r="I1032" i="7"/>
  <c r="A1032" i="7" s="1"/>
  <c r="I1033" i="7"/>
  <c r="A1033" i="7" s="1"/>
  <c r="I1034" i="7"/>
  <c r="A1034" i="7" s="1"/>
  <c r="I1035" i="7"/>
  <c r="A1035" i="7" s="1"/>
  <c r="I1036" i="7"/>
  <c r="A1036" i="7" s="1"/>
  <c r="I1037" i="7"/>
  <c r="A1037" i="7" s="1"/>
  <c r="I1038" i="7"/>
  <c r="A1038" i="7" s="1"/>
  <c r="I1039" i="7"/>
  <c r="A1039" i="7" s="1"/>
  <c r="I1040" i="7"/>
  <c r="A1040" i="7" s="1"/>
  <c r="I1041" i="7"/>
  <c r="A1041" i="7" s="1"/>
  <c r="I1042" i="7"/>
  <c r="A1042" i="7" s="1"/>
  <c r="I1043" i="7"/>
  <c r="A1043" i="7" s="1"/>
  <c r="I1044" i="7"/>
  <c r="A1044" i="7" s="1"/>
  <c r="I1045" i="7"/>
  <c r="A1045" i="7" s="1"/>
  <c r="I1046" i="7"/>
  <c r="A1046" i="7" s="1"/>
  <c r="I1047" i="7"/>
  <c r="A1047" i="7" s="1"/>
  <c r="I1048" i="7"/>
  <c r="A1048" i="7" s="1"/>
  <c r="I1049" i="7"/>
  <c r="A1049" i="7" s="1"/>
  <c r="I1050" i="7"/>
  <c r="A1050" i="7" s="1"/>
  <c r="I1051" i="7"/>
  <c r="A1051" i="7" s="1"/>
  <c r="I1052" i="7"/>
  <c r="A1052" i="7" s="1"/>
  <c r="I1053" i="7"/>
  <c r="A1053" i="7" s="1"/>
  <c r="I1054" i="7"/>
  <c r="A1054" i="7" s="1"/>
  <c r="I1055" i="7"/>
  <c r="A1055" i="7" s="1"/>
  <c r="I1056" i="7"/>
  <c r="A1056" i="7" s="1"/>
  <c r="I1057" i="7"/>
  <c r="A1057" i="7" s="1"/>
  <c r="I1058" i="7"/>
  <c r="A1058" i="7" s="1"/>
  <c r="I1059" i="7"/>
  <c r="A1059" i="7" s="1"/>
  <c r="I1060" i="7"/>
  <c r="A1060" i="7" s="1"/>
  <c r="I1061" i="7"/>
  <c r="A1061" i="7" s="1"/>
  <c r="I1062" i="7"/>
  <c r="A1062" i="7" s="1"/>
  <c r="I1063" i="7"/>
  <c r="A1063" i="7" s="1"/>
  <c r="I1064" i="7"/>
  <c r="A1064" i="7" s="1"/>
  <c r="I1065" i="7"/>
  <c r="A1065" i="7" s="1"/>
  <c r="I1066" i="7"/>
  <c r="A1066" i="7" s="1"/>
  <c r="I1067" i="7"/>
  <c r="A1067" i="7" s="1"/>
  <c r="I1068" i="7"/>
  <c r="A1068" i="7" s="1"/>
  <c r="I1069" i="7"/>
  <c r="A1069" i="7" s="1"/>
  <c r="I1070" i="7"/>
  <c r="A1070" i="7" s="1"/>
  <c r="I1071" i="7"/>
  <c r="A1071" i="7" s="1"/>
  <c r="I1072" i="7"/>
  <c r="A1072" i="7" s="1"/>
  <c r="I1073" i="7"/>
  <c r="A1073" i="7" s="1"/>
  <c r="I1074" i="7"/>
  <c r="A1074" i="7" s="1"/>
  <c r="I1075" i="7"/>
  <c r="A1075" i="7" s="1"/>
  <c r="I1076" i="7"/>
  <c r="A1076" i="7" s="1"/>
  <c r="I1077" i="7"/>
  <c r="A1077" i="7" s="1"/>
  <c r="I1078" i="7"/>
  <c r="A1078" i="7" s="1"/>
  <c r="I1079" i="7"/>
  <c r="A1079" i="7" s="1"/>
  <c r="I1080" i="7"/>
  <c r="A1080" i="7" s="1"/>
  <c r="I1081" i="7"/>
  <c r="A1081" i="7" s="1"/>
  <c r="I1082" i="7"/>
  <c r="A1082" i="7" s="1"/>
  <c r="I1083" i="7"/>
  <c r="A1083" i="7" s="1"/>
  <c r="I1084" i="7"/>
  <c r="A1084" i="7" s="1"/>
  <c r="I1085" i="7"/>
  <c r="A1085" i="7" s="1"/>
  <c r="I1086" i="7"/>
  <c r="A1086" i="7" s="1"/>
  <c r="I1087" i="7"/>
  <c r="A1087" i="7" s="1"/>
  <c r="I1088" i="7"/>
  <c r="A1088" i="7" s="1"/>
  <c r="I1089" i="7"/>
  <c r="A1089" i="7" s="1"/>
  <c r="I1090" i="7"/>
  <c r="A1090" i="7" s="1"/>
  <c r="I1091" i="7"/>
  <c r="I1092" i="7"/>
  <c r="A1092" i="7" s="1"/>
  <c r="I1093" i="7"/>
  <c r="A1093" i="7" s="1"/>
  <c r="I1094" i="7"/>
  <c r="A1094" i="7" s="1"/>
  <c r="I1095" i="7"/>
  <c r="A1095" i="7" s="1"/>
  <c r="I1096" i="7"/>
  <c r="A1096" i="7" s="1"/>
  <c r="I1097" i="7"/>
  <c r="A1097" i="7" s="1"/>
  <c r="I1098" i="7"/>
  <c r="A1098" i="7" s="1"/>
  <c r="I1099" i="7"/>
  <c r="A1099" i="7" s="1"/>
  <c r="I1100" i="7"/>
  <c r="A1100" i="7" s="1"/>
  <c r="I1101" i="7"/>
  <c r="A1101" i="7" s="1"/>
  <c r="I1102" i="7"/>
  <c r="A1102" i="7" s="1"/>
  <c r="I1103" i="7"/>
  <c r="A1103" i="7" s="1"/>
  <c r="I1104" i="7"/>
  <c r="A1104" i="7" s="1"/>
  <c r="I1105" i="7"/>
  <c r="A1105" i="7" s="1"/>
  <c r="I1106" i="7"/>
  <c r="A1106" i="7" s="1"/>
  <c r="I1107" i="7"/>
  <c r="A1107" i="7" s="1"/>
  <c r="I1108" i="7"/>
  <c r="A1108" i="7" s="1"/>
  <c r="I1109" i="7"/>
  <c r="A1109" i="7" s="1"/>
  <c r="I1110" i="7"/>
  <c r="A1110" i="7" s="1"/>
  <c r="I1111" i="7"/>
  <c r="A1111" i="7" s="1"/>
  <c r="I1112" i="7"/>
  <c r="A1112" i="7" s="1"/>
  <c r="I1113" i="7"/>
  <c r="A1113" i="7" s="1"/>
  <c r="I1114" i="7"/>
  <c r="A1114" i="7" s="1"/>
  <c r="I1115" i="7"/>
  <c r="A1115" i="7" s="1"/>
  <c r="I1116" i="7"/>
  <c r="A1116" i="7" s="1"/>
  <c r="I1117" i="7"/>
  <c r="A1117" i="7" s="1"/>
  <c r="I1118" i="7"/>
  <c r="A1118" i="7" s="1"/>
  <c r="I1119" i="7"/>
  <c r="A1119" i="7" s="1"/>
  <c r="I1120" i="7"/>
  <c r="A1120" i="7" s="1"/>
  <c r="I1121" i="7"/>
  <c r="A1121" i="7" s="1"/>
  <c r="I1122" i="7"/>
  <c r="A1122" i="7" s="1"/>
  <c r="I1123" i="7"/>
  <c r="A1123" i="7" s="1"/>
  <c r="I1124" i="7"/>
  <c r="A1124" i="7" s="1"/>
  <c r="I1125" i="7"/>
  <c r="A1125" i="7" s="1"/>
  <c r="I1126" i="7"/>
  <c r="A1126" i="7" s="1"/>
  <c r="I1127" i="7"/>
  <c r="A1127" i="7" s="1"/>
  <c r="I1128" i="7"/>
  <c r="A1128" i="7" s="1"/>
  <c r="I1129" i="7"/>
  <c r="A1129" i="7" s="1"/>
  <c r="I1130" i="7"/>
  <c r="A1130" i="7" s="1"/>
  <c r="I1131" i="7"/>
  <c r="A1131" i="7" s="1"/>
  <c r="I1132" i="7"/>
  <c r="A1132" i="7" s="1"/>
  <c r="I1133" i="7"/>
  <c r="A1133" i="7" s="1"/>
  <c r="I1134" i="7"/>
  <c r="A1134" i="7" s="1"/>
  <c r="I1135" i="7"/>
  <c r="A1135" i="7" s="1"/>
  <c r="I1136" i="7"/>
  <c r="A1136" i="7" s="1"/>
  <c r="I1137" i="7"/>
  <c r="A1137" i="7" s="1"/>
  <c r="I1138" i="7"/>
  <c r="A1138" i="7" s="1"/>
  <c r="I1139" i="7"/>
  <c r="A1139" i="7" s="1"/>
  <c r="I1140" i="7"/>
  <c r="A1140" i="7" s="1"/>
  <c r="I1141" i="7"/>
  <c r="A1141" i="7" s="1"/>
  <c r="I1142" i="7"/>
  <c r="A1142" i="7" s="1"/>
  <c r="I1143" i="7"/>
  <c r="A1143" i="7" s="1"/>
  <c r="I1144" i="7"/>
  <c r="A1144" i="7" s="1"/>
  <c r="I1145" i="7"/>
  <c r="A1145" i="7" s="1"/>
  <c r="I1146" i="7"/>
  <c r="A1146" i="7" s="1"/>
  <c r="I1147" i="7"/>
  <c r="A1147" i="7" s="1"/>
  <c r="I1148" i="7"/>
  <c r="A1148" i="7" s="1"/>
  <c r="I1149" i="7"/>
  <c r="A1149" i="7" s="1"/>
  <c r="I1150" i="7"/>
  <c r="A1150" i="7" s="1"/>
  <c r="I1151" i="7"/>
  <c r="A1151" i="7" s="1"/>
  <c r="I1152" i="7"/>
  <c r="A1152" i="7" s="1"/>
  <c r="I1153" i="7"/>
  <c r="A1153" i="7" s="1"/>
  <c r="I1154" i="7"/>
  <c r="A1154" i="7" s="1"/>
  <c r="I1155" i="7"/>
  <c r="A1155" i="7" s="1"/>
  <c r="I1156" i="7"/>
  <c r="A1156" i="7" s="1"/>
  <c r="I1157" i="7"/>
  <c r="A1157" i="7" s="1"/>
  <c r="I1158" i="7"/>
  <c r="A1158" i="7" s="1"/>
  <c r="I1159" i="7"/>
  <c r="A1159" i="7" s="1"/>
  <c r="I1160" i="7"/>
  <c r="A1160" i="7" s="1"/>
  <c r="I1161" i="7"/>
  <c r="A1161" i="7" s="1"/>
  <c r="I1162" i="7"/>
  <c r="A1162" i="7" s="1"/>
  <c r="I1163" i="7"/>
  <c r="A1163" i="7" s="1"/>
  <c r="I1164" i="7"/>
  <c r="A1164" i="7" s="1"/>
  <c r="I1165" i="7"/>
  <c r="A1165" i="7" s="1"/>
  <c r="I1166" i="7"/>
  <c r="A1166" i="7" s="1"/>
  <c r="I1167" i="7"/>
  <c r="A1167" i="7" s="1"/>
  <c r="I1168" i="7"/>
  <c r="A1168" i="7" s="1"/>
  <c r="I1169" i="7"/>
  <c r="A1169" i="7" s="1"/>
  <c r="I1170" i="7"/>
  <c r="A1170" i="7" s="1"/>
  <c r="I1171" i="7"/>
  <c r="A1171" i="7" s="1"/>
  <c r="I1172" i="7"/>
  <c r="A1172" i="7" s="1"/>
  <c r="I1173" i="7"/>
  <c r="A1173" i="7" s="1"/>
  <c r="I1174" i="7"/>
  <c r="A1174" i="7" s="1"/>
  <c r="I1175" i="7"/>
  <c r="A1175" i="7" s="1"/>
  <c r="I1176" i="7"/>
  <c r="A1176" i="7" s="1"/>
  <c r="I1177" i="7"/>
  <c r="A1177" i="7" s="1"/>
  <c r="I1178" i="7"/>
  <c r="A1178" i="7" s="1"/>
  <c r="I1179" i="7"/>
  <c r="A1179" i="7" s="1"/>
  <c r="I1180" i="7"/>
  <c r="A1180" i="7" s="1"/>
  <c r="I1181" i="7"/>
  <c r="A1181" i="7" s="1"/>
  <c r="I1182" i="7"/>
  <c r="A1182" i="7" s="1"/>
  <c r="I1183" i="7"/>
  <c r="A1183" i="7" s="1"/>
  <c r="I1184" i="7"/>
  <c r="A1184" i="7" s="1"/>
  <c r="I1185" i="7"/>
  <c r="A1185" i="7" s="1"/>
  <c r="I1186" i="7"/>
  <c r="A1186" i="7" s="1"/>
  <c r="I1187" i="7"/>
  <c r="A1187" i="7" s="1"/>
  <c r="I1188" i="7"/>
  <c r="A1188" i="7" s="1"/>
  <c r="I1189" i="7"/>
  <c r="A1189" i="7" s="1"/>
  <c r="I1190" i="7"/>
  <c r="A1190" i="7" s="1"/>
  <c r="I1191" i="7"/>
  <c r="A1191" i="7" s="1"/>
  <c r="I1192" i="7"/>
  <c r="A1192" i="7" s="1"/>
  <c r="I1193" i="7"/>
  <c r="A1193" i="7" s="1"/>
  <c r="I1194" i="7"/>
  <c r="A1194" i="7" s="1"/>
  <c r="I1195" i="7"/>
  <c r="A1195" i="7" s="1"/>
  <c r="I1196" i="7"/>
  <c r="A1196" i="7" s="1"/>
  <c r="I1197" i="7"/>
  <c r="A1197" i="7" s="1"/>
  <c r="I1198" i="7"/>
  <c r="A1198" i="7" s="1"/>
  <c r="I1199" i="7"/>
  <c r="A1199" i="7" s="1"/>
  <c r="I1200" i="7"/>
  <c r="A1200" i="7" s="1"/>
  <c r="I1201" i="7"/>
  <c r="A1201" i="7" s="1"/>
  <c r="I1202" i="7"/>
  <c r="A1202" i="7" s="1"/>
  <c r="I1203" i="7"/>
  <c r="A1203" i="7" s="1"/>
  <c r="I1204" i="7"/>
  <c r="A1204" i="7" s="1"/>
  <c r="I1205" i="7"/>
  <c r="A1205" i="7" s="1"/>
  <c r="I1206" i="7"/>
  <c r="A1206" i="7" s="1"/>
  <c r="I1207" i="7"/>
  <c r="A1207" i="7" s="1"/>
  <c r="I1208" i="7"/>
  <c r="A1208" i="7" s="1"/>
  <c r="I1209" i="7"/>
  <c r="A1209" i="7" s="1"/>
  <c r="I1210" i="7"/>
  <c r="A1210" i="7" s="1"/>
  <c r="I1211" i="7"/>
  <c r="A1211" i="7" s="1"/>
  <c r="I1212" i="7"/>
  <c r="A1212" i="7" s="1"/>
  <c r="I1213" i="7"/>
  <c r="A1213" i="7" s="1"/>
  <c r="I1214" i="7"/>
  <c r="A1214" i="7" s="1"/>
  <c r="I1215" i="7"/>
  <c r="A1215" i="7" s="1"/>
  <c r="I1216" i="7"/>
  <c r="A1216" i="7" s="1"/>
  <c r="I1217" i="7"/>
  <c r="A1217" i="7" s="1"/>
  <c r="I1218" i="7"/>
  <c r="A1218" i="7" s="1"/>
  <c r="I1219" i="7"/>
  <c r="I1220" i="7"/>
  <c r="A1220" i="7" s="1"/>
  <c r="I1221" i="7"/>
  <c r="A1221" i="7" s="1"/>
  <c r="I1222" i="7"/>
  <c r="A1222" i="7" s="1"/>
  <c r="I1223" i="7"/>
  <c r="A1223" i="7" s="1"/>
  <c r="I1224" i="7"/>
  <c r="A1224" i="7" s="1"/>
  <c r="I1225" i="7"/>
  <c r="A1225" i="7" s="1"/>
  <c r="I1226" i="7"/>
  <c r="A1226" i="7" s="1"/>
  <c r="I1227" i="7"/>
  <c r="A1227" i="7" s="1"/>
  <c r="I1228" i="7"/>
  <c r="A1228" i="7" s="1"/>
  <c r="I1229" i="7"/>
  <c r="A1229" i="7" s="1"/>
  <c r="I1230" i="7"/>
  <c r="A1230" i="7" s="1"/>
  <c r="I1231" i="7"/>
  <c r="A1231" i="7" s="1"/>
  <c r="I1232" i="7"/>
  <c r="A1232" i="7" s="1"/>
  <c r="I1233" i="7"/>
  <c r="A1233" i="7" s="1"/>
  <c r="I1234" i="7"/>
  <c r="A1234" i="7" s="1"/>
  <c r="I1235" i="7"/>
  <c r="A1235" i="7" s="1"/>
  <c r="I1236" i="7"/>
  <c r="A1236" i="7" s="1"/>
  <c r="I1237" i="7"/>
  <c r="A1237" i="7" s="1"/>
  <c r="I1238" i="7"/>
  <c r="A1238" i="7" s="1"/>
  <c r="I1239" i="7"/>
  <c r="A1239" i="7" s="1"/>
  <c r="I1240" i="7"/>
  <c r="A1240" i="7" s="1"/>
  <c r="I1241" i="7"/>
  <c r="A1241" i="7" s="1"/>
  <c r="I1242" i="7"/>
  <c r="A1242" i="7" s="1"/>
  <c r="I1243" i="7"/>
  <c r="A1243" i="7" s="1"/>
  <c r="I1244" i="7"/>
  <c r="A1244" i="7" s="1"/>
  <c r="I1245" i="7"/>
  <c r="A1245" i="7" s="1"/>
  <c r="I1246" i="7"/>
  <c r="A1246" i="7" s="1"/>
  <c r="I1247" i="7"/>
  <c r="A1247" i="7" s="1"/>
  <c r="I1248" i="7"/>
  <c r="A1248" i="7" s="1"/>
  <c r="I1249" i="7"/>
  <c r="A1249" i="7" s="1"/>
  <c r="I1250" i="7"/>
  <c r="A1250" i="7" s="1"/>
  <c r="I1251" i="7"/>
  <c r="A1251" i="7" s="1"/>
  <c r="I1252" i="7"/>
  <c r="A1252" i="7" s="1"/>
  <c r="I1253" i="7"/>
  <c r="A1253" i="7" s="1"/>
  <c r="I1254" i="7"/>
  <c r="A1254" i="7" s="1"/>
  <c r="I1255" i="7"/>
  <c r="A1255" i="7" s="1"/>
  <c r="I1256" i="7"/>
  <c r="A1256" i="7" s="1"/>
  <c r="I1257" i="7"/>
  <c r="A1257" i="7" s="1"/>
  <c r="I1258" i="7"/>
  <c r="A1258" i="7" s="1"/>
  <c r="I1259" i="7"/>
  <c r="A1259" i="7" s="1"/>
  <c r="I1260" i="7"/>
  <c r="A1260" i="7" s="1"/>
  <c r="I1261" i="7"/>
  <c r="A1261" i="7" s="1"/>
  <c r="I1262" i="7"/>
  <c r="A1262" i="7" s="1"/>
  <c r="I1263" i="7"/>
  <c r="A1263" i="7" s="1"/>
  <c r="I1264" i="7"/>
  <c r="A1264" i="7" s="1"/>
  <c r="I1265" i="7"/>
  <c r="A1265" i="7" s="1"/>
  <c r="I1266" i="7"/>
  <c r="A1266" i="7" s="1"/>
  <c r="I1267" i="7"/>
  <c r="A1267" i="7" s="1"/>
  <c r="I1268" i="7"/>
  <c r="A1268" i="7" s="1"/>
  <c r="I1269" i="7"/>
  <c r="A1269" i="7" s="1"/>
  <c r="I1270" i="7"/>
  <c r="A1270" i="7" s="1"/>
  <c r="I1271" i="7"/>
  <c r="A1271" i="7" s="1"/>
  <c r="I1272" i="7"/>
  <c r="A1272" i="7" s="1"/>
  <c r="I1273" i="7"/>
  <c r="A1273" i="7" s="1"/>
  <c r="I1274" i="7"/>
  <c r="A1274" i="7" s="1"/>
  <c r="I1275" i="7"/>
  <c r="A1275" i="7" s="1"/>
  <c r="I1276" i="7"/>
  <c r="A1276" i="7" s="1"/>
  <c r="I1277" i="7"/>
  <c r="A1277" i="7" s="1"/>
  <c r="I1278" i="7"/>
  <c r="A1278" i="7" s="1"/>
  <c r="I1279" i="7"/>
  <c r="A1279" i="7" s="1"/>
  <c r="I1280" i="7"/>
  <c r="A1280" i="7" s="1"/>
  <c r="I1281" i="7"/>
  <c r="A1281" i="7" s="1"/>
  <c r="I1282" i="7"/>
  <c r="A1282" i="7" s="1"/>
  <c r="I1283" i="7"/>
  <c r="A1283" i="7" s="1"/>
  <c r="I1284" i="7"/>
  <c r="A1284" i="7" s="1"/>
  <c r="I1285" i="7"/>
  <c r="A1285" i="7" s="1"/>
  <c r="I1286" i="7"/>
  <c r="A1286" i="7" s="1"/>
  <c r="I1287" i="7"/>
  <c r="A1287" i="7" s="1"/>
  <c r="I1288" i="7"/>
  <c r="A1288" i="7" s="1"/>
  <c r="I1289" i="7"/>
  <c r="A1289" i="7" s="1"/>
  <c r="I1290" i="7"/>
  <c r="A1290" i="7" s="1"/>
  <c r="I1291" i="7"/>
  <c r="A1291" i="7" s="1"/>
  <c r="I1292" i="7"/>
  <c r="A1292" i="7" s="1"/>
  <c r="I1293" i="7"/>
  <c r="A1293" i="7" s="1"/>
  <c r="I1294" i="7"/>
  <c r="A1294" i="7" s="1"/>
  <c r="I1295" i="7"/>
  <c r="A1295" i="7" s="1"/>
  <c r="I1296" i="7"/>
  <c r="A1296" i="7" s="1"/>
  <c r="I1297" i="7"/>
  <c r="A1297" i="7" s="1"/>
  <c r="I1298" i="7"/>
  <c r="A1298" i="7" s="1"/>
  <c r="I1299" i="7"/>
  <c r="A1299" i="7" s="1"/>
  <c r="I1300" i="7"/>
  <c r="A1300" i="7" s="1"/>
  <c r="I1301" i="7"/>
  <c r="A1301" i="7" s="1"/>
  <c r="I1302" i="7"/>
  <c r="A1302" i="7" s="1"/>
  <c r="I1303" i="7"/>
  <c r="A1303" i="7" s="1"/>
  <c r="I1304" i="7"/>
  <c r="A1304" i="7" s="1"/>
  <c r="I1305" i="7"/>
  <c r="A1305" i="7" s="1"/>
  <c r="I1306" i="7"/>
  <c r="A1306" i="7" s="1"/>
  <c r="I1307" i="7"/>
  <c r="A1307" i="7" s="1"/>
  <c r="I1308" i="7"/>
  <c r="A1308" i="7" s="1"/>
  <c r="I1309" i="7"/>
  <c r="A1309" i="7" s="1"/>
  <c r="I1310" i="7"/>
  <c r="A1310" i="7" s="1"/>
  <c r="I1311" i="7"/>
  <c r="A1311" i="7" s="1"/>
  <c r="I1312" i="7"/>
  <c r="A1312" i="7" s="1"/>
  <c r="I1313" i="7"/>
  <c r="A1313" i="7" s="1"/>
  <c r="I1314" i="7"/>
  <c r="A1314" i="7" s="1"/>
  <c r="I1315" i="7"/>
  <c r="A1315" i="7" s="1"/>
  <c r="I1316" i="7"/>
  <c r="A1316" i="7" s="1"/>
  <c r="I1317" i="7"/>
  <c r="A1317" i="7" s="1"/>
  <c r="I1318" i="7"/>
  <c r="A1318" i="7" s="1"/>
  <c r="I1319" i="7"/>
  <c r="A1319" i="7" s="1"/>
  <c r="I1320" i="7"/>
  <c r="A1320" i="7" s="1"/>
  <c r="I1321" i="7"/>
  <c r="A1321" i="7" s="1"/>
  <c r="I1322" i="7"/>
  <c r="A1322" i="7" s="1"/>
  <c r="I1323" i="7"/>
  <c r="A1323" i="7" s="1"/>
  <c r="I1324" i="7"/>
  <c r="A1324" i="7" s="1"/>
  <c r="I1325" i="7"/>
  <c r="A1325" i="7" s="1"/>
  <c r="I1326" i="7"/>
  <c r="A1326" i="7" s="1"/>
  <c r="I1327" i="7"/>
  <c r="A1327" i="7" s="1"/>
  <c r="I1328" i="7"/>
  <c r="A1328" i="7" s="1"/>
  <c r="I1329" i="7"/>
  <c r="A1329" i="7" s="1"/>
  <c r="I1330" i="7"/>
  <c r="A1330" i="7" s="1"/>
  <c r="I1331" i="7"/>
  <c r="A1331" i="7" s="1"/>
  <c r="I1332" i="7"/>
  <c r="A1332" i="7" s="1"/>
  <c r="I1333" i="7"/>
  <c r="A1333" i="7" s="1"/>
  <c r="I1334" i="7"/>
  <c r="A1334" i="7" s="1"/>
  <c r="I1335" i="7"/>
  <c r="A1335" i="7" s="1"/>
  <c r="I1336" i="7"/>
  <c r="A1336" i="7" s="1"/>
  <c r="I1337" i="7"/>
  <c r="A1337" i="7" s="1"/>
  <c r="I1338" i="7"/>
  <c r="A1338" i="7" s="1"/>
  <c r="I1339" i="7"/>
  <c r="A1339" i="7" s="1"/>
  <c r="I1340" i="7"/>
  <c r="A1340" i="7" s="1"/>
  <c r="I1341" i="7"/>
  <c r="A1341" i="7" s="1"/>
  <c r="I1342" i="7"/>
  <c r="A1342" i="7" s="1"/>
  <c r="I1343" i="7"/>
  <c r="A1343" i="7" s="1"/>
  <c r="I1344" i="7"/>
  <c r="A1344" i="7" s="1"/>
  <c r="I1345" i="7"/>
  <c r="A1345" i="7" s="1"/>
  <c r="I1346" i="7"/>
  <c r="A1346" i="7" s="1"/>
  <c r="I1347" i="7"/>
  <c r="I1348" i="7"/>
  <c r="A1348" i="7" s="1"/>
  <c r="I1349" i="7"/>
  <c r="A1349" i="7" s="1"/>
  <c r="I1350" i="7"/>
  <c r="A1350" i="7" s="1"/>
  <c r="I1351" i="7"/>
  <c r="A1351" i="7" s="1"/>
  <c r="I1352" i="7"/>
  <c r="A1352" i="7" s="1"/>
  <c r="I1353" i="7"/>
  <c r="A1353" i="7" s="1"/>
  <c r="I1354" i="7"/>
  <c r="A1354" i="7" s="1"/>
  <c r="I1355" i="7"/>
  <c r="A1355" i="7" s="1"/>
  <c r="I1356" i="7"/>
  <c r="A1356" i="7" s="1"/>
  <c r="I1357" i="7"/>
  <c r="A1357" i="7" s="1"/>
  <c r="I1358" i="7"/>
  <c r="A1358" i="7" s="1"/>
  <c r="I1359" i="7"/>
  <c r="A1359" i="7" s="1"/>
  <c r="I1360" i="7"/>
  <c r="A1360" i="7" s="1"/>
  <c r="I1361" i="7"/>
  <c r="A1361" i="7" s="1"/>
  <c r="I1362" i="7"/>
  <c r="A1362" i="7" s="1"/>
  <c r="I1363" i="7"/>
  <c r="A1363" i="7" s="1"/>
  <c r="I1364" i="7"/>
  <c r="A1364" i="7" s="1"/>
  <c r="I1365" i="7"/>
  <c r="A1365" i="7" s="1"/>
  <c r="I1366" i="7"/>
  <c r="A1366" i="7" s="1"/>
  <c r="I1367" i="7"/>
  <c r="A1367" i="7" s="1"/>
  <c r="I1368" i="7"/>
  <c r="A1368" i="7" s="1"/>
  <c r="I1369" i="7"/>
  <c r="A1369" i="7" s="1"/>
  <c r="I1370" i="7"/>
  <c r="A1370" i="7" s="1"/>
  <c r="I1371" i="7"/>
  <c r="A1371" i="7" s="1"/>
  <c r="I1372" i="7"/>
  <c r="A1372" i="7" s="1"/>
  <c r="I1373" i="7"/>
  <c r="A1373" i="7" s="1"/>
  <c r="I1374" i="7"/>
  <c r="A1374" i="7" s="1"/>
  <c r="I1375" i="7"/>
  <c r="A1375" i="7" s="1"/>
  <c r="I1376" i="7"/>
  <c r="A1376" i="7" s="1"/>
  <c r="I1377" i="7"/>
  <c r="A1377" i="7" s="1"/>
  <c r="I1378" i="7"/>
  <c r="A1378" i="7" s="1"/>
  <c r="I1379" i="7"/>
  <c r="A1379" i="7" s="1"/>
  <c r="I1380" i="7"/>
  <c r="A1380" i="7" s="1"/>
  <c r="I1381" i="7"/>
  <c r="A1381" i="7" s="1"/>
  <c r="I1382" i="7"/>
  <c r="A1382" i="7" s="1"/>
  <c r="I1383" i="7"/>
  <c r="A1383" i="7" s="1"/>
  <c r="I1384" i="7"/>
  <c r="A1384" i="7" s="1"/>
  <c r="I1385" i="7"/>
  <c r="A1385" i="7" s="1"/>
  <c r="I1386" i="7"/>
  <c r="A1386" i="7" s="1"/>
  <c r="I1387" i="7"/>
  <c r="A1387" i="7" s="1"/>
  <c r="I1388" i="7"/>
  <c r="A1388" i="7" s="1"/>
  <c r="I1389" i="7"/>
  <c r="A1389" i="7" s="1"/>
  <c r="I1390" i="7"/>
  <c r="A1390" i="7" s="1"/>
  <c r="I1391" i="7"/>
  <c r="A1391" i="7" s="1"/>
  <c r="I1392" i="7"/>
  <c r="A1392" i="7" s="1"/>
  <c r="I1393" i="7"/>
  <c r="A1393" i="7" s="1"/>
  <c r="I1394" i="7"/>
  <c r="A1394" i="7" s="1"/>
  <c r="I1395" i="7"/>
  <c r="A1395" i="7" s="1"/>
  <c r="I1396" i="7"/>
  <c r="A1396" i="7" s="1"/>
  <c r="I1397" i="7"/>
  <c r="A1397" i="7" s="1"/>
  <c r="I1398" i="7"/>
  <c r="A1398" i="7" s="1"/>
  <c r="I1399" i="7"/>
  <c r="A1399" i="7" s="1"/>
  <c r="I1400" i="7"/>
  <c r="A1400" i="7" s="1"/>
  <c r="I1401" i="7"/>
  <c r="A1401" i="7" s="1"/>
  <c r="I1402" i="7"/>
  <c r="A1402" i="7" s="1"/>
  <c r="I1403" i="7"/>
  <c r="A1403" i="7" s="1"/>
  <c r="I1404" i="7"/>
  <c r="A1404" i="7" s="1"/>
  <c r="I1405" i="7"/>
  <c r="A1405" i="7" s="1"/>
  <c r="I1406" i="7"/>
  <c r="A1406" i="7" s="1"/>
  <c r="I1407" i="7"/>
  <c r="A1407" i="7" s="1"/>
  <c r="I1408" i="7"/>
  <c r="A1408" i="7" s="1"/>
  <c r="I1409" i="7"/>
  <c r="A1409" i="7" s="1"/>
  <c r="I1410" i="7"/>
  <c r="A1410" i="7" s="1"/>
  <c r="I1411" i="7"/>
  <c r="A1411" i="7" s="1"/>
  <c r="I1412" i="7"/>
  <c r="A1412" i="7" s="1"/>
  <c r="I1413" i="7"/>
  <c r="A1413" i="7" s="1"/>
  <c r="I1414" i="7"/>
  <c r="A1414" i="7" s="1"/>
  <c r="I1415" i="7"/>
  <c r="A1415" i="7" s="1"/>
  <c r="I1416" i="7"/>
  <c r="A1416" i="7" s="1"/>
  <c r="I1417" i="7"/>
  <c r="A1417" i="7" s="1"/>
  <c r="I1418" i="7"/>
  <c r="A1418" i="7" s="1"/>
  <c r="I1419" i="7"/>
  <c r="A1419" i="7" s="1"/>
  <c r="I1420" i="7"/>
  <c r="A1420" i="7" s="1"/>
  <c r="I1421" i="7"/>
  <c r="A1421" i="7" s="1"/>
  <c r="I1422" i="7"/>
  <c r="A1422" i="7" s="1"/>
  <c r="I1423" i="7"/>
  <c r="A1423" i="7" s="1"/>
  <c r="I1424" i="7"/>
  <c r="A1424" i="7" s="1"/>
  <c r="I1425" i="7"/>
  <c r="A1425" i="7" s="1"/>
  <c r="I1426" i="7"/>
  <c r="A1426" i="7" s="1"/>
  <c r="I1427" i="7"/>
  <c r="A1427" i="7" s="1"/>
  <c r="I1428" i="7"/>
  <c r="A1428" i="7" s="1"/>
  <c r="I1429" i="7"/>
  <c r="A1429" i="7" s="1"/>
  <c r="I1430" i="7"/>
  <c r="A1430" i="7" s="1"/>
  <c r="I1431" i="7"/>
  <c r="A1431" i="7" s="1"/>
  <c r="I1432" i="7"/>
  <c r="A1432" i="7" s="1"/>
  <c r="I1433" i="7"/>
  <c r="A1433" i="7" s="1"/>
  <c r="I1434" i="7"/>
  <c r="A1434" i="7" s="1"/>
  <c r="I1435" i="7"/>
  <c r="A1435" i="7" s="1"/>
  <c r="I1436" i="7"/>
  <c r="A1436" i="7" s="1"/>
  <c r="I1437" i="7"/>
  <c r="A1437" i="7" s="1"/>
  <c r="I1438" i="7"/>
  <c r="A1438" i="7" s="1"/>
  <c r="I1439" i="7"/>
  <c r="A1439" i="7" s="1"/>
  <c r="I1440" i="7"/>
  <c r="A1440" i="7" s="1"/>
  <c r="I1441" i="7"/>
  <c r="A1441" i="7" s="1"/>
  <c r="I1442" i="7"/>
  <c r="A1442" i="7" s="1"/>
  <c r="I1443" i="7"/>
  <c r="A1443" i="7" s="1"/>
  <c r="I1444" i="7"/>
  <c r="A1444" i="7" s="1"/>
  <c r="I1445" i="7"/>
  <c r="A1445" i="7" s="1"/>
  <c r="I1446" i="7"/>
  <c r="A1446" i="7" s="1"/>
  <c r="I1447" i="7"/>
  <c r="A1447" i="7" s="1"/>
  <c r="I1448" i="7"/>
  <c r="A1448" i="7" s="1"/>
  <c r="I1449" i="7"/>
  <c r="A1449" i="7" s="1"/>
  <c r="I1450" i="7"/>
  <c r="A1450" i="7" s="1"/>
  <c r="I1451" i="7"/>
  <c r="A1451" i="7" s="1"/>
  <c r="I1452" i="7"/>
  <c r="A1452" i="7" s="1"/>
  <c r="I1453" i="7"/>
  <c r="A1453" i="7" s="1"/>
  <c r="I1454" i="7"/>
  <c r="A1454" i="7" s="1"/>
  <c r="I1455" i="7"/>
  <c r="A1455" i="7" s="1"/>
  <c r="I1456" i="7"/>
  <c r="A1456" i="7" s="1"/>
  <c r="I1457" i="7"/>
  <c r="A1457" i="7" s="1"/>
  <c r="I1458" i="7"/>
  <c r="A1458" i="7" s="1"/>
  <c r="I1459" i="7"/>
  <c r="A1459" i="7" s="1"/>
  <c r="I1460" i="7"/>
  <c r="A1460" i="7" s="1"/>
  <c r="I1461" i="7"/>
  <c r="A1461" i="7" s="1"/>
  <c r="I1462" i="7"/>
  <c r="A1462" i="7" s="1"/>
  <c r="I1463" i="7"/>
  <c r="A1463" i="7" s="1"/>
  <c r="I1464" i="7"/>
  <c r="A1464" i="7" s="1"/>
  <c r="I1465" i="7"/>
  <c r="A1465" i="7" s="1"/>
  <c r="I1466" i="7"/>
  <c r="A1466" i="7" s="1"/>
  <c r="I1467" i="7"/>
  <c r="A1467" i="7" s="1"/>
  <c r="I1468" i="7"/>
  <c r="A1468" i="7" s="1"/>
  <c r="I1469" i="7"/>
  <c r="A1469" i="7" s="1"/>
  <c r="I1470" i="7"/>
  <c r="A1470" i="7" s="1"/>
  <c r="I1471" i="7"/>
  <c r="A1471" i="7" s="1"/>
  <c r="I1472" i="7"/>
  <c r="A1472" i="7" s="1"/>
  <c r="I1473" i="7"/>
  <c r="A1473" i="7" s="1"/>
  <c r="I1474" i="7"/>
  <c r="A1474" i="7" s="1"/>
  <c r="I1475" i="7"/>
  <c r="A1475" i="7" s="1"/>
  <c r="I1476" i="7"/>
  <c r="A1476" i="7" s="1"/>
  <c r="I1477" i="7"/>
  <c r="A1477" i="7" s="1"/>
  <c r="I1478" i="7"/>
  <c r="A1478" i="7" s="1"/>
  <c r="I1479" i="7"/>
  <c r="A1479" i="7" s="1"/>
  <c r="I1480" i="7"/>
  <c r="A1480" i="7" s="1"/>
  <c r="I1481" i="7"/>
  <c r="A1481" i="7" s="1"/>
  <c r="I1482" i="7"/>
  <c r="A1482" i="7" s="1"/>
  <c r="I1483" i="7"/>
  <c r="A1483" i="7" s="1"/>
  <c r="I1484" i="7"/>
  <c r="A1484" i="7" s="1"/>
  <c r="I1485" i="7"/>
  <c r="A1485" i="7" s="1"/>
  <c r="I1486" i="7"/>
  <c r="A1486" i="7" s="1"/>
  <c r="I1487" i="7"/>
  <c r="A1487" i="7" s="1"/>
  <c r="I1488" i="7"/>
  <c r="A1488" i="7" s="1"/>
  <c r="I1489" i="7"/>
  <c r="A1489" i="7" s="1"/>
  <c r="I1490" i="7"/>
  <c r="A1490" i="7" s="1"/>
  <c r="I1491" i="7"/>
  <c r="A1491" i="7" s="1"/>
  <c r="I1492" i="7"/>
  <c r="A1492" i="7" s="1"/>
  <c r="I1493" i="7"/>
  <c r="A1493" i="7" s="1"/>
  <c r="I1494" i="7"/>
  <c r="A1494" i="7" s="1"/>
  <c r="I1495" i="7"/>
  <c r="A1495" i="7" s="1"/>
  <c r="I1496" i="7"/>
  <c r="A1496" i="7" s="1"/>
  <c r="I1497" i="7"/>
  <c r="A1497" i="7" s="1"/>
  <c r="I1498" i="7"/>
  <c r="A1498" i="7" s="1"/>
  <c r="I1499" i="7"/>
  <c r="A1499" i="7" s="1"/>
  <c r="I1500" i="7"/>
  <c r="A1500" i="7" s="1"/>
  <c r="I1501" i="7"/>
  <c r="A1501" i="7" s="1"/>
  <c r="I1502" i="7"/>
  <c r="A1502" i="7" s="1"/>
  <c r="I1503" i="7"/>
  <c r="A1503" i="7" s="1"/>
  <c r="I1504" i="7"/>
  <c r="A1504" i="7" s="1"/>
  <c r="I1505" i="7"/>
  <c r="A1505" i="7" s="1"/>
  <c r="I1506" i="7"/>
  <c r="A1506" i="7" s="1"/>
  <c r="I1507" i="7"/>
  <c r="A1507" i="7" s="1"/>
  <c r="I1508" i="7"/>
  <c r="A1508" i="7" s="1"/>
  <c r="I1509" i="7"/>
  <c r="A1509" i="7" s="1"/>
  <c r="I1510" i="7"/>
  <c r="A1510" i="7" s="1"/>
  <c r="I1511" i="7"/>
  <c r="A1511" i="7" s="1"/>
  <c r="I1512" i="7"/>
  <c r="A1512" i="7" s="1"/>
  <c r="I1513" i="7"/>
  <c r="A1513" i="7" s="1"/>
  <c r="I1514" i="7"/>
  <c r="A1514" i="7" s="1"/>
  <c r="I1515" i="7"/>
  <c r="A1515" i="7" s="1"/>
  <c r="I1516" i="7"/>
  <c r="A1516" i="7" s="1"/>
  <c r="I1517" i="7"/>
  <c r="A1517" i="7" s="1"/>
  <c r="I1518" i="7"/>
  <c r="A1518" i="7" s="1"/>
  <c r="I1519" i="7"/>
  <c r="A1519" i="7" s="1"/>
  <c r="I1520" i="7"/>
  <c r="A1520" i="7" s="1"/>
  <c r="I1521" i="7"/>
  <c r="A1521" i="7" s="1"/>
  <c r="I1522" i="7"/>
  <c r="A1522" i="7" s="1"/>
  <c r="I1523" i="7"/>
  <c r="A1523" i="7" s="1"/>
  <c r="I1524" i="7"/>
  <c r="A1524" i="7" s="1"/>
  <c r="I1525" i="7"/>
  <c r="A1525" i="7" s="1"/>
  <c r="I1526" i="7"/>
  <c r="A1526" i="7" s="1"/>
  <c r="I1527" i="7"/>
  <c r="A1527" i="7" s="1"/>
  <c r="I1528" i="7"/>
  <c r="A1528" i="7" s="1"/>
  <c r="I1529" i="7"/>
  <c r="A1529" i="7" s="1"/>
  <c r="I2" i="7"/>
  <c r="A2" i="7" s="1"/>
  <c r="AG11" i="7"/>
  <c r="AG66" i="7"/>
  <c r="AF66" i="7"/>
  <c r="AG65" i="7"/>
  <c r="AF65" i="7"/>
  <c r="AG64" i="7"/>
  <c r="AF64" i="7"/>
  <c r="AG63" i="7"/>
  <c r="AF63" i="7"/>
  <c r="AG62" i="7"/>
  <c r="AF62" i="7"/>
  <c r="AG61" i="7"/>
  <c r="AF61" i="7"/>
  <c r="AG60" i="7"/>
  <c r="AF60" i="7"/>
  <c r="AG59" i="7"/>
  <c r="AF59" i="7"/>
  <c r="AG58" i="7"/>
  <c r="AF58" i="7"/>
  <c r="AG57" i="7"/>
  <c r="AF57" i="7"/>
  <c r="AG56" i="7"/>
  <c r="AF56" i="7"/>
  <c r="AG55" i="7"/>
  <c r="AF55" i="7"/>
  <c r="AG54" i="7"/>
  <c r="AF54" i="7"/>
  <c r="AG53" i="7"/>
  <c r="AF53" i="7"/>
  <c r="AG52" i="7"/>
  <c r="AF52" i="7"/>
  <c r="AG51" i="7"/>
  <c r="AF51" i="7"/>
  <c r="AG50" i="7"/>
  <c r="AF50" i="7"/>
  <c r="AF4" i="7"/>
  <c r="AG49" i="7"/>
  <c r="AF49" i="7"/>
  <c r="AG48" i="7"/>
  <c r="AF48" i="7"/>
  <c r="AG47" i="7"/>
  <c r="AF47" i="7"/>
  <c r="AG46" i="7"/>
  <c r="AF46" i="7"/>
  <c r="AG45" i="7"/>
  <c r="AF45" i="7"/>
  <c r="AG44" i="7"/>
  <c r="AF44" i="7"/>
  <c r="AG43" i="7"/>
  <c r="AF43" i="7"/>
  <c r="AG42" i="7"/>
  <c r="AF42" i="7"/>
  <c r="AG41" i="7"/>
  <c r="AF41" i="7"/>
  <c r="AG40" i="7"/>
  <c r="AF40" i="7"/>
  <c r="AG39" i="7"/>
  <c r="AF39" i="7"/>
  <c r="AG38" i="7"/>
  <c r="AF38" i="7"/>
  <c r="AG37" i="7"/>
  <c r="AF37" i="7"/>
  <c r="AG36" i="7"/>
  <c r="AF36" i="7"/>
  <c r="AG35" i="7"/>
  <c r="AF35" i="7"/>
  <c r="AG34" i="7"/>
  <c r="AF34" i="7"/>
  <c r="AG33" i="7"/>
  <c r="AF33" i="7"/>
  <c r="AG32" i="7"/>
  <c r="AF32" i="7"/>
  <c r="AG31" i="7"/>
  <c r="AF31" i="7"/>
  <c r="AG30" i="7"/>
  <c r="AF30" i="7"/>
  <c r="AG29" i="7"/>
  <c r="AF29" i="7"/>
  <c r="AG28" i="7"/>
  <c r="AF28" i="7"/>
  <c r="AG27" i="7"/>
  <c r="AF27" i="7"/>
  <c r="AG26" i="7"/>
  <c r="AF26" i="7"/>
  <c r="AG25" i="7"/>
  <c r="AF25" i="7"/>
  <c r="AG24" i="7"/>
  <c r="AF24" i="7"/>
  <c r="AG23" i="7"/>
  <c r="AF23" i="7"/>
  <c r="AG22" i="7"/>
  <c r="AF22" i="7"/>
  <c r="AG21" i="7"/>
  <c r="AF21" i="7"/>
  <c r="AG20" i="7"/>
  <c r="AF20" i="7"/>
  <c r="AG19" i="7"/>
  <c r="AF19" i="7"/>
  <c r="AG18" i="7"/>
  <c r="AF18" i="7"/>
  <c r="AG17" i="7"/>
  <c r="AF17" i="7"/>
  <c r="AG16" i="7"/>
  <c r="AF16" i="7"/>
  <c r="AG15" i="7"/>
  <c r="AF15" i="7"/>
  <c r="AG14" i="7"/>
  <c r="AF14" i="7"/>
  <c r="AG13" i="7"/>
  <c r="AF13" i="7"/>
  <c r="AG12" i="7"/>
  <c r="AF12" i="7"/>
  <c r="AF11" i="7"/>
  <c r="AG10" i="7"/>
  <c r="AF10" i="7"/>
  <c r="AG9" i="7"/>
  <c r="AF9" i="7"/>
  <c r="AG8" i="7"/>
  <c r="AF8" i="7"/>
  <c r="AG7" i="7"/>
  <c r="AF7" i="7"/>
  <c r="AG6" i="7"/>
  <c r="AF6" i="7"/>
  <c r="AG5" i="7"/>
  <c r="AF5" i="7"/>
  <c r="AG4" i="7"/>
  <c r="AG3" i="7"/>
  <c r="AF3" i="7"/>
  <c r="AG2" i="7"/>
  <c r="AF2" i="7"/>
  <c r="R50" i="4"/>
  <c r="R26" i="4"/>
  <c r="R2" i="4"/>
  <c r="X50" i="4"/>
  <c r="X25" i="4"/>
  <c r="X2" i="4"/>
  <c r="G12" i="6"/>
  <c r="G13" i="6"/>
  <c r="G14" i="6"/>
  <c r="G15" i="6"/>
  <c r="G11" i="6"/>
  <c r="R77" i="3"/>
  <c r="R52" i="3"/>
  <c r="R27" i="3"/>
  <c r="R2" i="3"/>
  <c r="X102" i="3"/>
  <c r="X77" i="3"/>
  <c r="X51" i="3"/>
  <c r="X27" i="3"/>
  <c r="X2" i="3"/>
  <c r="R218" i="2"/>
  <c r="R194" i="2"/>
  <c r="R170" i="2"/>
  <c r="R146" i="2"/>
  <c r="R122" i="2"/>
  <c r="R98" i="2"/>
  <c r="R74" i="2"/>
  <c r="R50" i="2"/>
  <c r="R26" i="2"/>
  <c r="R2" i="2"/>
  <c r="X218" i="2"/>
  <c r="X194" i="2"/>
  <c r="X170" i="2"/>
  <c r="X146" i="2"/>
  <c r="X122" i="2"/>
  <c r="X98" i="2"/>
  <c r="X74" i="2"/>
  <c r="X50" i="2"/>
  <c r="X26" i="2"/>
  <c r="X2" i="2"/>
  <c r="J1514" i="2"/>
  <c r="I1514" i="2"/>
  <c r="H1514" i="2"/>
  <c r="J1490" i="2"/>
  <c r="I1490" i="2"/>
  <c r="H1490" i="2"/>
  <c r="AC64" i="2" s="1"/>
  <c r="J1466" i="2"/>
  <c r="I1466" i="2"/>
  <c r="H1466" i="2"/>
  <c r="J1442" i="2"/>
  <c r="I1442" i="2"/>
  <c r="H1442" i="2"/>
  <c r="AC62" i="2" s="1"/>
  <c r="J1418" i="2"/>
  <c r="I1418" i="2"/>
  <c r="H1418" i="2"/>
  <c r="J1394" i="2"/>
  <c r="I1394" i="2"/>
  <c r="H1394" i="2"/>
  <c r="AC60" i="2" s="1"/>
  <c r="J1370" i="2"/>
  <c r="I1370" i="2"/>
  <c r="H1370" i="2"/>
  <c r="J1346" i="2"/>
  <c r="I1346" i="2"/>
  <c r="H1346" i="2"/>
  <c r="AC58" i="2" s="1"/>
  <c r="J1322" i="2"/>
  <c r="I1322" i="2"/>
  <c r="H1322" i="2"/>
  <c r="J1298" i="2"/>
  <c r="I1298" i="2"/>
  <c r="H1298" i="2"/>
  <c r="AC56" i="2" s="1"/>
  <c r="J1274" i="2"/>
  <c r="I1274" i="2"/>
  <c r="H1274" i="2"/>
  <c r="J1250" i="2"/>
  <c r="I1250" i="2"/>
  <c r="H1250" i="2"/>
  <c r="AC54" i="2" s="1"/>
  <c r="J1226" i="2"/>
  <c r="I1226" i="2"/>
  <c r="H1226" i="2"/>
  <c r="J1202" i="2"/>
  <c r="I1202" i="2"/>
  <c r="H1202" i="2"/>
  <c r="AC52" i="2" s="1"/>
  <c r="J1178" i="2"/>
  <c r="I1178" i="2"/>
  <c r="H1178" i="2"/>
  <c r="J1154" i="2"/>
  <c r="I1154" i="2"/>
  <c r="H1154" i="2"/>
  <c r="AC50" i="2" s="1"/>
  <c r="J1130" i="2"/>
  <c r="I1130" i="2"/>
  <c r="H1130" i="2"/>
  <c r="AC49" i="2" s="1"/>
  <c r="J1106" i="2"/>
  <c r="I1106" i="2"/>
  <c r="H1106" i="2"/>
  <c r="AC48" i="2" s="1"/>
  <c r="J1082" i="2"/>
  <c r="I1082" i="2"/>
  <c r="H1082" i="2"/>
  <c r="J1058" i="2"/>
  <c r="I1058" i="2"/>
  <c r="H1058" i="2"/>
  <c r="AC46" i="2" s="1"/>
  <c r="J1034" i="2"/>
  <c r="I1034" i="2"/>
  <c r="H1034" i="2"/>
  <c r="J1010" i="2"/>
  <c r="I1010" i="2"/>
  <c r="H1010" i="2"/>
  <c r="AC44" i="2" s="1"/>
  <c r="J986" i="2"/>
  <c r="I986" i="2"/>
  <c r="H986" i="2"/>
  <c r="AC43" i="2" s="1"/>
  <c r="J962" i="2"/>
  <c r="I962" i="2"/>
  <c r="H962" i="2"/>
  <c r="AC42" i="2" s="1"/>
  <c r="J938" i="2"/>
  <c r="I938" i="2"/>
  <c r="H938" i="2"/>
  <c r="J914" i="2"/>
  <c r="I914" i="2"/>
  <c r="H914" i="2"/>
  <c r="AC40" i="2" s="1"/>
  <c r="J890" i="2"/>
  <c r="I890" i="2"/>
  <c r="H890" i="2"/>
  <c r="J866" i="2"/>
  <c r="I866" i="2"/>
  <c r="H866" i="2"/>
  <c r="AC38" i="2" s="1"/>
  <c r="J842" i="2"/>
  <c r="I842" i="2"/>
  <c r="H842" i="2"/>
  <c r="J818" i="2"/>
  <c r="I818" i="2"/>
  <c r="H818" i="2"/>
  <c r="AC36" i="2" s="1"/>
  <c r="J794" i="2"/>
  <c r="I794" i="2"/>
  <c r="H794" i="2"/>
  <c r="J770" i="2"/>
  <c r="I770" i="2"/>
  <c r="H770" i="2"/>
  <c r="AC34" i="2" s="1"/>
  <c r="J746" i="2"/>
  <c r="I746" i="2"/>
  <c r="H746" i="2"/>
  <c r="J722" i="2"/>
  <c r="I722" i="2"/>
  <c r="H722" i="2"/>
  <c r="AC32" i="2" s="1"/>
  <c r="J698" i="2"/>
  <c r="I698" i="2"/>
  <c r="H698" i="2"/>
  <c r="J674" i="2"/>
  <c r="I674" i="2"/>
  <c r="H674" i="2"/>
  <c r="AC30" i="2" s="1"/>
  <c r="J650" i="2"/>
  <c r="I650" i="2"/>
  <c r="H650" i="2"/>
  <c r="AC29" i="2" s="1"/>
  <c r="J626" i="2"/>
  <c r="I626" i="2"/>
  <c r="H626" i="2"/>
  <c r="AC28" i="2" s="1"/>
  <c r="J602" i="2"/>
  <c r="I602" i="2"/>
  <c r="H602" i="2"/>
  <c r="J578" i="2"/>
  <c r="I578" i="2"/>
  <c r="H578" i="2"/>
  <c r="AC26" i="2" s="1"/>
  <c r="J554" i="2"/>
  <c r="I554" i="2"/>
  <c r="H554" i="2"/>
  <c r="J530" i="2"/>
  <c r="I530" i="2"/>
  <c r="H530" i="2"/>
  <c r="AC24" i="2" s="1"/>
  <c r="J506" i="2"/>
  <c r="I506" i="2"/>
  <c r="H506" i="2"/>
  <c r="J482" i="2"/>
  <c r="I482" i="2"/>
  <c r="H482" i="2"/>
  <c r="AC22" i="2" s="1"/>
  <c r="J458" i="2"/>
  <c r="I458" i="2"/>
  <c r="H458" i="2"/>
  <c r="J434" i="2"/>
  <c r="I434" i="2"/>
  <c r="H434" i="2"/>
  <c r="AC20" i="2" s="1"/>
  <c r="J410" i="2"/>
  <c r="I410" i="2"/>
  <c r="H410" i="2"/>
  <c r="J386" i="2"/>
  <c r="I386" i="2"/>
  <c r="H386" i="2"/>
  <c r="AC18" i="2" s="1"/>
  <c r="J362" i="2"/>
  <c r="I362" i="2"/>
  <c r="H362" i="2"/>
  <c r="J338" i="2"/>
  <c r="I338" i="2"/>
  <c r="H338" i="2"/>
  <c r="AC16" i="2" s="1"/>
  <c r="J314" i="2"/>
  <c r="I314" i="2"/>
  <c r="H314" i="2"/>
  <c r="J290" i="2"/>
  <c r="I290" i="2"/>
  <c r="H290" i="2"/>
  <c r="AC14" i="2" s="1"/>
  <c r="J266" i="2"/>
  <c r="I266" i="2"/>
  <c r="H266" i="2"/>
  <c r="J242" i="2"/>
  <c r="I242" i="2"/>
  <c r="H242" i="2"/>
  <c r="AC12" i="2" s="1"/>
  <c r="J218" i="2"/>
  <c r="I218" i="2"/>
  <c r="H218" i="2"/>
  <c r="J194" i="2"/>
  <c r="I194" i="2"/>
  <c r="H194" i="2"/>
  <c r="AC10" i="2" s="1"/>
  <c r="J170" i="2"/>
  <c r="I170" i="2"/>
  <c r="H170" i="2"/>
  <c r="J146" i="2"/>
  <c r="I146" i="2"/>
  <c r="H146" i="2"/>
  <c r="AC8" i="2" s="1"/>
  <c r="J122" i="2"/>
  <c r="I122" i="2"/>
  <c r="H122" i="2"/>
  <c r="J98" i="2"/>
  <c r="I98" i="2"/>
  <c r="H98" i="2"/>
  <c r="AC6" i="2" s="1"/>
  <c r="J74" i="2"/>
  <c r="I74" i="2"/>
  <c r="H74" i="2"/>
  <c r="J50" i="2"/>
  <c r="I50" i="2"/>
  <c r="H50" i="2"/>
  <c r="AC4" i="2" s="1"/>
  <c r="J26" i="2"/>
  <c r="I26" i="2"/>
  <c r="H26" i="2"/>
  <c r="J2" i="2"/>
  <c r="I2" i="2"/>
  <c r="J1552" i="3"/>
  <c r="I1552" i="3"/>
  <c r="H1552" i="3"/>
  <c r="J1527" i="3"/>
  <c r="I1527" i="3"/>
  <c r="H1527" i="3"/>
  <c r="AC63" i="3" s="1"/>
  <c r="J1502" i="3"/>
  <c r="I1502" i="3"/>
  <c r="H1502" i="3"/>
  <c r="J1477" i="3"/>
  <c r="I1477" i="3"/>
  <c r="H1477" i="3"/>
  <c r="AC61" i="3" s="1"/>
  <c r="J1452" i="3"/>
  <c r="I1452" i="3"/>
  <c r="H1452" i="3"/>
  <c r="J1427" i="3"/>
  <c r="I1427" i="3"/>
  <c r="H1427" i="3"/>
  <c r="AC59" i="3" s="1"/>
  <c r="J1402" i="3"/>
  <c r="I1402" i="3"/>
  <c r="H1402" i="3"/>
  <c r="J1377" i="3"/>
  <c r="I1377" i="3"/>
  <c r="H1377" i="3"/>
  <c r="AC57" i="3" s="1"/>
  <c r="J1352" i="3"/>
  <c r="I1352" i="3"/>
  <c r="H1352" i="3"/>
  <c r="J1327" i="3"/>
  <c r="I1327" i="3"/>
  <c r="H1327" i="3"/>
  <c r="AC55" i="3" s="1"/>
  <c r="J1302" i="3"/>
  <c r="I1302" i="3"/>
  <c r="H1302" i="3"/>
  <c r="J1277" i="3"/>
  <c r="I1277" i="3"/>
  <c r="H1277" i="3"/>
  <c r="AC53" i="3" s="1"/>
  <c r="J1252" i="3"/>
  <c r="I1252" i="3"/>
  <c r="H1252" i="3"/>
  <c r="J1227" i="3"/>
  <c r="I1227" i="3"/>
  <c r="H1227" i="3"/>
  <c r="AC51" i="3" s="1"/>
  <c r="J1202" i="3"/>
  <c r="I1202" i="3"/>
  <c r="H1202" i="3"/>
  <c r="J1177" i="3"/>
  <c r="I1177" i="3"/>
  <c r="H1177" i="3"/>
  <c r="AC49" i="3" s="1"/>
  <c r="J1152" i="3"/>
  <c r="I1152" i="3"/>
  <c r="H1152" i="3"/>
  <c r="J1127" i="3"/>
  <c r="I1127" i="3"/>
  <c r="H1127" i="3"/>
  <c r="AC47" i="3" s="1"/>
  <c r="J1102" i="3"/>
  <c r="I1102" i="3"/>
  <c r="H1102" i="3"/>
  <c r="J1077" i="3"/>
  <c r="I1077" i="3"/>
  <c r="H1077" i="3"/>
  <c r="AC45" i="3" s="1"/>
  <c r="J1052" i="3"/>
  <c r="I1052" i="3"/>
  <c r="H1052" i="3"/>
  <c r="J1027" i="3"/>
  <c r="I1027" i="3"/>
  <c r="H1027" i="3"/>
  <c r="AC43" i="3" s="1"/>
  <c r="J1002" i="3"/>
  <c r="I1002" i="3"/>
  <c r="H1002" i="3"/>
  <c r="J977" i="3"/>
  <c r="I977" i="3"/>
  <c r="H977" i="3"/>
  <c r="AC41" i="3" s="1"/>
  <c r="J952" i="3"/>
  <c r="I952" i="3"/>
  <c r="H952" i="3"/>
  <c r="J927" i="3"/>
  <c r="I927" i="3"/>
  <c r="H927" i="3"/>
  <c r="AC39" i="3" s="1"/>
  <c r="J902" i="3"/>
  <c r="I902" i="3"/>
  <c r="H902" i="3"/>
  <c r="J877" i="3"/>
  <c r="I877" i="3"/>
  <c r="H877" i="3"/>
  <c r="AC37" i="3" s="1"/>
  <c r="J852" i="3"/>
  <c r="I852" i="3"/>
  <c r="H852" i="3"/>
  <c r="J827" i="3"/>
  <c r="I827" i="3"/>
  <c r="H827" i="3"/>
  <c r="AC35" i="3" s="1"/>
  <c r="J802" i="3"/>
  <c r="I802" i="3"/>
  <c r="H802" i="3"/>
  <c r="J777" i="3"/>
  <c r="I777" i="3"/>
  <c r="H777" i="3"/>
  <c r="AC33" i="3" s="1"/>
  <c r="J752" i="3"/>
  <c r="I752" i="3"/>
  <c r="H752" i="3"/>
  <c r="J727" i="3"/>
  <c r="I727" i="3"/>
  <c r="H727" i="3"/>
  <c r="AC31" i="3" s="1"/>
  <c r="J702" i="3"/>
  <c r="I702" i="3"/>
  <c r="H702" i="3"/>
  <c r="J677" i="3"/>
  <c r="I677" i="3"/>
  <c r="H677" i="3"/>
  <c r="AC29" i="3" s="1"/>
  <c r="J652" i="3"/>
  <c r="I652" i="3"/>
  <c r="H652" i="3"/>
  <c r="J627" i="3"/>
  <c r="I627" i="3"/>
  <c r="H627" i="3"/>
  <c r="AC27" i="3" s="1"/>
  <c r="J602" i="3"/>
  <c r="I602" i="3"/>
  <c r="H602" i="3"/>
  <c r="J577" i="3"/>
  <c r="I577" i="3"/>
  <c r="H577" i="3"/>
  <c r="AC25" i="3" s="1"/>
  <c r="J552" i="3"/>
  <c r="I552" i="3"/>
  <c r="H552" i="3"/>
  <c r="J527" i="3"/>
  <c r="I527" i="3"/>
  <c r="H527" i="3"/>
  <c r="AC23" i="3" s="1"/>
  <c r="J502" i="3"/>
  <c r="I502" i="3"/>
  <c r="H502" i="3"/>
  <c r="J477" i="3"/>
  <c r="I477" i="3"/>
  <c r="H477" i="3"/>
  <c r="AC21" i="3" s="1"/>
  <c r="J452" i="3"/>
  <c r="I452" i="3"/>
  <c r="H452" i="3"/>
  <c r="J427" i="3"/>
  <c r="I427" i="3"/>
  <c r="H427" i="3"/>
  <c r="AC19" i="3" s="1"/>
  <c r="J402" i="3"/>
  <c r="I402" i="3"/>
  <c r="H402" i="3"/>
  <c r="J377" i="3"/>
  <c r="I377" i="3"/>
  <c r="H377" i="3"/>
  <c r="AC17" i="3" s="1"/>
  <c r="J352" i="3"/>
  <c r="I352" i="3"/>
  <c r="H352" i="3"/>
  <c r="J327" i="3"/>
  <c r="I327" i="3"/>
  <c r="H327" i="3"/>
  <c r="AC15" i="3" s="1"/>
  <c r="J302" i="3"/>
  <c r="I302" i="3"/>
  <c r="H302" i="3"/>
  <c r="J277" i="3"/>
  <c r="I277" i="3"/>
  <c r="H277" i="3"/>
  <c r="AC13" i="3" s="1"/>
  <c r="J252" i="3"/>
  <c r="I252" i="3"/>
  <c r="H252" i="3"/>
  <c r="J227" i="3"/>
  <c r="I227" i="3"/>
  <c r="H227" i="3"/>
  <c r="AC11" i="3" s="1"/>
  <c r="J202" i="3"/>
  <c r="I202" i="3"/>
  <c r="H202" i="3"/>
  <c r="J177" i="3"/>
  <c r="I177" i="3"/>
  <c r="H177" i="3"/>
  <c r="AC9" i="3" s="1"/>
  <c r="J152" i="3"/>
  <c r="I152" i="3"/>
  <c r="H152" i="3"/>
  <c r="J127" i="3"/>
  <c r="I127" i="3"/>
  <c r="H127" i="3"/>
  <c r="AC7" i="3" s="1"/>
  <c r="J102" i="3"/>
  <c r="I102" i="3"/>
  <c r="H102" i="3"/>
  <c r="J77" i="3"/>
  <c r="I77" i="3"/>
  <c r="H77" i="3"/>
  <c r="AC5" i="3" s="1"/>
  <c r="J52" i="3"/>
  <c r="I52" i="3"/>
  <c r="H52" i="3"/>
  <c r="J27" i="3"/>
  <c r="I27" i="3"/>
  <c r="H27" i="3"/>
  <c r="AC3" i="3" s="1"/>
  <c r="J2" i="3"/>
  <c r="I2" i="3"/>
  <c r="N1274" i="4"/>
  <c r="N1250" i="4"/>
  <c r="N1226" i="4"/>
  <c r="N1202" i="4"/>
  <c r="N1179" i="4"/>
  <c r="N1156" i="4"/>
  <c r="N1133" i="4"/>
  <c r="N1110" i="4"/>
  <c r="N1087" i="4"/>
  <c r="N1064" i="4"/>
  <c r="N1041" i="4"/>
  <c r="N1018" i="4"/>
  <c r="N995" i="4"/>
  <c r="N972" i="4"/>
  <c r="N949" i="4"/>
  <c r="N926" i="4"/>
  <c r="N903" i="4"/>
  <c r="N880" i="4"/>
  <c r="N857" i="4"/>
  <c r="N834" i="4"/>
  <c r="N810" i="4"/>
  <c r="N787" i="4"/>
  <c r="N764" i="4"/>
  <c r="N741" i="4"/>
  <c r="N718" i="4"/>
  <c r="N695" i="4"/>
  <c r="N672" i="4"/>
  <c r="N649" i="4"/>
  <c r="N626" i="4"/>
  <c r="AD28" i="4" s="1"/>
  <c r="N602" i="4"/>
  <c r="AD27" i="4" s="1"/>
  <c r="N578" i="4"/>
  <c r="AD26" i="4" s="1"/>
  <c r="N554" i="4"/>
  <c r="N530" i="4"/>
  <c r="AD24" i="4" s="1"/>
  <c r="N506" i="4"/>
  <c r="N482" i="4"/>
  <c r="AD22" i="4" s="1"/>
  <c r="N458" i="4"/>
  <c r="AD21" i="4" s="1"/>
  <c r="N434" i="4"/>
  <c r="AD20" i="4" s="1"/>
  <c r="N410" i="4"/>
  <c r="N386" i="4"/>
  <c r="N362" i="4"/>
  <c r="AD17" i="4" s="1"/>
  <c r="N338" i="4"/>
  <c r="AD16" i="4" s="1"/>
  <c r="N314" i="4"/>
  <c r="AD15" i="4" s="1"/>
  <c r="N290" i="4"/>
  <c r="AD14" i="4" s="1"/>
  <c r="N266" i="4"/>
  <c r="N242" i="4"/>
  <c r="N218" i="4"/>
  <c r="AD11" i="4" s="1"/>
  <c r="N194" i="4"/>
  <c r="AD10" i="4" s="1"/>
  <c r="N170" i="4"/>
  <c r="AD9" i="4" s="1"/>
  <c r="N146" i="4"/>
  <c r="AD8" i="4" s="1"/>
  <c r="N122" i="4"/>
  <c r="AD12" i="4"/>
  <c r="AD23" i="4"/>
  <c r="N98" i="4"/>
  <c r="AD6" i="4" s="1"/>
  <c r="N74" i="4"/>
  <c r="AD5" i="4" s="1"/>
  <c r="N50" i="4"/>
  <c r="AD4" i="4" s="1"/>
  <c r="N26" i="4"/>
  <c r="J1274" i="4"/>
  <c r="I1274" i="4"/>
  <c r="H1274" i="4"/>
  <c r="J1250" i="4"/>
  <c r="I1250" i="4"/>
  <c r="H1250" i="4"/>
  <c r="J1226" i="4"/>
  <c r="I1226" i="4"/>
  <c r="H1226" i="4"/>
  <c r="J1202" i="4"/>
  <c r="I1202" i="4"/>
  <c r="H1202" i="4"/>
  <c r="J1179" i="4"/>
  <c r="I1179" i="4"/>
  <c r="H1179" i="4"/>
  <c r="J1156" i="4"/>
  <c r="I1156" i="4"/>
  <c r="H1156" i="4"/>
  <c r="J1133" i="4"/>
  <c r="I1133" i="4"/>
  <c r="H1133" i="4"/>
  <c r="J1110" i="4"/>
  <c r="I1110" i="4"/>
  <c r="H1110" i="4"/>
  <c r="J1087" i="4"/>
  <c r="I1087" i="4"/>
  <c r="H1087" i="4"/>
  <c r="J1064" i="4"/>
  <c r="I1064" i="4"/>
  <c r="H1064" i="4"/>
  <c r="J1041" i="4"/>
  <c r="I1041" i="4"/>
  <c r="H1041" i="4"/>
  <c r="J1018" i="4"/>
  <c r="I1018" i="4"/>
  <c r="H1018" i="4"/>
  <c r="J995" i="4"/>
  <c r="I995" i="4"/>
  <c r="H995" i="4"/>
  <c r="J972" i="4"/>
  <c r="I972" i="4"/>
  <c r="H972" i="4"/>
  <c r="J949" i="4"/>
  <c r="I949" i="4"/>
  <c r="H949" i="4"/>
  <c r="J926" i="4"/>
  <c r="I926" i="4"/>
  <c r="H926" i="4"/>
  <c r="J903" i="4"/>
  <c r="I903" i="4"/>
  <c r="H903" i="4"/>
  <c r="J880" i="4"/>
  <c r="I880" i="4"/>
  <c r="H880" i="4"/>
  <c r="J857" i="4"/>
  <c r="I857" i="4"/>
  <c r="H857" i="4"/>
  <c r="J834" i="4"/>
  <c r="I834" i="4"/>
  <c r="H834" i="4"/>
  <c r="J810" i="4"/>
  <c r="I810" i="4"/>
  <c r="H810" i="4"/>
  <c r="J787" i="4"/>
  <c r="I787" i="4"/>
  <c r="H787" i="4"/>
  <c r="J764" i="4"/>
  <c r="I764" i="4"/>
  <c r="H764" i="4"/>
  <c r="J741" i="4"/>
  <c r="I741" i="4"/>
  <c r="H741" i="4"/>
  <c r="J718" i="4"/>
  <c r="I718" i="4"/>
  <c r="H718" i="4"/>
  <c r="J695" i="4"/>
  <c r="I695" i="4"/>
  <c r="H695" i="4"/>
  <c r="J672" i="4"/>
  <c r="I672" i="4"/>
  <c r="H672" i="4"/>
  <c r="J649" i="4"/>
  <c r="I649" i="4"/>
  <c r="H649" i="4"/>
  <c r="J626" i="4"/>
  <c r="I626" i="4"/>
  <c r="H626" i="4"/>
  <c r="AC28" i="4" s="1"/>
  <c r="J602" i="4"/>
  <c r="I602" i="4"/>
  <c r="H602" i="4"/>
  <c r="AC27" i="4" s="1"/>
  <c r="J578" i="4"/>
  <c r="I578" i="4"/>
  <c r="H578" i="4"/>
  <c r="AC26" i="4" s="1"/>
  <c r="J554" i="4"/>
  <c r="I554" i="4"/>
  <c r="H554" i="4"/>
  <c r="AC25" i="4" s="1"/>
  <c r="J530" i="4"/>
  <c r="I530" i="4"/>
  <c r="H530" i="4"/>
  <c r="AC24" i="4" s="1"/>
  <c r="J506" i="4"/>
  <c r="I506" i="4"/>
  <c r="H506" i="4"/>
  <c r="AC23" i="4" s="1"/>
  <c r="J482" i="4"/>
  <c r="I482" i="4"/>
  <c r="H482" i="4"/>
  <c r="AC22" i="4" s="1"/>
  <c r="J458" i="4"/>
  <c r="I458" i="4"/>
  <c r="H458" i="4"/>
  <c r="AC21" i="4" s="1"/>
  <c r="J434" i="4"/>
  <c r="I434" i="4"/>
  <c r="H434" i="4"/>
  <c r="AC20" i="4" s="1"/>
  <c r="J410" i="4"/>
  <c r="I410" i="4"/>
  <c r="H410" i="4"/>
  <c r="J386" i="4"/>
  <c r="I386" i="4"/>
  <c r="H386" i="4"/>
  <c r="AC18" i="4" s="1"/>
  <c r="J362" i="4"/>
  <c r="I362" i="4"/>
  <c r="H362" i="4"/>
  <c r="AC17" i="4" s="1"/>
  <c r="J338" i="4"/>
  <c r="I338" i="4"/>
  <c r="H338" i="4"/>
  <c r="AC16" i="4" s="1"/>
  <c r="J314" i="4"/>
  <c r="I314" i="4"/>
  <c r="H314" i="4"/>
  <c r="AC15" i="4" s="1"/>
  <c r="J290" i="4"/>
  <c r="I290" i="4"/>
  <c r="H290" i="4"/>
  <c r="AC14" i="4" s="1"/>
  <c r="J266" i="4"/>
  <c r="I266" i="4"/>
  <c r="H266" i="4"/>
  <c r="AC13" i="4" s="1"/>
  <c r="J242" i="4"/>
  <c r="I242" i="4"/>
  <c r="H242" i="4"/>
  <c r="AC12" i="4" s="1"/>
  <c r="J218" i="4"/>
  <c r="I218" i="4"/>
  <c r="H218" i="4"/>
  <c r="AC11" i="4" s="1"/>
  <c r="J194" i="4"/>
  <c r="I194" i="4"/>
  <c r="H194" i="4"/>
  <c r="AC10" i="4" s="1"/>
  <c r="J170" i="4"/>
  <c r="I170" i="4"/>
  <c r="H170" i="4"/>
  <c r="AC9" i="4" s="1"/>
  <c r="J146" i="4"/>
  <c r="I146" i="4"/>
  <c r="H146" i="4"/>
  <c r="AC8" i="4" s="1"/>
  <c r="J122" i="4"/>
  <c r="I122" i="4"/>
  <c r="H122" i="4"/>
  <c r="AC7" i="4" s="1"/>
  <c r="J98" i="4"/>
  <c r="I98" i="4"/>
  <c r="H98" i="4"/>
  <c r="AC6" i="4" s="1"/>
  <c r="J74" i="4"/>
  <c r="I74" i="4"/>
  <c r="H74" i="4"/>
  <c r="AC5" i="4" s="1"/>
  <c r="J50" i="4"/>
  <c r="I50" i="4"/>
  <c r="H50" i="4"/>
  <c r="AC4" i="4" s="1"/>
  <c r="J26" i="4"/>
  <c r="I26" i="4"/>
  <c r="H26" i="4"/>
  <c r="AC3" i="4" s="1"/>
  <c r="J2" i="4"/>
  <c r="I2" i="4"/>
  <c r="AD25" i="4"/>
  <c r="AD19" i="4"/>
  <c r="AC19" i="4"/>
  <c r="AD18" i="4"/>
  <c r="AD13" i="4"/>
  <c r="AD7" i="4"/>
  <c r="AD3" i="4"/>
  <c r="N2" i="4"/>
  <c r="H2" i="4"/>
  <c r="AC2" i="4" s="1"/>
  <c r="AD66" i="2"/>
  <c r="AC66" i="2"/>
  <c r="N1514" i="2"/>
  <c r="AD65" i="2" s="1"/>
  <c r="AC65" i="2"/>
  <c r="N1490" i="2"/>
  <c r="AD64" i="2" s="1"/>
  <c r="N1466" i="2"/>
  <c r="AD63" i="2" s="1"/>
  <c r="AC63" i="2"/>
  <c r="N1442" i="2"/>
  <c r="AD62" i="2" s="1"/>
  <c r="N1418" i="2"/>
  <c r="AD61" i="2" s="1"/>
  <c r="AC61" i="2"/>
  <c r="N1394" i="2"/>
  <c r="AD60" i="2" s="1"/>
  <c r="N1370" i="2"/>
  <c r="AD59" i="2" s="1"/>
  <c r="AC59" i="2"/>
  <c r="N1346" i="2"/>
  <c r="AD58" i="2" s="1"/>
  <c r="N1322" i="2"/>
  <c r="AD57" i="2" s="1"/>
  <c r="AC57" i="2"/>
  <c r="N1298" i="2"/>
  <c r="AD56" i="2" s="1"/>
  <c r="N1274" i="2"/>
  <c r="AD55" i="2" s="1"/>
  <c r="AC55" i="2"/>
  <c r="N1250" i="2"/>
  <c r="AD54" i="2" s="1"/>
  <c r="N1226" i="2"/>
  <c r="AD53" i="2" s="1"/>
  <c r="AC53" i="2"/>
  <c r="N1202" i="2"/>
  <c r="AD52" i="2" s="1"/>
  <c r="N1178" i="2"/>
  <c r="AD51" i="2" s="1"/>
  <c r="AC51" i="2"/>
  <c r="N1154" i="2"/>
  <c r="AD50" i="2" s="1"/>
  <c r="N1130" i="2"/>
  <c r="AD49" i="2" s="1"/>
  <c r="N1106" i="2"/>
  <c r="AD48" i="2" s="1"/>
  <c r="N1082" i="2"/>
  <c r="AD47" i="2" s="1"/>
  <c r="AC47" i="2"/>
  <c r="N1058" i="2"/>
  <c r="AD46" i="2" s="1"/>
  <c r="N1034" i="2"/>
  <c r="AD45" i="2" s="1"/>
  <c r="AC45" i="2"/>
  <c r="N1010" i="2"/>
  <c r="AD44" i="2" s="1"/>
  <c r="N986" i="2"/>
  <c r="AD43" i="2" s="1"/>
  <c r="N962" i="2"/>
  <c r="AD42" i="2" s="1"/>
  <c r="N938" i="2"/>
  <c r="AD41" i="2" s="1"/>
  <c r="AC41" i="2"/>
  <c r="N914" i="2"/>
  <c r="AD40" i="2" s="1"/>
  <c r="N890" i="2"/>
  <c r="AD39" i="2" s="1"/>
  <c r="AC39" i="2"/>
  <c r="N866" i="2"/>
  <c r="AD38" i="2" s="1"/>
  <c r="N842" i="2"/>
  <c r="AD37" i="2" s="1"/>
  <c r="AC37" i="2"/>
  <c r="N818" i="2"/>
  <c r="AD36" i="2" s="1"/>
  <c r="N794" i="2"/>
  <c r="AD35" i="2" s="1"/>
  <c r="AC35" i="2"/>
  <c r="N770" i="2"/>
  <c r="AD34" i="2" s="1"/>
  <c r="N746" i="2"/>
  <c r="AD33" i="2" s="1"/>
  <c r="AC33" i="2"/>
  <c r="N722" i="2"/>
  <c r="AD32" i="2" s="1"/>
  <c r="N698" i="2"/>
  <c r="AD31" i="2" s="1"/>
  <c r="AC31" i="2"/>
  <c r="N674" i="2"/>
  <c r="AD30" i="2" s="1"/>
  <c r="N650" i="2"/>
  <c r="AD29" i="2" s="1"/>
  <c r="N626" i="2"/>
  <c r="AD28" i="2" s="1"/>
  <c r="N602" i="2"/>
  <c r="AD27" i="2" s="1"/>
  <c r="AC27" i="2"/>
  <c r="N578" i="2"/>
  <c r="AD26" i="2" s="1"/>
  <c r="N554" i="2"/>
  <c r="AD25" i="2" s="1"/>
  <c r="AC25" i="2"/>
  <c r="N530" i="2"/>
  <c r="AD24" i="2" s="1"/>
  <c r="N506" i="2"/>
  <c r="AD23" i="2" s="1"/>
  <c r="AC23" i="2"/>
  <c r="N482" i="2"/>
  <c r="AD22" i="2" s="1"/>
  <c r="N458" i="2"/>
  <c r="AD21" i="2" s="1"/>
  <c r="AC21" i="2"/>
  <c r="N434" i="2"/>
  <c r="AD20" i="2" s="1"/>
  <c r="N410" i="2"/>
  <c r="AD19" i="2" s="1"/>
  <c r="AC19" i="2"/>
  <c r="N386" i="2"/>
  <c r="AD18" i="2" s="1"/>
  <c r="N362" i="2"/>
  <c r="AD17" i="2" s="1"/>
  <c r="AC17" i="2"/>
  <c r="N338" i="2"/>
  <c r="AD16" i="2" s="1"/>
  <c r="N314" i="2"/>
  <c r="AD15" i="2" s="1"/>
  <c r="AC15" i="2"/>
  <c r="N290" i="2"/>
  <c r="AD14" i="2" s="1"/>
  <c r="N266" i="2"/>
  <c r="AD13" i="2" s="1"/>
  <c r="AC13" i="2"/>
  <c r="N242" i="2"/>
  <c r="AD12" i="2" s="1"/>
  <c r="N218" i="2"/>
  <c r="AD11" i="2" s="1"/>
  <c r="AC11" i="2"/>
  <c r="N194" i="2"/>
  <c r="AD10" i="2" s="1"/>
  <c r="N170" i="2"/>
  <c r="AD9" i="2" s="1"/>
  <c r="AC9" i="2"/>
  <c r="N146" i="2"/>
  <c r="AD8" i="2" s="1"/>
  <c r="N122" i="2"/>
  <c r="AD7" i="2" s="1"/>
  <c r="AC7" i="2"/>
  <c r="N98" i="2"/>
  <c r="AD6" i="2" s="1"/>
  <c r="N74" i="2"/>
  <c r="AD5" i="2" s="1"/>
  <c r="AC5" i="2"/>
  <c r="N50" i="2"/>
  <c r="AD4" i="2" s="1"/>
  <c r="N26" i="2"/>
  <c r="AD3" i="2" s="1"/>
  <c r="AC3" i="2"/>
  <c r="N2" i="2"/>
  <c r="AD2" i="2" s="1"/>
  <c r="H2" i="2"/>
  <c r="AC2" i="2" s="1"/>
  <c r="N1698" i="3"/>
  <c r="H1698" i="3"/>
  <c r="N1674" i="3"/>
  <c r="H1674" i="3"/>
  <c r="N1650" i="3"/>
  <c r="H1650" i="3"/>
  <c r="N1626" i="3"/>
  <c r="H1626" i="3"/>
  <c r="N1602" i="3"/>
  <c r="AD66" i="3" s="1"/>
  <c r="H1602" i="3"/>
  <c r="AC66" i="3" s="1"/>
  <c r="N1577" i="3"/>
  <c r="AD65" i="3" s="1"/>
  <c r="H1577" i="3"/>
  <c r="AC65" i="3" s="1"/>
  <c r="N1552" i="3"/>
  <c r="AD64" i="3" s="1"/>
  <c r="N1527" i="3"/>
  <c r="AD63" i="3" s="1"/>
  <c r="N1502" i="3"/>
  <c r="AD62" i="3" s="1"/>
  <c r="N1477" i="3"/>
  <c r="AD61" i="3" s="1"/>
  <c r="N1452" i="3"/>
  <c r="AD60" i="3" s="1"/>
  <c r="N1427" i="3"/>
  <c r="AD59" i="3" s="1"/>
  <c r="N1402" i="3"/>
  <c r="AD58" i="3" s="1"/>
  <c r="N1377" i="3"/>
  <c r="AD57" i="3" s="1"/>
  <c r="N1352" i="3"/>
  <c r="AD56" i="3" s="1"/>
  <c r="AC56" i="3"/>
  <c r="N1327" i="3"/>
  <c r="AD55" i="3" s="1"/>
  <c r="N1302" i="3"/>
  <c r="AD54" i="3" s="1"/>
  <c r="N1277" i="3"/>
  <c r="AD53" i="3" s="1"/>
  <c r="N1252" i="3"/>
  <c r="AD52" i="3" s="1"/>
  <c r="N1227" i="3"/>
  <c r="AD51" i="3" s="1"/>
  <c r="N1202" i="3"/>
  <c r="AD50" i="3" s="1"/>
  <c r="AC50" i="3"/>
  <c r="N1177" i="3"/>
  <c r="AD49" i="3" s="1"/>
  <c r="N1152" i="3"/>
  <c r="AD48" i="3" s="1"/>
  <c r="N1127" i="3"/>
  <c r="AD47" i="3" s="1"/>
  <c r="N1102" i="3"/>
  <c r="AD46" i="3" s="1"/>
  <c r="N1077" i="3"/>
  <c r="AD45" i="3" s="1"/>
  <c r="N1052" i="3"/>
  <c r="AD44" i="3" s="1"/>
  <c r="AC44" i="3"/>
  <c r="N1027" i="3"/>
  <c r="AD43" i="3" s="1"/>
  <c r="N1002" i="3"/>
  <c r="AD42" i="3" s="1"/>
  <c r="N977" i="3"/>
  <c r="AD41" i="3" s="1"/>
  <c r="N952" i="3"/>
  <c r="AD40" i="3" s="1"/>
  <c r="N927" i="3"/>
  <c r="AD39" i="3" s="1"/>
  <c r="N902" i="3"/>
  <c r="AD38" i="3" s="1"/>
  <c r="AC38" i="3"/>
  <c r="N877" i="3"/>
  <c r="AD37" i="3" s="1"/>
  <c r="N852" i="3"/>
  <c r="AD36" i="3" s="1"/>
  <c r="N827" i="3"/>
  <c r="AD35" i="3" s="1"/>
  <c r="N802" i="3"/>
  <c r="AD34" i="3" s="1"/>
  <c r="N777" i="3"/>
  <c r="AD33" i="3" s="1"/>
  <c r="N752" i="3"/>
  <c r="AD32" i="3" s="1"/>
  <c r="AC32" i="3"/>
  <c r="N727" i="3"/>
  <c r="AD31" i="3" s="1"/>
  <c r="N702" i="3"/>
  <c r="AD30" i="3" s="1"/>
  <c r="N677" i="3"/>
  <c r="AD29" i="3" s="1"/>
  <c r="N652" i="3"/>
  <c r="AD28" i="3" s="1"/>
  <c r="N627" i="3"/>
  <c r="AD27" i="3" s="1"/>
  <c r="N602" i="3"/>
  <c r="AD26" i="3" s="1"/>
  <c r="AC26" i="3"/>
  <c r="N577" i="3"/>
  <c r="AD25" i="3" s="1"/>
  <c r="N552" i="3"/>
  <c r="AD24" i="3" s="1"/>
  <c r="N527" i="3"/>
  <c r="AD23" i="3" s="1"/>
  <c r="N502" i="3"/>
  <c r="AD22" i="3" s="1"/>
  <c r="N477" i="3"/>
  <c r="AD21" i="3" s="1"/>
  <c r="N452" i="3"/>
  <c r="AD20" i="3" s="1"/>
  <c r="AC20" i="3"/>
  <c r="N427" i="3"/>
  <c r="AD19" i="3" s="1"/>
  <c r="N402" i="3"/>
  <c r="AD18" i="3" s="1"/>
  <c r="N377" i="3"/>
  <c r="AD17" i="3" s="1"/>
  <c r="N352" i="3"/>
  <c r="AD16" i="3" s="1"/>
  <c r="N327" i="3"/>
  <c r="AD15" i="3" s="1"/>
  <c r="N302" i="3"/>
  <c r="AD14" i="3" s="1"/>
  <c r="N277" i="3"/>
  <c r="AD13" i="3" s="1"/>
  <c r="N252" i="3"/>
  <c r="AD12" i="3" s="1"/>
  <c r="N227" i="3"/>
  <c r="AD11" i="3" s="1"/>
  <c r="N202" i="3"/>
  <c r="AD10" i="3" s="1"/>
  <c r="N177" i="3"/>
  <c r="AD9" i="3" s="1"/>
  <c r="N152" i="3"/>
  <c r="AD8" i="3" s="1"/>
  <c r="N127" i="3"/>
  <c r="AD7" i="3" s="1"/>
  <c r="N102" i="3"/>
  <c r="AD6" i="3" s="1"/>
  <c r="N77" i="3"/>
  <c r="AD5" i="3" s="1"/>
  <c r="N52" i="3"/>
  <c r="AD4" i="3" s="1"/>
  <c r="N27" i="3"/>
  <c r="AD3" i="3" s="1"/>
  <c r="N2" i="3"/>
  <c r="AD2" i="3" s="1"/>
  <c r="H2" i="3"/>
  <c r="AC2" i="3" s="1"/>
  <c r="AD2" i="4"/>
  <c r="AC22" i="3"/>
  <c r="AC24" i="3"/>
  <c r="AC28" i="3"/>
  <c r="AC30" i="3"/>
  <c r="AC34" i="3"/>
  <c r="AC36" i="3"/>
  <c r="AC40" i="3"/>
  <c r="AC42" i="3"/>
  <c r="AC46" i="3"/>
  <c r="AC48" i="3"/>
  <c r="AC52" i="3"/>
  <c r="AC54" i="3"/>
  <c r="AC58" i="3"/>
  <c r="AC60" i="3"/>
  <c r="AC62" i="3"/>
  <c r="AC64" i="3"/>
  <c r="AC4" i="3"/>
  <c r="AC6" i="3"/>
  <c r="AC8" i="3"/>
  <c r="AC10" i="3"/>
  <c r="AC12" i="3"/>
  <c r="AC14" i="3"/>
  <c r="AC16" i="3"/>
  <c r="AC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tc={C3A09DB2-77B7-4927-B0B9-04F100F79C27}</author>
    <author>tc={05E066E3-470E-4F29-8AFC-A15031215AC5}</author>
    <author>tc={9F1B6299-DEC8-42E7-89B5-4A9842D41997}</author>
    <author>tc={77A8873D-7CCC-484B-B0C6-7214975371B4}</author>
  </authors>
  <commentList>
    <comment ref="A1" authorId="0" shapeId="0" xr:uid="{C3A09DB2-77B7-4927-B0B9-04F100F79C27}">
      <text>
        <t>[Threaded comment]
Your version of Excel allows you to read this threaded comment; however, any edits to it will get removed if the file is opened in a newer version of Excel. Learn more: https://go.microsoft.com/fwlink/?linkid=870924
Comment:
    True if cell should be copied to Value sheet, False otherwise</t>
      </text>
    </comment>
    <comment ref="D1" authorId="1" shapeId="0" xr:uid="{05E066E3-470E-4F29-8AFC-A15031215AC5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placeholder with 0 values until we figure out how to approximate day length</t>
      </text>
    </comment>
    <comment ref="K1" authorId="2" shapeId="0" xr:uid="{9F1B6299-DEC8-42E7-89B5-4A9842D41997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a placeholder for the script to run. Both parameters are not needed so setting values to zero is fine</t>
      </text>
    </comment>
    <comment ref="N1" authorId="3" shapeId="0" xr:uid="{77A8873D-7CCC-484B-B0C6-7214975371B4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a placeholder for the script to run. Both parameters are not needed  so setting values to zero is fine</t>
      </text>
    </comment>
  </commentList>
</comments>
</file>

<file path=xl/sharedStrings.xml><?xml version="1.0" encoding="utf-8"?>
<sst xmlns="http://schemas.openxmlformats.org/spreadsheetml/2006/main" count="668" uniqueCount="215">
  <si>
    <t>Experimental stage</t>
  </si>
  <si>
    <t>Rep.</t>
  </si>
  <si>
    <t>Summer    2006</t>
  </si>
  <si>
    <t>Winter</t>
  </si>
  <si>
    <t>Spring</t>
  </si>
  <si>
    <t>Slurry application – Day 0</t>
  </si>
  <si>
    <r>
      <t>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May</t>
    </r>
  </si>
  <si>
    <r>
      <t>29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Oct</t>
    </r>
  </si>
  <si>
    <r>
      <t>17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</t>
    </r>
  </si>
  <si>
    <r>
      <t>2</t>
    </r>
    <r>
      <rPr>
        <vertAlign val="superscript"/>
        <sz val="12"/>
        <color theme="1"/>
        <rFont val="Times New Roman"/>
        <family val="1"/>
      </rPr>
      <t>nd</t>
    </r>
    <r>
      <rPr>
        <sz val="12"/>
        <color theme="1"/>
        <rFont val="Times New Roman"/>
        <family val="1"/>
      </rPr>
      <t xml:space="preserve"> May</t>
    </r>
  </si>
  <si>
    <r>
      <t>18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</t>
    </r>
  </si>
  <si>
    <r>
      <t>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May</t>
    </r>
  </si>
  <si>
    <r>
      <t>30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Oct</t>
    </r>
  </si>
  <si>
    <r>
      <t>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May</t>
    </r>
  </si>
  <si>
    <r>
      <t>31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Oct</t>
    </r>
  </si>
  <si>
    <r>
      <t>19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</t>
    </r>
  </si>
  <si>
    <r>
      <t>10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May</t>
    </r>
  </si>
  <si>
    <r>
      <t>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Nov</t>
    </r>
  </si>
  <si>
    <t>Rainfall simulation – Day 2</t>
  </si>
  <si>
    <r>
      <t>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 xml:space="preserve"> May</t>
    </r>
  </si>
  <si>
    <r>
      <t>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May</t>
    </r>
  </si>
  <si>
    <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</t>
    </r>
  </si>
  <si>
    <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May</t>
    </r>
  </si>
  <si>
    <t>20rh Mar</t>
  </si>
  <si>
    <r>
      <t>2</t>
    </r>
    <r>
      <rPr>
        <vertAlign val="superscript"/>
        <sz val="12"/>
        <color theme="1"/>
        <rFont val="Times New Roman"/>
        <family val="1"/>
      </rPr>
      <t>nd</t>
    </r>
    <r>
      <rPr>
        <sz val="12"/>
        <color theme="1"/>
        <rFont val="Times New Roman"/>
        <family val="1"/>
      </rPr>
      <t xml:space="preserve"> Nov</t>
    </r>
  </si>
  <si>
    <r>
      <t>21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Mar</t>
    </r>
  </si>
  <si>
    <r>
      <t>12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May</t>
    </r>
  </si>
  <si>
    <r>
      <t>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 xml:space="preserve"> Nov</t>
    </r>
  </si>
  <si>
    <t>Rainfall simulation – Day 9#</t>
  </si>
  <si>
    <r>
      <t>15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May</t>
    </r>
  </si>
  <si>
    <r>
      <t>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</t>
    </r>
  </si>
  <si>
    <r>
      <t>26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</t>
    </r>
  </si>
  <si>
    <r>
      <t>16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May</t>
    </r>
  </si>
  <si>
    <r>
      <t>27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</t>
    </r>
  </si>
  <si>
    <r>
      <t>17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May</t>
    </r>
  </si>
  <si>
    <r>
      <t>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</t>
    </r>
  </si>
  <si>
    <r>
      <t>18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May</t>
    </r>
  </si>
  <si>
    <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</t>
    </r>
  </si>
  <si>
    <r>
      <t>28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</t>
    </r>
  </si>
  <si>
    <r>
      <t>19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May</t>
    </r>
  </si>
  <si>
    <r>
      <t>10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</t>
    </r>
  </si>
  <si>
    <t>Rainfall simulation – Day 28#</t>
  </si>
  <si>
    <r>
      <t>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June</t>
    </r>
  </si>
  <si>
    <r>
      <t>28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</t>
    </r>
  </si>
  <si>
    <r>
      <t>16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Apr</t>
    </r>
  </si>
  <si>
    <r>
      <t>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June</t>
    </r>
  </si>
  <si>
    <r>
      <t>17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Apr</t>
    </r>
  </si>
  <si>
    <r>
      <t>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June</t>
    </r>
  </si>
  <si>
    <r>
      <t>29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</t>
    </r>
  </si>
  <si>
    <r>
      <t>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June</t>
    </r>
  </si>
  <si>
    <r>
      <t>30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</t>
    </r>
  </si>
  <si>
    <r>
      <t>18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Apr</t>
    </r>
  </si>
  <si>
    <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June</t>
    </r>
  </si>
  <si>
    <r>
      <t>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Dec</t>
    </r>
  </si>
  <si>
    <t>Rainfall simulation – Day 49#</t>
  </si>
  <si>
    <r>
      <t>26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June</t>
    </r>
  </si>
  <si>
    <r>
      <t>19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Dec</t>
    </r>
  </si>
  <si>
    <r>
      <t>27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June</t>
    </r>
  </si>
  <si>
    <r>
      <t>28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June</t>
    </r>
  </si>
  <si>
    <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Dec</t>
    </r>
  </si>
  <si>
    <r>
      <t>29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June</t>
    </r>
  </si>
  <si>
    <r>
      <t>21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Dec</t>
    </r>
  </si>
  <si>
    <r>
      <t>30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June</t>
    </r>
  </si>
  <si>
    <r>
      <t>22</t>
    </r>
    <r>
      <rPr>
        <vertAlign val="superscript"/>
        <sz val="12"/>
        <color theme="1"/>
        <rFont val="Times New Roman"/>
        <family val="1"/>
      </rPr>
      <t>nd</t>
    </r>
    <r>
      <rPr>
        <sz val="12"/>
        <color theme="1"/>
        <rFont val="Times New Roman"/>
        <family val="1"/>
      </rPr>
      <t xml:space="preserve"> Dec</t>
    </r>
  </si>
  <si>
    <t>Julian Day</t>
  </si>
  <si>
    <t>https://landweb.modaps.eosdis.nasa.gov/browse/calendar.html</t>
  </si>
  <si>
    <t>rows= reps</t>
  </si>
  <si>
    <t>placement of trt is not true to original plot number, takes naming scheme 1 2 3 4 5</t>
  </si>
  <si>
    <t>for each row as high, com, low, v low, control for convenience</t>
  </si>
  <si>
    <t>Year</t>
  </si>
  <si>
    <t>Julian   Day</t>
  </si>
  <si>
    <t>Hour</t>
  </si>
  <si>
    <t>Solar   Rad</t>
  </si>
  <si>
    <t>Net   Rad</t>
  </si>
  <si>
    <t>Wet Bulb   Temp</t>
  </si>
  <si>
    <t>Dry Bulb   Temp</t>
  </si>
  <si>
    <t>average daily temp</t>
  </si>
  <si>
    <t>Wind   Speed</t>
  </si>
  <si>
    <t>Wind   Vector</t>
  </si>
  <si>
    <t>Rainfall   mm</t>
  </si>
  <si>
    <t>total daily rainfall</t>
  </si>
  <si>
    <t>Day</t>
  </si>
  <si>
    <t>Rainfall is previous 24 hour period from 9:00 to 8:00, that is 8:00 of the day starting rainfall simulations.</t>
  </si>
  <si>
    <t>Therefore 1st May 2006 is Julian Day 121 but rainfall starting at 9:00 Julian Day 120 up to 8:00 Julian Day 121 is required.</t>
  </si>
  <si>
    <t>Daily average temp</t>
  </si>
  <si>
    <t>Albedo   sky</t>
  </si>
  <si>
    <t>Albedo   grd</t>
  </si>
  <si>
    <t>Soil   10cm</t>
  </si>
  <si>
    <t>Soil   30cm</t>
  </si>
  <si>
    <t>Surface   wetness</t>
  </si>
  <si>
    <t>Rel.   Hum.</t>
  </si>
  <si>
    <t>Delta    mV</t>
  </si>
  <si>
    <t>Soil Moist. %</t>
  </si>
  <si>
    <t>Battery V.</t>
  </si>
  <si>
    <t>24 v 25 cells</t>
  </si>
  <si>
    <t>copied over</t>
  </si>
  <si>
    <t>29th October</t>
  </si>
  <si>
    <t>30th October</t>
  </si>
  <si>
    <t>31st October</t>
  </si>
  <si>
    <t>1st November</t>
  </si>
  <si>
    <t>2nd November</t>
  </si>
  <si>
    <t>3rd November</t>
  </si>
  <si>
    <t>4th November</t>
  </si>
  <si>
    <t>5th November</t>
  </si>
  <si>
    <t>6th November</t>
  </si>
  <si>
    <t>7th November</t>
  </si>
  <si>
    <t>8th November</t>
  </si>
  <si>
    <t>9th November</t>
  </si>
  <si>
    <t>10th November</t>
  </si>
  <si>
    <t>11th November</t>
  </si>
  <si>
    <t>12th November</t>
  </si>
  <si>
    <t>13th November</t>
  </si>
  <si>
    <t>14th November</t>
  </si>
  <si>
    <t>15th November</t>
  </si>
  <si>
    <t>16th November</t>
  </si>
  <si>
    <t>17th November</t>
  </si>
  <si>
    <t>18th November</t>
  </si>
  <si>
    <t>19th November</t>
  </si>
  <si>
    <t>20th November</t>
  </si>
  <si>
    <t>21st November</t>
  </si>
  <si>
    <t>22nd November</t>
  </si>
  <si>
    <t>23rd November</t>
  </si>
  <si>
    <t>24th November</t>
  </si>
  <si>
    <t>25th November</t>
  </si>
  <si>
    <t>26th November</t>
  </si>
  <si>
    <t>27th November</t>
  </si>
  <si>
    <t>28th November</t>
  </si>
  <si>
    <t>29th November</t>
  </si>
  <si>
    <t>30th November</t>
  </si>
  <si>
    <t>1st December</t>
  </si>
  <si>
    <t>2nd December</t>
  </si>
  <si>
    <t>3rd December</t>
  </si>
  <si>
    <t>4th December</t>
  </si>
  <si>
    <t>5th December</t>
  </si>
  <si>
    <t>6th December</t>
  </si>
  <si>
    <t>7th December</t>
  </si>
  <si>
    <t>8th December</t>
  </si>
  <si>
    <t>9th December</t>
  </si>
  <si>
    <t>10th December</t>
  </si>
  <si>
    <t>11th December</t>
  </si>
  <si>
    <t>12th December</t>
  </si>
  <si>
    <t>13th December</t>
  </si>
  <si>
    <t>14th December</t>
  </si>
  <si>
    <t>15th December</t>
  </si>
  <si>
    <t>16th December</t>
  </si>
  <si>
    <t>17th December</t>
  </si>
  <si>
    <t>18th December</t>
  </si>
  <si>
    <t>Rep 1 + Rep 2</t>
  </si>
  <si>
    <t>19th December</t>
  </si>
  <si>
    <t>20th December</t>
  </si>
  <si>
    <t>21st December</t>
  </si>
  <si>
    <t>natural rainfall dates</t>
  </si>
  <si>
    <t>x</t>
  </si>
  <si>
    <t>Low temp</t>
  </si>
  <si>
    <t>High temp</t>
  </si>
  <si>
    <t>year</t>
  </si>
  <si>
    <t>jday</t>
  </si>
  <si>
    <t>precip</t>
  </si>
  <si>
    <t>low</t>
  </si>
  <si>
    <t>high</t>
  </si>
  <si>
    <t>avg</t>
  </si>
  <si>
    <t>Hday</t>
  </si>
  <si>
    <t>irrigation</t>
  </si>
  <si>
    <t>Rep 1</t>
  </si>
  <si>
    <t>Copied over</t>
  </si>
  <si>
    <t>Rep 3</t>
  </si>
  <si>
    <t>Rep 5</t>
  </si>
  <si>
    <t>Rep 2</t>
  </si>
  <si>
    <t>Rep 4</t>
  </si>
  <si>
    <t>Day 76</t>
  </si>
  <si>
    <t>Rep 2, 3</t>
  </si>
  <si>
    <t>Day 77</t>
  </si>
  <si>
    <t>Rep 4, 5</t>
  </si>
  <si>
    <t>Day 78</t>
  </si>
  <si>
    <t>Day 302</t>
  </si>
  <si>
    <t>Rep 1,2</t>
  </si>
  <si>
    <t>Day 303</t>
  </si>
  <si>
    <t>Day 304</t>
  </si>
  <si>
    <t>Day 305</t>
  </si>
  <si>
    <t xml:space="preserve">min </t>
  </si>
  <si>
    <t>max</t>
  </si>
  <si>
    <t>Day 121</t>
  </si>
  <si>
    <t>Day 122</t>
  </si>
  <si>
    <t>Day 127</t>
  </si>
  <si>
    <t>Day 128</t>
  </si>
  <si>
    <t>Day 130</t>
  </si>
  <si>
    <t>1st May</t>
  </si>
  <si>
    <t>29th Oct</t>
  </si>
  <si>
    <t>17th Mar</t>
  </si>
  <si>
    <t>2nd May</t>
  </si>
  <si>
    <t>18th Mar</t>
  </si>
  <si>
    <t>7th May</t>
  </si>
  <si>
    <t>30th Oct</t>
  </si>
  <si>
    <t>8th May</t>
  </si>
  <si>
    <t>31st Oct</t>
  </si>
  <si>
    <t>19th Mar</t>
  </si>
  <si>
    <t>10th May</t>
  </si>
  <si>
    <t>1st Nov</t>
  </si>
  <si>
    <t>Soil moist</t>
  </si>
  <si>
    <t>Soil temp</t>
  </si>
  <si>
    <t>average S.M.</t>
  </si>
  <si>
    <t>Average S.T.</t>
  </si>
  <si>
    <t>Average S.M.</t>
  </si>
  <si>
    <t>*soil moisture was not needed in SurPhos</t>
  </si>
  <si>
    <t>*Can not use plot soil moisture at Day 3 for day 0 as it has already received 20 mm rain</t>
  </si>
  <si>
    <t>* model takes meteorological data. Cenit is 50 m away, couldn't be closer, so accuracy is fine.</t>
  </si>
  <si>
    <t>yday</t>
  </si>
  <si>
    <t>dayl (s)</t>
  </si>
  <si>
    <t>prcp (mm/day)</t>
  </si>
  <si>
    <t>srad (W/m^2)</t>
  </si>
  <si>
    <t>swe (kg/m^2)</t>
  </si>
  <si>
    <t>tmax (deg c)</t>
  </si>
  <si>
    <t>tmin (deg c)</t>
  </si>
  <si>
    <t>vp (Pa)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</si>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</sst>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rgb="FF008000"/>
      </top>
      <bottom/>
      <diagonal/>
    </border>
    <border>
      <left/>
      <right/>
      <top/>
      <bottom style="medium">
        <color rgb="FF008000"/>
      </bottom>
      <diagonal/>
    </border>
    <border>
      <left/>
      <right/>
      <top/>
      <bottom style="thick">
        <color rgb="FF008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1" applyFont="1" applyAlignment="1">
      <alignment horizontal="center" wrapText="1"/>
    </xf>
    <xf numFmtId="0" fontId="5" fillId="0" borderId="0" xfId="1" applyFont="1" applyFill="1" applyAlignment="1">
      <alignment horizontal="center" wrapText="1"/>
    </xf>
    <xf numFmtId="0" fontId="0" fillId="0" borderId="0" xfId="0" applyAlignment="1">
      <alignment horizontal="right"/>
    </xf>
    <xf numFmtId="16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right" wrapText="1"/>
    </xf>
    <xf numFmtId="1" fontId="5" fillId="0" borderId="0" xfId="1" applyNumberFormat="1" applyFont="1" applyAlignment="1">
      <alignment horizontal="center" wrapText="1"/>
    </xf>
    <xf numFmtId="1" fontId="0" fillId="0" borderId="0" xfId="0" applyNumberFormat="1"/>
    <xf numFmtId="1" fontId="5" fillId="0" borderId="0" xfId="1" applyNumberFormat="1" applyFont="1" applyFill="1" applyAlignment="1">
      <alignment horizontal="center" wrapText="1"/>
    </xf>
    <xf numFmtId="0" fontId="1" fillId="0" borderId="0" xfId="0" applyFont="1" applyAlignment="1">
      <alignment wrapText="1"/>
    </xf>
    <xf numFmtId="165" fontId="0" fillId="0" borderId="0" xfId="0" applyNumberFormat="1"/>
    <xf numFmtId="165" fontId="5" fillId="0" borderId="0" xfId="1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2" fontId="5" fillId="0" borderId="0" xfId="2" applyNumberFormat="1" applyFont="1" applyAlignment="1">
      <alignment horizontal="center" wrapText="1"/>
    </xf>
    <xf numFmtId="0" fontId="0" fillId="0" borderId="4" xfId="0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4" xfId="0" applyFill="1" applyBorder="1"/>
    <xf numFmtId="0" fontId="4" fillId="0" borderId="0" xfId="1" applyFont="1" applyAlignment="1">
      <alignment horizontal="center" wrapText="1"/>
    </xf>
    <xf numFmtId="0" fontId="4" fillId="0" borderId="0" xfId="1" applyFont="1" applyFill="1" applyAlignment="1">
      <alignment horizontal="center" wrapText="1"/>
    </xf>
    <xf numFmtId="164" fontId="4" fillId="0" borderId="0" xfId="1" applyNumberFormat="1" applyFont="1" applyAlignment="1">
      <alignment horizontal="center" wrapText="1"/>
    </xf>
    <xf numFmtId="164" fontId="5" fillId="2" borderId="0" xfId="1" applyNumberFormat="1" applyFont="1" applyFill="1" applyAlignment="1">
      <alignment horizontal="center" wrapText="1"/>
    </xf>
    <xf numFmtId="164" fontId="4" fillId="0" borderId="0" xfId="1" applyNumberFormat="1" applyFont="1" applyFill="1" applyAlignment="1">
      <alignment horizontal="center" wrapText="1"/>
    </xf>
    <xf numFmtId="165" fontId="0" fillId="2" borderId="0" xfId="0" applyNumberFormat="1" applyFill="1"/>
    <xf numFmtId="1" fontId="4" fillId="0" borderId="0" xfId="1" applyNumberFormat="1" applyFont="1" applyFill="1" applyAlignment="1">
      <alignment horizontal="center" wrapText="1"/>
    </xf>
    <xf numFmtId="2" fontId="4" fillId="0" borderId="0" xfId="2" applyNumberFormat="1" applyFont="1" applyFill="1" applyAlignment="1">
      <alignment horizontal="center" wrapText="1"/>
    </xf>
    <xf numFmtId="0" fontId="0" fillId="0" borderId="0" xfId="0" applyFont="1" applyFill="1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165" fontId="0" fillId="0" borderId="0" xfId="0" applyNumberFormat="1" applyFont="1" applyFill="1"/>
    <xf numFmtId="0" fontId="4" fillId="0" borderId="0" xfId="1" applyFont="1" applyFill="1" applyAlignment="1">
      <alignment horizontal="right" wrapText="1"/>
    </xf>
    <xf numFmtId="0" fontId="0" fillId="0" borderId="0" xfId="0" applyFont="1" applyFill="1" applyAlignment="1">
      <alignment horizontal="right"/>
    </xf>
    <xf numFmtId="1" fontId="0" fillId="0" borderId="0" xfId="0" applyNumberFormat="1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</cellXfs>
  <cellStyles count="3">
    <cellStyle name="Normal" xfId="0" builtinId="0"/>
    <cellStyle name="Normal 2" xfId="1" xr:uid="{151871BD-8AE0-4B63-81D8-9F1C57964866}"/>
    <cellStyle name="Normal 2 2" xfId="2" xr:uid="{8A3D427C-374B-4214-BD7D-75E8FD9149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eph Merhi" id="{9325B477-63CE-46DB-B9ED-41AEECDD4E52}" userId="4b192456ab4721d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1-05-24T21:38:17.04" personId="{9325B477-63CE-46DB-B9ED-41AEECDD4E52}" id="{C3A09DB2-77B7-4927-B0B9-04F100F79C27}">
    <text>True if cell should be copied to Value sheet, False otherwise</text>
  </threadedComment>
  <threadedComment ref="D1" dT="2021-05-24T21:39:28.02" personId="{9325B477-63CE-46DB-B9ED-41AEECDD4E52}" id="{05E066E3-470E-4F29-8AFC-A15031215AC5}">
    <text>Temporary placeholder with 0 values until we figure out how to approximate day length</text>
  </threadedComment>
  <threadedComment ref="K1" dT="2021-05-24T21:40:57.53" personId="{9325B477-63CE-46DB-B9ED-41AEECDD4E52}" id="{9F1B6299-DEC8-42E7-89B5-4A9842D41997}">
    <text>Only a placeholder for the script to run. Both parameters are not needed so setting values to zero is fine</text>
  </threadedComment>
  <threadedComment ref="N1" dT="2021-05-24T21:40:32.02" personId="{9325B477-63CE-46DB-B9ED-41AEECDD4E52}" id="{77A8873D-7CCC-484B-B0C6-7214975371B4}">
    <text>Only a placeholder for the script to run. Both parameters are not needed  so setting values to zero is fine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1255-C4D5-4DF5-8F20-1FCE84D0809D}">
  <sheetPr codeName="Sheet1"/>
  <dimension ref="C4:M43"/>
  <sheetViews>
    <sheetView topLeftCell="A30" workbookViewId="0">
      <selection activeCell="D42" sqref="D42"/>
    </sheetView>
  </sheetViews>
  <sheetFormatPr defaultRowHeight="19.5" customHeight="1" x14ac:dyDescent="0.25"/>
  <cols>
    <col min="3" max="3" width="36.140625" customWidth="1"/>
  </cols>
  <sheetData>
    <row r="4" spans="3:13" ht="19.5" customHeight="1" thickBot="1" x14ac:dyDescent="0.3"/>
    <row r="5" spans="3:13" ht="19.5" customHeight="1" thickTop="1" x14ac:dyDescent="0.25">
      <c r="C5" s="42" t="s">
        <v>0</v>
      </c>
      <c r="D5" s="40" t="s">
        <v>1</v>
      </c>
      <c r="E5" s="40" t="s">
        <v>2</v>
      </c>
      <c r="F5" s="40" t="s">
        <v>64</v>
      </c>
      <c r="G5" s="2" t="s">
        <v>3</v>
      </c>
      <c r="H5" s="40" t="s">
        <v>64</v>
      </c>
      <c r="I5" s="2" t="s">
        <v>4</v>
      </c>
      <c r="J5" s="40" t="s">
        <v>64</v>
      </c>
    </row>
    <row r="6" spans="3:13" ht="19.5" customHeight="1" thickBot="1" x14ac:dyDescent="0.3">
      <c r="C6" s="43"/>
      <c r="D6" s="41"/>
      <c r="E6" s="41"/>
      <c r="F6" s="41"/>
      <c r="G6" s="3">
        <v>2006</v>
      </c>
      <c r="H6" s="41"/>
      <c r="I6" s="3">
        <v>2007</v>
      </c>
      <c r="J6" s="41"/>
      <c r="M6" t="s">
        <v>65</v>
      </c>
    </row>
    <row r="7" spans="3:13" ht="19.5" customHeight="1" x14ac:dyDescent="0.25">
      <c r="C7" s="4" t="s">
        <v>5</v>
      </c>
      <c r="D7" s="1">
        <v>1</v>
      </c>
      <c r="E7" s="1" t="s">
        <v>6</v>
      </c>
      <c r="F7" s="1">
        <v>121</v>
      </c>
      <c r="G7" s="1" t="s">
        <v>7</v>
      </c>
      <c r="H7" s="1">
        <v>302</v>
      </c>
      <c r="I7" s="1" t="s">
        <v>8</v>
      </c>
      <c r="J7">
        <v>76</v>
      </c>
    </row>
    <row r="8" spans="3:13" ht="19.5" customHeight="1" x14ac:dyDescent="0.25">
      <c r="C8" s="4"/>
      <c r="D8" s="1">
        <v>2</v>
      </c>
      <c r="E8" s="1" t="s">
        <v>9</v>
      </c>
      <c r="F8" s="1">
        <v>122</v>
      </c>
      <c r="G8" s="1" t="s">
        <v>7</v>
      </c>
      <c r="H8" s="1">
        <v>302</v>
      </c>
      <c r="I8" s="1" t="s">
        <v>10</v>
      </c>
      <c r="J8">
        <v>77</v>
      </c>
    </row>
    <row r="9" spans="3:13" ht="19.5" customHeight="1" x14ac:dyDescent="0.25">
      <c r="C9" s="4"/>
      <c r="D9" s="1">
        <v>3</v>
      </c>
      <c r="E9" s="1" t="s">
        <v>11</v>
      </c>
      <c r="F9" s="1">
        <v>127</v>
      </c>
      <c r="G9" s="1" t="s">
        <v>12</v>
      </c>
      <c r="H9" s="1">
        <v>303</v>
      </c>
      <c r="I9" s="1" t="s">
        <v>10</v>
      </c>
      <c r="J9">
        <v>77</v>
      </c>
    </row>
    <row r="10" spans="3:13" ht="19.5" customHeight="1" x14ac:dyDescent="0.25">
      <c r="C10" s="4"/>
      <c r="D10" s="1">
        <v>4</v>
      </c>
      <c r="E10" s="1" t="s">
        <v>13</v>
      </c>
      <c r="F10" s="1">
        <v>128</v>
      </c>
      <c r="G10" s="1" t="s">
        <v>14</v>
      </c>
      <c r="H10" s="1">
        <v>304</v>
      </c>
      <c r="I10" s="1" t="s">
        <v>15</v>
      </c>
      <c r="J10">
        <v>78</v>
      </c>
    </row>
    <row r="11" spans="3:13" ht="19.5" customHeight="1" x14ac:dyDescent="0.25">
      <c r="C11" s="4"/>
      <c r="D11" s="1">
        <v>5</v>
      </c>
      <c r="E11" s="1" t="s">
        <v>16</v>
      </c>
      <c r="F11" s="1">
        <v>130</v>
      </c>
      <c r="G11" s="1" t="s">
        <v>17</v>
      </c>
      <c r="H11" s="1">
        <v>305</v>
      </c>
      <c r="I11" s="1" t="s">
        <v>15</v>
      </c>
      <c r="J11">
        <v>78</v>
      </c>
    </row>
    <row r="12" spans="3:13" ht="19.5" customHeight="1" x14ac:dyDescent="0.25">
      <c r="C12" s="4"/>
      <c r="D12" s="1"/>
      <c r="E12" s="1"/>
      <c r="F12" s="1"/>
      <c r="G12" s="1"/>
      <c r="H12" s="1"/>
      <c r="I12" s="1"/>
    </row>
    <row r="13" spans="3:13" ht="19.5" customHeight="1" x14ac:dyDescent="0.25">
      <c r="C13" s="4" t="s">
        <v>18</v>
      </c>
      <c r="D13" s="1">
        <v>1</v>
      </c>
      <c r="E13" s="1" t="s">
        <v>19</v>
      </c>
      <c r="F13" s="1">
        <v>123</v>
      </c>
      <c r="G13" s="1" t="s">
        <v>14</v>
      </c>
      <c r="H13" s="1">
        <v>304</v>
      </c>
      <c r="I13" s="1" t="s">
        <v>15</v>
      </c>
      <c r="J13">
        <v>78</v>
      </c>
    </row>
    <row r="14" spans="3:13" ht="19.5" customHeight="1" x14ac:dyDescent="0.25">
      <c r="C14" s="4"/>
      <c r="D14" s="1">
        <v>2</v>
      </c>
      <c r="E14" s="1" t="s">
        <v>20</v>
      </c>
      <c r="F14" s="1">
        <v>124</v>
      </c>
      <c r="G14" s="1" t="s">
        <v>14</v>
      </c>
      <c r="H14" s="1">
        <v>304</v>
      </c>
      <c r="I14" s="1" t="s">
        <v>21</v>
      </c>
      <c r="J14">
        <v>79</v>
      </c>
    </row>
    <row r="15" spans="3:13" ht="19.5" customHeight="1" x14ac:dyDescent="0.25">
      <c r="C15" s="4"/>
      <c r="D15" s="1">
        <v>3</v>
      </c>
      <c r="E15" s="1" t="s">
        <v>22</v>
      </c>
      <c r="F15" s="1">
        <v>129</v>
      </c>
      <c r="G15" s="1" t="s">
        <v>17</v>
      </c>
      <c r="H15" s="1">
        <v>305</v>
      </c>
      <c r="I15" s="1" t="s">
        <v>23</v>
      </c>
      <c r="J15">
        <v>79</v>
      </c>
    </row>
    <row r="16" spans="3:13" ht="19.5" customHeight="1" x14ac:dyDescent="0.25">
      <c r="C16" s="4"/>
      <c r="D16" s="1">
        <v>4</v>
      </c>
      <c r="E16" s="1" t="s">
        <v>16</v>
      </c>
      <c r="F16" s="1">
        <v>130</v>
      </c>
      <c r="G16" s="1" t="s">
        <v>24</v>
      </c>
      <c r="H16" s="1">
        <v>306</v>
      </c>
      <c r="I16" s="1" t="s">
        <v>25</v>
      </c>
      <c r="J16">
        <v>80</v>
      </c>
    </row>
    <row r="17" spans="3:10" ht="19.5" customHeight="1" x14ac:dyDescent="0.25">
      <c r="C17" s="4"/>
      <c r="D17" s="1">
        <v>5</v>
      </c>
      <c r="E17" s="1" t="s">
        <v>26</v>
      </c>
      <c r="F17" s="1">
        <v>132</v>
      </c>
      <c r="G17" s="1" t="s">
        <v>27</v>
      </c>
      <c r="H17" s="1">
        <v>307</v>
      </c>
      <c r="I17" s="1" t="s">
        <v>25</v>
      </c>
      <c r="J17">
        <v>80</v>
      </c>
    </row>
    <row r="18" spans="3:10" ht="19.5" customHeight="1" x14ac:dyDescent="0.25">
      <c r="C18" s="4"/>
      <c r="D18" s="1"/>
      <c r="E18" s="1"/>
      <c r="F18" s="1"/>
      <c r="G18" s="1"/>
      <c r="H18" s="1"/>
      <c r="I18" s="1"/>
    </row>
    <row r="19" spans="3:10" ht="19.5" customHeight="1" x14ac:dyDescent="0.25">
      <c r="C19" s="4" t="s">
        <v>28</v>
      </c>
      <c r="D19" s="1">
        <v>1</v>
      </c>
      <c r="E19" s="1" t="s">
        <v>29</v>
      </c>
      <c r="F19" s="1">
        <v>135</v>
      </c>
      <c r="G19" s="1" t="s">
        <v>30</v>
      </c>
      <c r="H19" s="1">
        <v>311</v>
      </c>
      <c r="I19" s="1" t="s">
        <v>31</v>
      </c>
      <c r="J19">
        <v>85</v>
      </c>
    </row>
    <row r="20" spans="3:10" ht="19.5" customHeight="1" x14ac:dyDescent="0.25">
      <c r="C20" s="4"/>
      <c r="D20" s="1">
        <v>2</v>
      </c>
      <c r="E20" s="1" t="s">
        <v>32</v>
      </c>
      <c r="F20" s="1">
        <v>136</v>
      </c>
      <c r="G20" s="1" t="s">
        <v>30</v>
      </c>
      <c r="H20" s="1">
        <v>311</v>
      </c>
      <c r="I20" s="1" t="s">
        <v>33</v>
      </c>
      <c r="J20">
        <v>86</v>
      </c>
    </row>
    <row r="21" spans="3:10" ht="19.5" customHeight="1" x14ac:dyDescent="0.25">
      <c r="C21" s="4"/>
      <c r="D21" s="1">
        <v>3</v>
      </c>
      <c r="E21" s="1" t="s">
        <v>34</v>
      </c>
      <c r="F21" s="1">
        <v>137</v>
      </c>
      <c r="G21" s="1" t="s">
        <v>35</v>
      </c>
      <c r="H21" s="1">
        <v>312</v>
      </c>
      <c r="I21" s="1" t="s">
        <v>33</v>
      </c>
      <c r="J21">
        <v>86</v>
      </c>
    </row>
    <row r="22" spans="3:10" ht="19.5" customHeight="1" x14ac:dyDescent="0.25">
      <c r="C22" s="4"/>
      <c r="D22" s="1">
        <v>4</v>
      </c>
      <c r="E22" s="1" t="s">
        <v>36</v>
      </c>
      <c r="F22" s="1">
        <v>138</v>
      </c>
      <c r="G22" s="1" t="s">
        <v>37</v>
      </c>
      <c r="H22" s="1">
        <v>313</v>
      </c>
      <c r="I22" s="1" t="s">
        <v>38</v>
      </c>
      <c r="J22">
        <v>87</v>
      </c>
    </row>
    <row r="23" spans="3:10" ht="19.5" customHeight="1" x14ac:dyDescent="0.25">
      <c r="C23" s="4"/>
      <c r="D23" s="1">
        <v>5</v>
      </c>
      <c r="E23" s="1" t="s">
        <v>39</v>
      </c>
      <c r="F23" s="1">
        <v>139</v>
      </c>
      <c r="G23" s="1" t="s">
        <v>40</v>
      </c>
      <c r="H23" s="1">
        <v>314</v>
      </c>
      <c r="I23" s="1" t="s">
        <v>38</v>
      </c>
      <c r="J23">
        <v>87</v>
      </c>
    </row>
    <row r="24" spans="3:10" ht="19.5" customHeight="1" x14ac:dyDescent="0.25">
      <c r="C24" s="4"/>
      <c r="D24" s="1"/>
      <c r="E24" s="1"/>
      <c r="F24" s="1"/>
      <c r="G24" s="1"/>
      <c r="H24" s="1"/>
      <c r="I24" s="1"/>
    </row>
    <row r="25" spans="3:10" ht="19.5" customHeight="1" x14ac:dyDescent="0.25">
      <c r="C25" s="4" t="s">
        <v>41</v>
      </c>
      <c r="D25" s="1">
        <v>1</v>
      </c>
      <c r="E25" s="1" t="s">
        <v>42</v>
      </c>
      <c r="F25" s="1">
        <v>156</v>
      </c>
      <c r="G25" s="1" t="s">
        <v>43</v>
      </c>
      <c r="H25" s="1">
        <v>332</v>
      </c>
      <c r="I25" s="1" t="s">
        <v>44</v>
      </c>
      <c r="J25">
        <v>106</v>
      </c>
    </row>
    <row r="26" spans="3:10" ht="19.5" customHeight="1" x14ac:dyDescent="0.25">
      <c r="C26" s="4"/>
      <c r="D26" s="1">
        <v>2</v>
      </c>
      <c r="E26" s="1" t="s">
        <v>45</v>
      </c>
      <c r="F26" s="1">
        <v>157</v>
      </c>
      <c r="G26" s="1" t="s">
        <v>43</v>
      </c>
      <c r="H26" s="1">
        <v>332</v>
      </c>
      <c r="I26" s="1" t="s">
        <v>46</v>
      </c>
      <c r="J26">
        <v>107</v>
      </c>
    </row>
    <row r="27" spans="3:10" ht="19.5" customHeight="1" x14ac:dyDescent="0.25">
      <c r="C27" s="4"/>
      <c r="D27" s="1">
        <v>3</v>
      </c>
      <c r="E27" s="1" t="s">
        <v>47</v>
      </c>
      <c r="F27" s="1">
        <v>158</v>
      </c>
      <c r="G27" s="1" t="s">
        <v>48</v>
      </c>
      <c r="H27" s="1">
        <v>333</v>
      </c>
      <c r="I27" s="1" t="s">
        <v>46</v>
      </c>
      <c r="J27">
        <v>107</v>
      </c>
    </row>
    <row r="28" spans="3:10" ht="19.5" customHeight="1" x14ac:dyDescent="0.25">
      <c r="C28" s="4"/>
      <c r="D28" s="1">
        <v>4</v>
      </c>
      <c r="E28" s="1" t="s">
        <v>49</v>
      </c>
      <c r="F28" s="1">
        <v>159</v>
      </c>
      <c r="G28" s="1" t="s">
        <v>50</v>
      </c>
      <c r="H28" s="1">
        <v>334</v>
      </c>
      <c r="I28" s="1" t="s">
        <v>51</v>
      </c>
      <c r="J28">
        <v>108</v>
      </c>
    </row>
    <row r="29" spans="3:10" ht="19.5" customHeight="1" x14ac:dyDescent="0.25">
      <c r="C29" s="4"/>
      <c r="D29" s="1">
        <v>5</v>
      </c>
      <c r="E29" s="1" t="s">
        <v>52</v>
      </c>
      <c r="F29" s="1">
        <v>160</v>
      </c>
      <c r="G29" s="1" t="s">
        <v>53</v>
      </c>
      <c r="H29" s="1">
        <v>335</v>
      </c>
      <c r="I29" s="1" t="s">
        <v>51</v>
      </c>
      <c r="J29">
        <v>108</v>
      </c>
    </row>
    <row r="30" spans="3:10" ht="19.5" customHeight="1" x14ac:dyDescent="0.25">
      <c r="C30" s="4"/>
      <c r="D30" s="1"/>
      <c r="E30" s="1"/>
      <c r="F30" s="1"/>
      <c r="G30" s="1"/>
      <c r="H30" s="1"/>
      <c r="I30" s="1"/>
    </row>
    <row r="31" spans="3:10" ht="19.5" customHeight="1" x14ac:dyDescent="0.25">
      <c r="C31" s="4" t="s">
        <v>54</v>
      </c>
      <c r="D31" s="1">
        <v>1</v>
      </c>
      <c r="E31" s="1" t="s">
        <v>55</v>
      </c>
      <c r="F31" s="1">
        <v>177</v>
      </c>
      <c r="G31" s="1" t="s">
        <v>56</v>
      </c>
      <c r="H31" s="1">
        <v>353</v>
      </c>
      <c r="I31" s="1" t="s">
        <v>11</v>
      </c>
      <c r="J31">
        <v>127</v>
      </c>
    </row>
    <row r="32" spans="3:10" ht="19.5" customHeight="1" x14ac:dyDescent="0.25">
      <c r="C32" s="4"/>
      <c r="D32" s="1">
        <v>2</v>
      </c>
      <c r="E32" s="1" t="s">
        <v>57</v>
      </c>
      <c r="F32" s="1">
        <v>178</v>
      </c>
      <c r="G32" s="1" t="s">
        <v>56</v>
      </c>
      <c r="H32" s="1">
        <v>353</v>
      </c>
      <c r="I32" s="1" t="s">
        <v>13</v>
      </c>
      <c r="J32">
        <v>128</v>
      </c>
    </row>
    <row r="33" spans="3:10" ht="19.5" customHeight="1" x14ac:dyDescent="0.25">
      <c r="C33" s="4"/>
      <c r="D33" s="1">
        <v>3</v>
      </c>
      <c r="E33" s="1" t="s">
        <v>58</v>
      </c>
      <c r="F33" s="1">
        <v>179</v>
      </c>
      <c r="G33" s="1" t="s">
        <v>59</v>
      </c>
      <c r="H33" s="1">
        <v>354</v>
      </c>
      <c r="I33" s="1" t="s">
        <v>13</v>
      </c>
      <c r="J33">
        <v>128</v>
      </c>
    </row>
    <row r="34" spans="3:10" ht="19.5" customHeight="1" x14ac:dyDescent="0.25">
      <c r="C34" s="4"/>
      <c r="D34" s="1">
        <v>4</v>
      </c>
      <c r="E34" s="1" t="s">
        <v>60</v>
      </c>
      <c r="F34" s="1">
        <v>180</v>
      </c>
      <c r="G34" s="1" t="s">
        <v>61</v>
      </c>
      <c r="H34" s="1">
        <v>355</v>
      </c>
      <c r="I34" s="1" t="s">
        <v>22</v>
      </c>
      <c r="J34">
        <v>129</v>
      </c>
    </row>
    <row r="35" spans="3:10" ht="19.5" customHeight="1" thickBot="1" x14ac:dyDescent="0.3">
      <c r="C35" s="5"/>
      <c r="D35" s="6">
        <v>5</v>
      </c>
      <c r="E35" s="6" t="s">
        <v>62</v>
      </c>
      <c r="F35" s="6">
        <v>181</v>
      </c>
      <c r="G35" s="6" t="s">
        <v>63</v>
      </c>
      <c r="H35" s="6">
        <v>356</v>
      </c>
      <c r="I35" s="6" t="s">
        <v>22</v>
      </c>
      <c r="J35">
        <v>129</v>
      </c>
    </row>
    <row r="36" spans="3:10" ht="19.5" customHeight="1" thickTop="1" x14ac:dyDescent="0.25"/>
    <row r="38" spans="3:10" ht="19.5" customHeight="1" x14ac:dyDescent="0.25">
      <c r="D38" t="s">
        <v>66</v>
      </c>
    </row>
    <row r="39" spans="3:10" ht="19.5" customHeight="1" x14ac:dyDescent="0.25">
      <c r="D39" t="s">
        <v>67</v>
      </c>
    </row>
    <row r="40" spans="3:10" ht="19.5" customHeight="1" x14ac:dyDescent="0.25">
      <c r="D40" t="s">
        <v>68</v>
      </c>
    </row>
    <row r="42" spans="3:10" ht="19.5" customHeight="1" x14ac:dyDescent="0.25">
      <c r="D42" t="s">
        <v>82</v>
      </c>
    </row>
    <row r="43" spans="3:10" ht="19.5" customHeight="1" x14ac:dyDescent="0.25">
      <c r="D43" t="s">
        <v>83</v>
      </c>
    </row>
  </sheetData>
  <mergeCells count="6">
    <mergeCell ref="J5:J6"/>
    <mergeCell ref="C5:C6"/>
    <mergeCell ref="D5:D6"/>
    <mergeCell ref="E5:E6"/>
    <mergeCell ref="F5:F6"/>
    <mergeCell ref="H5:H6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2B1E-E087-4B5A-A849-2432AFF95342}">
  <sheetPr codeName="Sheet2"/>
  <dimension ref="A1:CF1529"/>
  <sheetViews>
    <sheetView zoomScale="78" zoomScaleNormal="78" workbookViewId="0">
      <selection activeCell="H2" sqref="H2"/>
    </sheetView>
  </sheetViews>
  <sheetFormatPr defaultRowHeight="15" x14ac:dyDescent="0.25"/>
  <cols>
    <col min="11" max="11" width="11.5703125" bestFit="1" customWidth="1"/>
    <col min="18" max="18" width="17" customWidth="1"/>
    <col min="24" max="24" width="12.7109375" customWidth="1"/>
    <col min="27" max="27" width="9.140625" style="14"/>
    <col min="29" max="29" width="11.5703125" bestFit="1" customWidth="1"/>
    <col min="41" max="41" width="13.85546875" bestFit="1" customWidth="1"/>
  </cols>
  <sheetData>
    <row r="1" spans="1:84" ht="45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75</v>
      </c>
      <c r="H1" s="8" t="s">
        <v>76</v>
      </c>
      <c r="I1" s="8" t="s">
        <v>179</v>
      </c>
      <c r="J1" s="8" t="s">
        <v>180</v>
      </c>
      <c r="K1" s="8" t="s">
        <v>77</v>
      </c>
      <c r="L1" s="8" t="s">
        <v>78</v>
      </c>
      <c r="M1" s="11" t="s">
        <v>79</v>
      </c>
      <c r="N1" s="11" t="s">
        <v>80</v>
      </c>
      <c r="O1" s="8" t="s">
        <v>85</v>
      </c>
      <c r="P1" s="18" t="s">
        <v>86</v>
      </c>
      <c r="Q1" s="18" t="s">
        <v>87</v>
      </c>
      <c r="R1" s="18" t="s">
        <v>201</v>
      </c>
      <c r="S1" s="18" t="s">
        <v>88</v>
      </c>
      <c r="T1" s="8" t="s">
        <v>89</v>
      </c>
      <c r="U1" s="11" t="s">
        <v>90</v>
      </c>
      <c r="V1" s="19" t="s">
        <v>91</v>
      </c>
      <c r="W1" s="19" t="s">
        <v>92</v>
      </c>
      <c r="X1" s="19" t="s">
        <v>200</v>
      </c>
      <c r="Y1" s="20" t="s">
        <v>93</v>
      </c>
      <c r="Z1" s="20"/>
      <c r="AA1" s="13" t="s">
        <v>64</v>
      </c>
      <c r="AB1" s="9" t="s">
        <v>81</v>
      </c>
      <c r="AC1" s="16" t="s">
        <v>84</v>
      </c>
      <c r="AD1" s="11" t="s">
        <v>80</v>
      </c>
      <c r="AE1" s="28" t="s">
        <v>95</v>
      </c>
      <c r="AF1" s="27" t="s">
        <v>155</v>
      </c>
      <c r="AG1" s="29" t="s">
        <v>156</v>
      </c>
      <c r="AH1" t="s">
        <v>157</v>
      </c>
      <c r="AI1" t="s">
        <v>158</v>
      </c>
      <c r="AJ1" t="s">
        <v>159</v>
      </c>
      <c r="AK1" t="s">
        <v>160</v>
      </c>
      <c r="AL1" t="s">
        <v>161</v>
      </c>
      <c r="AM1" t="s">
        <v>162</v>
      </c>
      <c r="AN1" s="22" t="s">
        <v>163</v>
      </c>
      <c r="AO1" t="s">
        <v>155</v>
      </c>
      <c r="AP1" t="s">
        <v>156</v>
      </c>
      <c r="AQ1" t="s">
        <v>157</v>
      </c>
      <c r="AR1" t="s">
        <v>158</v>
      </c>
      <c r="AS1" t="s">
        <v>159</v>
      </c>
      <c r="AT1" t="s">
        <v>160</v>
      </c>
      <c r="AU1" t="s">
        <v>161</v>
      </c>
      <c r="AV1" t="s">
        <v>162</v>
      </c>
      <c r="AW1" s="22" t="s">
        <v>167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s="22" t="s">
        <v>165</v>
      </c>
      <c r="BG1" t="s">
        <v>155</v>
      </c>
      <c r="BH1" t="s">
        <v>156</v>
      </c>
      <c r="BI1" t="s">
        <v>157</v>
      </c>
      <c r="BJ1" t="s">
        <v>158</v>
      </c>
      <c r="BK1" t="s">
        <v>159</v>
      </c>
      <c r="BL1" t="s">
        <v>160</v>
      </c>
      <c r="BM1" t="s">
        <v>161</v>
      </c>
      <c r="BN1" t="s">
        <v>162</v>
      </c>
      <c r="BO1" s="22" t="s">
        <v>168</v>
      </c>
      <c r="BP1" t="s">
        <v>155</v>
      </c>
      <c r="BQ1" t="s">
        <v>156</v>
      </c>
      <c r="BR1" t="s">
        <v>157</v>
      </c>
      <c r="BS1" t="s">
        <v>158</v>
      </c>
      <c r="BT1" t="s">
        <v>159</v>
      </c>
      <c r="BU1" t="s">
        <v>160</v>
      </c>
      <c r="BV1" t="s">
        <v>161</v>
      </c>
      <c r="BW1" t="s">
        <v>162</v>
      </c>
      <c r="BX1" s="22" t="s">
        <v>166</v>
      </c>
      <c r="BY1" t="s">
        <v>155</v>
      </c>
      <c r="BZ1" t="s">
        <v>156</v>
      </c>
      <c r="CA1" t="s">
        <v>157</v>
      </c>
      <c r="CB1" t="s">
        <v>158</v>
      </c>
      <c r="CC1" t="s">
        <v>159</v>
      </c>
      <c r="CD1" t="s">
        <v>160</v>
      </c>
      <c r="CE1" t="s">
        <v>161</v>
      </c>
      <c r="CF1" t="s">
        <v>162</v>
      </c>
    </row>
    <row r="2" spans="1:84" x14ac:dyDescent="0.25">
      <c r="A2">
        <v>2006</v>
      </c>
      <c r="B2">
        <v>121</v>
      </c>
      <c r="C2">
        <v>900</v>
      </c>
      <c r="D2" s="7">
        <v>436.4</v>
      </c>
      <c r="E2" s="7">
        <v>277.60000000000002</v>
      </c>
      <c r="F2" s="7">
        <v>7.97</v>
      </c>
      <c r="G2" s="7">
        <v>8.06</v>
      </c>
      <c r="H2" s="7">
        <f>AVERAGE(G2:G25)</f>
        <v>8.3189166666666647</v>
      </c>
      <c r="I2" s="7">
        <f>MIN(G2:G25)</f>
        <v>5.319</v>
      </c>
      <c r="J2" s="7">
        <f>MAX(G2:G25)</f>
        <v>10.71</v>
      </c>
      <c r="K2" s="7">
        <v>5.1509999999999998</v>
      </c>
      <c r="L2" s="7">
        <v>305.89999999999998</v>
      </c>
      <c r="M2" s="7">
        <v>0.2</v>
      </c>
      <c r="N2" s="7">
        <f>SUM(M2:M25)</f>
        <v>2.6</v>
      </c>
      <c r="O2" s="7">
        <v>561.6</v>
      </c>
      <c r="P2" s="7">
        <v>164.7</v>
      </c>
      <c r="Q2" s="7">
        <v>9.82</v>
      </c>
      <c r="R2" s="7">
        <f>AVERAGE(Q2:Q25)</f>
        <v>10.549166666666666</v>
      </c>
      <c r="S2" s="7">
        <v>9.66</v>
      </c>
      <c r="T2" s="7">
        <v>0</v>
      </c>
      <c r="U2" s="7">
        <v>98.9</v>
      </c>
      <c r="V2" s="7">
        <v>823</v>
      </c>
      <c r="W2" s="7">
        <v>34.479999999999997</v>
      </c>
      <c r="X2" s="7">
        <f>AVERAGE(W2:W25)</f>
        <v>33.422500000000007</v>
      </c>
      <c r="Y2" s="7">
        <v>14.46</v>
      </c>
      <c r="Z2" s="11"/>
      <c r="AA2" s="13">
        <v>120</v>
      </c>
      <c r="AB2" s="9">
        <v>0</v>
      </c>
      <c r="AC2" s="17">
        <f ca="1">OFFSET($H$2,(ROW(AC1)*24)-24,0)</f>
        <v>8.3189166666666647</v>
      </c>
      <c r="AD2">
        <f ca="1">OFFSET($N$2,(ROW(AD1)*24)-24,0)</f>
        <v>2.6</v>
      </c>
      <c r="AF2">
        <v>2006</v>
      </c>
      <c r="AG2">
        <v>1</v>
      </c>
      <c r="AH2">
        <v>2.6</v>
      </c>
      <c r="AI2">
        <v>5.319</v>
      </c>
      <c r="AJ2">
        <v>10.71</v>
      </c>
      <c r="AK2">
        <v>8.3189166666666647</v>
      </c>
      <c r="AM2">
        <v>0</v>
      </c>
      <c r="AN2" s="22" t="s">
        <v>181</v>
      </c>
      <c r="AO2">
        <v>2006</v>
      </c>
      <c r="AP2">
        <v>1</v>
      </c>
      <c r="AQ2">
        <v>2.6</v>
      </c>
      <c r="AR2">
        <v>5.319</v>
      </c>
      <c r="AS2">
        <v>10.71</v>
      </c>
      <c r="AT2">
        <v>8.3189166666666647</v>
      </c>
      <c r="AV2">
        <v>0</v>
      </c>
      <c r="AW2" s="22" t="s">
        <v>182</v>
      </c>
      <c r="AX2">
        <v>2006</v>
      </c>
      <c r="AY2">
        <v>1</v>
      </c>
      <c r="AZ2">
        <v>0.60000000000000009</v>
      </c>
      <c r="BA2">
        <v>6.4649999999999999</v>
      </c>
      <c r="BB2">
        <v>10.39</v>
      </c>
      <c r="BC2">
        <v>8.5207500000000014</v>
      </c>
      <c r="BE2">
        <v>0</v>
      </c>
      <c r="BF2" s="22" t="s">
        <v>183</v>
      </c>
      <c r="BG2">
        <v>2006</v>
      </c>
      <c r="BH2">
        <v>1</v>
      </c>
      <c r="BI2">
        <v>8.1999999999999993</v>
      </c>
      <c r="BJ2">
        <v>8.8000000000000007</v>
      </c>
      <c r="BK2">
        <v>17.53</v>
      </c>
      <c r="BL2">
        <v>11.790000000000001</v>
      </c>
      <c r="BN2">
        <v>0</v>
      </c>
      <c r="BO2" s="22" t="s">
        <v>184</v>
      </c>
      <c r="BP2">
        <v>2006</v>
      </c>
      <c r="BQ2">
        <v>1</v>
      </c>
      <c r="BR2">
        <v>0</v>
      </c>
      <c r="BS2">
        <v>8.56</v>
      </c>
      <c r="BT2">
        <v>18.34</v>
      </c>
      <c r="BU2">
        <v>13.11125</v>
      </c>
      <c r="BW2">
        <v>0</v>
      </c>
      <c r="BX2" s="22" t="s">
        <v>185</v>
      </c>
      <c r="BY2">
        <v>2006</v>
      </c>
      <c r="BZ2">
        <v>1</v>
      </c>
      <c r="CA2">
        <v>0</v>
      </c>
      <c r="CB2">
        <v>8.1999999999999993</v>
      </c>
      <c r="CC2">
        <v>21.34</v>
      </c>
      <c r="CD2">
        <v>15.038333333333336</v>
      </c>
      <c r="CF2">
        <v>0</v>
      </c>
    </row>
    <row r="3" spans="1:84" x14ac:dyDescent="0.25">
      <c r="A3">
        <v>2006</v>
      </c>
      <c r="B3">
        <v>121</v>
      </c>
      <c r="C3">
        <v>1000</v>
      </c>
      <c r="D3" s="7">
        <v>397.3</v>
      </c>
      <c r="E3" s="7">
        <v>238.1</v>
      </c>
      <c r="F3" s="7">
        <v>7.92</v>
      </c>
      <c r="G3" s="7">
        <v>8.01</v>
      </c>
      <c r="H3" s="7"/>
      <c r="I3" s="7"/>
      <c r="J3" s="7"/>
      <c r="K3" s="7">
        <v>4.9020000000000001</v>
      </c>
      <c r="L3" s="7">
        <v>319.39999999999998</v>
      </c>
      <c r="M3" s="7">
        <v>0.2</v>
      </c>
      <c r="N3" s="7"/>
      <c r="O3" s="7">
        <v>498.8</v>
      </c>
      <c r="P3" s="7">
        <v>137.30000000000001</v>
      </c>
      <c r="Q3" s="7">
        <v>9.92</v>
      </c>
      <c r="R3" s="7"/>
      <c r="S3" s="7">
        <v>9.6199999999999992</v>
      </c>
      <c r="T3" s="7">
        <v>0</v>
      </c>
      <c r="U3" s="7">
        <v>98.9</v>
      </c>
      <c r="V3" s="7">
        <v>819</v>
      </c>
      <c r="W3" s="7">
        <v>34.29</v>
      </c>
      <c r="X3" s="7"/>
      <c r="Y3" s="7">
        <v>14.27</v>
      </c>
      <c r="Z3" s="11"/>
      <c r="AA3" s="13">
        <v>121</v>
      </c>
      <c r="AB3" s="9">
        <v>1</v>
      </c>
      <c r="AC3" s="17">
        <f t="shared" ref="AC3:AC66" ca="1" si="0">OFFSET($H$2,(ROW(AC2)*24)-24,0)</f>
        <v>8.5207500000000014</v>
      </c>
      <c r="AD3">
        <f t="shared" ref="AD3:AD66" ca="1" si="1">OFFSET($N$2,(ROW(AD2)*24)-24,0)</f>
        <v>0.60000000000000009</v>
      </c>
      <c r="AF3">
        <v>2006</v>
      </c>
      <c r="AG3">
        <v>2</v>
      </c>
      <c r="AH3">
        <v>0.60000000000000009</v>
      </c>
      <c r="AI3">
        <v>6.4649999999999999</v>
      </c>
      <c r="AJ3">
        <v>10.39</v>
      </c>
      <c r="AK3">
        <v>8.5207500000000014</v>
      </c>
      <c r="AM3">
        <v>0</v>
      </c>
      <c r="AO3">
        <v>2006</v>
      </c>
      <c r="AP3">
        <v>2</v>
      </c>
      <c r="AQ3">
        <v>0.60000000000000009</v>
      </c>
      <c r="AR3">
        <v>6.4649999999999999</v>
      </c>
      <c r="AS3">
        <v>10.39</v>
      </c>
      <c r="AT3">
        <v>8.5207500000000014</v>
      </c>
      <c r="AV3">
        <v>0</v>
      </c>
      <c r="AX3">
        <v>2006</v>
      </c>
      <c r="AY3">
        <v>2</v>
      </c>
      <c r="AZ3">
        <v>8</v>
      </c>
      <c r="BA3">
        <v>8.23</v>
      </c>
      <c r="BB3">
        <v>13.14</v>
      </c>
      <c r="BC3">
        <v>10.336249999999998</v>
      </c>
      <c r="BE3">
        <v>0</v>
      </c>
      <c r="BG3">
        <v>2006</v>
      </c>
      <c r="BH3">
        <v>2</v>
      </c>
      <c r="BI3">
        <v>0</v>
      </c>
      <c r="BJ3">
        <v>8.56</v>
      </c>
      <c r="BK3">
        <v>18.34</v>
      </c>
      <c r="BL3">
        <v>13.11125</v>
      </c>
      <c r="BN3">
        <v>0</v>
      </c>
      <c r="BP3">
        <v>2006</v>
      </c>
      <c r="BQ3">
        <v>2</v>
      </c>
      <c r="BR3">
        <v>0</v>
      </c>
      <c r="BS3">
        <v>4.282</v>
      </c>
      <c r="BT3">
        <v>19.670000000000002</v>
      </c>
      <c r="BU3">
        <v>12.426083333333333</v>
      </c>
      <c r="BW3">
        <v>0</v>
      </c>
      <c r="BY3">
        <v>2006</v>
      </c>
      <c r="BZ3">
        <v>2</v>
      </c>
      <c r="CA3">
        <v>1.7999999999999998</v>
      </c>
      <c r="CB3">
        <v>3.4340000000000002</v>
      </c>
      <c r="CC3">
        <v>17.399999999999999</v>
      </c>
      <c r="CD3">
        <v>9.9175833333333347</v>
      </c>
      <c r="CF3">
        <v>0</v>
      </c>
    </row>
    <row r="4" spans="1:84" x14ac:dyDescent="0.25">
      <c r="A4">
        <v>2006</v>
      </c>
      <c r="B4">
        <v>121</v>
      </c>
      <c r="C4">
        <v>1100</v>
      </c>
      <c r="D4" s="7">
        <v>642.29999999999995</v>
      </c>
      <c r="E4" s="7">
        <v>400.3</v>
      </c>
      <c r="F4" s="7">
        <v>9.3800000000000008</v>
      </c>
      <c r="G4" s="7">
        <v>9.4600000000000009</v>
      </c>
      <c r="H4" s="7"/>
      <c r="I4" s="7"/>
      <c r="J4" s="7"/>
      <c r="K4" s="7">
        <v>4.84</v>
      </c>
      <c r="L4" s="7">
        <v>311.3</v>
      </c>
      <c r="M4" s="7">
        <v>0.2</v>
      </c>
      <c r="N4" s="7"/>
      <c r="O4" s="7">
        <v>808</v>
      </c>
      <c r="P4" s="7">
        <v>216.1</v>
      </c>
      <c r="Q4" s="7">
        <v>10.06</v>
      </c>
      <c r="R4" s="7"/>
      <c r="S4" s="7">
        <v>9.6199999999999992</v>
      </c>
      <c r="T4" s="7">
        <v>0</v>
      </c>
      <c r="U4" s="7">
        <v>99</v>
      </c>
      <c r="V4" s="7">
        <v>816</v>
      </c>
      <c r="W4" s="7">
        <v>34.11</v>
      </c>
      <c r="X4" s="7"/>
      <c r="Y4" s="7">
        <v>14.57</v>
      </c>
      <c r="Z4" s="11"/>
      <c r="AA4" s="13">
        <v>122</v>
      </c>
      <c r="AB4" s="9">
        <v>2</v>
      </c>
      <c r="AC4" s="17">
        <f t="shared" ca="1" si="0"/>
        <v>10.336249999999998</v>
      </c>
      <c r="AD4">
        <f t="shared" ca="1" si="1"/>
        <v>8</v>
      </c>
      <c r="AF4">
        <v>2006</v>
      </c>
      <c r="AG4">
        <v>3</v>
      </c>
      <c r="AH4">
        <v>8</v>
      </c>
      <c r="AI4">
        <v>8.23</v>
      </c>
      <c r="AJ4">
        <v>13.14</v>
      </c>
      <c r="AK4">
        <v>10.336249999999998</v>
      </c>
      <c r="AM4">
        <v>0</v>
      </c>
      <c r="AO4">
        <v>2006</v>
      </c>
      <c r="AP4">
        <v>3</v>
      </c>
      <c r="AQ4">
        <v>28</v>
      </c>
      <c r="AR4">
        <v>8.23</v>
      </c>
      <c r="AS4">
        <v>13.14</v>
      </c>
      <c r="AT4">
        <v>10.336249999999998</v>
      </c>
      <c r="AV4">
        <v>0</v>
      </c>
      <c r="AX4">
        <v>2006</v>
      </c>
      <c r="AY4">
        <v>3</v>
      </c>
      <c r="AZ4">
        <v>32.799999999999997</v>
      </c>
      <c r="BA4">
        <v>4.7149999999999999</v>
      </c>
      <c r="BB4">
        <v>12.36</v>
      </c>
      <c r="BC4">
        <v>10.111125000000003</v>
      </c>
      <c r="BE4">
        <v>0</v>
      </c>
      <c r="BG4">
        <v>2006</v>
      </c>
      <c r="BH4">
        <v>3</v>
      </c>
      <c r="BI4">
        <v>20</v>
      </c>
      <c r="BJ4">
        <v>4.282</v>
      </c>
      <c r="BK4">
        <v>19.670000000000002</v>
      </c>
      <c r="BL4">
        <v>12.426083333333333</v>
      </c>
      <c r="BN4">
        <v>0</v>
      </c>
      <c r="BP4">
        <v>2006</v>
      </c>
      <c r="BQ4">
        <v>3</v>
      </c>
      <c r="BR4">
        <v>20</v>
      </c>
      <c r="BS4">
        <v>8.1999999999999993</v>
      </c>
      <c r="BT4">
        <v>21.34</v>
      </c>
      <c r="BU4">
        <v>15.038333333333336</v>
      </c>
      <c r="BW4">
        <v>0</v>
      </c>
      <c r="BY4">
        <v>2006</v>
      </c>
      <c r="BZ4">
        <v>3</v>
      </c>
      <c r="CA4">
        <v>22.4</v>
      </c>
      <c r="CB4">
        <v>6.9939999999999998</v>
      </c>
      <c r="CC4">
        <v>13.56</v>
      </c>
      <c r="CD4">
        <v>9.9539166666666681</v>
      </c>
      <c r="CF4">
        <v>0</v>
      </c>
    </row>
    <row r="5" spans="1:84" x14ac:dyDescent="0.25">
      <c r="A5">
        <v>2006</v>
      </c>
      <c r="B5">
        <v>121</v>
      </c>
      <c r="C5">
        <v>1200</v>
      </c>
      <c r="D5" s="7">
        <v>398.1</v>
      </c>
      <c r="E5" s="7">
        <v>225.2</v>
      </c>
      <c r="F5" s="7">
        <v>8.9700000000000006</v>
      </c>
      <c r="G5" s="7">
        <v>9.0500000000000007</v>
      </c>
      <c r="H5" s="7"/>
      <c r="I5" s="7"/>
      <c r="J5" s="7"/>
      <c r="K5" s="7">
        <v>3.4409999999999998</v>
      </c>
      <c r="L5" s="7">
        <v>330.9</v>
      </c>
      <c r="M5" s="7">
        <v>0.2</v>
      </c>
      <c r="N5" s="7"/>
      <c r="O5" s="7">
        <v>506.4</v>
      </c>
      <c r="P5" s="7">
        <v>130</v>
      </c>
      <c r="Q5" s="7">
        <v>10.23</v>
      </c>
      <c r="R5" s="7"/>
      <c r="S5" s="7">
        <v>9.6</v>
      </c>
      <c r="T5" s="7">
        <v>0</v>
      </c>
      <c r="U5" s="7">
        <v>99</v>
      </c>
      <c r="V5" s="7">
        <v>812</v>
      </c>
      <c r="W5" s="7">
        <v>33.909999999999997</v>
      </c>
      <c r="X5" s="7"/>
      <c r="Y5" s="7">
        <v>14.04</v>
      </c>
      <c r="Z5" s="11"/>
      <c r="AA5" s="13">
        <v>123</v>
      </c>
      <c r="AB5" s="9">
        <v>3</v>
      </c>
      <c r="AC5" s="17">
        <f t="shared" ca="1" si="0"/>
        <v>10.111125000000003</v>
      </c>
      <c r="AD5">
        <f t="shared" ca="1" si="1"/>
        <v>12.799999999999999</v>
      </c>
      <c r="AF5">
        <v>2006</v>
      </c>
      <c r="AG5">
        <v>4</v>
      </c>
      <c r="AH5">
        <v>12.799999999999999</v>
      </c>
      <c r="AI5">
        <v>4.7149999999999999</v>
      </c>
      <c r="AJ5">
        <v>12.36</v>
      </c>
      <c r="AK5">
        <v>10.111125000000003</v>
      </c>
      <c r="AM5">
        <v>0</v>
      </c>
      <c r="AO5">
        <v>2006</v>
      </c>
      <c r="AP5">
        <v>4</v>
      </c>
      <c r="AQ5">
        <v>12.799999999999999</v>
      </c>
      <c r="AR5">
        <v>4.7149999999999999</v>
      </c>
      <c r="AS5">
        <v>12.36</v>
      </c>
      <c r="AT5">
        <v>10.111125000000003</v>
      </c>
      <c r="AV5">
        <v>0</v>
      </c>
      <c r="AX5">
        <v>2006</v>
      </c>
      <c r="AY5">
        <v>4</v>
      </c>
      <c r="AZ5">
        <v>0</v>
      </c>
      <c r="BA5">
        <v>8.32</v>
      </c>
      <c r="BB5">
        <v>14.45</v>
      </c>
      <c r="BC5">
        <v>11.101666666666667</v>
      </c>
      <c r="BE5">
        <v>0</v>
      </c>
      <c r="BG5">
        <v>2006</v>
      </c>
      <c r="BH5">
        <v>4</v>
      </c>
      <c r="BI5">
        <v>0</v>
      </c>
      <c r="BJ5">
        <v>8.1999999999999993</v>
      </c>
      <c r="BK5">
        <v>21.34</v>
      </c>
      <c r="BL5">
        <v>15.038333333333336</v>
      </c>
      <c r="BN5">
        <v>0</v>
      </c>
      <c r="BP5">
        <v>2006</v>
      </c>
      <c r="BQ5">
        <v>4</v>
      </c>
      <c r="BR5">
        <v>1.7999999999999998</v>
      </c>
      <c r="BS5">
        <v>3.4340000000000002</v>
      </c>
      <c r="BT5">
        <v>17.399999999999999</v>
      </c>
      <c r="BU5">
        <v>9.9175833333333347</v>
      </c>
      <c r="BW5">
        <v>0</v>
      </c>
      <c r="BY5">
        <v>2006</v>
      </c>
      <c r="BZ5">
        <v>4</v>
      </c>
      <c r="CA5">
        <v>4.3999999999999995</v>
      </c>
      <c r="CB5">
        <v>9.27</v>
      </c>
      <c r="CC5">
        <v>11.09</v>
      </c>
      <c r="CD5">
        <v>10.364166666666666</v>
      </c>
      <c r="CF5">
        <v>0</v>
      </c>
    </row>
    <row r="6" spans="1:84" x14ac:dyDescent="0.25">
      <c r="A6">
        <v>2006</v>
      </c>
      <c r="B6">
        <v>121</v>
      </c>
      <c r="C6">
        <v>1300</v>
      </c>
      <c r="D6" s="7">
        <v>612.4</v>
      </c>
      <c r="E6" s="7">
        <v>374.4</v>
      </c>
      <c r="F6" s="7">
        <v>10.01</v>
      </c>
      <c r="G6" s="7">
        <v>10.08</v>
      </c>
      <c r="H6" s="7"/>
      <c r="I6" s="7"/>
      <c r="J6" s="7"/>
      <c r="K6" s="7">
        <v>3.2989999999999999</v>
      </c>
      <c r="L6" s="7">
        <v>0</v>
      </c>
      <c r="M6" s="7">
        <v>0.2</v>
      </c>
      <c r="N6" s="7"/>
      <c r="O6" s="7">
        <v>776</v>
      </c>
      <c r="P6" s="7">
        <v>177.6</v>
      </c>
      <c r="Q6" s="7">
        <v>10.43</v>
      </c>
      <c r="R6" s="7"/>
      <c r="S6" s="7">
        <v>9.6999999999999993</v>
      </c>
      <c r="T6" s="7">
        <v>0</v>
      </c>
      <c r="U6" s="7">
        <v>99.2</v>
      </c>
      <c r="V6" s="7">
        <v>810</v>
      </c>
      <c r="W6" s="7">
        <v>33.78</v>
      </c>
      <c r="X6" s="7"/>
      <c r="Y6" s="7">
        <v>14.32</v>
      </c>
      <c r="Z6" s="11"/>
      <c r="AA6" s="13">
        <v>124</v>
      </c>
      <c r="AB6" s="9">
        <v>4</v>
      </c>
      <c r="AC6" s="17">
        <f t="shared" ca="1" si="0"/>
        <v>11.101666666666667</v>
      </c>
      <c r="AD6">
        <f t="shared" ca="1" si="1"/>
        <v>0</v>
      </c>
      <c r="AF6">
        <v>2006</v>
      </c>
      <c r="AG6">
        <v>5</v>
      </c>
      <c r="AH6">
        <v>0</v>
      </c>
      <c r="AI6">
        <v>8.32</v>
      </c>
      <c r="AJ6">
        <v>14.45</v>
      </c>
      <c r="AK6">
        <v>11.101666666666667</v>
      </c>
      <c r="AM6">
        <v>0</v>
      </c>
      <c r="AO6">
        <v>2006</v>
      </c>
      <c r="AP6">
        <v>5</v>
      </c>
      <c r="AQ6">
        <v>0</v>
      </c>
      <c r="AR6">
        <v>8.32</v>
      </c>
      <c r="AS6">
        <v>14.45</v>
      </c>
      <c r="AT6">
        <v>11.101666666666667</v>
      </c>
      <c r="AV6">
        <v>0</v>
      </c>
      <c r="AX6">
        <v>2006</v>
      </c>
      <c r="AY6">
        <v>5</v>
      </c>
      <c r="AZ6">
        <v>0</v>
      </c>
      <c r="BA6">
        <v>5.8849999999999998</v>
      </c>
      <c r="BB6">
        <v>14.99</v>
      </c>
      <c r="BC6">
        <v>10.364000000000001</v>
      </c>
      <c r="BE6">
        <v>0</v>
      </c>
      <c r="BG6">
        <v>2006</v>
      </c>
      <c r="BH6">
        <v>5</v>
      </c>
      <c r="BI6">
        <v>1.7999999999999998</v>
      </c>
      <c r="BJ6">
        <v>3.4340000000000002</v>
      </c>
      <c r="BK6">
        <v>17.399999999999999</v>
      </c>
      <c r="BL6">
        <v>9.9175833333333347</v>
      </c>
      <c r="BN6">
        <v>0</v>
      </c>
      <c r="BP6">
        <v>2006</v>
      </c>
      <c r="BQ6">
        <v>5</v>
      </c>
      <c r="BR6">
        <v>2.4000000000000004</v>
      </c>
      <c r="BS6">
        <v>6.9939999999999998</v>
      </c>
      <c r="BT6">
        <v>13.56</v>
      </c>
      <c r="BU6">
        <v>9.9539166666666681</v>
      </c>
      <c r="BW6">
        <v>0</v>
      </c>
      <c r="BY6">
        <v>2006</v>
      </c>
      <c r="BZ6">
        <v>5</v>
      </c>
      <c r="CA6">
        <v>5.4</v>
      </c>
      <c r="CB6">
        <v>8.2200000000000006</v>
      </c>
      <c r="CC6">
        <v>12.47</v>
      </c>
      <c r="CD6">
        <v>11.113750000000001</v>
      </c>
      <c r="CF6">
        <v>0</v>
      </c>
    </row>
    <row r="7" spans="1:84" x14ac:dyDescent="0.25">
      <c r="A7">
        <v>2006</v>
      </c>
      <c r="B7">
        <v>121</v>
      </c>
      <c r="C7">
        <v>1400</v>
      </c>
      <c r="D7" s="7">
        <v>556.70000000000005</v>
      </c>
      <c r="E7" s="7">
        <v>312</v>
      </c>
      <c r="F7" s="7">
        <v>10.5</v>
      </c>
      <c r="G7" s="7">
        <v>10.52</v>
      </c>
      <c r="H7" s="7"/>
      <c r="I7" s="7"/>
      <c r="J7" s="7"/>
      <c r="K7" s="7">
        <v>4.0270000000000001</v>
      </c>
      <c r="L7" s="7">
        <v>0</v>
      </c>
      <c r="M7" s="7">
        <v>0.2</v>
      </c>
      <c r="N7" s="7"/>
      <c r="O7" s="7">
        <v>687.4</v>
      </c>
      <c r="P7" s="7">
        <v>180.8</v>
      </c>
      <c r="Q7" s="7">
        <v>10.69</v>
      </c>
      <c r="R7" s="7"/>
      <c r="S7" s="7">
        <v>9.8699999999999992</v>
      </c>
      <c r="T7" s="7">
        <v>0</v>
      </c>
      <c r="U7" s="7">
        <v>99.7</v>
      </c>
      <c r="V7" s="7">
        <v>807</v>
      </c>
      <c r="W7" s="7">
        <v>33.64</v>
      </c>
      <c r="X7" s="7"/>
      <c r="Y7" s="7">
        <v>14.24</v>
      </c>
      <c r="Z7" s="11"/>
      <c r="AA7" s="13">
        <v>125</v>
      </c>
      <c r="AB7" s="9">
        <v>5</v>
      </c>
      <c r="AC7" s="17">
        <f t="shared" ca="1" si="0"/>
        <v>10.364000000000001</v>
      </c>
      <c r="AD7">
        <f t="shared" ca="1" si="1"/>
        <v>0</v>
      </c>
      <c r="AF7">
        <v>2006</v>
      </c>
      <c r="AG7">
        <v>6</v>
      </c>
      <c r="AH7">
        <v>0</v>
      </c>
      <c r="AI7">
        <v>5.8849999999999998</v>
      </c>
      <c r="AJ7">
        <v>14.99</v>
      </c>
      <c r="AK7">
        <v>10.364000000000001</v>
      </c>
      <c r="AM7">
        <v>0</v>
      </c>
      <c r="AO7">
        <v>2006</v>
      </c>
      <c r="AP7">
        <v>6</v>
      </c>
      <c r="AQ7">
        <v>0</v>
      </c>
      <c r="AR7">
        <v>5.8849999999999998</v>
      </c>
      <c r="AS7">
        <v>14.99</v>
      </c>
      <c r="AT7">
        <v>10.364000000000001</v>
      </c>
      <c r="AV7">
        <v>0</v>
      </c>
      <c r="AX7">
        <v>2006</v>
      </c>
      <c r="AY7">
        <v>6</v>
      </c>
      <c r="AZ7">
        <v>1.4</v>
      </c>
      <c r="BA7">
        <v>9.1999999999999993</v>
      </c>
      <c r="BB7">
        <v>14.95</v>
      </c>
      <c r="BC7">
        <v>12.067083333333334</v>
      </c>
      <c r="BE7">
        <v>0</v>
      </c>
      <c r="BG7">
        <v>2006</v>
      </c>
      <c r="BH7">
        <v>6</v>
      </c>
      <c r="BI7">
        <v>2.4000000000000004</v>
      </c>
      <c r="BJ7">
        <v>6.9939999999999998</v>
      </c>
      <c r="BK7">
        <v>13.56</v>
      </c>
      <c r="BL7">
        <v>9.9539166666666681</v>
      </c>
      <c r="BN7">
        <v>0</v>
      </c>
      <c r="BP7">
        <v>2006</v>
      </c>
      <c r="BQ7">
        <v>6</v>
      </c>
      <c r="BR7">
        <v>4.3999999999999995</v>
      </c>
      <c r="BS7">
        <v>9.27</v>
      </c>
      <c r="BT7">
        <v>11.09</v>
      </c>
      <c r="BU7">
        <v>10.364166666666666</v>
      </c>
      <c r="BW7">
        <v>0</v>
      </c>
      <c r="BY7">
        <v>2006</v>
      </c>
      <c r="BZ7">
        <v>6</v>
      </c>
      <c r="CA7">
        <v>7.2000000000000011</v>
      </c>
      <c r="CB7">
        <v>10.39</v>
      </c>
      <c r="CC7">
        <v>16.329999999999998</v>
      </c>
      <c r="CD7">
        <v>13.211250000000005</v>
      </c>
      <c r="CF7">
        <v>0</v>
      </c>
    </row>
    <row r="8" spans="1:84" x14ac:dyDescent="0.25">
      <c r="A8">
        <v>2006</v>
      </c>
      <c r="B8">
        <v>121</v>
      </c>
      <c r="C8">
        <v>1500</v>
      </c>
      <c r="D8" s="7">
        <v>263.7</v>
      </c>
      <c r="E8" s="7">
        <v>129.1</v>
      </c>
      <c r="F8" s="7">
        <v>9.68</v>
      </c>
      <c r="G8" s="7">
        <v>9.56</v>
      </c>
      <c r="H8" s="7"/>
      <c r="I8" s="7"/>
      <c r="J8" s="7"/>
      <c r="K8" s="7">
        <v>2.5720000000000001</v>
      </c>
      <c r="L8" s="7">
        <v>0</v>
      </c>
      <c r="M8" s="7">
        <v>0.2</v>
      </c>
      <c r="N8" s="7"/>
      <c r="O8" s="7">
        <v>329.3</v>
      </c>
      <c r="P8" s="7">
        <v>90.1</v>
      </c>
      <c r="Q8" s="7">
        <v>10.93</v>
      </c>
      <c r="R8" s="7"/>
      <c r="S8" s="7">
        <v>10</v>
      </c>
      <c r="T8" s="7">
        <v>0</v>
      </c>
      <c r="U8" s="7">
        <v>101.4</v>
      </c>
      <c r="V8" s="7">
        <v>804</v>
      </c>
      <c r="W8" s="7">
        <v>33.46</v>
      </c>
      <c r="X8" s="7"/>
      <c r="Y8" s="7">
        <v>13.95</v>
      </c>
      <c r="Z8" s="11"/>
      <c r="AA8" s="13">
        <v>126</v>
      </c>
      <c r="AB8" s="9">
        <v>6</v>
      </c>
      <c r="AC8" s="17">
        <f t="shared" ca="1" si="0"/>
        <v>12.067083333333334</v>
      </c>
      <c r="AD8">
        <f t="shared" ca="1" si="1"/>
        <v>1.4</v>
      </c>
      <c r="AF8">
        <v>2006</v>
      </c>
      <c r="AG8">
        <v>7</v>
      </c>
      <c r="AH8">
        <v>1.4</v>
      </c>
      <c r="AI8">
        <v>9.1999999999999993</v>
      </c>
      <c r="AJ8">
        <v>14.95</v>
      </c>
      <c r="AK8">
        <v>12.067083333333334</v>
      </c>
      <c r="AM8">
        <v>0</v>
      </c>
      <c r="AO8">
        <v>2006</v>
      </c>
      <c r="AP8">
        <v>7</v>
      </c>
      <c r="AQ8">
        <v>1.4</v>
      </c>
      <c r="AR8">
        <v>9.1999999999999993</v>
      </c>
      <c r="AS8">
        <v>14.95</v>
      </c>
      <c r="AT8">
        <v>12.067083333333334</v>
      </c>
      <c r="AV8">
        <v>0</v>
      </c>
      <c r="AX8">
        <v>2006</v>
      </c>
      <c r="AY8">
        <v>7</v>
      </c>
      <c r="AZ8">
        <v>8.1999999999999993</v>
      </c>
      <c r="BA8">
        <v>8.8000000000000007</v>
      </c>
      <c r="BB8">
        <v>17.53</v>
      </c>
      <c r="BC8">
        <v>11.790000000000001</v>
      </c>
      <c r="BE8">
        <v>0</v>
      </c>
      <c r="BG8">
        <v>2006</v>
      </c>
      <c r="BH8">
        <v>7</v>
      </c>
      <c r="BI8">
        <v>4.3999999999999995</v>
      </c>
      <c r="BJ8">
        <v>9.27</v>
      </c>
      <c r="BK8">
        <v>11.09</v>
      </c>
      <c r="BL8">
        <v>10.364166666666666</v>
      </c>
      <c r="BN8">
        <v>0</v>
      </c>
      <c r="BP8">
        <v>2006</v>
      </c>
      <c r="BQ8">
        <v>7</v>
      </c>
      <c r="BR8">
        <v>5.4</v>
      </c>
      <c r="BS8">
        <v>8.2200000000000006</v>
      </c>
      <c r="BT8">
        <v>12.47</v>
      </c>
      <c r="BU8">
        <v>11.113750000000001</v>
      </c>
      <c r="BW8">
        <v>0</v>
      </c>
      <c r="BY8">
        <v>2006</v>
      </c>
      <c r="BZ8">
        <v>7</v>
      </c>
      <c r="CA8">
        <v>7.6000000000000005</v>
      </c>
      <c r="CB8">
        <v>10.29</v>
      </c>
      <c r="CC8">
        <v>13.94</v>
      </c>
      <c r="CD8">
        <v>12.357083333333335</v>
      </c>
      <c r="CF8">
        <v>0</v>
      </c>
    </row>
    <row r="9" spans="1:84" x14ac:dyDescent="0.25">
      <c r="A9">
        <v>2006</v>
      </c>
      <c r="B9">
        <v>121</v>
      </c>
      <c r="C9">
        <v>1600</v>
      </c>
      <c r="D9" s="7">
        <v>415.6</v>
      </c>
      <c r="E9" s="7">
        <v>235</v>
      </c>
      <c r="F9" s="7">
        <v>10.52</v>
      </c>
      <c r="G9" s="7">
        <v>10.51</v>
      </c>
      <c r="H9" s="7"/>
      <c r="I9" s="7"/>
      <c r="J9" s="7"/>
      <c r="K9" s="7">
        <v>3.17</v>
      </c>
      <c r="L9" s="7">
        <v>344.4</v>
      </c>
      <c r="M9" s="7">
        <v>0.2</v>
      </c>
      <c r="N9" s="7"/>
      <c r="O9" s="7">
        <v>523</v>
      </c>
      <c r="P9" s="7">
        <v>170.7</v>
      </c>
      <c r="Q9" s="7">
        <v>11.08</v>
      </c>
      <c r="R9" s="7"/>
      <c r="S9" s="7">
        <v>10.18</v>
      </c>
      <c r="T9" s="7">
        <v>0</v>
      </c>
      <c r="U9" s="7">
        <v>100.1</v>
      </c>
      <c r="V9" s="7">
        <v>802</v>
      </c>
      <c r="W9" s="7">
        <v>33.340000000000003</v>
      </c>
      <c r="X9" s="7"/>
      <c r="Y9" s="7">
        <v>14.13</v>
      </c>
      <c r="Z9" s="11"/>
      <c r="AA9" s="13">
        <v>127</v>
      </c>
      <c r="AB9" s="9">
        <v>7</v>
      </c>
      <c r="AC9" s="17">
        <f t="shared" ca="1" si="0"/>
        <v>11.790000000000001</v>
      </c>
      <c r="AD9">
        <f t="shared" ca="1" si="1"/>
        <v>8.1999999999999993</v>
      </c>
      <c r="AF9">
        <v>2006</v>
      </c>
      <c r="AG9">
        <v>8</v>
      </c>
      <c r="AH9">
        <v>8.1999999999999993</v>
      </c>
      <c r="AI9">
        <v>8.8000000000000007</v>
      </c>
      <c r="AJ9">
        <v>17.53</v>
      </c>
      <c r="AK9">
        <v>11.790000000000001</v>
      </c>
      <c r="AM9">
        <v>0</v>
      </c>
      <c r="AO9">
        <v>2006</v>
      </c>
      <c r="AP9">
        <v>8</v>
      </c>
      <c r="AQ9">
        <v>8.1999999999999993</v>
      </c>
      <c r="AR9">
        <v>8.8000000000000007</v>
      </c>
      <c r="AS9">
        <v>17.53</v>
      </c>
      <c r="AT9">
        <v>11.790000000000001</v>
      </c>
      <c r="AV9">
        <v>0</v>
      </c>
      <c r="AX9">
        <v>2006</v>
      </c>
      <c r="AY9">
        <v>8</v>
      </c>
      <c r="AZ9">
        <v>0</v>
      </c>
      <c r="BA9">
        <v>8.56</v>
      </c>
      <c r="BB9">
        <v>18.34</v>
      </c>
      <c r="BC9">
        <v>13.11125</v>
      </c>
      <c r="BE9">
        <v>0</v>
      </c>
      <c r="BG9">
        <v>2006</v>
      </c>
      <c r="BH9">
        <v>8</v>
      </c>
      <c r="BI9">
        <v>5.4</v>
      </c>
      <c r="BJ9">
        <v>8.2200000000000006</v>
      </c>
      <c r="BK9">
        <v>12.47</v>
      </c>
      <c r="BL9">
        <v>11.113750000000001</v>
      </c>
      <c r="BN9">
        <v>0</v>
      </c>
      <c r="BP9">
        <v>2006</v>
      </c>
      <c r="BQ9">
        <v>8</v>
      </c>
      <c r="BR9">
        <v>7.2000000000000011</v>
      </c>
      <c r="BS9">
        <v>10.39</v>
      </c>
      <c r="BT9">
        <v>16.329999999999998</v>
      </c>
      <c r="BU9">
        <v>13.211250000000005</v>
      </c>
      <c r="BW9">
        <v>0</v>
      </c>
      <c r="BY9">
        <v>2006</v>
      </c>
      <c r="BZ9">
        <v>8</v>
      </c>
      <c r="CA9">
        <v>1.8</v>
      </c>
      <c r="CB9">
        <v>9.39</v>
      </c>
      <c r="CC9">
        <v>15.77</v>
      </c>
      <c r="CD9">
        <v>11.679583333333333</v>
      </c>
      <c r="CF9">
        <v>0</v>
      </c>
    </row>
    <row r="10" spans="1:84" x14ac:dyDescent="0.25">
      <c r="A10">
        <v>2006</v>
      </c>
      <c r="B10">
        <v>121</v>
      </c>
      <c r="C10">
        <v>1700</v>
      </c>
      <c r="D10" s="7">
        <v>371.8</v>
      </c>
      <c r="E10" s="7">
        <v>199.5</v>
      </c>
      <c r="F10" s="7">
        <v>10.77</v>
      </c>
      <c r="G10" s="7">
        <v>10.71</v>
      </c>
      <c r="H10" s="7"/>
      <c r="I10" s="7"/>
      <c r="J10" s="7"/>
      <c r="K10" s="7">
        <v>2.9630000000000001</v>
      </c>
      <c r="L10" s="7">
        <v>321</v>
      </c>
      <c r="M10" s="7">
        <v>0</v>
      </c>
      <c r="N10" s="7"/>
      <c r="O10" s="7">
        <v>446.2</v>
      </c>
      <c r="P10" s="7">
        <v>184.9</v>
      </c>
      <c r="Q10" s="7">
        <v>11.21</v>
      </c>
      <c r="R10" s="7"/>
      <c r="S10" s="7">
        <v>10.38</v>
      </c>
      <c r="T10" s="7">
        <v>0</v>
      </c>
      <c r="U10" s="7">
        <v>100.7</v>
      </c>
      <c r="V10" s="7">
        <v>800</v>
      </c>
      <c r="W10" s="7">
        <v>33.25</v>
      </c>
      <c r="X10" s="7"/>
      <c r="Y10" s="7">
        <v>14.01</v>
      </c>
      <c r="Z10" s="11"/>
      <c r="AA10" s="13">
        <v>128</v>
      </c>
      <c r="AB10" s="9">
        <v>8</v>
      </c>
      <c r="AC10" s="17">
        <f t="shared" ca="1" si="0"/>
        <v>13.11125</v>
      </c>
      <c r="AD10">
        <f t="shared" ca="1" si="1"/>
        <v>0</v>
      </c>
      <c r="AF10">
        <v>2006</v>
      </c>
      <c r="AG10">
        <v>9</v>
      </c>
      <c r="AH10">
        <v>0</v>
      </c>
      <c r="AI10">
        <v>8.56</v>
      </c>
      <c r="AJ10">
        <v>18.34</v>
      </c>
      <c r="AK10">
        <v>13.11125</v>
      </c>
      <c r="AM10">
        <v>0</v>
      </c>
      <c r="AO10">
        <v>2006</v>
      </c>
      <c r="AP10">
        <v>9</v>
      </c>
      <c r="AQ10">
        <v>0</v>
      </c>
      <c r="AR10">
        <v>8.56</v>
      </c>
      <c r="AS10">
        <v>18.34</v>
      </c>
      <c r="AT10">
        <v>13.11125</v>
      </c>
      <c r="AV10">
        <v>0</v>
      </c>
      <c r="AX10">
        <v>2006</v>
      </c>
      <c r="AY10">
        <v>9</v>
      </c>
      <c r="AZ10">
        <v>20</v>
      </c>
      <c r="BA10">
        <v>4.282</v>
      </c>
      <c r="BB10">
        <v>19.670000000000002</v>
      </c>
      <c r="BC10">
        <v>12.426083333333333</v>
      </c>
      <c r="BE10">
        <v>0</v>
      </c>
      <c r="BG10">
        <v>2006</v>
      </c>
      <c r="BH10">
        <v>9</v>
      </c>
      <c r="BI10">
        <v>7.2000000000000011</v>
      </c>
      <c r="BJ10">
        <v>10.39</v>
      </c>
      <c r="BK10">
        <v>16.329999999999998</v>
      </c>
      <c r="BL10">
        <v>13.211250000000005</v>
      </c>
      <c r="BN10">
        <v>0</v>
      </c>
      <c r="BP10">
        <v>2006</v>
      </c>
      <c r="BQ10">
        <v>9</v>
      </c>
      <c r="BR10">
        <v>7.6</v>
      </c>
      <c r="BS10">
        <v>10.29</v>
      </c>
      <c r="BT10">
        <v>13.94</v>
      </c>
      <c r="BU10">
        <v>12.357083333333335</v>
      </c>
      <c r="BW10">
        <v>0</v>
      </c>
      <c r="BY10">
        <v>2006</v>
      </c>
      <c r="BZ10">
        <v>9</v>
      </c>
      <c r="CA10">
        <v>5.4</v>
      </c>
      <c r="CB10">
        <v>9.19</v>
      </c>
      <c r="CC10">
        <v>14.67</v>
      </c>
      <c r="CD10">
        <v>11.255833333333335</v>
      </c>
      <c r="CF10">
        <v>0</v>
      </c>
    </row>
    <row r="11" spans="1:84" x14ac:dyDescent="0.25">
      <c r="A11">
        <v>2006</v>
      </c>
      <c r="B11">
        <v>121</v>
      </c>
      <c r="C11">
        <v>1800</v>
      </c>
      <c r="D11" s="7">
        <v>118.6</v>
      </c>
      <c r="E11" s="7">
        <v>38.299999999999997</v>
      </c>
      <c r="F11" s="7">
        <v>10.01</v>
      </c>
      <c r="G11" s="7">
        <v>9.9</v>
      </c>
      <c r="H11" s="7"/>
      <c r="I11" s="7"/>
      <c r="J11" s="7"/>
      <c r="K11" s="7">
        <v>1.804</v>
      </c>
      <c r="L11" s="7">
        <v>305.39999999999998</v>
      </c>
      <c r="M11" s="7">
        <v>0.2</v>
      </c>
      <c r="N11" s="7"/>
      <c r="O11" s="7">
        <v>141.9</v>
      </c>
      <c r="P11" s="7">
        <v>50.01</v>
      </c>
      <c r="Q11" s="7">
        <v>11.27</v>
      </c>
      <c r="R11" s="7"/>
      <c r="S11" s="7">
        <v>10.47</v>
      </c>
      <c r="T11" s="7">
        <v>0</v>
      </c>
      <c r="U11" s="7">
        <v>101.4</v>
      </c>
      <c r="V11" s="7">
        <v>799</v>
      </c>
      <c r="W11" s="7">
        <v>33.18</v>
      </c>
      <c r="X11" s="7"/>
      <c r="Y11" s="7">
        <v>13.76</v>
      </c>
      <c r="Z11" s="11"/>
      <c r="AA11" s="13">
        <v>129</v>
      </c>
      <c r="AB11" s="9">
        <v>9</v>
      </c>
      <c r="AC11" s="17">
        <f t="shared" ca="1" si="0"/>
        <v>12.426083333333333</v>
      </c>
      <c r="AD11">
        <f t="shared" ca="1" si="1"/>
        <v>0</v>
      </c>
      <c r="AF11">
        <v>2006</v>
      </c>
      <c r="AG11">
        <v>10</v>
      </c>
      <c r="AH11">
        <v>0</v>
      </c>
      <c r="AI11">
        <v>4.282</v>
      </c>
      <c r="AJ11">
        <v>19.670000000000002</v>
      </c>
      <c r="AK11">
        <v>12.426083333333333</v>
      </c>
      <c r="AM11">
        <v>0</v>
      </c>
      <c r="AO11">
        <v>2006</v>
      </c>
      <c r="AP11">
        <v>10</v>
      </c>
      <c r="AQ11">
        <v>20</v>
      </c>
      <c r="AR11">
        <v>4.282</v>
      </c>
      <c r="AS11">
        <v>19.670000000000002</v>
      </c>
      <c r="AT11">
        <v>12.426083333333333</v>
      </c>
      <c r="AV11">
        <v>0</v>
      </c>
      <c r="AX11">
        <v>2006</v>
      </c>
      <c r="AY11">
        <v>10</v>
      </c>
      <c r="AZ11">
        <v>0</v>
      </c>
      <c r="BA11">
        <v>8.1999999999999993</v>
      </c>
      <c r="BB11">
        <v>21.34</v>
      </c>
      <c r="BC11">
        <v>15.038333333333336</v>
      </c>
      <c r="BE11">
        <v>0</v>
      </c>
      <c r="BG11">
        <v>2006</v>
      </c>
      <c r="BH11">
        <v>10</v>
      </c>
      <c r="BI11">
        <v>27.6</v>
      </c>
      <c r="BJ11">
        <v>10.29</v>
      </c>
      <c r="BK11">
        <v>13.94</v>
      </c>
      <c r="BL11">
        <v>12.357083333333335</v>
      </c>
      <c r="BN11">
        <v>0</v>
      </c>
      <c r="BP11">
        <v>2006</v>
      </c>
      <c r="BQ11">
        <v>10</v>
      </c>
      <c r="BR11">
        <v>21.8</v>
      </c>
      <c r="BS11">
        <v>9.39</v>
      </c>
      <c r="BT11">
        <v>15.77</v>
      </c>
      <c r="BU11">
        <v>11.679583333333333</v>
      </c>
      <c r="BW11">
        <v>0</v>
      </c>
      <c r="BY11">
        <v>2006</v>
      </c>
      <c r="BZ11">
        <v>10</v>
      </c>
      <c r="CA11">
        <v>20</v>
      </c>
      <c r="CB11">
        <v>0.33100000000000002</v>
      </c>
      <c r="CC11">
        <v>11.4</v>
      </c>
      <c r="CD11">
        <v>7.0180833333333341</v>
      </c>
      <c r="CF11">
        <v>0</v>
      </c>
    </row>
    <row r="12" spans="1:84" x14ac:dyDescent="0.25">
      <c r="A12">
        <v>2006</v>
      </c>
      <c r="B12">
        <v>121</v>
      </c>
      <c r="C12">
        <v>1900</v>
      </c>
      <c r="D12" s="7">
        <v>112.4</v>
      </c>
      <c r="E12" s="7">
        <v>32.36</v>
      </c>
      <c r="F12" s="7">
        <v>9.7100000000000009</v>
      </c>
      <c r="G12" s="7">
        <v>9.6199999999999992</v>
      </c>
      <c r="H12" s="7"/>
      <c r="I12" s="7"/>
      <c r="J12" s="7"/>
      <c r="K12" s="7">
        <v>1.5109999999999999</v>
      </c>
      <c r="L12" s="7">
        <v>244.4</v>
      </c>
      <c r="M12" s="7">
        <v>0</v>
      </c>
      <c r="N12" s="7"/>
      <c r="O12" s="7">
        <v>141.30000000000001</v>
      </c>
      <c r="P12" s="7">
        <v>63.09</v>
      </c>
      <c r="Q12" s="7">
        <v>11.25</v>
      </c>
      <c r="R12" s="7"/>
      <c r="S12" s="7">
        <v>10.55</v>
      </c>
      <c r="T12" s="7">
        <v>0</v>
      </c>
      <c r="U12" s="7">
        <v>101.1</v>
      </c>
      <c r="V12" s="7">
        <v>797</v>
      </c>
      <c r="W12" s="7">
        <v>33.1</v>
      </c>
      <c r="X12" s="7"/>
      <c r="Y12" s="7">
        <v>13.63</v>
      </c>
      <c r="Z12" s="11"/>
      <c r="AA12" s="13">
        <v>130</v>
      </c>
      <c r="AB12" s="9">
        <v>10</v>
      </c>
      <c r="AC12" s="17">
        <f t="shared" ca="1" si="0"/>
        <v>15.038333333333336</v>
      </c>
      <c r="AD12">
        <f t="shared" ca="1" si="1"/>
        <v>0</v>
      </c>
      <c r="AF12">
        <v>2006</v>
      </c>
      <c r="AG12">
        <v>11</v>
      </c>
      <c r="AH12">
        <v>0</v>
      </c>
      <c r="AI12">
        <v>8.1999999999999993</v>
      </c>
      <c r="AJ12">
        <v>21.34</v>
      </c>
      <c r="AK12">
        <v>15.038333333333336</v>
      </c>
      <c r="AM12">
        <v>0</v>
      </c>
      <c r="AO12">
        <v>2006</v>
      </c>
      <c r="AP12">
        <v>11</v>
      </c>
      <c r="AQ12">
        <v>0</v>
      </c>
      <c r="AR12">
        <v>8.1999999999999993</v>
      </c>
      <c r="AS12">
        <v>21.34</v>
      </c>
      <c r="AT12">
        <v>15.038333333333336</v>
      </c>
      <c r="AV12">
        <v>0</v>
      </c>
      <c r="AX12">
        <v>2006</v>
      </c>
      <c r="AY12">
        <v>11</v>
      </c>
      <c r="AZ12">
        <v>1.7999999999999998</v>
      </c>
      <c r="BA12">
        <v>3.4340000000000002</v>
      </c>
      <c r="BB12">
        <v>17.399999999999999</v>
      </c>
      <c r="BC12">
        <v>9.9175833333333347</v>
      </c>
      <c r="BE12">
        <v>0</v>
      </c>
      <c r="BG12">
        <v>2006</v>
      </c>
      <c r="BH12">
        <v>11</v>
      </c>
      <c r="BI12">
        <v>1.8</v>
      </c>
      <c r="BJ12">
        <v>9.39</v>
      </c>
      <c r="BK12">
        <v>15.77</v>
      </c>
      <c r="BL12">
        <v>11.679583333333333</v>
      </c>
      <c r="BN12">
        <v>0</v>
      </c>
      <c r="BP12">
        <v>2006</v>
      </c>
      <c r="BQ12">
        <v>11</v>
      </c>
      <c r="BR12">
        <v>5.4</v>
      </c>
      <c r="BS12">
        <v>9.19</v>
      </c>
      <c r="BT12">
        <v>14.67</v>
      </c>
      <c r="BU12">
        <v>11.255833333333335</v>
      </c>
      <c r="BW12">
        <v>0</v>
      </c>
      <c r="BY12">
        <v>2006</v>
      </c>
      <c r="BZ12">
        <v>11</v>
      </c>
      <c r="CA12">
        <v>8</v>
      </c>
      <c r="CB12">
        <v>5.9249999999999998</v>
      </c>
      <c r="CC12">
        <v>9.18</v>
      </c>
      <c r="CD12">
        <v>6.7622916666666661</v>
      </c>
      <c r="CF12">
        <v>0</v>
      </c>
    </row>
    <row r="13" spans="1:84" x14ac:dyDescent="0.25">
      <c r="A13">
        <v>2006</v>
      </c>
      <c r="B13">
        <v>121</v>
      </c>
      <c r="C13">
        <v>2000</v>
      </c>
      <c r="D13" s="7">
        <v>22.18</v>
      </c>
      <c r="E13" s="7">
        <v>-32.67</v>
      </c>
      <c r="F13" s="7">
        <v>8.4700000000000006</v>
      </c>
      <c r="G13" s="7">
        <v>8.33</v>
      </c>
      <c r="H13" s="7"/>
      <c r="I13" s="7"/>
      <c r="J13" s="7"/>
      <c r="K13" s="7">
        <v>0.877</v>
      </c>
      <c r="L13" s="7">
        <v>219.2</v>
      </c>
      <c r="M13" s="7">
        <v>0.2</v>
      </c>
      <c r="N13" s="7"/>
      <c r="O13" s="7">
        <v>20.97</v>
      </c>
      <c r="P13" s="7">
        <v>3.8079999999999998</v>
      </c>
      <c r="Q13" s="7">
        <v>11.23</v>
      </c>
      <c r="R13" s="7"/>
      <c r="S13" s="7">
        <v>10.6</v>
      </c>
      <c r="T13" s="7">
        <v>0</v>
      </c>
      <c r="U13" s="7">
        <v>101.9</v>
      </c>
      <c r="V13" s="7">
        <v>796</v>
      </c>
      <c r="W13" s="7">
        <v>33.049999999999997</v>
      </c>
      <c r="X13" s="7"/>
      <c r="Y13" s="7">
        <v>13.52</v>
      </c>
      <c r="Z13" s="11"/>
      <c r="AA13" s="13">
        <v>131</v>
      </c>
      <c r="AB13" s="9">
        <v>11</v>
      </c>
      <c r="AC13" s="17">
        <f t="shared" ca="1" si="0"/>
        <v>9.9175833333333347</v>
      </c>
      <c r="AD13">
        <f t="shared" ca="1" si="1"/>
        <v>1.7999999999999998</v>
      </c>
      <c r="AF13">
        <v>2006</v>
      </c>
      <c r="AG13">
        <v>12</v>
      </c>
      <c r="AH13">
        <v>1.7999999999999998</v>
      </c>
      <c r="AI13">
        <v>3.4340000000000002</v>
      </c>
      <c r="AJ13">
        <v>17.399999999999999</v>
      </c>
      <c r="AK13">
        <v>9.9175833333333347</v>
      </c>
      <c r="AM13">
        <v>0</v>
      </c>
      <c r="AO13">
        <v>2006</v>
      </c>
      <c r="AP13">
        <v>12</v>
      </c>
      <c r="AQ13">
        <v>1.7999999999999998</v>
      </c>
      <c r="AR13">
        <v>3.4340000000000002</v>
      </c>
      <c r="AS13">
        <v>17.399999999999999</v>
      </c>
      <c r="AT13">
        <v>9.9175833333333347</v>
      </c>
      <c r="AV13">
        <v>0</v>
      </c>
      <c r="AX13">
        <v>2006</v>
      </c>
      <c r="AY13">
        <v>12</v>
      </c>
      <c r="AZ13">
        <v>2.4000000000000004</v>
      </c>
      <c r="BA13">
        <v>6.9939999999999998</v>
      </c>
      <c r="BB13">
        <v>13.56</v>
      </c>
      <c r="BC13">
        <v>9.9539166666666681</v>
      </c>
      <c r="BE13">
        <v>0</v>
      </c>
      <c r="BG13">
        <v>2006</v>
      </c>
      <c r="BH13">
        <v>12</v>
      </c>
      <c r="BI13">
        <v>5.4</v>
      </c>
      <c r="BJ13">
        <v>9.19</v>
      </c>
      <c r="BK13">
        <v>14.67</v>
      </c>
      <c r="BL13">
        <v>11.255833333333335</v>
      </c>
      <c r="BN13">
        <v>0</v>
      </c>
      <c r="BP13">
        <v>2006</v>
      </c>
      <c r="BQ13">
        <v>12</v>
      </c>
      <c r="BR13">
        <v>0</v>
      </c>
      <c r="BS13">
        <v>0.33100000000000002</v>
      </c>
      <c r="BT13">
        <v>11.4</v>
      </c>
      <c r="BU13">
        <v>7.0180833333333341</v>
      </c>
      <c r="BW13">
        <v>0</v>
      </c>
      <c r="BY13">
        <v>2006</v>
      </c>
      <c r="BZ13">
        <v>12</v>
      </c>
      <c r="CA13">
        <v>0.2</v>
      </c>
      <c r="CB13">
        <v>1.74</v>
      </c>
      <c r="CC13">
        <v>10.06</v>
      </c>
      <c r="CD13">
        <v>5.6632500000000014</v>
      </c>
      <c r="CF13">
        <v>0</v>
      </c>
    </row>
    <row r="14" spans="1:84" x14ac:dyDescent="0.25">
      <c r="A14">
        <v>2006</v>
      </c>
      <c r="B14">
        <v>121</v>
      </c>
      <c r="C14">
        <v>2100</v>
      </c>
      <c r="D14" s="7">
        <v>-1.2949999999999999</v>
      </c>
      <c r="E14" s="7">
        <v>-26.46</v>
      </c>
      <c r="F14" s="7">
        <v>7.94</v>
      </c>
      <c r="G14" s="7">
        <v>7.86</v>
      </c>
      <c r="H14" s="7"/>
      <c r="I14" s="7"/>
      <c r="J14" s="7"/>
      <c r="K14" s="7">
        <v>1.5009999999999999</v>
      </c>
      <c r="L14" s="7">
        <v>220.9</v>
      </c>
      <c r="M14" s="7">
        <v>0</v>
      </c>
      <c r="N14" s="7"/>
      <c r="O14" s="7">
        <v>-11.18</v>
      </c>
      <c r="P14" s="7">
        <v>-10.77</v>
      </c>
      <c r="Q14" s="7">
        <v>11.13</v>
      </c>
      <c r="R14" s="7"/>
      <c r="S14" s="7">
        <v>10.6</v>
      </c>
      <c r="T14" s="7">
        <v>0</v>
      </c>
      <c r="U14" s="7">
        <v>101.1</v>
      </c>
      <c r="V14" s="7">
        <v>796</v>
      </c>
      <c r="W14" s="7">
        <v>33.03</v>
      </c>
      <c r="X14" s="7"/>
      <c r="Y14" s="7">
        <v>13.42</v>
      </c>
      <c r="Z14" s="11"/>
      <c r="AA14" s="13">
        <v>132</v>
      </c>
      <c r="AB14" s="9">
        <v>12</v>
      </c>
      <c r="AC14" s="17">
        <f t="shared" ca="1" si="0"/>
        <v>9.9539166666666681</v>
      </c>
      <c r="AD14">
        <f t="shared" ca="1" si="1"/>
        <v>2.4000000000000004</v>
      </c>
      <c r="AF14">
        <v>2006</v>
      </c>
      <c r="AG14">
        <v>13</v>
      </c>
      <c r="AH14">
        <v>2.4000000000000004</v>
      </c>
      <c r="AI14">
        <v>6.9939999999999998</v>
      </c>
      <c r="AJ14">
        <v>13.56</v>
      </c>
      <c r="AK14">
        <v>9.9539166666666681</v>
      </c>
      <c r="AM14">
        <v>0</v>
      </c>
      <c r="AO14">
        <v>2006</v>
      </c>
      <c r="AP14">
        <v>13</v>
      </c>
      <c r="AQ14">
        <v>2.4000000000000004</v>
      </c>
      <c r="AR14">
        <v>6.9939999999999998</v>
      </c>
      <c r="AS14">
        <v>13.56</v>
      </c>
      <c r="AT14">
        <v>9.9539166666666681</v>
      </c>
      <c r="AV14">
        <v>0</v>
      </c>
      <c r="AX14">
        <v>2006</v>
      </c>
      <c r="AY14">
        <v>13</v>
      </c>
      <c r="AZ14">
        <v>4.3999999999999995</v>
      </c>
      <c r="BA14">
        <v>9.27</v>
      </c>
      <c r="BB14">
        <v>11.09</v>
      </c>
      <c r="BC14">
        <v>10.364166666666666</v>
      </c>
      <c r="BE14">
        <v>0</v>
      </c>
      <c r="BG14">
        <v>2006</v>
      </c>
      <c r="BH14">
        <v>13</v>
      </c>
      <c r="BI14">
        <v>0</v>
      </c>
      <c r="BJ14">
        <v>0.33100000000000002</v>
      </c>
      <c r="BK14">
        <v>11.4</v>
      </c>
      <c r="BL14">
        <v>7.0180833333333341</v>
      </c>
      <c r="BN14">
        <v>0</v>
      </c>
      <c r="BP14">
        <v>2006</v>
      </c>
      <c r="BQ14">
        <v>13</v>
      </c>
      <c r="BR14">
        <v>8</v>
      </c>
      <c r="BS14">
        <v>5.9249999999999998</v>
      </c>
      <c r="BT14">
        <v>9.18</v>
      </c>
      <c r="BU14">
        <v>6.7622916666666661</v>
      </c>
      <c r="BW14">
        <v>0</v>
      </c>
      <c r="BY14">
        <v>2006</v>
      </c>
      <c r="BZ14">
        <v>13</v>
      </c>
      <c r="CA14">
        <v>6.2000000000000011</v>
      </c>
      <c r="CB14">
        <v>4.4109999999999996</v>
      </c>
      <c r="CC14">
        <v>11.61</v>
      </c>
      <c r="CD14">
        <v>7.225416666666665</v>
      </c>
      <c r="CF14">
        <v>0</v>
      </c>
    </row>
    <row r="15" spans="1:84" x14ac:dyDescent="0.25">
      <c r="A15">
        <v>2006</v>
      </c>
      <c r="B15">
        <v>121</v>
      </c>
      <c r="C15">
        <v>2200</v>
      </c>
      <c r="D15" s="7">
        <v>-2.6219999999999999</v>
      </c>
      <c r="E15" s="7">
        <v>-46.88</v>
      </c>
      <c r="F15" s="7">
        <v>6.758</v>
      </c>
      <c r="G15" s="7">
        <v>6.7080000000000002</v>
      </c>
      <c r="H15" s="7"/>
      <c r="I15" s="7"/>
      <c r="J15" s="7"/>
      <c r="K15" s="7">
        <v>1.141</v>
      </c>
      <c r="L15" s="7">
        <v>211.1</v>
      </c>
      <c r="M15" s="7">
        <v>0.2</v>
      </c>
      <c r="N15" s="7"/>
      <c r="O15" s="7">
        <v>-11.5</v>
      </c>
      <c r="P15" s="7">
        <v>-10.84</v>
      </c>
      <c r="Q15" s="7">
        <v>11.03</v>
      </c>
      <c r="R15" s="7"/>
      <c r="S15" s="7">
        <v>10.59</v>
      </c>
      <c r="T15" s="7">
        <v>0</v>
      </c>
      <c r="U15" s="7">
        <v>100.7</v>
      </c>
      <c r="V15" s="7">
        <v>796</v>
      </c>
      <c r="W15" s="7">
        <v>33.049999999999997</v>
      </c>
      <c r="X15" s="7"/>
      <c r="Y15" s="7">
        <v>13.35</v>
      </c>
      <c r="Z15" s="11"/>
      <c r="AA15" s="13">
        <v>133</v>
      </c>
      <c r="AB15" s="9">
        <v>13</v>
      </c>
      <c r="AC15" s="17">
        <f t="shared" ca="1" si="0"/>
        <v>10.364166666666666</v>
      </c>
      <c r="AD15">
        <f t="shared" ca="1" si="1"/>
        <v>4.3999999999999995</v>
      </c>
      <c r="AF15">
        <v>2006</v>
      </c>
      <c r="AG15">
        <v>14</v>
      </c>
      <c r="AH15">
        <v>4.3999999999999995</v>
      </c>
      <c r="AI15">
        <v>9.27</v>
      </c>
      <c r="AJ15">
        <v>11.09</v>
      </c>
      <c r="AK15">
        <v>10.364166666666666</v>
      </c>
      <c r="AM15">
        <v>0</v>
      </c>
      <c r="AO15">
        <v>2006</v>
      </c>
      <c r="AP15">
        <v>14</v>
      </c>
      <c r="AQ15">
        <v>4.3999999999999995</v>
      </c>
      <c r="AR15">
        <v>9.27</v>
      </c>
      <c r="AS15">
        <v>11.09</v>
      </c>
      <c r="AT15">
        <v>10.364166666666666</v>
      </c>
      <c r="AV15">
        <v>0</v>
      </c>
      <c r="AX15">
        <v>2006</v>
      </c>
      <c r="AY15">
        <v>14</v>
      </c>
      <c r="AZ15">
        <v>5.4</v>
      </c>
      <c r="BA15">
        <v>8.2200000000000006</v>
      </c>
      <c r="BB15">
        <v>12.47</v>
      </c>
      <c r="BC15">
        <v>11.113750000000001</v>
      </c>
      <c r="BE15">
        <v>0</v>
      </c>
      <c r="BG15">
        <v>2006</v>
      </c>
      <c r="BH15">
        <v>14</v>
      </c>
      <c r="BI15">
        <v>8</v>
      </c>
      <c r="BJ15">
        <v>5.9249999999999998</v>
      </c>
      <c r="BK15">
        <v>9.18</v>
      </c>
      <c r="BL15">
        <v>6.7622916666666661</v>
      </c>
      <c r="BN15">
        <v>0</v>
      </c>
      <c r="BP15">
        <v>2006</v>
      </c>
      <c r="BQ15">
        <v>14</v>
      </c>
      <c r="BR15">
        <v>0.2</v>
      </c>
      <c r="BS15">
        <v>1.74</v>
      </c>
      <c r="BT15">
        <v>10.06</v>
      </c>
      <c r="BU15">
        <v>5.6632500000000014</v>
      </c>
      <c r="BW15">
        <v>0</v>
      </c>
      <c r="BY15">
        <v>2006</v>
      </c>
      <c r="BZ15">
        <v>14</v>
      </c>
      <c r="CA15">
        <v>0.8</v>
      </c>
      <c r="CB15">
        <v>1.2569999999999999</v>
      </c>
      <c r="CC15">
        <v>12.02</v>
      </c>
      <c r="CD15">
        <v>7.8748333333333314</v>
      </c>
      <c r="CF15">
        <v>0</v>
      </c>
    </row>
    <row r="16" spans="1:84" x14ac:dyDescent="0.25">
      <c r="A16">
        <v>2006</v>
      </c>
      <c r="B16">
        <v>121</v>
      </c>
      <c r="C16">
        <v>2300</v>
      </c>
      <c r="D16" s="7">
        <v>-3.27</v>
      </c>
      <c r="E16" s="7">
        <v>-56.63</v>
      </c>
      <c r="F16" s="7">
        <v>5.4340000000000002</v>
      </c>
      <c r="G16" s="7">
        <v>5.5149999999999997</v>
      </c>
      <c r="H16" s="7"/>
      <c r="I16" s="7"/>
      <c r="J16" s="7"/>
      <c r="K16" s="7">
        <v>0.58499999999999996</v>
      </c>
      <c r="L16" s="7">
        <v>168.6</v>
      </c>
      <c r="M16" s="7">
        <v>0</v>
      </c>
      <c r="N16" s="7"/>
      <c r="O16" s="7">
        <v>-11.5</v>
      </c>
      <c r="P16" s="7">
        <v>-10.84</v>
      </c>
      <c r="Q16" s="7">
        <v>10.88</v>
      </c>
      <c r="R16" s="7"/>
      <c r="S16" s="7">
        <v>10.52</v>
      </c>
      <c r="T16" s="7">
        <v>0</v>
      </c>
      <c r="U16" s="7">
        <v>98.9</v>
      </c>
      <c r="V16" s="7">
        <v>801</v>
      </c>
      <c r="W16" s="7">
        <v>33.31</v>
      </c>
      <c r="X16" s="7"/>
      <c r="Y16" s="7">
        <v>13.28</v>
      </c>
      <c r="Z16" s="11"/>
      <c r="AA16" s="13">
        <v>134</v>
      </c>
      <c r="AB16" s="9">
        <v>14</v>
      </c>
      <c r="AC16" s="17">
        <f t="shared" ca="1" si="0"/>
        <v>11.113750000000001</v>
      </c>
      <c r="AD16">
        <f t="shared" ca="1" si="1"/>
        <v>5.4</v>
      </c>
      <c r="AF16">
        <v>2006</v>
      </c>
      <c r="AG16">
        <v>15</v>
      </c>
      <c r="AH16">
        <v>5.4</v>
      </c>
      <c r="AI16">
        <v>8.2200000000000006</v>
      </c>
      <c r="AJ16">
        <v>12.47</v>
      </c>
      <c r="AK16">
        <v>11.113750000000001</v>
      </c>
      <c r="AM16">
        <v>0</v>
      </c>
      <c r="AO16">
        <v>2006</v>
      </c>
      <c r="AP16">
        <v>15</v>
      </c>
      <c r="AQ16">
        <v>5.4</v>
      </c>
      <c r="AR16">
        <v>8.2200000000000006</v>
      </c>
      <c r="AS16">
        <v>12.47</v>
      </c>
      <c r="AT16">
        <v>11.113750000000001</v>
      </c>
      <c r="AV16">
        <v>0</v>
      </c>
      <c r="AX16">
        <v>2006</v>
      </c>
      <c r="AY16">
        <v>15</v>
      </c>
      <c r="AZ16">
        <v>7.2000000000000011</v>
      </c>
      <c r="BA16">
        <v>10.39</v>
      </c>
      <c r="BB16">
        <v>16.329999999999998</v>
      </c>
      <c r="BC16">
        <v>13.211250000000005</v>
      </c>
      <c r="BE16">
        <v>0</v>
      </c>
      <c r="BG16">
        <v>2006</v>
      </c>
      <c r="BH16">
        <v>15</v>
      </c>
      <c r="BI16">
        <v>0.2</v>
      </c>
      <c r="BJ16">
        <v>1.74</v>
      </c>
      <c r="BK16">
        <v>10.06</v>
      </c>
      <c r="BL16">
        <v>5.6632500000000014</v>
      </c>
      <c r="BN16">
        <v>0</v>
      </c>
      <c r="BP16">
        <v>2006</v>
      </c>
      <c r="BQ16">
        <v>15</v>
      </c>
      <c r="BR16">
        <v>6.2000000000000011</v>
      </c>
      <c r="BS16">
        <v>4.4109999999999996</v>
      </c>
      <c r="BT16">
        <v>11.61</v>
      </c>
      <c r="BU16">
        <v>7.225416666666665</v>
      </c>
      <c r="BW16">
        <v>0</v>
      </c>
      <c r="BY16">
        <v>2006</v>
      </c>
      <c r="BZ16">
        <v>15</v>
      </c>
      <c r="CA16">
        <v>7</v>
      </c>
      <c r="CB16">
        <v>8.9499999999999993</v>
      </c>
      <c r="CC16">
        <v>15.1</v>
      </c>
      <c r="CD16">
        <v>11.679583333333333</v>
      </c>
      <c r="CF16">
        <v>0</v>
      </c>
    </row>
    <row r="17" spans="1:84" x14ac:dyDescent="0.25">
      <c r="A17">
        <v>2006</v>
      </c>
      <c r="B17">
        <v>121</v>
      </c>
      <c r="C17">
        <v>2400</v>
      </c>
      <c r="D17" s="7">
        <v>-2.8639999999999999</v>
      </c>
      <c r="E17" s="7">
        <v>-49.85</v>
      </c>
      <c r="F17" s="7">
        <v>5.0720000000000001</v>
      </c>
      <c r="G17" s="7">
        <v>5.319</v>
      </c>
      <c r="H17" s="7"/>
      <c r="I17" s="7"/>
      <c r="J17" s="7"/>
      <c r="K17" s="7">
        <v>0.72699999999999998</v>
      </c>
      <c r="L17" s="7">
        <v>147.4</v>
      </c>
      <c r="M17" s="7">
        <v>0</v>
      </c>
      <c r="N17" s="7"/>
      <c r="O17" s="7">
        <v>-11.48</v>
      </c>
      <c r="P17" s="7">
        <v>-10.8</v>
      </c>
      <c r="Q17" s="7">
        <v>10.75</v>
      </c>
      <c r="R17" s="7"/>
      <c r="S17" s="7">
        <v>10.49</v>
      </c>
      <c r="T17" s="7">
        <v>0</v>
      </c>
      <c r="U17" s="7">
        <v>96.5</v>
      </c>
      <c r="V17" s="7">
        <v>813</v>
      </c>
      <c r="W17" s="7">
        <v>33.92</v>
      </c>
      <c r="X17" s="7"/>
      <c r="Y17" s="7">
        <v>13.21</v>
      </c>
      <c r="Z17" s="11"/>
      <c r="AA17" s="13">
        <v>135</v>
      </c>
      <c r="AB17" s="9">
        <v>15</v>
      </c>
      <c r="AC17" s="17">
        <f t="shared" ca="1" si="0"/>
        <v>13.211250000000005</v>
      </c>
      <c r="AD17">
        <f t="shared" ca="1" si="1"/>
        <v>7.2000000000000011</v>
      </c>
      <c r="AF17">
        <v>2006</v>
      </c>
      <c r="AG17">
        <v>16</v>
      </c>
      <c r="AH17">
        <v>7.2000000000000011</v>
      </c>
      <c r="AI17">
        <v>10.39</v>
      </c>
      <c r="AJ17">
        <v>16.329999999999998</v>
      </c>
      <c r="AK17">
        <v>13.211250000000005</v>
      </c>
      <c r="AM17">
        <v>0</v>
      </c>
      <c r="AO17">
        <v>2006</v>
      </c>
      <c r="AP17">
        <v>16</v>
      </c>
      <c r="AQ17">
        <v>7.2000000000000011</v>
      </c>
      <c r="AR17">
        <v>10.39</v>
      </c>
      <c r="AS17">
        <v>16.329999999999998</v>
      </c>
      <c r="AT17">
        <v>13.211250000000005</v>
      </c>
      <c r="AV17">
        <v>0</v>
      </c>
      <c r="AX17">
        <v>2006</v>
      </c>
      <c r="AY17">
        <v>16</v>
      </c>
      <c r="AZ17">
        <v>7.6000000000000005</v>
      </c>
      <c r="BA17">
        <v>10.29</v>
      </c>
      <c r="BB17">
        <v>13.94</v>
      </c>
      <c r="BC17">
        <v>12.357083333333335</v>
      </c>
      <c r="BE17">
        <v>0</v>
      </c>
      <c r="BG17">
        <v>2006</v>
      </c>
      <c r="BH17">
        <v>16</v>
      </c>
      <c r="BI17">
        <v>6.2000000000000011</v>
      </c>
      <c r="BJ17">
        <v>4.4109999999999996</v>
      </c>
      <c r="BK17">
        <v>11.61</v>
      </c>
      <c r="BL17">
        <v>7.225416666666665</v>
      </c>
      <c r="BN17">
        <v>0</v>
      </c>
      <c r="BP17">
        <v>2006</v>
      </c>
      <c r="BQ17">
        <v>16</v>
      </c>
      <c r="BR17">
        <v>0.8</v>
      </c>
      <c r="BS17">
        <v>1.2569999999999999</v>
      </c>
      <c r="BT17">
        <v>12.02</v>
      </c>
      <c r="BU17">
        <v>7.8748333333333314</v>
      </c>
      <c r="BW17">
        <v>0</v>
      </c>
      <c r="BY17">
        <v>2006</v>
      </c>
      <c r="BZ17">
        <v>16</v>
      </c>
      <c r="CA17">
        <v>0.4</v>
      </c>
      <c r="CB17">
        <v>10.220000000000001</v>
      </c>
      <c r="CC17">
        <v>17.72</v>
      </c>
      <c r="CD17">
        <v>13.275833333333338</v>
      </c>
      <c r="CF17">
        <v>0</v>
      </c>
    </row>
    <row r="18" spans="1:84" x14ac:dyDescent="0.25">
      <c r="A18">
        <v>2006</v>
      </c>
      <c r="B18">
        <v>122</v>
      </c>
      <c r="C18">
        <v>100</v>
      </c>
      <c r="D18" s="7">
        <v>-1.383</v>
      </c>
      <c r="E18" s="7">
        <v>-21.21</v>
      </c>
      <c r="F18" s="7">
        <v>6.2859999999999996</v>
      </c>
      <c r="G18" s="7">
        <v>6.5519999999999996</v>
      </c>
      <c r="H18" s="7"/>
      <c r="I18" s="7"/>
      <c r="J18" s="7"/>
      <c r="K18" s="7">
        <v>1.147</v>
      </c>
      <c r="L18" s="7">
        <v>132.4</v>
      </c>
      <c r="M18" s="7">
        <v>0</v>
      </c>
      <c r="N18" s="7"/>
      <c r="O18" s="7">
        <v>-11.37</v>
      </c>
      <c r="P18" s="7">
        <v>-10.71</v>
      </c>
      <c r="Q18" s="7">
        <v>10.57</v>
      </c>
      <c r="R18" s="7"/>
      <c r="S18" s="7">
        <v>10.39</v>
      </c>
      <c r="T18" s="7">
        <v>0</v>
      </c>
      <c r="U18" s="7">
        <v>96.3</v>
      </c>
      <c r="V18" s="7">
        <v>805</v>
      </c>
      <c r="W18" s="7">
        <v>33.51</v>
      </c>
      <c r="X18" s="7"/>
      <c r="Y18" s="7">
        <v>13.15</v>
      </c>
      <c r="Z18" s="11"/>
      <c r="AA18" s="13">
        <v>136</v>
      </c>
      <c r="AB18" s="9">
        <v>16</v>
      </c>
      <c r="AC18" s="17">
        <f t="shared" ca="1" si="0"/>
        <v>12.357083333333335</v>
      </c>
      <c r="AD18">
        <f t="shared" ca="1" si="1"/>
        <v>7.6000000000000005</v>
      </c>
      <c r="AF18">
        <v>2006</v>
      </c>
      <c r="AG18">
        <v>17</v>
      </c>
      <c r="AH18">
        <v>7.6000000000000005</v>
      </c>
      <c r="AI18">
        <v>10.29</v>
      </c>
      <c r="AJ18">
        <v>13.94</v>
      </c>
      <c r="AK18">
        <v>12.357083333333335</v>
      </c>
      <c r="AM18">
        <v>0</v>
      </c>
      <c r="AO18">
        <v>2006</v>
      </c>
      <c r="AP18">
        <v>17</v>
      </c>
      <c r="AQ18">
        <v>7.6000000000000005</v>
      </c>
      <c r="AR18">
        <v>10.29</v>
      </c>
      <c r="AS18">
        <v>13.94</v>
      </c>
      <c r="AT18">
        <v>12.357083333333335</v>
      </c>
      <c r="AV18">
        <v>0</v>
      </c>
      <c r="AX18">
        <v>2006</v>
      </c>
      <c r="AY18">
        <v>17</v>
      </c>
      <c r="AZ18">
        <v>1.8</v>
      </c>
      <c r="BA18">
        <v>9.39</v>
      </c>
      <c r="BB18">
        <v>15.77</v>
      </c>
      <c r="BC18">
        <v>11.679583333333333</v>
      </c>
      <c r="BE18">
        <v>0</v>
      </c>
      <c r="BG18">
        <v>2006</v>
      </c>
      <c r="BH18">
        <v>17</v>
      </c>
      <c r="BI18">
        <v>0.8</v>
      </c>
      <c r="BJ18">
        <v>1.2569999999999999</v>
      </c>
      <c r="BK18">
        <v>12.02</v>
      </c>
      <c r="BL18">
        <v>7.8748333333333314</v>
      </c>
      <c r="BN18">
        <v>0</v>
      </c>
      <c r="BP18">
        <v>2006</v>
      </c>
      <c r="BQ18">
        <v>17</v>
      </c>
      <c r="BR18">
        <v>7</v>
      </c>
      <c r="BS18">
        <v>8.9499999999999993</v>
      </c>
      <c r="BT18">
        <v>15.1</v>
      </c>
      <c r="BU18">
        <v>11.679583333333333</v>
      </c>
      <c r="BW18">
        <v>0</v>
      </c>
      <c r="BY18">
        <v>2006</v>
      </c>
      <c r="BZ18">
        <v>17</v>
      </c>
      <c r="CA18">
        <v>4.6000000000000005</v>
      </c>
      <c r="CB18">
        <v>8.36</v>
      </c>
      <c r="CC18">
        <v>16.29</v>
      </c>
      <c r="CD18">
        <v>11.808750000000002</v>
      </c>
      <c r="CF18">
        <v>0</v>
      </c>
    </row>
    <row r="19" spans="1:84" x14ac:dyDescent="0.25">
      <c r="A19">
        <v>2006</v>
      </c>
      <c r="B19">
        <v>122</v>
      </c>
      <c r="C19">
        <v>200</v>
      </c>
      <c r="D19" s="7">
        <v>-1.1779999999999999</v>
      </c>
      <c r="E19" s="7">
        <v>-19.899999999999999</v>
      </c>
      <c r="F19" s="7">
        <v>7.12</v>
      </c>
      <c r="G19" s="7">
        <v>7.28</v>
      </c>
      <c r="H19" s="7"/>
      <c r="I19" s="7"/>
      <c r="J19" s="7"/>
      <c r="K19" s="7">
        <v>1.8089999999999999</v>
      </c>
      <c r="L19" s="7">
        <v>113.8</v>
      </c>
      <c r="M19" s="7">
        <v>0.2</v>
      </c>
      <c r="N19" s="7"/>
      <c r="O19" s="7">
        <v>-11.43</v>
      </c>
      <c r="P19" s="7">
        <v>-10.74</v>
      </c>
      <c r="Q19" s="7">
        <v>10.44</v>
      </c>
      <c r="R19" s="7"/>
      <c r="S19" s="7">
        <v>10.33</v>
      </c>
      <c r="T19" s="7">
        <v>0</v>
      </c>
      <c r="U19" s="7">
        <v>97.9</v>
      </c>
      <c r="V19" s="7">
        <v>798</v>
      </c>
      <c r="W19" s="7">
        <v>33.17</v>
      </c>
      <c r="X19" s="7"/>
      <c r="Y19" s="7">
        <v>13.09</v>
      </c>
      <c r="Z19" s="11"/>
      <c r="AA19" s="13">
        <v>137</v>
      </c>
      <c r="AB19" s="9">
        <v>17</v>
      </c>
      <c r="AC19" s="17">
        <f t="shared" ca="1" si="0"/>
        <v>11.679583333333333</v>
      </c>
      <c r="AD19">
        <f t="shared" ca="1" si="1"/>
        <v>1.8</v>
      </c>
      <c r="AF19">
        <v>2006</v>
      </c>
      <c r="AG19">
        <v>18</v>
      </c>
      <c r="AH19">
        <v>1.8</v>
      </c>
      <c r="AI19">
        <v>9.39</v>
      </c>
      <c r="AJ19">
        <v>15.77</v>
      </c>
      <c r="AK19">
        <v>11.679583333333333</v>
      </c>
      <c r="AM19">
        <v>0</v>
      </c>
      <c r="AO19">
        <v>2006</v>
      </c>
      <c r="AP19">
        <v>18</v>
      </c>
      <c r="AQ19">
        <v>1.8</v>
      </c>
      <c r="AR19">
        <v>9.39</v>
      </c>
      <c r="AS19">
        <v>15.77</v>
      </c>
      <c r="AT19">
        <v>11.679583333333333</v>
      </c>
      <c r="AV19">
        <v>0</v>
      </c>
      <c r="AX19">
        <v>2006</v>
      </c>
      <c r="AY19">
        <v>18</v>
      </c>
      <c r="AZ19">
        <v>5.4</v>
      </c>
      <c r="BA19">
        <v>9.19</v>
      </c>
      <c r="BB19">
        <v>14.67</v>
      </c>
      <c r="BC19">
        <v>11.255833333333335</v>
      </c>
      <c r="BE19">
        <v>0</v>
      </c>
      <c r="BG19">
        <v>2006</v>
      </c>
      <c r="BH19">
        <v>18</v>
      </c>
      <c r="BI19">
        <v>7</v>
      </c>
      <c r="BJ19">
        <v>8.9499999999999993</v>
      </c>
      <c r="BK19">
        <v>15.1</v>
      </c>
      <c r="BL19">
        <v>11.679583333333333</v>
      </c>
      <c r="BN19">
        <v>0</v>
      </c>
      <c r="BP19">
        <v>2006</v>
      </c>
      <c r="BQ19">
        <v>18</v>
      </c>
      <c r="BR19">
        <v>0.4</v>
      </c>
      <c r="BS19">
        <v>10.220000000000001</v>
      </c>
      <c r="BT19">
        <v>17.72</v>
      </c>
      <c r="BU19">
        <v>13.275833333333338</v>
      </c>
      <c r="BW19">
        <v>0</v>
      </c>
      <c r="BY19">
        <v>2006</v>
      </c>
      <c r="BZ19">
        <v>18</v>
      </c>
      <c r="CA19">
        <v>0</v>
      </c>
      <c r="CB19">
        <v>5.51</v>
      </c>
      <c r="CC19">
        <v>14.65</v>
      </c>
      <c r="CD19">
        <v>10.031416666666665</v>
      </c>
      <c r="CF19">
        <v>0</v>
      </c>
    </row>
    <row r="20" spans="1:84" x14ac:dyDescent="0.25">
      <c r="A20">
        <v>2006</v>
      </c>
      <c r="B20">
        <v>122</v>
      </c>
      <c r="C20">
        <v>300</v>
      </c>
      <c r="D20" s="7">
        <v>-1.601</v>
      </c>
      <c r="E20" s="7">
        <v>-24.77</v>
      </c>
      <c r="F20" s="7">
        <v>7.79</v>
      </c>
      <c r="G20" s="7">
        <v>8.01</v>
      </c>
      <c r="H20" s="7"/>
      <c r="I20" s="7"/>
      <c r="J20" s="7"/>
      <c r="K20" s="7">
        <v>1.9419999999999999</v>
      </c>
      <c r="L20" s="7">
        <v>140.1</v>
      </c>
      <c r="M20" s="7">
        <v>0</v>
      </c>
      <c r="N20" s="7"/>
      <c r="O20" s="7">
        <v>-11.45</v>
      </c>
      <c r="P20" s="7">
        <v>-10.75</v>
      </c>
      <c r="Q20" s="7">
        <v>10.31</v>
      </c>
      <c r="R20" s="7"/>
      <c r="S20" s="7">
        <v>10.24</v>
      </c>
      <c r="T20" s="7">
        <v>0</v>
      </c>
      <c r="U20" s="7">
        <v>97.1</v>
      </c>
      <c r="V20" s="7">
        <v>799</v>
      </c>
      <c r="W20" s="7">
        <v>33.21</v>
      </c>
      <c r="X20" s="7"/>
      <c r="Y20" s="7">
        <v>13.03</v>
      </c>
      <c r="Z20" s="11"/>
      <c r="AA20" s="13">
        <v>138</v>
      </c>
      <c r="AB20" s="9">
        <v>18</v>
      </c>
      <c r="AC20" s="17">
        <f t="shared" ca="1" si="0"/>
        <v>11.255833333333335</v>
      </c>
      <c r="AD20">
        <f t="shared" ca="1" si="1"/>
        <v>5.4</v>
      </c>
      <c r="AF20">
        <v>2006</v>
      </c>
      <c r="AG20">
        <v>19</v>
      </c>
      <c r="AH20">
        <v>5.4</v>
      </c>
      <c r="AI20">
        <v>9.19</v>
      </c>
      <c r="AJ20">
        <v>14.67</v>
      </c>
      <c r="AK20">
        <v>11.255833333333335</v>
      </c>
      <c r="AM20">
        <v>0</v>
      </c>
      <c r="AO20">
        <v>2006</v>
      </c>
      <c r="AP20">
        <v>19</v>
      </c>
      <c r="AQ20">
        <v>5.4</v>
      </c>
      <c r="AR20">
        <v>9.19</v>
      </c>
      <c r="AS20">
        <v>14.67</v>
      </c>
      <c r="AT20">
        <v>11.255833333333335</v>
      </c>
      <c r="AV20">
        <v>0</v>
      </c>
      <c r="AX20">
        <v>2006</v>
      </c>
      <c r="AY20">
        <v>19</v>
      </c>
      <c r="AZ20">
        <v>0</v>
      </c>
      <c r="BA20">
        <v>0.33100000000000002</v>
      </c>
      <c r="BB20">
        <v>11.4</v>
      </c>
      <c r="BC20">
        <v>7.0180833333333341</v>
      </c>
      <c r="BE20">
        <v>0</v>
      </c>
      <c r="BG20">
        <v>2006</v>
      </c>
      <c r="BH20">
        <v>19</v>
      </c>
      <c r="BI20">
        <v>0.4</v>
      </c>
      <c r="BJ20">
        <v>10.220000000000001</v>
      </c>
      <c r="BK20">
        <v>17.72</v>
      </c>
      <c r="BL20">
        <v>13.275833333333338</v>
      </c>
      <c r="BN20">
        <v>0</v>
      </c>
      <c r="BP20">
        <v>2006</v>
      </c>
      <c r="BQ20">
        <v>19</v>
      </c>
      <c r="BR20">
        <v>4.6000000000000005</v>
      </c>
      <c r="BS20">
        <v>8.36</v>
      </c>
      <c r="BT20">
        <v>16.29</v>
      </c>
      <c r="BU20">
        <v>11.808750000000002</v>
      </c>
      <c r="BW20">
        <v>0</v>
      </c>
      <c r="BY20">
        <v>2006</v>
      </c>
      <c r="BZ20">
        <v>19</v>
      </c>
      <c r="CA20">
        <v>0</v>
      </c>
      <c r="CB20">
        <v>5.9219999999999997</v>
      </c>
      <c r="CC20">
        <v>12.75</v>
      </c>
      <c r="CD20">
        <v>9.0374166666666653</v>
      </c>
      <c r="CF20">
        <v>0</v>
      </c>
    </row>
    <row r="21" spans="1:84" x14ac:dyDescent="0.25">
      <c r="A21">
        <v>2006</v>
      </c>
      <c r="B21">
        <v>122</v>
      </c>
      <c r="C21">
        <v>400</v>
      </c>
      <c r="D21" s="7">
        <v>-1.17</v>
      </c>
      <c r="E21" s="7">
        <v>-21.73</v>
      </c>
      <c r="F21" s="7">
        <v>7.71</v>
      </c>
      <c r="G21" s="7">
        <v>7.83</v>
      </c>
      <c r="H21" s="7"/>
      <c r="I21" s="7"/>
      <c r="J21" s="7"/>
      <c r="K21" s="7">
        <v>2.258</v>
      </c>
      <c r="L21" s="7">
        <v>163.9</v>
      </c>
      <c r="M21" s="7">
        <v>0</v>
      </c>
      <c r="N21" s="7"/>
      <c r="O21" s="7">
        <v>-11.48</v>
      </c>
      <c r="P21" s="7">
        <v>-10.8</v>
      </c>
      <c r="Q21" s="7">
        <v>10.199999999999999</v>
      </c>
      <c r="R21" s="7"/>
      <c r="S21" s="7">
        <v>10.15</v>
      </c>
      <c r="T21" s="7">
        <v>0</v>
      </c>
      <c r="U21" s="7">
        <v>98.4</v>
      </c>
      <c r="V21" s="7">
        <v>797</v>
      </c>
      <c r="W21" s="7">
        <v>33.090000000000003</v>
      </c>
      <c r="X21" s="7"/>
      <c r="Y21" s="7">
        <v>12.99</v>
      </c>
      <c r="Z21" s="11"/>
      <c r="AA21" s="13">
        <v>139</v>
      </c>
      <c r="AB21" s="9">
        <v>19</v>
      </c>
      <c r="AC21" s="17">
        <f t="shared" ca="1" si="0"/>
        <v>7.0180833333333341</v>
      </c>
      <c r="AD21">
        <f t="shared" ca="1" si="1"/>
        <v>0</v>
      </c>
      <c r="AF21">
        <v>2006</v>
      </c>
      <c r="AG21">
        <v>20</v>
      </c>
      <c r="AH21">
        <v>0</v>
      </c>
      <c r="AI21">
        <v>0.33100000000000002</v>
      </c>
      <c r="AJ21">
        <v>11.4</v>
      </c>
      <c r="AK21">
        <v>7.0180833333333341</v>
      </c>
      <c r="AM21">
        <v>0</v>
      </c>
      <c r="AO21">
        <v>2006</v>
      </c>
      <c r="AP21">
        <v>20</v>
      </c>
      <c r="AQ21">
        <v>0</v>
      </c>
      <c r="AR21">
        <v>0.33100000000000002</v>
      </c>
      <c r="AS21">
        <v>11.4</v>
      </c>
      <c r="AT21">
        <v>7.0180833333333341</v>
      </c>
      <c r="AV21">
        <v>0</v>
      </c>
      <c r="AX21">
        <v>2006</v>
      </c>
      <c r="AY21">
        <v>20</v>
      </c>
      <c r="AZ21">
        <v>8</v>
      </c>
      <c r="BA21">
        <v>5.9249999999999998</v>
      </c>
      <c r="BB21">
        <v>9.18</v>
      </c>
      <c r="BC21">
        <v>6.7622916666666661</v>
      </c>
      <c r="BE21">
        <v>0</v>
      </c>
      <c r="BG21">
        <v>2006</v>
      </c>
      <c r="BH21">
        <v>20</v>
      </c>
      <c r="BI21">
        <v>4.6000000000000005</v>
      </c>
      <c r="BJ21">
        <v>8.36</v>
      </c>
      <c r="BK21">
        <v>16.29</v>
      </c>
      <c r="BL21">
        <v>11.808750000000002</v>
      </c>
      <c r="BN21">
        <v>0</v>
      </c>
      <c r="BP21">
        <v>2006</v>
      </c>
      <c r="BQ21">
        <v>20</v>
      </c>
      <c r="BR21">
        <v>0</v>
      </c>
      <c r="BS21">
        <v>5.51</v>
      </c>
      <c r="BT21">
        <v>14.65</v>
      </c>
      <c r="BU21">
        <v>10.031416666666665</v>
      </c>
      <c r="BW21">
        <v>0</v>
      </c>
      <c r="BY21">
        <v>2006</v>
      </c>
      <c r="BZ21">
        <v>20</v>
      </c>
      <c r="CA21">
        <v>0</v>
      </c>
      <c r="CB21">
        <v>1.411</v>
      </c>
      <c r="CC21">
        <v>12.38</v>
      </c>
      <c r="CD21">
        <v>8.2914583333333329</v>
      </c>
      <c r="CF21">
        <v>0</v>
      </c>
    </row>
    <row r="22" spans="1:84" x14ac:dyDescent="0.25">
      <c r="A22">
        <v>2006</v>
      </c>
      <c r="B22">
        <v>122</v>
      </c>
      <c r="C22">
        <v>500</v>
      </c>
      <c r="D22" s="7">
        <v>-0.64900000000000002</v>
      </c>
      <c r="E22" s="7">
        <v>-16.68</v>
      </c>
      <c r="F22" s="7">
        <v>7.58</v>
      </c>
      <c r="G22" s="7">
        <v>7.69</v>
      </c>
      <c r="H22" s="7"/>
      <c r="I22" s="7"/>
      <c r="J22" s="7"/>
      <c r="K22" s="7">
        <v>2.6709999999999998</v>
      </c>
      <c r="L22" s="7">
        <v>162.6</v>
      </c>
      <c r="M22" s="7">
        <v>0.2</v>
      </c>
      <c r="N22" s="7"/>
      <c r="O22" s="7">
        <v>-10.26</v>
      </c>
      <c r="P22" s="7">
        <v>-10.33</v>
      </c>
      <c r="Q22" s="7">
        <v>10.09</v>
      </c>
      <c r="R22" s="7"/>
      <c r="S22" s="7">
        <v>10.050000000000001</v>
      </c>
      <c r="T22" s="7">
        <v>0</v>
      </c>
      <c r="U22" s="7">
        <v>98.5</v>
      </c>
      <c r="V22" s="7">
        <v>795</v>
      </c>
      <c r="W22" s="7">
        <v>33</v>
      </c>
      <c r="X22" s="7"/>
      <c r="Y22" s="7">
        <v>12.95</v>
      </c>
      <c r="Z22" s="11"/>
      <c r="AA22" s="13">
        <v>140</v>
      </c>
      <c r="AB22" s="9">
        <v>20</v>
      </c>
      <c r="AC22" s="17">
        <f t="shared" ca="1" si="0"/>
        <v>6.7622916666666661</v>
      </c>
      <c r="AD22">
        <f t="shared" ca="1" si="1"/>
        <v>8</v>
      </c>
      <c r="AF22">
        <v>2006</v>
      </c>
      <c r="AG22">
        <v>21</v>
      </c>
      <c r="AH22">
        <v>8</v>
      </c>
      <c r="AI22">
        <v>5.9249999999999998</v>
      </c>
      <c r="AJ22">
        <v>9.18</v>
      </c>
      <c r="AK22">
        <v>6.7622916666666661</v>
      </c>
      <c r="AM22">
        <v>0</v>
      </c>
      <c r="AO22">
        <v>2006</v>
      </c>
      <c r="AP22">
        <v>21</v>
      </c>
      <c r="AQ22">
        <v>8</v>
      </c>
      <c r="AR22">
        <v>5.9249999999999998</v>
      </c>
      <c r="AS22">
        <v>9.18</v>
      </c>
      <c r="AT22">
        <v>6.7622916666666661</v>
      </c>
      <c r="AV22">
        <v>0</v>
      </c>
      <c r="AX22">
        <v>2006</v>
      </c>
      <c r="AY22">
        <v>21</v>
      </c>
      <c r="AZ22">
        <v>0.2</v>
      </c>
      <c r="BA22">
        <v>1.74</v>
      </c>
      <c r="BB22">
        <v>10.06</v>
      </c>
      <c r="BC22">
        <v>5.6632500000000014</v>
      </c>
      <c r="BE22">
        <v>0</v>
      </c>
      <c r="BG22">
        <v>2006</v>
      </c>
      <c r="BH22">
        <v>21</v>
      </c>
      <c r="BI22">
        <v>0</v>
      </c>
      <c r="BJ22">
        <v>5.51</v>
      </c>
      <c r="BK22">
        <v>14.65</v>
      </c>
      <c r="BL22">
        <v>10.031416666666665</v>
      </c>
      <c r="BN22">
        <v>0</v>
      </c>
      <c r="BP22">
        <v>2006</v>
      </c>
      <c r="BQ22">
        <v>21</v>
      </c>
      <c r="BR22">
        <v>0</v>
      </c>
      <c r="BS22">
        <v>5.9219999999999997</v>
      </c>
      <c r="BT22">
        <v>12.75</v>
      </c>
      <c r="BU22">
        <v>9.0374166666666653</v>
      </c>
      <c r="BW22">
        <v>0</v>
      </c>
      <c r="BY22">
        <v>2006</v>
      </c>
      <c r="BZ22">
        <v>21</v>
      </c>
      <c r="CA22">
        <v>0</v>
      </c>
      <c r="CB22">
        <v>8.07</v>
      </c>
      <c r="CC22">
        <v>15.81</v>
      </c>
      <c r="CD22">
        <v>11.537083333333333</v>
      </c>
      <c r="CF22">
        <v>0</v>
      </c>
    </row>
    <row r="23" spans="1:84" x14ac:dyDescent="0.25">
      <c r="A23">
        <v>2006</v>
      </c>
      <c r="B23">
        <v>122</v>
      </c>
      <c r="C23">
        <v>600</v>
      </c>
      <c r="D23" s="7">
        <v>6.5469999999999997</v>
      </c>
      <c r="E23" s="7">
        <v>-8.64</v>
      </c>
      <c r="F23" s="7">
        <v>7.51</v>
      </c>
      <c r="G23" s="7">
        <v>7.6</v>
      </c>
      <c r="H23" s="7"/>
      <c r="I23" s="7"/>
      <c r="J23" s="7"/>
      <c r="K23" s="7">
        <v>2.552</v>
      </c>
      <c r="L23" s="7">
        <v>157.5</v>
      </c>
      <c r="M23" s="7">
        <v>0</v>
      </c>
      <c r="N23" s="7"/>
      <c r="O23" s="7">
        <v>1.794</v>
      </c>
      <c r="P23" s="7">
        <v>-7.49</v>
      </c>
      <c r="Q23" s="7">
        <v>9.98</v>
      </c>
      <c r="R23" s="7"/>
      <c r="S23" s="7">
        <v>9.94</v>
      </c>
      <c r="T23" s="7">
        <v>0</v>
      </c>
      <c r="U23" s="7">
        <v>98.8</v>
      </c>
      <c r="V23" s="7">
        <v>795</v>
      </c>
      <c r="W23" s="7">
        <v>33.01</v>
      </c>
      <c r="X23" s="7"/>
      <c r="Y23" s="7">
        <v>12.93</v>
      </c>
      <c r="Z23" s="11"/>
      <c r="AA23" s="13">
        <v>141</v>
      </c>
      <c r="AB23" s="9">
        <v>21</v>
      </c>
      <c r="AC23" s="17">
        <f t="shared" ca="1" si="0"/>
        <v>5.6632500000000014</v>
      </c>
      <c r="AD23">
        <f t="shared" ca="1" si="1"/>
        <v>0.2</v>
      </c>
      <c r="AF23">
        <v>2006</v>
      </c>
      <c r="AG23">
        <v>22</v>
      </c>
      <c r="AH23">
        <v>0.2</v>
      </c>
      <c r="AI23">
        <v>1.74</v>
      </c>
      <c r="AJ23">
        <v>10.06</v>
      </c>
      <c r="AK23">
        <v>5.6632500000000014</v>
      </c>
      <c r="AM23">
        <v>0</v>
      </c>
      <c r="AO23">
        <v>2006</v>
      </c>
      <c r="AP23">
        <v>22</v>
      </c>
      <c r="AQ23">
        <v>0.2</v>
      </c>
      <c r="AR23">
        <v>1.74</v>
      </c>
      <c r="AS23">
        <v>10.06</v>
      </c>
      <c r="AT23">
        <v>5.6632500000000014</v>
      </c>
      <c r="AV23">
        <v>0</v>
      </c>
      <c r="AX23">
        <v>2006</v>
      </c>
      <c r="AY23">
        <v>22</v>
      </c>
      <c r="AZ23">
        <v>6.2000000000000011</v>
      </c>
      <c r="BA23">
        <v>4.4109999999999996</v>
      </c>
      <c r="BB23">
        <v>11.61</v>
      </c>
      <c r="BC23">
        <v>7.225416666666665</v>
      </c>
      <c r="BE23">
        <v>0</v>
      </c>
      <c r="BG23">
        <v>2006</v>
      </c>
      <c r="BH23">
        <v>22</v>
      </c>
      <c r="BI23">
        <v>0</v>
      </c>
      <c r="BJ23">
        <v>5.9219999999999997</v>
      </c>
      <c r="BK23">
        <v>12.75</v>
      </c>
      <c r="BL23">
        <v>9.0374166666666653</v>
      </c>
      <c r="BN23">
        <v>0</v>
      </c>
      <c r="BP23">
        <v>2006</v>
      </c>
      <c r="BQ23">
        <v>22</v>
      </c>
      <c r="BR23">
        <v>0</v>
      </c>
      <c r="BS23">
        <v>1.411</v>
      </c>
      <c r="BT23">
        <v>12.38</v>
      </c>
      <c r="BU23">
        <v>8.2914583333333329</v>
      </c>
      <c r="BW23">
        <v>0</v>
      </c>
      <c r="BY23">
        <v>2006</v>
      </c>
      <c r="BZ23">
        <v>22</v>
      </c>
      <c r="CA23">
        <v>0</v>
      </c>
      <c r="CB23">
        <v>6.2709999999999999</v>
      </c>
      <c r="CC23">
        <v>18.47</v>
      </c>
      <c r="CD23">
        <v>12.699875</v>
      </c>
      <c r="CF23">
        <v>0</v>
      </c>
    </row>
    <row r="24" spans="1:84" x14ac:dyDescent="0.25">
      <c r="A24">
        <v>2006</v>
      </c>
      <c r="B24">
        <v>122</v>
      </c>
      <c r="C24">
        <v>700</v>
      </c>
      <c r="D24" s="7">
        <v>23.41</v>
      </c>
      <c r="E24" s="7">
        <v>4.2030000000000003</v>
      </c>
      <c r="F24" s="7">
        <v>7.39</v>
      </c>
      <c r="G24" s="7">
        <v>7.51</v>
      </c>
      <c r="H24" s="7"/>
      <c r="I24" s="7"/>
      <c r="J24" s="7"/>
      <c r="K24" s="7">
        <v>2.5790000000000002</v>
      </c>
      <c r="L24" s="7">
        <v>145.69999999999999</v>
      </c>
      <c r="M24" s="7">
        <v>0</v>
      </c>
      <c r="N24" s="7"/>
      <c r="O24" s="7">
        <v>24.77</v>
      </c>
      <c r="P24" s="7">
        <v>-2.5640000000000001</v>
      </c>
      <c r="Q24" s="7">
        <v>9.89</v>
      </c>
      <c r="R24" s="7"/>
      <c r="S24" s="7">
        <v>9.84</v>
      </c>
      <c r="T24" s="7">
        <v>0</v>
      </c>
      <c r="U24" s="7">
        <v>98.3</v>
      </c>
      <c r="V24" s="7">
        <v>796</v>
      </c>
      <c r="W24" s="7">
        <v>33.06</v>
      </c>
      <c r="X24" s="7"/>
      <c r="Y24" s="7">
        <v>12.93</v>
      </c>
      <c r="Z24" s="11"/>
      <c r="AA24" s="13">
        <v>142</v>
      </c>
      <c r="AB24" s="9">
        <v>22</v>
      </c>
      <c r="AC24" s="17">
        <f t="shared" ca="1" si="0"/>
        <v>7.225416666666665</v>
      </c>
      <c r="AD24">
        <f t="shared" ca="1" si="1"/>
        <v>6.2000000000000011</v>
      </c>
      <c r="AF24">
        <v>2006</v>
      </c>
      <c r="AG24">
        <v>23</v>
      </c>
      <c r="AH24">
        <v>6.2000000000000011</v>
      </c>
      <c r="AI24">
        <v>4.4109999999999996</v>
      </c>
      <c r="AJ24">
        <v>11.61</v>
      </c>
      <c r="AK24">
        <v>7.225416666666665</v>
      </c>
      <c r="AM24">
        <v>0</v>
      </c>
      <c r="AO24">
        <v>2006</v>
      </c>
      <c r="AP24">
        <v>23</v>
      </c>
      <c r="AQ24">
        <v>6.2000000000000011</v>
      </c>
      <c r="AR24">
        <v>4.4109999999999996</v>
      </c>
      <c r="AS24">
        <v>11.61</v>
      </c>
      <c r="AT24">
        <v>7.225416666666665</v>
      </c>
      <c r="AV24">
        <v>0</v>
      </c>
      <c r="AX24">
        <v>2006</v>
      </c>
      <c r="AY24">
        <v>23</v>
      </c>
      <c r="AZ24">
        <v>0.8</v>
      </c>
      <c r="BA24">
        <v>1.2569999999999999</v>
      </c>
      <c r="BB24">
        <v>12.02</v>
      </c>
      <c r="BC24">
        <v>7.8748333333333314</v>
      </c>
      <c r="BE24">
        <v>0</v>
      </c>
      <c r="BG24">
        <v>2006</v>
      </c>
      <c r="BH24">
        <v>23</v>
      </c>
      <c r="BI24">
        <v>0</v>
      </c>
      <c r="BJ24">
        <v>1.411</v>
      </c>
      <c r="BK24">
        <v>12.38</v>
      </c>
      <c r="BL24">
        <v>8.2914583333333329</v>
      </c>
      <c r="BN24">
        <v>0</v>
      </c>
      <c r="BP24">
        <v>2006</v>
      </c>
      <c r="BQ24">
        <v>23</v>
      </c>
      <c r="BR24">
        <v>0</v>
      </c>
      <c r="BS24">
        <v>8.07</v>
      </c>
      <c r="BT24">
        <v>15.81</v>
      </c>
      <c r="BU24">
        <v>11.537083333333333</v>
      </c>
      <c r="BW24">
        <v>0</v>
      </c>
      <c r="BY24">
        <v>2006</v>
      </c>
      <c r="BZ24">
        <v>23</v>
      </c>
      <c r="CA24">
        <v>0</v>
      </c>
      <c r="CB24">
        <v>3.69</v>
      </c>
      <c r="CC24">
        <v>20.66</v>
      </c>
      <c r="CD24">
        <v>12.809666666666667</v>
      </c>
      <c r="CF24">
        <v>0</v>
      </c>
    </row>
    <row r="25" spans="1:84" x14ac:dyDescent="0.25">
      <c r="A25">
        <v>2006</v>
      </c>
      <c r="B25">
        <v>122</v>
      </c>
      <c r="C25">
        <v>800</v>
      </c>
      <c r="D25" s="7">
        <v>58.76</v>
      </c>
      <c r="E25" s="7">
        <v>27.87</v>
      </c>
      <c r="F25" s="7">
        <v>7.77</v>
      </c>
      <c r="G25" s="7">
        <v>7.97</v>
      </c>
      <c r="H25" s="7"/>
      <c r="I25" s="7"/>
      <c r="J25" s="7"/>
      <c r="K25" s="7">
        <v>3.181</v>
      </c>
      <c r="L25" s="7">
        <v>153.30000000000001</v>
      </c>
      <c r="M25" s="7">
        <v>0</v>
      </c>
      <c r="N25" s="7"/>
      <c r="O25" s="7">
        <v>72.2</v>
      </c>
      <c r="P25" s="7">
        <v>7.54</v>
      </c>
      <c r="Q25" s="7">
        <v>9.7899999999999991</v>
      </c>
      <c r="R25" s="7"/>
      <c r="S25" s="7">
        <v>9.7799999999999994</v>
      </c>
      <c r="T25" s="7">
        <v>0</v>
      </c>
      <c r="U25" s="7">
        <v>97.4</v>
      </c>
      <c r="V25" s="7">
        <v>799</v>
      </c>
      <c r="W25" s="7">
        <v>33.19</v>
      </c>
      <c r="X25" s="7"/>
      <c r="Y25" s="7">
        <v>13.16</v>
      </c>
      <c r="Z25" s="11"/>
      <c r="AA25" s="13">
        <v>143</v>
      </c>
      <c r="AB25" s="9">
        <v>23</v>
      </c>
      <c r="AC25" s="17">
        <f t="shared" ca="1" si="0"/>
        <v>7.8748333333333314</v>
      </c>
      <c r="AD25">
        <f t="shared" ca="1" si="1"/>
        <v>0.8</v>
      </c>
      <c r="AF25">
        <v>2006</v>
      </c>
      <c r="AG25">
        <v>24</v>
      </c>
      <c r="AH25">
        <v>0.8</v>
      </c>
      <c r="AI25">
        <v>1.2569999999999999</v>
      </c>
      <c r="AJ25">
        <v>12.02</v>
      </c>
      <c r="AK25">
        <v>7.8748333333333314</v>
      </c>
      <c r="AM25">
        <v>0</v>
      </c>
      <c r="AO25">
        <v>2006</v>
      </c>
      <c r="AP25">
        <v>24</v>
      </c>
      <c r="AQ25">
        <v>0.8</v>
      </c>
      <c r="AR25">
        <v>1.2569999999999999</v>
      </c>
      <c r="AS25">
        <v>12.02</v>
      </c>
      <c r="AT25">
        <v>7.8748333333333314</v>
      </c>
      <c r="AV25">
        <v>0</v>
      </c>
      <c r="AX25">
        <v>2006</v>
      </c>
      <c r="AY25">
        <v>24</v>
      </c>
      <c r="AZ25">
        <v>7</v>
      </c>
      <c r="BA25">
        <v>8.9499999999999993</v>
      </c>
      <c r="BB25">
        <v>15.1</v>
      </c>
      <c r="BC25">
        <v>11.679583333333333</v>
      </c>
      <c r="BE25">
        <v>0</v>
      </c>
      <c r="BG25">
        <v>2006</v>
      </c>
      <c r="BH25">
        <v>24</v>
      </c>
      <c r="BI25">
        <v>0</v>
      </c>
      <c r="BJ25">
        <v>8.07</v>
      </c>
      <c r="BK25">
        <v>15.81</v>
      </c>
      <c r="BL25">
        <v>11.537083333333333</v>
      </c>
      <c r="BN25">
        <v>0</v>
      </c>
      <c r="BP25">
        <v>2006</v>
      </c>
      <c r="BQ25">
        <v>24</v>
      </c>
      <c r="BR25">
        <v>0</v>
      </c>
      <c r="BS25">
        <v>6.2709999999999999</v>
      </c>
      <c r="BT25">
        <v>18.47</v>
      </c>
      <c r="BU25">
        <v>12.699875</v>
      </c>
      <c r="BW25">
        <v>0</v>
      </c>
      <c r="BY25">
        <v>2006</v>
      </c>
      <c r="BZ25">
        <v>24</v>
      </c>
      <c r="CA25">
        <v>0</v>
      </c>
      <c r="CB25">
        <v>10.14</v>
      </c>
      <c r="CC25">
        <v>22</v>
      </c>
      <c r="CD25">
        <v>15.106666666666667</v>
      </c>
      <c r="CF25">
        <v>0</v>
      </c>
    </row>
    <row r="26" spans="1:84" x14ac:dyDescent="0.25">
      <c r="A26">
        <v>2006</v>
      </c>
      <c r="B26">
        <v>122</v>
      </c>
      <c r="C26">
        <v>900</v>
      </c>
      <c r="D26" s="7">
        <v>57.19</v>
      </c>
      <c r="E26" s="7">
        <v>27.59</v>
      </c>
      <c r="F26" s="7">
        <v>8.15</v>
      </c>
      <c r="G26" s="7">
        <v>8.3800000000000008</v>
      </c>
      <c r="H26" s="7">
        <f>AVERAGE(G26:G49)</f>
        <v>8.5207500000000014</v>
      </c>
      <c r="I26" s="7">
        <f>MIN(G26:G49)</f>
        <v>6.4649999999999999</v>
      </c>
      <c r="J26" s="7">
        <f>MAX(G26:G49)</f>
        <v>10.39</v>
      </c>
      <c r="K26" s="7">
        <v>3.7040000000000002</v>
      </c>
      <c r="L26" s="7">
        <v>157.80000000000001</v>
      </c>
      <c r="M26" s="7">
        <v>0</v>
      </c>
      <c r="N26" s="7">
        <f>SUM(M26:M49)</f>
        <v>0.60000000000000009</v>
      </c>
      <c r="O26" s="7">
        <v>69.77</v>
      </c>
      <c r="P26" s="7">
        <v>6.6340000000000003</v>
      </c>
      <c r="Q26" s="7">
        <v>9.7899999999999991</v>
      </c>
      <c r="R26" s="7">
        <f>AVERAGE(Q26:Q49)</f>
        <v>9.6795833333333352</v>
      </c>
      <c r="S26" s="7">
        <v>9.7200000000000006</v>
      </c>
      <c r="T26" s="7">
        <v>0</v>
      </c>
      <c r="U26" s="7">
        <v>97</v>
      </c>
      <c r="V26" s="7">
        <v>801</v>
      </c>
      <c r="W26" s="7">
        <v>33.29</v>
      </c>
      <c r="X26" s="7">
        <f>AVERAGE(W26:W49)</f>
        <v>36.598750000000003</v>
      </c>
      <c r="Y26" s="7">
        <v>13.37</v>
      </c>
      <c r="Z26" s="9"/>
      <c r="AA26" s="13">
        <v>144</v>
      </c>
      <c r="AB26" s="9">
        <v>24</v>
      </c>
      <c r="AC26" s="17">
        <f t="shared" ca="1" si="0"/>
        <v>11.679583333333333</v>
      </c>
      <c r="AD26">
        <f t="shared" ca="1" si="1"/>
        <v>7</v>
      </c>
      <c r="AF26">
        <v>2006</v>
      </c>
      <c r="AG26">
        <v>25</v>
      </c>
      <c r="AH26">
        <v>7</v>
      </c>
      <c r="AI26">
        <v>8.9499999999999993</v>
      </c>
      <c r="AJ26">
        <v>15.1</v>
      </c>
      <c r="AK26">
        <v>11.679583333333333</v>
      </c>
      <c r="AM26">
        <v>0</v>
      </c>
      <c r="AO26">
        <v>2006</v>
      </c>
      <c r="AP26">
        <v>25</v>
      </c>
      <c r="AQ26">
        <v>7</v>
      </c>
      <c r="AR26">
        <v>8.9499999999999993</v>
      </c>
      <c r="AS26">
        <v>15.1</v>
      </c>
      <c r="AT26">
        <v>11.679583333333333</v>
      </c>
      <c r="AV26">
        <v>0</v>
      </c>
      <c r="AX26">
        <v>2006</v>
      </c>
      <c r="AY26">
        <v>25</v>
      </c>
      <c r="AZ26">
        <v>0.4</v>
      </c>
      <c r="BA26">
        <v>10.220000000000001</v>
      </c>
      <c r="BB26">
        <v>17.72</v>
      </c>
      <c r="BC26">
        <v>13.275833333333338</v>
      </c>
      <c r="BE26">
        <v>0</v>
      </c>
      <c r="BG26">
        <v>2006</v>
      </c>
      <c r="BH26">
        <v>25</v>
      </c>
      <c r="BI26">
        <v>0</v>
      </c>
      <c r="BJ26">
        <v>6.2709999999999999</v>
      </c>
      <c r="BK26">
        <v>18.47</v>
      </c>
      <c r="BL26">
        <v>12.699875</v>
      </c>
      <c r="BN26">
        <v>0</v>
      </c>
      <c r="BP26">
        <v>2006</v>
      </c>
      <c r="BQ26">
        <v>25</v>
      </c>
      <c r="BR26">
        <v>0</v>
      </c>
      <c r="BS26">
        <v>3.69</v>
      </c>
      <c r="BT26">
        <v>20.66</v>
      </c>
      <c r="BU26">
        <v>12.809666666666667</v>
      </c>
      <c r="BW26">
        <v>0</v>
      </c>
      <c r="BY26">
        <v>2006</v>
      </c>
      <c r="BZ26">
        <v>25</v>
      </c>
      <c r="CA26">
        <v>0</v>
      </c>
      <c r="CB26">
        <v>7.08</v>
      </c>
      <c r="CC26">
        <v>18.489999999999998</v>
      </c>
      <c r="CD26">
        <v>13.83</v>
      </c>
      <c r="CF26">
        <v>0</v>
      </c>
    </row>
    <row r="27" spans="1:84" x14ac:dyDescent="0.25">
      <c r="A27">
        <v>2006</v>
      </c>
      <c r="B27">
        <v>122</v>
      </c>
      <c r="C27">
        <v>1000</v>
      </c>
      <c r="D27" s="7">
        <v>92.3</v>
      </c>
      <c r="E27" s="7">
        <v>52.79</v>
      </c>
      <c r="F27" s="7">
        <v>8.68</v>
      </c>
      <c r="G27" s="7">
        <v>8.93</v>
      </c>
      <c r="H27" s="7"/>
      <c r="I27" s="7"/>
      <c r="J27" s="7"/>
      <c r="K27" s="7">
        <v>3.8940000000000001</v>
      </c>
      <c r="L27" s="7">
        <v>163</v>
      </c>
      <c r="M27" s="7">
        <v>0</v>
      </c>
      <c r="N27" s="7"/>
      <c r="O27" s="7">
        <v>117.6</v>
      </c>
      <c r="P27" s="7">
        <v>18.760000000000002</v>
      </c>
      <c r="Q27" s="7">
        <v>9.74</v>
      </c>
      <c r="R27" s="7"/>
      <c r="S27" s="7">
        <v>9.67</v>
      </c>
      <c r="T27" s="7">
        <v>0</v>
      </c>
      <c r="U27" s="7">
        <v>96.9</v>
      </c>
      <c r="V27" s="7">
        <v>802</v>
      </c>
      <c r="W27" s="7">
        <v>33.33</v>
      </c>
      <c r="X27" s="7"/>
      <c r="Y27" s="7">
        <v>13.5</v>
      </c>
      <c r="Z27" s="7"/>
      <c r="AA27" s="13">
        <v>145</v>
      </c>
      <c r="AB27" s="9">
        <v>25</v>
      </c>
      <c r="AC27" s="17">
        <f t="shared" ca="1" si="0"/>
        <v>13.275833333333338</v>
      </c>
      <c r="AD27">
        <f t="shared" ca="1" si="1"/>
        <v>0.4</v>
      </c>
      <c r="AF27">
        <v>2006</v>
      </c>
      <c r="AG27">
        <v>26</v>
      </c>
      <c r="AH27">
        <v>0.4</v>
      </c>
      <c r="AI27">
        <v>10.220000000000001</v>
      </c>
      <c r="AJ27">
        <v>17.72</v>
      </c>
      <c r="AK27">
        <v>13.275833333333338</v>
      </c>
      <c r="AM27">
        <v>0</v>
      </c>
      <c r="AO27">
        <v>2006</v>
      </c>
      <c r="AP27">
        <v>26</v>
      </c>
      <c r="AQ27">
        <v>0.4</v>
      </c>
      <c r="AR27">
        <v>10.220000000000001</v>
      </c>
      <c r="AS27">
        <v>17.72</v>
      </c>
      <c r="AT27">
        <v>13.275833333333338</v>
      </c>
      <c r="AV27">
        <v>0</v>
      </c>
      <c r="AX27">
        <v>2006</v>
      </c>
      <c r="AY27">
        <v>26</v>
      </c>
      <c r="AZ27">
        <v>4.6000000000000005</v>
      </c>
      <c r="BA27">
        <v>8.36</v>
      </c>
      <c r="BB27">
        <v>16.29</v>
      </c>
      <c r="BC27">
        <v>11.808750000000002</v>
      </c>
      <c r="BE27">
        <v>0</v>
      </c>
      <c r="BG27">
        <v>2006</v>
      </c>
      <c r="BH27">
        <v>26</v>
      </c>
      <c r="BI27">
        <v>0</v>
      </c>
      <c r="BJ27">
        <v>3.69</v>
      </c>
      <c r="BK27">
        <v>20.66</v>
      </c>
      <c r="BL27">
        <v>12.809666666666667</v>
      </c>
      <c r="BN27">
        <v>0</v>
      </c>
      <c r="BP27">
        <v>2006</v>
      </c>
      <c r="BQ27">
        <v>26</v>
      </c>
      <c r="BR27">
        <v>0</v>
      </c>
      <c r="BS27">
        <v>10.14</v>
      </c>
      <c r="BT27">
        <v>22</v>
      </c>
      <c r="BU27">
        <v>15.106666666666667</v>
      </c>
      <c r="BW27">
        <v>0</v>
      </c>
      <c r="BY27">
        <v>2006</v>
      </c>
      <c r="BZ27">
        <v>26</v>
      </c>
      <c r="CA27">
        <v>0</v>
      </c>
      <c r="CB27">
        <v>7.8</v>
      </c>
      <c r="CC27">
        <v>22</v>
      </c>
      <c r="CD27">
        <v>15.237499999999997</v>
      </c>
      <c r="CF27">
        <v>0</v>
      </c>
    </row>
    <row r="28" spans="1:84" x14ac:dyDescent="0.25">
      <c r="A28">
        <v>2006</v>
      </c>
      <c r="B28">
        <v>122</v>
      </c>
      <c r="C28">
        <v>1100</v>
      </c>
      <c r="D28" s="7">
        <v>114.4</v>
      </c>
      <c r="E28" s="7">
        <v>70.3</v>
      </c>
      <c r="F28" s="7">
        <v>9.17</v>
      </c>
      <c r="G28" s="7">
        <v>9.31</v>
      </c>
      <c r="H28" s="7"/>
      <c r="I28" s="7"/>
      <c r="J28" s="7"/>
      <c r="K28" s="7">
        <v>4.819</v>
      </c>
      <c r="L28" s="7">
        <v>166.1</v>
      </c>
      <c r="M28" s="7">
        <v>0.2</v>
      </c>
      <c r="N28" s="7"/>
      <c r="O28" s="7">
        <v>145.9</v>
      </c>
      <c r="P28" s="7">
        <v>26.02</v>
      </c>
      <c r="Q28" s="7">
        <v>9.69</v>
      </c>
      <c r="R28" s="7"/>
      <c r="S28" s="7">
        <v>9.57</v>
      </c>
      <c r="T28" s="7">
        <v>0</v>
      </c>
      <c r="U28" s="7">
        <v>98.2</v>
      </c>
      <c r="V28" s="7">
        <v>802</v>
      </c>
      <c r="W28" s="7">
        <v>33.36</v>
      </c>
      <c r="X28" s="7"/>
      <c r="Y28" s="7">
        <v>13.63</v>
      </c>
      <c r="Z28" s="7"/>
      <c r="AA28" s="13">
        <v>146</v>
      </c>
      <c r="AB28" s="9">
        <v>26</v>
      </c>
      <c r="AC28" s="17">
        <f t="shared" ca="1" si="0"/>
        <v>11.808750000000002</v>
      </c>
      <c r="AD28">
        <f t="shared" ca="1" si="1"/>
        <v>4.6000000000000005</v>
      </c>
      <c r="AF28">
        <v>2006</v>
      </c>
      <c r="AG28">
        <v>27</v>
      </c>
      <c r="AH28">
        <v>4.6000000000000005</v>
      </c>
      <c r="AI28">
        <v>8.36</v>
      </c>
      <c r="AJ28">
        <v>16.29</v>
      </c>
      <c r="AK28">
        <v>11.808750000000002</v>
      </c>
      <c r="AM28">
        <v>0</v>
      </c>
      <c r="AO28">
        <v>2006</v>
      </c>
      <c r="AP28">
        <v>27</v>
      </c>
      <c r="AQ28">
        <v>4.6000000000000005</v>
      </c>
      <c r="AR28">
        <v>8.36</v>
      </c>
      <c r="AS28">
        <v>16.29</v>
      </c>
      <c r="AT28">
        <v>11.808750000000002</v>
      </c>
      <c r="AV28">
        <v>0</v>
      </c>
      <c r="AX28">
        <v>2006</v>
      </c>
      <c r="AY28">
        <v>27</v>
      </c>
      <c r="AZ28">
        <v>0</v>
      </c>
      <c r="BA28">
        <v>5.51</v>
      </c>
      <c r="BB28">
        <v>14.65</v>
      </c>
      <c r="BC28">
        <v>10.031416666666665</v>
      </c>
      <c r="BE28">
        <v>0</v>
      </c>
      <c r="BG28">
        <v>2006</v>
      </c>
      <c r="BH28">
        <v>27</v>
      </c>
      <c r="BI28">
        <v>0</v>
      </c>
      <c r="BJ28">
        <v>10.14</v>
      </c>
      <c r="BK28">
        <v>22</v>
      </c>
      <c r="BL28">
        <v>15.106666666666667</v>
      </c>
      <c r="BN28">
        <v>0</v>
      </c>
      <c r="BP28">
        <v>2006</v>
      </c>
      <c r="BQ28">
        <v>27</v>
      </c>
      <c r="BR28">
        <v>0</v>
      </c>
      <c r="BS28">
        <v>7.08</v>
      </c>
      <c r="BT28">
        <v>18.489999999999998</v>
      </c>
      <c r="BU28">
        <v>13.83</v>
      </c>
      <c r="BW28">
        <v>0</v>
      </c>
      <c r="BY28">
        <v>2006</v>
      </c>
      <c r="BZ28">
        <v>27</v>
      </c>
      <c r="CA28">
        <v>1.4</v>
      </c>
      <c r="CB28">
        <v>9.83</v>
      </c>
      <c r="CC28">
        <v>25.82</v>
      </c>
      <c r="CD28">
        <v>17.240416666666665</v>
      </c>
      <c r="CF28">
        <v>0</v>
      </c>
    </row>
    <row r="29" spans="1:84" x14ac:dyDescent="0.25">
      <c r="A29">
        <v>2006</v>
      </c>
      <c r="B29">
        <v>122</v>
      </c>
      <c r="C29">
        <v>1200</v>
      </c>
      <c r="D29" s="7">
        <v>90.3</v>
      </c>
      <c r="E29" s="7">
        <v>54.83</v>
      </c>
      <c r="F29" s="7">
        <v>9.52</v>
      </c>
      <c r="G29" s="7">
        <v>9.6300000000000008</v>
      </c>
      <c r="H29" s="7"/>
      <c r="I29" s="7"/>
      <c r="J29" s="7"/>
      <c r="K29" s="7">
        <v>4.9210000000000003</v>
      </c>
      <c r="L29" s="7">
        <v>165.2</v>
      </c>
      <c r="M29" s="7">
        <v>0</v>
      </c>
      <c r="N29" s="7"/>
      <c r="O29" s="7">
        <v>112.6</v>
      </c>
      <c r="P29" s="7">
        <v>21.19</v>
      </c>
      <c r="Q29" s="7">
        <v>9.69</v>
      </c>
      <c r="R29" s="7"/>
      <c r="S29" s="7">
        <v>9.5399999999999991</v>
      </c>
      <c r="T29" s="7">
        <v>0</v>
      </c>
      <c r="U29" s="7">
        <v>98.6</v>
      </c>
      <c r="V29" s="7">
        <v>802</v>
      </c>
      <c r="W29" s="7">
        <v>33.35</v>
      </c>
      <c r="X29" s="7"/>
      <c r="Y29" s="7">
        <v>13.61</v>
      </c>
      <c r="Z29" s="7"/>
      <c r="AA29" s="13">
        <v>147</v>
      </c>
      <c r="AB29" s="9">
        <v>27</v>
      </c>
      <c r="AC29" s="17">
        <f t="shared" ca="1" si="0"/>
        <v>10.031416666666665</v>
      </c>
      <c r="AD29">
        <f t="shared" ca="1" si="1"/>
        <v>0</v>
      </c>
      <c r="AF29">
        <v>2006</v>
      </c>
      <c r="AG29">
        <v>28</v>
      </c>
      <c r="AH29">
        <v>0</v>
      </c>
      <c r="AI29">
        <v>5.51</v>
      </c>
      <c r="AJ29">
        <v>14.65</v>
      </c>
      <c r="AK29">
        <v>10.031416666666665</v>
      </c>
      <c r="AM29">
        <v>0</v>
      </c>
      <c r="AO29">
        <v>2006</v>
      </c>
      <c r="AP29">
        <v>28</v>
      </c>
      <c r="AQ29">
        <v>0</v>
      </c>
      <c r="AR29">
        <v>5.51</v>
      </c>
      <c r="AS29">
        <v>14.65</v>
      </c>
      <c r="AT29">
        <v>10.031416666666665</v>
      </c>
      <c r="AV29">
        <v>0</v>
      </c>
      <c r="AX29">
        <v>2006</v>
      </c>
      <c r="AY29">
        <v>28</v>
      </c>
      <c r="AZ29">
        <v>0</v>
      </c>
      <c r="BA29">
        <v>5.9219999999999997</v>
      </c>
      <c r="BB29">
        <v>12.75</v>
      </c>
      <c r="BC29">
        <v>9.0374166666666653</v>
      </c>
      <c r="BE29">
        <v>0</v>
      </c>
      <c r="BG29">
        <v>2006</v>
      </c>
      <c r="BH29">
        <v>28</v>
      </c>
      <c r="BI29">
        <v>0</v>
      </c>
      <c r="BJ29">
        <v>7.08</v>
      </c>
      <c r="BK29">
        <v>18.489999999999998</v>
      </c>
      <c r="BL29">
        <v>13.83</v>
      </c>
      <c r="BN29">
        <v>0</v>
      </c>
      <c r="BP29">
        <v>2006</v>
      </c>
      <c r="BQ29">
        <v>28</v>
      </c>
      <c r="BR29">
        <v>0</v>
      </c>
      <c r="BS29">
        <v>7.8</v>
      </c>
      <c r="BT29">
        <v>22</v>
      </c>
      <c r="BU29">
        <v>15.237499999999997</v>
      </c>
      <c r="BW29">
        <v>0</v>
      </c>
      <c r="BY29">
        <v>2006</v>
      </c>
      <c r="BZ29">
        <v>28</v>
      </c>
      <c r="CA29">
        <v>0</v>
      </c>
      <c r="CB29">
        <v>7.63</v>
      </c>
      <c r="CC29">
        <v>20.78</v>
      </c>
      <c r="CD29">
        <v>14.036250000000003</v>
      </c>
      <c r="CF29">
        <v>0</v>
      </c>
    </row>
    <row r="30" spans="1:84" x14ac:dyDescent="0.25">
      <c r="A30">
        <v>2006</v>
      </c>
      <c r="B30">
        <v>122</v>
      </c>
      <c r="C30">
        <v>1300</v>
      </c>
      <c r="D30" s="7">
        <v>128.1</v>
      </c>
      <c r="E30" s="7">
        <v>78.900000000000006</v>
      </c>
      <c r="F30" s="7">
        <v>9.7899999999999991</v>
      </c>
      <c r="G30" s="7">
        <v>9.89</v>
      </c>
      <c r="H30" s="7"/>
      <c r="I30" s="7"/>
      <c r="J30" s="7"/>
      <c r="K30" s="7">
        <v>4.1239999999999997</v>
      </c>
      <c r="L30" s="7">
        <v>164.9</v>
      </c>
      <c r="M30" s="7">
        <v>0</v>
      </c>
      <c r="N30" s="7"/>
      <c r="O30" s="7">
        <v>162.19999999999999</v>
      </c>
      <c r="P30" s="7">
        <v>38.020000000000003</v>
      </c>
      <c r="Q30" s="7">
        <v>9.69</v>
      </c>
      <c r="R30" s="7"/>
      <c r="S30" s="7">
        <v>9.5299999999999994</v>
      </c>
      <c r="T30" s="7">
        <v>0</v>
      </c>
      <c r="U30" s="7">
        <v>98.8</v>
      </c>
      <c r="V30" s="7">
        <v>801</v>
      </c>
      <c r="W30" s="7">
        <v>33.31</v>
      </c>
      <c r="X30" s="7"/>
      <c r="Y30" s="7">
        <v>13.65</v>
      </c>
      <c r="Z30" s="7"/>
      <c r="AA30" s="13">
        <v>148</v>
      </c>
      <c r="AB30" s="9">
        <v>28</v>
      </c>
      <c r="AC30" s="17">
        <f t="shared" ca="1" si="0"/>
        <v>9.0374166666666653</v>
      </c>
      <c r="AD30">
        <f t="shared" ca="1" si="1"/>
        <v>0</v>
      </c>
      <c r="AF30">
        <v>2006</v>
      </c>
      <c r="AG30">
        <v>29</v>
      </c>
      <c r="AH30">
        <v>0</v>
      </c>
      <c r="AI30">
        <v>5.9219999999999997</v>
      </c>
      <c r="AJ30">
        <v>12.75</v>
      </c>
      <c r="AK30">
        <v>9.0374166666666653</v>
      </c>
      <c r="AM30">
        <v>0</v>
      </c>
      <c r="AO30">
        <v>2006</v>
      </c>
      <c r="AP30">
        <v>29</v>
      </c>
      <c r="AQ30">
        <v>20</v>
      </c>
      <c r="AR30">
        <v>5.9219999999999997</v>
      </c>
      <c r="AS30">
        <v>12.75</v>
      </c>
      <c r="AT30">
        <v>9.0374166666666653</v>
      </c>
      <c r="AV30">
        <v>0</v>
      </c>
      <c r="AX30">
        <v>2006</v>
      </c>
      <c r="AY30">
        <v>29</v>
      </c>
      <c r="AZ30">
        <v>20</v>
      </c>
      <c r="BA30">
        <v>1.411</v>
      </c>
      <c r="BB30">
        <v>12.38</v>
      </c>
      <c r="BC30">
        <v>8.2914583333333329</v>
      </c>
      <c r="BE30">
        <v>0</v>
      </c>
      <c r="BG30">
        <v>2006</v>
      </c>
      <c r="BH30">
        <v>29</v>
      </c>
      <c r="BI30">
        <v>20</v>
      </c>
      <c r="BJ30">
        <v>7.8</v>
      </c>
      <c r="BK30">
        <v>22</v>
      </c>
      <c r="BL30">
        <v>15.237499999999997</v>
      </c>
      <c r="BN30">
        <v>0</v>
      </c>
      <c r="BP30">
        <v>2006</v>
      </c>
      <c r="BQ30">
        <v>29</v>
      </c>
      <c r="BR30">
        <v>21.4</v>
      </c>
      <c r="BS30">
        <v>9.83</v>
      </c>
      <c r="BT30">
        <v>25.82</v>
      </c>
      <c r="BU30">
        <v>17.240416666666665</v>
      </c>
      <c r="BW30">
        <v>0</v>
      </c>
      <c r="BY30">
        <v>2006</v>
      </c>
      <c r="BZ30">
        <v>29</v>
      </c>
      <c r="CA30">
        <v>20</v>
      </c>
      <c r="CB30">
        <v>11.47</v>
      </c>
      <c r="CC30">
        <v>24.75</v>
      </c>
      <c r="CD30">
        <v>17.467916666666671</v>
      </c>
      <c r="CF30">
        <v>0</v>
      </c>
    </row>
    <row r="31" spans="1:84" x14ac:dyDescent="0.25">
      <c r="A31">
        <v>2006</v>
      </c>
      <c r="B31">
        <v>122</v>
      </c>
      <c r="C31">
        <v>1400</v>
      </c>
      <c r="D31" s="7">
        <v>123.4</v>
      </c>
      <c r="E31" s="7">
        <v>73.2</v>
      </c>
      <c r="F31" s="7">
        <v>10.32</v>
      </c>
      <c r="G31" s="7">
        <v>10.39</v>
      </c>
      <c r="H31" s="7"/>
      <c r="I31" s="7"/>
      <c r="J31" s="7"/>
      <c r="K31" s="7">
        <v>4.5179999999999998</v>
      </c>
      <c r="L31" s="7">
        <v>169.6</v>
      </c>
      <c r="M31" s="7">
        <v>0</v>
      </c>
      <c r="N31" s="7"/>
      <c r="O31" s="7">
        <v>155</v>
      </c>
      <c r="P31" s="7">
        <v>36.770000000000003</v>
      </c>
      <c r="Q31" s="7">
        <v>9.7899999999999991</v>
      </c>
      <c r="R31" s="7"/>
      <c r="S31" s="7">
        <v>9.58</v>
      </c>
      <c r="T31" s="7">
        <v>0</v>
      </c>
      <c r="U31" s="7">
        <v>99.1</v>
      </c>
      <c r="V31" s="7">
        <v>802</v>
      </c>
      <c r="W31" s="7">
        <v>33.33</v>
      </c>
      <c r="X31" s="7"/>
      <c r="Y31" s="7">
        <v>13.7</v>
      </c>
      <c r="Z31" s="7"/>
      <c r="AA31" s="13">
        <v>149</v>
      </c>
      <c r="AB31" s="9">
        <v>29</v>
      </c>
      <c r="AC31" s="17">
        <f t="shared" ca="1" si="0"/>
        <v>8.2914583333333329</v>
      </c>
      <c r="AD31">
        <f t="shared" ca="1" si="1"/>
        <v>0</v>
      </c>
      <c r="AF31">
        <v>2006</v>
      </c>
      <c r="AG31">
        <v>30</v>
      </c>
      <c r="AH31">
        <v>0</v>
      </c>
      <c r="AI31">
        <v>1.411</v>
      </c>
      <c r="AJ31">
        <v>12.38</v>
      </c>
      <c r="AK31">
        <v>8.2914583333333329</v>
      </c>
      <c r="AM31">
        <v>0</v>
      </c>
      <c r="AO31">
        <v>2006</v>
      </c>
      <c r="AP31">
        <v>30</v>
      </c>
      <c r="AQ31">
        <v>0</v>
      </c>
      <c r="AR31">
        <v>1.411</v>
      </c>
      <c r="AS31">
        <v>12.38</v>
      </c>
      <c r="AT31">
        <v>8.2914583333333329</v>
      </c>
      <c r="AV31">
        <v>0</v>
      </c>
      <c r="AX31">
        <v>2006</v>
      </c>
      <c r="AY31">
        <v>30</v>
      </c>
      <c r="AZ31">
        <v>0</v>
      </c>
      <c r="BA31">
        <v>8.07</v>
      </c>
      <c r="BB31">
        <v>15.81</v>
      </c>
      <c r="BC31">
        <v>11.537083333333333</v>
      </c>
      <c r="BE31">
        <v>0</v>
      </c>
      <c r="BG31">
        <v>2006</v>
      </c>
      <c r="BH31">
        <v>30</v>
      </c>
      <c r="BI31">
        <v>1.4</v>
      </c>
      <c r="BJ31">
        <v>9.83</v>
      </c>
      <c r="BK31">
        <v>25.82</v>
      </c>
      <c r="BL31">
        <v>17.240416666666665</v>
      </c>
      <c r="BN31">
        <v>0</v>
      </c>
      <c r="BP31">
        <v>2006</v>
      </c>
      <c r="BQ31">
        <v>30</v>
      </c>
      <c r="BR31">
        <v>0</v>
      </c>
      <c r="BS31">
        <v>7.63</v>
      </c>
      <c r="BT31">
        <v>20.78</v>
      </c>
      <c r="BU31">
        <v>14.036250000000003</v>
      </c>
      <c r="BW31">
        <v>0</v>
      </c>
      <c r="BY31">
        <v>2006</v>
      </c>
      <c r="BZ31">
        <v>30</v>
      </c>
      <c r="CA31">
        <v>0</v>
      </c>
      <c r="CB31">
        <v>14.79</v>
      </c>
      <c r="CC31">
        <v>23.19</v>
      </c>
      <c r="CD31">
        <v>19.203333333333337</v>
      </c>
      <c r="CF31">
        <v>0</v>
      </c>
    </row>
    <row r="32" spans="1:84" x14ac:dyDescent="0.25">
      <c r="A32">
        <v>2006</v>
      </c>
      <c r="B32">
        <v>122</v>
      </c>
      <c r="C32">
        <v>1500</v>
      </c>
      <c r="D32" s="7">
        <v>106.5</v>
      </c>
      <c r="E32" s="7">
        <v>62.48</v>
      </c>
      <c r="F32" s="7">
        <v>9.85</v>
      </c>
      <c r="G32" s="7">
        <v>9.91</v>
      </c>
      <c r="H32" s="7"/>
      <c r="I32" s="7"/>
      <c r="J32" s="7"/>
      <c r="K32" s="7">
        <v>3.984</v>
      </c>
      <c r="L32" s="7">
        <v>164.9</v>
      </c>
      <c r="M32" s="7">
        <v>0</v>
      </c>
      <c r="N32" s="7"/>
      <c r="O32" s="7">
        <v>139.9</v>
      </c>
      <c r="P32" s="7">
        <v>27.96</v>
      </c>
      <c r="Q32" s="7">
        <v>9.7799999999999994</v>
      </c>
      <c r="R32" s="7"/>
      <c r="S32" s="7">
        <v>9.5500000000000007</v>
      </c>
      <c r="T32" s="7">
        <v>0</v>
      </c>
      <c r="U32" s="7">
        <v>99.3</v>
      </c>
      <c r="V32" s="7">
        <v>801</v>
      </c>
      <c r="W32" s="7">
        <v>33.299999999999997</v>
      </c>
      <c r="X32" s="7"/>
      <c r="Y32" s="7">
        <v>13.65</v>
      </c>
      <c r="Z32" s="7"/>
      <c r="AA32" s="13">
        <v>150</v>
      </c>
      <c r="AB32" s="9">
        <v>30</v>
      </c>
      <c r="AC32" s="17">
        <f t="shared" ca="1" si="0"/>
        <v>11.537083333333333</v>
      </c>
      <c r="AD32">
        <f t="shared" ca="1" si="1"/>
        <v>0</v>
      </c>
      <c r="AF32">
        <v>2006</v>
      </c>
      <c r="AG32">
        <v>31</v>
      </c>
      <c r="AH32">
        <v>0</v>
      </c>
      <c r="AI32">
        <v>8.07</v>
      </c>
      <c r="AJ32">
        <v>15.81</v>
      </c>
      <c r="AK32">
        <v>11.537083333333333</v>
      </c>
      <c r="AM32">
        <v>0</v>
      </c>
      <c r="AO32">
        <v>2006</v>
      </c>
      <c r="AP32">
        <v>31</v>
      </c>
      <c r="AQ32">
        <v>0</v>
      </c>
      <c r="AR32">
        <v>8.07</v>
      </c>
      <c r="AS32">
        <v>15.81</v>
      </c>
      <c r="AT32">
        <v>11.537083333333333</v>
      </c>
      <c r="AV32">
        <v>0</v>
      </c>
      <c r="AX32">
        <v>2006</v>
      </c>
      <c r="AY32">
        <v>31</v>
      </c>
      <c r="AZ32">
        <v>0</v>
      </c>
      <c r="BA32">
        <v>6.2709999999999999</v>
      </c>
      <c r="BB32">
        <v>18.47</v>
      </c>
      <c r="BC32">
        <v>12.699875</v>
      </c>
      <c r="BE32">
        <v>0</v>
      </c>
      <c r="BG32">
        <v>2006</v>
      </c>
      <c r="BH32">
        <v>31</v>
      </c>
      <c r="BI32">
        <v>0</v>
      </c>
      <c r="BJ32">
        <v>7.63</v>
      </c>
      <c r="BK32">
        <v>20.78</v>
      </c>
      <c r="BL32">
        <v>14.036250000000003</v>
      </c>
      <c r="BN32">
        <v>0</v>
      </c>
      <c r="BP32">
        <v>2006</v>
      </c>
      <c r="BQ32">
        <v>31</v>
      </c>
      <c r="BR32">
        <v>0</v>
      </c>
      <c r="BS32">
        <v>11.47</v>
      </c>
      <c r="BT32">
        <v>24.75</v>
      </c>
      <c r="BU32">
        <v>17.467916666666671</v>
      </c>
      <c r="BW32">
        <v>0</v>
      </c>
      <c r="BY32">
        <v>2006</v>
      </c>
      <c r="BZ32">
        <v>31</v>
      </c>
      <c r="CA32">
        <v>0.60000000000000009</v>
      </c>
      <c r="CB32">
        <v>14.89</v>
      </c>
      <c r="CC32">
        <v>21.19</v>
      </c>
      <c r="CD32">
        <v>17.760000000000002</v>
      </c>
      <c r="CF32">
        <v>0</v>
      </c>
    </row>
    <row r="33" spans="1:84" x14ac:dyDescent="0.25">
      <c r="A33">
        <v>2006</v>
      </c>
      <c r="B33">
        <v>122</v>
      </c>
      <c r="C33">
        <v>1600</v>
      </c>
      <c r="D33" s="7">
        <v>129.1</v>
      </c>
      <c r="E33" s="7">
        <v>78.3</v>
      </c>
      <c r="F33" s="7">
        <v>9.69</v>
      </c>
      <c r="G33" s="7">
        <v>9.8699999999999992</v>
      </c>
      <c r="H33" s="7"/>
      <c r="I33" s="7"/>
      <c r="J33" s="7"/>
      <c r="K33" s="7">
        <v>4.08</v>
      </c>
      <c r="L33" s="7">
        <v>170.9</v>
      </c>
      <c r="M33" s="7">
        <v>0.2</v>
      </c>
      <c r="N33" s="7"/>
      <c r="O33" s="7">
        <v>171.9</v>
      </c>
      <c r="P33" s="7">
        <v>35.299999999999997</v>
      </c>
      <c r="Q33" s="7">
        <v>9.8800000000000008</v>
      </c>
      <c r="R33" s="7"/>
      <c r="S33" s="7">
        <v>9.58</v>
      </c>
      <c r="T33" s="7">
        <v>0</v>
      </c>
      <c r="U33" s="7">
        <v>97.7</v>
      </c>
      <c r="V33" s="7">
        <v>810</v>
      </c>
      <c r="W33" s="7">
        <v>33.770000000000003</v>
      </c>
      <c r="X33" s="7"/>
      <c r="Y33" s="7">
        <v>13.7</v>
      </c>
      <c r="Z33" s="7"/>
      <c r="AA33" s="13">
        <v>151</v>
      </c>
      <c r="AB33" s="9">
        <v>31</v>
      </c>
      <c r="AC33" s="17">
        <f t="shared" ca="1" si="0"/>
        <v>12.699875</v>
      </c>
      <c r="AD33">
        <f t="shared" ca="1" si="1"/>
        <v>0</v>
      </c>
      <c r="AF33">
        <v>2006</v>
      </c>
      <c r="AG33">
        <v>32</v>
      </c>
      <c r="AH33">
        <v>0</v>
      </c>
      <c r="AI33">
        <v>6.2709999999999999</v>
      </c>
      <c r="AJ33">
        <v>18.47</v>
      </c>
      <c r="AK33">
        <v>12.699875</v>
      </c>
      <c r="AM33">
        <v>0</v>
      </c>
      <c r="AO33">
        <v>2006</v>
      </c>
      <c r="AP33">
        <v>32</v>
      </c>
      <c r="AQ33">
        <v>0</v>
      </c>
      <c r="AR33">
        <v>6.2709999999999999</v>
      </c>
      <c r="AS33">
        <v>18.47</v>
      </c>
      <c r="AT33">
        <v>12.699875</v>
      </c>
      <c r="AV33">
        <v>0</v>
      </c>
      <c r="AX33">
        <v>2006</v>
      </c>
      <c r="AY33">
        <v>32</v>
      </c>
      <c r="AZ33">
        <v>0</v>
      </c>
      <c r="BA33">
        <v>3.69</v>
      </c>
      <c r="BB33">
        <v>20.66</v>
      </c>
      <c r="BC33">
        <v>12.809666666666667</v>
      </c>
      <c r="BE33">
        <v>0</v>
      </c>
      <c r="BG33">
        <v>2006</v>
      </c>
      <c r="BH33">
        <v>32</v>
      </c>
      <c r="BI33">
        <v>0</v>
      </c>
      <c r="BJ33">
        <v>11.47</v>
      </c>
      <c r="BK33">
        <v>24.75</v>
      </c>
      <c r="BL33">
        <v>17.467916666666671</v>
      </c>
      <c r="BN33">
        <v>0</v>
      </c>
      <c r="BP33">
        <v>2006</v>
      </c>
      <c r="BQ33">
        <v>32</v>
      </c>
      <c r="BR33">
        <v>0</v>
      </c>
      <c r="BS33">
        <v>14.79</v>
      </c>
      <c r="BT33">
        <v>23.19</v>
      </c>
      <c r="BU33">
        <v>19.203333333333337</v>
      </c>
      <c r="BW33">
        <v>0</v>
      </c>
      <c r="BY33">
        <v>2006</v>
      </c>
      <c r="BZ33">
        <v>32</v>
      </c>
      <c r="CA33">
        <v>0.8</v>
      </c>
      <c r="CB33">
        <v>11.92</v>
      </c>
      <c r="CC33">
        <v>20.36</v>
      </c>
      <c r="CD33">
        <v>16.21875</v>
      </c>
      <c r="CF33">
        <v>0</v>
      </c>
    </row>
    <row r="34" spans="1:84" x14ac:dyDescent="0.25">
      <c r="A34">
        <v>2006</v>
      </c>
      <c r="B34">
        <v>122</v>
      </c>
      <c r="C34">
        <v>1700</v>
      </c>
      <c r="D34" s="7">
        <v>83</v>
      </c>
      <c r="E34" s="7">
        <v>42.36</v>
      </c>
      <c r="F34" s="7">
        <v>8.3000000000000007</v>
      </c>
      <c r="G34" s="7">
        <v>8.5</v>
      </c>
      <c r="H34" s="7"/>
      <c r="I34" s="7"/>
      <c r="J34" s="7"/>
      <c r="K34" s="7">
        <v>2.093</v>
      </c>
      <c r="L34" s="7">
        <v>203.2</v>
      </c>
      <c r="M34" s="7">
        <v>0</v>
      </c>
      <c r="N34" s="7"/>
      <c r="O34" s="7">
        <v>106.9</v>
      </c>
      <c r="P34" s="7">
        <v>19.52</v>
      </c>
      <c r="Q34" s="7">
        <v>9.9</v>
      </c>
      <c r="R34" s="7"/>
      <c r="S34" s="7">
        <v>9.58</v>
      </c>
      <c r="T34" s="7">
        <v>0</v>
      </c>
      <c r="U34" s="7">
        <v>97.4</v>
      </c>
      <c r="V34" s="7">
        <v>969</v>
      </c>
      <c r="W34" s="7">
        <v>47.18</v>
      </c>
      <c r="X34" s="7"/>
      <c r="Y34" s="7">
        <v>13.63</v>
      </c>
      <c r="Z34" s="7"/>
      <c r="AA34" s="13">
        <v>152</v>
      </c>
      <c r="AB34" s="9">
        <v>32</v>
      </c>
      <c r="AC34" s="17">
        <f t="shared" ca="1" si="0"/>
        <v>12.809666666666667</v>
      </c>
      <c r="AD34">
        <f t="shared" ca="1" si="1"/>
        <v>0</v>
      </c>
      <c r="AF34">
        <v>2006</v>
      </c>
      <c r="AG34">
        <v>33</v>
      </c>
      <c r="AH34">
        <v>0</v>
      </c>
      <c r="AI34">
        <v>3.69</v>
      </c>
      <c r="AJ34">
        <v>20.66</v>
      </c>
      <c r="AK34">
        <v>12.809666666666667</v>
      </c>
      <c r="AM34">
        <v>0</v>
      </c>
      <c r="AO34">
        <v>2006</v>
      </c>
      <c r="AP34">
        <v>33</v>
      </c>
      <c r="AQ34">
        <v>0</v>
      </c>
      <c r="AR34">
        <v>3.69</v>
      </c>
      <c r="AS34">
        <v>20.66</v>
      </c>
      <c r="AT34">
        <v>12.809666666666667</v>
      </c>
      <c r="AV34">
        <v>0</v>
      </c>
      <c r="AX34">
        <v>2006</v>
      </c>
      <c r="AY34">
        <v>33</v>
      </c>
      <c r="AZ34">
        <v>0</v>
      </c>
      <c r="BA34">
        <v>10.14</v>
      </c>
      <c r="BB34">
        <v>22</v>
      </c>
      <c r="BC34">
        <v>15.106666666666667</v>
      </c>
      <c r="BE34">
        <v>0</v>
      </c>
      <c r="BG34">
        <v>2006</v>
      </c>
      <c r="BH34">
        <v>33</v>
      </c>
      <c r="BI34">
        <v>0</v>
      </c>
      <c r="BJ34">
        <v>14.79</v>
      </c>
      <c r="BK34">
        <v>23.19</v>
      </c>
      <c r="BL34">
        <v>19.203333333333337</v>
      </c>
      <c r="BN34">
        <v>0</v>
      </c>
      <c r="BP34">
        <v>2006</v>
      </c>
      <c r="BQ34">
        <v>33</v>
      </c>
      <c r="BR34">
        <v>0.60000000000000009</v>
      </c>
      <c r="BS34">
        <v>14.89</v>
      </c>
      <c r="BT34">
        <v>21.19</v>
      </c>
      <c r="BU34">
        <v>17.760000000000002</v>
      </c>
      <c r="BW34">
        <v>0</v>
      </c>
      <c r="BY34">
        <v>2006</v>
      </c>
      <c r="BZ34">
        <v>33</v>
      </c>
      <c r="CA34">
        <v>0</v>
      </c>
      <c r="CB34">
        <v>10.89</v>
      </c>
      <c r="CC34">
        <v>20.52</v>
      </c>
      <c r="CD34">
        <v>15.767499999999997</v>
      </c>
      <c r="CF34">
        <v>0</v>
      </c>
    </row>
    <row r="35" spans="1:84" x14ac:dyDescent="0.25">
      <c r="A35">
        <v>2006</v>
      </c>
      <c r="B35">
        <v>122</v>
      </c>
      <c r="C35">
        <v>1800</v>
      </c>
      <c r="D35" s="7">
        <v>128.69999999999999</v>
      </c>
      <c r="E35" s="7">
        <v>69.5</v>
      </c>
      <c r="F35" s="7">
        <v>8.65</v>
      </c>
      <c r="G35" s="7">
        <v>9.06</v>
      </c>
      <c r="H35" s="7"/>
      <c r="I35" s="7"/>
      <c r="J35" s="7"/>
      <c r="K35" s="7">
        <v>2.4289999999999998</v>
      </c>
      <c r="L35" s="7">
        <v>210.6</v>
      </c>
      <c r="M35" s="7">
        <v>0</v>
      </c>
      <c r="N35" s="7"/>
      <c r="O35" s="7">
        <v>164.6</v>
      </c>
      <c r="P35" s="7">
        <v>41.5</v>
      </c>
      <c r="Q35" s="7">
        <v>9.93</v>
      </c>
      <c r="R35" s="7"/>
      <c r="S35" s="7">
        <v>9.6199999999999992</v>
      </c>
      <c r="T35" s="7">
        <v>0</v>
      </c>
      <c r="U35" s="7">
        <v>94.9</v>
      </c>
      <c r="V35" s="7">
        <v>1025</v>
      </c>
      <c r="W35" s="7">
        <v>52.19</v>
      </c>
      <c r="X35" s="7"/>
      <c r="Y35" s="7">
        <v>13.69</v>
      </c>
      <c r="Z35" s="7"/>
      <c r="AA35" s="13">
        <v>153</v>
      </c>
      <c r="AB35" s="9">
        <v>33</v>
      </c>
      <c r="AC35" s="17">
        <f t="shared" ca="1" si="0"/>
        <v>15.106666666666667</v>
      </c>
      <c r="AD35">
        <f t="shared" ca="1" si="1"/>
        <v>0</v>
      </c>
      <c r="AF35">
        <v>2006</v>
      </c>
      <c r="AG35">
        <v>34</v>
      </c>
      <c r="AH35">
        <v>0</v>
      </c>
      <c r="AI35">
        <v>10.14</v>
      </c>
      <c r="AJ35">
        <v>22</v>
      </c>
      <c r="AK35">
        <v>15.106666666666667</v>
      </c>
      <c r="AM35">
        <v>0</v>
      </c>
      <c r="AO35">
        <v>2006</v>
      </c>
      <c r="AP35">
        <v>34</v>
      </c>
      <c r="AQ35">
        <v>0</v>
      </c>
      <c r="AR35">
        <v>10.14</v>
      </c>
      <c r="AS35">
        <v>22</v>
      </c>
      <c r="AT35">
        <v>15.106666666666667</v>
      </c>
      <c r="AV35">
        <v>0</v>
      </c>
      <c r="AX35">
        <v>2006</v>
      </c>
      <c r="AY35">
        <v>34</v>
      </c>
      <c r="AZ35">
        <v>0</v>
      </c>
      <c r="BA35">
        <v>7.08</v>
      </c>
      <c r="BB35">
        <v>18.489999999999998</v>
      </c>
      <c r="BC35">
        <v>13.83</v>
      </c>
      <c r="BE35">
        <v>0</v>
      </c>
      <c r="BG35">
        <v>2006</v>
      </c>
      <c r="BH35">
        <v>34</v>
      </c>
      <c r="BI35">
        <v>0.60000000000000009</v>
      </c>
      <c r="BJ35">
        <v>14.89</v>
      </c>
      <c r="BK35">
        <v>21.19</v>
      </c>
      <c r="BL35">
        <v>17.760000000000002</v>
      </c>
      <c r="BN35">
        <v>0</v>
      </c>
      <c r="BP35">
        <v>2006</v>
      </c>
      <c r="BQ35">
        <v>34</v>
      </c>
      <c r="BR35">
        <v>0.8</v>
      </c>
      <c r="BS35">
        <v>11.92</v>
      </c>
      <c r="BT35">
        <v>20.36</v>
      </c>
      <c r="BU35">
        <v>16.21875</v>
      </c>
      <c r="BW35">
        <v>0</v>
      </c>
      <c r="BY35">
        <v>2006</v>
      </c>
      <c r="BZ35">
        <v>34</v>
      </c>
      <c r="CA35">
        <v>0</v>
      </c>
      <c r="CB35">
        <v>5.1890000000000001</v>
      </c>
      <c r="CC35">
        <v>16.97</v>
      </c>
      <c r="CD35">
        <v>12.981083333333332</v>
      </c>
      <c r="CF35">
        <v>0</v>
      </c>
    </row>
    <row r="36" spans="1:84" x14ac:dyDescent="0.25">
      <c r="A36">
        <v>2006</v>
      </c>
      <c r="B36">
        <v>122</v>
      </c>
      <c r="C36">
        <v>1900</v>
      </c>
      <c r="D36" s="7">
        <v>121.9</v>
      </c>
      <c r="E36" s="7">
        <v>52.8</v>
      </c>
      <c r="F36" s="7">
        <v>9.14</v>
      </c>
      <c r="G36" s="7">
        <v>9.31</v>
      </c>
      <c r="H36" s="7"/>
      <c r="I36" s="7"/>
      <c r="J36" s="7"/>
      <c r="K36" s="7">
        <v>2.3319999999999999</v>
      </c>
      <c r="L36" s="7">
        <v>215</v>
      </c>
      <c r="M36" s="7">
        <v>0</v>
      </c>
      <c r="N36" s="7"/>
      <c r="O36" s="7">
        <v>151.80000000000001</v>
      </c>
      <c r="P36" s="7">
        <v>102.7</v>
      </c>
      <c r="Q36" s="7">
        <v>10.01</v>
      </c>
      <c r="R36" s="7"/>
      <c r="S36" s="7">
        <v>9.6300000000000008</v>
      </c>
      <c r="T36" s="7">
        <v>0</v>
      </c>
      <c r="U36" s="7">
        <v>97.9</v>
      </c>
      <c r="V36" s="7">
        <v>997</v>
      </c>
      <c r="W36" s="7">
        <v>49.09</v>
      </c>
      <c r="X36" s="7"/>
      <c r="Y36" s="7">
        <v>13.62</v>
      </c>
      <c r="Z36" s="7"/>
      <c r="AA36" s="13">
        <v>154</v>
      </c>
      <c r="AB36" s="9">
        <v>34</v>
      </c>
      <c r="AC36" s="17">
        <f t="shared" ca="1" si="0"/>
        <v>13.83</v>
      </c>
      <c r="AD36">
        <f t="shared" ca="1" si="1"/>
        <v>0</v>
      </c>
      <c r="AF36">
        <v>2006</v>
      </c>
      <c r="AG36">
        <v>35</v>
      </c>
      <c r="AH36">
        <v>0</v>
      </c>
      <c r="AI36">
        <v>7.08</v>
      </c>
      <c r="AJ36">
        <v>18.489999999999998</v>
      </c>
      <c r="AK36">
        <v>13.83</v>
      </c>
      <c r="AM36">
        <v>0</v>
      </c>
      <c r="AO36">
        <v>2006</v>
      </c>
      <c r="AP36">
        <v>35</v>
      </c>
      <c r="AQ36">
        <v>0</v>
      </c>
      <c r="AR36">
        <v>7.08</v>
      </c>
      <c r="AS36">
        <v>18.489999999999998</v>
      </c>
      <c r="AT36">
        <v>13.83</v>
      </c>
      <c r="AV36">
        <v>0</v>
      </c>
      <c r="AX36">
        <v>2006</v>
      </c>
      <c r="AY36">
        <v>35</v>
      </c>
      <c r="AZ36">
        <v>0</v>
      </c>
      <c r="BA36">
        <v>7.8</v>
      </c>
      <c r="BB36">
        <v>22</v>
      </c>
      <c r="BC36">
        <v>15.237499999999997</v>
      </c>
      <c r="BE36">
        <v>0</v>
      </c>
      <c r="BG36">
        <v>2006</v>
      </c>
      <c r="BH36">
        <v>35</v>
      </c>
      <c r="BI36">
        <v>0.8</v>
      </c>
      <c r="BJ36">
        <v>11.92</v>
      </c>
      <c r="BK36">
        <v>20.36</v>
      </c>
      <c r="BL36">
        <v>16.21875</v>
      </c>
      <c r="BN36">
        <v>0</v>
      </c>
      <c r="BP36">
        <v>2006</v>
      </c>
      <c r="BQ36">
        <v>35</v>
      </c>
      <c r="BR36">
        <v>0</v>
      </c>
      <c r="BS36">
        <v>10.89</v>
      </c>
      <c r="BT36">
        <v>20.52</v>
      </c>
      <c r="BU36">
        <v>15.767499999999997</v>
      </c>
      <c r="BW36">
        <v>0</v>
      </c>
      <c r="BY36">
        <v>2006</v>
      </c>
      <c r="BZ36">
        <v>35</v>
      </c>
      <c r="CA36">
        <v>0</v>
      </c>
      <c r="CB36">
        <v>3.492</v>
      </c>
      <c r="CC36">
        <v>17.68</v>
      </c>
      <c r="CD36">
        <v>11.989208333333332</v>
      </c>
      <c r="CF36">
        <v>0</v>
      </c>
    </row>
    <row r="37" spans="1:84" x14ac:dyDescent="0.25">
      <c r="A37">
        <v>2006</v>
      </c>
      <c r="B37">
        <v>122</v>
      </c>
      <c r="C37">
        <v>2000</v>
      </c>
      <c r="D37" s="7">
        <v>13.2</v>
      </c>
      <c r="E37" s="7">
        <v>-34.200000000000003</v>
      </c>
      <c r="F37" s="7">
        <v>8.2799999999999994</v>
      </c>
      <c r="G37" s="7">
        <v>8.44</v>
      </c>
      <c r="H37" s="7"/>
      <c r="I37" s="7"/>
      <c r="J37" s="7"/>
      <c r="K37" s="7">
        <v>1.4950000000000001</v>
      </c>
      <c r="L37" s="7">
        <v>198.2</v>
      </c>
      <c r="M37" s="7">
        <v>0</v>
      </c>
      <c r="N37" s="7"/>
      <c r="O37" s="7">
        <v>5.6970000000000001</v>
      </c>
      <c r="P37" s="7">
        <v>-3.177</v>
      </c>
      <c r="Q37" s="7">
        <v>10</v>
      </c>
      <c r="R37" s="7"/>
      <c r="S37" s="7">
        <v>9.6199999999999992</v>
      </c>
      <c r="T37" s="7">
        <v>0</v>
      </c>
      <c r="U37" s="7">
        <v>97.9</v>
      </c>
      <c r="V37" s="7">
        <v>884</v>
      </c>
      <c r="W37" s="7">
        <v>38.29</v>
      </c>
      <c r="X37" s="7"/>
      <c r="Y37" s="7">
        <v>13.52</v>
      </c>
      <c r="Z37" s="7"/>
      <c r="AA37" s="13">
        <v>155</v>
      </c>
      <c r="AB37" s="9">
        <v>35</v>
      </c>
      <c r="AC37" s="17">
        <f t="shared" ca="1" si="0"/>
        <v>15.237499999999997</v>
      </c>
      <c r="AD37">
        <f t="shared" ca="1" si="1"/>
        <v>0</v>
      </c>
      <c r="AF37">
        <v>2006</v>
      </c>
      <c r="AG37">
        <v>36</v>
      </c>
      <c r="AH37">
        <v>0</v>
      </c>
      <c r="AI37">
        <v>7.8</v>
      </c>
      <c r="AJ37">
        <v>22</v>
      </c>
      <c r="AK37">
        <v>15.237499999999997</v>
      </c>
      <c r="AM37">
        <v>0</v>
      </c>
      <c r="AO37">
        <v>2006</v>
      </c>
      <c r="AP37">
        <v>36</v>
      </c>
      <c r="AQ37">
        <v>0</v>
      </c>
      <c r="AR37">
        <v>7.8</v>
      </c>
      <c r="AS37">
        <v>22</v>
      </c>
      <c r="AT37">
        <v>15.237499999999997</v>
      </c>
      <c r="AV37">
        <v>0</v>
      </c>
      <c r="AX37">
        <v>2006</v>
      </c>
      <c r="AY37">
        <v>36</v>
      </c>
      <c r="AZ37">
        <v>1.4</v>
      </c>
      <c r="BA37">
        <v>9.83</v>
      </c>
      <c r="BB37">
        <v>25.82</v>
      </c>
      <c r="BC37">
        <v>17.240416666666665</v>
      </c>
      <c r="BE37">
        <v>0</v>
      </c>
      <c r="BG37">
        <v>2006</v>
      </c>
      <c r="BH37">
        <v>36</v>
      </c>
      <c r="BI37">
        <v>0</v>
      </c>
      <c r="BJ37">
        <v>10.89</v>
      </c>
      <c r="BK37">
        <v>20.52</v>
      </c>
      <c r="BL37">
        <v>15.767499999999997</v>
      </c>
      <c r="BN37">
        <v>0</v>
      </c>
      <c r="BP37">
        <v>2006</v>
      </c>
      <c r="BQ37">
        <v>36</v>
      </c>
      <c r="BR37">
        <v>0</v>
      </c>
      <c r="BS37">
        <v>5.1890000000000001</v>
      </c>
      <c r="BT37">
        <v>16.97</v>
      </c>
      <c r="BU37">
        <v>12.981083333333332</v>
      </c>
      <c r="BW37">
        <v>0</v>
      </c>
      <c r="BY37">
        <v>2006</v>
      </c>
      <c r="BZ37">
        <v>36</v>
      </c>
      <c r="CA37">
        <v>0.4</v>
      </c>
      <c r="CB37">
        <v>12.65</v>
      </c>
      <c r="CC37">
        <v>19.600000000000001</v>
      </c>
      <c r="CD37">
        <v>16.274999999999999</v>
      </c>
      <c r="CF37">
        <v>0</v>
      </c>
    </row>
    <row r="38" spans="1:84" x14ac:dyDescent="0.25">
      <c r="A38">
        <v>2006</v>
      </c>
      <c r="B38">
        <v>122</v>
      </c>
      <c r="C38">
        <v>2100</v>
      </c>
      <c r="D38" s="7">
        <v>-1.254</v>
      </c>
      <c r="E38" s="7">
        <v>-24.39</v>
      </c>
      <c r="F38" s="7">
        <v>8.5399999999999991</v>
      </c>
      <c r="G38" s="7">
        <v>8.75</v>
      </c>
      <c r="H38" s="7"/>
      <c r="I38" s="7"/>
      <c r="J38" s="7"/>
      <c r="K38" s="7">
        <v>1.7370000000000001</v>
      </c>
      <c r="L38" s="7">
        <v>196.9</v>
      </c>
      <c r="M38" s="7">
        <v>0</v>
      </c>
      <c r="N38" s="7"/>
      <c r="O38" s="7">
        <v>-10.63</v>
      </c>
      <c r="P38" s="7">
        <v>-10.52</v>
      </c>
      <c r="Q38" s="7">
        <v>9.98</v>
      </c>
      <c r="R38" s="7"/>
      <c r="S38" s="7">
        <v>9.6199999999999992</v>
      </c>
      <c r="T38" s="7">
        <v>0</v>
      </c>
      <c r="U38" s="7">
        <v>97.3</v>
      </c>
      <c r="V38" s="7">
        <v>869</v>
      </c>
      <c r="W38" s="7">
        <v>37.270000000000003</v>
      </c>
      <c r="X38" s="7"/>
      <c r="Y38" s="7">
        <v>13.43</v>
      </c>
      <c r="Z38" s="7"/>
      <c r="AA38" s="13">
        <v>156</v>
      </c>
      <c r="AB38" s="9">
        <v>36</v>
      </c>
      <c r="AC38" s="17">
        <f t="shared" ca="1" si="0"/>
        <v>17.240416666666665</v>
      </c>
      <c r="AD38">
        <f t="shared" ca="1" si="1"/>
        <v>1.4</v>
      </c>
      <c r="AF38">
        <v>2006</v>
      </c>
      <c r="AG38">
        <v>37</v>
      </c>
      <c r="AH38">
        <v>1.4</v>
      </c>
      <c r="AI38">
        <v>9.83</v>
      </c>
      <c r="AJ38">
        <v>25.82</v>
      </c>
      <c r="AK38">
        <v>17.240416666666665</v>
      </c>
      <c r="AM38">
        <v>0</v>
      </c>
      <c r="AO38">
        <v>2006</v>
      </c>
      <c r="AP38">
        <v>37</v>
      </c>
      <c r="AQ38">
        <v>1.4</v>
      </c>
      <c r="AR38">
        <v>9.83</v>
      </c>
      <c r="AS38">
        <v>25.82</v>
      </c>
      <c r="AT38">
        <v>17.240416666666665</v>
      </c>
      <c r="AV38">
        <v>0</v>
      </c>
      <c r="AX38">
        <v>2006</v>
      </c>
      <c r="AY38">
        <v>37</v>
      </c>
      <c r="AZ38">
        <v>0</v>
      </c>
      <c r="BA38">
        <v>7.63</v>
      </c>
      <c r="BB38">
        <v>20.78</v>
      </c>
      <c r="BC38">
        <v>14.036250000000003</v>
      </c>
      <c r="BE38">
        <v>0</v>
      </c>
      <c r="BG38">
        <v>2006</v>
      </c>
      <c r="BH38">
        <v>37</v>
      </c>
      <c r="BI38">
        <v>0</v>
      </c>
      <c r="BJ38">
        <v>5.1890000000000001</v>
      </c>
      <c r="BK38">
        <v>16.97</v>
      </c>
      <c r="BL38">
        <v>12.981083333333332</v>
      </c>
      <c r="BN38">
        <v>0</v>
      </c>
      <c r="BP38">
        <v>2006</v>
      </c>
      <c r="BQ38">
        <v>37</v>
      </c>
      <c r="BR38">
        <v>0</v>
      </c>
      <c r="BS38">
        <v>3.492</v>
      </c>
      <c r="BT38">
        <v>17.68</v>
      </c>
      <c r="BU38">
        <v>11.989208333333332</v>
      </c>
      <c r="BW38">
        <v>0</v>
      </c>
      <c r="BY38">
        <v>2006</v>
      </c>
      <c r="BZ38">
        <v>37</v>
      </c>
      <c r="CA38">
        <v>1.4</v>
      </c>
      <c r="CB38">
        <v>12.84</v>
      </c>
      <c r="CC38">
        <v>17.18</v>
      </c>
      <c r="CD38">
        <v>15.114583333333334</v>
      </c>
      <c r="CF38">
        <v>0</v>
      </c>
    </row>
    <row r="39" spans="1:84" x14ac:dyDescent="0.25">
      <c r="A39">
        <v>2006</v>
      </c>
      <c r="B39">
        <v>122</v>
      </c>
      <c r="C39">
        <v>2200</v>
      </c>
      <c r="D39" s="7">
        <v>-2.0350000000000001</v>
      </c>
      <c r="E39" s="7">
        <v>-37.1</v>
      </c>
      <c r="F39" s="7">
        <v>8.33</v>
      </c>
      <c r="G39" s="7">
        <v>8.51</v>
      </c>
      <c r="H39" s="7"/>
      <c r="I39" s="7"/>
      <c r="J39" s="7"/>
      <c r="K39" s="7">
        <v>2.4569999999999999</v>
      </c>
      <c r="L39" s="7">
        <v>204.7</v>
      </c>
      <c r="M39" s="7">
        <v>0</v>
      </c>
      <c r="N39" s="7"/>
      <c r="O39" s="7">
        <v>-11.5</v>
      </c>
      <c r="P39" s="7">
        <v>-10.84</v>
      </c>
      <c r="Q39" s="7">
        <v>9.9</v>
      </c>
      <c r="R39" s="7"/>
      <c r="S39" s="7">
        <v>9.6199999999999992</v>
      </c>
      <c r="T39" s="7">
        <v>0</v>
      </c>
      <c r="U39" s="7">
        <v>97.8</v>
      </c>
      <c r="V39" s="7">
        <v>859</v>
      </c>
      <c r="W39" s="7">
        <v>36.619999999999997</v>
      </c>
      <c r="X39" s="7"/>
      <c r="Y39" s="7">
        <v>13.35</v>
      </c>
      <c r="Z39" s="7"/>
      <c r="AA39" s="13">
        <v>157</v>
      </c>
      <c r="AB39" s="9">
        <v>37</v>
      </c>
      <c r="AC39" s="17">
        <f t="shared" ca="1" si="0"/>
        <v>14.036250000000003</v>
      </c>
      <c r="AD39">
        <f t="shared" ca="1" si="1"/>
        <v>0</v>
      </c>
      <c r="AF39">
        <v>2006</v>
      </c>
      <c r="AG39">
        <v>38</v>
      </c>
      <c r="AH39">
        <v>0</v>
      </c>
      <c r="AI39">
        <v>7.63</v>
      </c>
      <c r="AJ39">
        <v>20.78</v>
      </c>
      <c r="AK39">
        <v>14.036250000000003</v>
      </c>
      <c r="AM39">
        <v>0</v>
      </c>
      <c r="AO39">
        <v>2006</v>
      </c>
      <c r="AP39">
        <v>38</v>
      </c>
      <c r="AQ39">
        <v>0</v>
      </c>
      <c r="AR39">
        <v>7.63</v>
      </c>
      <c r="AS39">
        <v>20.78</v>
      </c>
      <c r="AT39">
        <v>14.036250000000003</v>
      </c>
      <c r="AV39">
        <v>0</v>
      </c>
      <c r="AX39">
        <v>2006</v>
      </c>
      <c r="AY39">
        <v>38</v>
      </c>
      <c r="AZ39">
        <v>0</v>
      </c>
      <c r="BA39">
        <v>11.47</v>
      </c>
      <c r="BB39">
        <v>24.75</v>
      </c>
      <c r="BC39">
        <v>17.467916666666671</v>
      </c>
      <c r="BE39">
        <v>0</v>
      </c>
      <c r="BG39">
        <v>2006</v>
      </c>
      <c r="BH39">
        <v>38</v>
      </c>
      <c r="BI39">
        <v>0</v>
      </c>
      <c r="BJ39">
        <v>3.492</v>
      </c>
      <c r="BK39">
        <v>17.68</v>
      </c>
      <c r="BL39">
        <v>11.989208333333332</v>
      </c>
      <c r="BN39">
        <v>0</v>
      </c>
      <c r="BP39">
        <v>2006</v>
      </c>
      <c r="BQ39">
        <v>38</v>
      </c>
      <c r="BR39">
        <v>0.4</v>
      </c>
      <c r="BS39">
        <v>12.65</v>
      </c>
      <c r="BT39">
        <v>19.600000000000001</v>
      </c>
      <c r="BU39">
        <v>16.274999999999999</v>
      </c>
      <c r="BW39">
        <v>0</v>
      </c>
      <c r="BY39">
        <v>2006</v>
      </c>
      <c r="BZ39">
        <v>38</v>
      </c>
      <c r="CA39">
        <v>0.2</v>
      </c>
      <c r="CB39">
        <v>13.92</v>
      </c>
      <c r="CC39">
        <v>20.5</v>
      </c>
      <c r="CD39">
        <v>16.64</v>
      </c>
      <c r="CF39">
        <v>0</v>
      </c>
    </row>
    <row r="40" spans="1:84" x14ac:dyDescent="0.25">
      <c r="A40">
        <v>2006</v>
      </c>
      <c r="B40">
        <v>122</v>
      </c>
      <c r="C40">
        <v>2300</v>
      </c>
      <c r="D40" s="7">
        <v>-2.6440000000000001</v>
      </c>
      <c r="E40" s="7">
        <v>-47.06</v>
      </c>
      <c r="F40" s="7">
        <v>7.59</v>
      </c>
      <c r="G40" s="7">
        <v>7.74</v>
      </c>
      <c r="H40" s="7"/>
      <c r="I40" s="7"/>
      <c r="J40" s="7"/>
      <c r="K40" s="7">
        <v>2.4780000000000002</v>
      </c>
      <c r="L40" s="7">
        <v>210.4</v>
      </c>
      <c r="M40" s="7">
        <v>0</v>
      </c>
      <c r="N40" s="7"/>
      <c r="O40" s="7">
        <v>-11.5</v>
      </c>
      <c r="P40" s="7">
        <v>-10.84</v>
      </c>
      <c r="Q40" s="7">
        <v>9.86</v>
      </c>
      <c r="R40" s="7"/>
      <c r="S40" s="7">
        <v>9.59</v>
      </c>
      <c r="T40" s="7">
        <v>0</v>
      </c>
      <c r="U40" s="7">
        <v>98</v>
      </c>
      <c r="V40" s="7">
        <v>852</v>
      </c>
      <c r="W40" s="7">
        <v>36.200000000000003</v>
      </c>
      <c r="X40" s="7"/>
      <c r="Y40" s="7">
        <v>13.28</v>
      </c>
      <c r="Z40" s="7"/>
      <c r="AA40" s="13">
        <v>158</v>
      </c>
      <c r="AB40" s="9">
        <v>38</v>
      </c>
      <c r="AC40" s="17">
        <f t="shared" ca="1" si="0"/>
        <v>17.467916666666671</v>
      </c>
      <c r="AD40">
        <f t="shared" ca="1" si="1"/>
        <v>0</v>
      </c>
      <c r="AF40">
        <v>2006</v>
      </c>
      <c r="AG40">
        <v>39</v>
      </c>
      <c r="AH40">
        <v>0</v>
      </c>
      <c r="AI40">
        <v>11.47</v>
      </c>
      <c r="AJ40">
        <v>24.75</v>
      </c>
      <c r="AK40">
        <v>17.467916666666671</v>
      </c>
      <c r="AM40">
        <v>0</v>
      </c>
      <c r="AO40">
        <v>2006</v>
      </c>
      <c r="AP40">
        <v>39</v>
      </c>
      <c r="AQ40">
        <v>0</v>
      </c>
      <c r="AR40">
        <v>11.47</v>
      </c>
      <c r="AS40">
        <v>24.75</v>
      </c>
      <c r="AT40">
        <v>17.467916666666671</v>
      </c>
      <c r="AV40">
        <v>0</v>
      </c>
      <c r="AX40">
        <v>2006</v>
      </c>
      <c r="AY40">
        <v>39</v>
      </c>
      <c r="AZ40">
        <v>0</v>
      </c>
      <c r="BA40">
        <v>14.79</v>
      </c>
      <c r="BB40">
        <v>23.19</v>
      </c>
      <c r="BC40">
        <v>19.203333333333337</v>
      </c>
      <c r="BE40">
        <v>0</v>
      </c>
      <c r="BG40">
        <v>2006</v>
      </c>
      <c r="BH40">
        <v>39</v>
      </c>
      <c r="BI40">
        <v>0.4</v>
      </c>
      <c r="BJ40">
        <v>12.65</v>
      </c>
      <c r="BK40">
        <v>19.600000000000001</v>
      </c>
      <c r="BL40">
        <v>16.274999999999999</v>
      </c>
      <c r="BN40">
        <v>0</v>
      </c>
      <c r="BP40">
        <v>2006</v>
      </c>
      <c r="BQ40">
        <v>39</v>
      </c>
      <c r="BR40">
        <v>1.4</v>
      </c>
      <c r="BS40">
        <v>12.84</v>
      </c>
      <c r="BT40">
        <v>17.18</v>
      </c>
      <c r="BU40">
        <v>15.114583333333334</v>
      </c>
      <c r="BW40">
        <v>0</v>
      </c>
      <c r="BY40">
        <v>2006</v>
      </c>
      <c r="BZ40">
        <v>39</v>
      </c>
      <c r="CA40">
        <v>0</v>
      </c>
      <c r="CB40">
        <v>12.03</v>
      </c>
      <c r="CC40">
        <v>16.75</v>
      </c>
      <c r="CD40">
        <v>14.067500000000001</v>
      </c>
      <c r="CF40">
        <v>0</v>
      </c>
    </row>
    <row r="41" spans="1:84" x14ac:dyDescent="0.25">
      <c r="A41">
        <v>2006</v>
      </c>
      <c r="B41">
        <v>122</v>
      </c>
      <c r="C41">
        <v>2400</v>
      </c>
      <c r="D41" s="7">
        <v>-2.7120000000000002</v>
      </c>
      <c r="E41" s="7">
        <v>-37.119999999999997</v>
      </c>
      <c r="F41" s="7">
        <v>7.38</v>
      </c>
      <c r="G41" s="7">
        <v>7.52</v>
      </c>
      <c r="H41" s="7"/>
      <c r="I41" s="7"/>
      <c r="J41" s="7"/>
      <c r="K41" s="7">
        <v>2.645</v>
      </c>
      <c r="L41" s="7">
        <v>215.3</v>
      </c>
      <c r="M41" s="7">
        <v>0.2</v>
      </c>
      <c r="N41" s="7"/>
      <c r="O41" s="7">
        <v>-11.49</v>
      </c>
      <c r="P41" s="7">
        <v>-10.83</v>
      </c>
      <c r="Q41" s="7">
        <v>9.83</v>
      </c>
      <c r="R41" s="7"/>
      <c r="S41" s="7">
        <v>9.61</v>
      </c>
      <c r="T41" s="7">
        <v>0</v>
      </c>
      <c r="U41" s="7">
        <v>98.2</v>
      </c>
      <c r="V41" s="7">
        <v>843</v>
      </c>
      <c r="W41" s="7">
        <v>35.67</v>
      </c>
      <c r="X41" s="7"/>
      <c r="Y41" s="7">
        <v>13.21</v>
      </c>
      <c r="Z41" s="7"/>
      <c r="AA41" s="13">
        <v>159</v>
      </c>
      <c r="AB41" s="9">
        <v>39</v>
      </c>
      <c r="AC41" s="17">
        <f t="shared" ca="1" si="0"/>
        <v>19.203333333333337</v>
      </c>
      <c r="AD41">
        <f t="shared" ca="1" si="1"/>
        <v>0</v>
      </c>
      <c r="AF41">
        <v>2006</v>
      </c>
      <c r="AG41">
        <v>40</v>
      </c>
      <c r="AH41">
        <v>0</v>
      </c>
      <c r="AI41">
        <v>14.79</v>
      </c>
      <c r="AJ41">
        <v>23.19</v>
      </c>
      <c r="AK41">
        <v>19.203333333333337</v>
      </c>
      <c r="AM41">
        <v>0</v>
      </c>
      <c r="AO41">
        <v>2006</v>
      </c>
      <c r="AP41">
        <v>40</v>
      </c>
      <c r="AQ41">
        <v>0</v>
      </c>
      <c r="AR41">
        <v>14.79</v>
      </c>
      <c r="AS41">
        <v>23.19</v>
      </c>
      <c r="AT41">
        <v>19.203333333333337</v>
      </c>
      <c r="AV41">
        <v>0</v>
      </c>
      <c r="AX41">
        <v>2006</v>
      </c>
      <c r="AY41">
        <v>40</v>
      </c>
      <c r="AZ41">
        <v>0.60000000000000009</v>
      </c>
      <c r="BA41">
        <v>14.89</v>
      </c>
      <c r="BB41">
        <v>21.19</v>
      </c>
      <c r="BC41">
        <v>17.760000000000002</v>
      </c>
      <c r="BE41">
        <v>0</v>
      </c>
      <c r="BG41">
        <v>2006</v>
      </c>
      <c r="BH41">
        <v>40</v>
      </c>
      <c r="BI41">
        <v>1.4</v>
      </c>
      <c r="BJ41">
        <v>12.84</v>
      </c>
      <c r="BK41">
        <v>17.18</v>
      </c>
      <c r="BL41">
        <v>15.114583333333334</v>
      </c>
      <c r="BN41">
        <v>0</v>
      </c>
      <c r="BP41">
        <v>2006</v>
      </c>
      <c r="BQ41">
        <v>40</v>
      </c>
      <c r="BR41">
        <v>0.2</v>
      </c>
      <c r="BS41">
        <v>13.92</v>
      </c>
      <c r="BT41">
        <v>20.5</v>
      </c>
      <c r="BU41">
        <v>16.64</v>
      </c>
      <c r="BW41">
        <v>0</v>
      </c>
      <c r="BY41">
        <v>2006</v>
      </c>
      <c r="BZ41">
        <v>40</v>
      </c>
      <c r="CA41">
        <v>0</v>
      </c>
      <c r="CB41">
        <v>9.94</v>
      </c>
      <c r="CC41">
        <v>15.62</v>
      </c>
      <c r="CD41">
        <v>13.307083333333331</v>
      </c>
      <c r="CF41">
        <v>0</v>
      </c>
    </row>
    <row r="42" spans="1:84" x14ac:dyDescent="0.25">
      <c r="A42">
        <v>2006</v>
      </c>
      <c r="B42">
        <v>123</v>
      </c>
      <c r="C42">
        <v>100</v>
      </c>
      <c r="D42" s="7">
        <v>-3.4020000000000001</v>
      </c>
      <c r="E42" s="7">
        <v>-49.7</v>
      </c>
      <c r="F42" s="7">
        <v>6.7210000000000001</v>
      </c>
      <c r="G42" s="7">
        <v>6.8680000000000003</v>
      </c>
      <c r="H42" s="7"/>
      <c r="I42" s="7"/>
      <c r="J42" s="7"/>
      <c r="K42" s="7">
        <v>2.7349999999999999</v>
      </c>
      <c r="L42" s="7">
        <v>209.7</v>
      </c>
      <c r="M42" s="7">
        <v>0</v>
      </c>
      <c r="N42" s="7"/>
      <c r="O42" s="7">
        <v>-11.48</v>
      </c>
      <c r="P42" s="7">
        <v>-10.79</v>
      </c>
      <c r="Q42" s="7">
        <v>9.73</v>
      </c>
      <c r="R42" s="7"/>
      <c r="S42" s="7">
        <v>9.5299999999999994</v>
      </c>
      <c r="T42" s="7">
        <v>0</v>
      </c>
      <c r="U42" s="7">
        <v>98</v>
      </c>
      <c r="V42" s="7">
        <v>840</v>
      </c>
      <c r="W42" s="7">
        <v>35.49</v>
      </c>
      <c r="X42" s="7"/>
      <c r="Y42" s="7">
        <v>13.15</v>
      </c>
      <c r="Z42" s="7"/>
      <c r="AA42" s="13">
        <v>160</v>
      </c>
      <c r="AB42" s="9">
        <v>40</v>
      </c>
      <c r="AC42" s="17">
        <f t="shared" ca="1" si="0"/>
        <v>17.760000000000002</v>
      </c>
      <c r="AD42">
        <f t="shared" ca="1" si="1"/>
        <v>0.60000000000000009</v>
      </c>
      <c r="AF42">
        <v>2006</v>
      </c>
      <c r="AG42">
        <v>41</v>
      </c>
      <c r="AH42">
        <v>0.60000000000000009</v>
      </c>
      <c r="AI42">
        <v>14.89</v>
      </c>
      <c r="AJ42">
        <v>21.19</v>
      </c>
      <c r="AK42">
        <v>17.760000000000002</v>
      </c>
      <c r="AM42">
        <v>0</v>
      </c>
      <c r="AO42">
        <v>2006</v>
      </c>
      <c r="AP42">
        <v>41</v>
      </c>
      <c r="AQ42">
        <v>0.60000000000000009</v>
      </c>
      <c r="AR42">
        <v>14.89</v>
      </c>
      <c r="AS42">
        <v>21.19</v>
      </c>
      <c r="AT42">
        <v>17.760000000000002</v>
      </c>
      <c r="AV42">
        <v>0</v>
      </c>
      <c r="AX42">
        <v>2006</v>
      </c>
      <c r="AY42">
        <v>41</v>
      </c>
      <c r="AZ42">
        <v>0.8</v>
      </c>
      <c r="BA42">
        <v>11.92</v>
      </c>
      <c r="BB42">
        <v>20.36</v>
      </c>
      <c r="BC42">
        <v>16.21875</v>
      </c>
      <c r="BE42">
        <v>0</v>
      </c>
      <c r="BG42">
        <v>2006</v>
      </c>
      <c r="BH42">
        <v>41</v>
      </c>
      <c r="BI42">
        <v>0.2</v>
      </c>
      <c r="BJ42">
        <v>13.92</v>
      </c>
      <c r="BK42">
        <v>20.5</v>
      </c>
      <c r="BL42">
        <v>16.64</v>
      </c>
      <c r="BN42">
        <v>0</v>
      </c>
      <c r="BP42">
        <v>2006</v>
      </c>
      <c r="BQ42">
        <v>41</v>
      </c>
      <c r="BR42">
        <v>0</v>
      </c>
      <c r="BS42">
        <v>12.03</v>
      </c>
      <c r="BT42">
        <v>16.75</v>
      </c>
      <c r="BU42">
        <v>14.067500000000001</v>
      </c>
      <c r="BW42">
        <v>0</v>
      </c>
      <c r="BY42">
        <v>2006</v>
      </c>
      <c r="BZ42">
        <v>41</v>
      </c>
      <c r="CA42">
        <v>0</v>
      </c>
      <c r="CB42">
        <v>9.42</v>
      </c>
      <c r="CC42">
        <v>14.82</v>
      </c>
      <c r="CD42">
        <v>11.89625</v>
      </c>
      <c r="CF42">
        <v>0</v>
      </c>
    </row>
    <row r="43" spans="1:84" x14ac:dyDescent="0.25">
      <c r="A43">
        <v>2006</v>
      </c>
      <c r="B43">
        <v>123</v>
      </c>
      <c r="C43">
        <v>200</v>
      </c>
      <c r="D43" s="7">
        <v>-3.4359999999999999</v>
      </c>
      <c r="E43" s="7">
        <v>-52.02</v>
      </c>
      <c r="F43" s="7">
        <v>6.29</v>
      </c>
      <c r="G43" s="7">
        <v>6.4649999999999999</v>
      </c>
      <c r="H43" s="7"/>
      <c r="I43" s="7"/>
      <c r="J43" s="7"/>
      <c r="K43" s="7">
        <v>2.2389999999999999</v>
      </c>
      <c r="L43" s="7">
        <v>212.6</v>
      </c>
      <c r="M43" s="7">
        <v>0</v>
      </c>
      <c r="N43" s="7"/>
      <c r="O43" s="7">
        <v>-11.41</v>
      </c>
      <c r="P43" s="7">
        <v>-10.69</v>
      </c>
      <c r="Q43" s="7">
        <v>9.61</v>
      </c>
      <c r="R43" s="7"/>
      <c r="S43" s="7">
        <v>9.4499999999999993</v>
      </c>
      <c r="T43" s="7">
        <v>0</v>
      </c>
      <c r="U43" s="7">
        <v>97.6</v>
      </c>
      <c r="V43" s="7">
        <v>836</v>
      </c>
      <c r="W43" s="7">
        <v>35.22</v>
      </c>
      <c r="X43" s="7"/>
      <c r="Y43" s="7">
        <v>13.09</v>
      </c>
      <c r="Z43" s="7"/>
      <c r="AA43" s="13">
        <v>161</v>
      </c>
      <c r="AB43" s="9">
        <v>41</v>
      </c>
      <c r="AC43" s="17">
        <f t="shared" ca="1" si="0"/>
        <v>16.21875</v>
      </c>
      <c r="AD43">
        <f t="shared" ca="1" si="1"/>
        <v>0.8</v>
      </c>
      <c r="AF43">
        <v>2006</v>
      </c>
      <c r="AG43">
        <v>42</v>
      </c>
      <c r="AH43">
        <v>0.8</v>
      </c>
      <c r="AI43">
        <v>11.92</v>
      </c>
      <c r="AJ43">
        <v>20.36</v>
      </c>
      <c r="AK43">
        <v>16.21875</v>
      </c>
      <c r="AM43">
        <v>0</v>
      </c>
      <c r="AO43">
        <v>2006</v>
      </c>
      <c r="AP43">
        <v>42</v>
      </c>
      <c r="AQ43">
        <v>0.8</v>
      </c>
      <c r="AR43">
        <v>11.92</v>
      </c>
      <c r="AS43">
        <v>20.36</v>
      </c>
      <c r="AT43">
        <v>16.21875</v>
      </c>
      <c r="AV43">
        <v>0</v>
      </c>
      <c r="AX43">
        <v>2006</v>
      </c>
      <c r="AY43">
        <v>42</v>
      </c>
      <c r="AZ43">
        <v>0</v>
      </c>
      <c r="BA43">
        <v>10.89</v>
      </c>
      <c r="BB43">
        <v>20.52</v>
      </c>
      <c r="BC43">
        <v>15.767499999999997</v>
      </c>
      <c r="BE43">
        <v>0</v>
      </c>
      <c r="BG43">
        <v>2006</v>
      </c>
      <c r="BH43">
        <v>42</v>
      </c>
      <c r="BI43">
        <v>0</v>
      </c>
      <c r="BJ43">
        <v>12.03</v>
      </c>
      <c r="BK43">
        <v>16.75</v>
      </c>
      <c r="BL43">
        <v>14.067500000000001</v>
      </c>
      <c r="BN43">
        <v>0</v>
      </c>
      <c r="BP43">
        <v>2006</v>
      </c>
      <c r="BQ43">
        <v>42</v>
      </c>
      <c r="BR43">
        <v>0</v>
      </c>
      <c r="BS43">
        <v>9.94</v>
      </c>
      <c r="BT43">
        <v>15.62</v>
      </c>
      <c r="BU43">
        <v>13.307083333333331</v>
      </c>
      <c r="BW43">
        <v>0</v>
      </c>
      <c r="BY43">
        <v>2006</v>
      </c>
      <c r="BZ43">
        <v>42</v>
      </c>
      <c r="CA43">
        <v>15.200000000000001</v>
      </c>
      <c r="CB43">
        <v>9.74</v>
      </c>
      <c r="CC43">
        <v>14.15</v>
      </c>
      <c r="CD43">
        <v>11.272500000000001</v>
      </c>
      <c r="CF43">
        <v>0</v>
      </c>
    </row>
    <row r="44" spans="1:84" x14ac:dyDescent="0.25">
      <c r="A44">
        <v>2006</v>
      </c>
      <c r="B44">
        <v>123</v>
      </c>
      <c r="C44">
        <v>300</v>
      </c>
      <c r="D44" s="7">
        <v>-3.6459999999999999</v>
      </c>
      <c r="E44" s="7">
        <v>-54.17</v>
      </c>
      <c r="F44" s="7">
        <v>6.3710000000000004</v>
      </c>
      <c r="G44" s="7">
        <v>6.6120000000000001</v>
      </c>
      <c r="H44" s="7"/>
      <c r="I44" s="7"/>
      <c r="J44" s="7"/>
      <c r="K44" s="7">
        <v>2.3029999999999999</v>
      </c>
      <c r="L44" s="7">
        <v>194.9</v>
      </c>
      <c r="M44" s="7">
        <v>0</v>
      </c>
      <c r="N44" s="7"/>
      <c r="O44" s="7">
        <v>-11.37</v>
      </c>
      <c r="P44" s="7">
        <v>-10.67</v>
      </c>
      <c r="Q44" s="7">
        <v>9.49</v>
      </c>
      <c r="R44" s="7"/>
      <c r="S44" s="7">
        <v>9.3800000000000008</v>
      </c>
      <c r="T44" s="7">
        <v>0</v>
      </c>
      <c r="U44" s="7">
        <v>96.7</v>
      </c>
      <c r="V44" s="7">
        <v>832</v>
      </c>
      <c r="W44" s="7">
        <v>35.01</v>
      </c>
      <c r="X44" s="7"/>
      <c r="Y44" s="7">
        <v>13.03</v>
      </c>
      <c r="Z44" s="7"/>
      <c r="AA44" s="13">
        <v>162</v>
      </c>
      <c r="AB44" s="9">
        <v>42</v>
      </c>
      <c r="AC44" s="17">
        <f t="shared" ca="1" si="0"/>
        <v>15.767499999999997</v>
      </c>
      <c r="AD44">
        <f t="shared" ca="1" si="1"/>
        <v>0</v>
      </c>
      <c r="AF44">
        <v>2006</v>
      </c>
      <c r="AG44">
        <v>43</v>
      </c>
      <c r="AH44">
        <v>0</v>
      </c>
      <c r="AI44">
        <v>10.89</v>
      </c>
      <c r="AJ44">
        <v>20.52</v>
      </c>
      <c r="AK44">
        <v>15.767499999999997</v>
      </c>
      <c r="AM44">
        <v>0</v>
      </c>
      <c r="AO44">
        <v>2006</v>
      </c>
      <c r="AP44">
        <v>43</v>
      </c>
      <c r="AQ44">
        <v>0</v>
      </c>
      <c r="AR44">
        <v>10.89</v>
      </c>
      <c r="AS44">
        <v>20.52</v>
      </c>
      <c r="AT44">
        <v>15.767499999999997</v>
      </c>
      <c r="AV44">
        <v>0</v>
      </c>
      <c r="AX44">
        <v>2006</v>
      </c>
      <c r="AY44">
        <v>43</v>
      </c>
      <c r="AZ44">
        <v>0</v>
      </c>
      <c r="BA44">
        <v>5.1890000000000001</v>
      </c>
      <c r="BB44">
        <v>16.97</v>
      </c>
      <c r="BC44">
        <v>12.981083333333332</v>
      </c>
      <c r="BE44">
        <v>0</v>
      </c>
      <c r="BG44">
        <v>2006</v>
      </c>
      <c r="BH44">
        <v>43</v>
      </c>
      <c r="BI44">
        <v>0</v>
      </c>
      <c r="BJ44">
        <v>9.94</v>
      </c>
      <c r="BK44">
        <v>15.62</v>
      </c>
      <c r="BL44">
        <v>13.307083333333331</v>
      </c>
      <c r="BN44">
        <v>0</v>
      </c>
      <c r="BP44">
        <v>2006</v>
      </c>
      <c r="BQ44">
        <v>43</v>
      </c>
      <c r="BR44">
        <v>0</v>
      </c>
      <c r="BS44">
        <v>9.42</v>
      </c>
      <c r="BT44">
        <v>14.82</v>
      </c>
      <c r="BU44">
        <v>11.89625</v>
      </c>
      <c r="BW44">
        <v>0</v>
      </c>
      <c r="BY44">
        <v>2006</v>
      </c>
      <c r="BZ44">
        <v>43</v>
      </c>
      <c r="CA44">
        <v>1</v>
      </c>
      <c r="CB44">
        <v>8.8699999999999992</v>
      </c>
      <c r="CC44">
        <v>13.26</v>
      </c>
      <c r="CD44">
        <v>11.115833333333335</v>
      </c>
      <c r="CF44">
        <v>0</v>
      </c>
    </row>
    <row r="45" spans="1:84" x14ac:dyDescent="0.25">
      <c r="A45">
        <v>2006</v>
      </c>
      <c r="B45">
        <v>123</v>
      </c>
      <c r="C45">
        <v>400</v>
      </c>
      <c r="D45" s="7">
        <v>-3.4929999999999999</v>
      </c>
      <c r="E45" s="7">
        <v>-54.33</v>
      </c>
      <c r="F45" s="7">
        <v>6.5819999999999999</v>
      </c>
      <c r="G45" s="7">
        <v>6.7930000000000001</v>
      </c>
      <c r="H45" s="7"/>
      <c r="I45" s="7"/>
      <c r="J45" s="7"/>
      <c r="K45" s="7">
        <v>2.7090000000000001</v>
      </c>
      <c r="L45" s="7">
        <v>197.2</v>
      </c>
      <c r="M45" s="7">
        <v>0</v>
      </c>
      <c r="N45" s="7"/>
      <c r="O45" s="7">
        <v>-11.39</v>
      </c>
      <c r="P45" s="7">
        <v>-10.67</v>
      </c>
      <c r="Q45" s="7">
        <v>9.3800000000000008</v>
      </c>
      <c r="R45" s="7"/>
      <c r="S45" s="7">
        <v>9.2899999999999991</v>
      </c>
      <c r="T45" s="7">
        <v>0</v>
      </c>
      <c r="U45" s="7">
        <v>97.1</v>
      </c>
      <c r="V45" s="7">
        <v>830</v>
      </c>
      <c r="W45" s="7">
        <v>34.86</v>
      </c>
      <c r="X45" s="7"/>
      <c r="Y45" s="7">
        <v>12.98</v>
      </c>
      <c r="Z45" s="7"/>
      <c r="AA45" s="13">
        <v>163</v>
      </c>
      <c r="AB45" s="9">
        <v>43</v>
      </c>
      <c r="AC45" s="17">
        <f t="shared" ca="1" si="0"/>
        <v>12.981083333333332</v>
      </c>
      <c r="AD45">
        <f t="shared" ca="1" si="1"/>
        <v>0</v>
      </c>
      <c r="AF45">
        <v>2006</v>
      </c>
      <c r="AG45">
        <v>44</v>
      </c>
      <c r="AH45">
        <v>0</v>
      </c>
      <c r="AI45">
        <v>5.1890000000000001</v>
      </c>
      <c r="AJ45">
        <v>16.97</v>
      </c>
      <c r="AK45">
        <v>12.981083333333332</v>
      </c>
      <c r="AM45">
        <v>0</v>
      </c>
      <c r="AO45">
        <v>2006</v>
      </c>
      <c r="AP45">
        <v>44</v>
      </c>
      <c r="AQ45">
        <v>0</v>
      </c>
      <c r="AR45">
        <v>5.1890000000000001</v>
      </c>
      <c r="AS45">
        <v>16.97</v>
      </c>
      <c r="AT45">
        <v>12.981083333333332</v>
      </c>
      <c r="AV45">
        <v>0</v>
      </c>
      <c r="AX45">
        <v>2006</v>
      </c>
      <c r="AY45">
        <v>44</v>
      </c>
      <c r="AZ45">
        <v>0</v>
      </c>
      <c r="BA45">
        <v>3.492</v>
      </c>
      <c r="BB45">
        <v>17.68</v>
      </c>
      <c r="BC45">
        <v>11.989208333333332</v>
      </c>
      <c r="BE45">
        <v>0</v>
      </c>
      <c r="BG45">
        <v>2006</v>
      </c>
      <c r="BH45">
        <v>44</v>
      </c>
      <c r="BI45">
        <v>0</v>
      </c>
      <c r="BJ45">
        <v>9.42</v>
      </c>
      <c r="BK45">
        <v>14.82</v>
      </c>
      <c r="BL45">
        <v>11.89625</v>
      </c>
      <c r="BN45">
        <v>0</v>
      </c>
      <c r="BP45">
        <v>2006</v>
      </c>
      <c r="BQ45">
        <v>44</v>
      </c>
      <c r="BR45">
        <v>15.200000000000001</v>
      </c>
      <c r="BS45">
        <v>9.74</v>
      </c>
      <c r="BT45">
        <v>14.15</v>
      </c>
      <c r="BU45">
        <v>11.272500000000001</v>
      </c>
      <c r="BW45">
        <v>0</v>
      </c>
      <c r="BY45">
        <v>2006</v>
      </c>
      <c r="BZ45">
        <v>44</v>
      </c>
      <c r="CA45">
        <v>0</v>
      </c>
      <c r="CB45">
        <v>7.71</v>
      </c>
      <c r="CC45">
        <v>16.46</v>
      </c>
      <c r="CD45">
        <v>12.83</v>
      </c>
      <c r="CF45">
        <v>0</v>
      </c>
    </row>
    <row r="46" spans="1:84" x14ac:dyDescent="0.25">
      <c r="A46">
        <v>2006</v>
      </c>
      <c r="B46">
        <v>123</v>
      </c>
      <c r="C46">
        <v>500</v>
      </c>
      <c r="D46" s="7">
        <v>-0.108</v>
      </c>
      <c r="E46" s="7">
        <v>-50.54</v>
      </c>
      <c r="F46" s="7">
        <v>6.9880000000000004</v>
      </c>
      <c r="G46" s="7">
        <v>7.19</v>
      </c>
      <c r="H46" s="7"/>
      <c r="I46" s="7"/>
      <c r="J46" s="7"/>
      <c r="K46" s="7">
        <v>2.698</v>
      </c>
      <c r="L46" s="7">
        <v>185.9</v>
      </c>
      <c r="M46" s="7">
        <v>0</v>
      </c>
      <c r="N46" s="7"/>
      <c r="O46" s="7">
        <v>-6.8810000000000002</v>
      </c>
      <c r="P46" s="7">
        <v>-9.09</v>
      </c>
      <c r="Q46" s="7">
        <v>9.27</v>
      </c>
      <c r="R46" s="7"/>
      <c r="S46" s="7">
        <v>9.2100000000000009</v>
      </c>
      <c r="T46" s="7">
        <v>0</v>
      </c>
      <c r="U46" s="7">
        <v>97.3</v>
      </c>
      <c r="V46" s="7">
        <v>827</v>
      </c>
      <c r="W46" s="7">
        <v>34.72</v>
      </c>
      <c r="X46" s="7"/>
      <c r="Y46" s="7">
        <v>12.95</v>
      </c>
      <c r="Z46" s="7"/>
      <c r="AA46" s="13">
        <v>164</v>
      </c>
      <c r="AB46" s="9">
        <v>44</v>
      </c>
      <c r="AC46" s="17">
        <f t="shared" ca="1" si="0"/>
        <v>11.989208333333332</v>
      </c>
      <c r="AD46">
        <f t="shared" ca="1" si="1"/>
        <v>0</v>
      </c>
      <c r="AF46">
        <v>2006</v>
      </c>
      <c r="AG46">
        <v>45</v>
      </c>
      <c r="AH46">
        <v>0</v>
      </c>
      <c r="AI46">
        <v>3.492</v>
      </c>
      <c r="AJ46">
        <v>17.68</v>
      </c>
      <c r="AK46">
        <v>11.989208333333332</v>
      </c>
      <c r="AM46">
        <v>0</v>
      </c>
      <c r="AO46">
        <v>2006</v>
      </c>
      <c r="AP46">
        <v>45</v>
      </c>
      <c r="AQ46">
        <v>0</v>
      </c>
      <c r="AR46">
        <v>3.492</v>
      </c>
      <c r="AS46">
        <v>17.68</v>
      </c>
      <c r="AT46">
        <v>11.989208333333332</v>
      </c>
      <c r="AV46">
        <v>0</v>
      </c>
      <c r="AX46">
        <v>2006</v>
      </c>
      <c r="AY46">
        <v>45</v>
      </c>
      <c r="AZ46">
        <v>0.4</v>
      </c>
      <c r="BA46">
        <v>12.65</v>
      </c>
      <c r="BB46">
        <v>19.600000000000001</v>
      </c>
      <c r="BC46">
        <v>16.274999999999999</v>
      </c>
      <c r="BE46">
        <v>0</v>
      </c>
      <c r="BG46">
        <v>2006</v>
      </c>
      <c r="BH46">
        <v>45</v>
      </c>
      <c r="BI46">
        <v>15.200000000000001</v>
      </c>
      <c r="BJ46">
        <v>9.74</v>
      </c>
      <c r="BK46">
        <v>14.15</v>
      </c>
      <c r="BL46">
        <v>11.272500000000001</v>
      </c>
      <c r="BN46">
        <v>0</v>
      </c>
      <c r="BP46">
        <v>2006</v>
      </c>
      <c r="BQ46">
        <v>45</v>
      </c>
      <c r="BR46">
        <v>1</v>
      </c>
      <c r="BS46">
        <v>8.8699999999999992</v>
      </c>
      <c r="BT46">
        <v>13.26</v>
      </c>
      <c r="BU46">
        <v>11.115833333333335</v>
      </c>
      <c r="BW46">
        <v>0</v>
      </c>
      <c r="BY46">
        <v>2006</v>
      </c>
      <c r="BZ46">
        <v>45</v>
      </c>
      <c r="CA46">
        <v>0</v>
      </c>
      <c r="CB46">
        <v>4.2450000000000001</v>
      </c>
      <c r="CC46">
        <v>17.43</v>
      </c>
      <c r="CD46">
        <v>11.473500000000001</v>
      </c>
      <c r="CF46">
        <v>0</v>
      </c>
    </row>
    <row r="47" spans="1:84" x14ac:dyDescent="0.25">
      <c r="A47">
        <v>2006</v>
      </c>
      <c r="B47">
        <v>123</v>
      </c>
      <c r="C47">
        <v>600</v>
      </c>
      <c r="D47" s="7">
        <v>47.86</v>
      </c>
      <c r="E47" s="7">
        <v>-12.27</v>
      </c>
      <c r="F47" s="7">
        <v>7.28</v>
      </c>
      <c r="G47" s="7">
        <v>7.48</v>
      </c>
      <c r="H47" s="7"/>
      <c r="I47" s="7"/>
      <c r="J47" s="7"/>
      <c r="K47" s="7">
        <v>2.3559999999999999</v>
      </c>
      <c r="L47" s="7">
        <v>162.5</v>
      </c>
      <c r="M47" s="7">
        <v>0</v>
      </c>
      <c r="N47" s="7"/>
      <c r="O47" s="7">
        <v>52.19</v>
      </c>
      <c r="P47" s="7">
        <v>18.190000000000001</v>
      </c>
      <c r="Q47" s="7">
        <v>9.16</v>
      </c>
      <c r="R47" s="7"/>
      <c r="S47" s="7">
        <v>9.17</v>
      </c>
      <c r="T47" s="7">
        <v>0</v>
      </c>
      <c r="U47" s="7">
        <v>97.3</v>
      </c>
      <c r="V47" s="7">
        <v>825</v>
      </c>
      <c r="W47" s="7">
        <v>34.590000000000003</v>
      </c>
      <c r="X47" s="7"/>
      <c r="Y47" s="7">
        <v>12.99</v>
      </c>
      <c r="Z47" s="7"/>
      <c r="AA47" s="13">
        <v>165</v>
      </c>
      <c r="AB47" s="9">
        <v>45</v>
      </c>
      <c r="AC47" s="17">
        <f t="shared" ca="1" si="0"/>
        <v>16.274999999999999</v>
      </c>
      <c r="AD47">
        <f t="shared" ca="1" si="1"/>
        <v>0.4</v>
      </c>
      <c r="AF47">
        <v>2006</v>
      </c>
      <c r="AG47">
        <v>46</v>
      </c>
      <c r="AH47">
        <v>0.4</v>
      </c>
      <c r="AI47">
        <v>12.65</v>
      </c>
      <c r="AJ47">
        <v>19.600000000000001</v>
      </c>
      <c r="AK47">
        <v>16.274999999999999</v>
      </c>
      <c r="AM47">
        <v>0</v>
      </c>
      <c r="AO47">
        <v>2006</v>
      </c>
      <c r="AP47">
        <v>46</v>
      </c>
      <c r="AQ47">
        <v>0.4</v>
      </c>
      <c r="AR47">
        <v>12.65</v>
      </c>
      <c r="AS47">
        <v>19.600000000000001</v>
      </c>
      <c r="AT47">
        <v>16.274999999999999</v>
      </c>
      <c r="AV47">
        <v>0</v>
      </c>
      <c r="AX47">
        <v>2006</v>
      </c>
      <c r="AY47">
        <v>46</v>
      </c>
      <c r="AZ47">
        <v>1.4</v>
      </c>
      <c r="BA47">
        <v>12.84</v>
      </c>
      <c r="BB47">
        <v>17.18</v>
      </c>
      <c r="BC47">
        <v>15.114583333333334</v>
      </c>
      <c r="BE47">
        <v>0</v>
      </c>
      <c r="BG47">
        <v>2006</v>
      </c>
      <c r="BH47">
        <v>46</v>
      </c>
      <c r="BI47">
        <v>1</v>
      </c>
      <c r="BJ47">
        <v>8.8699999999999992</v>
      </c>
      <c r="BK47">
        <v>13.26</v>
      </c>
      <c r="BL47">
        <v>11.115833333333335</v>
      </c>
      <c r="BN47">
        <v>0</v>
      </c>
      <c r="BP47">
        <v>2006</v>
      </c>
      <c r="BQ47">
        <v>46</v>
      </c>
      <c r="BR47">
        <v>0</v>
      </c>
      <c r="BS47">
        <v>7.71</v>
      </c>
      <c r="BT47">
        <v>16.46</v>
      </c>
      <c r="BU47">
        <v>12.83</v>
      </c>
      <c r="BW47">
        <v>0</v>
      </c>
      <c r="BY47">
        <v>2006</v>
      </c>
      <c r="BZ47">
        <v>46</v>
      </c>
      <c r="CA47">
        <v>0</v>
      </c>
      <c r="CB47">
        <v>8.6199999999999992</v>
      </c>
      <c r="CC47">
        <v>18.48</v>
      </c>
      <c r="CD47">
        <v>13.886250000000002</v>
      </c>
      <c r="CF47">
        <v>0</v>
      </c>
    </row>
    <row r="48" spans="1:84" x14ac:dyDescent="0.25">
      <c r="A48">
        <v>2006</v>
      </c>
      <c r="B48">
        <v>123</v>
      </c>
      <c r="C48">
        <v>700</v>
      </c>
      <c r="D48" s="7">
        <v>192</v>
      </c>
      <c r="E48" s="7">
        <v>133.19999999999999</v>
      </c>
      <c r="F48" s="7">
        <v>8.9</v>
      </c>
      <c r="G48" s="7">
        <v>9.07</v>
      </c>
      <c r="H48" s="7"/>
      <c r="I48" s="7"/>
      <c r="J48" s="7"/>
      <c r="K48" s="7">
        <v>3.0230000000000001</v>
      </c>
      <c r="L48" s="7">
        <v>166.6</v>
      </c>
      <c r="M48" s="7">
        <v>0</v>
      </c>
      <c r="N48" s="7"/>
      <c r="O48" s="7">
        <v>268.2</v>
      </c>
      <c r="P48" s="7">
        <v>101.5</v>
      </c>
      <c r="Q48" s="7">
        <v>9.1300000000000008</v>
      </c>
      <c r="R48" s="7"/>
      <c r="S48" s="7">
        <v>9.14</v>
      </c>
      <c r="T48" s="7">
        <v>0</v>
      </c>
      <c r="U48" s="7">
        <v>97.9</v>
      </c>
      <c r="V48" s="7">
        <v>823</v>
      </c>
      <c r="W48" s="7">
        <v>34.51</v>
      </c>
      <c r="X48" s="7"/>
      <c r="Y48" s="7">
        <v>13.77</v>
      </c>
      <c r="Z48" s="7"/>
      <c r="AA48" s="13">
        <v>166</v>
      </c>
      <c r="AB48" s="9">
        <v>46</v>
      </c>
      <c r="AC48" s="17">
        <f t="shared" ca="1" si="0"/>
        <v>15.114583333333334</v>
      </c>
      <c r="AD48">
        <f t="shared" ca="1" si="1"/>
        <v>1.4</v>
      </c>
      <c r="AF48">
        <v>2006</v>
      </c>
      <c r="AG48">
        <v>47</v>
      </c>
      <c r="AH48">
        <v>1.4</v>
      </c>
      <c r="AI48">
        <v>12.84</v>
      </c>
      <c r="AJ48">
        <v>17.18</v>
      </c>
      <c r="AK48">
        <v>15.114583333333334</v>
      </c>
      <c r="AM48">
        <v>0</v>
      </c>
      <c r="AO48">
        <v>2006</v>
      </c>
      <c r="AP48">
        <v>47</v>
      </c>
      <c r="AQ48">
        <v>1.4</v>
      </c>
      <c r="AR48">
        <v>12.84</v>
      </c>
      <c r="AS48">
        <v>17.18</v>
      </c>
      <c r="AT48">
        <v>15.114583333333334</v>
      </c>
      <c r="AV48">
        <v>0</v>
      </c>
      <c r="AX48">
        <v>2006</v>
      </c>
      <c r="AY48">
        <v>47</v>
      </c>
      <c r="AZ48">
        <v>0.2</v>
      </c>
      <c r="BA48">
        <v>13.92</v>
      </c>
      <c r="BB48">
        <v>20.5</v>
      </c>
      <c r="BC48">
        <v>16.64</v>
      </c>
      <c r="BE48">
        <v>0</v>
      </c>
      <c r="BG48">
        <v>2006</v>
      </c>
      <c r="BH48">
        <v>47</v>
      </c>
      <c r="BI48">
        <v>0</v>
      </c>
      <c r="BJ48">
        <v>7.71</v>
      </c>
      <c r="BK48">
        <v>16.46</v>
      </c>
      <c r="BL48">
        <v>12.83</v>
      </c>
      <c r="BN48">
        <v>0</v>
      </c>
      <c r="BP48">
        <v>2006</v>
      </c>
      <c r="BQ48">
        <v>47</v>
      </c>
      <c r="BR48">
        <v>0</v>
      </c>
      <c r="BS48">
        <v>4.2450000000000001</v>
      </c>
      <c r="BT48">
        <v>17.43</v>
      </c>
      <c r="BU48">
        <v>11.473500000000001</v>
      </c>
      <c r="BW48">
        <v>0</v>
      </c>
      <c r="BY48">
        <v>2006</v>
      </c>
      <c r="BZ48">
        <v>47</v>
      </c>
      <c r="CA48">
        <v>0</v>
      </c>
      <c r="CB48">
        <v>9.9600000000000009</v>
      </c>
      <c r="CC48">
        <v>15.74</v>
      </c>
      <c r="CD48">
        <v>12.971666666666664</v>
      </c>
      <c r="CF48">
        <v>0</v>
      </c>
    </row>
    <row r="49" spans="1:84" x14ac:dyDescent="0.25">
      <c r="A49">
        <v>2006</v>
      </c>
      <c r="B49">
        <v>123</v>
      </c>
      <c r="C49">
        <v>800</v>
      </c>
      <c r="D49" s="7">
        <v>149.4</v>
      </c>
      <c r="E49" s="7">
        <v>97.8</v>
      </c>
      <c r="F49" s="7">
        <v>9.82</v>
      </c>
      <c r="G49" s="7">
        <v>9.8800000000000008</v>
      </c>
      <c r="H49" s="7"/>
      <c r="I49" s="7"/>
      <c r="J49" s="7"/>
      <c r="K49" s="7">
        <v>3.1440000000000001</v>
      </c>
      <c r="L49" s="7">
        <v>162.30000000000001</v>
      </c>
      <c r="M49" s="7">
        <v>0</v>
      </c>
      <c r="N49" s="7"/>
      <c r="O49" s="7">
        <v>196.9</v>
      </c>
      <c r="P49" s="7">
        <v>52.56</v>
      </c>
      <c r="Q49" s="7">
        <v>9.08</v>
      </c>
      <c r="R49" s="7"/>
      <c r="S49" s="7">
        <v>9.0399999999999991</v>
      </c>
      <c r="T49" s="7">
        <v>0</v>
      </c>
      <c r="U49" s="7">
        <v>99.2</v>
      </c>
      <c r="V49" s="7">
        <v>822</v>
      </c>
      <c r="W49" s="7">
        <v>34.42</v>
      </c>
      <c r="X49" s="7"/>
      <c r="Y49" s="7">
        <v>13.84</v>
      </c>
      <c r="Z49" s="7"/>
      <c r="AA49" s="13">
        <v>167</v>
      </c>
      <c r="AB49" s="9">
        <v>47</v>
      </c>
      <c r="AC49" s="17">
        <f t="shared" ca="1" si="0"/>
        <v>16.64</v>
      </c>
      <c r="AD49">
        <f t="shared" ca="1" si="1"/>
        <v>0.2</v>
      </c>
      <c r="AF49">
        <v>2006</v>
      </c>
      <c r="AG49">
        <v>48</v>
      </c>
      <c r="AH49">
        <v>0.2</v>
      </c>
      <c r="AI49">
        <v>13.92</v>
      </c>
      <c r="AJ49">
        <v>20.5</v>
      </c>
      <c r="AK49">
        <v>16.64</v>
      </c>
      <c r="AM49">
        <v>0</v>
      </c>
      <c r="AO49">
        <v>2006</v>
      </c>
      <c r="AP49">
        <v>48</v>
      </c>
      <c r="AQ49">
        <v>0.2</v>
      </c>
      <c r="AR49">
        <v>13.92</v>
      </c>
      <c r="AS49">
        <v>20.5</v>
      </c>
      <c r="AT49">
        <v>16.64</v>
      </c>
      <c r="AV49">
        <v>0</v>
      </c>
      <c r="AX49">
        <v>2006</v>
      </c>
      <c r="AY49">
        <v>48</v>
      </c>
      <c r="AZ49">
        <v>0</v>
      </c>
      <c r="BA49">
        <v>12.03</v>
      </c>
      <c r="BB49">
        <v>16.75</v>
      </c>
      <c r="BC49">
        <v>14.067500000000001</v>
      </c>
      <c r="BE49">
        <v>0</v>
      </c>
      <c r="BG49">
        <v>2006</v>
      </c>
      <c r="BH49">
        <v>48</v>
      </c>
      <c r="BI49">
        <v>0</v>
      </c>
      <c r="BJ49">
        <v>4.2450000000000001</v>
      </c>
      <c r="BK49">
        <v>17.43</v>
      </c>
      <c r="BL49">
        <v>11.473500000000001</v>
      </c>
      <c r="BN49">
        <v>0</v>
      </c>
      <c r="BP49">
        <v>2006</v>
      </c>
      <c r="BQ49">
        <v>48</v>
      </c>
      <c r="BR49">
        <v>0</v>
      </c>
      <c r="BS49">
        <v>8.6199999999999992</v>
      </c>
      <c r="BT49">
        <v>18.48</v>
      </c>
      <c r="BU49">
        <v>13.886250000000002</v>
      </c>
      <c r="BW49">
        <v>0</v>
      </c>
      <c r="BY49">
        <v>2006</v>
      </c>
      <c r="BZ49">
        <v>48</v>
      </c>
      <c r="CA49">
        <v>0</v>
      </c>
      <c r="CB49">
        <v>6.68</v>
      </c>
      <c r="CC49">
        <v>18.62</v>
      </c>
      <c r="CD49">
        <v>13.653208333333332</v>
      </c>
      <c r="CF49">
        <v>0</v>
      </c>
    </row>
    <row r="50" spans="1:84" x14ac:dyDescent="0.25">
      <c r="A50">
        <v>2006</v>
      </c>
      <c r="B50">
        <v>123</v>
      </c>
      <c r="C50">
        <v>900</v>
      </c>
      <c r="D50" s="7">
        <v>128.1</v>
      </c>
      <c r="E50" s="7">
        <v>78.5</v>
      </c>
      <c r="F50" s="7">
        <v>10.39</v>
      </c>
      <c r="G50" s="7">
        <v>10.47</v>
      </c>
      <c r="H50" s="7">
        <f>AVERAGE(G50:G73)</f>
        <v>10.336249999999998</v>
      </c>
      <c r="I50" s="7">
        <f>MIN(G50:G73)</f>
        <v>8.23</v>
      </c>
      <c r="J50" s="7">
        <f>MAX(G50:G73)</f>
        <v>13.14</v>
      </c>
      <c r="K50" s="7">
        <v>3.0579999999999998</v>
      </c>
      <c r="L50" s="7">
        <v>166.5</v>
      </c>
      <c r="M50" s="7">
        <v>0.2</v>
      </c>
      <c r="N50" s="7">
        <f>SUM(M50:M73)</f>
        <v>8</v>
      </c>
      <c r="O50" s="7">
        <v>161</v>
      </c>
      <c r="P50" s="7">
        <v>40.6</v>
      </c>
      <c r="Q50" s="7">
        <v>9.08</v>
      </c>
      <c r="R50" s="7">
        <f>AVERAGE(Q50:Q73)</f>
        <v>9.9212500000000006</v>
      </c>
      <c r="S50" s="7">
        <v>8.94</v>
      </c>
      <c r="T50" s="7">
        <v>0</v>
      </c>
      <c r="U50" s="7">
        <v>99</v>
      </c>
      <c r="V50" s="7">
        <v>819</v>
      </c>
      <c r="W50" s="7">
        <v>34.29</v>
      </c>
      <c r="X50" s="7">
        <f>AVERAGE(W50:W73)</f>
        <v>34.325416666666662</v>
      </c>
      <c r="Y50" s="7">
        <v>13.73</v>
      </c>
      <c r="Z50" s="7"/>
      <c r="AA50" s="13">
        <v>168</v>
      </c>
      <c r="AB50" s="9">
        <v>48</v>
      </c>
      <c r="AC50" s="17">
        <f t="shared" ca="1" si="0"/>
        <v>14.067500000000001</v>
      </c>
      <c r="AD50">
        <f t="shared" ca="1" si="1"/>
        <v>0</v>
      </c>
      <c r="AF50">
        <v>2006</v>
      </c>
      <c r="AG50">
        <v>49</v>
      </c>
      <c r="AH50">
        <v>0</v>
      </c>
      <c r="AI50">
        <v>12.03</v>
      </c>
      <c r="AJ50">
        <v>16.75</v>
      </c>
      <c r="AK50">
        <v>14.067500000000001</v>
      </c>
      <c r="AM50">
        <v>0</v>
      </c>
      <c r="AO50">
        <v>2006</v>
      </c>
      <c r="AP50">
        <v>49</v>
      </c>
      <c r="AQ50">
        <v>0</v>
      </c>
      <c r="AR50">
        <v>12.03</v>
      </c>
      <c r="AS50">
        <v>16.75</v>
      </c>
      <c r="AT50">
        <v>14.067500000000001</v>
      </c>
      <c r="AV50">
        <v>0</v>
      </c>
      <c r="AX50">
        <v>2006</v>
      </c>
      <c r="AY50">
        <v>49</v>
      </c>
      <c r="AZ50">
        <v>0</v>
      </c>
      <c r="BA50">
        <v>9.94</v>
      </c>
      <c r="BB50">
        <v>15.62</v>
      </c>
      <c r="BC50">
        <v>13.307083333333331</v>
      </c>
      <c r="BE50">
        <v>0</v>
      </c>
      <c r="BG50">
        <v>2006</v>
      </c>
      <c r="BH50">
        <v>49</v>
      </c>
      <c r="BI50">
        <v>0</v>
      </c>
      <c r="BJ50">
        <v>8.6199999999999992</v>
      </c>
      <c r="BK50">
        <v>18.48</v>
      </c>
      <c r="BL50">
        <v>13.886250000000002</v>
      </c>
      <c r="BN50">
        <v>0</v>
      </c>
      <c r="BP50">
        <v>2006</v>
      </c>
      <c r="BQ50">
        <v>49</v>
      </c>
      <c r="BR50">
        <v>0</v>
      </c>
      <c r="BS50">
        <v>9.9600000000000009</v>
      </c>
      <c r="BT50">
        <v>15.74</v>
      </c>
      <c r="BU50">
        <v>12.971666666666664</v>
      </c>
      <c r="BW50">
        <v>0</v>
      </c>
      <c r="BY50">
        <v>2006</v>
      </c>
      <c r="BZ50">
        <v>49</v>
      </c>
      <c r="CA50">
        <v>0</v>
      </c>
      <c r="CB50">
        <v>13.96</v>
      </c>
      <c r="CC50">
        <v>18.84</v>
      </c>
      <c r="CD50">
        <v>16.168749999999999</v>
      </c>
      <c r="CF50">
        <v>0</v>
      </c>
    </row>
    <row r="51" spans="1:84" x14ac:dyDescent="0.25">
      <c r="A51">
        <v>2006</v>
      </c>
      <c r="B51">
        <v>123</v>
      </c>
      <c r="C51">
        <v>1000</v>
      </c>
      <c r="D51" s="7">
        <v>120.5</v>
      </c>
      <c r="E51" s="7">
        <v>72.7</v>
      </c>
      <c r="F51" s="7">
        <v>10.98</v>
      </c>
      <c r="G51" s="7">
        <v>11.06</v>
      </c>
      <c r="H51" s="7"/>
      <c r="I51" s="7"/>
      <c r="J51" s="7"/>
      <c r="K51" s="7">
        <v>3.2389999999999999</v>
      </c>
      <c r="L51" s="7">
        <v>169.3</v>
      </c>
      <c r="M51" s="7">
        <v>5</v>
      </c>
      <c r="N51" s="7"/>
      <c r="O51" s="7">
        <v>155.9</v>
      </c>
      <c r="P51" s="7">
        <v>39.67</v>
      </c>
      <c r="Q51" s="7">
        <v>9.16</v>
      </c>
      <c r="R51" s="7"/>
      <c r="S51" s="7">
        <v>8.8699999999999992</v>
      </c>
      <c r="T51" s="7">
        <v>0</v>
      </c>
      <c r="U51" s="7">
        <v>99.1</v>
      </c>
      <c r="V51" s="7">
        <v>817</v>
      </c>
      <c r="W51" s="7">
        <v>34.159999999999997</v>
      </c>
      <c r="X51" s="7"/>
      <c r="Y51" s="7">
        <v>13.68</v>
      </c>
      <c r="Z51" s="7"/>
      <c r="AA51" s="13">
        <v>169</v>
      </c>
      <c r="AB51" s="9">
        <v>49</v>
      </c>
      <c r="AC51" s="17">
        <f t="shared" ca="1" si="0"/>
        <v>13.307083333333331</v>
      </c>
      <c r="AD51">
        <f t="shared" ca="1" si="1"/>
        <v>0</v>
      </c>
      <c r="AF51">
        <v>2006</v>
      </c>
      <c r="AG51">
        <v>50</v>
      </c>
      <c r="AH51">
        <v>0</v>
      </c>
      <c r="AI51">
        <v>9.94</v>
      </c>
      <c r="AJ51">
        <v>15.62</v>
      </c>
      <c r="AK51">
        <v>13.307083333333331</v>
      </c>
      <c r="AM51">
        <v>0</v>
      </c>
      <c r="AO51">
        <v>2006</v>
      </c>
      <c r="AP51">
        <v>50</v>
      </c>
      <c r="AQ51">
        <v>20</v>
      </c>
      <c r="AR51">
        <v>9.94</v>
      </c>
      <c r="AS51">
        <v>15.62</v>
      </c>
      <c r="AT51">
        <v>13.307083333333331</v>
      </c>
      <c r="AV51">
        <v>0</v>
      </c>
      <c r="AX51">
        <v>2006</v>
      </c>
      <c r="AY51">
        <v>50</v>
      </c>
      <c r="AZ51">
        <v>20</v>
      </c>
      <c r="BA51">
        <v>9.42</v>
      </c>
      <c r="BB51">
        <v>14.82</v>
      </c>
      <c r="BC51">
        <v>11.89625</v>
      </c>
      <c r="BE51">
        <v>0</v>
      </c>
      <c r="BG51">
        <v>2006</v>
      </c>
      <c r="BH51">
        <v>50</v>
      </c>
      <c r="BI51">
        <v>20</v>
      </c>
      <c r="BJ51">
        <v>9.9600000000000009</v>
      </c>
      <c r="BK51">
        <v>15.74</v>
      </c>
      <c r="BL51">
        <v>12.971666666666664</v>
      </c>
      <c r="BN51">
        <v>0</v>
      </c>
      <c r="BP51">
        <v>2006</v>
      </c>
      <c r="BQ51">
        <v>50</v>
      </c>
      <c r="BR51">
        <v>20</v>
      </c>
      <c r="BS51">
        <v>6.68</v>
      </c>
      <c r="BT51">
        <v>18.62</v>
      </c>
      <c r="BU51">
        <v>13.653208333333332</v>
      </c>
      <c r="BW51">
        <v>0</v>
      </c>
      <c r="BY51">
        <v>2006</v>
      </c>
      <c r="BZ51">
        <v>50</v>
      </c>
      <c r="CA51">
        <v>22</v>
      </c>
      <c r="CB51">
        <v>13.63</v>
      </c>
      <c r="CC51">
        <v>18.21</v>
      </c>
      <c r="CD51">
        <v>15.80083333333333</v>
      </c>
      <c r="CF51">
        <v>0</v>
      </c>
    </row>
    <row r="52" spans="1:84" x14ac:dyDescent="0.25">
      <c r="A52">
        <v>2006</v>
      </c>
      <c r="B52">
        <v>123</v>
      </c>
      <c r="C52">
        <v>1100</v>
      </c>
      <c r="D52" s="7">
        <v>230.5</v>
      </c>
      <c r="E52" s="7">
        <v>144.69999999999999</v>
      </c>
      <c r="F52" s="7">
        <v>11.84</v>
      </c>
      <c r="G52" s="7">
        <v>11.9</v>
      </c>
      <c r="H52" s="7"/>
      <c r="I52" s="7"/>
      <c r="J52" s="7"/>
      <c r="K52" s="7">
        <v>3.7719999999999998</v>
      </c>
      <c r="L52" s="7">
        <v>177.3</v>
      </c>
      <c r="M52" s="7">
        <v>0</v>
      </c>
      <c r="N52" s="7"/>
      <c r="O52" s="7">
        <v>296.89999999999998</v>
      </c>
      <c r="P52" s="7">
        <v>80.8</v>
      </c>
      <c r="Q52" s="7">
        <v>9.25</v>
      </c>
      <c r="R52" s="7"/>
      <c r="S52" s="7">
        <v>8.9499999999999993</v>
      </c>
      <c r="T52" s="7">
        <v>0</v>
      </c>
      <c r="U52" s="7">
        <v>99.3</v>
      </c>
      <c r="V52" s="7">
        <v>815</v>
      </c>
      <c r="W52" s="7">
        <v>34.07</v>
      </c>
      <c r="X52" s="7"/>
      <c r="Y52" s="7">
        <v>13.88</v>
      </c>
      <c r="Z52" s="7"/>
      <c r="AA52" s="13">
        <v>170</v>
      </c>
      <c r="AB52" s="9">
        <v>50</v>
      </c>
      <c r="AC52" s="17">
        <f t="shared" ca="1" si="0"/>
        <v>11.89625</v>
      </c>
      <c r="AD52">
        <f t="shared" ca="1" si="1"/>
        <v>0</v>
      </c>
      <c r="AF52">
        <v>2006</v>
      </c>
      <c r="AG52">
        <v>51</v>
      </c>
      <c r="AH52">
        <v>0</v>
      </c>
      <c r="AI52">
        <v>9.42</v>
      </c>
      <c r="AJ52">
        <v>14.82</v>
      </c>
      <c r="AK52">
        <v>11.89625</v>
      </c>
      <c r="AM52">
        <v>0</v>
      </c>
    </row>
    <row r="53" spans="1:84" x14ac:dyDescent="0.25">
      <c r="A53">
        <v>2006</v>
      </c>
      <c r="B53">
        <v>123</v>
      </c>
      <c r="C53">
        <v>1200</v>
      </c>
      <c r="D53" s="7">
        <v>336.2</v>
      </c>
      <c r="E53" s="7">
        <v>205.8</v>
      </c>
      <c r="F53" s="7">
        <v>12.14</v>
      </c>
      <c r="G53" s="7">
        <v>12.15</v>
      </c>
      <c r="H53" s="7"/>
      <c r="I53" s="7"/>
      <c r="J53" s="7"/>
      <c r="K53" s="7">
        <v>3.8759999999999999</v>
      </c>
      <c r="L53" s="7">
        <v>171.6</v>
      </c>
      <c r="M53" s="7">
        <v>0</v>
      </c>
      <c r="N53" s="7"/>
      <c r="O53" s="7">
        <v>419.7</v>
      </c>
      <c r="P53" s="7">
        <v>113.2</v>
      </c>
      <c r="Q53" s="7">
        <v>9.4</v>
      </c>
      <c r="R53" s="7"/>
      <c r="S53" s="7">
        <v>9.01</v>
      </c>
      <c r="T53" s="7">
        <v>0</v>
      </c>
      <c r="U53" s="7">
        <v>99.9</v>
      </c>
      <c r="V53" s="7">
        <v>814</v>
      </c>
      <c r="W53" s="7">
        <v>33.979999999999997</v>
      </c>
      <c r="X53" s="7"/>
      <c r="Y53" s="7">
        <v>13.99</v>
      </c>
      <c r="Z53" s="7"/>
      <c r="AA53" s="13">
        <v>171</v>
      </c>
      <c r="AB53" s="9">
        <v>51</v>
      </c>
      <c r="AC53" s="17">
        <f t="shared" ca="1" si="0"/>
        <v>11.272500000000001</v>
      </c>
      <c r="AD53">
        <f t="shared" ca="1" si="1"/>
        <v>15.200000000000001</v>
      </c>
      <c r="AF53">
        <v>2006</v>
      </c>
      <c r="AG53">
        <v>52</v>
      </c>
      <c r="AH53">
        <v>15.200000000000001</v>
      </c>
      <c r="AI53">
        <v>9.74</v>
      </c>
      <c r="AJ53">
        <v>14.15</v>
      </c>
      <c r="AK53">
        <v>11.272500000000001</v>
      </c>
      <c r="AM53">
        <v>0</v>
      </c>
    </row>
    <row r="54" spans="1:84" x14ac:dyDescent="0.25">
      <c r="A54">
        <v>2006</v>
      </c>
      <c r="B54">
        <v>123</v>
      </c>
      <c r="C54">
        <v>1300</v>
      </c>
      <c r="D54" s="7">
        <v>397.3</v>
      </c>
      <c r="E54" s="7">
        <v>242.1</v>
      </c>
      <c r="F54" s="7">
        <v>13.2</v>
      </c>
      <c r="G54" s="7">
        <v>13.14</v>
      </c>
      <c r="H54" s="7"/>
      <c r="I54" s="7"/>
      <c r="J54" s="7"/>
      <c r="K54" s="7">
        <v>3.4830000000000001</v>
      </c>
      <c r="L54" s="7">
        <v>171.5</v>
      </c>
      <c r="M54" s="7">
        <v>0</v>
      </c>
      <c r="N54" s="7"/>
      <c r="O54" s="7">
        <v>490.9</v>
      </c>
      <c r="P54" s="7">
        <v>125.4</v>
      </c>
      <c r="Q54" s="7">
        <v>9.5399999999999991</v>
      </c>
      <c r="R54" s="7"/>
      <c r="S54" s="7">
        <v>9.08</v>
      </c>
      <c r="T54" s="7">
        <v>0</v>
      </c>
      <c r="U54" s="7">
        <v>100.7</v>
      </c>
      <c r="V54" s="7">
        <v>812</v>
      </c>
      <c r="W54" s="7">
        <v>33.86</v>
      </c>
      <c r="X54" s="7"/>
      <c r="Y54" s="7">
        <v>14.07</v>
      </c>
      <c r="Z54" s="7"/>
      <c r="AA54" s="13">
        <v>172</v>
      </c>
      <c r="AB54" s="9">
        <v>52</v>
      </c>
      <c r="AC54" s="17">
        <f t="shared" ca="1" si="0"/>
        <v>11.115833333333335</v>
      </c>
      <c r="AD54">
        <f t="shared" ca="1" si="1"/>
        <v>1</v>
      </c>
      <c r="AF54">
        <v>2006</v>
      </c>
      <c r="AG54">
        <v>53</v>
      </c>
      <c r="AH54">
        <v>1</v>
      </c>
      <c r="AI54">
        <v>8.8699999999999992</v>
      </c>
      <c r="AJ54">
        <v>13.26</v>
      </c>
      <c r="AK54">
        <v>11.115833333333335</v>
      </c>
      <c r="AM54">
        <v>0</v>
      </c>
    </row>
    <row r="55" spans="1:84" x14ac:dyDescent="0.25">
      <c r="A55">
        <v>2006</v>
      </c>
      <c r="B55">
        <v>123</v>
      </c>
      <c r="C55">
        <v>1400</v>
      </c>
      <c r="D55" s="7">
        <v>333.1</v>
      </c>
      <c r="E55" s="7">
        <v>198.4</v>
      </c>
      <c r="F55" s="7">
        <v>12.97</v>
      </c>
      <c r="G55" s="7">
        <v>12.94</v>
      </c>
      <c r="H55" s="7"/>
      <c r="I55" s="7"/>
      <c r="J55" s="7"/>
      <c r="K55" s="7">
        <v>3.234</v>
      </c>
      <c r="L55" s="7">
        <v>171.6</v>
      </c>
      <c r="M55" s="7">
        <v>0</v>
      </c>
      <c r="N55" s="7"/>
      <c r="O55" s="7">
        <v>414.9</v>
      </c>
      <c r="P55" s="7">
        <v>113.7</v>
      </c>
      <c r="Q55" s="7">
        <v>9.77</v>
      </c>
      <c r="R55" s="7"/>
      <c r="S55" s="7">
        <v>9.1300000000000008</v>
      </c>
      <c r="T55" s="7">
        <v>0</v>
      </c>
      <c r="U55" s="7">
        <v>100.4</v>
      </c>
      <c r="V55" s="7">
        <v>809</v>
      </c>
      <c r="W55" s="7">
        <v>33.729999999999997</v>
      </c>
      <c r="X55" s="7"/>
      <c r="Y55" s="7">
        <v>14.08</v>
      </c>
      <c r="Z55" s="7"/>
      <c r="AA55" s="13">
        <v>173</v>
      </c>
      <c r="AB55" s="9">
        <v>53</v>
      </c>
      <c r="AC55" s="17">
        <f t="shared" ca="1" si="0"/>
        <v>12.83</v>
      </c>
      <c r="AD55">
        <f t="shared" ca="1" si="1"/>
        <v>0</v>
      </c>
      <c r="AF55">
        <v>2006</v>
      </c>
      <c r="AG55">
        <v>54</v>
      </c>
      <c r="AH55">
        <v>0</v>
      </c>
      <c r="AI55">
        <v>7.71</v>
      </c>
      <c r="AJ55">
        <v>16.46</v>
      </c>
      <c r="AK55">
        <v>12.83</v>
      </c>
      <c r="AM55">
        <v>0</v>
      </c>
    </row>
    <row r="56" spans="1:84" x14ac:dyDescent="0.25">
      <c r="A56">
        <v>2006</v>
      </c>
      <c r="B56">
        <v>123</v>
      </c>
      <c r="C56">
        <v>1500</v>
      </c>
      <c r="D56" s="7">
        <v>82.4</v>
      </c>
      <c r="E56" s="7">
        <v>36.229999999999997</v>
      </c>
      <c r="F56" s="7">
        <v>12.22</v>
      </c>
      <c r="G56" s="7">
        <v>12.19</v>
      </c>
      <c r="H56" s="7"/>
      <c r="I56" s="7"/>
      <c r="J56" s="7"/>
      <c r="K56" s="7">
        <v>3.15</v>
      </c>
      <c r="L56" s="7">
        <v>187.9</v>
      </c>
      <c r="M56" s="7">
        <v>0.4</v>
      </c>
      <c r="N56" s="7"/>
      <c r="O56" s="7">
        <v>106.4</v>
      </c>
      <c r="P56" s="7">
        <v>22.59</v>
      </c>
      <c r="Q56" s="7">
        <v>9.9700000000000006</v>
      </c>
      <c r="R56" s="7"/>
      <c r="S56" s="7">
        <v>9.1999999999999993</v>
      </c>
      <c r="T56" s="7">
        <v>0</v>
      </c>
      <c r="U56" s="7">
        <v>100.4</v>
      </c>
      <c r="V56" s="7">
        <v>807</v>
      </c>
      <c r="W56" s="7">
        <v>33.61</v>
      </c>
      <c r="X56" s="7"/>
      <c r="Y56" s="7">
        <v>13.76</v>
      </c>
      <c r="Z56" s="7"/>
      <c r="AA56" s="13">
        <v>174</v>
      </c>
      <c r="AB56" s="9">
        <v>54</v>
      </c>
      <c r="AC56" s="17">
        <f t="shared" ca="1" si="0"/>
        <v>11.473500000000001</v>
      </c>
      <c r="AD56">
        <f t="shared" ca="1" si="1"/>
        <v>0</v>
      </c>
      <c r="AF56">
        <v>2006</v>
      </c>
      <c r="AG56">
        <v>55</v>
      </c>
      <c r="AH56">
        <v>0</v>
      </c>
      <c r="AI56">
        <v>4.2450000000000001</v>
      </c>
      <c r="AJ56">
        <v>17.43</v>
      </c>
      <c r="AK56">
        <v>11.473500000000001</v>
      </c>
      <c r="AM56">
        <v>0</v>
      </c>
    </row>
    <row r="57" spans="1:84" x14ac:dyDescent="0.25">
      <c r="A57">
        <v>2006</v>
      </c>
      <c r="B57">
        <v>123</v>
      </c>
      <c r="C57">
        <v>1600</v>
      </c>
      <c r="D57" s="7">
        <v>130.30000000000001</v>
      </c>
      <c r="E57" s="7">
        <v>72.400000000000006</v>
      </c>
      <c r="F57" s="7">
        <v>10.42</v>
      </c>
      <c r="G57" s="7">
        <v>10.49</v>
      </c>
      <c r="H57" s="7"/>
      <c r="I57" s="7"/>
      <c r="J57" s="7"/>
      <c r="K57" s="7">
        <v>2.39</v>
      </c>
      <c r="L57" s="7">
        <v>201.3</v>
      </c>
      <c r="M57" s="7">
        <v>1.6</v>
      </c>
      <c r="N57" s="7"/>
      <c r="O57">
        <v>172.4</v>
      </c>
      <c r="P57">
        <v>36.19</v>
      </c>
      <c r="Q57">
        <v>10.09</v>
      </c>
      <c r="S57">
        <v>9.31</v>
      </c>
      <c r="T57">
        <v>0</v>
      </c>
      <c r="U57">
        <v>99.2</v>
      </c>
      <c r="V57">
        <v>810</v>
      </c>
      <c r="W57">
        <v>33.76</v>
      </c>
      <c r="Y57">
        <v>13.69</v>
      </c>
      <c r="Z57" s="7"/>
      <c r="AA57" s="13">
        <v>175</v>
      </c>
      <c r="AB57" s="9">
        <v>55</v>
      </c>
      <c r="AC57" s="17">
        <f t="shared" ca="1" si="0"/>
        <v>13.886250000000002</v>
      </c>
      <c r="AD57">
        <f t="shared" ca="1" si="1"/>
        <v>0</v>
      </c>
      <c r="AF57">
        <v>2006</v>
      </c>
      <c r="AG57">
        <v>56</v>
      </c>
      <c r="AH57">
        <v>0</v>
      </c>
      <c r="AI57">
        <v>8.6199999999999992</v>
      </c>
      <c r="AJ57">
        <v>18.48</v>
      </c>
      <c r="AK57">
        <v>13.886250000000002</v>
      </c>
      <c r="AM57">
        <v>0</v>
      </c>
    </row>
    <row r="58" spans="1:84" x14ac:dyDescent="0.25">
      <c r="A58">
        <v>2006</v>
      </c>
      <c r="B58">
        <v>123</v>
      </c>
      <c r="C58">
        <v>1700</v>
      </c>
      <c r="D58" s="7">
        <v>121</v>
      </c>
      <c r="E58" s="7">
        <v>66.61</v>
      </c>
      <c r="F58" s="7">
        <v>10.86</v>
      </c>
      <c r="G58" s="7">
        <v>11.01</v>
      </c>
      <c r="H58" s="7"/>
      <c r="I58" s="7"/>
      <c r="J58" s="7"/>
      <c r="K58" s="7">
        <v>1.556</v>
      </c>
      <c r="L58" s="7">
        <v>159.30000000000001</v>
      </c>
      <c r="M58" s="7">
        <v>0.6</v>
      </c>
      <c r="N58" s="7"/>
      <c r="O58">
        <v>159.5</v>
      </c>
      <c r="P58">
        <v>34.19</v>
      </c>
      <c r="Q58">
        <v>10.220000000000001</v>
      </c>
      <c r="S58">
        <v>9.49</v>
      </c>
      <c r="T58">
        <v>0</v>
      </c>
      <c r="U58">
        <v>98.3</v>
      </c>
      <c r="V58">
        <v>824</v>
      </c>
      <c r="W58">
        <v>34.54</v>
      </c>
      <c r="Y58">
        <v>13.73</v>
      </c>
      <c r="Z58" s="7"/>
      <c r="AA58" s="13">
        <v>176</v>
      </c>
      <c r="AB58" s="9">
        <v>56</v>
      </c>
      <c r="AC58" s="17">
        <f t="shared" ca="1" si="0"/>
        <v>12.971666666666664</v>
      </c>
      <c r="AD58">
        <f t="shared" ca="1" si="1"/>
        <v>0</v>
      </c>
      <c r="AF58">
        <v>2006</v>
      </c>
      <c r="AG58">
        <v>57</v>
      </c>
      <c r="AH58">
        <v>0</v>
      </c>
      <c r="AI58">
        <v>9.9600000000000009</v>
      </c>
      <c r="AJ58">
        <v>15.74</v>
      </c>
      <c r="AK58">
        <v>12.971666666666664</v>
      </c>
      <c r="AM58">
        <v>0</v>
      </c>
    </row>
    <row r="59" spans="1:84" x14ac:dyDescent="0.25">
      <c r="A59">
        <v>2006</v>
      </c>
      <c r="B59">
        <v>123</v>
      </c>
      <c r="C59">
        <v>1800</v>
      </c>
      <c r="D59" s="7">
        <v>90.9</v>
      </c>
      <c r="E59" s="7">
        <v>45.67</v>
      </c>
      <c r="F59" s="7">
        <v>11</v>
      </c>
      <c r="G59" s="7">
        <v>11.3</v>
      </c>
      <c r="H59" s="7"/>
      <c r="I59" s="7"/>
      <c r="J59" s="7"/>
      <c r="K59" s="7">
        <v>1.6890000000000001</v>
      </c>
      <c r="L59" s="7">
        <v>151.6</v>
      </c>
      <c r="M59" s="7">
        <v>0</v>
      </c>
      <c r="N59" s="7"/>
      <c r="O59">
        <v>113</v>
      </c>
      <c r="P59">
        <v>20.52</v>
      </c>
      <c r="Q59">
        <v>10.31</v>
      </c>
      <c r="S59">
        <v>9.6</v>
      </c>
      <c r="T59">
        <v>0</v>
      </c>
      <c r="U59">
        <v>96.4</v>
      </c>
      <c r="V59">
        <v>833</v>
      </c>
      <c r="W59">
        <v>35.049999999999997</v>
      </c>
      <c r="Y59">
        <v>13.66</v>
      </c>
      <c r="Z59" s="7"/>
      <c r="AA59" s="13">
        <v>177</v>
      </c>
      <c r="AB59" s="9">
        <v>57</v>
      </c>
      <c r="AC59" s="17">
        <f t="shared" ca="1" si="0"/>
        <v>13.653208333333332</v>
      </c>
      <c r="AD59">
        <f t="shared" ca="1" si="1"/>
        <v>0</v>
      </c>
      <c r="AF59">
        <v>2006</v>
      </c>
      <c r="AG59">
        <v>58</v>
      </c>
      <c r="AH59">
        <v>0</v>
      </c>
      <c r="AI59">
        <v>6.68</v>
      </c>
      <c r="AJ59">
        <v>18.62</v>
      </c>
      <c r="AK59">
        <v>13.653208333333332</v>
      </c>
      <c r="AM59">
        <v>0</v>
      </c>
    </row>
    <row r="60" spans="1:84" x14ac:dyDescent="0.25">
      <c r="A60">
        <v>2006</v>
      </c>
      <c r="B60">
        <v>123</v>
      </c>
      <c r="C60">
        <v>1900</v>
      </c>
      <c r="D60" s="7">
        <v>69.489999999999995</v>
      </c>
      <c r="E60" s="7">
        <v>23.97</v>
      </c>
      <c r="F60" s="7">
        <v>10.71</v>
      </c>
      <c r="G60" s="7">
        <v>11.04</v>
      </c>
      <c r="H60" s="7"/>
      <c r="I60" s="7"/>
      <c r="J60" s="7"/>
      <c r="K60" s="7">
        <v>1.577</v>
      </c>
      <c r="L60" s="7">
        <v>153.1</v>
      </c>
      <c r="M60" s="7">
        <v>0</v>
      </c>
      <c r="N60" s="7"/>
      <c r="O60">
        <v>81.599999999999994</v>
      </c>
      <c r="P60">
        <v>30.89</v>
      </c>
      <c r="Q60">
        <v>10.35</v>
      </c>
      <c r="S60">
        <v>9.66</v>
      </c>
      <c r="T60">
        <v>0</v>
      </c>
      <c r="U60">
        <v>96.1</v>
      </c>
      <c r="V60">
        <v>838</v>
      </c>
      <c r="W60">
        <v>35.35</v>
      </c>
      <c r="Y60">
        <v>13.57</v>
      </c>
      <c r="Z60" s="7"/>
      <c r="AA60" s="13">
        <v>178</v>
      </c>
      <c r="AB60" s="9">
        <v>58</v>
      </c>
      <c r="AC60" s="17">
        <f t="shared" ca="1" si="0"/>
        <v>16.168749999999999</v>
      </c>
      <c r="AD60">
        <f t="shared" ca="1" si="1"/>
        <v>0</v>
      </c>
      <c r="AF60">
        <v>2006</v>
      </c>
      <c r="AG60">
        <v>59</v>
      </c>
      <c r="AH60">
        <v>0</v>
      </c>
      <c r="AI60">
        <v>13.96</v>
      </c>
      <c r="AJ60">
        <v>18.84</v>
      </c>
      <c r="AK60">
        <v>16.168749999999999</v>
      </c>
      <c r="AM60">
        <v>0</v>
      </c>
    </row>
    <row r="61" spans="1:84" x14ac:dyDescent="0.25">
      <c r="A61">
        <v>2006</v>
      </c>
      <c r="B61">
        <v>123</v>
      </c>
      <c r="C61">
        <v>2000</v>
      </c>
      <c r="D61" s="7">
        <v>11.79</v>
      </c>
      <c r="E61" s="7">
        <v>-14.76</v>
      </c>
      <c r="F61" s="7">
        <v>10.31</v>
      </c>
      <c r="G61" s="7">
        <v>10.74</v>
      </c>
      <c r="H61" s="7"/>
      <c r="I61" s="7"/>
      <c r="J61" s="7"/>
      <c r="K61" s="7">
        <v>1.66</v>
      </c>
      <c r="L61" s="7">
        <v>148.30000000000001</v>
      </c>
      <c r="M61" s="7">
        <v>0</v>
      </c>
      <c r="N61" s="7"/>
      <c r="O61">
        <v>5.8719999999999999</v>
      </c>
      <c r="P61">
        <v>-4.8689999999999998</v>
      </c>
      <c r="Q61">
        <v>10.4</v>
      </c>
      <c r="S61">
        <v>9.74</v>
      </c>
      <c r="T61">
        <v>0</v>
      </c>
      <c r="U61">
        <v>94.9</v>
      </c>
      <c r="V61">
        <v>830</v>
      </c>
      <c r="W61">
        <v>34.89</v>
      </c>
      <c r="Y61">
        <v>13.47</v>
      </c>
      <c r="Z61" s="7"/>
      <c r="AA61" s="13">
        <v>179</v>
      </c>
      <c r="AB61" s="9">
        <v>59</v>
      </c>
      <c r="AC61" s="17">
        <f t="shared" ca="1" si="0"/>
        <v>15.80083333333333</v>
      </c>
      <c r="AD61">
        <f t="shared" ca="1" si="1"/>
        <v>2</v>
      </c>
      <c r="AF61">
        <v>2006</v>
      </c>
      <c r="AG61">
        <v>60</v>
      </c>
      <c r="AH61">
        <v>2</v>
      </c>
      <c r="AI61">
        <v>13.63</v>
      </c>
      <c r="AJ61">
        <v>18.21</v>
      </c>
      <c r="AK61">
        <v>15.80083333333333</v>
      </c>
      <c r="AM61">
        <v>0</v>
      </c>
    </row>
    <row r="62" spans="1:84" x14ac:dyDescent="0.25">
      <c r="A62">
        <v>2006</v>
      </c>
      <c r="B62">
        <v>123</v>
      </c>
      <c r="C62">
        <v>2100</v>
      </c>
      <c r="D62" s="7">
        <v>-1.3919999999999999</v>
      </c>
      <c r="E62" s="7">
        <v>-29.24</v>
      </c>
      <c r="F62" s="7">
        <v>9.7799999999999994</v>
      </c>
      <c r="G62" s="7">
        <v>10.039999999999999</v>
      </c>
      <c r="H62" s="7"/>
      <c r="I62" s="7"/>
      <c r="J62" s="7"/>
      <c r="K62" s="7">
        <v>1.627</v>
      </c>
      <c r="L62" s="7">
        <v>137.30000000000001</v>
      </c>
      <c r="M62" s="7">
        <v>0.2</v>
      </c>
      <c r="N62" s="7"/>
      <c r="O62">
        <v>-10.71</v>
      </c>
      <c r="P62">
        <v>-10.59</v>
      </c>
      <c r="Q62">
        <v>10.38</v>
      </c>
      <c r="S62">
        <v>9.75</v>
      </c>
      <c r="T62">
        <v>0</v>
      </c>
      <c r="U62">
        <v>96.8</v>
      </c>
      <c r="V62">
        <v>827</v>
      </c>
      <c r="W62">
        <v>34.74</v>
      </c>
      <c r="Y62">
        <v>13.39</v>
      </c>
      <c r="Z62" s="7"/>
      <c r="AA62" s="13">
        <v>180</v>
      </c>
      <c r="AB62" s="9">
        <v>60</v>
      </c>
      <c r="AC62" s="17">
        <f t="shared" ca="1" si="0"/>
        <v>16.299583333333334</v>
      </c>
      <c r="AD62">
        <f t="shared" ca="1" si="1"/>
        <v>3.6</v>
      </c>
      <c r="AF62">
        <v>2006</v>
      </c>
      <c r="AG62">
        <v>61</v>
      </c>
      <c r="AH62">
        <v>3.6</v>
      </c>
      <c r="AI62">
        <v>11.5</v>
      </c>
      <c r="AJ62">
        <v>21.44</v>
      </c>
      <c r="AK62">
        <v>16.299583333333334</v>
      </c>
      <c r="AM62">
        <v>0</v>
      </c>
    </row>
    <row r="63" spans="1:84" x14ac:dyDescent="0.25">
      <c r="A63">
        <v>2006</v>
      </c>
      <c r="B63">
        <v>123</v>
      </c>
      <c r="C63">
        <v>2200</v>
      </c>
      <c r="D63" s="7">
        <v>-2.2450000000000001</v>
      </c>
      <c r="E63" s="7">
        <v>-34.68</v>
      </c>
      <c r="F63" s="7">
        <v>9.39</v>
      </c>
      <c r="G63" s="7">
        <v>9.59</v>
      </c>
      <c r="H63" s="7"/>
      <c r="I63" s="7"/>
      <c r="J63" s="7"/>
      <c r="K63" s="7">
        <v>1.482</v>
      </c>
      <c r="L63" s="7">
        <v>140.19999999999999</v>
      </c>
      <c r="M63" s="7">
        <v>0</v>
      </c>
      <c r="N63" s="7"/>
      <c r="O63">
        <v>-11.5</v>
      </c>
      <c r="P63">
        <v>-10.84</v>
      </c>
      <c r="Q63">
        <v>10.42</v>
      </c>
      <c r="S63">
        <v>9.83</v>
      </c>
      <c r="T63">
        <v>0</v>
      </c>
      <c r="U63">
        <v>97.5</v>
      </c>
      <c r="V63">
        <v>827</v>
      </c>
      <c r="W63">
        <v>34.71</v>
      </c>
      <c r="Y63">
        <v>13.31</v>
      </c>
      <c r="Z63" s="7"/>
      <c r="AA63" s="13">
        <v>181</v>
      </c>
      <c r="AB63" s="9">
        <v>61</v>
      </c>
      <c r="AC63" s="17">
        <f t="shared" ca="1" si="0"/>
        <v>16.875833333333336</v>
      </c>
      <c r="AD63">
        <f t="shared" ca="1" si="1"/>
        <v>0</v>
      </c>
      <c r="AF63">
        <v>2006</v>
      </c>
      <c r="AG63">
        <v>62</v>
      </c>
      <c r="AH63">
        <v>0</v>
      </c>
      <c r="AI63">
        <v>9.58</v>
      </c>
      <c r="AJ63">
        <v>22.49</v>
      </c>
      <c r="AK63">
        <v>16.875833333333336</v>
      </c>
      <c r="AM63">
        <v>0</v>
      </c>
    </row>
    <row r="64" spans="1:84" x14ac:dyDescent="0.25">
      <c r="A64">
        <v>2006</v>
      </c>
      <c r="B64">
        <v>123</v>
      </c>
      <c r="C64">
        <v>2300</v>
      </c>
      <c r="D64" s="7">
        <v>-2.625</v>
      </c>
      <c r="E64" s="7">
        <v>-39.72</v>
      </c>
      <c r="F64" s="7">
        <v>9.02</v>
      </c>
      <c r="G64" s="7">
        <v>9.1999999999999993</v>
      </c>
      <c r="H64" s="7"/>
      <c r="I64" s="7"/>
      <c r="J64" s="7"/>
      <c r="K64" s="7">
        <v>1.512</v>
      </c>
      <c r="L64" s="7">
        <v>140.1</v>
      </c>
      <c r="M64" s="7">
        <v>0</v>
      </c>
      <c r="N64" s="7"/>
      <c r="O64">
        <v>-11.5</v>
      </c>
      <c r="P64">
        <v>-10.84</v>
      </c>
      <c r="Q64">
        <v>10.35</v>
      </c>
      <c r="S64">
        <v>9.84</v>
      </c>
      <c r="T64">
        <v>0</v>
      </c>
      <c r="U64">
        <v>97.8</v>
      </c>
      <c r="V64">
        <v>826</v>
      </c>
      <c r="W64">
        <v>34.64</v>
      </c>
      <c r="Y64">
        <v>13.24</v>
      </c>
      <c r="Z64" s="7"/>
      <c r="AA64" s="13">
        <v>182</v>
      </c>
      <c r="AB64" s="9">
        <v>62</v>
      </c>
      <c r="AC64" s="17">
        <f t="shared" ca="1" si="0"/>
        <v>16.289583333333336</v>
      </c>
      <c r="AD64">
        <f t="shared" ca="1" si="1"/>
        <v>0.8</v>
      </c>
      <c r="AF64">
        <v>2006</v>
      </c>
      <c r="AG64">
        <v>63</v>
      </c>
      <c r="AH64">
        <v>0.8</v>
      </c>
      <c r="AI64">
        <v>12.08</v>
      </c>
      <c r="AJ64">
        <v>22</v>
      </c>
      <c r="AK64">
        <v>16.289583333333336</v>
      </c>
      <c r="AM64">
        <v>0</v>
      </c>
    </row>
    <row r="65" spans="1:39" x14ac:dyDescent="0.25">
      <c r="A65">
        <v>2006</v>
      </c>
      <c r="B65">
        <v>123</v>
      </c>
      <c r="C65">
        <v>2400</v>
      </c>
      <c r="D65" s="7">
        <v>-2.5609999999999999</v>
      </c>
      <c r="E65" s="7">
        <v>-37.75</v>
      </c>
      <c r="F65" s="7">
        <v>8.56</v>
      </c>
      <c r="G65" s="7">
        <v>8.75</v>
      </c>
      <c r="H65" s="7"/>
      <c r="I65" s="7"/>
      <c r="J65" s="7"/>
      <c r="K65" s="7">
        <v>1.7509999999999999</v>
      </c>
      <c r="L65" s="7">
        <v>134.5</v>
      </c>
      <c r="M65" s="7">
        <v>0</v>
      </c>
      <c r="N65" s="7"/>
      <c r="O65">
        <v>-11.5</v>
      </c>
      <c r="P65">
        <v>-10.84</v>
      </c>
      <c r="Q65">
        <v>10.27</v>
      </c>
      <c r="S65">
        <v>9.82</v>
      </c>
      <c r="T65">
        <v>0</v>
      </c>
      <c r="U65">
        <v>97.6</v>
      </c>
      <c r="V65">
        <v>824</v>
      </c>
      <c r="W65">
        <v>34.57</v>
      </c>
      <c r="Y65">
        <v>13.18</v>
      </c>
      <c r="Z65" s="7"/>
      <c r="AA65" s="13">
        <v>183</v>
      </c>
      <c r="AB65" s="9">
        <v>63</v>
      </c>
      <c r="AC65" s="17">
        <f t="shared" ca="1" si="0"/>
        <v>17.685000000000002</v>
      </c>
      <c r="AD65">
        <f t="shared" ca="1" si="1"/>
        <v>0</v>
      </c>
      <c r="AF65">
        <v>2006</v>
      </c>
      <c r="AG65">
        <v>64</v>
      </c>
      <c r="AH65">
        <v>0</v>
      </c>
      <c r="AI65">
        <v>12.66</v>
      </c>
      <c r="AJ65">
        <v>21.14</v>
      </c>
      <c r="AK65">
        <v>17.685000000000002</v>
      </c>
      <c r="AM65">
        <v>0</v>
      </c>
    </row>
    <row r="66" spans="1:39" x14ac:dyDescent="0.25">
      <c r="A66">
        <v>2006</v>
      </c>
      <c r="B66">
        <v>124</v>
      </c>
      <c r="C66">
        <v>100</v>
      </c>
      <c r="D66" s="7">
        <v>-3.3959999999999999</v>
      </c>
      <c r="E66" s="7">
        <v>-39.57</v>
      </c>
      <c r="F66" s="7">
        <v>8.3000000000000007</v>
      </c>
      <c r="G66" s="7">
        <v>8.6999999999999993</v>
      </c>
      <c r="H66" s="7"/>
      <c r="I66" s="7"/>
      <c r="J66" s="7"/>
      <c r="K66" s="7">
        <v>1.4410000000000001</v>
      </c>
      <c r="L66" s="7">
        <v>154.5</v>
      </c>
      <c r="M66" s="7">
        <v>0</v>
      </c>
      <c r="N66" s="7"/>
      <c r="O66">
        <v>-11.5</v>
      </c>
      <c r="P66">
        <v>-10.84</v>
      </c>
      <c r="Q66">
        <v>10.17</v>
      </c>
      <c r="S66">
        <v>9.73</v>
      </c>
      <c r="T66">
        <v>0</v>
      </c>
      <c r="U66">
        <v>95</v>
      </c>
      <c r="V66">
        <v>829</v>
      </c>
      <c r="W66">
        <v>34.81</v>
      </c>
      <c r="Y66">
        <v>13.12</v>
      </c>
      <c r="Z66" s="7"/>
      <c r="AA66" s="13">
        <v>184</v>
      </c>
      <c r="AB66" s="9">
        <v>64</v>
      </c>
      <c r="AC66" s="17">
        <f t="shared" ca="1" si="0"/>
        <v>0</v>
      </c>
      <c r="AD66">
        <f t="shared" ca="1" si="1"/>
        <v>0</v>
      </c>
      <c r="AF66">
        <v>2006</v>
      </c>
      <c r="AG66">
        <v>65</v>
      </c>
      <c r="AH66">
        <v>0</v>
      </c>
      <c r="AM66">
        <v>0</v>
      </c>
    </row>
    <row r="67" spans="1:39" x14ac:dyDescent="0.25">
      <c r="A67">
        <v>2006</v>
      </c>
      <c r="B67">
        <v>124</v>
      </c>
      <c r="C67">
        <v>200</v>
      </c>
      <c r="D67" s="7">
        <v>-3.1240000000000001</v>
      </c>
      <c r="E67" s="7">
        <v>-39.42</v>
      </c>
      <c r="F67" s="7">
        <v>8.09</v>
      </c>
      <c r="G67" s="7">
        <v>8.23</v>
      </c>
      <c r="H67" s="7"/>
      <c r="I67" s="7"/>
      <c r="J67" s="7"/>
      <c r="K67" s="7">
        <v>1.522</v>
      </c>
      <c r="L67" s="7">
        <v>130.5</v>
      </c>
      <c r="M67" s="7">
        <v>0</v>
      </c>
      <c r="N67" s="7"/>
      <c r="O67">
        <v>-11.5</v>
      </c>
      <c r="P67">
        <v>-10.84</v>
      </c>
      <c r="Q67">
        <v>10.07</v>
      </c>
      <c r="S67">
        <v>9.7100000000000009</v>
      </c>
      <c r="T67">
        <v>0</v>
      </c>
      <c r="U67">
        <v>98.2</v>
      </c>
      <c r="V67">
        <v>823</v>
      </c>
      <c r="W67">
        <v>34.520000000000003</v>
      </c>
      <c r="Y67">
        <v>13.06</v>
      </c>
      <c r="Z67" s="7"/>
      <c r="AA67" s="15"/>
      <c r="AB67" s="12"/>
      <c r="AC67" s="8"/>
    </row>
    <row r="68" spans="1:39" x14ac:dyDescent="0.25">
      <c r="A68">
        <v>2006</v>
      </c>
      <c r="B68">
        <v>124</v>
      </c>
      <c r="C68">
        <v>300</v>
      </c>
      <c r="D68" s="7">
        <v>-2.73</v>
      </c>
      <c r="E68" s="7">
        <v>-30.39</v>
      </c>
      <c r="F68" s="7">
        <v>8.16</v>
      </c>
      <c r="G68" s="7">
        <v>8.32</v>
      </c>
      <c r="H68" s="7"/>
      <c r="I68" s="7"/>
      <c r="J68" s="7"/>
      <c r="K68" s="7">
        <v>1.8</v>
      </c>
      <c r="L68" s="7">
        <v>125.4</v>
      </c>
      <c r="M68" s="7">
        <v>0</v>
      </c>
      <c r="N68" s="7"/>
      <c r="O68">
        <v>-11.5</v>
      </c>
      <c r="P68">
        <v>-10.84</v>
      </c>
      <c r="Q68">
        <v>10.02</v>
      </c>
      <c r="S68">
        <v>9.69</v>
      </c>
      <c r="T68">
        <v>0</v>
      </c>
      <c r="U68">
        <v>97.9</v>
      </c>
      <c r="V68">
        <v>820</v>
      </c>
      <c r="W68">
        <v>34.35</v>
      </c>
      <c r="Y68">
        <v>13.01</v>
      </c>
      <c r="Z68" s="7"/>
      <c r="AA68" s="15"/>
      <c r="AB68" s="10"/>
      <c r="AC68" s="8"/>
    </row>
    <row r="69" spans="1:39" x14ac:dyDescent="0.25">
      <c r="A69">
        <v>2006</v>
      </c>
      <c r="B69">
        <v>124</v>
      </c>
      <c r="C69">
        <v>400</v>
      </c>
      <c r="D69" s="7">
        <v>-2.0659999999999998</v>
      </c>
      <c r="E69" s="7">
        <v>-26.26</v>
      </c>
      <c r="F69" s="7">
        <v>8.52</v>
      </c>
      <c r="G69" s="7">
        <v>8.68</v>
      </c>
      <c r="H69" s="7"/>
      <c r="I69" s="7"/>
      <c r="J69" s="7"/>
      <c r="K69" s="7">
        <v>3.01</v>
      </c>
      <c r="L69" s="7">
        <v>129.4</v>
      </c>
      <c r="M69" s="7">
        <v>0</v>
      </c>
      <c r="N69" s="7"/>
      <c r="O69">
        <v>-11.5</v>
      </c>
      <c r="P69">
        <v>-10.84</v>
      </c>
      <c r="Q69">
        <v>9.9600000000000009</v>
      </c>
      <c r="S69">
        <v>9.67</v>
      </c>
      <c r="T69">
        <v>0</v>
      </c>
      <c r="U69">
        <v>98</v>
      </c>
      <c r="V69">
        <v>819</v>
      </c>
      <c r="W69">
        <v>34.270000000000003</v>
      </c>
      <c r="Y69">
        <v>12.97</v>
      </c>
      <c r="Z69" s="7"/>
      <c r="AA69" s="15"/>
      <c r="AB69" s="10"/>
      <c r="AC69" s="8"/>
    </row>
    <row r="70" spans="1:39" x14ac:dyDescent="0.25">
      <c r="A70">
        <v>2006</v>
      </c>
      <c r="B70">
        <v>124</v>
      </c>
      <c r="C70">
        <v>500</v>
      </c>
      <c r="D70" s="7">
        <v>0.188</v>
      </c>
      <c r="E70" s="7">
        <v>-29.8</v>
      </c>
      <c r="F70" s="7">
        <v>8.8800000000000008</v>
      </c>
      <c r="G70" s="7">
        <v>9.11</v>
      </c>
      <c r="H70" s="7"/>
      <c r="I70" s="7"/>
      <c r="J70" s="7"/>
      <c r="K70" s="7">
        <v>3.7429999999999999</v>
      </c>
      <c r="L70" s="7">
        <v>127.4</v>
      </c>
      <c r="M70" s="7">
        <v>0</v>
      </c>
      <c r="N70" s="7"/>
      <c r="O70">
        <v>-8.17</v>
      </c>
      <c r="P70">
        <v>-9.7799999999999994</v>
      </c>
      <c r="Q70">
        <v>9.83</v>
      </c>
      <c r="S70">
        <v>9.5500000000000007</v>
      </c>
      <c r="T70">
        <v>0</v>
      </c>
      <c r="U70">
        <v>97.1</v>
      </c>
      <c r="V70">
        <v>815</v>
      </c>
      <c r="W70">
        <v>34.049999999999997</v>
      </c>
      <c r="Y70">
        <v>12.94</v>
      </c>
      <c r="Z70" s="7"/>
      <c r="AA70" s="15"/>
      <c r="AB70" s="12"/>
      <c r="AC70" s="8"/>
    </row>
    <row r="71" spans="1:39" x14ac:dyDescent="0.25">
      <c r="A71">
        <v>2006</v>
      </c>
      <c r="B71">
        <v>124</v>
      </c>
      <c r="C71">
        <v>600</v>
      </c>
      <c r="D71" s="7">
        <v>22.39</v>
      </c>
      <c r="E71" s="7">
        <v>-11.08</v>
      </c>
      <c r="F71" s="7">
        <v>8.74</v>
      </c>
      <c r="G71" s="7">
        <v>8.9499999999999993</v>
      </c>
      <c r="H71" s="7"/>
      <c r="I71" s="7"/>
      <c r="J71" s="7"/>
      <c r="K71" s="7">
        <v>3.7629999999999999</v>
      </c>
      <c r="L71" s="7">
        <v>114.1</v>
      </c>
      <c r="M71" s="7">
        <v>0</v>
      </c>
      <c r="N71" s="7"/>
      <c r="O71">
        <v>17.350000000000001</v>
      </c>
      <c r="P71">
        <v>-2.82</v>
      </c>
      <c r="Q71">
        <v>9.7200000000000006</v>
      </c>
      <c r="S71">
        <v>9.4499999999999993</v>
      </c>
      <c r="T71">
        <v>0</v>
      </c>
      <c r="U71">
        <v>97.4</v>
      </c>
      <c r="V71">
        <v>814</v>
      </c>
      <c r="W71">
        <v>34.020000000000003</v>
      </c>
      <c r="Y71">
        <v>12.93</v>
      </c>
      <c r="Z71" s="7"/>
      <c r="AA71" s="15"/>
      <c r="AB71" s="10"/>
      <c r="AC71" s="8"/>
    </row>
    <row r="72" spans="1:39" x14ac:dyDescent="0.25">
      <c r="A72">
        <v>2006</v>
      </c>
      <c r="B72">
        <v>124</v>
      </c>
      <c r="C72">
        <v>700</v>
      </c>
      <c r="D72" s="7">
        <v>84.5</v>
      </c>
      <c r="E72" s="7">
        <v>39.22</v>
      </c>
      <c r="F72" s="7">
        <v>9.35</v>
      </c>
      <c r="G72" s="7">
        <v>9.58</v>
      </c>
      <c r="H72" s="7"/>
      <c r="I72" s="7"/>
      <c r="J72" s="7"/>
      <c r="K72" s="7">
        <v>3.2930000000000001</v>
      </c>
      <c r="L72" s="7">
        <v>113.6</v>
      </c>
      <c r="M72" s="7">
        <v>0</v>
      </c>
      <c r="N72" s="7"/>
      <c r="O72">
        <v>98</v>
      </c>
      <c r="P72">
        <v>14.91</v>
      </c>
      <c r="Q72">
        <v>9.69</v>
      </c>
      <c r="S72">
        <v>9.4</v>
      </c>
      <c r="T72">
        <v>0</v>
      </c>
      <c r="U72">
        <v>97.2</v>
      </c>
      <c r="V72">
        <v>813</v>
      </c>
      <c r="W72">
        <v>33.950000000000003</v>
      </c>
      <c r="Y72">
        <v>13.19</v>
      </c>
      <c r="Z72" s="7"/>
      <c r="AA72" s="15"/>
      <c r="AB72" s="10"/>
      <c r="AC72" s="8"/>
    </row>
    <row r="73" spans="1:39" x14ac:dyDescent="0.25">
      <c r="A73">
        <v>2006</v>
      </c>
      <c r="B73">
        <v>124</v>
      </c>
      <c r="C73">
        <v>800</v>
      </c>
      <c r="D73" s="7">
        <v>120.9</v>
      </c>
      <c r="E73" s="7">
        <v>69.22</v>
      </c>
      <c r="F73" s="7">
        <v>10.4</v>
      </c>
      <c r="G73" s="7">
        <v>10.49</v>
      </c>
      <c r="H73" s="7"/>
      <c r="I73" s="7"/>
      <c r="J73" s="7"/>
      <c r="K73" s="7">
        <v>2.625</v>
      </c>
      <c r="L73" s="7">
        <v>116.9</v>
      </c>
      <c r="M73" s="7">
        <v>0</v>
      </c>
      <c r="N73" s="7"/>
      <c r="O73">
        <v>147.19999999999999</v>
      </c>
      <c r="P73">
        <v>28.48</v>
      </c>
      <c r="Q73">
        <v>9.69</v>
      </c>
      <c r="S73">
        <v>9.4</v>
      </c>
      <c r="T73">
        <v>0</v>
      </c>
      <c r="U73">
        <v>98.8</v>
      </c>
      <c r="V73">
        <v>812</v>
      </c>
      <c r="W73">
        <v>33.89</v>
      </c>
      <c r="Y73">
        <v>13.61</v>
      </c>
      <c r="Z73" s="7"/>
      <c r="AA73" s="15"/>
      <c r="AB73" s="12"/>
      <c r="AC73" s="8"/>
    </row>
    <row r="74" spans="1:39" x14ac:dyDescent="0.25">
      <c r="A74">
        <v>2006</v>
      </c>
      <c r="B74">
        <v>124</v>
      </c>
      <c r="C74">
        <v>900</v>
      </c>
      <c r="D74" s="7">
        <v>65.08</v>
      </c>
      <c r="E74" s="7">
        <v>35.880000000000003</v>
      </c>
      <c r="F74" s="7">
        <v>10.4</v>
      </c>
      <c r="G74" s="7">
        <v>10.46</v>
      </c>
      <c r="H74" s="7">
        <f>AVERAGE(G74:G97)</f>
        <v>10.111125000000003</v>
      </c>
      <c r="I74" s="7">
        <f>MIN(G74:G97)</f>
        <v>4.7149999999999999</v>
      </c>
      <c r="J74" s="7">
        <f>MAX(G74:G97)</f>
        <v>12.36</v>
      </c>
      <c r="K74" s="7">
        <v>2.9079999999999999</v>
      </c>
      <c r="L74" s="7">
        <v>119.4</v>
      </c>
      <c r="M74" s="7">
        <v>0.8</v>
      </c>
      <c r="N74" s="7">
        <f>SUM(M74:M97)</f>
        <v>12.799999999999999</v>
      </c>
      <c r="O74">
        <v>79.099999999999994</v>
      </c>
      <c r="P74">
        <v>10.99</v>
      </c>
      <c r="Q74">
        <v>9.69</v>
      </c>
      <c r="R74">
        <f>AVERAGE(Q74:Q97)</f>
        <v>10.080000000000002</v>
      </c>
      <c r="S74">
        <v>9.39</v>
      </c>
      <c r="T74">
        <v>0</v>
      </c>
      <c r="U74">
        <v>99.3</v>
      </c>
      <c r="V74">
        <v>811</v>
      </c>
      <c r="W74">
        <v>33.86</v>
      </c>
      <c r="X74">
        <f>AVERAGE(W74:W97)</f>
        <v>49.589166666666664</v>
      </c>
      <c r="Y74">
        <v>13.58</v>
      </c>
      <c r="Z74" s="7"/>
      <c r="AA74" s="15"/>
      <c r="AB74" s="10"/>
      <c r="AC74" s="8"/>
    </row>
    <row r="75" spans="1:39" x14ac:dyDescent="0.25">
      <c r="A75">
        <v>2006</v>
      </c>
      <c r="B75">
        <v>124</v>
      </c>
      <c r="C75">
        <v>1000</v>
      </c>
      <c r="D75" s="7">
        <v>18.87</v>
      </c>
      <c r="E75" s="7">
        <v>8.02</v>
      </c>
      <c r="F75" s="7">
        <v>10.31</v>
      </c>
      <c r="G75" s="7">
        <v>10.42</v>
      </c>
      <c r="H75" s="7"/>
      <c r="I75" s="7"/>
      <c r="J75" s="7"/>
      <c r="K75" s="7">
        <v>1.397</v>
      </c>
      <c r="L75" s="7">
        <v>102.5</v>
      </c>
      <c r="M75" s="7">
        <v>0.8</v>
      </c>
      <c r="N75" s="7"/>
      <c r="O75">
        <v>17.25</v>
      </c>
      <c r="P75">
        <v>-3.7160000000000002</v>
      </c>
      <c r="Q75">
        <v>9.6999999999999993</v>
      </c>
      <c r="S75">
        <v>9.31</v>
      </c>
      <c r="T75">
        <v>0</v>
      </c>
      <c r="U75">
        <v>98.6</v>
      </c>
      <c r="V75">
        <v>819</v>
      </c>
      <c r="W75">
        <v>34.29</v>
      </c>
      <c r="Y75">
        <v>13.47</v>
      </c>
      <c r="Z75" s="7"/>
      <c r="AA75" s="15"/>
      <c r="AB75" s="10"/>
      <c r="AC75" s="8"/>
    </row>
    <row r="76" spans="1:39" x14ac:dyDescent="0.25">
      <c r="A76">
        <v>2006</v>
      </c>
      <c r="B76">
        <v>124</v>
      </c>
      <c r="C76">
        <v>1100</v>
      </c>
      <c r="D76" s="7">
        <v>24.71</v>
      </c>
      <c r="E76" s="7">
        <v>11.55</v>
      </c>
      <c r="F76" s="7">
        <v>10.27</v>
      </c>
      <c r="G76" s="7">
        <v>10.48</v>
      </c>
      <c r="H76" s="7"/>
      <c r="I76" s="7"/>
      <c r="J76" s="7"/>
      <c r="K76" s="7">
        <v>2.0640000000000001</v>
      </c>
      <c r="L76" s="7">
        <v>102.7</v>
      </c>
      <c r="M76" s="7">
        <v>1.2</v>
      </c>
      <c r="N76" s="7"/>
      <c r="O76">
        <v>23.76</v>
      </c>
      <c r="P76">
        <v>-2.3220000000000001</v>
      </c>
      <c r="Q76">
        <v>9.7799999999999994</v>
      </c>
      <c r="S76">
        <v>9.3000000000000007</v>
      </c>
      <c r="T76">
        <v>0</v>
      </c>
      <c r="U76">
        <v>97.5</v>
      </c>
      <c r="V76">
        <v>829</v>
      </c>
      <c r="W76">
        <v>34.799999999999997</v>
      </c>
      <c r="Y76">
        <v>13.39</v>
      </c>
      <c r="Z76" s="7"/>
      <c r="AA76" s="15"/>
      <c r="AB76" s="12"/>
      <c r="AC76" s="8"/>
    </row>
    <row r="77" spans="1:39" x14ac:dyDescent="0.25">
      <c r="A77">
        <v>2006</v>
      </c>
      <c r="B77">
        <v>124</v>
      </c>
      <c r="C77">
        <v>1200</v>
      </c>
      <c r="D77" s="7">
        <v>41.98</v>
      </c>
      <c r="E77" s="7">
        <v>24</v>
      </c>
      <c r="F77" s="7">
        <v>10.29</v>
      </c>
      <c r="G77" s="7">
        <v>10.47</v>
      </c>
      <c r="H77" s="7"/>
      <c r="I77" s="7"/>
      <c r="J77" s="7"/>
      <c r="K77" s="7">
        <v>1.4159999999999999</v>
      </c>
      <c r="L77" s="7">
        <v>105.9</v>
      </c>
      <c r="M77" s="7">
        <v>6.2</v>
      </c>
      <c r="N77" s="7"/>
      <c r="O77">
        <v>47.96</v>
      </c>
      <c r="P77">
        <v>4.9420000000000002</v>
      </c>
      <c r="Q77">
        <v>9.94</v>
      </c>
      <c r="S77">
        <v>9.33</v>
      </c>
      <c r="T77">
        <v>0</v>
      </c>
      <c r="U77">
        <v>97.8</v>
      </c>
      <c r="V77">
        <v>1004</v>
      </c>
      <c r="W77">
        <v>49.43</v>
      </c>
      <c r="Y77">
        <v>13.38</v>
      </c>
      <c r="Z77" s="7"/>
      <c r="AA77" s="15"/>
      <c r="AB77" s="10"/>
      <c r="AC77" s="8"/>
    </row>
    <row r="78" spans="1:39" x14ac:dyDescent="0.25">
      <c r="A78">
        <v>2006</v>
      </c>
      <c r="B78">
        <v>124</v>
      </c>
      <c r="C78">
        <v>1300</v>
      </c>
      <c r="D78" s="7">
        <v>49.03</v>
      </c>
      <c r="E78" s="7">
        <v>28.19</v>
      </c>
      <c r="F78" s="7">
        <v>10.75</v>
      </c>
      <c r="G78" s="7">
        <v>11.09</v>
      </c>
      <c r="H78" s="7"/>
      <c r="I78" s="7"/>
      <c r="J78" s="7"/>
      <c r="K78" s="7">
        <v>1.802</v>
      </c>
      <c r="L78" s="7">
        <v>90.4</v>
      </c>
      <c r="M78" s="7">
        <v>0</v>
      </c>
      <c r="N78" s="7"/>
      <c r="O78">
        <v>60.11</v>
      </c>
      <c r="P78">
        <v>8.2899999999999991</v>
      </c>
      <c r="Q78">
        <v>10.02</v>
      </c>
      <c r="S78">
        <v>9.39</v>
      </c>
      <c r="T78">
        <v>0</v>
      </c>
      <c r="U78">
        <v>96</v>
      </c>
      <c r="V78">
        <v>1013</v>
      </c>
      <c r="W78">
        <v>50.6</v>
      </c>
      <c r="Y78">
        <v>13.44</v>
      </c>
      <c r="Z78" s="7"/>
      <c r="AA78" s="15"/>
      <c r="AB78" s="10"/>
      <c r="AC78" s="8"/>
    </row>
    <row r="79" spans="1:39" x14ac:dyDescent="0.25">
      <c r="A79">
        <v>2006</v>
      </c>
      <c r="B79">
        <v>124</v>
      </c>
      <c r="C79">
        <v>1400</v>
      </c>
      <c r="D79" s="7">
        <v>78.900000000000006</v>
      </c>
      <c r="E79" s="7">
        <v>48.26</v>
      </c>
      <c r="F79" s="7">
        <v>11.18</v>
      </c>
      <c r="G79" s="7">
        <v>11.59</v>
      </c>
      <c r="H79" s="7"/>
      <c r="I79" s="7"/>
      <c r="J79" s="7"/>
      <c r="K79" s="7">
        <v>2.1779999999999999</v>
      </c>
      <c r="L79" s="7">
        <v>106.7</v>
      </c>
      <c r="M79" s="7">
        <v>0</v>
      </c>
      <c r="N79" s="7"/>
      <c r="O79">
        <v>101.7</v>
      </c>
      <c r="P79">
        <v>18.989999999999998</v>
      </c>
      <c r="Q79">
        <v>9.9700000000000006</v>
      </c>
      <c r="S79">
        <v>9.3699999999999992</v>
      </c>
      <c r="T79">
        <v>0</v>
      </c>
      <c r="U79">
        <v>95.2</v>
      </c>
      <c r="V79">
        <v>1016</v>
      </c>
      <c r="W79">
        <v>50.9</v>
      </c>
      <c r="Y79">
        <v>13.54</v>
      </c>
      <c r="Z79" s="7"/>
      <c r="AA79" s="15"/>
      <c r="AB79" s="12"/>
      <c r="AC79" s="8"/>
    </row>
    <row r="80" spans="1:39" x14ac:dyDescent="0.25">
      <c r="A80">
        <v>2006</v>
      </c>
      <c r="B80">
        <v>124</v>
      </c>
      <c r="C80">
        <v>1500</v>
      </c>
      <c r="D80" s="7">
        <v>100.4</v>
      </c>
      <c r="E80" s="7">
        <v>61.92</v>
      </c>
      <c r="F80" s="7">
        <v>11.75</v>
      </c>
      <c r="G80" s="7">
        <v>12.12</v>
      </c>
      <c r="H80" s="7"/>
      <c r="I80" s="7"/>
      <c r="J80" s="7"/>
      <c r="K80" s="7">
        <v>1.93</v>
      </c>
      <c r="L80" s="7">
        <v>115.2</v>
      </c>
      <c r="M80" s="7">
        <v>0.2</v>
      </c>
      <c r="N80" s="7"/>
      <c r="O80">
        <v>128.30000000000001</v>
      </c>
      <c r="P80">
        <v>25.51</v>
      </c>
      <c r="Q80">
        <v>9.94</v>
      </c>
      <c r="S80">
        <v>9.3699999999999992</v>
      </c>
      <c r="T80">
        <v>0</v>
      </c>
      <c r="U80">
        <v>95.7</v>
      </c>
      <c r="V80">
        <v>1018</v>
      </c>
      <c r="W80">
        <v>51.22</v>
      </c>
      <c r="Y80">
        <v>13.6</v>
      </c>
      <c r="Z80" s="7"/>
      <c r="AA80" s="15"/>
      <c r="AB80" s="10"/>
      <c r="AC80" s="8"/>
    </row>
    <row r="81" spans="1:29" x14ac:dyDescent="0.25">
      <c r="A81">
        <v>2006</v>
      </c>
      <c r="B81">
        <v>124</v>
      </c>
      <c r="C81">
        <v>1600</v>
      </c>
      <c r="D81" s="7">
        <v>58.75</v>
      </c>
      <c r="E81" s="7">
        <v>30.81</v>
      </c>
      <c r="F81" s="7">
        <v>11.93</v>
      </c>
      <c r="G81" s="7">
        <v>12.36</v>
      </c>
      <c r="H81" s="7"/>
      <c r="I81" s="7"/>
      <c r="J81" s="7"/>
      <c r="K81" s="7">
        <v>1.337</v>
      </c>
      <c r="L81" s="7">
        <v>106.7</v>
      </c>
      <c r="M81" s="7">
        <v>0.2</v>
      </c>
      <c r="N81" s="7"/>
      <c r="O81">
        <v>72.2</v>
      </c>
      <c r="P81">
        <v>10.56</v>
      </c>
      <c r="Q81">
        <v>10.02</v>
      </c>
      <c r="S81">
        <v>9.41</v>
      </c>
      <c r="T81">
        <v>0</v>
      </c>
      <c r="U81">
        <v>95.1</v>
      </c>
      <c r="V81">
        <v>1019</v>
      </c>
      <c r="W81">
        <v>51.26</v>
      </c>
      <c r="Y81">
        <v>13.62</v>
      </c>
      <c r="Z81" s="7"/>
      <c r="AA81" s="15"/>
      <c r="AB81" s="10"/>
      <c r="AC81" s="8"/>
    </row>
    <row r="82" spans="1:29" x14ac:dyDescent="0.25">
      <c r="A82">
        <v>2006</v>
      </c>
      <c r="B82">
        <v>124</v>
      </c>
      <c r="C82">
        <v>1700</v>
      </c>
      <c r="D82" s="7">
        <v>28.58</v>
      </c>
      <c r="E82" s="7">
        <v>11.53</v>
      </c>
      <c r="F82" s="7">
        <v>11.56</v>
      </c>
      <c r="G82" s="7">
        <v>11.92</v>
      </c>
      <c r="H82" s="7"/>
      <c r="I82" s="7"/>
      <c r="J82" s="7"/>
      <c r="K82" s="7">
        <v>0.80300000000000005</v>
      </c>
      <c r="L82" s="7">
        <v>157.4</v>
      </c>
      <c r="M82" s="7">
        <v>0.4</v>
      </c>
      <c r="N82" s="7"/>
      <c r="O82">
        <v>31.12</v>
      </c>
      <c r="P82">
        <v>7.0999999999999994E-2</v>
      </c>
      <c r="Q82">
        <v>10.11</v>
      </c>
      <c r="S82">
        <v>9.43</v>
      </c>
      <c r="T82">
        <v>0</v>
      </c>
      <c r="U82">
        <v>95.9</v>
      </c>
      <c r="V82">
        <v>1022</v>
      </c>
      <c r="W82">
        <v>51.73</v>
      </c>
      <c r="Y82">
        <v>13.5</v>
      </c>
      <c r="Z82" s="7"/>
      <c r="AA82" s="15"/>
      <c r="AB82" s="12"/>
      <c r="AC82" s="8"/>
    </row>
    <row r="83" spans="1:29" x14ac:dyDescent="0.25">
      <c r="A83">
        <v>2006</v>
      </c>
      <c r="B83">
        <v>124</v>
      </c>
      <c r="C83">
        <v>1800</v>
      </c>
      <c r="D83" s="7">
        <v>34.1</v>
      </c>
      <c r="E83" s="7">
        <v>15.12</v>
      </c>
      <c r="F83" s="7">
        <v>11.86</v>
      </c>
      <c r="G83" s="7">
        <v>12.24</v>
      </c>
      <c r="H83" s="7"/>
      <c r="I83" s="7"/>
      <c r="J83" s="7"/>
      <c r="K83" s="7">
        <v>0.46600000000000003</v>
      </c>
      <c r="L83" s="7">
        <v>264.60000000000002</v>
      </c>
      <c r="M83" s="7">
        <v>1</v>
      </c>
      <c r="N83" s="7"/>
      <c r="O83">
        <v>39.99</v>
      </c>
      <c r="P83">
        <v>2.1760000000000002</v>
      </c>
      <c r="Q83">
        <v>10.16</v>
      </c>
      <c r="S83">
        <v>9.5</v>
      </c>
      <c r="T83">
        <v>0</v>
      </c>
      <c r="U83">
        <v>95.7</v>
      </c>
      <c r="V83">
        <v>1019</v>
      </c>
      <c r="W83">
        <v>51.34</v>
      </c>
      <c r="Y83">
        <v>13.45</v>
      </c>
      <c r="Z83" s="7"/>
      <c r="AA83" s="15"/>
      <c r="AB83" s="10"/>
      <c r="AC83" s="8"/>
    </row>
    <row r="84" spans="1:29" x14ac:dyDescent="0.25">
      <c r="A84">
        <v>2006</v>
      </c>
      <c r="B84">
        <v>124</v>
      </c>
      <c r="C84">
        <v>1900</v>
      </c>
      <c r="D84" s="7">
        <v>12.11</v>
      </c>
      <c r="E84" s="7">
        <v>2.145</v>
      </c>
      <c r="F84" s="7">
        <v>11.49</v>
      </c>
      <c r="G84" s="7">
        <v>11.81</v>
      </c>
      <c r="H84" s="7"/>
      <c r="I84" s="7"/>
      <c r="J84" s="7"/>
      <c r="K84" s="7">
        <v>1.206</v>
      </c>
      <c r="L84" s="7">
        <v>99.8</v>
      </c>
      <c r="M84" s="7">
        <v>1.4</v>
      </c>
      <c r="N84" s="7"/>
      <c r="O84">
        <v>7.29</v>
      </c>
      <c r="P84">
        <v>-6.0780000000000003</v>
      </c>
      <c r="Q84">
        <v>10.27</v>
      </c>
      <c r="S84">
        <v>9.52</v>
      </c>
      <c r="T84">
        <v>0</v>
      </c>
      <c r="U84">
        <v>96.4</v>
      </c>
      <c r="V84">
        <v>1020</v>
      </c>
      <c r="W84">
        <v>51.49</v>
      </c>
      <c r="Y84">
        <v>13.37</v>
      </c>
      <c r="Z84" s="7"/>
      <c r="AA84" s="15"/>
      <c r="AB84" s="10"/>
      <c r="AC84" s="8"/>
    </row>
    <row r="85" spans="1:29" x14ac:dyDescent="0.25">
      <c r="A85">
        <v>2006</v>
      </c>
      <c r="B85">
        <v>124</v>
      </c>
      <c r="C85">
        <v>2000</v>
      </c>
      <c r="D85" s="7">
        <v>5.5880000000000001</v>
      </c>
      <c r="E85" s="7">
        <v>-2.89</v>
      </c>
      <c r="F85" s="7">
        <v>11.22</v>
      </c>
      <c r="G85" s="7">
        <v>11.56</v>
      </c>
      <c r="H85" s="7"/>
      <c r="I85" s="7"/>
      <c r="J85" s="7"/>
      <c r="K85" s="7">
        <v>2.048</v>
      </c>
      <c r="L85" s="7">
        <v>104.8</v>
      </c>
      <c r="M85" s="7">
        <v>0.6</v>
      </c>
      <c r="N85" s="7"/>
      <c r="O85">
        <v>-2.0489999999999999</v>
      </c>
      <c r="P85">
        <v>-8.43</v>
      </c>
      <c r="Q85">
        <v>10.33</v>
      </c>
      <c r="S85">
        <v>9.5500000000000007</v>
      </c>
      <c r="T85">
        <v>0</v>
      </c>
      <c r="U85">
        <v>96.1</v>
      </c>
      <c r="V85">
        <v>1021</v>
      </c>
      <c r="W85">
        <v>51.63</v>
      </c>
      <c r="Y85">
        <v>13.29</v>
      </c>
      <c r="Z85" s="7"/>
      <c r="AA85" s="15"/>
      <c r="AB85" s="12"/>
      <c r="AC85" s="8"/>
    </row>
    <row r="86" spans="1:29" x14ac:dyDescent="0.25">
      <c r="A86">
        <v>2006</v>
      </c>
      <c r="B86">
        <v>124</v>
      </c>
      <c r="C86">
        <v>2100</v>
      </c>
      <c r="D86" s="7">
        <v>-0.47199999999999998</v>
      </c>
      <c r="E86" s="7">
        <v>-3.1240000000000001</v>
      </c>
      <c r="F86" s="7">
        <v>11.1</v>
      </c>
      <c r="G86" s="7">
        <v>11.42</v>
      </c>
      <c r="H86" s="7"/>
      <c r="I86" s="7"/>
      <c r="J86" s="7"/>
      <c r="K86" s="7">
        <v>1.4450000000000001</v>
      </c>
      <c r="L86" s="7">
        <v>106.2</v>
      </c>
      <c r="M86" s="7">
        <v>0</v>
      </c>
      <c r="N86" s="7"/>
      <c r="O86">
        <v>-11.41</v>
      </c>
      <c r="P86">
        <v>-10.84</v>
      </c>
      <c r="Q86">
        <v>10.33</v>
      </c>
      <c r="S86">
        <v>9.6199999999999992</v>
      </c>
      <c r="T86">
        <v>0</v>
      </c>
      <c r="U86">
        <v>96.4</v>
      </c>
      <c r="V86">
        <v>1023</v>
      </c>
      <c r="W86">
        <v>51.8</v>
      </c>
      <c r="Y86">
        <v>13.22</v>
      </c>
      <c r="Z86" s="7"/>
      <c r="AA86" s="15"/>
      <c r="AB86" s="10"/>
      <c r="AC86" s="8"/>
    </row>
    <row r="87" spans="1:29" x14ac:dyDescent="0.25">
      <c r="A87">
        <v>2006</v>
      </c>
      <c r="B87">
        <v>124</v>
      </c>
      <c r="C87">
        <v>2200</v>
      </c>
      <c r="D87" s="7">
        <v>-0.55800000000000005</v>
      </c>
      <c r="E87" s="7">
        <v>-3.347</v>
      </c>
      <c r="F87" s="7">
        <v>10.98</v>
      </c>
      <c r="G87" s="7">
        <v>11.33</v>
      </c>
      <c r="H87" s="7"/>
      <c r="I87" s="7"/>
      <c r="J87" s="7"/>
      <c r="K87" s="7">
        <v>1.6080000000000001</v>
      </c>
      <c r="L87" s="7">
        <v>146.19999999999999</v>
      </c>
      <c r="M87" s="7">
        <v>0</v>
      </c>
      <c r="N87" s="7"/>
      <c r="O87">
        <v>-11.49</v>
      </c>
      <c r="P87">
        <v>-10.84</v>
      </c>
      <c r="Q87">
        <v>10.33</v>
      </c>
      <c r="S87">
        <v>9.6300000000000008</v>
      </c>
      <c r="T87">
        <v>0</v>
      </c>
      <c r="U87">
        <v>95.9</v>
      </c>
      <c r="V87">
        <v>1022</v>
      </c>
      <c r="W87">
        <v>51.71</v>
      </c>
      <c r="Y87">
        <v>13.15</v>
      </c>
      <c r="Z87" s="7"/>
      <c r="AA87" s="15"/>
      <c r="AB87" s="10"/>
      <c r="AC87" s="8"/>
    </row>
    <row r="88" spans="1:29" x14ac:dyDescent="0.25">
      <c r="A88">
        <v>2006</v>
      </c>
      <c r="B88">
        <v>124</v>
      </c>
      <c r="C88">
        <v>2300</v>
      </c>
      <c r="D88" s="7">
        <v>-0.56899999999999995</v>
      </c>
      <c r="E88" s="7">
        <v>-5.91</v>
      </c>
      <c r="F88" s="7">
        <v>10.71</v>
      </c>
      <c r="G88" s="7">
        <v>11.09</v>
      </c>
      <c r="H88" s="7"/>
      <c r="I88" s="7"/>
      <c r="J88" s="7"/>
      <c r="K88" s="7">
        <v>1.5409999999999999</v>
      </c>
      <c r="L88" s="7">
        <v>163</v>
      </c>
      <c r="M88" s="7">
        <v>0</v>
      </c>
      <c r="N88" s="7"/>
      <c r="O88">
        <v>-11.49</v>
      </c>
      <c r="P88">
        <v>-10.84</v>
      </c>
      <c r="Q88">
        <v>10.33</v>
      </c>
      <c r="S88">
        <v>9.6300000000000008</v>
      </c>
      <c r="T88">
        <v>0</v>
      </c>
      <c r="U88">
        <v>95.6</v>
      </c>
      <c r="V88">
        <v>1024</v>
      </c>
      <c r="W88">
        <v>52</v>
      </c>
      <c r="Y88">
        <v>13.09</v>
      </c>
      <c r="Z88" s="7"/>
      <c r="AA88" s="15"/>
      <c r="AB88" s="12"/>
      <c r="AC88" s="8"/>
    </row>
    <row r="89" spans="1:29" x14ac:dyDescent="0.25">
      <c r="A89">
        <v>2006</v>
      </c>
      <c r="B89">
        <v>124</v>
      </c>
      <c r="C89">
        <v>2400</v>
      </c>
      <c r="D89" s="7">
        <v>-1.0129999999999999</v>
      </c>
      <c r="E89" s="7">
        <v>-16.11</v>
      </c>
      <c r="F89" s="7">
        <v>10.27</v>
      </c>
      <c r="G89" s="7">
        <v>10.72</v>
      </c>
      <c r="H89" s="7"/>
      <c r="I89" s="7"/>
      <c r="J89" s="7"/>
      <c r="K89" s="7">
        <v>1.2589999999999999</v>
      </c>
      <c r="L89" s="7">
        <v>143.9</v>
      </c>
      <c r="M89" s="7">
        <v>0</v>
      </c>
      <c r="N89" s="7"/>
      <c r="O89">
        <v>-11.49</v>
      </c>
      <c r="P89">
        <v>-10.84</v>
      </c>
      <c r="Q89">
        <v>10.36</v>
      </c>
      <c r="S89">
        <v>9.66</v>
      </c>
      <c r="T89">
        <v>0</v>
      </c>
      <c r="U89">
        <v>94.7</v>
      </c>
      <c r="V89">
        <v>1025</v>
      </c>
      <c r="W89">
        <v>52.17</v>
      </c>
      <c r="Y89">
        <v>13.04</v>
      </c>
      <c r="AA89" s="15"/>
      <c r="AB89" s="10"/>
      <c r="AC89" s="8"/>
    </row>
    <row r="90" spans="1:29" x14ac:dyDescent="0.25">
      <c r="A90">
        <v>2006</v>
      </c>
      <c r="B90">
        <v>125</v>
      </c>
      <c r="C90">
        <v>100</v>
      </c>
      <c r="D90" s="7">
        <v>-2.87</v>
      </c>
      <c r="E90" s="7">
        <v>-44.27</v>
      </c>
      <c r="F90" s="7">
        <v>9.18</v>
      </c>
      <c r="G90" s="7">
        <v>9.83</v>
      </c>
      <c r="H90" s="7"/>
      <c r="I90" s="7"/>
      <c r="J90" s="7"/>
      <c r="K90" s="7">
        <v>1.361</v>
      </c>
      <c r="L90" s="7">
        <v>166.5</v>
      </c>
      <c r="M90" s="7">
        <v>0</v>
      </c>
      <c r="N90" s="7"/>
      <c r="O90">
        <v>-11.49</v>
      </c>
      <c r="P90">
        <v>-10.84</v>
      </c>
      <c r="Q90">
        <v>10.39</v>
      </c>
      <c r="S90">
        <v>9.7100000000000009</v>
      </c>
      <c r="T90">
        <v>0</v>
      </c>
      <c r="U90">
        <v>92.1</v>
      </c>
      <c r="V90">
        <v>1026</v>
      </c>
      <c r="W90">
        <v>52.33</v>
      </c>
      <c r="Y90">
        <v>12.99</v>
      </c>
      <c r="AA90" s="15"/>
      <c r="AB90" s="10"/>
      <c r="AC90" s="8"/>
    </row>
    <row r="91" spans="1:29" x14ac:dyDescent="0.25">
      <c r="A91">
        <v>2006</v>
      </c>
      <c r="B91">
        <v>125</v>
      </c>
      <c r="C91">
        <v>200</v>
      </c>
      <c r="D91" s="7">
        <v>-3.145</v>
      </c>
      <c r="E91" s="7">
        <v>-44.66</v>
      </c>
      <c r="F91" s="7">
        <v>8.94</v>
      </c>
      <c r="G91" s="7">
        <v>9.6199999999999992</v>
      </c>
      <c r="H91" s="7"/>
      <c r="I91" s="7"/>
      <c r="J91" s="7"/>
      <c r="K91" s="7">
        <v>1.61</v>
      </c>
      <c r="L91" s="7">
        <v>163.1</v>
      </c>
      <c r="M91" s="7">
        <v>0</v>
      </c>
      <c r="N91" s="7"/>
      <c r="O91">
        <v>-11.5</v>
      </c>
      <c r="P91">
        <v>-10.84</v>
      </c>
      <c r="Q91">
        <v>10.33</v>
      </c>
      <c r="S91">
        <v>9.73</v>
      </c>
      <c r="T91">
        <v>0</v>
      </c>
      <c r="U91">
        <v>91.7</v>
      </c>
      <c r="V91">
        <v>1027</v>
      </c>
      <c r="W91">
        <v>52.4</v>
      </c>
      <c r="Y91">
        <v>12.96</v>
      </c>
      <c r="AA91" s="15"/>
      <c r="AB91" s="12"/>
      <c r="AC91" s="8"/>
    </row>
    <row r="92" spans="1:29" x14ac:dyDescent="0.25">
      <c r="A92">
        <v>2006</v>
      </c>
      <c r="B92">
        <v>125</v>
      </c>
      <c r="C92">
        <v>300</v>
      </c>
      <c r="D92" s="7">
        <v>-2.218</v>
      </c>
      <c r="E92" s="7">
        <v>-26.92</v>
      </c>
      <c r="F92" s="7">
        <v>8.5</v>
      </c>
      <c r="G92" s="7">
        <v>9.33</v>
      </c>
      <c r="H92" s="7"/>
      <c r="I92" s="7"/>
      <c r="J92" s="7"/>
      <c r="K92" s="7">
        <v>2.1280000000000001</v>
      </c>
      <c r="L92" s="7">
        <v>199.3</v>
      </c>
      <c r="M92" s="7">
        <v>0</v>
      </c>
      <c r="N92" s="7"/>
      <c r="O92">
        <v>-11.5</v>
      </c>
      <c r="P92">
        <v>-10.84</v>
      </c>
      <c r="Q92">
        <v>10.24</v>
      </c>
      <c r="S92">
        <v>9.68</v>
      </c>
      <c r="T92">
        <v>0</v>
      </c>
      <c r="U92">
        <v>89.8</v>
      </c>
      <c r="V92">
        <v>1029</v>
      </c>
      <c r="W92">
        <v>52.71</v>
      </c>
      <c r="Y92">
        <v>12.94</v>
      </c>
      <c r="AA92" s="15"/>
      <c r="AB92" s="10"/>
      <c r="AC92" s="8"/>
    </row>
    <row r="93" spans="1:29" x14ac:dyDescent="0.25">
      <c r="A93">
        <v>2006</v>
      </c>
      <c r="B93">
        <v>125</v>
      </c>
      <c r="C93">
        <v>400</v>
      </c>
      <c r="D93" s="7">
        <v>-2.6659999999999999</v>
      </c>
      <c r="E93" s="7">
        <v>-52.33</v>
      </c>
      <c r="F93" s="7">
        <v>5.9420000000000002</v>
      </c>
      <c r="G93" s="7">
        <v>6.7809999999999997</v>
      </c>
      <c r="H93" s="7"/>
      <c r="I93" s="7"/>
      <c r="J93" s="7"/>
      <c r="K93" s="7">
        <v>3.3119999999999998</v>
      </c>
      <c r="L93" s="7">
        <v>246.4</v>
      </c>
      <c r="M93" s="7">
        <v>0</v>
      </c>
      <c r="N93" s="7"/>
      <c r="O93">
        <v>-11.5</v>
      </c>
      <c r="P93">
        <v>-10.84</v>
      </c>
      <c r="Q93">
        <v>10.15</v>
      </c>
      <c r="S93">
        <v>9.61</v>
      </c>
      <c r="T93">
        <v>0</v>
      </c>
      <c r="U93">
        <v>88.7</v>
      </c>
      <c r="V93">
        <v>1025</v>
      </c>
      <c r="W93">
        <v>52.18</v>
      </c>
      <c r="Y93">
        <v>12.92</v>
      </c>
      <c r="AA93" s="15"/>
      <c r="AB93" s="10"/>
      <c r="AC93" s="8"/>
    </row>
    <row r="94" spans="1:29" x14ac:dyDescent="0.25">
      <c r="A94">
        <v>2006</v>
      </c>
      <c r="B94">
        <v>125</v>
      </c>
      <c r="C94">
        <v>500</v>
      </c>
      <c r="D94" s="7">
        <v>0.20100000000000001</v>
      </c>
      <c r="E94" s="7">
        <v>-48.84</v>
      </c>
      <c r="F94" s="7">
        <v>4.5439999999999996</v>
      </c>
      <c r="G94" s="7">
        <v>5.1040000000000001</v>
      </c>
      <c r="H94" s="7"/>
      <c r="I94" s="7"/>
      <c r="J94" s="7"/>
      <c r="K94" s="7">
        <v>0.80800000000000005</v>
      </c>
      <c r="L94" s="7">
        <v>205</v>
      </c>
      <c r="M94" s="7">
        <v>0</v>
      </c>
      <c r="N94" s="7"/>
      <c r="O94">
        <v>-6.4950000000000001</v>
      </c>
      <c r="P94">
        <v>-8.7200000000000006</v>
      </c>
      <c r="Q94">
        <v>10.050000000000001</v>
      </c>
      <c r="S94">
        <v>9.58</v>
      </c>
      <c r="T94">
        <v>0</v>
      </c>
      <c r="U94">
        <v>91.9</v>
      </c>
      <c r="V94">
        <v>1025</v>
      </c>
      <c r="W94">
        <v>52.14</v>
      </c>
      <c r="Y94">
        <v>12.92</v>
      </c>
      <c r="AA94" s="15"/>
      <c r="AB94" s="10"/>
      <c r="AC94" s="8"/>
    </row>
    <row r="95" spans="1:29" x14ac:dyDescent="0.25">
      <c r="A95">
        <v>2006</v>
      </c>
      <c r="B95">
        <v>125</v>
      </c>
      <c r="C95">
        <v>600</v>
      </c>
      <c r="D95" s="7">
        <v>59.82</v>
      </c>
      <c r="E95" s="7">
        <v>12.07</v>
      </c>
      <c r="F95" s="7">
        <v>4.2610000000000001</v>
      </c>
      <c r="G95" s="7">
        <v>4.7149999999999999</v>
      </c>
      <c r="H95" s="7"/>
      <c r="I95" s="7"/>
      <c r="J95" s="7"/>
      <c r="K95" s="7">
        <v>1.0149999999999999</v>
      </c>
      <c r="L95" s="7">
        <v>221.4</v>
      </c>
      <c r="M95" s="7">
        <v>0</v>
      </c>
      <c r="N95" s="7"/>
      <c r="O95">
        <v>71.7</v>
      </c>
      <c r="P95">
        <v>51.8</v>
      </c>
      <c r="Q95">
        <v>9.8800000000000008</v>
      </c>
      <c r="S95">
        <v>9.51</v>
      </c>
      <c r="T95">
        <v>0</v>
      </c>
      <c r="U95">
        <v>93.3</v>
      </c>
      <c r="V95">
        <v>1037</v>
      </c>
      <c r="W95">
        <v>53.79</v>
      </c>
      <c r="Y95">
        <v>13</v>
      </c>
      <c r="AA95" s="15"/>
      <c r="AB95" s="10"/>
      <c r="AC95" s="8"/>
    </row>
    <row r="96" spans="1:29" x14ac:dyDescent="0.25">
      <c r="A96">
        <v>2006</v>
      </c>
      <c r="B96">
        <v>125</v>
      </c>
      <c r="C96">
        <v>700</v>
      </c>
      <c r="D96" s="7">
        <v>190.4</v>
      </c>
      <c r="E96" s="7">
        <v>113.7</v>
      </c>
      <c r="F96" s="7">
        <v>6.0990000000000002</v>
      </c>
      <c r="G96" s="7">
        <v>6.9470000000000001</v>
      </c>
      <c r="H96" s="7"/>
      <c r="I96" s="7"/>
      <c r="J96" s="7"/>
      <c r="K96" s="7">
        <v>1.3979999999999999</v>
      </c>
      <c r="L96" s="7">
        <v>192.8</v>
      </c>
      <c r="M96" s="7">
        <v>0</v>
      </c>
      <c r="N96" s="7"/>
      <c r="O96">
        <v>269.10000000000002</v>
      </c>
      <c r="P96">
        <v>125.1</v>
      </c>
      <c r="Q96">
        <v>9.81</v>
      </c>
      <c r="S96">
        <v>9.5399999999999991</v>
      </c>
      <c r="T96">
        <v>0</v>
      </c>
      <c r="U96">
        <v>88.7</v>
      </c>
      <c r="V96">
        <v>1026</v>
      </c>
      <c r="W96">
        <v>52.31</v>
      </c>
      <c r="Y96">
        <v>13.79</v>
      </c>
      <c r="AA96" s="15"/>
      <c r="AB96" s="10"/>
      <c r="AC96" s="8"/>
    </row>
    <row r="97" spans="1:29" x14ac:dyDescent="0.25">
      <c r="A97">
        <v>2006</v>
      </c>
      <c r="B97">
        <v>125</v>
      </c>
      <c r="C97">
        <v>800</v>
      </c>
      <c r="D97" s="7">
        <v>343.1</v>
      </c>
      <c r="E97" s="7">
        <v>225</v>
      </c>
      <c r="F97" s="7">
        <v>7.82</v>
      </c>
      <c r="G97" s="7">
        <v>9.26</v>
      </c>
      <c r="H97" s="7"/>
      <c r="I97" s="7"/>
      <c r="J97" s="7"/>
      <c r="K97" s="7">
        <v>1.9970000000000001</v>
      </c>
      <c r="L97" s="7">
        <v>186.1</v>
      </c>
      <c r="M97" s="7">
        <v>0</v>
      </c>
      <c r="N97" s="7"/>
      <c r="O97">
        <v>475.5</v>
      </c>
      <c r="P97">
        <v>166.2</v>
      </c>
      <c r="Q97">
        <v>9.7899999999999991</v>
      </c>
      <c r="S97">
        <v>9.5500000000000007</v>
      </c>
      <c r="T97">
        <v>0</v>
      </c>
      <c r="U97">
        <v>82.4</v>
      </c>
      <c r="V97">
        <v>1024</v>
      </c>
      <c r="W97">
        <v>52.05</v>
      </c>
      <c r="Y97">
        <v>14.4</v>
      </c>
      <c r="AA97" s="15"/>
      <c r="AB97" s="10"/>
      <c r="AC97" s="8"/>
    </row>
    <row r="98" spans="1:29" x14ac:dyDescent="0.25">
      <c r="A98">
        <v>2006</v>
      </c>
      <c r="B98">
        <v>125</v>
      </c>
      <c r="C98">
        <v>900</v>
      </c>
      <c r="D98" s="7">
        <v>486.4</v>
      </c>
      <c r="E98" s="7">
        <v>307.5</v>
      </c>
      <c r="F98" s="7">
        <v>9.3000000000000007</v>
      </c>
      <c r="G98" s="7">
        <v>10.97</v>
      </c>
      <c r="H98" s="7">
        <f>AVERAGE(G98:G121)</f>
        <v>11.101666666666667</v>
      </c>
      <c r="I98" s="7">
        <f>MIN(G98:G121)</f>
        <v>8.32</v>
      </c>
      <c r="J98" s="7">
        <f>MAX(G98:G121)</f>
        <v>14.45</v>
      </c>
      <c r="K98" s="7">
        <v>2.5459999999999998</v>
      </c>
      <c r="L98" s="7">
        <v>178.8</v>
      </c>
      <c r="M98" s="7">
        <v>0</v>
      </c>
      <c r="N98" s="7">
        <f>SUM(M98:M121)</f>
        <v>0</v>
      </c>
      <c r="O98">
        <v>629</v>
      </c>
      <c r="P98">
        <v>197</v>
      </c>
      <c r="Q98">
        <v>9.82</v>
      </c>
      <c r="R98">
        <f>AVERAGE(Q98:Q121)</f>
        <v>11.064166666666667</v>
      </c>
      <c r="S98">
        <v>9.4700000000000006</v>
      </c>
      <c r="T98">
        <v>0</v>
      </c>
      <c r="U98">
        <v>80.8</v>
      </c>
      <c r="V98">
        <v>1024</v>
      </c>
      <c r="W98">
        <v>51.98</v>
      </c>
      <c r="X98">
        <f>AVERAGE(W98:W121)</f>
        <v>35.419583333333343</v>
      </c>
      <c r="Y98">
        <v>14.77</v>
      </c>
    </row>
    <row r="99" spans="1:29" x14ac:dyDescent="0.25">
      <c r="A99">
        <v>2006</v>
      </c>
      <c r="B99">
        <v>125</v>
      </c>
      <c r="C99">
        <v>1000</v>
      </c>
      <c r="D99" s="7">
        <v>632.1</v>
      </c>
      <c r="E99" s="7">
        <v>389.8</v>
      </c>
      <c r="F99" s="7">
        <v>11.97</v>
      </c>
      <c r="G99" s="7">
        <v>12.44</v>
      </c>
      <c r="H99" s="7"/>
      <c r="I99" s="7"/>
      <c r="J99" s="7"/>
      <c r="K99" s="7">
        <v>2.988</v>
      </c>
      <c r="L99" s="7">
        <v>174.2</v>
      </c>
      <c r="M99" s="7">
        <v>0</v>
      </c>
      <c r="N99" s="7"/>
      <c r="O99">
        <v>809</v>
      </c>
      <c r="P99">
        <v>228.2</v>
      </c>
      <c r="Q99">
        <v>9.9499999999999993</v>
      </c>
      <c r="S99">
        <v>9.43</v>
      </c>
      <c r="T99">
        <v>0</v>
      </c>
      <c r="U99">
        <v>94.7</v>
      </c>
      <c r="V99">
        <v>875</v>
      </c>
      <c r="W99">
        <v>37.65</v>
      </c>
      <c r="Y99">
        <v>14.85</v>
      </c>
    </row>
    <row r="100" spans="1:29" x14ac:dyDescent="0.25">
      <c r="A100">
        <v>2006</v>
      </c>
      <c r="B100">
        <v>125</v>
      </c>
      <c r="C100">
        <v>1100</v>
      </c>
      <c r="D100" s="7">
        <v>659.4</v>
      </c>
      <c r="E100" s="7">
        <v>402.6</v>
      </c>
      <c r="F100" s="7">
        <v>13.65</v>
      </c>
      <c r="G100" s="7">
        <v>13.5</v>
      </c>
      <c r="H100" s="7"/>
      <c r="I100" s="7"/>
      <c r="J100" s="7"/>
      <c r="K100" s="7">
        <v>3.024</v>
      </c>
      <c r="L100" s="7">
        <v>175.6</v>
      </c>
      <c r="M100" s="7">
        <v>0</v>
      </c>
      <c r="N100" s="7"/>
      <c r="O100">
        <v>824</v>
      </c>
      <c r="P100">
        <v>213.5</v>
      </c>
      <c r="Q100">
        <v>10.17</v>
      </c>
      <c r="S100">
        <v>9.4499999999999993</v>
      </c>
      <c r="T100">
        <v>0</v>
      </c>
      <c r="U100">
        <v>101.6</v>
      </c>
      <c r="V100">
        <v>866</v>
      </c>
      <c r="W100">
        <v>37.07</v>
      </c>
      <c r="Y100">
        <v>14.44</v>
      </c>
    </row>
    <row r="101" spans="1:29" x14ac:dyDescent="0.25">
      <c r="A101">
        <v>2006</v>
      </c>
      <c r="B101">
        <v>125</v>
      </c>
      <c r="C101">
        <v>1200</v>
      </c>
      <c r="D101" s="7">
        <v>757</v>
      </c>
      <c r="E101" s="7">
        <v>451.8</v>
      </c>
      <c r="F101" s="7">
        <v>14.19</v>
      </c>
      <c r="G101" s="7">
        <v>14</v>
      </c>
      <c r="H101" s="7"/>
      <c r="I101" s="7"/>
      <c r="J101" s="7"/>
      <c r="K101" s="7">
        <v>3.1520000000000001</v>
      </c>
      <c r="L101" s="7">
        <v>176.1</v>
      </c>
      <c r="M101" s="7">
        <v>0</v>
      </c>
      <c r="N101" s="7"/>
      <c r="O101">
        <v>934</v>
      </c>
      <c r="P101">
        <v>217.2</v>
      </c>
      <c r="Q101">
        <v>10.48</v>
      </c>
      <c r="S101">
        <v>9.58</v>
      </c>
      <c r="T101">
        <v>0</v>
      </c>
      <c r="U101">
        <v>102.1</v>
      </c>
      <c r="V101">
        <v>856</v>
      </c>
      <c r="W101">
        <v>36.46</v>
      </c>
      <c r="Y101">
        <v>14.21</v>
      </c>
    </row>
    <row r="102" spans="1:29" x14ac:dyDescent="0.25">
      <c r="A102">
        <v>2006</v>
      </c>
      <c r="B102">
        <v>125</v>
      </c>
      <c r="C102">
        <v>1300</v>
      </c>
      <c r="D102" s="7">
        <v>802</v>
      </c>
      <c r="E102" s="7">
        <v>468</v>
      </c>
      <c r="F102" s="7">
        <v>14.67</v>
      </c>
      <c r="G102" s="7">
        <v>14.45</v>
      </c>
      <c r="H102" s="7"/>
      <c r="I102" s="7"/>
      <c r="J102" s="7"/>
      <c r="K102" s="7">
        <v>3.1429999999999998</v>
      </c>
      <c r="L102" s="7">
        <v>172.6</v>
      </c>
      <c r="M102" s="7">
        <v>0</v>
      </c>
      <c r="N102" s="7"/>
      <c r="O102">
        <v>978</v>
      </c>
      <c r="P102">
        <v>227.2</v>
      </c>
      <c r="Q102">
        <v>10.8</v>
      </c>
      <c r="S102">
        <v>9.76</v>
      </c>
      <c r="T102">
        <v>0</v>
      </c>
      <c r="U102">
        <v>102.3</v>
      </c>
      <c r="V102">
        <v>846</v>
      </c>
      <c r="W102">
        <v>35.840000000000003</v>
      </c>
      <c r="Y102">
        <v>14.22</v>
      </c>
    </row>
    <row r="103" spans="1:29" x14ac:dyDescent="0.25">
      <c r="A103">
        <v>2006</v>
      </c>
      <c r="B103">
        <v>125</v>
      </c>
      <c r="C103">
        <v>1400</v>
      </c>
      <c r="D103" s="7">
        <v>734</v>
      </c>
      <c r="E103" s="7">
        <v>418.7</v>
      </c>
      <c r="F103" s="7">
        <v>14.81</v>
      </c>
      <c r="G103" s="7">
        <v>14.42</v>
      </c>
      <c r="H103" s="7"/>
      <c r="I103" s="7"/>
      <c r="J103" s="7"/>
      <c r="K103" s="7">
        <v>3.133</v>
      </c>
      <c r="L103" s="7">
        <v>149</v>
      </c>
      <c r="M103" s="7">
        <v>0</v>
      </c>
      <c r="N103" s="7"/>
      <c r="O103">
        <v>872</v>
      </c>
      <c r="P103">
        <v>218.9</v>
      </c>
      <c r="Q103">
        <v>11.14</v>
      </c>
      <c r="S103">
        <v>10.01</v>
      </c>
      <c r="T103">
        <v>0</v>
      </c>
      <c r="U103">
        <v>104.1</v>
      </c>
      <c r="V103">
        <v>838</v>
      </c>
      <c r="W103">
        <v>35.36</v>
      </c>
      <c r="Y103">
        <v>14.32</v>
      </c>
    </row>
    <row r="104" spans="1:29" x14ac:dyDescent="0.25">
      <c r="A104">
        <v>2006</v>
      </c>
      <c r="B104">
        <v>125</v>
      </c>
      <c r="C104">
        <v>1500</v>
      </c>
      <c r="D104" s="7">
        <v>706</v>
      </c>
      <c r="E104" s="7">
        <v>412.8</v>
      </c>
      <c r="F104" s="7">
        <v>13.88</v>
      </c>
      <c r="G104" s="7">
        <v>13.59</v>
      </c>
      <c r="H104" s="7"/>
      <c r="I104" s="7"/>
      <c r="J104" s="7"/>
      <c r="K104" s="7">
        <v>3.234</v>
      </c>
      <c r="L104" s="7">
        <v>145.5</v>
      </c>
      <c r="M104" s="7">
        <v>0</v>
      </c>
      <c r="N104" s="7"/>
      <c r="O104">
        <v>855</v>
      </c>
      <c r="P104">
        <v>243.4</v>
      </c>
      <c r="Q104">
        <v>11.42</v>
      </c>
      <c r="S104">
        <v>10.27</v>
      </c>
      <c r="T104">
        <v>0</v>
      </c>
      <c r="U104">
        <v>103.2</v>
      </c>
      <c r="V104">
        <v>831</v>
      </c>
      <c r="W104">
        <v>34.94</v>
      </c>
      <c r="Y104">
        <v>14.29</v>
      </c>
    </row>
    <row r="105" spans="1:29" x14ac:dyDescent="0.25">
      <c r="A105">
        <v>2006</v>
      </c>
      <c r="B105">
        <v>125</v>
      </c>
      <c r="C105">
        <v>1600</v>
      </c>
      <c r="D105" s="7">
        <v>524.79999999999995</v>
      </c>
      <c r="E105" s="7">
        <v>293.8</v>
      </c>
      <c r="F105" s="7">
        <v>14.04</v>
      </c>
      <c r="G105" s="7">
        <v>13.75</v>
      </c>
      <c r="H105" s="7"/>
      <c r="I105" s="7"/>
      <c r="J105" s="7"/>
      <c r="K105" s="7">
        <v>3.093</v>
      </c>
      <c r="L105" s="7">
        <v>164.4</v>
      </c>
      <c r="M105" s="7">
        <v>0</v>
      </c>
      <c r="N105" s="7"/>
      <c r="O105">
        <v>637.29999999999995</v>
      </c>
      <c r="P105">
        <v>215.5</v>
      </c>
      <c r="Q105">
        <v>11.65</v>
      </c>
      <c r="S105">
        <v>10.57</v>
      </c>
      <c r="T105">
        <v>0</v>
      </c>
      <c r="U105">
        <v>103.2</v>
      </c>
      <c r="V105">
        <v>826</v>
      </c>
      <c r="W105">
        <v>34.659999999999997</v>
      </c>
      <c r="Y105">
        <v>14.22</v>
      </c>
    </row>
    <row r="106" spans="1:29" x14ac:dyDescent="0.25">
      <c r="A106">
        <v>2006</v>
      </c>
      <c r="B106">
        <v>125</v>
      </c>
      <c r="C106">
        <v>1700</v>
      </c>
      <c r="D106" s="7">
        <v>371.7</v>
      </c>
      <c r="E106" s="7">
        <v>195.1</v>
      </c>
      <c r="F106" s="7">
        <v>13.52</v>
      </c>
      <c r="G106" s="7">
        <v>13.26</v>
      </c>
      <c r="H106" s="7"/>
      <c r="I106" s="7"/>
      <c r="J106" s="7"/>
      <c r="K106" s="7">
        <v>3.0529999999999999</v>
      </c>
      <c r="L106" s="7">
        <v>158.19999999999999</v>
      </c>
      <c r="M106" s="7">
        <v>0</v>
      </c>
      <c r="N106" s="7"/>
      <c r="O106">
        <v>447.5</v>
      </c>
      <c r="P106">
        <v>156.6</v>
      </c>
      <c r="Q106">
        <v>11.77</v>
      </c>
      <c r="S106">
        <v>10.82</v>
      </c>
      <c r="T106">
        <v>0</v>
      </c>
      <c r="U106">
        <v>102.9</v>
      </c>
      <c r="V106">
        <v>821</v>
      </c>
      <c r="W106">
        <v>34.369999999999997</v>
      </c>
      <c r="Y106">
        <v>14.02</v>
      </c>
    </row>
    <row r="107" spans="1:29" x14ac:dyDescent="0.25">
      <c r="A107">
        <v>2006</v>
      </c>
      <c r="B107">
        <v>125</v>
      </c>
      <c r="C107">
        <v>1800</v>
      </c>
      <c r="D107" s="7">
        <v>181.4</v>
      </c>
      <c r="E107" s="7">
        <v>80.2</v>
      </c>
      <c r="F107" s="7">
        <v>12.27</v>
      </c>
      <c r="G107" s="7">
        <v>12.16</v>
      </c>
      <c r="H107" s="7"/>
      <c r="I107" s="7"/>
      <c r="J107" s="7"/>
      <c r="K107" s="7">
        <v>2.722</v>
      </c>
      <c r="L107" s="7">
        <v>154.5</v>
      </c>
      <c r="M107" s="7">
        <v>0</v>
      </c>
      <c r="N107" s="7"/>
      <c r="O107">
        <v>220.4</v>
      </c>
      <c r="P107">
        <v>88.6</v>
      </c>
      <c r="Q107">
        <v>11.83</v>
      </c>
      <c r="S107">
        <v>10.99</v>
      </c>
      <c r="T107">
        <v>0</v>
      </c>
      <c r="U107">
        <v>101.2</v>
      </c>
      <c r="V107">
        <v>817</v>
      </c>
      <c r="W107">
        <v>34.17</v>
      </c>
      <c r="Y107">
        <v>13.73</v>
      </c>
    </row>
    <row r="108" spans="1:29" x14ac:dyDescent="0.25">
      <c r="A108">
        <v>2006</v>
      </c>
      <c r="B108">
        <v>125</v>
      </c>
      <c r="C108">
        <v>1900</v>
      </c>
      <c r="D108" s="7">
        <v>129.80000000000001</v>
      </c>
      <c r="E108" s="7">
        <v>43.04</v>
      </c>
      <c r="F108" s="7">
        <v>12.06</v>
      </c>
      <c r="G108" s="7">
        <v>11.79</v>
      </c>
      <c r="H108" s="7"/>
      <c r="I108" s="7"/>
      <c r="J108" s="7"/>
      <c r="K108" s="7">
        <v>2.4220000000000002</v>
      </c>
      <c r="L108" s="7">
        <v>150.1</v>
      </c>
      <c r="M108" s="7">
        <v>0</v>
      </c>
      <c r="N108" s="7"/>
      <c r="O108">
        <v>155.19999999999999</v>
      </c>
      <c r="P108">
        <v>96.6</v>
      </c>
      <c r="Q108">
        <v>11.86</v>
      </c>
      <c r="S108">
        <v>11.14</v>
      </c>
      <c r="T108">
        <v>0</v>
      </c>
      <c r="U108">
        <v>103.1</v>
      </c>
      <c r="V108">
        <v>815</v>
      </c>
      <c r="W108">
        <v>34.06</v>
      </c>
      <c r="Y108">
        <v>13.61</v>
      </c>
    </row>
    <row r="109" spans="1:29" x14ac:dyDescent="0.25">
      <c r="A109">
        <v>2006</v>
      </c>
      <c r="B109">
        <v>125</v>
      </c>
      <c r="C109">
        <v>2000</v>
      </c>
      <c r="D109" s="7">
        <v>24.35</v>
      </c>
      <c r="E109" s="7">
        <v>-43.18</v>
      </c>
      <c r="F109" s="7">
        <v>10.84</v>
      </c>
      <c r="G109" s="7">
        <v>10.72</v>
      </c>
      <c r="H109" s="7"/>
      <c r="I109" s="7"/>
      <c r="J109" s="7"/>
      <c r="K109" s="7">
        <v>2.08</v>
      </c>
      <c r="L109" s="7">
        <v>143</v>
      </c>
      <c r="M109" s="7">
        <v>0</v>
      </c>
      <c r="N109" s="7"/>
      <c r="O109">
        <v>19.96</v>
      </c>
      <c r="P109">
        <v>12.49</v>
      </c>
      <c r="Q109">
        <v>11.8</v>
      </c>
      <c r="S109">
        <v>11.2</v>
      </c>
      <c r="T109">
        <v>0</v>
      </c>
      <c r="U109">
        <v>101.4</v>
      </c>
      <c r="V109">
        <v>814</v>
      </c>
      <c r="W109">
        <v>34.020000000000003</v>
      </c>
      <c r="Y109">
        <v>13.48</v>
      </c>
    </row>
    <row r="110" spans="1:29" x14ac:dyDescent="0.25">
      <c r="A110">
        <v>2006</v>
      </c>
      <c r="B110">
        <v>125</v>
      </c>
      <c r="C110">
        <v>2100</v>
      </c>
      <c r="D110" s="7">
        <v>-2.0590000000000002</v>
      </c>
      <c r="E110" s="7">
        <v>-62.55</v>
      </c>
      <c r="F110" s="7">
        <v>9.91</v>
      </c>
      <c r="G110" s="7">
        <v>9.94</v>
      </c>
      <c r="H110" s="7"/>
      <c r="I110" s="7"/>
      <c r="J110" s="7"/>
      <c r="K110" s="7">
        <v>1.7789999999999999</v>
      </c>
      <c r="L110" s="7">
        <v>137.69999999999999</v>
      </c>
      <c r="M110" s="7">
        <v>0</v>
      </c>
      <c r="N110" s="7"/>
      <c r="O110">
        <v>-10</v>
      </c>
      <c r="P110">
        <v>-10.23</v>
      </c>
      <c r="Q110">
        <v>11.73</v>
      </c>
      <c r="S110">
        <v>11.25</v>
      </c>
      <c r="T110">
        <v>0</v>
      </c>
      <c r="U110">
        <v>99.7</v>
      </c>
      <c r="V110">
        <v>814</v>
      </c>
      <c r="W110">
        <v>34.01</v>
      </c>
      <c r="Y110">
        <v>13.39</v>
      </c>
    </row>
    <row r="111" spans="1:29" x14ac:dyDescent="0.25">
      <c r="A111">
        <v>2006</v>
      </c>
      <c r="B111">
        <v>125</v>
      </c>
      <c r="C111">
        <v>2200</v>
      </c>
      <c r="D111" s="7">
        <v>-3.1840000000000002</v>
      </c>
      <c r="E111" s="7">
        <v>-60.8</v>
      </c>
      <c r="F111" s="7">
        <v>9.26</v>
      </c>
      <c r="G111" s="7">
        <v>9.1999999999999993</v>
      </c>
      <c r="H111" s="7"/>
      <c r="I111" s="7"/>
      <c r="J111" s="7"/>
      <c r="K111" s="7">
        <v>1.7430000000000001</v>
      </c>
      <c r="L111" s="7">
        <v>126.3</v>
      </c>
      <c r="M111" s="7">
        <v>0</v>
      </c>
      <c r="N111" s="7"/>
      <c r="O111">
        <v>-11.5</v>
      </c>
      <c r="P111">
        <v>-10.84</v>
      </c>
      <c r="Q111">
        <v>11.6</v>
      </c>
      <c r="S111">
        <v>11.21</v>
      </c>
      <c r="T111">
        <v>0</v>
      </c>
      <c r="U111">
        <v>100.7</v>
      </c>
      <c r="V111">
        <v>814</v>
      </c>
      <c r="W111">
        <v>34.01</v>
      </c>
      <c r="Y111">
        <v>13.31</v>
      </c>
    </row>
    <row r="112" spans="1:29" x14ac:dyDescent="0.25">
      <c r="A112">
        <v>2006</v>
      </c>
      <c r="B112">
        <v>125</v>
      </c>
      <c r="C112">
        <v>2300</v>
      </c>
      <c r="D112" s="7">
        <v>-3.0880000000000001</v>
      </c>
      <c r="E112" s="7">
        <v>-54.63</v>
      </c>
      <c r="F112" s="7">
        <v>9.2200000000000006</v>
      </c>
      <c r="G112" s="7">
        <v>9.43</v>
      </c>
      <c r="H112" s="7"/>
      <c r="I112" s="7"/>
      <c r="J112" s="7"/>
      <c r="K112" s="7">
        <v>2.214</v>
      </c>
      <c r="L112" s="7">
        <v>139.6</v>
      </c>
      <c r="M112" s="7">
        <v>0</v>
      </c>
      <c r="N112" s="7"/>
      <c r="O112">
        <v>-11.5</v>
      </c>
      <c r="P112">
        <v>-10.84</v>
      </c>
      <c r="Q112">
        <v>11.51</v>
      </c>
      <c r="S112">
        <v>11.18</v>
      </c>
      <c r="T112">
        <v>0</v>
      </c>
      <c r="U112">
        <v>97.4</v>
      </c>
      <c r="V112">
        <v>816</v>
      </c>
      <c r="W112">
        <v>34.090000000000003</v>
      </c>
      <c r="Y112">
        <v>13.24</v>
      </c>
    </row>
    <row r="113" spans="1:25" x14ac:dyDescent="0.25">
      <c r="A113">
        <v>2006</v>
      </c>
      <c r="B113">
        <v>125</v>
      </c>
      <c r="C113">
        <v>2400</v>
      </c>
      <c r="D113" s="7">
        <v>-2.7709999999999999</v>
      </c>
      <c r="E113" s="7">
        <v>-44.82</v>
      </c>
      <c r="F113" s="7">
        <v>9.67</v>
      </c>
      <c r="G113" s="7">
        <v>10</v>
      </c>
      <c r="H113" s="7"/>
      <c r="I113" s="7"/>
      <c r="J113" s="7"/>
      <c r="K113" s="7">
        <v>1.841</v>
      </c>
      <c r="L113" s="7">
        <v>159.1</v>
      </c>
      <c r="M113" s="7">
        <v>0</v>
      </c>
      <c r="N113" s="7"/>
      <c r="O113">
        <v>-11.5</v>
      </c>
      <c r="P113">
        <v>-10.84</v>
      </c>
      <c r="Q113">
        <v>11.36</v>
      </c>
      <c r="S113">
        <v>11.1</v>
      </c>
      <c r="T113">
        <v>0</v>
      </c>
      <c r="U113">
        <v>96</v>
      </c>
      <c r="V113">
        <v>824</v>
      </c>
      <c r="W113">
        <v>34.58</v>
      </c>
      <c r="Y113">
        <v>13.18</v>
      </c>
    </row>
    <row r="114" spans="1:25" x14ac:dyDescent="0.25">
      <c r="A114">
        <v>2006</v>
      </c>
      <c r="B114">
        <v>126</v>
      </c>
      <c r="C114">
        <v>100</v>
      </c>
      <c r="D114" s="7">
        <v>-2.2999999999999998</v>
      </c>
      <c r="E114" s="7">
        <v>-45.44</v>
      </c>
      <c r="F114" s="7">
        <v>9.66</v>
      </c>
      <c r="G114" s="7">
        <v>9.67</v>
      </c>
      <c r="H114" s="7"/>
      <c r="I114" s="7"/>
      <c r="J114" s="7"/>
      <c r="K114" s="7">
        <v>2.694</v>
      </c>
      <c r="L114" s="7">
        <v>136.69999999999999</v>
      </c>
      <c r="M114" s="7">
        <v>0</v>
      </c>
      <c r="N114" s="7"/>
      <c r="O114">
        <v>-11.5</v>
      </c>
      <c r="P114">
        <v>-10.84</v>
      </c>
      <c r="Q114">
        <v>11.24</v>
      </c>
      <c r="S114">
        <v>11</v>
      </c>
      <c r="T114">
        <v>0</v>
      </c>
      <c r="U114">
        <v>99.9</v>
      </c>
      <c r="V114">
        <v>819</v>
      </c>
      <c r="W114">
        <v>34.26</v>
      </c>
      <c r="Y114">
        <v>13.12</v>
      </c>
    </row>
    <row r="115" spans="1:25" x14ac:dyDescent="0.25">
      <c r="A115">
        <v>2006</v>
      </c>
      <c r="B115">
        <v>126</v>
      </c>
      <c r="C115">
        <v>200</v>
      </c>
      <c r="D115" s="7">
        <v>-2.552</v>
      </c>
      <c r="E115" s="7">
        <v>-51.15</v>
      </c>
      <c r="F115" s="7">
        <v>9.09</v>
      </c>
      <c r="G115" s="7">
        <v>8.98</v>
      </c>
      <c r="H115" s="7"/>
      <c r="I115" s="7"/>
      <c r="J115" s="7"/>
      <c r="K115" s="7">
        <v>2.5179999999999998</v>
      </c>
      <c r="L115" s="7">
        <v>130.5</v>
      </c>
      <c r="M115" s="7">
        <v>0</v>
      </c>
      <c r="N115" s="7"/>
      <c r="O115">
        <v>-11.5</v>
      </c>
      <c r="P115">
        <v>-10.84</v>
      </c>
      <c r="Q115">
        <v>11.11</v>
      </c>
      <c r="S115">
        <v>10.87</v>
      </c>
      <c r="T115">
        <v>0</v>
      </c>
      <c r="U115">
        <v>101.5</v>
      </c>
      <c r="V115">
        <v>821</v>
      </c>
      <c r="W115">
        <v>34.36</v>
      </c>
      <c r="Y115">
        <v>13.06</v>
      </c>
    </row>
    <row r="116" spans="1:25" x14ac:dyDescent="0.25">
      <c r="A116">
        <v>2006</v>
      </c>
      <c r="B116">
        <v>126</v>
      </c>
      <c r="C116">
        <v>300</v>
      </c>
      <c r="D116" s="7">
        <v>-2.8570000000000002</v>
      </c>
      <c r="E116" s="7">
        <v>-52.9</v>
      </c>
      <c r="F116" s="7">
        <v>8.68</v>
      </c>
      <c r="G116" s="7">
        <v>8.74</v>
      </c>
      <c r="H116" s="7"/>
      <c r="I116" s="7"/>
      <c r="J116" s="7"/>
      <c r="K116" s="7">
        <v>2.8250000000000002</v>
      </c>
      <c r="L116" s="7">
        <v>124.7</v>
      </c>
      <c r="M116" s="7">
        <v>0</v>
      </c>
      <c r="N116" s="7"/>
      <c r="O116">
        <v>-11.5</v>
      </c>
      <c r="P116">
        <v>-10.84</v>
      </c>
      <c r="Q116">
        <v>10.98</v>
      </c>
      <c r="S116">
        <v>10.74</v>
      </c>
      <c r="T116">
        <v>0</v>
      </c>
      <c r="U116">
        <v>99.3</v>
      </c>
      <c r="V116">
        <v>817</v>
      </c>
      <c r="W116">
        <v>34.14</v>
      </c>
      <c r="Y116">
        <v>13.01</v>
      </c>
    </row>
    <row r="117" spans="1:25" x14ac:dyDescent="0.25">
      <c r="A117">
        <v>2006</v>
      </c>
      <c r="B117">
        <v>126</v>
      </c>
      <c r="C117">
        <v>400</v>
      </c>
      <c r="D117" s="7">
        <v>-2.8639999999999999</v>
      </c>
      <c r="E117" s="7">
        <v>-49.97</v>
      </c>
      <c r="F117" s="7">
        <v>8.41</v>
      </c>
      <c r="G117" s="7">
        <v>8.5299999999999994</v>
      </c>
      <c r="H117" s="7"/>
      <c r="I117" s="7"/>
      <c r="J117" s="7"/>
      <c r="K117" s="7">
        <v>2.4609999999999999</v>
      </c>
      <c r="L117" s="7">
        <v>117.1</v>
      </c>
      <c r="M117" s="7">
        <v>0</v>
      </c>
      <c r="N117" s="7"/>
      <c r="O117">
        <v>-11.5</v>
      </c>
      <c r="P117">
        <v>-10.84</v>
      </c>
      <c r="Q117">
        <v>10.84</v>
      </c>
      <c r="S117">
        <v>10.62</v>
      </c>
      <c r="T117">
        <v>0</v>
      </c>
      <c r="U117">
        <v>98.5</v>
      </c>
      <c r="V117">
        <v>815</v>
      </c>
      <c r="W117">
        <v>34.07</v>
      </c>
      <c r="Y117">
        <v>12.97</v>
      </c>
    </row>
    <row r="118" spans="1:25" x14ac:dyDescent="0.25">
      <c r="A118">
        <v>2006</v>
      </c>
      <c r="B118">
        <v>126</v>
      </c>
      <c r="C118">
        <v>500</v>
      </c>
      <c r="D118" s="7">
        <v>0.34499999999999997</v>
      </c>
      <c r="E118" s="7">
        <v>-47</v>
      </c>
      <c r="F118" s="7">
        <v>7.96</v>
      </c>
      <c r="G118" s="7">
        <v>8.32</v>
      </c>
      <c r="H118" s="7"/>
      <c r="I118" s="7"/>
      <c r="J118" s="7"/>
      <c r="K118" s="7">
        <v>1.8340000000000001</v>
      </c>
      <c r="L118" s="7">
        <v>118.2</v>
      </c>
      <c r="M118" s="7">
        <v>0</v>
      </c>
      <c r="N118" s="7"/>
      <c r="O118">
        <v>-6.9320000000000004</v>
      </c>
      <c r="P118">
        <v>-9.19</v>
      </c>
      <c r="Q118">
        <v>10.73</v>
      </c>
      <c r="S118">
        <v>10.52</v>
      </c>
      <c r="T118">
        <v>0</v>
      </c>
      <c r="U118">
        <v>95.4</v>
      </c>
      <c r="V118">
        <v>815</v>
      </c>
      <c r="W118">
        <v>34.08</v>
      </c>
      <c r="Y118">
        <v>12.95</v>
      </c>
    </row>
    <row r="119" spans="1:25" x14ac:dyDescent="0.25">
      <c r="A119">
        <v>2006</v>
      </c>
      <c r="B119">
        <v>126</v>
      </c>
      <c r="C119">
        <v>600</v>
      </c>
      <c r="D119" s="7">
        <v>36.68</v>
      </c>
      <c r="E119" s="7">
        <v>-13.66</v>
      </c>
      <c r="F119" s="7">
        <v>8</v>
      </c>
      <c r="G119" s="7">
        <v>8.39</v>
      </c>
      <c r="H119" s="7"/>
      <c r="I119" s="7"/>
      <c r="J119" s="7"/>
      <c r="K119" s="7">
        <v>1.4490000000000001</v>
      </c>
      <c r="L119" s="7">
        <v>100.6</v>
      </c>
      <c r="M119" s="7">
        <v>0</v>
      </c>
      <c r="N119" s="7"/>
      <c r="O119">
        <v>38.86</v>
      </c>
      <c r="P119">
        <v>9.36</v>
      </c>
      <c r="Q119">
        <v>10.66</v>
      </c>
      <c r="S119">
        <v>10.45</v>
      </c>
      <c r="T119">
        <v>0</v>
      </c>
      <c r="U119">
        <v>95</v>
      </c>
      <c r="V119">
        <v>814</v>
      </c>
      <c r="W119">
        <v>33.99</v>
      </c>
      <c r="Y119">
        <v>12.98</v>
      </c>
    </row>
    <row r="120" spans="1:25" x14ac:dyDescent="0.25">
      <c r="A120">
        <v>2006</v>
      </c>
      <c r="B120">
        <v>126</v>
      </c>
      <c r="C120">
        <v>700</v>
      </c>
      <c r="D120" s="7">
        <v>155</v>
      </c>
      <c r="E120" s="7">
        <v>86</v>
      </c>
      <c r="F120" s="7">
        <v>9.17</v>
      </c>
      <c r="G120" s="7">
        <v>9.3800000000000008</v>
      </c>
      <c r="H120" s="7"/>
      <c r="I120" s="7"/>
      <c r="J120" s="7"/>
      <c r="K120" s="7">
        <v>1.994</v>
      </c>
      <c r="L120" s="7">
        <v>106.2</v>
      </c>
      <c r="M120" s="7">
        <v>0</v>
      </c>
      <c r="N120" s="7"/>
      <c r="O120">
        <v>209.5</v>
      </c>
      <c r="P120">
        <v>76.5</v>
      </c>
      <c r="Q120">
        <v>10.55</v>
      </c>
      <c r="S120">
        <v>10.37</v>
      </c>
      <c r="T120">
        <v>0</v>
      </c>
      <c r="U120">
        <v>97.5</v>
      </c>
      <c r="V120">
        <v>813</v>
      </c>
      <c r="W120">
        <v>33.96</v>
      </c>
      <c r="Y120">
        <v>13.61</v>
      </c>
    </row>
    <row r="121" spans="1:25" x14ac:dyDescent="0.25">
      <c r="A121">
        <v>2006</v>
      </c>
      <c r="B121">
        <v>126</v>
      </c>
      <c r="C121">
        <v>800</v>
      </c>
      <c r="D121" s="7">
        <v>256.2</v>
      </c>
      <c r="E121" s="7">
        <v>161.5</v>
      </c>
      <c r="F121" s="7">
        <v>10.66</v>
      </c>
      <c r="G121" s="7">
        <v>10.81</v>
      </c>
      <c r="H121" s="7"/>
      <c r="I121" s="7"/>
      <c r="J121" s="7"/>
      <c r="K121" s="7">
        <v>2.4529999999999998</v>
      </c>
      <c r="L121" s="7">
        <v>116.1</v>
      </c>
      <c r="M121" s="7">
        <v>0</v>
      </c>
      <c r="N121" s="7"/>
      <c r="O121">
        <v>333.8</v>
      </c>
      <c r="P121">
        <v>108.1</v>
      </c>
      <c r="Q121">
        <v>10.54</v>
      </c>
      <c r="S121">
        <v>10.3</v>
      </c>
      <c r="T121">
        <v>0</v>
      </c>
      <c r="U121">
        <v>98.2</v>
      </c>
      <c r="V121">
        <v>813</v>
      </c>
      <c r="W121">
        <v>33.94</v>
      </c>
      <c r="Y121">
        <v>14.07</v>
      </c>
    </row>
    <row r="122" spans="1:25" x14ac:dyDescent="0.25">
      <c r="A122">
        <v>2006</v>
      </c>
      <c r="B122">
        <v>126</v>
      </c>
      <c r="C122">
        <v>900</v>
      </c>
      <c r="D122" s="7">
        <v>396</v>
      </c>
      <c r="E122" s="7">
        <v>258.39999999999998</v>
      </c>
      <c r="F122" s="7">
        <v>11.8</v>
      </c>
      <c r="G122" s="7">
        <v>11.86</v>
      </c>
      <c r="H122" s="7">
        <f>AVERAGE(G122:G145)</f>
        <v>10.364000000000001</v>
      </c>
      <c r="I122" s="7">
        <f>MIN(G122:G145)</f>
        <v>5.8849999999999998</v>
      </c>
      <c r="J122" s="7">
        <f>MAX(G122:G145)</f>
        <v>14.99</v>
      </c>
      <c r="K122" s="7">
        <v>2.6429999999999998</v>
      </c>
      <c r="L122" s="7">
        <v>123.6</v>
      </c>
      <c r="M122" s="7">
        <v>0</v>
      </c>
      <c r="N122" s="7">
        <f>SUM(M122:M145)</f>
        <v>0</v>
      </c>
      <c r="O122">
        <v>512.29999999999995</v>
      </c>
      <c r="P122">
        <v>159.69999999999999</v>
      </c>
      <c r="Q122">
        <v>10.59</v>
      </c>
      <c r="R122">
        <f>AVERAGE(Q122:Q145)</f>
        <v>11.244999999999997</v>
      </c>
      <c r="S122">
        <v>10.28</v>
      </c>
      <c r="T122">
        <v>0</v>
      </c>
      <c r="U122">
        <v>99.3</v>
      </c>
      <c r="V122">
        <v>812</v>
      </c>
      <c r="W122">
        <v>33.880000000000003</v>
      </c>
      <c r="X122">
        <f>AVERAGE(W122:W145)</f>
        <v>33.194166666666661</v>
      </c>
      <c r="Y122">
        <v>14.39</v>
      </c>
    </row>
    <row r="123" spans="1:25" x14ac:dyDescent="0.25">
      <c r="A123">
        <v>2006</v>
      </c>
      <c r="B123">
        <v>126</v>
      </c>
      <c r="C123">
        <v>1000</v>
      </c>
      <c r="D123" s="7">
        <v>613.9</v>
      </c>
      <c r="E123" s="7">
        <v>382.9</v>
      </c>
      <c r="F123" s="7">
        <v>12.78</v>
      </c>
      <c r="G123" s="7">
        <v>12.58</v>
      </c>
      <c r="H123" s="7"/>
      <c r="I123" s="7"/>
      <c r="J123" s="7"/>
      <c r="K123" s="7">
        <v>3.3559999999999999</v>
      </c>
      <c r="L123" s="7">
        <v>126.8</v>
      </c>
      <c r="M123" s="7">
        <v>0</v>
      </c>
      <c r="N123" s="7"/>
      <c r="O123">
        <v>783</v>
      </c>
      <c r="P123">
        <v>230</v>
      </c>
      <c r="Q123">
        <v>10.71</v>
      </c>
      <c r="S123">
        <v>10.220000000000001</v>
      </c>
      <c r="T123">
        <v>0</v>
      </c>
      <c r="U123">
        <v>102.2</v>
      </c>
      <c r="V123">
        <v>810</v>
      </c>
      <c r="W123">
        <v>33.78</v>
      </c>
      <c r="Y123">
        <v>14.76</v>
      </c>
    </row>
    <row r="124" spans="1:25" x14ac:dyDescent="0.25">
      <c r="A124">
        <v>2006</v>
      </c>
      <c r="B124">
        <v>126</v>
      </c>
      <c r="C124">
        <v>1100</v>
      </c>
      <c r="D124" s="7">
        <v>710</v>
      </c>
      <c r="E124" s="7">
        <v>436.5</v>
      </c>
      <c r="F124" s="7">
        <v>13.91</v>
      </c>
      <c r="G124" s="7">
        <v>13.69</v>
      </c>
      <c r="H124" s="7"/>
      <c r="I124" s="7"/>
      <c r="J124" s="7"/>
      <c r="K124" s="7">
        <v>3.5110000000000001</v>
      </c>
      <c r="L124" s="7">
        <v>129.69999999999999</v>
      </c>
      <c r="M124" s="7">
        <v>0</v>
      </c>
      <c r="N124" s="7"/>
      <c r="O124">
        <v>893</v>
      </c>
      <c r="P124">
        <v>239.3</v>
      </c>
      <c r="Q124">
        <v>10.91</v>
      </c>
      <c r="S124">
        <v>10.24</v>
      </c>
      <c r="T124">
        <v>0</v>
      </c>
      <c r="U124">
        <v>102.4</v>
      </c>
      <c r="V124">
        <v>808</v>
      </c>
      <c r="W124">
        <v>33.659999999999997</v>
      </c>
      <c r="Y124">
        <v>14.51</v>
      </c>
    </row>
    <row r="125" spans="1:25" x14ac:dyDescent="0.25">
      <c r="A125">
        <v>2006</v>
      </c>
      <c r="B125">
        <v>126</v>
      </c>
      <c r="C125">
        <v>1200</v>
      </c>
      <c r="D125" s="7">
        <v>682.7</v>
      </c>
      <c r="E125" s="7">
        <v>399.5</v>
      </c>
      <c r="F125" s="7">
        <v>14.08</v>
      </c>
      <c r="G125" s="7">
        <v>13.91</v>
      </c>
      <c r="H125" s="7"/>
      <c r="I125" s="7"/>
      <c r="J125" s="7"/>
      <c r="K125" s="7">
        <v>3.8769999999999998</v>
      </c>
      <c r="L125" s="7">
        <v>123</v>
      </c>
      <c r="M125" s="7">
        <v>0</v>
      </c>
      <c r="N125" s="7"/>
      <c r="O125">
        <v>842</v>
      </c>
      <c r="P125">
        <v>201.2</v>
      </c>
      <c r="Q125">
        <v>11.14</v>
      </c>
      <c r="S125">
        <v>10.29</v>
      </c>
      <c r="T125">
        <v>0</v>
      </c>
      <c r="U125">
        <v>101.9</v>
      </c>
      <c r="V125">
        <v>805</v>
      </c>
      <c r="W125">
        <v>33.520000000000003</v>
      </c>
      <c r="Y125">
        <v>14.2</v>
      </c>
    </row>
    <row r="126" spans="1:25" x14ac:dyDescent="0.25">
      <c r="A126">
        <v>2006</v>
      </c>
      <c r="B126">
        <v>126</v>
      </c>
      <c r="C126">
        <v>1300</v>
      </c>
      <c r="D126" s="7">
        <v>811</v>
      </c>
      <c r="E126" s="7">
        <v>467.7</v>
      </c>
      <c r="F126" s="7">
        <v>14.51</v>
      </c>
      <c r="G126" s="7">
        <v>14.4</v>
      </c>
      <c r="H126" s="7"/>
      <c r="I126" s="7"/>
      <c r="J126" s="7"/>
      <c r="K126" s="7">
        <v>4.1719999999999997</v>
      </c>
      <c r="L126" s="7">
        <v>133.4</v>
      </c>
      <c r="M126" s="7">
        <v>0</v>
      </c>
      <c r="N126" s="7"/>
      <c r="O126">
        <v>989</v>
      </c>
      <c r="P126">
        <v>228.6</v>
      </c>
      <c r="Q126">
        <v>11.41</v>
      </c>
      <c r="S126">
        <v>10.44</v>
      </c>
      <c r="T126">
        <v>0</v>
      </c>
      <c r="U126">
        <v>101.2</v>
      </c>
      <c r="V126">
        <v>802</v>
      </c>
      <c r="W126">
        <v>33.340000000000003</v>
      </c>
      <c r="Y126">
        <v>14.22</v>
      </c>
    </row>
    <row r="127" spans="1:25" x14ac:dyDescent="0.25">
      <c r="A127">
        <v>2006</v>
      </c>
      <c r="B127">
        <v>126</v>
      </c>
      <c r="C127">
        <v>1400</v>
      </c>
      <c r="D127" s="7">
        <v>719</v>
      </c>
      <c r="E127" s="7">
        <v>413.4</v>
      </c>
      <c r="F127" s="7">
        <v>15.17</v>
      </c>
      <c r="G127" s="7">
        <v>14.99</v>
      </c>
      <c r="H127" s="7"/>
      <c r="I127" s="7"/>
      <c r="J127" s="7"/>
      <c r="K127" s="7">
        <v>4.2</v>
      </c>
      <c r="L127" s="7">
        <v>129.80000000000001</v>
      </c>
      <c r="M127" s="7">
        <v>0</v>
      </c>
      <c r="N127" s="7"/>
      <c r="O127">
        <v>849</v>
      </c>
      <c r="P127">
        <v>218.4</v>
      </c>
      <c r="Q127">
        <v>11.66</v>
      </c>
      <c r="S127">
        <v>10.64</v>
      </c>
      <c r="T127">
        <v>0</v>
      </c>
      <c r="U127">
        <v>101.8</v>
      </c>
      <c r="V127">
        <v>799</v>
      </c>
      <c r="W127">
        <v>33.200000000000003</v>
      </c>
      <c r="Y127">
        <v>14.37</v>
      </c>
    </row>
    <row r="128" spans="1:25" x14ac:dyDescent="0.25">
      <c r="A128">
        <v>2006</v>
      </c>
      <c r="B128">
        <v>126</v>
      </c>
      <c r="C128">
        <v>1500</v>
      </c>
      <c r="D128" s="7">
        <v>320.89999999999998</v>
      </c>
      <c r="E128" s="7">
        <v>162.80000000000001</v>
      </c>
      <c r="F128" s="7">
        <v>14.03</v>
      </c>
      <c r="G128" s="7">
        <v>13.87</v>
      </c>
      <c r="H128" s="7"/>
      <c r="I128" s="7"/>
      <c r="J128" s="7"/>
      <c r="K128" s="7">
        <v>4.1870000000000003</v>
      </c>
      <c r="L128" s="7">
        <v>126.2</v>
      </c>
      <c r="M128" s="7">
        <v>0</v>
      </c>
      <c r="N128" s="7"/>
      <c r="O128">
        <v>390.5</v>
      </c>
      <c r="P128">
        <v>111</v>
      </c>
      <c r="Q128">
        <v>11.84</v>
      </c>
      <c r="S128">
        <v>10.8</v>
      </c>
      <c r="T128">
        <v>0</v>
      </c>
      <c r="U128">
        <v>101.8</v>
      </c>
      <c r="V128">
        <v>798</v>
      </c>
      <c r="W128">
        <v>33.119999999999997</v>
      </c>
      <c r="Y128">
        <v>14.01</v>
      </c>
    </row>
    <row r="129" spans="1:25" x14ac:dyDescent="0.25">
      <c r="A129">
        <v>2006</v>
      </c>
      <c r="B129">
        <v>126</v>
      </c>
      <c r="C129">
        <v>1600</v>
      </c>
      <c r="D129" s="7">
        <v>138</v>
      </c>
      <c r="E129" s="7">
        <v>58.89</v>
      </c>
      <c r="F129" s="7">
        <v>13</v>
      </c>
      <c r="G129" s="7">
        <v>12.93</v>
      </c>
      <c r="H129" s="7"/>
      <c r="I129" s="7"/>
      <c r="J129" s="7"/>
      <c r="K129" s="7">
        <v>3.665</v>
      </c>
      <c r="L129" s="7">
        <v>128.4</v>
      </c>
      <c r="M129" s="7">
        <v>0</v>
      </c>
      <c r="N129" s="7"/>
      <c r="O129">
        <v>172.4</v>
      </c>
      <c r="P129">
        <v>46.77</v>
      </c>
      <c r="Q129">
        <v>11.94</v>
      </c>
      <c r="S129">
        <v>10.99</v>
      </c>
      <c r="T129">
        <v>0</v>
      </c>
      <c r="U129">
        <v>100.8</v>
      </c>
      <c r="V129">
        <v>794</v>
      </c>
      <c r="W129">
        <v>32.96</v>
      </c>
      <c r="Y129">
        <v>13.78</v>
      </c>
    </row>
    <row r="130" spans="1:25" x14ac:dyDescent="0.25">
      <c r="A130">
        <v>2006</v>
      </c>
      <c r="B130">
        <v>126</v>
      </c>
      <c r="C130">
        <v>1700</v>
      </c>
      <c r="D130" s="7">
        <v>192.1</v>
      </c>
      <c r="E130" s="7">
        <v>93.4</v>
      </c>
      <c r="F130" s="7">
        <v>11.47</v>
      </c>
      <c r="G130" s="7">
        <v>11.38</v>
      </c>
      <c r="H130" s="7"/>
      <c r="I130" s="7"/>
      <c r="J130" s="7"/>
      <c r="K130" s="7">
        <v>3.7330000000000001</v>
      </c>
      <c r="L130" s="7">
        <v>127.6</v>
      </c>
      <c r="M130" s="7">
        <v>0</v>
      </c>
      <c r="N130" s="7"/>
      <c r="O130">
        <v>240.3</v>
      </c>
      <c r="P130">
        <v>79.099999999999994</v>
      </c>
      <c r="Q130">
        <v>11.98</v>
      </c>
      <c r="S130">
        <v>11.15</v>
      </c>
      <c r="T130">
        <v>0</v>
      </c>
      <c r="U130">
        <v>101</v>
      </c>
      <c r="V130">
        <v>793</v>
      </c>
      <c r="W130">
        <v>32.89</v>
      </c>
      <c r="Y130">
        <v>13.76</v>
      </c>
    </row>
    <row r="131" spans="1:25" x14ac:dyDescent="0.25">
      <c r="A131">
        <v>2006</v>
      </c>
      <c r="B131">
        <v>126</v>
      </c>
      <c r="C131">
        <v>1800</v>
      </c>
      <c r="D131" s="7">
        <v>121.8</v>
      </c>
      <c r="E131" s="7">
        <v>46.67</v>
      </c>
      <c r="F131" s="7">
        <v>10.94</v>
      </c>
      <c r="G131" s="7">
        <v>10.89</v>
      </c>
      <c r="H131" s="7"/>
      <c r="I131" s="7"/>
      <c r="J131" s="7"/>
      <c r="K131" s="7">
        <v>3.5960000000000001</v>
      </c>
      <c r="L131" s="7">
        <v>124.1</v>
      </c>
      <c r="M131" s="7">
        <v>0</v>
      </c>
      <c r="N131" s="7"/>
      <c r="O131">
        <v>149</v>
      </c>
      <c r="P131">
        <v>40.15</v>
      </c>
      <c r="Q131">
        <v>11.97</v>
      </c>
      <c r="S131">
        <v>11.28</v>
      </c>
      <c r="T131">
        <v>0</v>
      </c>
      <c r="U131">
        <v>100.7</v>
      </c>
      <c r="V131">
        <v>793</v>
      </c>
      <c r="W131">
        <v>32.9</v>
      </c>
      <c r="Y131">
        <v>13.75</v>
      </c>
    </row>
    <row r="132" spans="1:25" x14ac:dyDescent="0.25">
      <c r="A132">
        <v>2006</v>
      </c>
      <c r="B132">
        <v>126</v>
      </c>
      <c r="C132">
        <v>1900</v>
      </c>
      <c r="D132" s="7">
        <v>58.26</v>
      </c>
      <c r="E132" s="7">
        <v>7.37</v>
      </c>
      <c r="F132" s="7">
        <v>10.32</v>
      </c>
      <c r="G132" s="7">
        <v>10.31</v>
      </c>
      <c r="H132" s="7"/>
      <c r="I132" s="7"/>
      <c r="J132" s="7"/>
      <c r="K132" s="7">
        <v>3.593</v>
      </c>
      <c r="L132" s="7">
        <v>117.9</v>
      </c>
      <c r="M132" s="7">
        <v>0</v>
      </c>
      <c r="N132" s="7"/>
      <c r="O132">
        <v>66.540000000000006</v>
      </c>
      <c r="P132">
        <v>13.62</v>
      </c>
      <c r="Q132">
        <v>11.92</v>
      </c>
      <c r="S132">
        <v>11.35</v>
      </c>
      <c r="T132">
        <v>0</v>
      </c>
      <c r="U132">
        <v>100.1</v>
      </c>
      <c r="V132">
        <v>793</v>
      </c>
      <c r="W132">
        <v>32.9</v>
      </c>
      <c r="Y132">
        <v>13.61</v>
      </c>
    </row>
    <row r="133" spans="1:25" x14ac:dyDescent="0.25">
      <c r="A133">
        <v>2006</v>
      </c>
      <c r="B133">
        <v>126</v>
      </c>
      <c r="C133">
        <v>2000</v>
      </c>
      <c r="D133" s="7">
        <v>35.17</v>
      </c>
      <c r="E133" s="7">
        <v>-8.08</v>
      </c>
      <c r="F133" s="7">
        <v>9.91</v>
      </c>
      <c r="G133" s="7">
        <v>10.01</v>
      </c>
      <c r="H133" s="7"/>
      <c r="I133" s="7"/>
      <c r="J133" s="7"/>
      <c r="K133" s="7">
        <v>3.411</v>
      </c>
      <c r="L133" s="7">
        <v>121.7</v>
      </c>
      <c r="M133" s="7">
        <v>0</v>
      </c>
      <c r="N133" s="7"/>
      <c r="O133">
        <v>41.06</v>
      </c>
      <c r="P133">
        <v>29.24</v>
      </c>
      <c r="Q133">
        <v>11.81</v>
      </c>
      <c r="S133">
        <v>11.29</v>
      </c>
      <c r="T133">
        <v>0</v>
      </c>
      <c r="U133">
        <v>98.8</v>
      </c>
      <c r="V133">
        <v>793</v>
      </c>
      <c r="W133">
        <v>32.909999999999997</v>
      </c>
      <c r="Y133">
        <v>13.5</v>
      </c>
    </row>
    <row r="134" spans="1:25" x14ac:dyDescent="0.25">
      <c r="A134">
        <v>2006</v>
      </c>
      <c r="B134">
        <v>126</v>
      </c>
      <c r="C134">
        <v>2100</v>
      </c>
      <c r="D134" s="7">
        <v>-0.26800000000000002</v>
      </c>
      <c r="E134" s="7">
        <v>-53.52</v>
      </c>
      <c r="F134" s="7">
        <v>9.26</v>
      </c>
      <c r="G134" s="7">
        <v>9.32</v>
      </c>
      <c r="H134" s="7"/>
      <c r="I134" s="7"/>
      <c r="J134" s="7"/>
      <c r="K134" s="7">
        <v>3.0950000000000002</v>
      </c>
      <c r="L134" s="7">
        <v>120.6</v>
      </c>
      <c r="M134" s="7">
        <v>0</v>
      </c>
      <c r="N134" s="7"/>
      <c r="O134">
        <v>-8.25</v>
      </c>
      <c r="P134">
        <v>-9.57</v>
      </c>
      <c r="Q134">
        <v>11.72</v>
      </c>
      <c r="S134">
        <v>11.3</v>
      </c>
      <c r="T134">
        <v>0</v>
      </c>
      <c r="U134">
        <v>99.2</v>
      </c>
      <c r="V134">
        <v>793</v>
      </c>
      <c r="W134">
        <v>32.909999999999997</v>
      </c>
      <c r="Y134">
        <v>13.41</v>
      </c>
    </row>
    <row r="135" spans="1:25" x14ac:dyDescent="0.25">
      <c r="A135">
        <v>2006</v>
      </c>
      <c r="B135">
        <v>126</v>
      </c>
      <c r="C135">
        <v>2200</v>
      </c>
      <c r="D135" s="7">
        <v>-3.431</v>
      </c>
      <c r="E135" s="7">
        <v>-60.23</v>
      </c>
      <c r="F135" s="7">
        <v>8.5299999999999994</v>
      </c>
      <c r="G135" s="7">
        <v>8.5399999999999991</v>
      </c>
      <c r="H135" s="7"/>
      <c r="I135" s="7"/>
      <c r="J135" s="7"/>
      <c r="K135" s="7">
        <v>1.415</v>
      </c>
      <c r="L135" s="7">
        <v>125.8</v>
      </c>
      <c r="M135" s="7">
        <v>0</v>
      </c>
      <c r="N135" s="7"/>
      <c r="O135">
        <v>-11.5</v>
      </c>
      <c r="P135">
        <v>-10.84</v>
      </c>
      <c r="Q135">
        <v>11.61</v>
      </c>
      <c r="S135">
        <v>11.25</v>
      </c>
      <c r="T135">
        <v>0</v>
      </c>
      <c r="U135">
        <v>99.9</v>
      </c>
      <c r="V135">
        <v>795</v>
      </c>
      <c r="W135">
        <v>32.99</v>
      </c>
      <c r="Y135">
        <v>13.34</v>
      </c>
    </row>
    <row r="136" spans="1:25" x14ac:dyDescent="0.25">
      <c r="A136">
        <v>2006</v>
      </c>
      <c r="B136">
        <v>126</v>
      </c>
      <c r="C136">
        <v>2300</v>
      </c>
      <c r="D136" s="7">
        <v>-3.5710000000000002</v>
      </c>
      <c r="E136" s="7">
        <v>-59.54</v>
      </c>
      <c r="F136" s="7">
        <v>8.19</v>
      </c>
      <c r="G136" s="7">
        <v>8.4700000000000006</v>
      </c>
      <c r="H136" s="7"/>
      <c r="I136" s="7"/>
      <c r="J136" s="7"/>
      <c r="K136" s="7">
        <v>2.0619999999999998</v>
      </c>
      <c r="L136" s="7">
        <v>133.9</v>
      </c>
      <c r="M136" s="7">
        <v>0</v>
      </c>
      <c r="N136" s="7"/>
      <c r="O136">
        <v>-11.5</v>
      </c>
      <c r="P136">
        <v>-10.84</v>
      </c>
      <c r="Q136">
        <v>11.44</v>
      </c>
      <c r="S136">
        <v>11.14</v>
      </c>
      <c r="T136">
        <v>0</v>
      </c>
      <c r="U136">
        <v>96.5</v>
      </c>
      <c r="V136">
        <v>799</v>
      </c>
      <c r="W136">
        <v>33.19</v>
      </c>
      <c r="Y136">
        <v>13.27</v>
      </c>
    </row>
    <row r="137" spans="1:25" x14ac:dyDescent="0.25">
      <c r="A137">
        <v>2006</v>
      </c>
      <c r="B137">
        <v>126</v>
      </c>
      <c r="C137">
        <v>2400</v>
      </c>
      <c r="D137" s="7">
        <v>-2.9990000000000001</v>
      </c>
      <c r="E137" s="7">
        <v>-57.59</v>
      </c>
      <c r="F137" s="7">
        <v>8.4600000000000009</v>
      </c>
      <c r="G137" s="7">
        <v>8.5399999999999991</v>
      </c>
      <c r="H137" s="7"/>
      <c r="I137" s="7"/>
      <c r="J137" s="7"/>
      <c r="K137" s="7">
        <v>2.2799999999999998</v>
      </c>
      <c r="L137" s="7">
        <v>133.69999999999999</v>
      </c>
      <c r="M137" s="7">
        <v>0</v>
      </c>
      <c r="N137" s="7"/>
      <c r="O137">
        <v>-11.5</v>
      </c>
      <c r="P137">
        <v>-10.84</v>
      </c>
      <c r="Q137">
        <v>11.29</v>
      </c>
      <c r="S137">
        <v>11.04</v>
      </c>
      <c r="T137">
        <v>0</v>
      </c>
      <c r="U137">
        <v>99</v>
      </c>
      <c r="V137">
        <v>813</v>
      </c>
      <c r="W137">
        <v>33.96</v>
      </c>
      <c r="Y137">
        <v>13.2</v>
      </c>
    </row>
    <row r="138" spans="1:25" x14ac:dyDescent="0.25">
      <c r="A138">
        <v>2006</v>
      </c>
      <c r="B138">
        <v>127</v>
      </c>
      <c r="C138">
        <v>100</v>
      </c>
      <c r="D138" s="7">
        <v>-3.35</v>
      </c>
      <c r="E138" s="7">
        <v>-54.42</v>
      </c>
      <c r="F138" s="7">
        <v>7.99</v>
      </c>
      <c r="G138" s="7">
        <v>8.14</v>
      </c>
      <c r="H138" s="7"/>
      <c r="I138" s="7"/>
      <c r="J138" s="7"/>
      <c r="K138" s="7">
        <v>1.383</v>
      </c>
      <c r="L138" s="7">
        <v>158.30000000000001</v>
      </c>
      <c r="M138" s="7">
        <v>0</v>
      </c>
      <c r="N138" s="7"/>
      <c r="O138">
        <v>-11.5</v>
      </c>
      <c r="P138">
        <v>-10.84</v>
      </c>
      <c r="Q138">
        <v>11.13</v>
      </c>
      <c r="S138">
        <v>10.91</v>
      </c>
      <c r="T138">
        <v>0</v>
      </c>
      <c r="U138">
        <v>98</v>
      </c>
      <c r="V138">
        <v>805</v>
      </c>
      <c r="W138">
        <v>33.520000000000003</v>
      </c>
      <c r="Y138">
        <v>13.14</v>
      </c>
    </row>
    <row r="139" spans="1:25" x14ac:dyDescent="0.25">
      <c r="A139">
        <v>2006</v>
      </c>
      <c r="B139">
        <v>127</v>
      </c>
      <c r="C139">
        <v>200</v>
      </c>
      <c r="D139" s="7">
        <v>-3.2639999999999998</v>
      </c>
      <c r="E139" s="7">
        <v>-55.62</v>
      </c>
      <c r="F139" s="7">
        <v>7.88</v>
      </c>
      <c r="G139" s="7">
        <v>7.99</v>
      </c>
      <c r="H139" s="7"/>
      <c r="I139" s="7"/>
      <c r="J139" s="7"/>
      <c r="K139" s="7">
        <v>1.8759999999999999</v>
      </c>
      <c r="L139" s="7">
        <v>139.5</v>
      </c>
      <c r="M139" s="7">
        <v>0</v>
      </c>
      <c r="N139" s="7"/>
      <c r="O139">
        <v>-11.5</v>
      </c>
      <c r="P139">
        <v>-10.84</v>
      </c>
      <c r="Q139">
        <v>11.06</v>
      </c>
      <c r="S139">
        <v>10.86</v>
      </c>
      <c r="T139">
        <v>0</v>
      </c>
      <c r="U139">
        <v>98.7</v>
      </c>
      <c r="V139">
        <v>798</v>
      </c>
      <c r="W139">
        <v>33.15</v>
      </c>
      <c r="Y139">
        <v>13.08</v>
      </c>
    </row>
    <row r="140" spans="1:25" x14ac:dyDescent="0.25">
      <c r="A140">
        <v>2006</v>
      </c>
      <c r="B140">
        <v>127</v>
      </c>
      <c r="C140">
        <v>300</v>
      </c>
      <c r="D140" s="7">
        <v>-3.21</v>
      </c>
      <c r="E140" s="7">
        <v>-53.15</v>
      </c>
      <c r="F140" s="7">
        <v>7.8</v>
      </c>
      <c r="G140" s="7">
        <v>7.86</v>
      </c>
      <c r="H140" s="7"/>
      <c r="I140" s="7"/>
      <c r="J140" s="7"/>
      <c r="K140" s="7">
        <v>1.4339999999999999</v>
      </c>
      <c r="L140" s="7">
        <v>153.19999999999999</v>
      </c>
      <c r="M140" s="7">
        <v>0</v>
      </c>
      <c r="N140" s="7"/>
      <c r="O140">
        <v>-11.5</v>
      </c>
      <c r="P140">
        <v>-10.84</v>
      </c>
      <c r="Q140">
        <v>10.93</v>
      </c>
      <c r="S140">
        <v>10.76</v>
      </c>
      <c r="T140">
        <v>0</v>
      </c>
      <c r="U140">
        <v>99.2</v>
      </c>
      <c r="V140">
        <v>796</v>
      </c>
      <c r="W140">
        <v>33.03</v>
      </c>
      <c r="Y140">
        <v>13.03</v>
      </c>
    </row>
    <row r="141" spans="1:25" x14ac:dyDescent="0.25">
      <c r="A141">
        <v>2006</v>
      </c>
      <c r="B141">
        <v>127</v>
      </c>
      <c r="C141">
        <v>400</v>
      </c>
      <c r="D141" s="7">
        <v>-3.1080000000000001</v>
      </c>
      <c r="E141" s="7">
        <v>-40.549999999999997</v>
      </c>
      <c r="F141" s="7">
        <v>6.31</v>
      </c>
      <c r="G141" s="7">
        <v>6.36</v>
      </c>
      <c r="H141" s="7"/>
      <c r="I141" s="7"/>
      <c r="J141" s="7"/>
      <c r="K141" s="7">
        <v>0.83299999999999996</v>
      </c>
      <c r="L141" s="7">
        <v>149.69999999999999</v>
      </c>
      <c r="M141" s="7">
        <v>0</v>
      </c>
      <c r="N141" s="7"/>
      <c r="O141">
        <v>-11.48</v>
      </c>
      <c r="P141">
        <v>-10.84</v>
      </c>
      <c r="Q141">
        <v>10.79</v>
      </c>
      <c r="S141">
        <v>10.62</v>
      </c>
      <c r="T141">
        <v>0</v>
      </c>
      <c r="U141">
        <v>99.4</v>
      </c>
      <c r="V141">
        <v>795</v>
      </c>
      <c r="W141">
        <v>33</v>
      </c>
      <c r="Y141">
        <v>12.98</v>
      </c>
    </row>
    <row r="142" spans="1:25" x14ac:dyDescent="0.25">
      <c r="A142">
        <v>2006</v>
      </c>
      <c r="B142">
        <v>127</v>
      </c>
      <c r="C142">
        <v>500</v>
      </c>
      <c r="D142" s="7">
        <v>0.50600000000000001</v>
      </c>
      <c r="E142" s="7">
        <v>-32.270000000000003</v>
      </c>
      <c r="F142" s="7">
        <v>5.9130000000000003</v>
      </c>
      <c r="G142" s="7">
        <v>5.8849999999999998</v>
      </c>
      <c r="H142" s="7"/>
      <c r="I142" s="7"/>
      <c r="J142" s="7"/>
      <c r="K142" s="7">
        <v>0.96699999999999997</v>
      </c>
      <c r="L142" s="7">
        <v>149.5</v>
      </c>
      <c r="M142" s="7">
        <v>0</v>
      </c>
      <c r="N142" s="7"/>
      <c r="O142">
        <v>-7.3</v>
      </c>
      <c r="P142">
        <v>-9.2799999999999994</v>
      </c>
      <c r="Q142">
        <v>10.64</v>
      </c>
      <c r="S142">
        <v>10.48</v>
      </c>
      <c r="T142">
        <v>0</v>
      </c>
      <c r="U142">
        <v>100.4</v>
      </c>
      <c r="V142">
        <v>795</v>
      </c>
      <c r="W142">
        <v>33.01</v>
      </c>
      <c r="Y142">
        <v>12.95</v>
      </c>
    </row>
    <row r="143" spans="1:25" x14ac:dyDescent="0.25">
      <c r="A143">
        <v>2006</v>
      </c>
      <c r="B143">
        <v>127</v>
      </c>
      <c r="C143">
        <v>600</v>
      </c>
      <c r="D143" s="7">
        <v>59.11</v>
      </c>
      <c r="E143" s="7">
        <v>24.91</v>
      </c>
      <c r="F143" s="7">
        <v>6.2169999999999996</v>
      </c>
      <c r="G143" s="7">
        <v>6.4610000000000003</v>
      </c>
      <c r="H143" s="7"/>
      <c r="I143" s="7"/>
      <c r="J143" s="7"/>
      <c r="K143" s="7">
        <v>1.1579999999999999</v>
      </c>
      <c r="L143" s="7">
        <v>133.5</v>
      </c>
      <c r="M143" s="7">
        <v>0</v>
      </c>
      <c r="N143" s="7"/>
      <c r="O143">
        <v>73.3</v>
      </c>
      <c r="P143">
        <v>30.85</v>
      </c>
      <c r="Q143">
        <v>10.49</v>
      </c>
      <c r="S143">
        <v>10.36</v>
      </c>
      <c r="T143">
        <v>0</v>
      </c>
      <c r="U143">
        <v>96.7</v>
      </c>
      <c r="V143">
        <v>794</v>
      </c>
      <c r="W143">
        <v>32.950000000000003</v>
      </c>
      <c r="Y143">
        <v>13.01</v>
      </c>
    </row>
    <row r="144" spans="1:25" x14ac:dyDescent="0.25">
      <c r="A144">
        <v>2006</v>
      </c>
      <c r="B144">
        <v>127</v>
      </c>
      <c r="C144">
        <v>700</v>
      </c>
      <c r="D144" s="7">
        <v>191.2</v>
      </c>
      <c r="E144" s="7">
        <v>133.6</v>
      </c>
      <c r="F144" s="7">
        <v>8.7899999999999991</v>
      </c>
      <c r="G144" s="7">
        <v>9.42</v>
      </c>
      <c r="H144" s="7"/>
      <c r="I144" s="7"/>
      <c r="J144" s="7"/>
      <c r="K144" s="7">
        <v>1.6040000000000001</v>
      </c>
      <c r="L144" s="7">
        <v>135.19999999999999</v>
      </c>
      <c r="M144" s="7">
        <v>0</v>
      </c>
      <c r="N144" s="7"/>
      <c r="O144">
        <v>270</v>
      </c>
      <c r="P144">
        <v>110.3</v>
      </c>
      <c r="Q144">
        <v>10.45</v>
      </c>
      <c r="S144">
        <v>10.36</v>
      </c>
      <c r="T144">
        <v>0</v>
      </c>
      <c r="U144">
        <v>92.3</v>
      </c>
      <c r="V144">
        <v>794</v>
      </c>
      <c r="W144">
        <v>32.94</v>
      </c>
      <c r="Y144">
        <v>13.77</v>
      </c>
    </row>
    <row r="145" spans="1:25" x14ac:dyDescent="0.25">
      <c r="A145">
        <v>2006</v>
      </c>
      <c r="B145">
        <v>127</v>
      </c>
      <c r="C145">
        <v>800</v>
      </c>
      <c r="D145" s="7">
        <v>312.3</v>
      </c>
      <c r="E145" s="7">
        <v>214.6</v>
      </c>
      <c r="F145" s="7">
        <v>10.68</v>
      </c>
      <c r="G145" s="7">
        <v>10.93</v>
      </c>
      <c r="H145" s="7"/>
      <c r="I145" s="7"/>
      <c r="J145" s="7"/>
      <c r="K145" s="7">
        <v>1.7370000000000001</v>
      </c>
      <c r="L145" s="7">
        <v>149.80000000000001</v>
      </c>
      <c r="M145" s="7">
        <v>0</v>
      </c>
      <c r="N145" s="7"/>
      <c r="O145">
        <v>428.3</v>
      </c>
      <c r="P145">
        <v>151.6</v>
      </c>
      <c r="Q145">
        <v>10.45</v>
      </c>
      <c r="S145">
        <v>10.3</v>
      </c>
      <c r="T145">
        <v>0</v>
      </c>
      <c r="U145">
        <v>97.1</v>
      </c>
      <c r="V145">
        <v>794</v>
      </c>
      <c r="W145">
        <v>32.950000000000003</v>
      </c>
      <c r="Y145">
        <v>14.28</v>
      </c>
    </row>
    <row r="146" spans="1:25" x14ac:dyDescent="0.25">
      <c r="A146">
        <v>2006</v>
      </c>
      <c r="B146">
        <v>127</v>
      </c>
      <c r="C146">
        <v>900</v>
      </c>
      <c r="D146" s="7">
        <v>476.2</v>
      </c>
      <c r="E146" s="7">
        <v>307.8</v>
      </c>
      <c r="F146" s="7">
        <v>12.42</v>
      </c>
      <c r="G146" s="7">
        <v>12.26</v>
      </c>
      <c r="H146" s="7">
        <f>AVERAGE(G146:G169)</f>
        <v>12.067083333333334</v>
      </c>
      <c r="I146" s="7">
        <f>MIN(G146:G169)</f>
        <v>9.1999999999999993</v>
      </c>
      <c r="J146" s="7">
        <f>MAX(G146:G169)</f>
        <v>14.95</v>
      </c>
      <c r="K146" s="7">
        <v>1.952</v>
      </c>
      <c r="L146" s="7">
        <v>167.9</v>
      </c>
      <c r="M146" s="7">
        <v>0</v>
      </c>
      <c r="N146" s="7">
        <f>SUM(M146:M169)</f>
        <v>1.4</v>
      </c>
      <c r="O146">
        <v>617.4</v>
      </c>
      <c r="P146">
        <v>194.2</v>
      </c>
      <c r="Q146">
        <v>10.54</v>
      </c>
      <c r="R146">
        <f>AVERAGE(Q146:Q169)</f>
        <v>11.836666666666671</v>
      </c>
      <c r="S146">
        <v>10.220000000000001</v>
      </c>
      <c r="T146">
        <v>0</v>
      </c>
      <c r="U146">
        <v>101.8</v>
      </c>
      <c r="V146">
        <v>793</v>
      </c>
      <c r="W146">
        <v>32.9</v>
      </c>
      <c r="X146">
        <f>AVERAGE(W146:W169)</f>
        <v>32.324166666666663</v>
      </c>
      <c r="Y146">
        <v>14.65</v>
      </c>
    </row>
    <row r="147" spans="1:25" x14ac:dyDescent="0.25">
      <c r="A147">
        <v>2006</v>
      </c>
      <c r="B147">
        <v>127</v>
      </c>
      <c r="C147">
        <v>1000</v>
      </c>
      <c r="D147" s="7">
        <v>617.20000000000005</v>
      </c>
      <c r="E147" s="7">
        <v>386.1</v>
      </c>
      <c r="F147" s="7">
        <v>13.99</v>
      </c>
      <c r="G147" s="7">
        <v>13.64</v>
      </c>
      <c r="H147" s="7"/>
      <c r="I147" s="7"/>
      <c r="J147" s="7"/>
      <c r="K147" s="7">
        <v>2.11</v>
      </c>
      <c r="L147" s="7">
        <v>156.9</v>
      </c>
      <c r="M147" s="7">
        <v>0</v>
      </c>
      <c r="N147" s="7"/>
      <c r="O147">
        <v>792</v>
      </c>
      <c r="P147">
        <v>231.8</v>
      </c>
      <c r="Q147">
        <v>10.72</v>
      </c>
      <c r="S147">
        <v>10.19</v>
      </c>
      <c r="T147">
        <v>0</v>
      </c>
      <c r="U147">
        <v>103.8</v>
      </c>
      <c r="V147">
        <v>792</v>
      </c>
      <c r="W147">
        <v>32.83</v>
      </c>
      <c r="Y147">
        <v>14.72</v>
      </c>
    </row>
    <row r="148" spans="1:25" x14ac:dyDescent="0.25">
      <c r="A148">
        <v>2006</v>
      </c>
      <c r="B148">
        <v>127</v>
      </c>
      <c r="C148">
        <v>1100</v>
      </c>
      <c r="D148" s="7">
        <v>576</v>
      </c>
      <c r="E148" s="7">
        <v>346.4</v>
      </c>
      <c r="F148" s="7">
        <v>14.11</v>
      </c>
      <c r="G148" s="7">
        <v>13.66</v>
      </c>
      <c r="H148" s="7"/>
      <c r="I148" s="7"/>
      <c r="J148" s="7"/>
      <c r="K148" s="7">
        <v>2.3370000000000002</v>
      </c>
      <c r="L148" s="7">
        <v>123.9</v>
      </c>
      <c r="M148" s="7">
        <v>0</v>
      </c>
      <c r="N148" s="7"/>
      <c r="O148">
        <v>735</v>
      </c>
      <c r="P148">
        <v>207.3</v>
      </c>
      <c r="Q148">
        <v>10.96</v>
      </c>
      <c r="S148">
        <v>10.18</v>
      </c>
      <c r="T148">
        <v>0</v>
      </c>
      <c r="U148">
        <v>105</v>
      </c>
      <c r="V148">
        <v>790</v>
      </c>
      <c r="W148">
        <v>32.74</v>
      </c>
      <c r="Y148">
        <v>14.32</v>
      </c>
    </row>
    <row r="149" spans="1:25" x14ac:dyDescent="0.25">
      <c r="A149">
        <v>2006</v>
      </c>
      <c r="B149">
        <v>127</v>
      </c>
      <c r="C149">
        <v>1200</v>
      </c>
      <c r="D149" s="7">
        <v>710</v>
      </c>
      <c r="E149" s="7">
        <v>420.6</v>
      </c>
      <c r="F149" s="7">
        <v>14.27</v>
      </c>
      <c r="G149" s="7">
        <v>13.93</v>
      </c>
      <c r="H149" s="7"/>
      <c r="I149" s="7"/>
      <c r="J149" s="7"/>
      <c r="K149" s="7">
        <v>2.637</v>
      </c>
      <c r="L149" s="7">
        <v>127.5</v>
      </c>
      <c r="M149" s="7">
        <v>0</v>
      </c>
      <c r="N149" s="7"/>
      <c r="O149">
        <v>891</v>
      </c>
      <c r="P149">
        <v>232.4</v>
      </c>
      <c r="Q149">
        <v>11.21</v>
      </c>
      <c r="S149">
        <v>10.28</v>
      </c>
      <c r="T149">
        <v>0</v>
      </c>
      <c r="U149">
        <v>103.8</v>
      </c>
      <c r="V149">
        <v>788</v>
      </c>
      <c r="W149">
        <v>32.630000000000003</v>
      </c>
      <c r="Y149">
        <v>14.29</v>
      </c>
    </row>
    <row r="150" spans="1:25" x14ac:dyDescent="0.25">
      <c r="A150">
        <v>2006</v>
      </c>
      <c r="B150">
        <v>127</v>
      </c>
      <c r="C150">
        <v>1300</v>
      </c>
      <c r="D150" s="7">
        <v>732</v>
      </c>
      <c r="E150" s="7">
        <v>422.5</v>
      </c>
      <c r="F150" s="7">
        <v>14.97</v>
      </c>
      <c r="G150" s="7">
        <v>14.52</v>
      </c>
      <c r="H150" s="7"/>
      <c r="I150" s="7"/>
      <c r="J150" s="7"/>
      <c r="K150" s="7">
        <v>1.875</v>
      </c>
      <c r="L150" s="7">
        <v>141.69999999999999</v>
      </c>
      <c r="M150" s="7">
        <v>0</v>
      </c>
      <c r="N150" s="7"/>
      <c r="O150">
        <v>907</v>
      </c>
      <c r="P150">
        <v>232.9</v>
      </c>
      <c r="Q150">
        <v>11.49</v>
      </c>
      <c r="S150">
        <v>10.5</v>
      </c>
      <c r="T150">
        <v>0</v>
      </c>
      <c r="U150">
        <v>104.8</v>
      </c>
      <c r="V150">
        <v>786</v>
      </c>
      <c r="W150">
        <v>32.54</v>
      </c>
      <c r="Y150">
        <v>14.32</v>
      </c>
    </row>
    <row r="151" spans="1:25" x14ac:dyDescent="0.25">
      <c r="A151">
        <v>2006</v>
      </c>
      <c r="B151">
        <v>127</v>
      </c>
      <c r="C151">
        <v>1400</v>
      </c>
      <c r="D151" s="7">
        <v>720</v>
      </c>
      <c r="E151" s="7">
        <v>405.4</v>
      </c>
      <c r="F151" s="7">
        <v>15.25</v>
      </c>
      <c r="G151" s="7">
        <v>14.69</v>
      </c>
      <c r="H151" s="7"/>
      <c r="I151" s="7"/>
      <c r="J151" s="7"/>
      <c r="K151" s="7">
        <v>2.1040000000000001</v>
      </c>
      <c r="L151" s="7">
        <v>118.9</v>
      </c>
      <c r="M151" s="7">
        <v>0</v>
      </c>
      <c r="N151" s="7"/>
      <c r="O151">
        <v>876</v>
      </c>
      <c r="P151">
        <v>234.7</v>
      </c>
      <c r="Q151">
        <v>11.76</v>
      </c>
      <c r="S151">
        <v>10.71</v>
      </c>
      <c r="T151">
        <v>0</v>
      </c>
      <c r="U151">
        <v>106</v>
      </c>
      <c r="V151">
        <v>784</v>
      </c>
      <c r="W151">
        <v>32.42</v>
      </c>
      <c r="Y151">
        <v>14.36</v>
      </c>
    </row>
    <row r="152" spans="1:25" x14ac:dyDescent="0.25">
      <c r="A152">
        <v>2006</v>
      </c>
      <c r="B152">
        <v>127</v>
      </c>
      <c r="C152">
        <v>1500</v>
      </c>
      <c r="D152" s="7">
        <v>714</v>
      </c>
      <c r="E152" s="7">
        <v>407.1</v>
      </c>
      <c r="F152" s="7">
        <v>15.6</v>
      </c>
      <c r="G152" s="7">
        <v>14.95</v>
      </c>
      <c r="H152" s="7"/>
      <c r="I152" s="7"/>
      <c r="J152" s="7"/>
      <c r="K152" s="7">
        <v>2.226</v>
      </c>
      <c r="L152" s="7">
        <v>108.6</v>
      </c>
      <c r="M152" s="7">
        <v>0</v>
      </c>
      <c r="N152" s="7"/>
      <c r="O152">
        <v>870</v>
      </c>
      <c r="P152">
        <v>244.8</v>
      </c>
      <c r="Q152">
        <v>11.99</v>
      </c>
      <c r="S152">
        <v>10.96</v>
      </c>
      <c r="T152">
        <v>0</v>
      </c>
      <c r="U152">
        <v>106.9</v>
      </c>
      <c r="V152">
        <v>782</v>
      </c>
      <c r="W152">
        <v>32.32</v>
      </c>
      <c r="Y152">
        <v>14.25</v>
      </c>
    </row>
    <row r="153" spans="1:25" x14ac:dyDescent="0.25">
      <c r="A153">
        <v>2006</v>
      </c>
      <c r="B153">
        <v>127</v>
      </c>
      <c r="C153">
        <v>1600</v>
      </c>
      <c r="D153" s="7">
        <v>571</v>
      </c>
      <c r="E153" s="7">
        <v>313.2</v>
      </c>
      <c r="F153" s="7">
        <v>15.32</v>
      </c>
      <c r="G153" s="7">
        <v>14.79</v>
      </c>
      <c r="H153" s="7"/>
      <c r="I153" s="7"/>
      <c r="J153" s="7"/>
      <c r="K153" s="7">
        <v>2.3159999999999998</v>
      </c>
      <c r="L153" s="7">
        <v>105.7</v>
      </c>
      <c r="M153" s="7">
        <v>0</v>
      </c>
      <c r="N153" s="7"/>
      <c r="O153">
        <v>692.7</v>
      </c>
      <c r="P153">
        <v>243</v>
      </c>
      <c r="Q153">
        <v>12.17</v>
      </c>
      <c r="S153">
        <v>11.21</v>
      </c>
      <c r="T153">
        <v>0</v>
      </c>
      <c r="U153">
        <v>105.7</v>
      </c>
      <c r="V153">
        <v>780</v>
      </c>
      <c r="W153">
        <v>32.229999999999997</v>
      </c>
      <c r="Y153">
        <v>14.24</v>
      </c>
    </row>
    <row r="154" spans="1:25" x14ac:dyDescent="0.25">
      <c r="A154">
        <v>2006</v>
      </c>
      <c r="B154">
        <v>127</v>
      </c>
      <c r="C154">
        <v>1700</v>
      </c>
      <c r="D154" s="7">
        <v>444</v>
      </c>
      <c r="E154" s="7">
        <v>235.1</v>
      </c>
      <c r="F154" s="7">
        <v>15.33</v>
      </c>
      <c r="G154" s="7">
        <v>14.77</v>
      </c>
      <c r="H154" s="7"/>
      <c r="I154" s="7"/>
      <c r="J154" s="7"/>
      <c r="K154" s="7">
        <v>2.2309999999999999</v>
      </c>
      <c r="L154" s="7">
        <v>101</v>
      </c>
      <c r="M154" s="7">
        <v>0</v>
      </c>
      <c r="N154" s="7"/>
      <c r="O154">
        <v>537.20000000000005</v>
      </c>
      <c r="P154">
        <v>220.3</v>
      </c>
      <c r="Q154">
        <v>12.31</v>
      </c>
      <c r="S154">
        <v>11.48</v>
      </c>
      <c r="T154">
        <v>0</v>
      </c>
      <c r="U154">
        <v>106</v>
      </c>
      <c r="V154">
        <v>778</v>
      </c>
      <c r="W154">
        <v>32.14</v>
      </c>
      <c r="Y154">
        <v>14.01</v>
      </c>
    </row>
    <row r="155" spans="1:25" x14ac:dyDescent="0.25">
      <c r="A155">
        <v>2006</v>
      </c>
      <c r="B155">
        <v>127</v>
      </c>
      <c r="C155">
        <v>1800</v>
      </c>
      <c r="D155" s="7">
        <v>340</v>
      </c>
      <c r="E155" s="7">
        <v>181</v>
      </c>
      <c r="F155" s="7">
        <v>15</v>
      </c>
      <c r="G155" s="7">
        <v>14.47</v>
      </c>
      <c r="H155" s="7"/>
      <c r="I155" s="7"/>
      <c r="J155" s="7"/>
      <c r="K155" s="7">
        <v>2.0329999999999999</v>
      </c>
      <c r="L155" s="7">
        <v>98.1</v>
      </c>
      <c r="M155" s="7">
        <v>0</v>
      </c>
      <c r="N155" s="7"/>
      <c r="O155">
        <v>422.4</v>
      </c>
      <c r="P155">
        <v>202.8</v>
      </c>
      <c r="Q155">
        <v>12.39</v>
      </c>
      <c r="S155">
        <v>11.7</v>
      </c>
      <c r="T155">
        <v>0</v>
      </c>
      <c r="U155">
        <v>105.7</v>
      </c>
      <c r="V155">
        <v>777</v>
      </c>
      <c r="W155">
        <v>32.08</v>
      </c>
      <c r="Y155">
        <v>13.8</v>
      </c>
    </row>
    <row r="156" spans="1:25" x14ac:dyDescent="0.25">
      <c r="A156">
        <v>2006</v>
      </c>
      <c r="B156">
        <v>127</v>
      </c>
      <c r="C156">
        <v>1900</v>
      </c>
      <c r="D156" s="7">
        <v>108.3</v>
      </c>
      <c r="E156" s="7">
        <v>35.090000000000003</v>
      </c>
      <c r="F156" s="7">
        <v>13.82</v>
      </c>
      <c r="G156" s="7">
        <v>13.4</v>
      </c>
      <c r="H156" s="7"/>
      <c r="I156" s="7"/>
      <c r="J156" s="7"/>
      <c r="K156" s="7">
        <v>1.4670000000000001</v>
      </c>
      <c r="L156" s="7">
        <v>85.4</v>
      </c>
      <c r="M156" s="7">
        <v>0</v>
      </c>
      <c r="N156" s="7"/>
      <c r="O156">
        <v>138.4</v>
      </c>
      <c r="P156">
        <v>49.74</v>
      </c>
      <c r="Q156">
        <v>12.37</v>
      </c>
      <c r="S156">
        <v>11.83</v>
      </c>
      <c r="T156">
        <v>0</v>
      </c>
      <c r="U156">
        <v>104.6</v>
      </c>
      <c r="V156">
        <v>776</v>
      </c>
      <c r="W156">
        <v>32.04</v>
      </c>
      <c r="Y156">
        <v>13.69</v>
      </c>
    </row>
    <row r="157" spans="1:25" x14ac:dyDescent="0.25">
      <c r="A157">
        <v>2006</v>
      </c>
      <c r="B157">
        <v>127</v>
      </c>
      <c r="C157">
        <v>2000</v>
      </c>
      <c r="D157" s="7">
        <v>10.45</v>
      </c>
      <c r="E157" s="7">
        <v>-31.29</v>
      </c>
      <c r="F157" s="7">
        <v>12.16</v>
      </c>
      <c r="G157" s="7">
        <v>11.8</v>
      </c>
      <c r="H157" s="7"/>
      <c r="I157" s="7"/>
      <c r="J157" s="7"/>
      <c r="K157" s="7">
        <v>0.66300000000000003</v>
      </c>
      <c r="L157" s="7">
        <v>75.400000000000006</v>
      </c>
      <c r="M157" s="7">
        <v>0</v>
      </c>
      <c r="N157" s="7"/>
      <c r="O157">
        <v>7.2</v>
      </c>
      <c r="P157">
        <v>-5.3209999999999997</v>
      </c>
      <c r="Q157">
        <v>12.35</v>
      </c>
      <c r="S157">
        <v>11.87</v>
      </c>
      <c r="T157">
        <v>0</v>
      </c>
      <c r="U157">
        <v>104.1</v>
      </c>
      <c r="V157">
        <v>776</v>
      </c>
      <c r="W157">
        <v>32.04</v>
      </c>
      <c r="Y157">
        <v>13.52</v>
      </c>
    </row>
    <row r="158" spans="1:25" x14ac:dyDescent="0.25">
      <c r="A158">
        <v>2006</v>
      </c>
      <c r="B158">
        <v>127</v>
      </c>
      <c r="C158">
        <v>2100</v>
      </c>
      <c r="D158" s="7">
        <v>-1.518</v>
      </c>
      <c r="E158" s="7">
        <v>-28.47</v>
      </c>
      <c r="F158" s="7">
        <v>11.38</v>
      </c>
      <c r="G158" s="7">
        <v>11.24</v>
      </c>
      <c r="H158" s="7"/>
      <c r="I158" s="7"/>
      <c r="J158" s="7"/>
      <c r="K158" s="7">
        <v>0.621</v>
      </c>
      <c r="L158" s="7">
        <v>86.8</v>
      </c>
      <c r="M158" s="7">
        <v>0</v>
      </c>
      <c r="N158" s="7"/>
      <c r="O158">
        <v>-10.81</v>
      </c>
      <c r="P158">
        <v>-10.69</v>
      </c>
      <c r="Q158">
        <v>12.31</v>
      </c>
      <c r="S158">
        <v>11.92</v>
      </c>
      <c r="T158">
        <v>0</v>
      </c>
      <c r="U158">
        <v>101.5</v>
      </c>
      <c r="V158">
        <v>776</v>
      </c>
      <c r="W158">
        <v>32.03</v>
      </c>
      <c r="Y158">
        <v>13.41</v>
      </c>
    </row>
    <row r="159" spans="1:25" x14ac:dyDescent="0.25">
      <c r="A159">
        <v>2006</v>
      </c>
      <c r="B159">
        <v>127</v>
      </c>
      <c r="C159">
        <v>2200</v>
      </c>
      <c r="D159" s="7">
        <v>-1.651</v>
      </c>
      <c r="E159" s="7">
        <v>-21.55</v>
      </c>
      <c r="F159" s="7">
        <v>11.29</v>
      </c>
      <c r="G159" s="7">
        <v>11.07</v>
      </c>
      <c r="H159" s="7"/>
      <c r="I159" s="7"/>
      <c r="J159" s="7"/>
      <c r="K159" s="7">
        <v>0.495</v>
      </c>
      <c r="L159" s="7">
        <v>79</v>
      </c>
      <c r="M159" s="7">
        <v>0</v>
      </c>
      <c r="N159" s="7"/>
      <c r="O159">
        <v>-11.49</v>
      </c>
      <c r="P159">
        <v>-10.83</v>
      </c>
      <c r="Q159">
        <v>12.28</v>
      </c>
      <c r="S159">
        <v>11.96</v>
      </c>
      <c r="T159">
        <v>0</v>
      </c>
      <c r="U159">
        <v>102.5</v>
      </c>
      <c r="V159">
        <v>776</v>
      </c>
      <c r="W159">
        <v>32.049999999999997</v>
      </c>
      <c r="Y159">
        <v>13.32</v>
      </c>
    </row>
    <row r="160" spans="1:25" x14ac:dyDescent="0.25">
      <c r="A160">
        <v>2006</v>
      </c>
      <c r="B160">
        <v>127</v>
      </c>
      <c r="C160">
        <v>2300</v>
      </c>
      <c r="D160" s="7">
        <v>-1.1579999999999999</v>
      </c>
      <c r="E160" s="7">
        <v>-17.420000000000002</v>
      </c>
      <c r="F160" s="7">
        <v>11.13</v>
      </c>
      <c r="G160" s="7">
        <v>10.9</v>
      </c>
      <c r="H160" s="7"/>
      <c r="I160" s="7"/>
      <c r="J160" s="7"/>
      <c r="K160" s="7">
        <v>0.41</v>
      </c>
      <c r="L160" s="7">
        <v>57.95</v>
      </c>
      <c r="M160" s="7">
        <v>0</v>
      </c>
      <c r="N160" s="7"/>
      <c r="O160">
        <v>-11.49</v>
      </c>
      <c r="P160">
        <v>-10.84</v>
      </c>
      <c r="Q160">
        <v>12.23</v>
      </c>
      <c r="S160">
        <v>11.91</v>
      </c>
      <c r="T160">
        <v>0</v>
      </c>
      <c r="U160">
        <v>102.8</v>
      </c>
      <c r="V160">
        <v>777</v>
      </c>
      <c r="W160">
        <v>32.08</v>
      </c>
      <c r="Y160">
        <v>13.25</v>
      </c>
    </row>
    <row r="161" spans="1:25" x14ac:dyDescent="0.25">
      <c r="A161">
        <v>2006</v>
      </c>
      <c r="B161">
        <v>127</v>
      </c>
      <c r="C161">
        <v>2400</v>
      </c>
      <c r="D161" s="7">
        <v>-0.746</v>
      </c>
      <c r="E161" s="7">
        <v>-13.09</v>
      </c>
      <c r="F161" s="7">
        <v>11.07</v>
      </c>
      <c r="G161" s="7">
        <v>10.83</v>
      </c>
      <c r="H161" s="7"/>
      <c r="I161" s="7"/>
      <c r="J161" s="7"/>
      <c r="K161" s="7">
        <v>0.748</v>
      </c>
      <c r="L161" s="7">
        <v>68.33</v>
      </c>
      <c r="M161" s="7">
        <v>0</v>
      </c>
      <c r="N161" s="7"/>
      <c r="O161">
        <v>-11.49</v>
      </c>
      <c r="P161">
        <v>-10.84</v>
      </c>
      <c r="Q161">
        <v>12.14</v>
      </c>
      <c r="S161">
        <v>11.84</v>
      </c>
      <c r="T161">
        <v>0</v>
      </c>
      <c r="U161">
        <v>102.9</v>
      </c>
      <c r="V161">
        <v>779</v>
      </c>
      <c r="W161">
        <v>32.159999999999997</v>
      </c>
      <c r="Y161">
        <v>13.19</v>
      </c>
    </row>
    <row r="162" spans="1:25" x14ac:dyDescent="0.25">
      <c r="A162">
        <v>2006</v>
      </c>
      <c r="B162">
        <v>128</v>
      </c>
      <c r="C162">
        <v>100</v>
      </c>
      <c r="D162" s="7">
        <v>-0.875</v>
      </c>
      <c r="E162" s="7">
        <v>-13.45</v>
      </c>
      <c r="F162" s="7">
        <v>10.55</v>
      </c>
      <c r="G162" s="7">
        <v>10.39</v>
      </c>
      <c r="H162" s="7"/>
      <c r="I162" s="7"/>
      <c r="J162" s="7"/>
      <c r="K162" s="7">
        <v>0.92100000000000004</v>
      </c>
      <c r="L162" s="7">
        <v>73.400000000000006</v>
      </c>
      <c r="M162" s="7">
        <v>0</v>
      </c>
      <c r="N162" s="7"/>
      <c r="O162">
        <v>-11.49</v>
      </c>
      <c r="P162">
        <v>-10.84</v>
      </c>
      <c r="Q162">
        <v>12.08</v>
      </c>
      <c r="S162">
        <v>11.76</v>
      </c>
      <c r="T162">
        <v>0</v>
      </c>
      <c r="U162">
        <v>101.9</v>
      </c>
      <c r="V162">
        <v>785</v>
      </c>
      <c r="W162">
        <v>32.5</v>
      </c>
      <c r="Y162">
        <v>13.12</v>
      </c>
    </row>
    <row r="163" spans="1:25" x14ac:dyDescent="0.25">
      <c r="A163">
        <v>2006</v>
      </c>
      <c r="B163">
        <v>128</v>
      </c>
      <c r="C163">
        <v>200</v>
      </c>
      <c r="D163" s="7">
        <v>-0.92200000000000004</v>
      </c>
      <c r="E163" s="7">
        <v>-12.87</v>
      </c>
      <c r="F163" s="7">
        <v>10.24</v>
      </c>
      <c r="G163" s="7">
        <v>10.16</v>
      </c>
      <c r="H163" s="7"/>
      <c r="I163" s="7"/>
      <c r="J163" s="7"/>
      <c r="K163" s="7">
        <v>1.0629999999999999</v>
      </c>
      <c r="L163" s="7">
        <v>86.5</v>
      </c>
      <c r="M163" s="7">
        <v>0</v>
      </c>
      <c r="N163" s="7"/>
      <c r="O163">
        <v>-11.5</v>
      </c>
      <c r="P163">
        <v>-10.84</v>
      </c>
      <c r="Q163">
        <v>12.05</v>
      </c>
      <c r="S163">
        <v>11.71</v>
      </c>
      <c r="T163">
        <v>0</v>
      </c>
      <c r="U163">
        <v>101</v>
      </c>
      <c r="V163">
        <v>779</v>
      </c>
      <c r="W163">
        <v>32.18</v>
      </c>
      <c r="Y163">
        <v>13.07</v>
      </c>
    </row>
    <row r="164" spans="1:25" x14ac:dyDescent="0.25">
      <c r="A164">
        <v>2006</v>
      </c>
      <c r="B164">
        <v>128</v>
      </c>
      <c r="C164">
        <v>300</v>
      </c>
      <c r="D164" s="7">
        <v>-1.4079999999999999</v>
      </c>
      <c r="E164" s="7">
        <v>-19.8</v>
      </c>
      <c r="F164" s="7">
        <v>9.92</v>
      </c>
      <c r="G164" s="7">
        <v>9.9600000000000009</v>
      </c>
      <c r="H164" s="7"/>
      <c r="I164" s="7"/>
      <c r="J164" s="7"/>
      <c r="K164" s="7">
        <v>1.032</v>
      </c>
      <c r="L164" s="7">
        <v>85.2</v>
      </c>
      <c r="M164" s="7">
        <v>0.2</v>
      </c>
      <c r="N164" s="7"/>
      <c r="O164">
        <v>-11.49</v>
      </c>
      <c r="P164">
        <v>-10.84</v>
      </c>
      <c r="Q164">
        <v>11.99</v>
      </c>
      <c r="S164">
        <v>11.65</v>
      </c>
      <c r="T164">
        <v>0</v>
      </c>
      <c r="U164">
        <v>99.5</v>
      </c>
      <c r="V164">
        <v>780</v>
      </c>
      <c r="W164">
        <v>32.25</v>
      </c>
      <c r="Y164">
        <v>13.02</v>
      </c>
    </row>
    <row r="165" spans="1:25" x14ac:dyDescent="0.25">
      <c r="A165">
        <v>2006</v>
      </c>
      <c r="B165">
        <v>128</v>
      </c>
      <c r="C165">
        <v>400</v>
      </c>
      <c r="D165" s="7">
        <v>-2.0939999999999999</v>
      </c>
      <c r="E165" s="7">
        <v>-28.65</v>
      </c>
      <c r="F165" s="7">
        <v>9.2200000000000006</v>
      </c>
      <c r="G165" s="7">
        <v>9.1999999999999993</v>
      </c>
      <c r="H165" s="7"/>
      <c r="I165" s="7"/>
      <c r="J165" s="7"/>
      <c r="K165" s="7">
        <v>1.274</v>
      </c>
      <c r="L165" s="7">
        <v>94.9</v>
      </c>
      <c r="M165" s="7">
        <v>0</v>
      </c>
      <c r="N165" s="7"/>
      <c r="O165">
        <v>-11.5</v>
      </c>
      <c r="P165">
        <v>-10.84</v>
      </c>
      <c r="Q165">
        <v>11.94</v>
      </c>
      <c r="S165">
        <v>11.59</v>
      </c>
      <c r="T165">
        <v>0</v>
      </c>
      <c r="U165">
        <v>100.1</v>
      </c>
      <c r="V165">
        <v>783</v>
      </c>
      <c r="W165">
        <v>32.369999999999997</v>
      </c>
      <c r="Y165">
        <v>12.98</v>
      </c>
    </row>
    <row r="166" spans="1:25" x14ac:dyDescent="0.25">
      <c r="A166">
        <v>2006</v>
      </c>
      <c r="B166">
        <v>128</v>
      </c>
      <c r="C166">
        <v>500</v>
      </c>
      <c r="D166" s="7">
        <v>2.0510000000000002</v>
      </c>
      <c r="E166" s="7">
        <v>-19.97</v>
      </c>
      <c r="F166" s="7">
        <v>9.16</v>
      </c>
      <c r="G166" s="7">
        <v>9.2100000000000009</v>
      </c>
      <c r="H166" s="7"/>
      <c r="I166" s="7"/>
      <c r="J166" s="7"/>
      <c r="K166" s="7">
        <v>2.1160000000000001</v>
      </c>
      <c r="L166" s="7">
        <v>97.5</v>
      </c>
      <c r="M166" s="7">
        <v>0</v>
      </c>
      <c r="N166" s="7"/>
      <c r="O166">
        <v>-6.0279999999999996</v>
      </c>
      <c r="P166">
        <v>-9.14</v>
      </c>
      <c r="Q166">
        <v>11.83</v>
      </c>
      <c r="S166">
        <v>11.49</v>
      </c>
      <c r="T166">
        <v>0</v>
      </c>
      <c r="U166">
        <v>99.4</v>
      </c>
      <c r="V166">
        <v>783</v>
      </c>
      <c r="W166">
        <v>32.369999999999997</v>
      </c>
      <c r="Y166">
        <v>12.95</v>
      </c>
    </row>
    <row r="167" spans="1:25" x14ac:dyDescent="0.25">
      <c r="A167">
        <v>2006</v>
      </c>
      <c r="B167">
        <v>128</v>
      </c>
      <c r="C167">
        <v>600</v>
      </c>
      <c r="D167" s="7">
        <v>28.24</v>
      </c>
      <c r="E167" s="7">
        <v>-0.124</v>
      </c>
      <c r="F167" s="7">
        <v>9.17</v>
      </c>
      <c r="G167" s="7">
        <v>9.2799999999999994</v>
      </c>
      <c r="H167" s="7"/>
      <c r="I167" s="7"/>
      <c r="J167" s="7"/>
      <c r="K167" s="7">
        <v>1.849</v>
      </c>
      <c r="L167" s="7">
        <v>90.9</v>
      </c>
      <c r="M167" s="7">
        <v>0</v>
      </c>
      <c r="N167" s="7"/>
      <c r="O167">
        <v>27.89</v>
      </c>
      <c r="P167">
        <v>0.875</v>
      </c>
      <c r="Q167">
        <v>11.73</v>
      </c>
      <c r="S167">
        <v>11.43</v>
      </c>
      <c r="T167">
        <v>0</v>
      </c>
      <c r="U167">
        <v>98.7</v>
      </c>
      <c r="V167">
        <v>782</v>
      </c>
      <c r="W167">
        <v>32.31</v>
      </c>
      <c r="Y167">
        <v>12.95</v>
      </c>
    </row>
    <row r="168" spans="1:25" x14ac:dyDescent="0.25">
      <c r="A168">
        <v>2006</v>
      </c>
      <c r="B168">
        <v>128</v>
      </c>
      <c r="C168">
        <v>700</v>
      </c>
      <c r="D168" s="7">
        <v>35.78</v>
      </c>
      <c r="E168" s="7">
        <v>11</v>
      </c>
      <c r="F168" s="7">
        <v>9.6300000000000008</v>
      </c>
      <c r="G168" s="7">
        <v>9.98</v>
      </c>
      <c r="H168" s="7"/>
      <c r="I168" s="7"/>
      <c r="J168" s="7"/>
      <c r="K168" s="7">
        <v>1.536</v>
      </c>
      <c r="L168" s="7">
        <v>91.8</v>
      </c>
      <c r="M168" s="7">
        <v>0</v>
      </c>
      <c r="N168" s="7"/>
      <c r="O168">
        <v>34.32</v>
      </c>
      <c r="P168">
        <v>3.073</v>
      </c>
      <c r="Q168">
        <v>11.64</v>
      </c>
      <c r="S168">
        <v>11.36</v>
      </c>
      <c r="T168">
        <v>0</v>
      </c>
      <c r="U168">
        <v>95.7</v>
      </c>
      <c r="V168">
        <v>781</v>
      </c>
      <c r="W168">
        <v>32.29</v>
      </c>
      <c r="Y168">
        <v>12.98</v>
      </c>
    </row>
    <row r="169" spans="1:25" x14ac:dyDescent="0.25">
      <c r="A169">
        <v>2006</v>
      </c>
      <c r="B169">
        <v>128</v>
      </c>
      <c r="C169">
        <v>800</v>
      </c>
      <c r="D169" s="7">
        <v>37.630000000000003</v>
      </c>
      <c r="E169" s="7">
        <v>11.91</v>
      </c>
      <c r="F169" s="7">
        <v>10.11</v>
      </c>
      <c r="G169" s="7">
        <v>10.51</v>
      </c>
      <c r="H169" s="7"/>
      <c r="I169" s="7"/>
      <c r="J169" s="7"/>
      <c r="K169" s="7">
        <v>1.7809999999999999</v>
      </c>
      <c r="L169" s="7">
        <v>87.1</v>
      </c>
      <c r="M169" s="7">
        <v>1.2</v>
      </c>
      <c r="N169" s="7"/>
      <c r="O169">
        <v>42.67</v>
      </c>
      <c r="P169">
        <v>4.0679999999999996</v>
      </c>
      <c r="Q169">
        <v>11.6</v>
      </c>
      <c r="S169">
        <v>11.29</v>
      </c>
      <c r="T169">
        <v>0</v>
      </c>
      <c r="U169">
        <v>95.2</v>
      </c>
      <c r="V169">
        <v>781</v>
      </c>
      <c r="W169">
        <v>32.28</v>
      </c>
      <c r="Y169">
        <v>13.15</v>
      </c>
    </row>
    <row r="170" spans="1:25" x14ac:dyDescent="0.25">
      <c r="A170">
        <v>2006</v>
      </c>
      <c r="B170">
        <v>128</v>
      </c>
      <c r="C170">
        <v>900</v>
      </c>
      <c r="D170" s="7">
        <v>58.16</v>
      </c>
      <c r="E170" s="7">
        <v>28</v>
      </c>
      <c r="F170" s="7">
        <v>10.18</v>
      </c>
      <c r="G170" s="7">
        <v>10.17</v>
      </c>
      <c r="H170" s="7">
        <f>AVERAGE(G170:G193)</f>
        <v>11.790000000000001</v>
      </c>
      <c r="I170" s="7">
        <f>MIN(G170:G193)</f>
        <v>8.8000000000000007</v>
      </c>
      <c r="J170" s="7">
        <f>MAX(G170:G193)</f>
        <v>17.53</v>
      </c>
      <c r="K170" s="7">
        <v>1.194</v>
      </c>
      <c r="L170" s="7">
        <v>82.7</v>
      </c>
      <c r="M170" s="7">
        <v>3</v>
      </c>
      <c r="N170" s="7">
        <f>SUM(M170:M193)</f>
        <v>8.1999999999999993</v>
      </c>
      <c r="O170">
        <v>72.2</v>
      </c>
      <c r="P170">
        <v>8.1300000000000008</v>
      </c>
      <c r="Q170">
        <v>11.52</v>
      </c>
      <c r="R170">
        <f>AVERAGE(Q170:Q193)</f>
        <v>11.879166666666668</v>
      </c>
      <c r="S170">
        <v>11.23</v>
      </c>
      <c r="T170">
        <v>0</v>
      </c>
      <c r="U170">
        <v>100.1</v>
      </c>
      <c r="V170">
        <v>881</v>
      </c>
      <c r="W170">
        <v>39.700000000000003</v>
      </c>
      <c r="X170">
        <f>AVERAGE(W170:W193)</f>
        <v>37.435416666666676</v>
      </c>
      <c r="Y170">
        <v>13.29</v>
      </c>
    </row>
    <row r="171" spans="1:25" x14ac:dyDescent="0.25">
      <c r="A171">
        <v>2006</v>
      </c>
      <c r="B171">
        <v>128</v>
      </c>
      <c r="C171">
        <v>1000</v>
      </c>
      <c r="D171" s="7">
        <v>56.64</v>
      </c>
      <c r="E171" s="7">
        <v>28.36</v>
      </c>
      <c r="F171" s="7">
        <v>10.36</v>
      </c>
      <c r="G171" s="7">
        <v>10.36</v>
      </c>
      <c r="H171" s="7"/>
      <c r="I171" s="7"/>
      <c r="J171" s="7"/>
      <c r="K171" s="7">
        <v>1.2849999999999999</v>
      </c>
      <c r="L171" s="7">
        <v>88.9</v>
      </c>
      <c r="M171" s="7">
        <v>1.2</v>
      </c>
      <c r="N171" s="7"/>
      <c r="O171">
        <v>69.53</v>
      </c>
      <c r="P171">
        <v>7.05</v>
      </c>
      <c r="Q171">
        <v>11.49</v>
      </c>
      <c r="S171">
        <v>11.14</v>
      </c>
      <c r="T171">
        <v>0</v>
      </c>
      <c r="U171">
        <v>100</v>
      </c>
      <c r="V171">
        <v>1018</v>
      </c>
      <c r="W171">
        <v>51.18</v>
      </c>
      <c r="Y171">
        <v>13.47</v>
      </c>
    </row>
    <row r="172" spans="1:25" x14ac:dyDescent="0.25">
      <c r="A172">
        <v>2006</v>
      </c>
      <c r="B172">
        <v>128</v>
      </c>
      <c r="C172">
        <v>1100</v>
      </c>
      <c r="D172" s="7">
        <v>170.6</v>
      </c>
      <c r="E172" s="7">
        <v>103.4</v>
      </c>
      <c r="F172" s="7">
        <v>11.22</v>
      </c>
      <c r="G172" s="7">
        <v>11.34</v>
      </c>
      <c r="H172" s="7"/>
      <c r="I172" s="7"/>
      <c r="J172" s="7"/>
      <c r="K172" s="7">
        <v>1.478</v>
      </c>
      <c r="L172" s="7">
        <v>85.6</v>
      </c>
      <c r="M172" s="7">
        <v>0.6</v>
      </c>
      <c r="N172" s="7"/>
      <c r="O172">
        <v>230</v>
      </c>
      <c r="P172">
        <v>43.67</v>
      </c>
      <c r="Q172">
        <v>11.48</v>
      </c>
      <c r="S172">
        <v>11.13</v>
      </c>
      <c r="T172">
        <v>0</v>
      </c>
      <c r="U172">
        <v>98.6</v>
      </c>
      <c r="V172">
        <v>938</v>
      </c>
      <c r="W172">
        <v>42.67</v>
      </c>
      <c r="Y172">
        <v>13.74</v>
      </c>
    </row>
    <row r="173" spans="1:25" x14ac:dyDescent="0.25">
      <c r="A173">
        <v>2006</v>
      </c>
      <c r="B173">
        <v>128</v>
      </c>
      <c r="C173">
        <v>1200</v>
      </c>
      <c r="D173" s="7">
        <v>155.30000000000001</v>
      </c>
      <c r="E173" s="7">
        <v>89</v>
      </c>
      <c r="F173" s="7">
        <v>11.59</v>
      </c>
      <c r="G173" s="7">
        <v>11.96</v>
      </c>
      <c r="H173" s="7"/>
      <c r="I173" s="7"/>
      <c r="J173" s="7"/>
      <c r="K173" s="7">
        <v>1.9350000000000001</v>
      </c>
      <c r="L173" s="7">
        <v>90.5</v>
      </c>
      <c r="M173" s="7">
        <v>0.2</v>
      </c>
      <c r="N173" s="7"/>
      <c r="O173">
        <v>205.6</v>
      </c>
      <c r="P173">
        <v>38.590000000000003</v>
      </c>
      <c r="Q173">
        <v>11.43</v>
      </c>
      <c r="S173">
        <v>11.05</v>
      </c>
      <c r="T173">
        <v>0</v>
      </c>
      <c r="U173">
        <v>95.8</v>
      </c>
      <c r="V173">
        <v>955</v>
      </c>
      <c r="W173">
        <v>44.05</v>
      </c>
      <c r="Y173">
        <v>13.75</v>
      </c>
    </row>
    <row r="174" spans="1:25" x14ac:dyDescent="0.25">
      <c r="A174">
        <v>2006</v>
      </c>
      <c r="B174">
        <v>128</v>
      </c>
      <c r="C174">
        <v>1300</v>
      </c>
      <c r="D174" s="7">
        <v>532.79999999999995</v>
      </c>
      <c r="E174" s="7">
        <v>337.3</v>
      </c>
      <c r="F174" s="7">
        <v>13.74</v>
      </c>
      <c r="G174" s="7">
        <v>14.49</v>
      </c>
      <c r="H174" s="7"/>
      <c r="I174" s="7"/>
      <c r="J174" s="7"/>
      <c r="K174" s="7">
        <v>1.768</v>
      </c>
      <c r="L174" s="7">
        <v>83.2</v>
      </c>
      <c r="M174" s="7">
        <v>0</v>
      </c>
      <c r="N174" s="7"/>
      <c r="O174">
        <v>677.7</v>
      </c>
      <c r="P174">
        <v>151.80000000000001</v>
      </c>
      <c r="Q174">
        <v>11.54</v>
      </c>
      <c r="S174">
        <v>11.13</v>
      </c>
      <c r="T174">
        <v>0</v>
      </c>
      <c r="U174">
        <v>92.2</v>
      </c>
      <c r="V174">
        <v>894</v>
      </c>
      <c r="W174">
        <v>38.96</v>
      </c>
      <c r="Y174">
        <v>14.31</v>
      </c>
    </row>
    <row r="175" spans="1:25" x14ac:dyDescent="0.25">
      <c r="A175">
        <v>2006</v>
      </c>
      <c r="B175">
        <v>128</v>
      </c>
      <c r="C175">
        <v>1400</v>
      </c>
      <c r="D175" s="7">
        <v>387.2</v>
      </c>
      <c r="E175" s="7">
        <v>216</v>
      </c>
      <c r="F175" s="7">
        <v>16.55</v>
      </c>
      <c r="G175" s="7">
        <v>16.760000000000002</v>
      </c>
      <c r="H175" s="7"/>
      <c r="I175" s="7"/>
      <c r="J175" s="7"/>
      <c r="K175" s="7">
        <v>3.117</v>
      </c>
      <c r="L175" s="7">
        <v>91.8</v>
      </c>
      <c r="M175" s="7">
        <v>0</v>
      </c>
      <c r="N175" s="7"/>
      <c r="O175">
        <v>486.5</v>
      </c>
      <c r="P175">
        <v>133.9</v>
      </c>
      <c r="Q175">
        <v>11.67</v>
      </c>
      <c r="S175">
        <v>11.17</v>
      </c>
      <c r="T175">
        <v>0</v>
      </c>
      <c r="U175">
        <v>97.9</v>
      </c>
      <c r="V175">
        <v>875</v>
      </c>
      <c r="W175">
        <v>37.67</v>
      </c>
      <c r="Y175">
        <v>14.13</v>
      </c>
    </row>
    <row r="176" spans="1:25" x14ac:dyDescent="0.25">
      <c r="A176">
        <v>2006</v>
      </c>
      <c r="B176">
        <v>128</v>
      </c>
      <c r="C176">
        <v>1500</v>
      </c>
      <c r="D176" s="7">
        <v>388.4</v>
      </c>
      <c r="E176" s="7">
        <v>217.6</v>
      </c>
      <c r="F176" s="7">
        <v>16.940000000000001</v>
      </c>
      <c r="G176" s="7">
        <v>16.97</v>
      </c>
      <c r="H176" s="7"/>
      <c r="I176" s="7"/>
      <c r="J176" s="7"/>
      <c r="K176" s="7">
        <v>4.3419999999999996</v>
      </c>
      <c r="L176" s="7">
        <v>97.2</v>
      </c>
      <c r="M176" s="7">
        <v>0</v>
      </c>
      <c r="N176" s="7"/>
      <c r="O176">
        <v>482</v>
      </c>
      <c r="P176">
        <v>139</v>
      </c>
      <c r="Q176">
        <v>11.86</v>
      </c>
      <c r="S176">
        <v>11.2</v>
      </c>
      <c r="T176">
        <v>0</v>
      </c>
      <c r="U176">
        <v>99.8</v>
      </c>
      <c r="V176">
        <v>854</v>
      </c>
      <c r="W176">
        <v>36.33</v>
      </c>
      <c r="Y176">
        <v>14.12</v>
      </c>
    </row>
    <row r="177" spans="1:25" x14ac:dyDescent="0.25">
      <c r="A177">
        <v>2006</v>
      </c>
      <c r="B177">
        <v>128</v>
      </c>
      <c r="C177">
        <v>1600</v>
      </c>
      <c r="D177" s="7">
        <v>469.2</v>
      </c>
      <c r="E177" s="7">
        <v>264.7</v>
      </c>
      <c r="F177" s="7">
        <v>17.600000000000001</v>
      </c>
      <c r="G177" s="7">
        <v>17.53</v>
      </c>
      <c r="H177" s="7"/>
      <c r="I177" s="7"/>
      <c r="J177" s="7"/>
      <c r="K177" s="7">
        <v>4.8419999999999996</v>
      </c>
      <c r="L177" s="7">
        <v>99.3</v>
      </c>
      <c r="M177" s="7">
        <v>0</v>
      </c>
      <c r="N177" s="7"/>
      <c r="O177">
        <v>569.5</v>
      </c>
      <c r="P177">
        <v>190.1</v>
      </c>
      <c r="Q177">
        <v>12.04</v>
      </c>
      <c r="S177">
        <v>11.32</v>
      </c>
      <c r="T177">
        <v>0</v>
      </c>
      <c r="U177">
        <v>100.6</v>
      </c>
      <c r="V177">
        <v>839</v>
      </c>
      <c r="W177">
        <v>35.409999999999997</v>
      </c>
      <c r="Y177">
        <v>14.19</v>
      </c>
    </row>
    <row r="178" spans="1:25" x14ac:dyDescent="0.25">
      <c r="A178">
        <v>2006</v>
      </c>
      <c r="B178">
        <v>128</v>
      </c>
      <c r="C178">
        <v>1700</v>
      </c>
      <c r="D178" s="7">
        <v>407.9</v>
      </c>
      <c r="E178" s="7">
        <v>227.8</v>
      </c>
      <c r="F178" s="7">
        <v>16.59</v>
      </c>
      <c r="G178" s="7">
        <v>16.36</v>
      </c>
      <c r="H178" s="7"/>
      <c r="I178" s="7"/>
      <c r="J178" s="7"/>
      <c r="K178" s="7">
        <v>3.875</v>
      </c>
      <c r="L178" s="7">
        <v>115.3</v>
      </c>
      <c r="M178" s="7">
        <v>0</v>
      </c>
      <c r="N178" s="7"/>
      <c r="O178">
        <v>494.6</v>
      </c>
      <c r="P178">
        <v>201.8</v>
      </c>
      <c r="Q178">
        <v>12.18</v>
      </c>
      <c r="S178">
        <v>11.43</v>
      </c>
      <c r="T178">
        <v>0</v>
      </c>
      <c r="U178">
        <v>102.3</v>
      </c>
      <c r="V178">
        <v>829</v>
      </c>
      <c r="W178">
        <v>34.85</v>
      </c>
      <c r="Y178">
        <v>14.01</v>
      </c>
    </row>
    <row r="179" spans="1:25" x14ac:dyDescent="0.25">
      <c r="A179">
        <v>2006</v>
      </c>
      <c r="B179">
        <v>128</v>
      </c>
      <c r="C179">
        <v>1800</v>
      </c>
      <c r="D179" s="7">
        <v>122.2</v>
      </c>
      <c r="E179" s="7">
        <v>48.02</v>
      </c>
      <c r="F179" s="7">
        <v>14.64</v>
      </c>
      <c r="G179" s="7">
        <v>14.48</v>
      </c>
      <c r="H179" s="7"/>
      <c r="I179" s="7"/>
      <c r="J179" s="7"/>
      <c r="K179" s="7">
        <v>3.0649999999999999</v>
      </c>
      <c r="L179" s="7">
        <v>126.4</v>
      </c>
      <c r="M179" s="7">
        <v>0.2</v>
      </c>
      <c r="N179" s="7"/>
      <c r="O179">
        <v>148.80000000000001</v>
      </c>
      <c r="P179">
        <v>43.02</v>
      </c>
      <c r="Q179">
        <v>12.27</v>
      </c>
      <c r="S179">
        <v>11.47</v>
      </c>
      <c r="T179">
        <v>0</v>
      </c>
      <c r="U179">
        <v>101.6</v>
      </c>
      <c r="V179">
        <v>823</v>
      </c>
      <c r="W179">
        <v>34.49</v>
      </c>
      <c r="Y179">
        <v>13.77</v>
      </c>
    </row>
    <row r="180" spans="1:25" x14ac:dyDescent="0.25">
      <c r="A180">
        <v>2006</v>
      </c>
      <c r="B180">
        <v>128</v>
      </c>
      <c r="C180">
        <v>1900</v>
      </c>
      <c r="D180" s="7">
        <v>27.45</v>
      </c>
      <c r="E180" s="7">
        <v>-2.02</v>
      </c>
      <c r="F180" s="7">
        <v>12.31</v>
      </c>
      <c r="G180" s="7">
        <v>12.29</v>
      </c>
      <c r="H180" s="7"/>
      <c r="I180" s="7"/>
      <c r="J180" s="7"/>
      <c r="K180" s="7">
        <v>2.9470000000000001</v>
      </c>
      <c r="L180" s="7">
        <v>117.5</v>
      </c>
      <c r="M180" s="7">
        <v>1.8</v>
      </c>
      <c r="N180" s="7"/>
      <c r="O180">
        <v>28.95</v>
      </c>
      <c r="P180">
        <v>-1.57</v>
      </c>
      <c r="Q180">
        <v>12.3</v>
      </c>
      <c r="S180">
        <v>11.54</v>
      </c>
      <c r="T180">
        <v>0</v>
      </c>
      <c r="U180">
        <v>100.3</v>
      </c>
      <c r="V180">
        <v>822</v>
      </c>
      <c r="W180">
        <v>34.44</v>
      </c>
      <c r="Y180">
        <v>13.56</v>
      </c>
    </row>
    <row r="181" spans="1:25" x14ac:dyDescent="0.25">
      <c r="A181">
        <v>2006</v>
      </c>
      <c r="B181">
        <v>128</v>
      </c>
      <c r="C181">
        <v>2000</v>
      </c>
      <c r="D181" s="7">
        <v>14.68</v>
      </c>
      <c r="E181" s="7">
        <v>-8.56</v>
      </c>
      <c r="F181" s="7">
        <v>11.63</v>
      </c>
      <c r="G181" s="7">
        <v>11.49</v>
      </c>
      <c r="H181" s="7"/>
      <c r="I181" s="7"/>
      <c r="J181" s="7"/>
      <c r="K181" s="7">
        <v>1.5629999999999999</v>
      </c>
      <c r="L181" s="7">
        <v>95.7</v>
      </c>
      <c r="M181" s="7">
        <v>0</v>
      </c>
      <c r="N181" s="7"/>
      <c r="O181">
        <v>10.97</v>
      </c>
      <c r="P181">
        <v>-5.851</v>
      </c>
      <c r="Q181">
        <v>12.32</v>
      </c>
      <c r="S181">
        <v>11.64</v>
      </c>
      <c r="T181">
        <v>0</v>
      </c>
      <c r="U181">
        <v>101.6</v>
      </c>
      <c r="V181">
        <v>900</v>
      </c>
      <c r="W181">
        <v>39.5</v>
      </c>
      <c r="Y181">
        <v>13.45</v>
      </c>
    </row>
    <row r="182" spans="1:25" x14ac:dyDescent="0.25">
      <c r="A182">
        <v>2006</v>
      </c>
      <c r="B182">
        <v>128</v>
      </c>
      <c r="C182">
        <v>2100</v>
      </c>
      <c r="D182" s="7">
        <v>-0.28499999999999998</v>
      </c>
      <c r="E182" s="7">
        <v>-16.350000000000001</v>
      </c>
      <c r="F182" s="7">
        <v>11.41</v>
      </c>
      <c r="G182" s="7">
        <v>11.38</v>
      </c>
      <c r="H182" s="7"/>
      <c r="I182" s="7"/>
      <c r="J182" s="7"/>
      <c r="K182" s="7">
        <v>2.0089999999999999</v>
      </c>
      <c r="L182" s="7">
        <v>105.6</v>
      </c>
      <c r="M182" s="7">
        <v>0</v>
      </c>
      <c r="N182" s="7"/>
      <c r="O182">
        <v>-10.83</v>
      </c>
      <c r="P182">
        <v>-10.73</v>
      </c>
      <c r="Q182">
        <v>12.32</v>
      </c>
      <c r="S182">
        <v>11.69</v>
      </c>
      <c r="T182">
        <v>0</v>
      </c>
      <c r="U182">
        <v>100.4</v>
      </c>
      <c r="V182">
        <v>870</v>
      </c>
      <c r="W182">
        <v>37.32</v>
      </c>
      <c r="Y182">
        <v>13.36</v>
      </c>
    </row>
    <row r="183" spans="1:25" x14ac:dyDescent="0.25">
      <c r="A183">
        <v>2006</v>
      </c>
      <c r="B183">
        <v>128</v>
      </c>
      <c r="C183">
        <v>2200</v>
      </c>
      <c r="D183" s="7">
        <v>-0.92400000000000004</v>
      </c>
      <c r="E183" s="7">
        <v>-15.45</v>
      </c>
      <c r="F183" s="7">
        <v>11.25</v>
      </c>
      <c r="G183" s="7">
        <v>11.43</v>
      </c>
      <c r="H183" s="7"/>
      <c r="I183" s="7"/>
      <c r="J183" s="7"/>
      <c r="K183" s="7">
        <v>2.202</v>
      </c>
      <c r="L183" s="7">
        <v>109.3</v>
      </c>
      <c r="M183" s="7">
        <v>0</v>
      </c>
      <c r="N183" s="7"/>
      <c r="O183">
        <v>-11.49</v>
      </c>
      <c r="P183">
        <v>-10.84</v>
      </c>
      <c r="Q183">
        <v>12.24</v>
      </c>
      <c r="S183">
        <v>11.69</v>
      </c>
      <c r="T183">
        <v>0</v>
      </c>
      <c r="U183">
        <v>98</v>
      </c>
      <c r="V183">
        <v>853</v>
      </c>
      <c r="W183">
        <v>36.270000000000003</v>
      </c>
      <c r="Y183">
        <v>13.28</v>
      </c>
    </row>
    <row r="184" spans="1:25" x14ac:dyDescent="0.25">
      <c r="A184">
        <v>2006</v>
      </c>
      <c r="B184">
        <v>128</v>
      </c>
      <c r="C184">
        <v>2300</v>
      </c>
      <c r="D184" s="7">
        <v>-1.3959999999999999</v>
      </c>
      <c r="E184" s="7">
        <v>-21.25</v>
      </c>
      <c r="F184" s="7">
        <v>11.23</v>
      </c>
      <c r="G184" s="7">
        <v>11.4</v>
      </c>
      <c r="H184" s="7"/>
      <c r="I184" s="7"/>
      <c r="J184" s="7"/>
      <c r="K184" s="7">
        <v>1.4079999999999999</v>
      </c>
      <c r="L184" s="7">
        <v>104.4</v>
      </c>
      <c r="M184" s="7">
        <v>0</v>
      </c>
      <c r="N184" s="7"/>
      <c r="O184">
        <v>-11.49</v>
      </c>
      <c r="P184">
        <v>-10.84</v>
      </c>
      <c r="Q184">
        <v>12.18</v>
      </c>
      <c r="S184">
        <v>11.67</v>
      </c>
      <c r="T184">
        <v>0</v>
      </c>
      <c r="U184">
        <v>98</v>
      </c>
      <c r="V184">
        <v>844</v>
      </c>
      <c r="W184">
        <v>35.71</v>
      </c>
      <c r="Y184">
        <v>13.21</v>
      </c>
    </row>
    <row r="185" spans="1:25" x14ac:dyDescent="0.25">
      <c r="A185">
        <v>2006</v>
      </c>
      <c r="B185">
        <v>128</v>
      </c>
      <c r="C185">
        <v>2400</v>
      </c>
      <c r="D185" s="7">
        <v>-0.83299999999999996</v>
      </c>
      <c r="E185" s="7">
        <v>-12.91</v>
      </c>
      <c r="F185" s="7">
        <v>10.53</v>
      </c>
      <c r="G185" s="7">
        <v>10.63</v>
      </c>
      <c r="H185" s="7"/>
      <c r="I185" s="7"/>
      <c r="J185" s="7"/>
      <c r="K185" s="7">
        <v>1.5880000000000001</v>
      </c>
      <c r="L185" s="7">
        <v>91.5</v>
      </c>
      <c r="M185" s="7">
        <v>1</v>
      </c>
      <c r="N185" s="7"/>
      <c r="O185">
        <v>-11.49</v>
      </c>
      <c r="P185">
        <v>-10.84</v>
      </c>
      <c r="Q185">
        <v>12.12</v>
      </c>
      <c r="S185">
        <v>11.61</v>
      </c>
      <c r="T185">
        <v>0</v>
      </c>
      <c r="U185">
        <v>98.9</v>
      </c>
      <c r="V185">
        <v>847</v>
      </c>
      <c r="W185">
        <v>35.869999999999997</v>
      </c>
      <c r="Y185">
        <v>13.15</v>
      </c>
    </row>
    <row r="186" spans="1:25" x14ac:dyDescent="0.25">
      <c r="A186">
        <v>2006</v>
      </c>
      <c r="B186">
        <v>129</v>
      </c>
      <c r="C186">
        <v>100</v>
      </c>
      <c r="D186" s="7">
        <v>-0.78400000000000003</v>
      </c>
      <c r="E186" s="7">
        <v>-17.420000000000002</v>
      </c>
      <c r="F186" s="7">
        <v>9.73</v>
      </c>
      <c r="G186" s="7">
        <v>10</v>
      </c>
      <c r="H186" s="7"/>
      <c r="I186" s="7"/>
      <c r="J186" s="7"/>
      <c r="K186" s="7">
        <v>2.5209999999999999</v>
      </c>
      <c r="L186" s="7">
        <v>107.6</v>
      </c>
      <c r="M186" s="7">
        <v>0.2</v>
      </c>
      <c r="N186" s="7"/>
      <c r="O186">
        <v>-11.5</v>
      </c>
      <c r="P186">
        <v>-10.84</v>
      </c>
      <c r="Q186">
        <v>12.07</v>
      </c>
      <c r="S186">
        <v>11.59</v>
      </c>
      <c r="T186">
        <v>0</v>
      </c>
      <c r="U186">
        <v>96.8</v>
      </c>
      <c r="V186">
        <v>859</v>
      </c>
      <c r="W186">
        <v>36.6</v>
      </c>
      <c r="Y186">
        <v>13.09</v>
      </c>
    </row>
    <row r="187" spans="1:25" x14ac:dyDescent="0.25">
      <c r="A187">
        <v>2006</v>
      </c>
      <c r="B187">
        <v>129</v>
      </c>
      <c r="C187">
        <v>200</v>
      </c>
      <c r="D187" s="7">
        <v>-1.405</v>
      </c>
      <c r="E187" s="7">
        <v>-25.79</v>
      </c>
      <c r="F187" s="7">
        <v>9.16</v>
      </c>
      <c r="G187" s="7">
        <v>9.4</v>
      </c>
      <c r="H187" s="7"/>
      <c r="I187" s="7"/>
      <c r="J187" s="7"/>
      <c r="K187" s="7">
        <v>1.302</v>
      </c>
      <c r="L187" s="7">
        <v>93.3</v>
      </c>
      <c r="M187" s="7">
        <v>0</v>
      </c>
      <c r="N187" s="7"/>
      <c r="O187">
        <v>-11.5</v>
      </c>
      <c r="P187">
        <v>-10.84</v>
      </c>
      <c r="Q187">
        <v>12.02</v>
      </c>
      <c r="S187">
        <v>11.56</v>
      </c>
      <c r="T187">
        <v>0</v>
      </c>
      <c r="U187">
        <v>97</v>
      </c>
      <c r="V187">
        <v>848</v>
      </c>
      <c r="W187">
        <v>35.96</v>
      </c>
      <c r="Y187">
        <v>13.03</v>
      </c>
    </row>
    <row r="188" spans="1:25" x14ac:dyDescent="0.25">
      <c r="A188">
        <v>2006</v>
      </c>
      <c r="B188">
        <v>129</v>
      </c>
      <c r="C188">
        <v>300</v>
      </c>
      <c r="D188" s="7">
        <v>-1.2949999999999999</v>
      </c>
      <c r="E188" s="7">
        <v>-23.28</v>
      </c>
      <c r="F188" s="7">
        <v>8.7899999999999991</v>
      </c>
      <c r="G188" s="7">
        <v>8.9600000000000009</v>
      </c>
      <c r="H188" s="7"/>
      <c r="I188" s="7"/>
      <c r="J188" s="7"/>
      <c r="K188" s="7">
        <v>0.76200000000000001</v>
      </c>
      <c r="L188" s="7">
        <v>94.8</v>
      </c>
      <c r="M188" s="7">
        <v>0</v>
      </c>
      <c r="N188" s="7"/>
      <c r="O188">
        <v>-11.5</v>
      </c>
      <c r="P188">
        <v>-10.84</v>
      </c>
      <c r="Q188">
        <v>11.9</v>
      </c>
      <c r="S188">
        <v>11.48</v>
      </c>
      <c r="T188">
        <v>0</v>
      </c>
      <c r="U188">
        <v>97.8</v>
      </c>
      <c r="V188">
        <v>849</v>
      </c>
      <c r="W188">
        <v>35.99</v>
      </c>
      <c r="Y188">
        <v>12.99</v>
      </c>
    </row>
    <row r="189" spans="1:25" x14ac:dyDescent="0.25">
      <c r="A189">
        <v>2006</v>
      </c>
      <c r="B189">
        <v>129</v>
      </c>
      <c r="C189">
        <v>400</v>
      </c>
      <c r="D189" s="7">
        <v>-0.94799999999999995</v>
      </c>
      <c r="E189" s="7">
        <v>-17.920000000000002</v>
      </c>
      <c r="F189" s="7">
        <v>8.64</v>
      </c>
      <c r="G189" s="7">
        <v>8.8000000000000007</v>
      </c>
      <c r="H189" s="7"/>
      <c r="I189" s="7"/>
      <c r="J189" s="7"/>
      <c r="K189" s="7">
        <v>0.80600000000000005</v>
      </c>
      <c r="L189" s="7">
        <v>91.4</v>
      </c>
      <c r="M189" s="7">
        <v>0</v>
      </c>
      <c r="N189" s="7"/>
      <c r="O189">
        <v>-11.5</v>
      </c>
      <c r="P189">
        <v>-10.84</v>
      </c>
      <c r="Q189">
        <v>11.8</v>
      </c>
      <c r="S189">
        <v>11.4</v>
      </c>
      <c r="T189">
        <v>0</v>
      </c>
      <c r="U189">
        <v>98</v>
      </c>
      <c r="V189">
        <v>842</v>
      </c>
      <c r="W189">
        <v>35.58</v>
      </c>
      <c r="Y189">
        <v>12.95</v>
      </c>
    </row>
    <row r="190" spans="1:25" x14ac:dyDescent="0.25">
      <c r="A190">
        <v>2006</v>
      </c>
      <c r="B190">
        <v>129</v>
      </c>
      <c r="C190">
        <v>500</v>
      </c>
      <c r="D190" s="7">
        <v>2.4239999999999999</v>
      </c>
      <c r="E190" s="7">
        <v>-17.329999999999998</v>
      </c>
      <c r="F190" s="7">
        <v>8.67</v>
      </c>
      <c r="G190" s="7">
        <v>8.89</v>
      </c>
      <c r="H190" s="7"/>
      <c r="I190" s="7"/>
      <c r="J190" s="7"/>
      <c r="K190" s="7">
        <v>0.73499999999999999</v>
      </c>
      <c r="L190" s="7">
        <v>92.3</v>
      </c>
      <c r="M190" s="7">
        <v>0</v>
      </c>
      <c r="N190" s="7"/>
      <c r="O190">
        <v>-6.4029999999999996</v>
      </c>
      <c r="P190">
        <v>-9.52</v>
      </c>
      <c r="Q190">
        <v>11.7</v>
      </c>
      <c r="S190">
        <v>11.34</v>
      </c>
      <c r="T190">
        <v>0</v>
      </c>
      <c r="U190">
        <v>97.2</v>
      </c>
      <c r="V190">
        <v>838</v>
      </c>
      <c r="W190">
        <v>35.35</v>
      </c>
      <c r="Y190">
        <v>12.93</v>
      </c>
    </row>
    <row r="191" spans="1:25" x14ac:dyDescent="0.25">
      <c r="A191">
        <v>2006</v>
      </c>
      <c r="B191">
        <v>129</v>
      </c>
      <c r="C191">
        <v>600</v>
      </c>
      <c r="D191" s="7">
        <v>37.729999999999997</v>
      </c>
      <c r="E191" s="7">
        <v>-0.497</v>
      </c>
      <c r="F191" s="7">
        <v>8.7100000000000009</v>
      </c>
      <c r="G191" s="7">
        <v>9.02</v>
      </c>
      <c r="H191" s="7"/>
      <c r="I191" s="7"/>
      <c r="J191" s="7"/>
      <c r="K191" s="7">
        <v>0.78300000000000003</v>
      </c>
      <c r="L191" s="7">
        <v>96.9</v>
      </c>
      <c r="M191" s="7">
        <v>0</v>
      </c>
      <c r="N191" s="7"/>
      <c r="O191">
        <v>40.57</v>
      </c>
      <c r="P191">
        <v>3.51</v>
      </c>
      <c r="Q191">
        <v>11.6</v>
      </c>
      <c r="S191">
        <v>11.26</v>
      </c>
      <c r="T191">
        <v>0</v>
      </c>
      <c r="U191">
        <v>96.2</v>
      </c>
      <c r="V191">
        <v>831</v>
      </c>
      <c r="W191">
        <v>34.94</v>
      </c>
      <c r="Y191">
        <v>12.95</v>
      </c>
    </row>
    <row r="192" spans="1:25" x14ac:dyDescent="0.25">
      <c r="A192">
        <v>2006</v>
      </c>
      <c r="B192">
        <v>129</v>
      </c>
      <c r="C192">
        <v>700</v>
      </c>
      <c r="D192" s="7">
        <v>51.54</v>
      </c>
      <c r="E192" s="7">
        <v>9.11</v>
      </c>
      <c r="F192" s="7">
        <v>8.9700000000000006</v>
      </c>
      <c r="G192" s="7">
        <v>9.24</v>
      </c>
      <c r="H192" s="7"/>
      <c r="I192" s="7"/>
      <c r="J192" s="7"/>
      <c r="K192" s="7">
        <v>0.70799999999999996</v>
      </c>
      <c r="L192" s="7">
        <v>77.2</v>
      </c>
      <c r="M192" s="7">
        <v>0</v>
      </c>
      <c r="N192" s="7"/>
      <c r="O192">
        <v>58.04</v>
      </c>
      <c r="P192">
        <v>8.89</v>
      </c>
      <c r="Q192">
        <v>11.56</v>
      </c>
      <c r="S192">
        <v>11.2</v>
      </c>
      <c r="T192">
        <v>0</v>
      </c>
      <c r="U192">
        <v>96.7</v>
      </c>
      <c r="V192">
        <v>827</v>
      </c>
      <c r="W192">
        <v>34.700000000000003</v>
      </c>
      <c r="Y192">
        <v>13.25</v>
      </c>
    </row>
    <row r="193" spans="1:25" x14ac:dyDescent="0.25">
      <c r="A193">
        <v>2006</v>
      </c>
      <c r="B193">
        <v>129</v>
      </c>
      <c r="C193">
        <v>800</v>
      </c>
      <c r="D193" s="7">
        <v>49.65</v>
      </c>
      <c r="E193" s="7">
        <v>19.37</v>
      </c>
      <c r="F193" s="7">
        <v>9.3800000000000008</v>
      </c>
      <c r="G193" s="7">
        <v>9.61</v>
      </c>
      <c r="H193" s="7"/>
      <c r="I193" s="7"/>
      <c r="J193" s="7"/>
      <c r="K193" s="7">
        <v>1.4319999999999999</v>
      </c>
      <c r="L193" s="7">
        <v>97.2</v>
      </c>
      <c r="M193" s="7">
        <v>0</v>
      </c>
      <c r="N193" s="7"/>
      <c r="O193">
        <v>59.08</v>
      </c>
      <c r="P193">
        <v>8.69</v>
      </c>
      <c r="Q193">
        <v>11.49</v>
      </c>
      <c r="S193">
        <v>11.14</v>
      </c>
      <c r="T193">
        <v>0</v>
      </c>
      <c r="U193">
        <v>97.1</v>
      </c>
      <c r="V193">
        <v>830</v>
      </c>
      <c r="W193">
        <v>34.909999999999997</v>
      </c>
      <c r="Y193">
        <v>13.27</v>
      </c>
    </row>
    <row r="194" spans="1:25" x14ac:dyDescent="0.25">
      <c r="A194">
        <v>2006</v>
      </c>
      <c r="B194">
        <v>129</v>
      </c>
      <c r="C194">
        <v>900</v>
      </c>
      <c r="D194" s="7">
        <v>265.10000000000002</v>
      </c>
      <c r="E194" s="7">
        <v>159.80000000000001</v>
      </c>
      <c r="F194" s="7">
        <v>10.63</v>
      </c>
      <c r="G194" s="7">
        <v>11.04</v>
      </c>
      <c r="H194" s="7">
        <f>AVERAGE(G194:G217)</f>
        <v>13.11125</v>
      </c>
      <c r="I194" s="7">
        <f>MIN(G194:G217)</f>
        <v>8.56</v>
      </c>
      <c r="J194" s="7">
        <f>MAX(G194:G217)</f>
        <v>18.34</v>
      </c>
      <c r="K194" s="7">
        <v>1.91</v>
      </c>
      <c r="L194" s="7">
        <v>90.9</v>
      </c>
      <c r="M194" s="7">
        <v>0</v>
      </c>
      <c r="N194" s="7">
        <f>SUM(M194:M217)</f>
        <v>0</v>
      </c>
      <c r="O194">
        <v>341.5</v>
      </c>
      <c r="P194">
        <v>93.8</v>
      </c>
      <c r="Q194">
        <v>11.49</v>
      </c>
      <c r="R194">
        <f>AVERAGE(Q194:Q217)</f>
        <v>12.580833333333336</v>
      </c>
      <c r="S194">
        <v>11.15</v>
      </c>
      <c r="T194">
        <v>0</v>
      </c>
      <c r="U194">
        <v>95.3</v>
      </c>
      <c r="V194">
        <v>822</v>
      </c>
      <c r="W194">
        <v>34.44</v>
      </c>
      <c r="X194">
        <f>AVERAGE(W194:W217)</f>
        <v>33.201249999999995</v>
      </c>
      <c r="Y194">
        <v>13.87</v>
      </c>
    </row>
    <row r="195" spans="1:25" x14ac:dyDescent="0.25">
      <c r="A195">
        <v>2006</v>
      </c>
      <c r="B195">
        <v>129</v>
      </c>
      <c r="C195">
        <v>1000</v>
      </c>
      <c r="D195" s="7">
        <v>532.6</v>
      </c>
      <c r="E195" s="7">
        <v>321</v>
      </c>
      <c r="F195" s="7">
        <v>13.34</v>
      </c>
      <c r="G195" s="7">
        <v>13.47</v>
      </c>
      <c r="H195" s="7"/>
      <c r="I195" s="7"/>
      <c r="J195" s="7"/>
      <c r="K195" s="7">
        <v>2.649</v>
      </c>
      <c r="L195" s="7">
        <v>103.1</v>
      </c>
      <c r="M195" s="7">
        <v>0</v>
      </c>
      <c r="N195" s="7"/>
      <c r="O195">
        <v>673.3</v>
      </c>
      <c r="P195">
        <v>189.4</v>
      </c>
      <c r="Q195">
        <v>11.53</v>
      </c>
      <c r="S195">
        <v>11.17</v>
      </c>
      <c r="T195">
        <v>0</v>
      </c>
      <c r="U195">
        <v>98.5</v>
      </c>
      <c r="V195">
        <v>820</v>
      </c>
      <c r="W195">
        <v>34.32</v>
      </c>
      <c r="Y195">
        <v>14.61</v>
      </c>
    </row>
    <row r="196" spans="1:25" x14ac:dyDescent="0.25">
      <c r="A196">
        <v>2006</v>
      </c>
      <c r="B196">
        <v>129</v>
      </c>
      <c r="C196">
        <v>1100</v>
      </c>
      <c r="D196" s="7">
        <v>677.7</v>
      </c>
      <c r="E196" s="7">
        <v>422</v>
      </c>
      <c r="F196" s="7">
        <v>15.57</v>
      </c>
      <c r="G196" s="7">
        <v>15.26</v>
      </c>
      <c r="H196" s="7"/>
      <c r="I196" s="7"/>
      <c r="J196" s="7"/>
      <c r="K196" s="7">
        <v>2.29</v>
      </c>
      <c r="L196" s="7">
        <v>93.5</v>
      </c>
      <c r="M196" s="7">
        <v>0</v>
      </c>
      <c r="N196" s="7"/>
      <c r="O196">
        <v>855</v>
      </c>
      <c r="P196">
        <v>227.5</v>
      </c>
      <c r="Q196">
        <v>11.63</v>
      </c>
      <c r="S196">
        <v>11.17</v>
      </c>
      <c r="T196">
        <v>0</v>
      </c>
      <c r="U196">
        <v>103.3</v>
      </c>
      <c r="V196">
        <v>817</v>
      </c>
      <c r="W196">
        <v>34.14</v>
      </c>
      <c r="Y196">
        <v>14.6</v>
      </c>
    </row>
    <row r="197" spans="1:25" x14ac:dyDescent="0.25">
      <c r="A197">
        <v>2006</v>
      </c>
      <c r="B197">
        <v>129</v>
      </c>
      <c r="C197">
        <v>1200</v>
      </c>
      <c r="D197" s="7">
        <v>593.70000000000005</v>
      </c>
      <c r="E197" s="7">
        <v>356.8</v>
      </c>
      <c r="F197" s="7">
        <v>16.28</v>
      </c>
      <c r="G197" s="7">
        <v>15.82</v>
      </c>
      <c r="H197" s="7"/>
      <c r="I197" s="7"/>
      <c r="J197" s="7"/>
      <c r="K197" s="7">
        <v>1.8109999999999999</v>
      </c>
      <c r="L197" s="7">
        <v>88.6</v>
      </c>
      <c r="M197" s="7">
        <v>0</v>
      </c>
      <c r="N197" s="7"/>
      <c r="O197">
        <v>735</v>
      </c>
      <c r="P197">
        <v>190.6</v>
      </c>
      <c r="Q197">
        <v>11.84</v>
      </c>
      <c r="S197">
        <v>11.21</v>
      </c>
      <c r="T197">
        <v>0</v>
      </c>
      <c r="U197">
        <v>104.8</v>
      </c>
      <c r="V197">
        <v>813</v>
      </c>
      <c r="W197">
        <v>33.950000000000003</v>
      </c>
      <c r="Y197">
        <v>14.37</v>
      </c>
    </row>
    <row r="198" spans="1:25" x14ac:dyDescent="0.25">
      <c r="A198">
        <v>2006</v>
      </c>
      <c r="B198">
        <v>129</v>
      </c>
      <c r="C198">
        <v>1300</v>
      </c>
      <c r="D198" s="7">
        <v>747</v>
      </c>
      <c r="E198" s="7">
        <v>453.9</v>
      </c>
      <c r="F198" s="7">
        <v>17.440000000000001</v>
      </c>
      <c r="G198" s="7">
        <v>16.87</v>
      </c>
      <c r="H198" s="7"/>
      <c r="I198" s="7"/>
      <c r="J198" s="7"/>
      <c r="K198" s="7">
        <v>1.5569999999999999</v>
      </c>
      <c r="L198" s="7">
        <v>97.9</v>
      </c>
      <c r="M198" s="7">
        <v>0</v>
      </c>
      <c r="N198" s="7"/>
      <c r="O198">
        <v>932</v>
      </c>
      <c r="P198">
        <v>242</v>
      </c>
      <c r="Q198">
        <v>12.11</v>
      </c>
      <c r="S198">
        <v>11.34</v>
      </c>
      <c r="T198">
        <v>0</v>
      </c>
      <c r="U198">
        <v>105.7</v>
      </c>
      <c r="V198">
        <v>809</v>
      </c>
      <c r="W198">
        <v>33.75</v>
      </c>
      <c r="Y198">
        <v>14.45</v>
      </c>
    </row>
    <row r="199" spans="1:25" x14ac:dyDescent="0.25">
      <c r="A199">
        <v>2006</v>
      </c>
      <c r="B199">
        <v>129</v>
      </c>
      <c r="C199">
        <v>1400</v>
      </c>
      <c r="D199" s="7">
        <v>673.1</v>
      </c>
      <c r="E199" s="7">
        <v>391.4</v>
      </c>
      <c r="F199" s="7">
        <v>18.2</v>
      </c>
      <c r="G199" s="7">
        <v>17.57</v>
      </c>
      <c r="H199" s="7"/>
      <c r="I199" s="7"/>
      <c r="J199" s="7"/>
      <c r="K199" s="7">
        <v>1.742</v>
      </c>
      <c r="L199" s="7">
        <v>110.2</v>
      </c>
      <c r="M199" s="7">
        <v>0</v>
      </c>
      <c r="N199" s="7"/>
      <c r="O199">
        <v>827</v>
      </c>
      <c r="P199">
        <v>222.3</v>
      </c>
      <c r="Q199">
        <v>12.41</v>
      </c>
      <c r="S199">
        <v>11.54</v>
      </c>
      <c r="T199">
        <v>0</v>
      </c>
      <c r="U199">
        <v>106.2</v>
      </c>
      <c r="V199">
        <v>806</v>
      </c>
      <c r="W199">
        <v>33.549999999999997</v>
      </c>
      <c r="Y199">
        <v>14.38</v>
      </c>
    </row>
    <row r="200" spans="1:25" x14ac:dyDescent="0.25">
      <c r="A200">
        <v>2006</v>
      </c>
      <c r="B200">
        <v>129</v>
      </c>
      <c r="C200">
        <v>1500</v>
      </c>
      <c r="D200" s="7">
        <v>618.29999999999995</v>
      </c>
      <c r="E200" s="7">
        <v>355.9</v>
      </c>
      <c r="F200" s="7">
        <v>18.63</v>
      </c>
      <c r="G200" s="7">
        <v>17.95</v>
      </c>
      <c r="H200" s="7"/>
      <c r="I200" s="7"/>
      <c r="J200" s="7"/>
      <c r="K200" s="7">
        <v>1.63</v>
      </c>
      <c r="L200" s="7">
        <v>103.7</v>
      </c>
      <c r="M200" s="7">
        <v>0</v>
      </c>
      <c r="N200" s="7"/>
      <c r="O200">
        <v>757</v>
      </c>
      <c r="P200">
        <v>220.5</v>
      </c>
      <c r="Q200">
        <v>12.69</v>
      </c>
      <c r="S200">
        <v>11.77</v>
      </c>
      <c r="T200">
        <v>0</v>
      </c>
      <c r="U200">
        <v>106.6</v>
      </c>
      <c r="V200">
        <v>802</v>
      </c>
      <c r="W200">
        <v>33.369999999999997</v>
      </c>
      <c r="Y200">
        <v>14.27</v>
      </c>
    </row>
    <row r="201" spans="1:25" x14ac:dyDescent="0.25">
      <c r="A201">
        <v>2006</v>
      </c>
      <c r="B201">
        <v>129</v>
      </c>
      <c r="C201">
        <v>1600</v>
      </c>
      <c r="D201" s="7">
        <v>547.4</v>
      </c>
      <c r="E201" s="7">
        <v>308.89999999999998</v>
      </c>
      <c r="F201" s="7">
        <v>19.04</v>
      </c>
      <c r="G201" s="7">
        <v>18.34</v>
      </c>
      <c r="H201" s="7"/>
      <c r="I201" s="7"/>
      <c r="J201" s="7"/>
      <c r="K201" s="7">
        <v>1.5820000000000001</v>
      </c>
      <c r="L201" s="7">
        <v>107.4</v>
      </c>
      <c r="M201" s="7">
        <v>0</v>
      </c>
      <c r="N201" s="7"/>
      <c r="O201">
        <v>668.6</v>
      </c>
      <c r="P201">
        <v>232.2</v>
      </c>
      <c r="Q201">
        <v>12.92</v>
      </c>
      <c r="S201">
        <v>12.02</v>
      </c>
      <c r="T201">
        <v>0</v>
      </c>
      <c r="U201">
        <v>106.7</v>
      </c>
      <c r="V201">
        <v>799</v>
      </c>
      <c r="W201">
        <v>33.19</v>
      </c>
      <c r="Y201">
        <v>14.21</v>
      </c>
    </row>
    <row r="202" spans="1:25" x14ac:dyDescent="0.25">
      <c r="A202">
        <v>2006</v>
      </c>
      <c r="B202">
        <v>129</v>
      </c>
      <c r="C202">
        <v>1700</v>
      </c>
      <c r="D202" s="7">
        <v>410.7</v>
      </c>
      <c r="E202" s="7">
        <v>219.9</v>
      </c>
      <c r="F202" s="7">
        <v>18.96</v>
      </c>
      <c r="G202" s="7">
        <v>18.29</v>
      </c>
      <c r="H202" s="7"/>
      <c r="I202" s="7"/>
      <c r="J202" s="7"/>
      <c r="K202" s="7">
        <v>1.4890000000000001</v>
      </c>
      <c r="L202" s="7">
        <v>95.3</v>
      </c>
      <c r="M202" s="7">
        <v>0</v>
      </c>
      <c r="N202" s="7"/>
      <c r="O202">
        <v>501.6</v>
      </c>
      <c r="P202">
        <v>205.2</v>
      </c>
      <c r="Q202">
        <v>13.12</v>
      </c>
      <c r="S202">
        <v>12.28</v>
      </c>
      <c r="T202">
        <v>0</v>
      </c>
      <c r="U202">
        <v>106.5</v>
      </c>
      <c r="V202">
        <v>795</v>
      </c>
      <c r="W202">
        <v>33</v>
      </c>
      <c r="Y202">
        <v>13.98</v>
      </c>
    </row>
    <row r="203" spans="1:25" x14ac:dyDescent="0.25">
      <c r="A203">
        <v>2006</v>
      </c>
      <c r="B203">
        <v>129</v>
      </c>
      <c r="C203">
        <v>1800</v>
      </c>
      <c r="D203" s="7">
        <v>270.60000000000002</v>
      </c>
      <c r="E203" s="7">
        <v>129.80000000000001</v>
      </c>
      <c r="F203" s="7">
        <v>18.68</v>
      </c>
      <c r="G203" s="7">
        <v>18.05</v>
      </c>
      <c r="H203" s="7"/>
      <c r="I203" s="7"/>
      <c r="J203" s="7"/>
      <c r="K203" s="7">
        <v>1.252</v>
      </c>
      <c r="L203" s="7">
        <v>100.5</v>
      </c>
      <c r="M203" s="7">
        <v>0</v>
      </c>
      <c r="N203" s="7"/>
      <c r="O203">
        <v>334.7</v>
      </c>
      <c r="P203">
        <v>156.30000000000001</v>
      </c>
      <c r="Q203">
        <v>13.29</v>
      </c>
      <c r="S203">
        <v>12.53</v>
      </c>
      <c r="T203">
        <v>0</v>
      </c>
      <c r="U203">
        <v>106.1</v>
      </c>
      <c r="V203">
        <v>793</v>
      </c>
      <c r="W203">
        <v>32.89</v>
      </c>
      <c r="Y203">
        <v>13.76</v>
      </c>
    </row>
    <row r="204" spans="1:25" x14ac:dyDescent="0.25">
      <c r="A204">
        <v>2006</v>
      </c>
      <c r="B204">
        <v>129</v>
      </c>
      <c r="C204">
        <v>1900</v>
      </c>
      <c r="D204" s="7">
        <v>134.19999999999999</v>
      </c>
      <c r="E204" s="7">
        <v>37.869999999999997</v>
      </c>
      <c r="F204" s="7">
        <v>18.010000000000002</v>
      </c>
      <c r="G204" s="7">
        <v>17.420000000000002</v>
      </c>
      <c r="H204" s="7"/>
      <c r="I204" s="7"/>
      <c r="J204" s="7"/>
      <c r="K204" s="7">
        <v>0.82399999999999995</v>
      </c>
      <c r="L204" s="7">
        <v>98.4</v>
      </c>
      <c r="M204" s="7">
        <v>0</v>
      </c>
      <c r="N204" s="7"/>
      <c r="O204">
        <v>167.6</v>
      </c>
      <c r="P204">
        <v>93.6</v>
      </c>
      <c r="Q204">
        <v>13.4</v>
      </c>
      <c r="S204">
        <v>12.72</v>
      </c>
      <c r="T204">
        <v>0</v>
      </c>
      <c r="U204">
        <v>105.8</v>
      </c>
      <c r="V204">
        <v>792</v>
      </c>
      <c r="W204">
        <v>32.85</v>
      </c>
      <c r="Y204">
        <v>13.62</v>
      </c>
    </row>
    <row r="205" spans="1:25" x14ac:dyDescent="0.25">
      <c r="A205">
        <v>2006</v>
      </c>
      <c r="B205">
        <v>129</v>
      </c>
      <c r="C205">
        <v>2000</v>
      </c>
      <c r="D205" s="7">
        <v>32.75</v>
      </c>
      <c r="E205" s="7">
        <v>-37.39</v>
      </c>
      <c r="F205" s="7">
        <v>15.04</v>
      </c>
      <c r="G205" s="7">
        <v>14.32</v>
      </c>
      <c r="H205" s="7"/>
      <c r="I205" s="7"/>
      <c r="J205" s="7"/>
      <c r="K205" s="7">
        <v>0.59799999999999998</v>
      </c>
      <c r="L205" s="7">
        <v>158.69999999999999</v>
      </c>
      <c r="M205" s="7">
        <v>0</v>
      </c>
      <c r="N205" s="7"/>
      <c r="O205">
        <v>35.24</v>
      </c>
      <c r="P205">
        <v>14.77</v>
      </c>
      <c r="Q205">
        <v>13.43</v>
      </c>
      <c r="S205">
        <v>12.79</v>
      </c>
      <c r="T205">
        <v>0</v>
      </c>
      <c r="U205">
        <v>107.8</v>
      </c>
      <c r="V205">
        <v>794</v>
      </c>
      <c r="W205">
        <v>32.93</v>
      </c>
      <c r="Y205">
        <v>13.47</v>
      </c>
    </row>
    <row r="206" spans="1:25" x14ac:dyDescent="0.25">
      <c r="A206">
        <v>2006</v>
      </c>
      <c r="B206">
        <v>129</v>
      </c>
      <c r="C206">
        <v>2100</v>
      </c>
      <c r="D206" s="7">
        <v>-2.335</v>
      </c>
      <c r="E206" s="7">
        <v>-59.54</v>
      </c>
      <c r="F206" s="7">
        <v>10.77</v>
      </c>
      <c r="G206" s="7">
        <v>10.4</v>
      </c>
      <c r="H206" s="7"/>
      <c r="I206" s="7"/>
      <c r="J206" s="7"/>
      <c r="K206" s="7">
        <v>0.40100000000000002</v>
      </c>
      <c r="L206" s="7">
        <v>192.7</v>
      </c>
      <c r="M206" s="7">
        <v>0</v>
      </c>
      <c r="N206" s="7"/>
      <c r="O206">
        <v>-10.01</v>
      </c>
      <c r="P206">
        <v>-10.49</v>
      </c>
      <c r="Q206">
        <v>13.41</v>
      </c>
      <c r="S206">
        <v>12.81</v>
      </c>
      <c r="T206">
        <v>0</v>
      </c>
      <c r="U206">
        <v>104.5</v>
      </c>
      <c r="V206">
        <v>790</v>
      </c>
      <c r="W206">
        <v>32.74</v>
      </c>
      <c r="Y206">
        <v>13.35</v>
      </c>
    </row>
    <row r="207" spans="1:25" x14ac:dyDescent="0.25">
      <c r="A207">
        <v>2006</v>
      </c>
      <c r="B207">
        <v>129</v>
      </c>
      <c r="C207">
        <v>2200</v>
      </c>
      <c r="D207" s="7">
        <v>-3.03</v>
      </c>
      <c r="E207" s="7">
        <v>-50.51</v>
      </c>
      <c r="F207" s="7">
        <v>9.39</v>
      </c>
      <c r="G207" s="7">
        <v>9.19</v>
      </c>
      <c r="H207" s="7"/>
      <c r="I207" s="7"/>
      <c r="J207" s="7"/>
      <c r="K207" s="7">
        <v>0.23599999999999999</v>
      </c>
      <c r="L207" s="7">
        <v>185.9</v>
      </c>
      <c r="M207" s="7">
        <v>0</v>
      </c>
      <c r="N207" s="7"/>
      <c r="O207">
        <v>-11.49</v>
      </c>
      <c r="P207">
        <v>-10.84</v>
      </c>
      <c r="Q207">
        <v>13.33</v>
      </c>
      <c r="S207">
        <v>12.82</v>
      </c>
      <c r="T207">
        <v>0</v>
      </c>
      <c r="U207">
        <v>102.6</v>
      </c>
      <c r="V207">
        <v>789</v>
      </c>
      <c r="W207">
        <v>32.71</v>
      </c>
      <c r="Y207">
        <v>13.27</v>
      </c>
    </row>
    <row r="208" spans="1:25" x14ac:dyDescent="0.25">
      <c r="A208">
        <v>2006</v>
      </c>
      <c r="B208">
        <v>129</v>
      </c>
      <c r="C208">
        <v>2300</v>
      </c>
      <c r="D208" s="7">
        <v>-2.573</v>
      </c>
      <c r="E208" s="7">
        <v>-39.44</v>
      </c>
      <c r="F208" s="7">
        <v>8.66</v>
      </c>
      <c r="G208" s="7">
        <v>8.56</v>
      </c>
      <c r="H208" s="7"/>
      <c r="I208" s="7"/>
      <c r="J208" s="7"/>
      <c r="K208" s="7">
        <v>0.111</v>
      </c>
      <c r="L208" s="7">
        <v>129.4</v>
      </c>
      <c r="M208" s="7">
        <v>0</v>
      </c>
      <c r="N208" s="7"/>
      <c r="O208">
        <v>-11.49</v>
      </c>
      <c r="P208">
        <v>-10.84</v>
      </c>
      <c r="Q208">
        <v>13.19</v>
      </c>
      <c r="S208">
        <v>12.8</v>
      </c>
      <c r="T208">
        <v>0</v>
      </c>
      <c r="U208">
        <v>101.3</v>
      </c>
      <c r="V208">
        <v>793</v>
      </c>
      <c r="W208">
        <v>32.89</v>
      </c>
      <c r="Y208">
        <v>13.2</v>
      </c>
    </row>
    <row r="209" spans="1:25" x14ac:dyDescent="0.25">
      <c r="A209">
        <v>2006</v>
      </c>
      <c r="B209">
        <v>129</v>
      </c>
      <c r="C209">
        <v>2400</v>
      </c>
      <c r="D209" s="7">
        <v>-3.4390000000000001</v>
      </c>
      <c r="E209" s="7">
        <v>-35.729999999999997</v>
      </c>
      <c r="F209" s="7">
        <v>10.06</v>
      </c>
      <c r="G209" s="7">
        <v>10.5</v>
      </c>
      <c r="H209" s="7"/>
      <c r="I209" s="7"/>
      <c r="J209" s="7"/>
      <c r="K209" s="7">
        <v>1.1359999999999999</v>
      </c>
      <c r="L209" s="7">
        <v>100.9</v>
      </c>
      <c r="M209" s="7">
        <v>0</v>
      </c>
      <c r="N209" s="7"/>
      <c r="O209">
        <v>-11.49</v>
      </c>
      <c r="P209">
        <v>-10.84</v>
      </c>
      <c r="Q209">
        <v>13</v>
      </c>
      <c r="S209">
        <v>12.71</v>
      </c>
      <c r="T209">
        <v>0</v>
      </c>
      <c r="U209">
        <v>95</v>
      </c>
      <c r="V209">
        <v>794</v>
      </c>
      <c r="W209">
        <v>32.950000000000003</v>
      </c>
      <c r="Y209">
        <v>13.13</v>
      </c>
    </row>
    <row r="210" spans="1:25" x14ac:dyDescent="0.25">
      <c r="A210">
        <v>2006</v>
      </c>
      <c r="B210">
        <v>130</v>
      </c>
      <c r="C210">
        <v>100</v>
      </c>
      <c r="D210" s="7">
        <v>-3.532</v>
      </c>
      <c r="E210" s="7">
        <v>-47.89</v>
      </c>
      <c r="F210" s="7">
        <v>11.16</v>
      </c>
      <c r="G210" s="7">
        <v>11.59</v>
      </c>
      <c r="H210" s="7"/>
      <c r="I210" s="7"/>
      <c r="J210" s="7"/>
      <c r="K210" s="7">
        <v>2.3650000000000002</v>
      </c>
      <c r="L210" s="7">
        <v>105.7</v>
      </c>
      <c r="M210" s="7">
        <v>0</v>
      </c>
      <c r="N210" s="7"/>
      <c r="O210">
        <v>-11.49</v>
      </c>
      <c r="P210">
        <v>-10.84</v>
      </c>
      <c r="Q210">
        <v>12.84</v>
      </c>
      <c r="S210">
        <v>12.63</v>
      </c>
      <c r="T210">
        <v>0</v>
      </c>
      <c r="U210">
        <v>95.1</v>
      </c>
      <c r="V210">
        <v>799</v>
      </c>
      <c r="W210">
        <v>33.19</v>
      </c>
      <c r="Y210">
        <v>13.07</v>
      </c>
    </row>
    <row r="211" spans="1:25" x14ac:dyDescent="0.25">
      <c r="A211">
        <v>2006</v>
      </c>
      <c r="B211">
        <v>130</v>
      </c>
      <c r="C211">
        <v>200</v>
      </c>
      <c r="D211" s="7">
        <v>-2.891</v>
      </c>
      <c r="E211" s="7">
        <v>-48.11</v>
      </c>
      <c r="F211" s="7">
        <v>10.57</v>
      </c>
      <c r="G211" s="7">
        <v>10.73</v>
      </c>
      <c r="H211" s="7"/>
      <c r="I211" s="7"/>
      <c r="J211" s="7"/>
      <c r="K211" s="7">
        <v>1.647</v>
      </c>
      <c r="L211" s="7">
        <v>101.5</v>
      </c>
      <c r="M211" s="7">
        <v>0</v>
      </c>
      <c r="N211" s="7"/>
      <c r="O211">
        <v>-11.49</v>
      </c>
      <c r="P211">
        <v>-10.84</v>
      </c>
      <c r="Q211">
        <v>12.68</v>
      </c>
      <c r="S211">
        <v>12.49</v>
      </c>
      <c r="T211">
        <v>0</v>
      </c>
      <c r="U211">
        <v>98.2</v>
      </c>
      <c r="V211">
        <v>798</v>
      </c>
      <c r="W211">
        <v>33.14</v>
      </c>
      <c r="Y211">
        <v>13.02</v>
      </c>
    </row>
    <row r="212" spans="1:25" x14ac:dyDescent="0.25">
      <c r="A212">
        <v>2006</v>
      </c>
      <c r="B212">
        <v>130</v>
      </c>
      <c r="C212">
        <v>300</v>
      </c>
      <c r="D212" s="7">
        <v>-2.9910000000000001</v>
      </c>
      <c r="E212" s="7">
        <v>-49.88</v>
      </c>
      <c r="F212" s="7">
        <v>9.5500000000000007</v>
      </c>
      <c r="G212" s="7">
        <v>9.52</v>
      </c>
      <c r="H212" s="7"/>
      <c r="I212" s="7"/>
      <c r="J212" s="7"/>
      <c r="K212" s="7">
        <v>1.109</v>
      </c>
      <c r="L212" s="7">
        <v>93.6</v>
      </c>
      <c r="M212" s="7">
        <v>0</v>
      </c>
      <c r="N212" s="7"/>
      <c r="O212">
        <v>-11.49</v>
      </c>
      <c r="P212">
        <v>-10.84</v>
      </c>
      <c r="Q212">
        <v>12.58</v>
      </c>
      <c r="S212">
        <v>12.38</v>
      </c>
      <c r="T212">
        <v>0</v>
      </c>
      <c r="U212">
        <v>100.4</v>
      </c>
      <c r="V212">
        <v>793</v>
      </c>
      <c r="W212">
        <v>32.89</v>
      </c>
      <c r="Y212">
        <v>12.98</v>
      </c>
    </row>
    <row r="213" spans="1:25" x14ac:dyDescent="0.25">
      <c r="A213">
        <v>2006</v>
      </c>
      <c r="B213">
        <v>130</v>
      </c>
      <c r="C213">
        <v>400</v>
      </c>
      <c r="D213" s="7">
        <v>-2.8889999999999998</v>
      </c>
      <c r="E213" s="7">
        <v>-48.88</v>
      </c>
      <c r="F213" s="7">
        <v>9.0299999999999994</v>
      </c>
      <c r="G213" s="7">
        <v>9.15</v>
      </c>
      <c r="H213" s="7"/>
      <c r="I213" s="7"/>
      <c r="J213" s="7"/>
      <c r="K213" s="7">
        <v>1.762</v>
      </c>
      <c r="L213" s="7">
        <v>104.6</v>
      </c>
      <c r="M213" s="7">
        <v>0</v>
      </c>
      <c r="N213" s="7"/>
      <c r="O213">
        <v>-11.48</v>
      </c>
      <c r="P213">
        <v>-10.84</v>
      </c>
      <c r="Q213">
        <v>12.45</v>
      </c>
      <c r="S213">
        <v>12.25</v>
      </c>
      <c r="T213">
        <v>0</v>
      </c>
      <c r="U213">
        <v>98.5</v>
      </c>
      <c r="V213">
        <v>791</v>
      </c>
      <c r="W213">
        <v>32.799999999999997</v>
      </c>
      <c r="Y213">
        <v>12.95</v>
      </c>
    </row>
    <row r="214" spans="1:25" x14ac:dyDescent="0.25">
      <c r="A214">
        <v>2006</v>
      </c>
      <c r="B214">
        <v>130</v>
      </c>
      <c r="C214">
        <v>500</v>
      </c>
      <c r="D214" s="7">
        <v>2.9649999999999999</v>
      </c>
      <c r="E214" s="7">
        <v>-44.62</v>
      </c>
      <c r="F214" s="7">
        <v>8.56</v>
      </c>
      <c r="G214" s="7">
        <v>8.64</v>
      </c>
      <c r="H214" s="7"/>
      <c r="I214" s="7"/>
      <c r="J214" s="7"/>
      <c r="K214" s="7">
        <v>1.1539999999999999</v>
      </c>
      <c r="L214" s="7">
        <v>101.3</v>
      </c>
      <c r="M214" s="7">
        <v>0</v>
      </c>
      <c r="N214" s="7"/>
      <c r="O214">
        <v>-3.4089999999999998</v>
      </c>
      <c r="P214">
        <v>-8.0500000000000007</v>
      </c>
      <c r="Q214">
        <v>12.29</v>
      </c>
      <c r="S214">
        <v>12.1</v>
      </c>
      <c r="T214">
        <v>0</v>
      </c>
      <c r="U214">
        <v>99</v>
      </c>
      <c r="V214">
        <v>791</v>
      </c>
      <c r="W214">
        <v>32.770000000000003</v>
      </c>
      <c r="Y214">
        <v>12.93</v>
      </c>
    </row>
    <row r="215" spans="1:25" x14ac:dyDescent="0.25">
      <c r="A215">
        <v>2006</v>
      </c>
      <c r="B215">
        <v>130</v>
      </c>
      <c r="C215">
        <v>600</v>
      </c>
      <c r="D215" s="7">
        <v>55.61</v>
      </c>
      <c r="E215" s="7">
        <v>-3.431</v>
      </c>
      <c r="F215" s="7">
        <v>9.11</v>
      </c>
      <c r="G215" s="7">
        <v>9.3800000000000008</v>
      </c>
      <c r="H215" s="7"/>
      <c r="I215" s="7"/>
      <c r="J215" s="7"/>
      <c r="K215" s="7">
        <v>2.2909999999999999</v>
      </c>
      <c r="L215" s="7">
        <v>108.4</v>
      </c>
      <c r="M215" s="7">
        <v>0</v>
      </c>
      <c r="N215" s="7"/>
      <c r="O215">
        <v>67.86</v>
      </c>
      <c r="P215">
        <v>21.73</v>
      </c>
      <c r="Q215">
        <v>12.15</v>
      </c>
      <c r="S215">
        <v>11.99</v>
      </c>
      <c r="T215">
        <v>0</v>
      </c>
      <c r="U215">
        <v>96.6</v>
      </c>
      <c r="V215">
        <v>791</v>
      </c>
      <c r="W215">
        <v>32.770000000000003</v>
      </c>
      <c r="Y215">
        <v>13.02</v>
      </c>
    </row>
    <row r="216" spans="1:25" x14ac:dyDescent="0.25">
      <c r="A216">
        <v>2006</v>
      </c>
      <c r="B216">
        <v>130</v>
      </c>
      <c r="C216">
        <v>700</v>
      </c>
      <c r="D216" s="7">
        <v>169.2</v>
      </c>
      <c r="E216" s="7">
        <v>92.6</v>
      </c>
      <c r="F216" s="7">
        <v>10.25</v>
      </c>
      <c r="G216" s="7">
        <v>10.44</v>
      </c>
      <c r="H216" s="7"/>
      <c r="I216" s="7"/>
      <c r="J216" s="7"/>
      <c r="K216" s="7">
        <v>2.1379999999999999</v>
      </c>
      <c r="L216" s="7">
        <v>106.6</v>
      </c>
      <c r="M216" s="7">
        <v>0</v>
      </c>
      <c r="N216" s="7"/>
      <c r="O216">
        <v>226</v>
      </c>
      <c r="P216">
        <v>84.6</v>
      </c>
      <c r="Q216">
        <v>12.11</v>
      </c>
      <c r="S216">
        <v>11.91</v>
      </c>
      <c r="T216">
        <v>0</v>
      </c>
      <c r="U216">
        <v>97.6</v>
      </c>
      <c r="V216">
        <v>792</v>
      </c>
      <c r="W216">
        <v>32.83</v>
      </c>
      <c r="Y216">
        <v>13.69</v>
      </c>
    </row>
    <row r="217" spans="1:25" x14ac:dyDescent="0.25">
      <c r="A217">
        <v>2006</v>
      </c>
      <c r="B217">
        <v>130</v>
      </c>
      <c r="C217">
        <v>800</v>
      </c>
      <c r="D217" s="7">
        <v>308.60000000000002</v>
      </c>
      <c r="E217" s="7">
        <v>197</v>
      </c>
      <c r="F217" s="7">
        <v>12.24</v>
      </c>
      <c r="G217" s="7">
        <v>12.17</v>
      </c>
      <c r="H217" s="7"/>
      <c r="I217" s="7"/>
      <c r="J217" s="7"/>
      <c r="K217" s="7">
        <v>1.849</v>
      </c>
      <c r="L217" s="7">
        <v>103.4</v>
      </c>
      <c r="M217" s="7">
        <v>0</v>
      </c>
      <c r="N217" s="7"/>
      <c r="O217">
        <v>421.4</v>
      </c>
      <c r="P217">
        <v>145.4</v>
      </c>
      <c r="Q217">
        <v>12.05</v>
      </c>
      <c r="S217">
        <v>11.88</v>
      </c>
      <c r="T217">
        <v>0</v>
      </c>
      <c r="U217">
        <v>100.9</v>
      </c>
      <c r="V217">
        <v>791</v>
      </c>
      <c r="W217">
        <v>32.770000000000003</v>
      </c>
      <c r="Y217">
        <v>14.19</v>
      </c>
    </row>
    <row r="218" spans="1:25" x14ac:dyDescent="0.25">
      <c r="A218">
        <v>2006</v>
      </c>
      <c r="B218">
        <v>130</v>
      </c>
      <c r="C218">
        <v>900</v>
      </c>
      <c r="D218" s="7">
        <v>454.2</v>
      </c>
      <c r="E218" s="7">
        <v>283.8</v>
      </c>
      <c r="F218" s="7">
        <v>13.87</v>
      </c>
      <c r="G218" s="7">
        <v>13.72</v>
      </c>
      <c r="H218" s="7">
        <f>AVERAGE(G218:G241)</f>
        <v>12.426083333333333</v>
      </c>
      <c r="I218" s="7">
        <f>MIN(G218:G241)</f>
        <v>4.282</v>
      </c>
      <c r="J218" s="7">
        <f>MAX(G218:G241)</f>
        <v>19.670000000000002</v>
      </c>
      <c r="K218" s="7">
        <v>2.1930000000000001</v>
      </c>
      <c r="L218" s="7">
        <v>104.5</v>
      </c>
      <c r="M218" s="7">
        <v>0</v>
      </c>
      <c r="N218" s="7">
        <f>SUM(M218:M241)</f>
        <v>0</v>
      </c>
      <c r="O218">
        <v>592</v>
      </c>
      <c r="P218">
        <v>186</v>
      </c>
      <c r="Q218">
        <v>12.1</v>
      </c>
      <c r="R218">
        <f>AVERAGE(Q218:Q241)</f>
        <v>13.112083333333333</v>
      </c>
      <c r="S218">
        <v>11.8</v>
      </c>
      <c r="T218">
        <v>0</v>
      </c>
      <c r="U218">
        <v>101.6</v>
      </c>
      <c r="V218">
        <v>790</v>
      </c>
      <c r="W218">
        <v>32.76</v>
      </c>
      <c r="X218">
        <f>AVERAGE(W218:W241)</f>
        <v>32.097500000000011</v>
      </c>
      <c r="Y218">
        <v>14.56</v>
      </c>
    </row>
    <row r="219" spans="1:25" x14ac:dyDescent="0.25">
      <c r="A219">
        <v>2006</v>
      </c>
      <c r="B219">
        <v>130</v>
      </c>
      <c r="C219">
        <v>1000</v>
      </c>
      <c r="D219" s="7">
        <v>583.29999999999995</v>
      </c>
      <c r="E219" s="7">
        <v>354.7</v>
      </c>
      <c r="F219" s="7">
        <v>16.239999999999998</v>
      </c>
      <c r="G219" s="7">
        <v>15.73</v>
      </c>
      <c r="H219" s="7"/>
      <c r="I219" s="7"/>
      <c r="J219" s="7"/>
      <c r="K219" s="7">
        <v>1.6539999999999999</v>
      </c>
      <c r="L219" s="7">
        <v>98</v>
      </c>
      <c r="M219" s="7">
        <v>0</v>
      </c>
      <c r="N219" s="7"/>
      <c r="O219">
        <v>754</v>
      </c>
      <c r="P219">
        <v>218.1</v>
      </c>
      <c r="Q219">
        <v>12.23</v>
      </c>
      <c r="S219">
        <v>11.77</v>
      </c>
      <c r="T219">
        <v>0</v>
      </c>
      <c r="U219">
        <v>105.2</v>
      </c>
      <c r="V219">
        <v>791</v>
      </c>
      <c r="W219">
        <v>32.79</v>
      </c>
      <c r="Y219">
        <v>14.68</v>
      </c>
    </row>
    <row r="220" spans="1:25" x14ac:dyDescent="0.25">
      <c r="A220">
        <v>2006</v>
      </c>
      <c r="B220">
        <v>130</v>
      </c>
      <c r="C220">
        <v>1100</v>
      </c>
      <c r="D220" s="7">
        <v>687</v>
      </c>
      <c r="E220" s="7">
        <v>414.8</v>
      </c>
      <c r="F220" s="7">
        <v>18.149999999999999</v>
      </c>
      <c r="G220" s="7">
        <v>17.54</v>
      </c>
      <c r="H220" s="7"/>
      <c r="I220" s="7"/>
      <c r="J220" s="7"/>
      <c r="K220" s="7">
        <v>1.5429999999999999</v>
      </c>
      <c r="L220" s="7">
        <v>100.3</v>
      </c>
      <c r="M220" s="7">
        <v>0</v>
      </c>
      <c r="N220" s="7"/>
      <c r="O220">
        <v>874</v>
      </c>
      <c r="P220">
        <v>232.2</v>
      </c>
      <c r="Q220">
        <v>12.42</v>
      </c>
      <c r="S220">
        <v>11.79</v>
      </c>
      <c r="T220">
        <v>0</v>
      </c>
      <c r="U220">
        <v>106</v>
      </c>
      <c r="V220">
        <v>788</v>
      </c>
      <c r="W220">
        <v>32.65</v>
      </c>
      <c r="Y220">
        <v>14.46</v>
      </c>
    </row>
    <row r="221" spans="1:25" x14ac:dyDescent="0.25">
      <c r="A221">
        <v>2006</v>
      </c>
      <c r="B221">
        <v>130</v>
      </c>
      <c r="C221">
        <v>1200</v>
      </c>
      <c r="D221" s="7">
        <v>747</v>
      </c>
      <c r="E221" s="7">
        <v>438.4</v>
      </c>
      <c r="F221" s="7">
        <v>18.739999999999998</v>
      </c>
      <c r="G221" s="7">
        <v>18.059999999999999</v>
      </c>
      <c r="H221" s="7"/>
      <c r="I221" s="7"/>
      <c r="J221" s="7"/>
      <c r="K221" s="7">
        <v>1.5620000000000001</v>
      </c>
      <c r="L221" s="7">
        <v>101.7</v>
      </c>
      <c r="M221" s="7">
        <v>0</v>
      </c>
      <c r="N221" s="7"/>
      <c r="O221">
        <v>938</v>
      </c>
      <c r="P221">
        <v>225</v>
      </c>
      <c r="Q221">
        <v>12.68</v>
      </c>
      <c r="S221">
        <v>11.86</v>
      </c>
      <c r="T221">
        <v>0</v>
      </c>
      <c r="U221">
        <v>106.6</v>
      </c>
      <c r="V221">
        <v>785</v>
      </c>
      <c r="W221">
        <v>32.479999999999997</v>
      </c>
      <c r="Y221">
        <v>14.19</v>
      </c>
    </row>
    <row r="222" spans="1:25" x14ac:dyDescent="0.25">
      <c r="A222">
        <v>2006</v>
      </c>
      <c r="B222">
        <v>130</v>
      </c>
      <c r="C222">
        <v>1300</v>
      </c>
      <c r="D222" s="7">
        <v>768</v>
      </c>
      <c r="E222" s="7">
        <v>439.9</v>
      </c>
      <c r="F222" s="7">
        <v>19.260000000000002</v>
      </c>
      <c r="G222" s="7">
        <v>18.7</v>
      </c>
      <c r="H222" s="7"/>
      <c r="I222" s="7"/>
      <c r="J222" s="7"/>
      <c r="K222" s="7">
        <v>1.8520000000000001</v>
      </c>
      <c r="L222" s="7">
        <v>95.4</v>
      </c>
      <c r="M222" s="7">
        <v>0</v>
      </c>
      <c r="N222" s="7"/>
      <c r="O222">
        <v>951</v>
      </c>
      <c r="P222">
        <v>229.5</v>
      </c>
      <c r="Q222">
        <v>12.98</v>
      </c>
      <c r="S222">
        <v>12.02</v>
      </c>
      <c r="T222">
        <v>0</v>
      </c>
      <c r="U222">
        <v>105.4</v>
      </c>
      <c r="V222">
        <v>782</v>
      </c>
      <c r="W222">
        <v>32.33</v>
      </c>
      <c r="Y222">
        <v>14.23</v>
      </c>
    </row>
    <row r="223" spans="1:25" x14ac:dyDescent="0.25">
      <c r="A223">
        <v>2006</v>
      </c>
      <c r="B223">
        <v>130</v>
      </c>
      <c r="C223">
        <v>1400</v>
      </c>
      <c r="D223" s="7">
        <v>746</v>
      </c>
      <c r="E223" s="7">
        <v>414.9</v>
      </c>
      <c r="F223" s="7">
        <v>19.71</v>
      </c>
      <c r="G223" s="7">
        <v>19.18</v>
      </c>
      <c r="H223" s="7"/>
      <c r="I223" s="7"/>
      <c r="J223" s="7"/>
      <c r="K223" s="7">
        <v>2.1739999999999999</v>
      </c>
      <c r="L223" s="7">
        <v>97</v>
      </c>
      <c r="M223" s="7">
        <v>0</v>
      </c>
      <c r="N223" s="7"/>
      <c r="O223">
        <v>897</v>
      </c>
      <c r="P223">
        <v>225.4</v>
      </c>
      <c r="Q223">
        <v>13.31</v>
      </c>
      <c r="S223">
        <v>12.28</v>
      </c>
      <c r="T223">
        <v>0</v>
      </c>
      <c r="U223">
        <v>105</v>
      </c>
      <c r="V223">
        <v>780</v>
      </c>
      <c r="W223">
        <v>32.21</v>
      </c>
      <c r="Y223">
        <v>14.31</v>
      </c>
    </row>
    <row r="224" spans="1:25" x14ac:dyDescent="0.25">
      <c r="A224">
        <v>2006</v>
      </c>
      <c r="B224">
        <v>130</v>
      </c>
      <c r="C224">
        <v>1500</v>
      </c>
      <c r="D224" s="7">
        <v>678.3</v>
      </c>
      <c r="E224" s="7">
        <v>378.4</v>
      </c>
      <c r="F224" s="7">
        <v>20.239999999999998</v>
      </c>
      <c r="G224" s="7">
        <v>19.59</v>
      </c>
      <c r="H224" s="7"/>
      <c r="I224" s="7"/>
      <c r="J224" s="7"/>
      <c r="K224" s="7">
        <v>1.8720000000000001</v>
      </c>
      <c r="L224" s="7">
        <v>102.8</v>
      </c>
      <c r="M224" s="7">
        <v>0</v>
      </c>
      <c r="N224" s="7"/>
      <c r="O224">
        <v>828</v>
      </c>
      <c r="P224">
        <v>225.9</v>
      </c>
      <c r="Q224">
        <v>13.63</v>
      </c>
      <c r="S224">
        <v>12.57</v>
      </c>
      <c r="T224">
        <v>0</v>
      </c>
      <c r="U224">
        <v>106.1</v>
      </c>
      <c r="V224">
        <v>777</v>
      </c>
      <c r="W224">
        <v>32.08</v>
      </c>
      <c r="Y224">
        <v>14.21</v>
      </c>
    </row>
    <row r="225" spans="1:25" x14ac:dyDescent="0.25">
      <c r="A225">
        <v>2006</v>
      </c>
      <c r="B225">
        <v>130</v>
      </c>
      <c r="C225">
        <v>1600</v>
      </c>
      <c r="D225" s="7">
        <v>576.20000000000005</v>
      </c>
      <c r="E225" s="7">
        <v>314.39999999999998</v>
      </c>
      <c r="F225" s="7">
        <v>20.37</v>
      </c>
      <c r="G225" s="7">
        <v>19.670000000000002</v>
      </c>
      <c r="H225" s="7"/>
      <c r="I225" s="7"/>
      <c r="J225" s="7"/>
      <c r="K225" s="7">
        <v>1.9470000000000001</v>
      </c>
      <c r="L225" s="7">
        <v>100.2</v>
      </c>
      <c r="M225" s="7">
        <v>0</v>
      </c>
      <c r="N225" s="7"/>
      <c r="O225">
        <v>702</v>
      </c>
      <c r="P225">
        <v>242.2</v>
      </c>
      <c r="Q225">
        <v>13.9</v>
      </c>
      <c r="S225">
        <v>12.89</v>
      </c>
      <c r="T225">
        <v>0</v>
      </c>
      <c r="U225">
        <v>106.5</v>
      </c>
      <c r="V225">
        <v>775</v>
      </c>
      <c r="W225">
        <v>32</v>
      </c>
      <c r="Y225">
        <v>14.22</v>
      </c>
    </row>
    <row r="226" spans="1:25" x14ac:dyDescent="0.25">
      <c r="A226">
        <v>2006</v>
      </c>
      <c r="B226">
        <v>130</v>
      </c>
      <c r="C226">
        <v>1700</v>
      </c>
      <c r="D226" s="7">
        <v>445.7</v>
      </c>
      <c r="E226" s="7">
        <v>233.6</v>
      </c>
      <c r="F226" s="7">
        <v>20.05</v>
      </c>
      <c r="G226" s="7">
        <v>19.43</v>
      </c>
      <c r="H226" s="7"/>
      <c r="I226" s="7"/>
      <c r="J226" s="7"/>
      <c r="K226" s="7">
        <v>1.9019999999999999</v>
      </c>
      <c r="L226" s="7">
        <v>102.3</v>
      </c>
      <c r="M226" s="7">
        <v>0</v>
      </c>
      <c r="N226" s="7"/>
      <c r="O226">
        <v>543.29999999999995</v>
      </c>
      <c r="P226">
        <v>226.6</v>
      </c>
      <c r="Q226">
        <v>14.08</v>
      </c>
      <c r="S226">
        <v>13.17</v>
      </c>
      <c r="T226">
        <v>0</v>
      </c>
      <c r="U226">
        <v>105.8</v>
      </c>
      <c r="V226">
        <v>773</v>
      </c>
      <c r="W226">
        <v>31.89</v>
      </c>
      <c r="Y226">
        <v>13.98</v>
      </c>
    </row>
    <row r="227" spans="1:25" x14ac:dyDescent="0.25">
      <c r="A227">
        <v>2006</v>
      </c>
      <c r="B227">
        <v>130</v>
      </c>
      <c r="C227">
        <v>1800</v>
      </c>
      <c r="D227" s="7">
        <v>293.60000000000002</v>
      </c>
      <c r="E227" s="7">
        <v>138.6</v>
      </c>
      <c r="F227" s="7">
        <v>19.29</v>
      </c>
      <c r="G227" s="7">
        <v>18.68</v>
      </c>
      <c r="H227" s="7"/>
      <c r="I227" s="7"/>
      <c r="J227" s="7"/>
      <c r="K227" s="7">
        <v>1.516</v>
      </c>
      <c r="L227" s="7">
        <v>98.2</v>
      </c>
      <c r="M227" s="7">
        <v>0</v>
      </c>
      <c r="N227" s="7"/>
      <c r="O227">
        <v>363.1</v>
      </c>
      <c r="P227">
        <v>181.6</v>
      </c>
      <c r="Q227">
        <v>14.18</v>
      </c>
      <c r="S227">
        <v>13.36</v>
      </c>
      <c r="T227">
        <v>0</v>
      </c>
      <c r="U227">
        <v>105.9</v>
      </c>
      <c r="V227">
        <v>772</v>
      </c>
      <c r="W227">
        <v>31.85</v>
      </c>
      <c r="Y227">
        <v>13.74</v>
      </c>
    </row>
    <row r="228" spans="1:25" x14ac:dyDescent="0.25">
      <c r="A228">
        <v>2006</v>
      </c>
      <c r="B228">
        <v>130</v>
      </c>
      <c r="C228">
        <v>1900</v>
      </c>
      <c r="D228" s="7">
        <v>149.5</v>
      </c>
      <c r="E228" s="7">
        <v>44.06</v>
      </c>
      <c r="F228" s="7">
        <v>17.96</v>
      </c>
      <c r="G228" s="7">
        <v>17.350000000000001</v>
      </c>
      <c r="H228" s="7"/>
      <c r="I228" s="7"/>
      <c r="J228" s="7"/>
      <c r="K228" s="7">
        <v>1.2789999999999999</v>
      </c>
      <c r="L228" s="7">
        <v>96.5</v>
      </c>
      <c r="M228" s="7">
        <v>0</v>
      </c>
      <c r="N228" s="7"/>
      <c r="O228">
        <v>187.7</v>
      </c>
      <c r="P228">
        <v>115</v>
      </c>
      <c r="Q228">
        <v>14.24</v>
      </c>
      <c r="S228">
        <v>13.53</v>
      </c>
      <c r="T228">
        <v>0</v>
      </c>
      <c r="U228">
        <v>106</v>
      </c>
      <c r="V228">
        <v>771</v>
      </c>
      <c r="W228">
        <v>31.79</v>
      </c>
      <c r="Y228">
        <v>13.61</v>
      </c>
    </row>
    <row r="229" spans="1:25" x14ac:dyDescent="0.25">
      <c r="A229">
        <v>2006</v>
      </c>
      <c r="B229">
        <v>130</v>
      </c>
      <c r="C229">
        <v>2000</v>
      </c>
      <c r="D229" s="7">
        <v>37.880000000000003</v>
      </c>
      <c r="E229" s="7">
        <v>-39.29</v>
      </c>
      <c r="F229" s="7">
        <v>14.86</v>
      </c>
      <c r="G229" s="7">
        <v>14</v>
      </c>
      <c r="H229" s="7"/>
      <c r="I229" s="7"/>
      <c r="J229" s="7"/>
      <c r="K229" s="7">
        <v>0.58299999999999996</v>
      </c>
      <c r="L229" s="7">
        <v>129.4</v>
      </c>
      <c r="M229" s="7">
        <v>0</v>
      </c>
      <c r="N229" s="7"/>
      <c r="O229">
        <v>41.52</v>
      </c>
      <c r="P229">
        <v>26.04</v>
      </c>
      <c r="Q229">
        <v>14.18</v>
      </c>
      <c r="S229">
        <v>13.56</v>
      </c>
      <c r="T229">
        <v>0</v>
      </c>
      <c r="U229">
        <v>109.5</v>
      </c>
      <c r="V229">
        <v>771</v>
      </c>
      <c r="W229">
        <v>31.79</v>
      </c>
      <c r="Y229">
        <v>13.46</v>
      </c>
    </row>
    <row r="230" spans="1:25" x14ac:dyDescent="0.25">
      <c r="A230">
        <v>2006</v>
      </c>
      <c r="B230">
        <v>130</v>
      </c>
      <c r="C230">
        <v>2100</v>
      </c>
      <c r="D230" s="7">
        <v>-2.6829999999999998</v>
      </c>
      <c r="E230" s="7">
        <v>-68.790000000000006</v>
      </c>
      <c r="F230" s="7">
        <v>10.47</v>
      </c>
      <c r="G230" s="7">
        <v>10.08</v>
      </c>
      <c r="H230" s="7"/>
      <c r="I230" s="7"/>
      <c r="J230" s="7"/>
      <c r="K230" s="7">
        <v>0.315</v>
      </c>
      <c r="L230" s="7">
        <v>175.8</v>
      </c>
      <c r="M230" s="7">
        <v>0</v>
      </c>
      <c r="N230" s="7"/>
      <c r="O230">
        <v>-9.4600000000000009</v>
      </c>
      <c r="P230">
        <v>-10.25</v>
      </c>
      <c r="Q230">
        <v>14.09</v>
      </c>
      <c r="S230">
        <v>13.55</v>
      </c>
      <c r="T230">
        <v>0</v>
      </c>
      <c r="U230">
        <v>104.8</v>
      </c>
      <c r="V230">
        <v>772</v>
      </c>
      <c r="W230">
        <v>31.83</v>
      </c>
      <c r="Y230">
        <v>13.35</v>
      </c>
    </row>
    <row r="231" spans="1:25" x14ac:dyDescent="0.25">
      <c r="A231">
        <v>2006</v>
      </c>
      <c r="B231">
        <v>130</v>
      </c>
      <c r="C231">
        <v>2200</v>
      </c>
      <c r="D231" s="7">
        <v>-3.5179999999999998</v>
      </c>
      <c r="E231" s="7">
        <v>-65.709999999999994</v>
      </c>
      <c r="F231" s="7">
        <v>8.3000000000000007</v>
      </c>
      <c r="G231" s="7">
        <v>8.16</v>
      </c>
      <c r="H231" s="7"/>
      <c r="I231" s="7"/>
      <c r="J231" s="7"/>
      <c r="K231" s="7">
        <v>0.32700000000000001</v>
      </c>
      <c r="L231" s="7">
        <v>188.7</v>
      </c>
      <c r="M231" s="7">
        <v>0</v>
      </c>
      <c r="N231" s="7"/>
      <c r="O231">
        <v>-11.5</v>
      </c>
      <c r="P231">
        <v>-10.88</v>
      </c>
      <c r="Q231">
        <v>13.93</v>
      </c>
      <c r="S231">
        <v>13.51</v>
      </c>
      <c r="T231">
        <v>0</v>
      </c>
      <c r="U231">
        <v>101.9</v>
      </c>
      <c r="V231">
        <v>774</v>
      </c>
      <c r="W231">
        <v>31.93</v>
      </c>
      <c r="Y231">
        <v>13.26</v>
      </c>
    </row>
    <row r="232" spans="1:25" x14ac:dyDescent="0.25">
      <c r="A232">
        <v>2006</v>
      </c>
      <c r="B232">
        <v>130</v>
      </c>
      <c r="C232">
        <v>2300</v>
      </c>
      <c r="D232" s="7">
        <v>-2.99</v>
      </c>
      <c r="E232" s="7">
        <v>-61.62</v>
      </c>
      <c r="F232" s="7">
        <v>6.7850000000000001</v>
      </c>
      <c r="G232" s="7">
        <v>6.7220000000000004</v>
      </c>
      <c r="H232" s="7"/>
      <c r="I232" s="7"/>
      <c r="J232" s="7"/>
      <c r="K232" s="7">
        <v>0.38700000000000001</v>
      </c>
      <c r="L232" s="7">
        <v>203.1</v>
      </c>
      <c r="M232" s="7">
        <v>0</v>
      </c>
      <c r="N232" s="7"/>
      <c r="O232">
        <v>-11.49</v>
      </c>
      <c r="P232">
        <v>-10.84</v>
      </c>
      <c r="Q232">
        <v>13.71</v>
      </c>
      <c r="S232">
        <v>13.44</v>
      </c>
      <c r="T232">
        <v>0</v>
      </c>
      <c r="U232">
        <v>100.9</v>
      </c>
      <c r="V232">
        <v>772</v>
      </c>
      <c r="W232">
        <v>31.83</v>
      </c>
      <c r="Y232">
        <v>13.19</v>
      </c>
    </row>
    <row r="233" spans="1:25" x14ac:dyDescent="0.25">
      <c r="A233">
        <v>2006</v>
      </c>
      <c r="B233">
        <v>130</v>
      </c>
      <c r="C233">
        <v>2400</v>
      </c>
      <c r="D233" s="7">
        <v>-2.798</v>
      </c>
      <c r="E233" s="7">
        <v>-57.76</v>
      </c>
      <c r="F233" s="7">
        <v>6.0229999999999997</v>
      </c>
      <c r="G233" s="7">
        <v>6.0620000000000003</v>
      </c>
      <c r="H233" s="7"/>
      <c r="I233" s="7"/>
      <c r="J233" s="7"/>
      <c r="K233" s="7">
        <v>0.35699999999999998</v>
      </c>
      <c r="L233" s="7">
        <v>203.1</v>
      </c>
      <c r="M233" s="7">
        <v>0</v>
      </c>
      <c r="N233" s="7"/>
      <c r="O233">
        <v>-11.5</v>
      </c>
      <c r="P233">
        <v>-10.84</v>
      </c>
      <c r="Q233">
        <v>13.48</v>
      </c>
      <c r="S233">
        <v>13.34</v>
      </c>
      <c r="T233">
        <v>0</v>
      </c>
      <c r="U233">
        <v>99.5</v>
      </c>
      <c r="V233">
        <v>775</v>
      </c>
      <c r="W233">
        <v>31.99</v>
      </c>
      <c r="Y233">
        <v>13.13</v>
      </c>
    </row>
    <row r="234" spans="1:25" x14ac:dyDescent="0.25">
      <c r="A234">
        <v>2006</v>
      </c>
      <c r="B234">
        <v>131</v>
      </c>
      <c r="C234">
        <v>100</v>
      </c>
      <c r="D234" s="7">
        <v>-2.5449999999999999</v>
      </c>
      <c r="E234" s="7">
        <v>-55.26</v>
      </c>
      <c r="F234" s="7">
        <v>5.5030000000000001</v>
      </c>
      <c r="G234" s="7">
        <v>5.577</v>
      </c>
      <c r="H234" s="7"/>
      <c r="I234" s="7"/>
      <c r="J234" s="7"/>
      <c r="K234" s="7">
        <v>0.34300000000000003</v>
      </c>
      <c r="L234" s="7">
        <v>203</v>
      </c>
      <c r="M234" s="7">
        <v>0</v>
      </c>
      <c r="N234" s="7"/>
      <c r="O234">
        <v>-11.5</v>
      </c>
      <c r="P234">
        <v>-10.84</v>
      </c>
      <c r="Q234">
        <v>13.2</v>
      </c>
      <c r="S234">
        <v>13.16</v>
      </c>
      <c r="T234">
        <v>0</v>
      </c>
      <c r="U234">
        <v>98.9</v>
      </c>
      <c r="V234">
        <v>780</v>
      </c>
      <c r="W234">
        <v>32.22</v>
      </c>
      <c r="Y234">
        <v>13.07</v>
      </c>
    </row>
    <row r="235" spans="1:25" x14ac:dyDescent="0.25">
      <c r="A235">
        <v>2006</v>
      </c>
      <c r="B235">
        <v>131</v>
      </c>
      <c r="C235">
        <v>200</v>
      </c>
      <c r="D235" s="7">
        <v>-2.4569999999999999</v>
      </c>
      <c r="E235" s="7">
        <v>-53.28</v>
      </c>
      <c r="F235" s="7">
        <v>5.0730000000000004</v>
      </c>
      <c r="G235" s="7">
        <v>5.0960000000000001</v>
      </c>
      <c r="H235" s="7"/>
      <c r="I235" s="7"/>
      <c r="J235" s="7"/>
      <c r="K235" s="7">
        <v>0.31</v>
      </c>
      <c r="L235" s="7">
        <v>196.2</v>
      </c>
      <c r="M235" s="7">
        <v>0</v>
      </c>
      <c r="N235" s="7"/>
      <c r="O235">
        <v>-11.5</v>
      </c>
      <c r="P235">
        <v>-10.84</v>
      </c>
      <c r="Q235">
        <v>12.98</v>
      </c>
      <c r="S235">
        <v>13.02</v>
      </c>
      <c r="T235">
        <v>0</v>
      </c>
      <c r="U235">
        <v>99.7</v>
      </c>
      <c r="V235">
        <v>777</v>
      </c>
      <c r="W235">
        <v>32.07</v>
      </c>
      <c r="Y235">
        <v>13.01</v>
      </c>
    </row>
    <row r="236" spans="1:25" x14ac:dyDescent="0.25">
      <c r="A236">
        <v>2006</v>
      </c>
      <c r="B236">
        <v>131</v>
      </c>
      <c r="C236">
        <v>300</v>
      </c>
      <c r="D236" s="7">
        <v>-2.4</v>
      </c>
      <c r="E236" s="7">
        <v>-50.63</v>
      </c>
      <c r="F236" s="7">
        <v>4.5730000000000004</v>
      </c>
      <c r="G236" s="7">
        <v>4.5839999999999996</v>
      </c>
      <c r="H236" s="7"/>
      <c r="I236" s="7"/>
      <c r="J236" s="7"/>
      <c r="K236" s="7">
        <v>0.312</v>
      </c>
      <c r="L236" s="7">
        <v>180.7</v>
      </c>
      <c r="M236" s="7">
        <v>0</v>
      </c>
      <c r="N236" s="7"/>
      <c r="O236">
        <v>-11.5</v>
      </c>
      <c r="P236">
        <v>-10.84</v>
      </c>
      <c r="Q236">
        <v>12.74</v>
      </c>
      <c r="S236">
        <v>12.84</v>
      </c>
      <c r="T236">
        <v>0</v>
      </c>
      <c r="U236">
        <v>99.9</v>
      </c>
      <c r="V236">
        <v>775</v>
      </c>
      <c r="W236">
        <v>31.98</v>
      </c>
      <c r="Y236">
        <v>12.97</v>
      </c>
    </row>
    <row r="237" spans="1:25" x14ac:dyDescent="0.25">
      <c r="A237">
        <v>2006</v>
      </c>
      <c r="B237">
        <v>131</v>
      </c>
      <c r="C237">
        <v>400</v>
      </c>
      <c r="D237" s="7">
        <v>-2.2949999999999999</v>
      </c>
      <c r="E237" s="7">
        <v>-45.6</v>
      </c>
      <c r="F237" s="7">
        <v>4.2539999999999996</v>
      </c>
      <c r="G237" s="7">
        <v>4.282</v>
      </c>
      <c r="H237" s="7"/>
      <c r="I237" s="7"/>
      <c r="J237" s="7"/>
      <c r="K237" s="7">
        <v>0.28599999999999998</v>
      </c>
      <c r="L237" s="7">
        <v>168.4</v>
      </c>
      <c r="M237" s="7">
        <v>0</v>
      </c>
      <c r="N237" s="7"/>
      <c r="O237">
        <v>-11.44</v>
      </c>
      <c r="P237">
        <v>-10.84</v>
      </c>
      <c r="Q237">
        <v>12.46</v>
      </c>
      <c r="S237">
        <v>12.62</v>
      </c>
      <c r="T237">
        <v>0</v>
      </c>
      <c r="U237">
        <v>99.6</v>
      </c>
      <c r="V237">
        <v>774</v>
      </c>
      <c r="W237">
        <v>31.95</v>
      </c>
      <c r="Y237">
        <v>12.93</v>
      </c>
    </row>
    <row r="238" spans="1:25" x14ac:dyDescent="0.25">
      <c r="A238">
        <v>2006</v>
      </c>
      <c r="B238">
        <v>131</v>
      </c>
      <c r="C238">
        <v>500</v>
      </c>
      <c r="D238" s="7">
        <v>6.109</v>
      </c>
      <c r="E238" s="7">
        <v>-36.909999999999997</v>
      </c>
      <c r="F238" s="7">
        <v>4.2789999999999999</v>
      </c>
      <c r="G238" s="7">
        <v>4.4450000000000003</v>
      </c>
      <c r="H238" s="7"/>
      <c r="I238" s="7"/>
      <c r="J238" s="7"/>
      <c r="K238" s="7">
        <v>0.371</v>
      </c>
      <c r="L238" s="7">
        <v>154.1</v>
      </c>
      <c r="M238" s="7">
        <v>0</v>
      </c>
      <c r="N238" s="7"/>
      <c r="O238">
        <v>0.59799999999999998</v>
      </c>
      <c r="P238">
        <v>-6.4340000000000002</v>
      </c>
      <c r="Q238">
        <v>12.24</v>
      </c>
      <c r="S238">
        <v>12.44</v>
      </c>
      <c r="T238">
        <v>0</v>
      </c>
      <c r="U238">
        <v>97.5</v>
      </c>
      <c r="V238">
        <v>776</v>
      </c>
      <c r="W238">
        <v>32.01</v>
      </c>
      <c r="Y238">
        <v>12.91</v>
      </c>
    </row>
    <row r="239" spans="1:25" x14ac:dyDescent="0.25">
      <c r="A239">
        <v>2006</v>
      </c>
      <c r="B239">
        <v>131</v>
      </c>
      <c r="C239">
        <v>600</v>
      </c>
      <c r="D239" s="7">
        <v>70.900000000000006</v>
      </c>
      <c r="E239" s="7">
        <v>15.88</v>
      </c>
      <c r="F239" s="7">
        <v>5.8339999999999996</v>
      </c>
      <c r="G239" s="7">
        <v>6.0179999999999998</v>
      </c>
      <c r="H239" s="7"/>
      <c r="I239" s="7"/>
      <c r="J239" s="7"/>
      <c r="K239" s="7">
        <v>0.27500000000000002</v>
      </c>
      <c r="L239" s="7">
        <v>161.1</v>
      </c>
      <c r="M239" s="7">
        <v>0</v>
      </c>
      <c r="N239" s="7"/>
      <c r="O239">
        <v>90.5</v>
      </c>
      <c r="P239">
        <v>32.35</v>
      </c>
      <c r="Q239">
        <v>12.04</v>
      </c>
      <c r="S239">
        <v>12.3</v>
      </c>
      <c r="T239">
        <v>0</v>
      </c>
      <c r="U239">
        <v>97.5</v>
      </c>
      <c r="V239">
        <v>775</v>
      </c>
      <c r="W239">
        <v>31.96</v>
      </c>
      <c r="Y239">
        <v>13.09</v>
      </c>
    </row>
    <row r="240" spans="1:25" x14ac:dyDescent="0.25">
      <c r="A240">
        <v>2006</v>
      </c>
      <c r="B240">
        <v>131</v>
      </c>
      <c r="C240">
        <v>700</v>
      </c>
      <c r="D240" s="7">
        <v>186.4</v>
      </c>
      <c r="E240" s="7">
        <v>115.7</v>
      </c>
      <c r="F240" s="7">
        <v>10.92</v>
      </c>
      <c r="G240" s="7">
        <v>11.48</v>
      </c>
      <c r="H240" s="7"/>
      <c r="I240" s="7"/>
      <c r="J240" s="7"/>
      <c r="K240" s="7">
        <v>0.307</v>
      </c>
      <c r="L240" s="7">
        <v>70.400000000000006</v>
      </c>
      <c r="M240" s="7">
        <v>0</v>
      </c>
      <c r="N240" s="7"/>
      <c r="O240">
        <v>256.7</v>
      </c>
      <c r="P240">
        <v>96.2</v>
      </c>
      <c r="Q240">
        <v>11.94</v>
      </c>
      <c r="S240">
        <v>12.23</v>
      </c>
      <c r="T240">
        <v>0</v>
      </c>
      <c r="U240">
        <v>93.6</v>
      </c>
      <c r="V240">
        <v>775</v>
      </c>
      <c r="W240">
        <v>31.97</v>
      </c>
      <c r="Y240">
        <v>13.77</v>
      </c>
    </row>
    <row r="241" spans="1:25" x14ac:dyDescent="0.25">
      <c r="A241">
        <v>2006</v>
      </c>
      <c r="B241">
        <v>131</v>
      </c>
      <c r="C241">
        <v>800</v>
      </c>
      <c r="D241" s="7">
        <v>307.8</v>
      </c>
      <c r="E241" s="7">
        <v>205.4</v>
      </c>
      <c r="F241" s="7">
        <v>13.99</v>
      </c>
      <c r="G241" s="7">
        <v>14.07</v>
      </c>
      <c r="H241" s="7"/>
      <c r="I241" s="7"/>
      <c r="J241" s="7"/>
      <c r="K241" s="7">
        <v>0.63600000000000001</v>
      </c>
      <c r="L241" s="7">
        <v>323.7</v>
      </c>
      <c r="M241" s="7">
        <v>0</v>
      </c>
      <c r="N241" s="7"/>
      <c r="O241">
        <v>424.4</v>
      </c>
      <c r="P241">
        <v>147.6</v>
      </c>
      <c r="Q241">
        <v>11.95</v>
      </c>
      <c r="S241">
        <v>12.14</v>
      </c>
      <c r="T241">
        <v>0</v>
      </c>
      <c r="U241">
        <v>99.1</v>
      </c>
      <c r="V241">
        <v>775</v>
      </c>
      <c r="W241">
        <v>31.98</v>
      </c>
      <c r="Y241">
        <v>14.19</v>
      </c>
    </row>
    <row r="242" spans="1:25" x14ac:dyDescent="0.25">
      <c r="A242">
        <v>2006</v>
      </c>
      <c r="B242">
        <v>131</v>
      </c>
      <c r="C242">
        <v>900</v>
      </c>
      <c r="D242" s="7">
        <v>463.2</v>
      </c>
      <c r="E242" s="7">
        <v>301</v>
      </c>
      <c r="F242" s="7">
        <v>17.420000000000002</v>
      </c>
      <c r="G242" s="7">
        <v>17.02</v>
      </c>
      <c r="H242" s="7">
        <f>AVERAGE(G242:G265)</f>
        <v>15.038333333333336</v>
      </c>
      <c r="I242" s="7">
        <f>MIN(G242:G265)</f>
        <v>8.1999999999999993</v>
      </c>
      <c r="J242" s="7">
        <f>MAX(G242:G265)</f>
        <v>21.34</v>
      </c>
      <c r="K242" s="7">
        <v>0.64600000000000002</v>
      </c>
      <c r="L242" s="7">
        <v>74.5</v>
      </c>
      <c r="M242" s="7">
        <v>0</v>
      </c>
      <c r="N242" s="7">
        <f>SUM(M242:M265)</f>
        <v>0</v>
      </c>
      <c r="O242">
        <v>609.70000000000005</v>
      </c>
      <c r="P242">
        <v>193.4</v>
      </c>
      <c r="Q242">
        <v>12.06</v>
      </c>
      <c r="S242">
        <v>12.05</v>
      </c>
      <c r="T242">
        <v>0</v>
      </c>
      <c r="U242">
        <v>103.9</v>
      </c>
      <c r="V242">
        <v>774</v>
      </c>
      <c r="W242">
        <v>31.94</v>
      </c>
      <c r="Y242">
        <v>14.56</v>
      </c>
    </row>
    <row r="243" spans="1:25" x14ac:dyDescent="0.25">
      <c r="A243">
        <v>2006</v>
      </c>
      <c r="B243">
        <v>131</v>
      </c>
      <c r="C243">
        <v>1000</v>
      </c>
      <c r="D243" s="7">
        <v>569.4</v>
      </c>
      <c r="E243" s="7">
        <v>358</v>
      </c>
      <c r="F243" s="7">
        <v>18.8</v>
      </c>
      <c r="G243" s="7">
        <v>18.440000000000001</v>
      </c>
      <c r="H243" s="7"/>
      <c r="I243" s="7"/>
      <c r="J243" s="7"/>
      <c r="K243" s="7">
        <v>1.0649999999999999</v>
      </c>
      <c r="L243" s="7">
        <v>322.89999999999998</v>
      </c>
      <c r="M243" s="7">
        <v>0</v>
      </c>
      <c r="N243" s="7"/>
      <c r="O243">
        <v>740</v>
      </c>
      <c r="P243">
        <v>215.3</v>
      </c>
      <c r="Q243">
        <v>12.28</v>
      </c>
      <c r="S243">
        <v>11.99</v>
      </c>
      <c r="T243">
        <v>0</v>
      </c>
      <c r="U243">
        <v>103.4</v>
      </c>
      <c r="V243">
        <v>774</v>
      </c>
      <c r="W243">
        <v>31.92</v>
      </c>
      <c r="Y243">
        <v>14.57</v>
      </c>
    </row>
    <row r="244" spans="1:25" x14ac:dyDescent="0.25">
      <c r="A244">
        <v>2006</v>
      </c>
      <c r="B244">
        <v>131</v>
      </c>
      <c r="C244">
        <v>1100</v>
      </c>
      <c r="D244" s="7">
        <v>638.1</v>
      </c>
      <c r="E244" s="7">
        <v>391</v>
      </c>
      <c r="F244" s="7">
        <v>20.73</v>
      </c>
      <c r="G244" s="7">
        <v>20.25</v>
      </c>
      <c r="H244" s="7"/>
      <c r="I244" s="7"/>
      <c r="J244" s="7"/>
      <c r="K244" s="7">
        <v>1.016</v>
      </c>
      <c r="L244" s="7">
        <v>304.5</v>
      </c>
      <c r="M244" s="7">
        <v>0</v>
      </c>
      <c r="N244" s="7"/>
      <c r="O244">
        <v>816</v>
      </c>
      <c r="P244">
        <v>222.1</v>
      </c>
      <c r="Q244">
        <v>12.63</v>
      </c>
      <c r="S244">
        <v>12.07</v>
      </c>
      <c r="T244">
        <v>0</v>
      </c>
      <c r="U244">
        <v>104.5</v>
      </c>
      <c r="V244">
        <v>773</v>
      </c>
      <c r="W244">
        <v>31.86</v>
      </c>
      <c r="Y244">
        <v>14.41</v>
      </c>
    </row>
    <row r="245" spans="1:25" x14ac:dyDescent="0.25">
      <c r="A245">
        <v>2006</v>
      </c>
      <c r="B245">
        <v>131</v>
      </c>
      <c r="C245">
        <v>1200</v>
      </c>
      <c r="D245" s="7">
        <v>504.8</v>
      </c>
      <c r="E245" s="7">
        <v>292.5</v>
      </c>
      <c r="F245" s="7">
        <v>21.18</v>
      </c>
      <c r="G245" s="7">
        <v>20.69</v>
      </c>
      <c r="H245" s="7"/>
      <c r="I245" s="7"/>
      <c r="J245" s="7"/>
      <c r="K245" s="7">
        <v>0.753</v>
      </c>
      <c r="L245" s="7">
        <v>59.15</v>
      </c>
      <c r="M245" s="7">
        <v>0</v>
      </c>
      <c r="N245" s="7"/>
      <c r="O245">
        <v>634.79999999999995</v>
      </c>
      <c r="P245">
        <v>168.2</v>
      </c>
      <c r="Q245">
        <v>12.98</v>
      </c>
      <c r="S245">
        <v>12.16</v>
      </c>
      <c r="T245">
        <v>0</v>
      </c>
      <c r="U245">
        <v>104.4</v>
      </c>
      <c r="V245">
        <v>771</v>
      </c>
      <c r="W245">
        <v>31.78</v>
      </c>
      <c r="Y245">
        <v>14.16</v>
      </c>
    </row>
    <row r="246" spans="1:25" x14ac:dyDescent="0.25">
      <c r="A246">
        <v>2006</v>
      </c>
      <c r="B246">
        <v>131</v>
      </c>
      <c r="C246">
        <v>1300</v>
      </c>
      <c r="D246" s="7">
        <v>520.29999999999995</v>
      </c>
      <c r="E246" s="7">
        <v>303.10000000000002</v>
      </c>
      <c r="F246" s="7">
        <v>20.54</v>
      </c>
      <c r="G246" s="7">
        <v>20.079999999999998</v>
      </c>
      <c r="H246" s="7"/>
      <c r="I246" s="7"/>
      <c r="J246" s="7"/>
      <c r="K246" s="7">
        <v>1.3260000000000001</v>
      </c>
      <c r="L246" s="7">
        <v>305</v>
      </c>
      <c r="M246" s="7">
        <v>0</v>
      </c>
      <c r="N246" s="7"/>
      <c r="O246">
        <v>651.70000000000005</v>
      </c>
      <c r="P246">
        <v>177.6</v>
      </c>
      <c r="Q246">
        <v>13.34</v>
      </c>
      <c r="S246">
        <v>12.37</v>
      </c>
      <c r="T246">
        <v>0</v>
      </c>
      <c r="U246">
        <v>104.2</v>
      </c>
      <c r="V246">
        <v>769</v>
      </c>
      <c r="W246">
        <v>31.69</v>
      </c>
      <c r="Y246">
        <v>14.22</v>
      </c>
    </row>
    <row r="247" spans="1:25" x14ac:dyDescent="0.25">
      <c r="A247">
        <v>2006</v>
      </c>
      <c r="B247">
        <v>131</v>
      </c>
      <c r="C247">
        <v>1400</v>
      </c>
      <c r="D247" s="7">
        <v>720</v>
      </c>
      <c r="E247" s="7">
        <v>422.5</v>
      </c>
      <c r="F247" s="7">
        <v>21.98</v>
      </c>
      <c r="G247" s="7">
        <v>21.34</v>
      </c>
      <c r="H247" s="7"/>
      <c r="I247" s="7"/>
      <c r="J247" s="7"/>
      <c r="K247" s="7">
        <v>1.409</v>
      </c>
      <c r="L247" s="7">
        <v>141.19999999999999</v>
      </c>
      <c r="M247" s="7">
        <v>0</v>
      </c>
      <c r="N247" s="7"/>
      <c r="O247">
        <v>883</v>
      </c>
      <c r="P247">
        <v>235</v>
      </c>
      <c r="Q247">
        <v>13.69</v>
      </c>
      <c r="S247">
        <v>12.67</v>
      </c>
      <c r="T247">
        <v>0</v>
      </c>
      <c r="U247">
        <v>105.7</v>
      </c>
      <c r="V247">
        <v>768</v>
      </c>
      <c r="W247">
        <v>31.65</v>
      </c>
      <c r="Y247">
        <v>14.32</v>
      </c>
    </row>
    <row r="248" spans="1:25" x14ac:dyDescent="0.25">
      <c r="A248">
        <v>2006</v>
      </c>
      <c r="B248">
        <v>131</v>
      </c>
      <c r="C248">
        <v>1500</v>
      </c>
      <c r="D248" s="7">
        <v>671.7</v>
      </c>
      <c r="E248" s="7">
        <v>384.1</v>
      </c>
      <c r="F248" s="7">
        <v>22.01</v>
      </c>
      <c r="G248" s="7">
        <v>21.29</v>
      </c>
      <c r="H248" s="7"/>
      <c r="I248" s="7"/>
      <c r="J248" s="7"/>
      <c r="K248" s="7">
        <v>1.744</v>
      </c>
      <c r="L248" s="7">
        <v>130.30000000000001</v>
      </c>
      <c r="M248" s="7">
        <v>0</v>
      </c>
      <c r="N248" s="7"/>
      <c r="O248">
        <v>824</v>
      </c>
      <c r="P248">
        <v>231</v>
      </c>
      <c r="Q248">
        <v>14.02</v>
      </c>
      <c r="S248">
        <v>12.94</v>
      </c>
      <c r="T248">
        <v>0</v>
      </c>
      <c r="U248">
        <v>106.4</v>
      </c>
      <c r="V248">
        <v>765</v>
      </c>
      <c r="W248">
        <v>31.51</v>
      </c>
      <c r="Y248">
        <v>14.18</v>
      </c>
    </row>
    <row r="249" spans="1:25" x14ac:dyDescent="0.25">
      <c r="A249">
        <v>2006</v>
      </c>
      <c r="B249">
        <v>131</v>
      </c>
      <c r="C249">
        <v>1600</v>
      </c>
      <c r="D249" s="7">
        <v>569</v>
      </c>
      <c r="E249" s="7">
        <v>314.89999999999998</v>
      </c>
      <c r="F249" s="7">
        <v>21.72</v>
      </c>
      <c r="G249" s="7">
        <v>21.14</v>
      </c>
      <c r="H249" s="7"/>
      <c r="I249" s="7"/>
      <c r="J249" s="7"/>
      <c r="K249" s="7">
        <v>2.0459999999999998</v>
      </c>
      <c r="L249" s="7">
        <v>111.1</v>
      </c>
      <c r="M249" s="7">
        <v>0</v>
      </c>
      <c r="N249" s="7"/>
      <c r="O249">
        <v>695.5</v>
      </c>
      <c r="P249">
        <v>242.8</v>
      </c>
      <c r="Q249">
        <v>14.32</v>
      </c>
      <c r="S249">
        <v>13.21</v>
      </c>
      <c r="T249">
        <v>0</v>
      </c>
      <c r="U249">
        <v>105.2</v>
      </c>
      <c r="V249">
        <v>764</v>
      </c>
      <c r="W249">
        <v>31.44</v>
      </c>
      <c r="Y249">
        <v>14.16</v>
      </c>
    </row>
    <row r="250" spans="1:25" x14ac:dyDescent="0.25">
      <c r="A250">
        <v>2006</v>
      </c>
      <c r="B250">
        <v>131</v>
      </c>
      <c r="C250">
        <v>1700</v>
      </c>
      <c r="D250" s="7">
        <v>415</v>
      </c>
      <c r="E250" s="7">
        <v>217.8</v>
      </c>
      <c r="F250" s="7">
        <v>21.42</v>
      </c>
      <c r="G250" s="7">
        <v>20.87</v>
      </c>
      <c r="H250" s="7"/>
      <c r="I250" s="7"/>
      <c r="J250" s="7"/>
      <c r="K250" s="7">
        <v>2.14</v>
      </c>
      <c r="L250" s="7">
        <v>106.6</v>
      </c>
      <c r="M250" s="7">
        <v>0</v>
      </c>
      <c r="N250" s="7"/>
      <c r="O250">
        <v>508.4</v>
      </c>
      <c r="P250">
        <v>203.8</v>
      </c>
      <c r="Q250">
        <v>14.52</v>
      </c>
      <c r="S250">
        <v>13.48</v>
      </c>
      <c r="T250">
        <v>0</v>
      </c>
      <c r="U250">
        <v>104.9</v>
      </c>
      <c r="V250">
        <v>763</v>
      </c>
      <c r="W250">
        <v>31.38</v>
      </c>
      <c r="Y250">
        <v>13.95</v>
      </c>
    </row>
    <row r="251" spans="1:25" x14ac:dyDescent="0.25">
      <c r="A251">
        <v>2006</v>
      </c>
      <c r="B251">
        <v>131</v>
      </c>
      <c r="C251">
        <v>1800</v>
      </c>
      <c r="D251" s="7">
        <v>276.8</v>
      </c>
      <c r="E251" s="7">
        <v>133.19999999999999</v>
      </c>
      <c r="F251" s="7">
        <v>20.57</v>
      </c>
      <c r="G251" s="7">
        <v>20.11</v>
      </c>
      <c r="H251" s="7"/>
      <c r="I251" s="7"/>
      <c r="J251" s="7"/>
      <c r="K251" s="7">
        <v>1.9119999999999999</v>
      </c>
      <c r="L251" s="7">
        <v>110</v>
      </c>
      <c r="M251" s="7">
        <v>0</v>
      </c>
      <c r="N251" s="7"/>
      <c r="O251">
        <v>348.2</v>
      </c>
      <c r="P251">
        <v>162</v>
      </c>
      <c r="Q251">
        <v>14.68</v>
      </c>
      <c r="S251">
        <v>13.74</v>
      </c>
      <c r="T251">
        <v>0</v>
      </c>
      <c r="U251">
        <v>104.3</v>
      </c>
      <c r="V251">
        <v>762</v>
      </c>
      <c r="W251">
        <v>31.34</v>
      </c>
      <c r="Y251">
        <v>13.74</v>
      </c>
    </row>
    <row r="252" spans="1:25" x14ac:dyDescent="0.25">
      <c r="A252">
        <v>2006</v>
      </c>
      <c r="B252">
        <v>131</v>
      </c>
      <c r="C252">
        <v>1900</v>
      </c>
      <c r="D252" s="7">
        <v>91.6</v>
      </c>
      <c r="E252" s="7">
        <v>2.6389999999999998</v>
      </c>
      <c r="F252" s="7">
        <v>18.73</v>
      </c>
      <c r="G252" s="7">
        <v>18.52</v>
      </c>
      <c r="H252" s="7"/>
      <c r="I252" s="7"/>
      <c r="J252" s="7"/>
      <c r="K252" s="7">
        <v>1.1990000000000001</v>
      </c>
      <c r="L252" s="7">
        <v>127.5</v>
      </c>
      <c r="M252" s="7">
        <v>0</v>
      </c>
      <c r="N252" s="7"/>
      <c r="O252">
        <v>104.6</v>
      </c>
      <c r="P252">
        <v>37.76</v>
      </c>
      <c r="Q252">
        <v>14.71</v>
      </c>
      <c r="S252">
        <v>13.87</v>
      </c>
      <c r="T252">
        <v>0</v>
      </c>
      <c r="U252">
        <v>102</v>
      </c>
      <c r="V252">
        <v>761</v>
      </c>
      <c r="W252">
        <v>31.32</v>
      </c>
      <c r="Y252">
        <v>13.59</v>
      </c>
    </row>
    <row r="253" spans="1:25" x14ac:dyDescent="0.25">
      <c r="A253">
        <v>2006</v>
      </c>
      <c r="B253">
        <v>131</v>
      </c>
      <c r="C253">
        <v>2000</v>
      </c>
      <c r="D253" s="7">
        <v>13.96</v>
      </c>
      <c r="E253" s="7">
        <v>-32.65</v>
      </c>
      <c r="F253" s="7">
        <v>16.32</v>
      </c>
      <c r="G253" s="7">
        <v>15.94</v>
      </c>
      <c r="H253" s="7"/>
      <c r="I253" s="7"/>
      <c r="J253" s="7"/>
      <c r="K253" s="7">
        <v>0.54100000000000004</v>
      </c>
      <c r="L253" s="7">
        <v>149.1</v>
      </c>
      <c r="M253" s="7">
        <v>0</v>
      </c>
      <c r="N253" s="7"/>
      <c r="O253">
        <v>8.2899999999999991</v>
      </c>
      <c r="P253">
        <v>-4.4530000000000003</v>
      </c>
      <c r="Q253">
        <v>14.72</v>
      </c>
      <c r="S253">
        <v>13.95</v>
      </c>
      <c r="T253">
        <v>0</v>
      </c>
      <c r="U253">
        <v>103.9</v>
      </c>
      <c r="V253">
        <v>763</v>
      </c>
      <c r="W253">
        <v>31.39</v>
      </c>
      <c r="Y253">
        <v>13.43</v>
      </c>
    </row>
    <row r="254" spans="1:25" x14ac:dyDescent="0.25">
      <c r="A254">
        <v>2006</v>
      </c>
      <c r="B254">
        <v>131</v>
      </c>
      <c r="C254">
        <v>2100</v>
      </c>
      <c r="D254" s="7">
        <v>-1.2969999999999999</v>
      </c>
      <c r="E254" s="7">
        <v>-42.47</v>
      </c>
      <c r="F254" s="7">
        <v>14.19</v>
      </c>
      <c r="G254" s="7">
        <v>13.94</v>
      </c>
      <c r="H254" s="7"/>
      <c r="I254" s="7"/>
      <c r="J254" s="7"/>
      <c r="K254" s="7">
        <v>0.78400000000000003</v>
      </c>
      <c r="L254" s="7">
        <v>230.8</v>
      </c>
      <c r="M254" s="7">
        <v>0</v>
      </c>
      <c r="N254" s="7"/>
      <c r="O254">
        <v>-10.72</v>
      </c>
      <c r="P254">
        <v>-10.95</v>
      </c>
      <c r="Q254">
        <v>14.67</v>
      </c>
      <c r="S254">
        <v>14.01</v>
      </c>
      <c r="T254">
        <v>0</v>
      </c>
      <c r="U254">
        <v>102.7</v>
      </c>
      <c r="V254">
        <v>763</v>
      </c>
      <c r="W254">
        <v>31.38</v>
      </c>
      <c r="Y254">
        <v>13.32</v>
      </c>
    </row>
    <row r="255" spans="1:25" x14ac:dyDescent="0.25">
      <c r="A255">
        <v>2006</v>
      </c>
      <c r="B255">
        <v>131</v>
      </c>
      <c r="C255">
        <v>2200</v>
      </c>
      <c r="D255" s="7">
        <v>-3.4780000000000002</v>
      </c>
      <c r="E255" s="7">
        <v>-54.41</v>
      </c>
      <c r="F255" s="7">
        <v>12.39</v>
      </c>
      <c r="G255" s="7">
        <v>12.09</v>
      </c>
      <c r="H255" s="7"/>
      <c r="I255" s="7"/>
      <c r="J255" s="7"/>
      <c r="K255" s="7">
        <v>0.32400000000000001</v>
      </c>
      <c r="L255" s="7">
        <v>226.4</v>
      </c>
      <c r="M255" s="7">
        <v>0</v>
      </c>
      <c r="N255" s="7"/>
      <c r="O255">
        <v>-12.05</v>
      </c>
      <c r="P255">
        <v>-11.37</v>
      </c>
      <c r="Q255">
        <v>14.57</v>
      </c>
      <c r="S255">
        <v>13.97</v>
      </c>
      <c r="T255">
        <v>0</v>
      </c>
      <c r="U255">
        <v>103.5</v>
      </c>
      <c r="V255">
        <v>763</v>
      </c>
      <c r="W255">
        <v>31.38</v>
      </c>
      <c r="Y255">
        <v>13.23</v>
      </c>
    </row>
    <row r="256" spans="1:25" x14ac:dyDescent="0.25">
      <c r="A256">
        <v>2006</v>
      </c>
      <c r="B256">
        <v>131</v>
      </c>
      <c r="C256">
        <v>2300</v>
      </c>
      <c r="D256" s="7">
        <v>-2.806</v>
      </c>
      <c r="E256" s="7">
        <v>-50.05</v>
      </c>
      <c r="F256" s="7">
        <v>10.51</v>
      </c>
      <c r="G256" s="7">
        <v>10.43</v>
      </c>
      <c r="H256" s="7"/>
      <c r="I256" s="7"/>
      <c r="J256" s="7"/>
      <c r="K256" s="7">
        <v>0.24099999999999999</v>
      </c>
      <c r="L256" s="7">
        <v>199.2</v>
      </c>
      <c r="M256" s="7">
        <v>0</v>
      </c>
      <c r="N256" s="7"/>
      <c r="O256">
        <v>-11.61</v>
      </c>
      <c r="P256">
        <v>-11</v>
      </c>
      <c r="Q256">
        <v>14.42</v>
      </c>
      <c r="S256">
        <v>13.91</v>
      </c>
      <c r="T256">
        <v>0</v>
      </c>
      <c r="U256">
        <v>101</v>
      </c>
      <c r="V256">
        <v>764</v>
      </c>
      <c r="W256">
        <v>31.46</v>
      </c>
      <c r="Y256">
        <v>13.16</v>
      </c>
    </row>
    <row r="257" spans="1:25" x14ac:dyDescent="0.25">
      <c r="A257">
        <v>2006</v>
      </c>
      <c r="B257">
        <v>131</v>
      </c>
      <c r="C257">
        <v>2400</v>
      </c>
      <c r="D257" s="7">
        <v>-2.2879999999999998</v>
      </c>
      <c r="E257" s="7">
        <v>-44.44</v>
      </c>
      <c r="F257" s="7">
        <v>10.32</v>
      </c>
      <c r="G257" s="7">
        <v>10.35</v>
      </c>
      <c r="H257" s="7"/>
      <c r="I257" s="7"/>
      <c r="J257" s="7"/>
      <c r="K257" s="7">
        <v>0.214</v>
      </c>
      <c r="L257" s="7">
        <v>146.80000000000001</v>
      </c>
      <c r="M257" s="7">
        <v>0</v>
      </c>
      <c r="N257" s="7"/>
      <c r="O257">
        <v>-11.49</v>
      </c>
      <c r="P257">
        <v>-10.86</v>
      </c>
      <c r="Q257">
        <v>14.24</v>
      </c>
      <c r="S257">
        <v>13.83</v>
      </c>
      <c r="T257">
        <v>0</v>
      </c>
      <c r="U257">
        <v>99.6</v>
      </c>
      <c r="V257">
        <v>765</v>
      </c>
      <c r="W257">
        <v>31.51</v>
      </c>
      <c r="Y257">
        <v>13.1</v>
      </c>
    </row>
    <row r="258" spans="1:25" x14ac:dyDescent="0.25">
      <c r="A258">
        <v>2006</v>
      </c>
      <c r="B258">
        <v>132</v>
      </c>
      <c r="C258">
        <v>100</v>
      </c>
      <c r="D258" s="7">
        <v>-2.3660000000000001</v>
      </c>
      <c r="E258" s="7">
        <v>-44.66</v>
      </c>
      <c r="F258" s="7">
        <v>9.59</v>
      </c>
      <c r="G258" s="7">
        <v>9.4700000000000006</v>
      </c>
      <c r="H258" s="7"/>
      <c r="I258" s="7"/>
      <c r="J258" s="7"/>
      <c r="K258" s="7">
        <v>0.27300000000000002</v>
      </c>
      <c r="L258" s="7">
        <v>182.2</v>
      </c>
      <c r="M258" s="7">
        <v>0</v>
      </c>
      <c r="N258" s="7"/>
      <c r="O258">
        <v>-11.49</v>
      </c>
      <c r="P258">
        <v>-10.84</v>
      </c>
      <c r="Q258">
        <v>14.04</v>
      </c>
      <c r="S258">
        <v>13.71</v>
      </c>
      <c r="T258">
        <v>0</v>
      </c>
      <c r="U258">
        <v>101.5</v>
      </c>
      <c r="V258">
        <v>766</v>
      </c>
      <c r="W258">
        <v>31.54</v>
      </c>
      <c r="Y258">
        <v>13.04</v>
      </c>
    </row>
    <row r="259" spans="1:25" x14ac:dyDescent="0.25">
      <c r="A259">
        <v>2006</v>
      </c>
      <c r="B259">
        <v>132</v>
      </c>
      <c r="C259">
        <v>200</v>
      </c>
      <c r="D259" s="7">
        <v>-2.5539999999999998</v>
      </c>
      <c r="E259" s="7">
        <v>-46.85</v>
      </c>
      <c r="F259" s="7">
        <v>8.36</v>
      </c>
      <c r="G259" s="7">
        <v>8.1999999999999993</v>
      </c>
      <c r="H259" s="7"/>
      <c r="I259" s="7"/>
      <c r="J259" s="7"/>
      <c r="K259" s="7">
        <v>0.28299999999999997</v>
      </c>
      <c r="L259" s="7">
        <v>180.6</v>
      </c>
      <c r="M259" s="7">
        <v>0</v>
      </c>
      <c r="N259" s="7"/>
      <c r="O259">
        <v>-11.49</v>
      </c>
      <c r="P259">
        <v>-10.84</v>
      </c>
      <c r="Q259">
        <v>13.83</v>
      </c>
      <c r="S259">
        <v>13.56</v>
      </c>
      <c r="T259">
        <v>0</v>
      </c>
      <c r="U259">
        <v>102.1</v>
      </c>
      <c r="V259">
        <v>769</v>
      </c>
      <c r="W259">
        <v>31.7</v>
      </c>
      <c r="Y259">
        <v>12.99</v>
      </c>
    </row>
    <row r="260" spans="1:25" x14ac:dyDescent="0.25">
      <c r="A260">
        <v>2006</v>
      </c>
      <c r="B260">
        <v>132</v>
      </c>
      <c r="C260">
        <v>300</v>
      </c>
      <c r="D260" s="7">
        <v>-1.4</v>
      </c>
      <c r="E260" s="7">
        <v>-29.81</v>
      </c>
      <c r="F260" s="7">
        <v>8.26</v>
      </c>
      <c r="G260" s="7">
        <v>8.26</v>
      </c>
      <c r="H260" s="7"/>
      <c r="I260" s="7"/>
      <c r="J260" s="7"/>
      <c r="K260" s="7">
        <v>0.19900000000000001</v>
      </c>
      <c r="L260" s="7">
        <v>170.8</v>
      </c>
      <c r="M260" s="7">
        <v>0</v>
      </c>
      <c r="N260" s="7"/>
      <c r="O260">
        <v>-11.5</v>
      </c>
      <c r="P260">
        <v>-10.84</v>
      </c>
      <c r="Q260">
        <v>13.66</v>
      </c>
      <c r="S260">
        <v>13.46</v>
      </c>
      <c r="T260">
        <v>0</v>
      </c>
      <c r="U260">
        <v>100</v>
      </c>
      <c r="V260">
        <v>766</v>
      </c>
      <c r="W260">
        <v>31.56</v>
      </c>
      <c r="Y260">
        <v>12.96</v>
      </c>
    </row>
    <row r="261" spans="1:25" x14ac:dyDescent="0.25">
      <c r="A261">
        <v>2006</v>
      </c>
      <c r="B261">
        <v>132</v>
      </c>
      <c r="C261">
        <v>400</v>
      </c>
      <c r="D261" s="7">
        <v>-1.71</v>
      </c>
      <c r="E261" s="7">
        <v>-34.229999999999997</v>
      </c>
      <c r="F261" s="7">
        <v>8.4499999999999993</v>
      </c>
      <c r="G261" s="7">
        <v>8.3800000000000008</v>
      </c>
      <c r="H261" s="7"/>
      <c r="I261" s="7"/>
      <c r="J261" s="7"/>
      <c r="K261" s="7">
        <v>0.221</v>
      </c>
      <c r="L261" s="7">
        <v>181.1</v>
      </c>
      <c r="M261" s="7">
        <v>0</v>
      </c>
      <c r="N261" s="7"/>
      <c r="O261">
        <v>-11.5</v>
      </c>
      <c r="P261">
        <v>-10.84</v>
      </c>
      <c r="Q261">
        <v>13.45</v>
      </c>
      <c r="S261">
        <v>13.3</v>
      </c>
      <c r="T261">
        <v>0</v>
      </c>
      <c r="U261">
        <v>100.9</v>
      </c>
      <c r="V261">
        <v>766</v>
      </c>
      <c r="W261">
        <v>31.53</v>
      </c>
      <c r="Y261">
        <v>12.93</v>
      </c>
    </row>
    <row r="262" spans="1:25" x14ac:dyDescent="0.25">
      <c r="A262">
        <v>2006</v>
      </c>
      <c r="B262">
        <v>132</v>
      </c>
      <c r="C262">
        <v>500</v>
      </c>
      <c r="D262" s="7">
        <v>3.5910000000000002</v>
      </c>
      <c r="E262" s="7">
        <v>-23.12</v>
      </c>
      <c r="F262" s="7">
        <v>8.67</v>
      </c>
      <c r="G262" s="7">
        <v>8.73</v>
      </c>
      <c r="H262" s="7"/>
      <c r="I262" s="7"/>
      <c r="J262" s="7"/>
      <c r="K262" s="7">
        <v>0.17199999999999999</v>
      </c>
      <c r="L262" s="7">
        <v>131.4</v>
      </c>
      <c r="M262" s="7">
        <v>0</v>
      </c>
      <c r="N262" s="7"/>
      <c r="O262">
        <v>-4.9889999999999999</v>
      </c>
      <c r="P262">
        <v>-8.92</v>
      </c>
      <c r="Q262">
        <v>13.26</v>
      </c>
      <c r="S262">
        <v>13.15</v>
      </c>
      <c r="T262">
        <v>0</v>
      </c>
      <c r="U262">
        <v>99.3</v>
      </c>
      <c r="V262">
        <v>770</v>
      </c>
      <c r="W262">
        <v>31.72</v>
      </c>
      <c r="Y262">
        <v>12.91</v>
      </c>
    </row>
    <row r="263" spans="1:25" x14ac:dyDescent="0.25">
      <c r="A263">
        <v>2006</v>
      </c>
      <c r="B263">
        <v>132</v>
      </c>
      <c r="C263">
        <v>600</v>
      </c>
      <c r="D263" s="7">
        <v>28.66</v>
      </c>
      <c r="E263" s="7">
        <v>0.55300000000000005</v>
      </c>
      <c r="F263" s="7">
        <v>10.26</v>
      </c>
      <c r="G263" s="7">
        <v>10.5</v>
      </c>
      <c r="H263" s="7"/>
      <c r="I263" s="7"/>
      <c r="J263" s="7"/>
      <c r="K263" s="7">
        <v>0.59</v>
      </c>
      <c r="L263" s="7">
        <v>286.3</v>
      </c>
      <c r="M263" s="7">
        <v>0</v>
      </c>
      <c r="N263" s="7"/>
      <c r="O263">
        <v>28.98</v>
      </c>
      <c r="P263">
        <v>1.149</v>
      </c>
      <c r="Q263">
        <v>13.12</v>
      </c>
      <c r="S263">
        <v>13.02</v>
      </c>
      <c r="T263">
        <v>0</v>
      </c>
      <c r="U263">
        <v>97.2</v>
      </c>
      <c r="V263">
        <v>765</v>
      </c>
      <c r="W263">
        <v>31.5</v>
      </c>
      <c r="Y263">
        <v>12.93</v>
      </c>
    </row>
    <row r="264" spans="1:25" x14ac:dyDescent="0.25">
      <c r="A264">
        <v>2006</v>
      </c>
      <c r="B264">
        <v>132</v>
      </c>
      <c r="C264">
        <v>700</v>
      </c>
      <c r="D264" s="7">
        <v>75.400000000000006</v>
      </c>
      <c r="E264" s="7">
        <v>34.659999999999997</v>
      </c>
      <c r="F264" s="7">
        <v>11.62</v>
      </c>
      <c r="G264" s="7">
        <v>11.76</v>
      </c>
      <c r="H264" s="7"/>
      <c r="I264" s="7"/>
      <c r="J264" s="7"/>
      <c r="K264" s="7">
        <v>0.51</v>
      </c>
      <c r="L264" s="7">
        <v>266.10000000000002</v>
      </c>
      <c r="M264" s="7">
        <v>0</v>
      </c>
      <c r="N264" s="7"/>
      <c r="O264">
        <v>92.3</v>
      </c>
      <c r="P264">
        <v>14.2</v>
      </c>
      <c r="Q264">
        <v>13.06</v>
      </c>
      <c r="S264">
        <v>12.93</v>
      </c>
      <c r="T264">
        <v>0</v>
      </c>
      <c r="U264">
        <v>98.4</v>
      </c>
      <c r="V264">
        <v>764</v>
      </c>
      <c r="W264">
        <v>31.47</v>
      </c>
      <c r="Y264">
        <v>13.19</v>
      </c>
    </row>
    <row r="265" spans="1:25" x14ac:dyDescent="0.25">
      <c r="A265">
        <v>2006</v>
      </c>
      <c r="B265">
        <v>132</v>
      </c>
      <c r="C265">
        <v>800</v>
      </c>
      <c r="D265" s="7">
        <v>131.6</v>
      </c>
      <c r="E265" s="7">
        <v>72.7</v>
      </c>
      <c r="F265" s="7">
        <v>12.82</v>
      </c>
      <c r="G265" s="7">
        <v>13.12</v>
      </c>
      <c r="H265" s="7"/>
      <c r="I265" s="7"/>
      <c r="J265" s="7"/>
      <c r="K265" s="7">
        <v>0.56899999999999995</v>
      </c>
      <c r="L265" s="7">
        <v>245.6</v>
      </c>
      <c r="M265" s="7">
        <v>0</v>
      </c>
      <c r="N265" s="7"/>
      <c r="O265">
        <v>169</v>
      </c>
      <c r="P265">
        <v>33.44</v>
      </c>
      <c r="Q265">
        <v>13</v>
      </c>
      <c r="S265">
        <v>12.8</v>
      </c>
      <c r="T265">
        <v>0</v>
      </c>
      <c r="U265">
        <v>96.6</v>
      </c>
      <c r="V265">
        <v>764</v>
      </c>
      <c r="W265">
        <v>31.46</v>
      </c>
      <c r="Y265">
        <v>13.66</v>
      </c>
    </row>
    <row r="266" spans="1:25" x14ac:dyDescent="0.25">
      <c r="A266">
        <v>2006</v>
      </c>
      <c r="B266">
        <v>132</v>
      </c>
      <c r="C266">
        <v>900</v>
      </c>
      <c r="D266" s="7">
        <v>95</v>
      </c>
      <c r="E266" s="7">
        <v>46.16</v>
      </c>
      <c r="F266" s="7">
        <v>12.94</v>
      </c>
      <c r="G266" s="7">
        <v>13.09</v>
      </c>
      <c r="H266" s="7">
        <f>AVERAGE(G266:G289)</f>
        <v>9.9175833333333347</v>
      </c>
      <c r="I266" s="7">
        <f>MIN(G266:G289)</f>
        <v>3.4340000000000002</v>
      </c>
      <c r="J266" s="7">
        <f>MAX(G266:G289)</f>
        <v>17.399999999999999</v>
      </c>
      <c r="K266" s="7">
        <v>1.476</v>
      </c>
      <c r="L266" s="7">
        <v>249.7</v>
      </c>
      <c r="M266" s="7">
        <v>0.6</v>
      </c>
      <c r="N266" s="7">
        <f>SUM(M266:M289)</f>
        <v>1.7999999999999998</v>
      </c>
      <c r="O266">
        <v>122.8</v>
      </c>
      <c r="P266">
        <v>25.24</v>
      </c>
      <c r="Q266">
        <v>13.02</v>
      </c>
      <c r="S266">
        <v>12.73</v>
      </c>
      <c r="T266">
        <v>0</v>
      </c>
      <c r="U266">
        <v>98.4</v>
      </c>
      <c r="V266">
        <v>764</v>
      </c>
      <c r="W266">
        <v>31.43</v>
      </c>
      <c r="Y266">
        <v>13.66</v>
      </c>
    </row>
    <row r="267" spans="1:25" x14ac:dyDescent="0.25">
      <c r="A267">
        <v>2006</v>
      </c>
      <c r="B267">
        <v>132</v>
      </c>
      <c r="C267">
        <v>1000</v>
      </c>
      <c r="D267" s="7">
        <v>313.39999999999998</v>
      </c>
      <c r="E267" s="7">
        <v>204.1</v>
      </c>
      <c r="F267" s="7">
        <v>13.63</v>
      </c>
      <c r="G267" s="7">
        <v>13.64</v>
      </c>
      <c r="H267" s="7"/>
      <c r="I267" s="7"/>
      <c r="J267" s="7"/>
      <c r="K267" s="7">
        <v>0.96399999999999997</v>
      </c>
      <c r="L267" s="7">
        <v>276.39999999999998</v>
      </c>
      <c r="M267" s="7">
        <v>1.2</v>
      </c>
      <c r="N267" s="7"/>
      <c r="O267">
        <v>431.9</v>
      </c>
      <c r="P267">
        <v>90.2</v>
      </c>
      <c r="Q267">
        <v>13.06</v>
      </c>
      <c r="S267">
        <v>12.67</v>
      </c>
      <c r="T267">
        <v>0</v>
      </c>
      <c r="U267">
        <v>100.1</v>
      </c>
      <c r="V267">
        <v>765</v>
      </c>
      <c r="W267">
        <v>31.49</v>
      </c>
      <c r="Y267">
        <v>14.04</v>
      </c>
    </row>
    <row r="268" spans="1:25" x14ac:dyDescent="0.25">
      <c r="A268">
        <v>2006</v>
      </c>
      <c r="B268">
        <v>132</v>
      </c>
      <c r="C268">
        <v>1100</v>
      </c>
      <c r="D268" s="7">
        <v>509.1</v>
      </c>
      <c r="E268" s="7">
        <v>321.89999999999998</v>
      </c>
      <c r="F268" s="7">
        <v>15.79</v>
      </c>
      <c r="G268" s="7">
        <v>15.89</v>
      </c>
      <c r="H268" s="7"/>
      <c r="I268" s="7"/>
      <c r="J268" s="7"/>
      <c r="K268" s="7">
        <v>1.764</v>
      </c>
      <c r="L268" s="7">
        <v>315.10000000000002</v>
      </c>
      <c r="M268" s="7">
        <v>0</v>
      </c>
      <c r="N268" s="7"/>
      <c r="O268">
        <v>666.3</v>
      </c>
      <c r="P268">
        <v>158.69999999999999</v>
      </c>
      <c r="Q268">
        <v>13.2</v>
      </c>
      <c r="S268">
        <v>12.75</v>
      </c>
      <c r="T268">
        <v>0</v>
      </c>
      <c r="U268">
        <v>99</v>
      </c>
      <c r="V268">
        <v>765</v>
      </c>
      <c r="W268">
        <v>31.48</v>
      </c>
      <c r="Y268">
        <v>14.33</v>
      </c>
    </row>
    <row r="269" spans="1:25" x14ac:dyDescent="0.25">
      <c r="A269">
        <v>2006</v>
      </c>
      <c r="B269">
        <v>132</v>
      </c>
      <c r="C269">
        <v>1200</v>
      </c>
      <c r="D269" s="7">
        <v>341.6</v>
      </c>
      <c r="E269" s="7">
        <v>187.2</v>
      </c>
      <c r="F269" s="7">
        <v>15.37</v>
      </c>
      <c r="G269" s="7">
        <v>15.29</v>
      </c>
      <c r="H269" s="7"/>
      <c r="I269" s="7"/>
      <c r="J269" s="7"/>
      <c r="K269" s="7">
        <v>1.83</v>
      </c>
      <c r="L269" s="7">
        <v>313.5</v>
      </c>
      <c r="M269" s="7">
        <v>0</v>
      </c>
      <c r="N269" s="7"/>
      <c r="O269">
        <v>437.1</v>
      </c>
      <c r="P269">
        <v>119.9</v>
      </c>
      <c r="Q269">
        <v>13.38</v>
      </c>
      <c r="S269">
        <v>12.71</v>
      </c>
      <c r="T269">
        <v>0</v>
      </c>
      <c r="U269">
        <v>100.8</v>
      </c>
      <c r="V269">
        <v>764</v>
      </c>
      <c r="W269">
        <v>31.47</v>
      </c>
      <c r="Y269">
        <v>14.1</v>
      </c>
    </row>
    <row r="270" spans="1:25" x14ac:dyDescent="0.25">
      <c r="A270">
        <v>2006</v>
      </c>
      <c r="B270">
        <v>132</v>
      </c>
      <c r="C270">
        <v>1300</v>
      </c>
      <c r="D270" s="7">
        <v>706</v>
      </c>
      <c r="E270" s="7">
        <v>426.7</v>
      </c>
      <c r="F270" s="7">
        <v>17.350000000000001</v>
      </c>
      <c r="G270" s="7">
        <v>17.22</v>
      </c>
      <c r="H270" s="7"/>
      <c r="I270" s="7"/>
      <c r="J270" s="7"/>
      <c r="K270" s="7">
        <v>1.7809999999999999</v>
      </c>
      <c r="L270" s="7">
        <v>319.10000000000002</v>
      </c>
      <c r="M270" s="7">
        <v>0</v>
      </c>
      <c r="N270" s="7"/>
      <c r="O270">
        <v>877</v>
      </c>
      <c r="P270">
        <v>226.3</v>
      </c>
      <c r="Q270">
        <v>13.68</v>
      </c>
      <c r="S270">
        <v>12.86</v>
      </c>
      <c r="T270">
        <v>0</v>
      </c>
      <c r="U270">
        <v>101.3</v>
      </c>
      <c r="V270">
        <v>765</v>
      </c>
      <c r="W270">
        <v>31.47</v>
      </c>
      <c r="Y270">
        <v>14.46</v>
      </c>
    </row>
    <row r="271" spans="1:25" x14ac:dyDescent="0.25">
      <c r="A271">
        <v>2006</v>
      </c>
      <c r="B271">
        <v>132</v>
      </c>
      <c r="C271">
        <v>1400</v>
      </c>
      <c r="D271" s="7">
        <v>544.20000000000005</v>
      </c>
      <c r="E271" s="7">
        <v>314.3</v>
      </c>
      <c r="F271" s="7">
        <v>17.61</v>
      </c>
      <c r="G271" s="7">
        <v>17.399999999999999</v>
      </c>
      <c r="H271" s="7"/>
      <c r="I271" s="7"/>
      <c r="J271" s="7"/>
      <c r="K271" s="7">
        <v>2.1880000000000002</v>
      </c>
      <c r="L271" s="7">
        <v>348</v>
      </c>
      <c r="M271" s="7">
        <v>0</v>
      </c>
      <c r="N271" s="7"/>
      <c r="O271">
        <v>664.1</v>
      </c>
      <c r="P271">
        <v>182.2</v>
      </c>
      <c r="Q271">
        <v>13.95</v>
      </c>
      <c r="S271">
        <v>12.98</v>
      </c>
      <c r="T271">
        <v>0</v>
      </c>
      <c r="U271">
        <v>102.1</v>
      </c>
      <c r="V271">
        <v>765</v>
      </c>
      <c r="W271">
        <v>31.49</v>
      </c>
      <c r="Y271">
        <v>14.28</v>
      </c>
    </row>
    <row r="272" spans="1:25" x14ac:dyDescent="0.25">
      <c r="A272">
        <v>2006</v>
      </c>
      <c r="B272">
        <v>132</v>
      </c>
      <c r="C272">
        <v>1500</v>
      </c>
      <c r="D272" s="7">
        <v>292.89999999999998</v>
      </c>
      <c r="E272" s="7">
        <v>153.1</v>
      </c>
      <c r="F272" s="7">
        <v>15.8</v>
      </c>
      <c r="G272" s="7">
        <v>15.67</v>
      </c>
      <c r="H272" s="7"/>
      <c r="I272" s="7"/>
      <c r="J272" s="7"/>
      <c r="K272" s="7">
        <v>2.327</v>
      </c>
      <c r="L272" s="7">
        <v>0</v>
      </c>
      <c r="M272" s="7">
        <v>0</v>
      </c>
      <c r="N272" s="7"/>
      <c r="O272">
        <v>362.4</v>
      </c>
      <c r="P272">
        <v>104.4</v>
      </c>
      <c r="Q272">
        <v>14.22</v>
      </c>
      <c r="S272">
        <v>13.11</v>
      </c>
      <c r="T272">
        <v>0</v>
      </c>
      <c r="U272">
        <v>101.4</v>
      </c>
      <c r="V272">
        <v>764</v>
      </c>
      <c r="W272">
        <v>31.43</v>
      </c>
      <c r="Y272">
        <v>13.97</v>
      </c>
    </row>
    <row r="273" spans="1:25" x14ac:dyDescent="0.25">
      <c r="A273">
        <v>2006</v>
      </c>
      <c r="B273">
        <v>132</v>
      </c>
      <c r="C273">
        <v>1600</v>
      </c>
      <c r="D273" s="7">
        <v>306.2</v>
      </c>
      <c r="E273" s="7">
        <v>167</v>
      </c>
      <c r="F273" s="7">
        <v>14.06</v>
      </c>
      <c r="G273" s="7">
        <v>14.01</v>
      </c>
      <c r="H273" s="7"/>
      <c r="I273" s="7"/>
      <c r="J273" s="7"/>
      <c r="K273" s="7">
        <v>2.496</v>
      </c>
      <c r="L273" s="7">
        <v>351.2</v>
      </c>
      <c r="M273" s="7">
        <v>0</v>
      </c>
      <c r="N273" s="7"/>
      <c r="O273">
        <v>384.3</v>
      </c>
      <c r="P273">
        <v>118.7</v>
      </c>
      <c r="Q273">
        <v>14.43</v>
      </c>
      <c r="S273">
        <v>13.31</v>
      </c>
      <c r="T273">
        <v>0</v>
      </c>
      <c r="U273">
        <v>100.5</v>
      </c>
      <c r="V273">
        <v>763</v>
      </c>
      <c r="W273">
        <v>31.4</v>
      </c>
      <c r="Y273">
        <v>13.94</v>
      </c>
    </row>
    <row r="274" spans="1:25" x14ac:dyDescent="0.25">
      <c r="A274">
        <v>2006</v>
      </c>
      <c r="B274">
        <v>132</v>
      </c>
      <c r="C274">
        <v>1700</v>
      </c>
      <c r="D274" s="7">
        <v>421.2</v>
      </c>
      <c r="E274" s="7">
        <v>231.8</v>
      </c>
      <c r="F274" s="7">
        <v>13.64</v>
      </c>
      <c r="G274" s="7">
        <v>13.46</v>
      </c>
      <c r="H274" s="7"/>
      <c r="I274" s="7"/>
      <c r="J274" s="7"/>
      <c r="K274" s="7">
        <v>2.9470000000000001</v>
      </c>
      <c r="L274" s="7">
        <v>0</v>
      </c>
      <c r="M274" s="7">
        <v>0</v>
      </c>
      <c r="N274" s="7"/>
      <c r="O274">
        <v>514.1</v>
      </c>
      <c r="P274">
        <v>196</v>
      </c>
      <c r="Q274">
        <v>14.59</v>
      </c>
      <c r="S274">
        <v>13.58</v>
      </c>
      <c r="T274">
        <v>0</v>
      </c>
      <c r="U274">
        <v>101.9</v>
      </c>
      <c r="V274">
        <v>763</v>
      </c>
      <c r="W274">
        <v>31.38</v>
      </c>
      <c r="Y274">
        <v>14.05</v>
      </c>
    </row>
    <row r="275" spans="1:25" x14ac:dyDescent="0.25">
      <c r="A275">
        <v>2006</v>
      </c>
      <c r="B275">
        <v>132</v>
      </c>
      <c r="C275">
        <v>1800</v>
      </c>
      <c r="D275" s="7">
        <v>138.5</v>
      </c>
      <c r="E275" s="7">
        <v>57.94</v>
      </c>
      <c r="F275" s="7">
        <v>10.99</v>
      </c>
      <c r="G275" s="7">
        <v>10.96</v>
      </c>
      <c r="H275" s="7"/>
      <c r="I275" s="7"/>
      <c r="J275" s="7"/>
      <c r="K275" s="7">
        <v>2.8769999999999998</v>
      </c>
      <c r="L275" s="7">
        <v>0</v>
      </c>
      <c r="M275" s="7">
        <v>0</v>
      </c>
      <c r="N275" s="7"/>
      <c r="O275">
        <v>165.5</v>
      </c>
      <c r="P275">
        <v>47.67</v>
      </c>
      <c r="Q275">
        <v>14.6</v>
      </c>
      <c r="S275">
        <v>13.64</v>
      </c>
      <c r="T275">
        <v>0</v>
      </c>
      <c r="U275">
        <v>100.4</v>
      </c>
      <c r="V275">
        <v>762</v>
      </c>
      <c r="W275">
        <v>31.37</v>
      </c>
      <c r="Y275">
        <v>13.76</v>
      </c>
    </row>
    <row r="276" spans="1:25" x14ac:dyDescent="0.25">
      <c r="A276">
        <v>2006</v>
      </c>
      <c r="B276">
        <v>132</v>
      </c>
      <c r="C276">
        <v>1900</v>
      </c>
      <c r="D276" s="7">
        <v>54.41</v>
      </c>
      <c r="E276" s="7">
        <v>9.94</v>
      </c>
      <c r="F276" s="7">
        <v>9.86</v>
      </c>
      <c r="G276" s="7">
        <v>9.86</v>
      </c>
      <c r="H276" s="7"/>
      <c r="I276" s="7"/>
      <c r="J276" s="7"/>
      <c r="K276" s="7">
        <v>2.3519999999999999</v>
      </c>
      <c r="L276" s="7">
        <v>340.7</v>
      </c>
      <c r="M276" s="7">
        <v>0</v>
      </c>
      <c r="N276" s="7"/>
      <c r="O276">
        <v>60.67</v>
      </c>
      <c r="P276">
        <v>11.72</v>
      </c>
      <c r="Q276">
        <v>14.57</v>
      </c>
      <c r="S276">
        <v>13.73</v>
      </c>
      <c r="T276">
        <v>0</v>
      </c>
      <c r="U276">
        <v>100</v>
      </c>
      <c r="V276">
        <v>763</v>
      </c>
      <c r="W276">
        <v>31.39</v>
      </c>
      <c r="Y276">
        <v>13.59</v>
      </c>
    </row>
    <row r="277" spans="1:25" x14ac:dyDescent="0.25">
      <c r="A277">
        <v>2006</v>
      </c>
      <c r="B277">
        <v>132</v>
      </c>
      <c r="C277">
        <v>2000</v>
      </c>
      <c r="D277" s="7">
        <v>17.829999999999998</v>
      </c>
      <c r="E277" s="7">
        <v>-11.45</v>
      </c>
      <c r="F277" s="7">
        <v>8.77</v>
      </c>
      <c r="G277" s="7">
        <v>8.7799999999999994</v>
      </c>
      <c r="H277" s="7"/>
      <c r="I277" s="7"/>
      <c r="J277" s="7"/>
      <c r="K277" s="7">
        <v>2.2189999999999999</v>
      </c>
      <c r="L277" s="7">
        <v>324.7</v>
      </c>
      <c r="M277" s="7">
        <v>0</v>
      </c>
      <c r="N277" s="7"/>
      <c r="O277">
        <v>12.89</v>
      </c>
      <c r="P277">
        <v>-3.42</v>
      </c>
      <c r="Q277">
        <v>14.48</v>
      </c>
      <c r="S277">
        <v>13.82</v>
      </c>
      <c r="T277">
        <v>0</v>
      </c>
      <c r="U277">
        <v>99.9</v>
      </c>
      <c r="V277">
        <v>766</v>
      </c>
      <c r="W277">
        <v>31.54</v>
      </c>
      <c r="Y277">
        <v>13.46</v>
      </c>
    </row>
    <row r="278" spans="1:25" x14ac:dyDescent="0.25">
      <c r="A278">
        <v>2006</v>
      </c>
      <c r="B278">
        <v>132</v>
      </c>
      <c r="C278">
        <v>2100</v>
      </c>
      <c r="D278" s="7">
        <v>2.2410000000000001</v>
      </c>
      <c r="E278" s="7">
        <v>-20.34</v>
      </c>
      <c r="F278" s="7">
        <v>8.0399999999999991</v>
      </c>
      <c r="G278" s="7">
        <v>8.1</v>
      </c>
      <c r="H278" s="7"/>
      <c r="I278" s="7"/>
      <c r="J278" s="7"/>
      <c r="K278" s="7">
        <v>2.3559999999999999</v>
      </c>
      <c r="L278" s="7">
        <v>332.4</v>
      </c>
      <c r="M278" s="7">
        <v>0</v>
      </c>
      <c r="N278" s="7"/>
      <c r="O278">
        <v>-7.33</v>
      </c>
      <c r="P278">
        <v>-9.66</v>
      </c>
      <c r="Q278">
        <v>14.33</v>
      </c>
      <c r="S278">
        <v>13.8</v>
      </c>
      <c r="T278">
        <v>0</v>
      </c>
      <c r="U278">
        <v>99.2</v>
      </c>
      <c r="V278">
        <v>767</v>
      </c>
      <c r="W278">
        <v>31.61</v>
      </c>
      <c r="Y278">
        <v>13.38</v>
      </c>
    </row>
    <row r="279" spans="1:25" x14ac:dyDescent="0.25">
      <c r="A279">
        <v>2006</v>
      </c>
      <c r="B279">
        <v>132</v>
      </c>
      <c r="C279">
        <v>2200</v>
      </c>
      <c r="D279" s="7">
        <v>-1.637</v>
      </c>
      <c r="E279" s="7">
        <v>-45.91</v>
      </c>
      <c r="F279" s="7">
        <v>7.26</v>
      </c>
      <c r="G279" s="7">
        <v>7.28</v>
      </c>
      <c r="H279" s="7"/>
      <c r="I279" s="7"/>
      <c r="J279" s="7"/>
      <c r="K279" s="7">
        <v>2.1070000000000002</v>
      </c>
      <c r="L279" s="7">
        <v>332.3</v>
      </c>
      <c r="M279" s="7">
        <v>0</v>
      </c>
      <c r="N279" s="7"/>
      <c r="O279">
        <v>-11.5</v>
      </c>
      <c r="P279">
        <v>-10.84</v>
      </c>
      <c r="Q279">
        <v>14.16</v>
      </c>
      <c r="S279">
        <v>13.78</v>
      </c>
      <c r="T279">
        <v>0</v>
      </c>
      <c r="U279">
        <v>99.7</v>
      </c>
      <c r="V279">
        <v>771</v>
      </c>
      <c r="W279">
        <v>31.8</v>
      </c>
      <c r="Y279">
        <v>13.3</v>
      </c>
    </row>
    <row r="280" spans="1:25" x14ac:dyDescent="0.25">
      <c r="A280">
        <v>2006</v>
      </c>
      <c r="B280">
        <v>132</v>
      </c>
      <c r="C280">
        <v>2300</v>
      </c>
      <c r="D280" s="7">
        <v>-2.2290000000000001</v>
      </c>
      <c r="E280" s="7">
        <v>-50.38</v>
      </c>
      <c r="F280" s="7">
        <v>6.4630000000000001</v>
      </c>
      <c r="G280" s="7">
        <v>6.51</v>
      </c>
      <c r="H280" s="7"/>
      <c r="I280" s="7"/>
      <c r="J280" s="7"/>
      <c r="K280" s="7">
        <v>1.726</v>
      </c>
      <c r="L280" s="7">
        <v>333.4</v>
      </c>
      <c r="M280" s="7">
        <v>0</v>
      </c>
      <c r="N280" s="7"/>
      <c r="O280">
        <v>-11.5</v>
      </c>
      <c r="P280">
        <v>-10.84</v>
      </c>
      <c r="Q280">
        <v>13.94</v>
      </c>
      <c r="S280">
        <v>13.67</v>
      </c>
      <c r="T280">
        <v>0</v>
      </c>
      <c r="U280">
        <v>99.4</v>
      </c>
      <c r="V280">
        <v>778</v>
      </c>
      <c r="W280">
        <v>32.119999999999997</v>
      </c>
      <c r="Y280">
        <v>13.23</v>
      </c>
    </row>
    <row r="281" spans="1:25" x14ac:dyDescent="0.25">
      <c r="A281">
        <v>2006</v>
      </c>
      <c r="B281">
        <v>132</v>
      </c>
      <c r="C281">
        <v>2400</v>
      </c>
      <c r="D281" s="7">
        <v>-2.6190000000000002</v>
      </c>
      <c r="E281" s="7">
        <v>-57.19</v>
      </c>
      <c r="F281" s="7">
        <v>5.8789999999999996</v>
      </c>
      <c r="G281" s="7">
        <v>5.899</v>
      </c>
      <c r="H281" s="7"/>
      <c r="I281" s="7"/>
      <c r="J281" s="7"/>
      <c r="K281" s="7">
        <v>1.4319999999999999</v>
      </c>
      <c r="L281" s="7">
        <v>314.8</v>
      </c>
      <c r="M281" s="7">
        <v>0</v>
      </c>
      <c r="N281" s="7"/>
      <c r="O281">
        <v>-11.5</v>
      </c>
      <c r="P281">
        <v>-10.84</v>
      </c>
      <c r="Q281">
        <v>13.74</v>
      </c>
      <c r="S281">
        <v>13.57</v>
      </c>
      <c r="T281">
        <v>0</v>
      </c>
      <c r="U281">
        <v>99.7</v>
      </c>
      <c r="V281">
        <v>782</v>
      </c>
      <c r="W281">
        <v>32.35</v>
      </c>
      <c r="Y281">
        <v>13.16</v>
      </c>
    </row>
    <row r="282" spans="1:25" x14ac:dyDescent="0.25">
      <c r="A282">
        <v>2006</v>
      </c>
      <c r="B282">
        <v>133</v>
      </c>
      <c r="C282">
        <v>100</v>
      </c>
      <c r="D282" s="7">
        <v>-2.915</v>
      </c>
      <c r="E282" s="7">
        <v>-58.71</v>
      </c>
      <c r="F282" s="7">
        <v>4.8689999999999998</v>
      </c>
      <c r="G282" s="7">
        <v>4.8170000000000002</v>
      </c>
      <c r="H282" s="7"/>
      <c r="I282" s="7"/>
      <c r="J282" s="7"/>
      <c r="K282" s="7">
        <v>0.86299999999999999</v>
      </c>
      <c r="L282" s="7">
        <v>312.7</v>
      </c>
      <c r="M282" s="7">
        <v>0</v>
      </c>
      <c r="N282" s="7"/>
      <c r="O282">
        <v>-11.5</v>
      </c>
      <c r="P282">
        <v>-10.84</v>
      </c>
      <c r="Q282">
        <v>13.52</v>
      </c>
      <c r="S282">
        <v>13.44</v>
      </c>
      <c r="T282">
        <v>0</v>
      </c>
      <c r="U282">
        <v>100.8</v>
      </c>
      <c r="V282">
        <v>775</v>
      </c>
      <c r="W282">
        <v>32</v>
      </c>
      <c r="Y282">
        <v>13.1</v>
      </c>
    </row>
    <row r="283" spans="1:25" x14ac:dyDescent="0.25">
      <c r="A283">
        <v>2006</v>
      </c>
      <c r="B283">
        <v>133</v>
      </c>
      <c r="C283">
        <v>200</v>
      </c>
      <c r="D283" s="7">
        <v>-2.9140000000000001</v>
      </c>
      <c r="E283" s="7">
        <v>-51.84</v>
      </c>
      <c r="F283" s="7">
        <v>3.5760000000000001</v>
      </c>
      <c r="G283" s="7">
        <v>3.4340000000000002</v>
      </c>
      <c r="H283" s="7"/>
      <c r="I283" s="7"/>
      <c r="J283" s="7"/>
      <c r="K283" s="7">
        <v>0.80700000000000005</v>
      </c>
      <c r="L283" s="7">
        <v>284.39999999999998</v>
      </c>
      <c r="M283" s="7">
        <v>0</v>
      </c>
      <c r="N283" s="7"/>
      <c r="O283">
        <v>-11.5</v>
      </c>
      <c r="P283">
        <v>-10.85</v>
      </c>
      <c r="Q283">
        <v>13.26</v>
      </c>
      <c r="S283">
        <v>13.25</v>
      </c>
      <c r="T283">
        <v>0</v>
      </c>
      <c r="U283">
        <v>102.2</v>
      </c>
      <c r="V283">
        <v>768</v>
      </c>
      <c r="W283">
        <v>31.65</v>
      </c>
      <c r="Y283">
        <v>13.04</v>
      </c>
    </row>
    <row r="284" spans="1:25" x14ac:dyDescent="0.25">
      <c r="A284">
        <v>2006</v>
      </c>
      <c r="B284">
        <v>133</v>
      </c>
      <c r="C284">
        <v>300</v>
      </c>
      <c r="D284" s="7">
        <v>-2.6739999999999999</v>
      </c>
      <c r="E284" s="7">
        <v>-41.14</v>
      </c>
      <c r="F284" s="7">
        <v>3.5939999999999999</v>
      </c>
      <c r="G284" s="7">
        <v>3.556</v>
      </c>
      <c r="H284" s="7"/>
      <c r="I284" s="7"/>
      <c r="J284" s="7"/>
      <c r="K284" s="7">
        <v>0.81100000000000005</v>
      </c>
      <c r="L284" s="7">
        <v>295.7</v>
      </c>
      <c r="M284" s="7">
        <v>0</v>
      </c>
      <c r="N284" s="7"/>
      <c r="O284">
        <v>-11.5</v>
      </c>
      <c r="P284">
        <v>-10.85</v>
      </c>
      <c r="Q284">
        <v>13.04</v>
      </c>
      <c r="S284">
        <v>13.11</v>
      </c>
      <c r="T284">
        <v>0</v>
      </c>
      <c r="U284">
        <v>100.6</v>
      </c>
      <c r="V284">
        <v>767</v>
      </c>
      <c r="W284">
        <v>31.58</v>
      </c>
      <c r="Y284">
        <v>12.99</v>
      </c>
    </row>
    <row r="285" spans="1:25" x14ac:dyDescent="0.25">
      <c r="A285">
        <v>2006</v>
      </c>
      <c r="B285">
        <v>133</v>
      </c>
      <c r="C285">
        <v>400</v>
      </c>
      <c r="D285" s="7">
        <v>-0.66500000000000004</v>
      </c>
      <c r="E285" s="7">
        <v>-17.260000000000002</v>
      </c>
      <c r="F285" s="7">
        <v>4.6520000000000001</v>
      </c>
      <c r="G285" s="7">
        <v>4.7009999999999996</v>
      </c>
      <c r="H285" s="7"/>
      <c r="I285" s="7"/>
      <c r="J285" s="7"/>
      <c r="K285" s="7">
        <v>0.84399999999999997</v>
      </c>
      <c r="L285" s="7">
        <v>298.5</v>
      </c>
      <c r="M285" s="7">
        <v>0</v>
      </c>
      <c r="N285" s="7"/>
      <c r="O285">
        <v>-11.45</v>
      </c>
      <c r="P285">
        <v>-10.85</v>
      </c>
      <c r="Q285">
        <v>12.81</v>
      </c>
      <c r="S285">
        <v>12.97</v>
      </c>
      <c r="T285">
        <v>0</v>
      </c>
      <c r="U285">
        <v>99.3</v>
      </c>
      <c r="V285">
        <v>767</v>
      </c>
      <c r="W285">
        <v>31.61</v>
      </c>
      <c r="Y285">
        <v>12.95</v>
      </c>
    </row>
    <row r="286" spans="1:25" x14ac:dyDescent="0.25">
      <c r="A286">
        <v>2006</v>
      </c>
      <c r="B286">
        <v>133</v>
      </c>
      <c r="C286">
        <v>500</v>
      </c>
      <c r="D286" s="7">
        <v>3.5070000000000001</v>
      </c>
      <c r="E286" s="7">
        <v>-17.87</v>
      </c>
      <c r="F286" s="7">
        <v>5.3869999999999996</v>
      </c>
      <c r="G286" s="7">
        <v>5.3810000000000002</v>
      </c>
      <c r="H286" s="7"/>
      <c r="I286" s="7"/>
      <c r="J286" s="7"/>
      <c r="K286" s="7">
        <v>0.84599999999999997</v>
      </c>
      <c r="L286" s="7">
        <v>306.89999999999998</v>
      </c>
      <c r="M286" s="7">
        <v>0</v>
      </c>
      <c r="N286" s="7"/>
      <c r="O286">
        <v>-4.93</v>
      </c>
      <c r="P286">
        <v>-8.81</v>
      </c>
      <c r="Q286">
        <v>12.6</v>
      </c>
      <c r="S286">
        <v>12.81</v>
      </c>
      <c r="T286">
        <v>0</v>
      </c>
      <c r="U286">
        <v>100.1</v>
      </c>
      <c r="V286">
        <v>767</v>
      </c>
      <c r="W286">
        <v>31.57</v>
      </c>
      <c r="Y286">
        <v>12.92</v>
      </c>
    </row>
    <row r="287" spans="1:25" x14ac:dyDescent="0.25">
      <c r="A287">
        <v>2006</v>
      </c>
      <c r="B287">
        <v>133</v>
      </c>
      <c r="C287">
        <v>600</v>
      </c>
      <c r="D287" s="7">
        <v>36.270000000000003</v>
      </c>
      <c r="E287" s="7">
        <v>8.6300000000000008</v>
      </c>
      <c r="F287" s="7">
        <v>6.3689999999999998</v>
      </c>
      <c r="G287" s="7">
        <v>6.3940000000000001</v>
      </c>
      <c r="H287" s="7"/>
      <c r="I287" s="7"/>
      <c r="J287" s="7"/>
      <c r="K287" s="7">
        <v>0.90400000000000003</v>
      </c>
      <c r="L287" s="7">
        <v>321.60000000000002</v>
      </c>
      <c r="M287" s="7">
        <v>0</v>
      </c>
      <c r="N287" s="7"/>
      <c r="O287">
        <v>38.19</v>
      </c>
      <c r="P287">
        <v>4.6239999999999997</v>
      </c>
      <c r="Q287">
        <v>12.4</v>
      </c>
      <c r="S287">
        <v>12.6</v>
      </c>
      <c r="T287">
        <v>0</v>
      </c>
      <c r="U287">
        <v>99.6</v>
      </c>
      <c r="V287">
        <v>767</v>
      </c>
      <c r="W287">
        <v>31.58</v>
      </c>
      <c r="Y287">
        <v>12.94</v>
      </c>
    </row>
    <row r="288" spans="1:25" x14ac:dyDescent="0.25">
      <c r="A288">
        <v>2006</v>
      </c>
      <c r="B288">
        <v>133</v>
      </c>
      <c r="C288">
        <v>700</v>
      </c>
      <c r="D288" s="7">
        <v>73.5</v>
      </c>
      <c r="E288" s="7">
        <v>31.68</v>
      </c>
      <c r="F288" s="7">
        <v>7.5</v>
      </c>
      <c r="G288" s="7">
        <v>7.58</v>
      </c>
      <c r="H288" s="7"/>
      <c r="I288" s="7"/>
      <c r="J288" s="7"/>
      <c r="K288" s="7">
        <v>0.58099999999999996</v>
      </c>
      <c r="L288" s="7">
        <v>339.5</v>
      </c>
      <c r="M288" s="7">
        <v>0</v>
      </c>
      <c r="N288" s="7"/>
      <c r="O288">
        <v>81.400000000000006</v>
      </c>
      <c r="P288">
        <v>17.329999999999998</v>
      </c>
      <c r="Q288">
        <v>12.32</v>
      </c>
      <c r="S288">
        <v>12.45</v>
      </c>
      <c r="T288">
        <v>0</v>
      </c>
      <c r="U288">
        <v>98.9</v>
      </c>
      <c r="V288">
        <v>766</v>
      </c>
      <c r="W288">
        <v>31.54</v>
      </c>
      <c r="Y288">
        <v>13.27</v>
      </c>
    </row>
    <row r="289" spans="1:25" x14ac:dyDescent="0.25">
      <c r="A289">
        <v>2006</v>
      </c>
      <c r="B289">
        <v>133</v>
      </c>
      <c r="C289">
        <v>800</v>
      </c>
      <c r="D289" s="7">
        <v>246.4</v>
      </c>
      <c r="E289" s="7">
        <v>152.30000000000001</v>
      </c>
      <c r="F289" s="7">
        <v>8.7899999999999991</v>
      </c>
      <c r="G289" s="7">
        <v>9.1</v>
      </c>
      <c r="H289" s="7"/>
      <c r="I289" s="7"/>
      <c r="J289" s="7"/>
      <c r="K289" s="7">
        <v>1.492</v>
      </c>
      <c r="L289" s="7">
        <v>106.6</v>
      </c>
      <c r="M289" s="7">
        <v>0</v>
      </c>
      <c r="N289" s="7"/>
      <c r="O289">
        <v>330.3</v>
      </c>
      <c r="P289">
        <v>101.7</v>
      </c>
      <c r="Q289">
        <v>12.29</v>
      </c>
      <c r="S289">
        <v>12.41</v>
      </c>
      <c r="T289">
        <v>0</v>
      </c>
      <c r="U289">
        <v>96.1</v>
      </c>
      <c r="V289">
        <v>765</v>
      </c>
      <c r="W289">
        <v>31.49</v>
      </c>
      <c r="Y289">
        <v>13.89</v>
      </c>
    </row>
    <row r="290" spans="1:25" x14ac:dyDescent="0.25">
      <c r="A290">
        <v>2006</v>
      </c>
      <c r="B290">
        <v>133</v>
      </c>
      <c r="C290">
        <v>900</v>
      </c>
      <c r="D290" s="7">
        <v>294.10000000000002</v>
      </c>
      <c r="E290" s="7">
        <v>183.2</v>
      </c>
      <c r="F290" s="7">
        <v>10.15</v>
      </c>
      <c r="G290" s="7">
        <v>10.16</v>
      </c>
      <c r="H290" s="7">
        <f>AVERAGE(G290:G313)</f>
        <v>9.9539166666666681</v>
      </c>
      <c r="I290" s="7">
        <f>MIN(G290:G313)</f>
        <v>6.9939999999999998</v>
      </c>
      <c r="J290" s="7">
        <f>MAX(G290:G313)</f>
        <v>13.56</v>
      </c>
      <c r="K290" s="7">
        <v>1.34</v>
      </c>
      <c r="L290" s="7">
        <v>78.400000000000006</v>
      </c>
      <c r="M290" s="7">
        <v>0</v>
      </c>
      <c r="N290" s="7">
        <f>SUM(M290:M313)</f>
        <v>2.4000000000000004</v>
      </c>
      <c r="O290">
        <v>389.7</v>
      </c>
      <c r="P290">
        <v>118.2</v>
      </c>
      <c r="Q290">
        <v>12.27</v>
      </c>
      <c r="S290">
        <v>12.27</v>
      </c>
      <c r="T290">
        <v>0</v>
      </c>
      <c r="U290">
        <v>99.9</v>
      </c>
      <c r="V290">
        <v>765</v>
      </c>
      <c r="W290">
        <v>31.47</v>
      </c>
      <c r="Y290">
        <v>14.18</v>
      </c>
    </row>
    <row r="291" spans="1:25" x14ac:dyDescent="0.25">
      <c r="A291">
        <v>2006</v>
      </c>
      <c r="B291">
        <v>133</v>
      </c>
      <c r="C291">
        <v>1000</v>
      </c>
      <c r="D291" s="7">
        <v>582.4</v>
      </c>
      <c r="E291" s="7">
        <v>367.4</v>
      </c>
      <c r="F291" s="7">
        <v>12.44</v>
      </c>
      <c r="G291" s="7">
        <v>11.94</v>
      </c>
      <c r="H291" s="7"/>
      <c r="I291" s="7"/>
      <c r="J291" s="7"/>
      <c r="K291" s="7">
        <v>1.726</v>
      </c>
      <c r="L291" s="7">
        <v>83.6</v>
      </c>
      <c r="M291" s="7">
        <v>0</v>
      </c>
      <c r="N291" s="7"/>
      <c r="O291">
        <v>760</v>
      </c>
      <c r="P291">
        <v>222.6</v>
      </c>
      <c r="Q291">
        <v>12.35</v>
      </c>
      <c r="S291">
        <v>12.28</v>
      </c>
      <c r="T291">
        <v>0</v>
      </c>
      <c r="U291">
        <v>105.8</v>
      </c>
      <c r="V291">
        <v>764</v>
      </c>
      <c r="W291">
        <v>31.46</v>
      </c>
      <c r="Y291">
        <v>14.61</v>
      </c>
    </row>
    <row r="292" spans="1:25" x14ac:dyDescent="0.25">
      <c r="A292">
        <v>2006</v>
      </c>
      <c r="B292">
        <v>133</v>
      </c>
      <c r="C292">
        <v>1100</v>
      </c>
      <c r="D292" s="7">
        <v>745</v>
      </c>
      <c r="E292" s="7">
        <v>452.1</v>
      </c>
      <c r="F292" s="7">
        <v>13.32</v>
      </c>
      <c r="G292" s="7">
        <v>13.02</v>
      </c>
      <c r="H292" s="7"/>
      <c r="I292" s="7"/>
      <c r="J292" s="7"/>
      <c r="K292" s="7">
        <v>1.919</v>
      </c>
      <c r="L292" s="7">
        <v>67.510000000000005</v>
      </c>
      <c r="M292" s="7">
        <v>0</v>
      </c>
      <c r="N292" s="7"/>
      <c r="O292">
        <v>946</v>
      </c>
      <c r="P292">
        <v>255.4</v>
      </c>
      <c r="Q292">
        <v>12.46</v>
      </c>
      <c r="S292">
        <v>12.24</v>
      </c>
      <c r="T292">
        <v>0</v>
      </c>
      <c r="U292">
        <v>103.4</v>
      </c>
      <c r="V292">
        <v>763</v>
      </c>
      <c r="W292">
        <v>31.4</v>
      </c>
      <c r="Y292">
        <v>14.52</v>
      </c>
    </row>
    <row r="293" spans="1:25" x14ac:dyDescent="0.25">
      <c r="A293">
        <v>2006</v>
      </c>
      <c r="B293">
        <v>133</v>
      </c>
      <c r="C293">
        <v>1200</v>
      </c>
      <c r="D293" s="7">
        <v>786</v>
      </c>
      <c r="E293" s="7">
        <v>466.5</v>
      </c>
      <c r="F293" s="7">
        <v>13.31</v>
      </c>
      <c r="G293" s="7">
        <v>12.93</v>
      </c>
      <c r="H293" s="7"/>
      <c r="I293" s="7"/>
      <c r="J293" s="7"/>
      <c r="K293" s="7">
        <v>1.996</v>
      </c>
      <c r="L293" s="7">
        <v>50.78</v>
      </c>
      <c r="M293" s="7">
        <v>0</v>
      </c>
      <c r="N293" s="7"/>
      <c r="O293">
        <v>989</v>
      </c>
      <c r="P293">
        <v>251.6</v>
      </c>
      <c r="Q293">
        <v>12.66</v>
      </c>
      <c r="S293">
        <v>12.29</v>
      </c>
      <c r="T293">
        <v>0</v>
      </c>
      <c r="U293">
        <v>104.2</v>
      </c>
      <c r="V293">
        <v>762</v>
      </c>
      <c r="W293">
        <v>31.36</v>
      </c>
      <c r="Y293">
        <v>14.29</v>
      </c>
    </row>
    <row r="294" spans="1:25" x14ac:dyDescent="0.25">
      <c r="A294">
        <v>2006</v>
      </c>
      <c r="B294">
        <v>133</v>
      </c>
      <c r="C294">
        <v>1300</v>
      </c>
      <c r="D294" s="7">
        <v>668.5</v>
      </c>
      <c r="E294" s="7">
        <v>390.1</v>
      </c>
      <c r="F294" s="7">
        <v>13.31</v>
      </c>
      <c r="G294" s="7">
        <v>12.8</v>
      </c>
      <c r="H294" s="7"/>
      <c r="I294" s="7"/>
      <c r="J294" s="7"/>
      <c r="K294" s="7">
        <v>1.712</v>
      </c>
      <c r="L294" s="7">
        <v>22.64</v>
      </c>
      <c r="M294" s="7">
        <v>0</v>
      </c>
      <c r="N294" s="7"/>
      <c r="O294">
        <v>849</v>
      </c>
      <c r="P294">
        <v>230.2</v>
      </c>
      <c r="Q294">
        <v>12.92</v>
      </c>
      <c r="S294">
        <v>12.42</v>
      </c>
      <c r="T294">
        <v>0</v>
      </c>
      <c r="U294">
        <v>105.8</v>
      </c>
      <c r="V294">
        <v>762</v>
      </c>
      <c r="W294">
        <v>31.33</v>
      </c>
      <c r="Y294">
        <v>14.34</v>
      </c>
    </row>
    <row r="295" spans="1:25" x14ac:dyDescent="0.25">
      <c r="A295">
        <v>2006</v>
      </c>
      <c r="B295">
        <v>133</v>
      </c>
      <c r="C295">
        <v>1400</v>
      </c>
      <c r="D295" s="7">
        <v>499.6</v>
      </c>
      <c r="E295" s="7">
        <v>274.60000000000002</v>
      </c>
      <c r="F295" s="7">
        <v>13.4</v>
      </c>
      <c r="G295" s="7">
        <v>12.8</v>
      </c>
      <c r="H295" s="7"/>
      <c r="I295" s="7"/>
      <c r="J295" s="7"/>
      <c r="K295" s="7">
        <v>1.28</v>
      </c>
      <c r="L295" s="7">
        <v>0</v>
      </c>
      <c r="M295" s="7">
        <v>0</v>
      </c>
      <c r="N295" s="7"/>
      <c r="O295">
        <v>628.6</v>
      </c>
      <c r="P295">
        <v>177.3</v>
      </c>
      <c r="Q295">
        <v>13.17</v>
      </c>
      <c r="S295">
        <v>12.62</v>
      </c>
      <c r="T295">
        <v>0</v>
      </c>
      <c r="U295">
        <v>106.7</v>
      </c>
      <c r="V295">
        <v>760</v>
      </c>
      <c r="W295">
        <v>31.26</v>
      </c>
      <c r="Y295">
        <v>14.21</v>
      </c>
    </row>
    <row r="296" spans="1:25" x14ac:dyDescent="0.25">
      <c r="A296">
        <v>2006</v>
      </c>
      <c r="B296">
        <v>133</v>
      </c>
      <c r="C296">
        <v>1500</v>
      </c>
      <c r="D296" s="7">
        <v>692.4</v>
      </c>
      <c r="E296" s="7">
        <v>406.6</v>
      </c>
      <c r="F296" s="7">
        <v>14.29</v>
      </c>
      <c r="G296" s="7">
        <v>13.56</v>
      </c>
      <c r="H296" s="7"/>
      <c r="I296" s="7"/>
      <c r="J296" s="7"/>
      <c r="K296" s="7">
        <v>1.4630000000000001</v>
      </c>
      <c r="L296" s="7">
        <v>0</v>
      </c>
      <c r="M296" s="7">
        <v>0</v>
      </c>
      <c r="N296" s="7"/>
      <c r="O296">
        <v>869</v>
      </c>
      <c r="P296">
        <v>243.1</v>
      </c>
      <c r="Q296">
        <v>13.39</v>
      </c>
      <c r="S296">
        <v>12.89</v>
      </c>
      <c r="T296">
        <v>0</v>
      </c>
      <c r="U296">
        <v>108</v>
      </c>
      <c r="V296">
        <v>759</v>
      </c>
      <c r="W296">
        <v>31.19</v>
      </c>
      <c r="Y296">
        <v>14.29</v>
      </c>
    </row>
    <row r="297" spans="1:25" x14ac:dyDescent="0.25">
      <c r="A297">
        <v>2006</v>
      </c>
      <c r="B297">
        <v>133</v>
      </c>
      <c r="C297">
        <v>1600</v>
      </c>
      <c r="D297" s="7">
        <v>360</v>
      </c>
      <c r="E297" s="7">
        <v>182.2</v>
      </c>
      <c r="F297" s="7">
        <v>13.46</v>
      </c>
      <c r="G297" s="7">
        <v>12.85</v>
      </c>
      <c r="H297" s="7"/>
      <c r="I297" s="7"/>
      <c r="J297" s="7"/>
      <c r="K297" s="7">
        <v>1.2809999999999999</v>
      </c>
      <c r="L297" s="7">
        <v>0</v>
      </c>
      <c r="M297" s="7">
        <v>0</v>
      </c>
      <c r="N297" s="7"/>
      <c r="O297">
        <v>450.1</v>
      </c>
      <c r="P297">
        <v>152.69999999999999</v>
      </c>
      <c r="Q297">
        <v>13.53</v>
      </c>
      <c r="S297">
        <v>13.05</v>
      </c>
      <c r="T297">
        <v>0</v>
      </c>
      <c r="U297">
        <v>106.8</v>
      </c>
      <c r="V297">
        <v>758</v>
      </c>
      <c r="W297">
        <v>31.14</v>
      </c>
      <c r="Y297">
        <v>14.05</v>
      </c>
    </row>
    <row r="298" spans="1:25" x14ac:dyDescent="0.25">
      <c r="A298">
        <v>2006</v>
      </c>
      <c r="B298">
        <v>133</v>
      </c>
      <c r="C298">
        <v>1700</v>
      </c>
      <c r="D298" s="7">
        <v>356.1</v>
      </c>
      <c r="E298" s="7">
        <v>179.3</v>
      </c>
      <c r="F298" s="7">
        <v>13.49</v>
      </c>
      <c r="G298" s="7">
        <v>12.83</v>
      </c>
      <c r="H298" s="7"/>
      <c r="I298" s="7"/>
      <c r="J298" s="7"/>
      <c r="K298" s="7">
        <v>1.4239999999999999</v>
      </c>
      <c r="L298" s="7">
        <v>0</v>
      </c>
      <c r="M298" s="7">
        <v>0</v>
      </c>
      <c r="N298" s="7"/>
      <c r="O298">
        <v>435.6</v>
      </c>
      <c r="P298">
        <v>163.69999999999999</v>
      </c>
      <c r="Q298">
        <v>13.67</v>
      </c>
      <c r="S298">
        <v>13.25</v>
      </c>
      <c r="T298">
        <v>0</v>
      </c>
      <c r="U298">
        <v>107.4</v>
      </c>
      <c r="V298">
        <v>757</v>
      </c>
      <c r="W298">
        <v>31.11</v>
      </c>
      <c r="Y298">
        <v>13.99</v>
      </c>
    </row>
    <row r="299" spans="1:25" x14ac:dyDescent="0.25">
      <c r="A299">
        <v>2006</v>
      </c>
      <c r="B299">
        <v>133</v>
      </c>
      <c r="C299">
        <v>1800</v>
      </c>
      <c r="D299" s="7">
        <v>271.10000000000002</v>
      </c>
      <c r="E299" s="7">
        <v>122.1</v>
      </c>
      <c r="F299" s="7">
        <v>12.53</v>
      </c>
      <c r="G299" s="7">
        <v>12.07</v>
      </c>
      <c r="H299" s="7"/>
      <c r="I299" s="7"/>
      <c r="J299" s="7"/>
      <c r="K299" s="7">
        <v>2.0259999999999998</v>
      </c>
      <c r="L299" s="7">
        <v>0</v>
      </c>
      <c r="M299" s="7">
        <v>0</v>
      </c>
      <c r="N299" s="7"/>
      <c r="O299">
        <v>331.4</v>
      </c>
      <c r="P299">
        <v>140.6</v>
      </c>
      <c r="Q299">
        <v>13.7</v>
      </c>
      <c r="S299">
        <v>13.38</v>
      </c>
      <c r="T299">
        <v>0</v>
      </c>
      <c r="U299">
        <v>105.3</v>
      </c>
      <c r="V299">
        <v>757</v>
      </c>
      <c r="W299">
        <v>31.09</v>
      </c>
      <c r="Y299">
        <v>13.8</v>
      </c>
    </row>
    <row r="300" spans="1:25" x14ac:dyDescent="0.25">
      <c r="A300">
        <v>2006</v>
      </c>
      <c r="B300">
        <v>133</v>
      </c>
      <c r="C300">
        <v>1900</v>
      </c>
      <c r="D300" s="7">
        <v>130.19999999999999</v>
      </c>
      <c r="E300" s="7">
        <v>25.37</v>
      </c>
      <c r="F300" s="7">
        <v>11.51</v>
      </c>
      <c r="G300" s="7">
        <v>11.21</v>
      </c>
      <c r="H300" s="7"/>
      <c r="I300" s="7"/>
      <c r="J300" s="7"/>
      <c r="K300" s="7">
        <v>1.6160000000000001</v>
      </c>
      <c r="L300" s="7">
        <v>98.6</v>
      </c>
      <c r="M300" s="7">
        <v>0</v>
      </c>
      <c r="N300" s="7"/>
      <c r="O300">
        <v>158.9</v>
      </c>
      <c r="P300">
        <v>68.95</v>
      </c>
      <c r="Q300">
        <v>13.69</v>
      </c>
      <c r="S300">
        <v>13.46</v>
      </c>
      <c r="T300">
        <v>0</v>
      </c>
      <c r="U300">
        <v>103.6</v>
      </c>
      <c r="V300">
        <v>756</v>
      </c>
      <c r="W300">
        <v>31.07</v>
      </c>
      <c r="Y300">
        <v>13.68</v>
      </c>
    </row>
    <row r="301" spans="1:25" x14ac:dyDescent="0.25">
      <c r="A301">
        <v>2006</v>
      </c>
      <c r="B301">
        <v>133</v>
      </c>
      <c r="C301">
        <v>2000</v>
      </c>
      <c r="D301" s="7">
        <v>56.84</v>
      </c>
      <c r="E301" s="7">
        <v>-26.13</v>
      </c>
      <c r="F301" s="7">
        <v>10.14</v>
      </c>
      <c r="G301" s="7">
        <v>9.9</v>
      </c>
      <c r="H301" s="7"/>
      <c r="I301" s="7"/>
      <c r="J301" s="7"/>
      <c r="K301" s="7">
        <v>1.6639999999999999</v>
      </c>
      <c r="L301" s="7">
        <v>113.2</v>
      </c>
      <c r="M301" s="7">
        <v>0</v>
      </c>
      <c r="N301" s="7"/>
      <c r="O301">
        <v>64.489999999999995</v>
      </c>
      <c r="P301">
        <v>36.200000000000003</v>
      </c>
      <c r="Q301">
        <v>13.61</v>
      </c>
      <c r="S301">
        <v>13.47</v>
      </c>
      <c r="T301">
        <v>0</v>
      </c>
      <c r="U301">
        <v>103</v>
      </c>
      <c r="V301">
        <v>757</v>
      </c>
      <c r="W301">
        <v>31.1</v>
      </c>
      <c r="Y301">
        <v>13.56</v>
      </c>
    </row>
    <row r="302" spans="1:25" x14ac:dyDescent="0.25">
      <c r="A302">
        <v>2006</v>
      </c>
      <c r="B302">
        <v>133</v>
      </c>
      <c r="C302">
        <v>2100</v>
      </c>
      <c r="D302" s="7">
        <v>-0.18</v>
      </c>
      <c r="E302" s="7">
        <v>-64.819999999999993</v>
      </c>
      <c r="F302" s="7">
        <v>8.3000000000000007</v>
      </c>
      <c r="G302" s="7">
        <v>8.19</v>
      </c>
      <c r="H302" s="7"/>
      <c r="I302" s="7"/>
      <c r="J302" s="7"/>
      <c r="K302" s="7">
        <v>1.292</v>
      </c>
      <c r="L302" s="7">
        <v>108.9</v>
      </c>
      <c r="M302" s="7">
        <v>0</v>
      </c>
      <c r="N302" s="7"/>
      <c r="O302">
        <v>-7.63</v>
      </c>
      <c r="P302">
        <v>-9.34</v>
      </c>
      <c r="Q302">
        <v>13.49</v>
      </c>
      <c r="S302">
        <v>13.43</v>
      </c>
      <c r="T302">
        <v>0</v>
      </c>
      <c r="U302">
        <v>101.4</v>
      </c>
      <c r="V302">
        <v>760</v>
      </c>
      <c r="W302">
        <v>31.24</v>
      </c>
      <c r="Y302">
        <v>13.45</v>
      </c>
    </row>
    <row r="303" spans="1:25" x14ac:dyDescent="0.25">
      <c r="A303">
        <v>2006</v>
      </c>
      <c r="B303">
        <v>133</v>
      </c>
      <c r="C303">
        <v>2200</v>
      </c>
      <c r="D303" s="7">
        <v>-2.653</v>
      </c>
      <c r="E303" s="7">
        <v>-58.43</v>
      </c>
      <c r="F303" s="7">
        <v>7.5</v>
      </c>
      <c r="G303" s="7">
        <v>7.54</v>
      </c>
      <c r="H303" s="7"/>
      <c r="I303" s="7"/>
      <c r="J303" s="7"/>
      <c r="K303" s="7">
        <v>2.0019999999999998</v>
      </c>
      <c r="L303" s="7">
        <v>107.7</v>
      </c>
      <c r="M303" s="7">
        <v>0</v>
      </c>
      <c r="N303" s="7"/>
      <c r="O303">
        <v>-11.5</v>
      </c>
      <c r="P303">
        <v>-10.84</v>
      </c>
      <c r="Q303">
        <v>13.33</v>
      </c>
      <c r="S303">
        <v>13.37</v>
      </c>
      <c r="T303">
        <v>0</v>
      </c>
      <c r="U303">
        <v>99.5</v>
      </c>
      <c r="V303">
        <v>758</v>
      </c>
      <c r="W303">
        <v>31.17</v>
      </c>
      <c r="Y303">
        <v>13.36</v>
      </c>
    </row>
    <row r="304" spans="1:25" x14ac:dyDescent="0.25">
      <c r="A304">
        <v>2006</v>
      </c>
      <c r="B304">
        <v>133</v>
      </c>
      <c r="C304">
        <v>2300</v>
      </c>
      <c r="D304" s="7">
        <v>-2.351</v>
      </c>
      <c r="E304" s="7">
        <v>-48.6</v>
      </c>
      <c r="F304" s="7">
        <v>6.9139999999999997</v>
      </c>
      <c r="G304" s="7">
        <v>6.9939999999999998</v>
      </c>
      <c r="H304" s="7"/>
      <c r="I304" s="7"/>
      <c r="J304" s="7"/>
      <c r="K304" s="7">
        <v>1.462</v>
      </c>
      <c r="L304" s="7">
        <v>116.7</v>
      </c>
      <c r="M304" s="7">
        <v>0</v>
      </c>
      <c r="N304" s="7"/>
      <c r="O304">
        <v>-11.5</v>
      </c>
      <c r="P304">
        <v>-10.84</v>
      </c>
      <c r="Q304">
        <v>13.13</v>
      </c>
      <c r="S304">
        <v>13.26</v>
      </c>
      <c r="T304">
        <v>0</v>
      </c>
      <c r="U304">
        <v>98.9</v>
      </c>
      <c r="V304">
        <v>760</v>
      </c>
      <c r="W304">
        <v>31.23</v>
      </c>
      <c r="Y304">
        <v>13.29</v>
      </c>
    </row>
    <row r="305" spans="1:25" x14ac:dyDescent="0.25">
      <c r="A305">
        <v>2006</v>
      </c>
      <c r="B305">
        <v>133</v>
      </c>
      <c r="C305">
        <v>2400</v>
      </c>
      <c r="D305" s="7">
        <v>-1.639</v>
      </c>
      <c r="E305" s="7">
        <v>-36.42</v>
      </c>
      <c r="F305" s="7">
        <v>7.29</v>
      </c>
      <c r="G305" s="7">
        <v>7.4</v>
      </c>
      <c r="H305" s="7"/>
      <c r="I305" s="7"/>
      <c r="J305" s="7"/>
      <c r="K305" s="7">
        <v>1.589</v>
      </c>
      <c r="L305" s="7">
        <v>114.3</v>
      </c>
      <c r="M305" s="7">
        <v>0</v>
      </c>
      <c r="N305" s="7"/>
      <c r="O305">
        <v>-11.5</v>
      </c>
      <c r="P305">
        <v>-10.84</v>
      </c>
      <c r="Q305">
        <v>12.95</v>
      </c>
      <c r="S305">
        <v>13.16</v>
      </c>
      <c r="T305">
        <v>0</v>
      </c>
      <c r="U305">
        <v>98.6</v>
      </c>
      <c r="V305">
        <v>759</v>
      </c>
      <c r="W305">
        <v>31.22</v>
      </c>
      <c r="Y305">
        <v>13.22</v>
      </c>
    </row>
    <row r="306" spans="1:25" x14ac:dyDescent="0.25">
      <c r="A306">
        <v>2006</v>
      </c>
      <c r="B306">
        <v>134</v>
      </c>
      <c r="C306">
        <v>100</v>
      </c>
      <c r="D306" s="7">
        <v>-1.2250000000000001</v>
      </c>
      <c r="E306" s="7">
        <v>-27.53</v>
      </c>
      <c r="F306" s="7">
        <v>7.14</v>
      </c>
      <c r="G306" s="7">
        <v>7.2</v>
      </c>
      <c r="H306" s="7"/>
      <c r="I306" s="7"/>
      <c r="J306" s="7"/>
      <c r="K306" s="7">
        <v>2.0390000000000001</v>
      </c>
      <c r="L306" s="7">
        <v>107.7</v>
      </c>
      <c r="M306" s="7">
        <v>0</v>
      </c>
      <c r="N306" s="7"/>
      <c r="O306">
        <v>-11.5</v>
      </c>
      <c r="P306">
        <v>-10.85</v>
      </c>
      <c r="Q306">
        <v>12.78</v>
      </c>
      <c r="S306">
        <v>13.02</v>
      </c>
      <c r="T306">
        <v>0</v>
      </c>
      <c r="U306">
        <v>99.2</v>
      </c>
      <c r="V306">
        <v>758</v>
      </c>
      <c r="W306">
        <v>31.18</v>
      </c>
      <c r="Y306">
        <v>13.16</v>
      </c>
    </row>
    <row r="307" spans="1:25" x14ac:dyDescent="0.25">
      <c r="A307">
        <v>2006</v>
      </c>
      <c r="B307">
        <v>134</v>
      </c>
      <c r="C307">
        <v>200</v>
      </c>
      <c r="D307" s="7">
        <v>-0.82299999999999995</v>
      </c>
      <c r="E307" s="7">
        <v>-18.66</v>
      </c>
      <c r="F307" s="7">
        <v>7.3</v>
      </c>
      <c r="G307" s="7">
        <v>7.3</v>
      </c>
      <c r="H307" s="7"/>
      <c r="I307" s="7"/>
      <c r="J307" s="7"/>
      <c r="K307" s="7">
        <v>1.631</v>
      </c>
      <c r="L307" s="7">
        <v>103.8</v>
      </c>
      <c r="M307" s="7">
        <v>0.2</v>
      </c>
      <c r="N307" s="7"/>
      <c r="O307">
        <v>-11.5</v>
      </c>
      <c r="P307">
        <v>-10.85</v>
      </c>
      <c r="Q307">
        <v>12.65</v>
      </c>
      <c r="S307">
        <v>12.9</v>
      </c>
      <c r="T307">
        <v>0</v>
      </c>
      <c r="U307">
        <v>100.1</v>
      </c>
      <c r="V307">
        <v>759</v>
      </c>
      <c r="W307">
        <v>31.2</v>
      </c>
      <c r="Y307">
        <v>13.1</v>
      </c>
    </row>
    <row r="308" spans="1:25" x14ac:dyDescent="0.25">
      <c r="A308">
        <v>2006</v>
      </c>
      <c r="B308">
        <v>134</v>
      </c>
      <c r="C308">
        <v>300</v>
      </c>
      <c r="D308" s="7">
        <v>-1.1439999999999999</v>
      </c>
      <c r="E308" s="7">
        <v>-16.62</v>
      </c>
      <c r="F308" s="7">
        <v>7.25</v>
      </c>
      <c r="G308" s="7">
        <v>7.09</v>
      </c>
      <c r="H308" s="7"/>
      <c r="I308" s="7"/>
      <c r="J308" s="7"/>
      <c r="K308" s="7">
        <v>1.4410000000000001</v>
      </c>
      <c r="L308" s="7">
        <v>111.1</v>
      </c>
      <c r="M308" s="7">
        <v>0.4</v>
      </c>
      <c r="N308" s="7"/>
      <c r="O308">
        <v>-11.51</v>
      </c>
      <c r="P308">
        <v>-10.85</v>
      </c>
      <c r="Q308">
        <v>12.49</v>
      </c>
      <c r="S308">
        <v>12.74</v>
      </c>
      <c r="T308">
        <v>0</v>
      </c>
      <c r="U308">
        <v>102.2</v>
      </c>
      <c r="V308">
        <v>758</v>
      </c>
      <c r="W308">
        <v>31.17</v>
      </c>
      <c r="Y308">
        <v>13.04</v>
      </c>
    </row>
    <row r="309" spans="1:25" x14ac:dyDescent="0.25">
      <c r="A309">
        <v>2006</v>
      </c>
      <c r="B309">
        <v>134</v>
      </c>
      <c r="C309">
        <v>400</v>
      </c>
      <c r="D309" s="7">
        <v>-0.748</v>
      </c>
      <c r="E309" s="7">
        <v>-14.7</v>
      </c>
      <c r="F309" s="7">
        <v>7.47</v>
      </c>
      <c r="G309" s="7">
        <v>7.37</v>
      </c>
      <c r="H309" s="7"/>
      <c r="I309" s="7"/>
      <c r="J309" s="7"/>
      <c r="K309" s="7">
        <v>1.6839999999999999</v>
      </c>
      <c r="L309" s="7">
        <v>111.7</v>
      </c>
      <c r="M309" s="7">
        <v>0.6</v>
      </c>
      <c r="N309" s="7"/>
      <c r="O309">
        <v>-11.51</v>
      </c>
      <c r="P309">
        <v>-10.84</v>
      </c>
      <c r="Q309">
        <v>12.37</v>
      </c>
      <c r="S309">
        <v>12.6</v>
      </c>
      <c r="T309">
        <v>0</v>
      </c>
      <c r="U309">
        <v>101.5</v>
      </c>
      <c r="V309">
        <v>758</v>
      </c>
      <c r="W309">
        <v>31.17</v>
      </c>
      <c r="Y309">
        <v>12.99</v>
      </c>
    </row>
    <row r="310" spans="1:25" x14ac:dyDescent="0.25">
      <c r="A310">
        <v>2006</v>
      </c>
      <c r="B310">
        <v>134</v>
      </c>
      <c r="C310">
        <v>500</v>
      </c>
      <c r="D310" s="7">
        <v>0.59399999999999997</v>
      </c>
      <c r="E310" s="7">
        <v>-11.63</v>
      </c>
      <c r="F310" s="7">
        <v>7.88</v>
      </c>
      <c r="G310" s="7">
        <v>7.83</v>
      </c>
      <c r="H310" s="7"/>
      <c r="I310" s="7"/>
      <c r="J310" s="7"/>
      <c r="K310" s="7">
        <v>2.1280000000000001</v>
      </c>
      <c r="L310" s="7">
        <v>108</v>
      </c>
      <c r="M310" s="7">
        <v>0.6</v>
      </c>
      <c r="N310" s="7"/>
      <c r="O310">
        <v>-9.82</v>
      </c>
      <c r="P310">
        <v>-10.55</v>
      </c>
      <c r="Q310">
        <v>12.26</v>
      </c>
      <c r="S310">
        <v>12.47</v>
      </c>
      <c r="T310">
        <v>0</v>
      </c>
      <c r="U310">
        <v>100.6</v>
      </c>
      <c r="V310">
        <v>759</v>
      </c>
      <c r="W310">
        <v>31.19</v>
      </c>
      <c r="Y310">
        <v>12.95</v>
      </c>
    </row>
    <row r="311" spans="1:25" x14ac:dyDescent="0.25">
      <c r="A311">
        <v>2006</v>
      </c>
      <c r="B311">
        <v>134</v>
      </c>
      <c r="C311">
        <v>600</v>
      </c>
      <c r="D311" s="7">
        <v>14.93</v>
      </c>
      <c r="E311" s="7">
        <v>-0.40899999999999997</v>
      </c>
      <c r="F311" s="7">
        <v>8.3800000000000008</v>
      </c>
      <c r="G311" s="7">
        <v>8.42</v>
      </c>
      <c r="H311" s="7"/>
      <c r="I311" s="7"/>
      <c r="J311" s="7"/>
      <c r="K311" s="7">
        <v>2.0529999999999999</v>
      </c>
      <c r="L311" s="7">
        <v>109.7</v>
      </c>
      <c r="M311" s="7">
        <v>0.2</v>
      </c>
      <c r="N311" s="7"/>
      <c r="O311">
        <v>10.89</v>
      </c>
      <c r="P311">
        <v>-5.7050000000000001</v>
      </c>
      <c r="Q311">
        <v>12.16</v>
      </c>
      <c r="S311">
        <v>12.36</v>
      </c>
      <c r="T311">
        <v>0</v>
      </c>
      <c r="U311">
        <v>99.4</v>
      </c>
      <c r="V311">
        <v>759</v>
      </c>
      <c r="W311">
        <v>31.21</v>
      </c>
      <c r="Y311">
        <v>12.93</v>
      </c>
    </row>
    <row r="312" spans="1:25" x14ac:dyDescent="0.25">
      <c r="A312">
        <v>2006</v>
      </c>
      <c r="B312">
        <v>134</v>
      </c>
      <c r="C312">
        <v>700</v>
      </c>
      <c r="D312" s="7">
        <v>38.54</v>
      </c>
      <c r="E312" s="7">
        <v>14.83</v>
      </c>
      <c r="F312" s="7">
        <v>8.44</v>
      </c>
      <c r="G312" s="7">
        <v>8.7100000000000009</v>
      </c>
      <c r="H312" s="7"/>
      <c r="I312" s="7"/>
      <c r="J312" s="7"/>
      <c r="K312" s="7">
        <v>2.5369999999999999</v>
      </c>
      <c r="L312" s="7">
        <v>119.3</v>
      </c>
      <c r="M312" s="7">
        <v>0.4</v>
      </c>
      <c r="N312" s="7"/>
      <c r="O312">
        <v>44.12</v>
      </c>
      <c r="P312">
        <v>1.665</v>
      </c>
      <c r="Q312">
        <v>12.07</v>
      </c>
      <c r="S312">
        <v>12.23</v>
      </c>
      <c r="T312">
        <v>0</v>
      </c>
      <c r="U312">
        <v>96.5</v>
      </c>
      <c r="V312">
        <v>759</v>
      </c>
      <c r="W312">
        <v>31.22</v>
      </c>
      <c r="Y312">
        <v>12.99</v>
      </c>
    </row>
    <row r="313" spans="1:25" x14ac:dyDescent="0.25">
      <c r="A313">
        <v>2006</v>
      </c>
      <c r="B313">
        <v>134</v>
      </c>
      <c r="C313">
        <v>800</v>
      </c>
      <c r="D313" s="7">
        <v>44.45</v>
      </c>
      <c r="E313" s="7">
        <v>19.760000000000002</v>
      </c>
      <c r="F313" s="7">
        <v>8.4700000000000006</v>
      </c>
      <c r="G313" s="7">
        <v>8.7799999999999994</v>
      </c>
      <c r="H313" s="7"/>
      <c r="I313" s="7"/>
      <c r="J313" s="7"/>
      <c r="K313" s="7">
        <v>2.6160000000000001</v>
      </c>
      <c r="L313" s="7">
        <v>119.1</v>
      </c>
      <c r="M313" s="7">
        <v>0</v>
      </c>
      <c r="N313" s="7"/>
      <c r="O313">
        <v>50.4</v>
      </c>
      <c r="P313">
        <v>3.3250000000000002</v>
      </c>
      <c r="Q313">
        <v>11.94</v>
      </c>
      <c r="S313">
        <v>12.1</v>
      </c>
      <c r="T313">
        <v>0</v>
      </c>
      <c r="U313">
        <v>96.1</v>
      </c>
      <c r="V313">
        <v>760</v>
      </c>
      <c r="W313">
        <v>31.24</v>
      </c>
      <c r="Y313">
        <v>13.04</v>
      </c>
    </row>
    <row r="314" spans="1:25" x14ac:dyDescent="0.25">
      <c r="A314">
        <v>2006</v>
      </c>
      <c r="B314">
        <v>134</v>
      </c>
      <c r="C314">
        <v>900</v>
      </c>
      <c r="D314" s="7">
        <v>102.3</v>
      </c>
      <c r="E314" s="7">
        <v>56.43</v>
      </c>
      <c r="F314" s="7">
        <v>8.81</v>
      </c>
      <c r="G314" s="7">
        <v>9.27</v>
      </c>
      <c r="H314" s="7">
        <f>AVERAGE(G314:G337)</f>
        <v>10.364166666666666</v>
      </c>
      <c r="I314" s="7">
        <f>MIN(G314:G337)</f>
        <v>9.27</v>
      </c>
      <c r="J314" s="7">
        <f>MAX(G314:G337)</f>
        <v>11.09</v>
      </c>
      <c r="K314" s="7">
        <v>2.8519999999999999</v>
      </c>
      <c r="L314" s="7">
        <v>120.8</v>
      </c>
      <c r="M314" s="7">
        <v>0</v>
      </c>
      <c r="N314" s="7">
        <f>SUM(M314:M337)</f>
        <v>4.3999999999999995</v>
      </c>
      <c r="O314">
        <v>127.7</v>
      </c>
      <c r="P314">
        <v>24.79</v>
      </c>
      <c r="Q314">
        <v>11.93</v>
      </c>
      <c r="S314">
        <v>12.02</v>
      </c>
      <c r="T314">
        <v>0</v>
      </c>
      <c r="U314">
        <v>94.3</v>
      </c>
      <c r="V314">
        <v>760</v>
      </c>
      <c r="W314">
        <v>31.27</v>
      </c>
      <c r="Y314">
        <v>13.46</v>
      </c>
    </row>
    <row r="315" spans="1:25" x14ac:dyDescent="0.25">
      <c r="A315">
        <v>2006</v>
      </c>
      <c r="B315">
        <v>134</v>
      </c>
      <c r="C315">
        <v>1000</v>
      </c>
      <c r="D315" s="7">
        <v>190.8</v>
      </c>
      <c r="E315" s="7">
        <v>109.5</v>
      </c>
      <c r="F315" s="7">
        <v>9.16</v>
      </c>
      <c r="G315" s="7">
        <v>9.4499999999999993</v>
      </c>
      <c r="H315" s="7"/>
      <c r="I315" s="7"/>
      <c r="J315" s="7"/>
      <c r="K315" s="7">
        <v>3.0489999999999999</v>
      </c>
      <c r="L315" s="7">
        <v>117.4</v>
      </c>
      <c r="M315" s="7">
        <v>0</v>
      </c>
      <c r="N315" s="7"/>
      <c r="O315">
        <v>237.8</v>
      </c>
      <c r="P315">
        <v>61.22</v>
      </c>
      <c r="Q315">
        <v>11.92</v>
      </c>
      <c r="S315">
        <v>12</v>
      </c>
      <c r="T315">
        <v>0</v>
      </c>
      <c r="U315">
        <v>96.4</v>
      </c>
      <c r="V315">
        <v>761</v>
      </c>
      <c r="W315">
        <v>31.31</v>
      </c>
      <c r="Y315">
        <v>13.75</v>
      </c>
    </row>
    <row r="316" spans="1:25" x14ac:dyDescent="0.25">
      <c r="A316">
        <v>2006</v>
      </c>
      <c r="B316">
        <v>134</v>
      </c>
      <c r="C316">
        <v>1100</v>
      </c>
      <c r="D316" s="7">
        <v>203.9</v>
      </c>
      <c r="E316" s="7">
        <v>116.1</v>
      </c>
      <c r="F316" s="7">
        <v>9.52</v>
      </c>
      <c r="G316" s="7">
        <v>9.65</v>
      </c>
      <c r="H316" s="7"/>
      <c r="I316" s="7"/>
      <c r="J316" s="7"/>
      <c r="K316" s="7">
        <v>3.1030000000000002</v>
      </c>
      <c r="L316" s="7">
        <v>120.7</v>
      </c>
      <c r="M316" s="7">
        <v>0</v>
      </c>
      <c r="N316" s="7"/>
      <c r="O316">
        <v>259.10000000000002</v>
      </c>
      <c r="P316">
        <v>68.75</v>
      </c>
      <c r="Q316">
        <v>11.92</v>
      </c>
      <c r="S316">
        <v>11.95</v>
      </c>
      <c r="T316">
        <v>0</v>
      </c>
      <c r="U316">
        <v>98.4</v>
      </c>
      <c r="V316">
        <v>761</v>
      </c>
      <c r="W316">
        <v>31.32</v>
      </c>
      <c r="Y316">
        <v>13.81</v>
      </c>
    </row>
    <row r="317" spans="1:25" x14ac:dyDescent="0.25">
      <c r="A317">
        <v>2006</v>
      </c>
      <c r="B317">
        <v>134</v>
      </c>
      <c r="C317">
        <v>1200</v>
      </c>
      <c r="D317" s="7">
        <v>238.4</v>
      </c>
      <c r="E317" s="7">
        <v>138.30000000000001</v>
      </c>
      <c r="F317" s="7">
        <v>9.89</v>
      </c>
      <c r="G317" s="7">
        <v>9.8800000000000008</v>
      </c>
      <c r="H317" s="7"/>
      <c r="I317" s="7"/>
      <c r="J317" s="7"/>
      <c r="K317" s="7">
        <v>3.12</v>
      </c>
      <c r="L317" s="7">
        <v>131</v>
      </c>
      <c r="M317" s="7">
        <v>0</v>
      </c>
      <c r="N317" s="7"/>
      <c r="O317">
        <v>308.10000000000002</v>
      </c>
      <c r="P317">
        <v>82.7</v>
      </c>
      <c r="Q317">
        <v>11.93</v>
      </c>
      <c r="S317">
        <v>11.87</v>
      </c>
      <c r="T317">
        <v>0</v>
      </c>
      <c r="U317">
        <v>100.2</v>
      </c>
      <c r="V317">
        <v>762</v>
      </c>
      <c r="W317">
        <v>31.35</v>
      </c>
      <c r="Y317">
        <v>13.88</v>
      </c>
    </row>
    <row r="318" spans="1:25" x14ac:dyDescent="0.25">
      <c r="A318">
        <v>2006</v>
      </c>
      <c r="B318">
        <v>134</v>
      </c>
      <c r="C318">
        <v>1300</v>
      </c>
      <c r="D318" s="7">
        <v>228.1</v>
      </c>
      <c r="E318" s="7">
        <v>131.6</v>
      </c>
      <c r="F318" s="7">
        <v>10.38</v>
      </c>
      <c r="G318" s="7">
        <v>10.35</v>
      </c>
      <c r="H318" s="7"/>
      <c r="I318" s="7"/>
      <c r="J318" s="7"/>
      <c r="K318" s="7">
        <v>3.0779999999999998</v>
      </c>
      <c r="L318" s="7">
        <v>129.30000000000001</v>
      </c>
      <c r="M318" s="7">
        <v>0</v>
      </c>
      <c r="N318" s="7"/>
      <c r="O318">
        <v>297.5</v>
      </c>
      <c r="P318">
        <v>81.099999999999994</v>
      </c>
      <c r="Q318">
        <v>11.95</v>
      </c>
      <c r="S318">
        <v>11.86</v>
      </c>
      <c r="T318">
        <v>0</v>
      </c>
      <c r="U318">
        <v>100.3</v>
      </c>
      <c r="V318">
        <v>762</v>
      </c>
      <c r="W318">
        <v>31.33</v>
      </c>
      <c r="Y318">
        <v>13.89</v>
      </c>
    </row>
    <row r="319" spans="1:25" x14ac:dyDescent="0.25">
      <c r="A319">
        <v>2006</v>
      </c>
      <c r="B319">
        <v>134</v>
      </c>
      <c r="C319">
        <v>1400</v>
      </c>
      <c r="D319" s="7">
        <v>214.6</v>
      </c>
      <c r="E319" s="7">
        <v>127.7</v>
      </c>
      <c r="F319" s="7">
        <v>10.45</v>
      </c>
      <c r="G319" s="7">
        <v>10.4</v>
      </c>
      <c r="H319" s="7"/>
      <c r="I319" s="7"/>
      <c r="J319" s="7"/>
      <c r="K319" s="7">
        <v>2.9990000000000001</v>
      </c>
      <c r="L319" s="7">
        <v>125.4</v>
      </c>
      <c r="M319" s="7">
        <v>0</v>
      </c>
      <c r="N319" s="7"/>
      <c r="O319">
        <v>283.39999999999998</v>
      </c>
      <c r="P319">
        <v>68.989999999999995</v>
      </c>
      <c r="Q319">
        <v>12.03</v>
      </c>
      <c r="S319">
        <v>11.86</v>
      </c>
      <c r="T319">
        <v>0</v>
      </c>
      <c r="U319">
        <v>100.6</v>
      </c>
      <c r="V319">
        <v>762</v>
      </c>
      <c r="W319">
        <v>31.32</v>
      </c>
      <c r="Y319">
        <v>13.85</v>
      </c>
    </row>
    <row r="320" spans="1:25" x14ac:dyDescent="0.25">
      <c r="A320">
        <v>2006</v>
      </c>
      <c r="B320">
        <v>134</v>
      </c>
      <c r="C320">
        <v>1500</v>
      </c>
      <c r="D320" s="7">
        <v>245.4</v>
      </c>
      <c r="E320" s="7">
        <v>153.5</v>
      </c>
      <c r="F320" s="7">
        <v>10.56</v>
      </c>
      <c r="G320" s="7">
        <v>10.52</v>
      </c>
      <c r="H320" s="7"/>
      <c r="I320" s="7"/>
      <c r="J320" s="7"/>
      <c r="K320" s="7">
        <v>3.0470000000000002</v>
      </c>
      <c r="L320" s="7">
        <v>120.7</v>
      </c>
      <c r="M320" s="7">
        <v>0</v>
      </c>
      <c r="N320" s="7"/>
      <c r="O320">
        <v>323.10000000000002</v>
      </c>
      <c r="P320">
        <v>69.8</v>
      </c>
      <c r="Q320">
        <v>12.09</v>
      </c>
      <c r="S320">
        <v>11.91</v>
      </c>
      <c r="T320">
        <v>0</v>
      </c>
      <c r="U320">
        <v>100.5</v>
      </c>
      <c r="V320">
        <v>762</v>
      </c>
      <c r="W320">
        <v>31.34</v>
      </c>
      <c r="Y320">
        <v>13.92</v>
      </c>
    </row>
    <row r="321" spans="1:25" x14ac:dyDescent="0.25">
      <c r="A321">
        <v>2006</v>
      </c>
      <c r="B321">
        <v>134</v>
      </c>
      <c r="C321">
        <v>1600</v>
      </c>
      <c r="D321" s="7">
        <v>172.8</v>
      </c>
      <c r="E321" s="7">
        <v>104.9</v>
      </c>
      <c r="F321" s="7">
        <v>10.199999999999999</v>
      </c>
      <c r="G321" s="7">
        <v>10.09</v>
      </c>
      <c r="H321" s="7"/>
      <c r="I321" s="7"/>
      <c r="J321" s="7"/>
      <c r="K321" s="7">
        <v>3.0459999999999998</v>
      </c>
      <c r="L321" s="7">
        <v>113.3</v>
      </c>
      <c r="M321" s="7">
        <v>0.4</v>
      </c>
      <c r="N321" s="7"/>
      <c r="O321">
        <v>228.4</v>
      </c>
      <c r="P321">
        <v>46.18</v>
      </c>
      <c r="Q321">
        <v>12.15</v>
      </c>
      <c r="S321">
        <v>11.91</v>
      </c>
      <c r="T321">
        <v>0</v>
      </c>
      <c r="U321">
        <v>101.3</v>
      </c>
      <c r="V321">
        <v>762</v>
      </c>
      <c r="W321">
        <v>31.33</v>
      </c>
      <c r="Y321">
        <v>13.81</v>
      </c>
    </row>
    <row r="322" spans="1:25" x14ac:dyDescent="0.25">
      <c r="A322">
        <v>2006</v>
      </c>
      <c r="B322">
        <v>134</v>
      </c>
      <c r="C322">
        <v>1700</v>
      </c>
      <c r="D322" s="7">
        <v>111.6</v>
      </c>
      <c r="E322" s="7">
        <v>64.19</v>
      </c>
      <c r="F322" s="7">
        <v>10.25</v>
      </c>
      <c r="G322" s="7">
        <v>10.16</v>
      </c>
      <c r="H322" s="7"/>
      <c r="I322" s="7"/>
      <c r="J322" s="7"/>
      <c r="K322" s="7">
        <v>2.4049999999999998</v>
      </c>
      <c r="L322" s="7">
        <v>105.4</v>
      </c>
      <c r="M322" s="7">
        <v>0.6</v>
      </c>
      <c r="N322" s="7"/>
      <c r="O322">
        <v>146.4</v>
      </c>
      <c r="P322">
        <v>25.55</v>
      </c>
      <c r="Q322">
        <v>12.23</v>
      </c>
      <c r="S322">
        <v>11.91</v>
      </c>
      <c r="T322">
        <v>0</v>
      </c>
      <c r="U322">
        <v>101.1</v>
      </c>
      <c r="V322">
        <v>762</v>
      </c>
      <c r="W322">
        <v>31.32</v>
      </c>
      <c r="Y322">
        <v>13.71</v>
      </c>
    </row>
    <row r="323" spans="1:25" x14ac:dyDescent="0.25">
      <c r="A323">
        <v>2006</v>
      </c>
      <c r="B323">
        <v>134</v>
      </c>
      <c r="C323">
        <v>1800</v>
      </c>
      <c r="D323" s="7">
        <v>84.7</v>
      </c>
      <c r="E323" s="7">
        <v>46.56</v>
      </c>
      <c r="F323" s="7">
        <v>10.55</v>
      </c>
      <c r="G323" s="7">
        <v>10.48</v>
      </c>
      <c r="H323" s="7"/>
      <c r="I323" s="7"/>
      <c r="J323" s="7"/>
      <c r="K323" s="7">
        <v>1.444</v>
      </c>
      <c r="L323" s="7">
        <v>104.1</v>
      </c>
      <c r="M323" s="7">
        <v>0.4</v>
      </c>
      <c r="N323" s="7"/>
      <c r="O323">
        <v>108.4</v>
      </c>
      <c r="P323">
        <v>16.77</v>
      </c>
      <c r="Q323">
        <v>12.25</v>
      </c>
      <c r="S323">
        <v>11.94</v>
      </c>
      <c r="T323">
        <v>0</v>
      </c>
      <c r="U323">
        <v>100.8</v>
      </c>
      <c r="V323">
        <v>762</v>
      </c>
      <c r="W323">
        <v>31.35</v>
      </c>
      <c r="Y323">
        <v>13.63</v>
      </c>
    </row>
    <row r="324" spans="1:25" x14ac:dyDescent="0.25">
      <c r="A324">
        <v>2006</v>
      </c>
      <c r="B324">
        <v>134</v>
      </c>
      <c r="C324">
        <v>1900</v>
      </c>
      <c r="D324" s="7">
        <v>57.4</v>
      </c>
      <c r="E324" s="7">
        <v>28.08</v>
      </c>
      <c r="F324" s="7">
        <v>10.7</v>
      </c>
      <c r="G324" s="7">
        <v>10.65</v>
      </c>
      <c r="H324" s="7"/>
      <c r="I324" s="7"/>
      <c r="J324" s="7"/>
      <c r="K324" s="7">
        <v>1.544</v>
      </c>
      <c r="L324" s="7">
        <v>103.3</v>
      </c>
      <c r="M324" s="7">
        <v>0.4</v>
      </c>
      <c r="N324" s="7"/>
      <c r="O324">
        <v>68.53</v>
      </c>
      <c r="P324">
        <v>7.54</v>
      </c>
      <c r="Q324">
        <v>12.26</v>
      </c>
      <c r="S324">
        <v>11.99</v>
      </c>
      <c r="T324">
        <v>0</v>
      </c>
      <c r="U324">
        <v>100.5</v>
      </c>
      <c r="V324">
        <v>763</v>
      </c>
      <c r="W324">
        <v>31.39</v>
      </c>
      <c r="Y324">
        <v>13.56</v>
      </c>
    </row>
    <row r="325" spans="1:25" x14ac:dyDescent="0.25">
      <c r="A325">
        <v>2006</v>
      </c>
      <c r="B325">
        <v>134</v>
      </c>
      <c r="C325">
        <v>2000</v>
      </c>
      <c r="D325" s="7">
        <v>18.25</v>
      </c>
      <c r="E325" s="7">
        <v>2.4180000000000001</v>
      </c>
      <c r="F325" s="7">
        <v>10.66</v>
      </c>
      <c r="G325" s="7">
        <v>10.64</v>
      </c>
      <c r="H325" s="7"/>
      <c r="I325" s="7"/>
      <c r="J325" s="7"/>
      <c r="K325" s="7">
        <v>1.1399999999999999</v>
      </c>
      <c r="L325" s="7">
        <v>95.2</v>
      </c>
      <c r="M325" s="7">
        <v>0.2</v>
      </c>
      <c r="N325" s="7"/>
      <c r="O325">
        <v>15.45</v>
      </c>
      <c r="P325">
        <v>-4.6840000000000002</v>
      </c>
      <c r="Q325">
        <v>12.32</v>
      </c>
      <c r="S325">
        <v>12.04</v>
      </c>
      <c r="T325">
        <v>0</v>
      </c>
      <c r="U325">
        <v>100.2</v>
      </c>
      <c r="V325">
        <v>764</v>
      </c>
      <c r="W325">
        <v>31.47</v>
      </c>
      <c r="Y325">
        <v>13.47</v>
      </c>
    </row>
    <row r="326" spans="1:25" x14ac:dyDescent="0.25">
      <c r="A326">
        <v>2006</v>
      </c>
      <c r="B326">
        <v>134</v>
      </c>
      <c r="C326">
        <v>2100</v>
      </c>
      <c r="D326" s="7">
        <v>1.1259999999999999</v>
      </c>
      <c r="E326" s="7">
        <v>-6.5780000000000003</v>
      </c>
      <c r="F326" s="7">
        <v>10.48</v>
      </c>
      <c r="G326" s="7">
        <v>10.43</v>
      </c>
      <c r="H326" s="7"/>
      <c r="I326" s="7"/>
      <c r="J326" s="7"/>
      <c r="K326" s="7">
        <v>1.556</v>
      </c>
      <c r="L326" s="7">
        <v>105.9</v>
      </c>
      <c r="M326" s="7">
        <v>0.2</v>
      </c>
      <c r="N326" s="7"/>
      <c r="O326">
        <v>-9.2799999999999994</v>
      </c>
      <c r="P326">
        <v>-10.41</v>
      </c>
      <c r="Q326">
        <v>12.34</v>
      </c>
      <c r="S326">
        <v>12.06</v>
      </c>
      <c r="T326">
        <v>0</v>
      </c>
      <c r="U326">
        <v>100.6</v>
      </c>
      <c r="V326">
        <v>765</v>
      </c>
      <c r="W326">
        <v>31.49</v>
      </c>
      <c r="Y326">
        <v>13.39</v>
      </c>
    </row>
    <row r="327" spans="1:25" x14ac:dyDescent="0.25">
      <c r="A327">
        <v>2006</v>
      </c>
      <c r="B327">
        <v>134</v>
      </c>
      <c r="C327">
        <v>2200</v>
      </c>
      <c r="D327" s="7">
        <v>-0.57299999999999995</v>
      </c>
      <c r="E327" s="7">
        <v>-8.7899999999999991</v>
      </c>
      <c r="F327" s="7">
        <v>10.52</v>
      </c>
      <c r="G327" s="7">
        <v>10.47</v>
      </c>
      <c r="H327" s="7"/>
      <c r="I327" s="7"/>
      <c r="J327" s="7"/>
      <c r="K327" s="7">
        <v>1.1240000000000001</v>
      </c>
      <c r="L327" s="7">
        <v>111.8</v>
      </c>
      <c r="M327" s="7">
        <v>1</v>
      </c>
      <c r="N327" s="7"/>
      <c r="O327">
        <v>-11.5</v>
      </c>
      <c r="P327">
        <v>-10.84</v>
      </c>
      <c r="Q327">
        <v>12.31</v>
      </c>
      <c r="S327">
        <v>12.05</v>
      </c>
      <c r="T327">
        <v>0</v>
      </c>
      <c r="U327">
        <v>100.6</v>
      </c>
      <c r="V327">
        <v>766</v>
      </c>
      <c r="W327">
        <v>31.56</v>
      </c>
      <c r="Y327">
        <v>13.31</v>
      </c>
    </row>
    <row r="328" spans="1:25" x14ac:dyDescent="0.25">
      <c r="A328">
        <v>2006</v>
      </c>
      <c r="B328">
        <v>134</v>
      </c>
      <c r="C328">
        <v>2300</v>
      </c>
      <c r="D328" s="7">
        <v>-0.57299999999999995</v>
      </c>
      <c r="E328" s="7">
        <v>-8.2100000000000009</v>
      </c>
      <c r="F328" s="7">
        <v>10.5</v>
      </c>
      <c r="G328" s="7">
        <v>10.47</v>
      </c>
      <c r="H328" s="7"/>
      <c r="I328" s="7"/>
      <c r="J328" s="7"/>
      <c r="K328" s="7">
        <v>0.871</v>
      </c>
      <c r="L328" s="7">
        <v>109.7</v>
      </c>
      <c r="M328" s="7">
        <v>0.4</v>
      </c>
      <c r="N328" s="7"/>
      <c r="O328">
        <v>-11.5</v>
      </c>
      <c r="P328">
        <v>-10.84</v>
      </c>
      <c r="Q328">
        <v>12.33</v>
      </c>
      <c r="S328">
        <v>12.05</v>
      </c>
      <c r="T328">
        <v>0</v>
      </c>
      <c r="U328">
        <v>100.4</v>
      </c>
      <c r="V328">
        <v>779</v>
      </c>
      <c r="W328">
        <v>32.19</v>
      </c>
      <c r="Y328">
        <v>13.24</v>
      </c>
    </row>
    <row r="329" spans="1:25" x14ac:dyDescent="0.25">
      <c r="A329">
        <v>2006</v>
      </c>
      <c r="B329">
        <v>134</v>
      </c>
      <c r="C329">
        <v>2400</v>
      </c>
      <c r="D329" s="7">
        <v>-0.72099999999999997</v>
      </c>
      <c r="E329" s="7">
        <v>-9.91</v>
      </c>
      <c r="F329" s="7">
        <v>10.58</v>
      </c>
      <c r="G329" s="7">
        <v>10.57</v>
      </c>
      <c r="H329" s="7"/>
      <c r="I329" s="7"/>
      <c r="J329" s="7"/>
      <c r="K329" s="7">
        <v>0.20100000000000001</v>
      </c>
      <c r="L329" s="7">
        <v>135.30000000000001</v>
      </c>
      <c r="M329" s="7">
        <v>0.6</v>
      </c>
      <c r="N329" s="7"/>
      <c r="O329">
        <v>-11.5</v>
      </c>
      <c r="P329">
        <v>-10.84</v>
      </c>
      <c r="Q329">
        <v>12.34</v>
      </c>
      <c r="S329">
        <v>12.02</v>
      </c>
      <c r="T329">
        <v>0</v>
      </c>
      <c r="U329">
        <v>100.2</v>
      </c>
      <c r="V329">
        <v>798</v>
      </c>
      <c r="W329">
        <v>33.14</v>
      </c>
      <c r="Y329">
        <v>13.18</v>
      </c>
    </row>
    <row r="330" spans="1:25" x14ac:dyDescent="0.25">
      <c r="A330">
        <v>2006</v>
      </c>
      <c r="B330">
        <v>135</v>
      </c>
      <c r="C330">
        <v>100</v>
      </c>
      <c r="D330" s="7">
        <v>-0.65400000000000003</v>
      </c>
      <c r="E330" s="7">
        <v>-12.5</v>
      </c>
      <c r="F330" s="7">
        <v>10.69</v>
      </c>
      <c r="G330" s="7">
        <v>10.78</v>
      </c>
      <c r="H330" s="7"/>
      <c r="I330" s="7"/>
      <c r="J330" s="7"/>
      <c r="K330" s="7">
        <v>0.309</v>
      </c>
      <c r="L330" s="7">
        <v>140.9</v>
      </c>
      <c r="M330" s="7">
        <v>0</v>
      </c>
      <c r="N330" s="7"/>
      <c r="O330">
        <v>-11.5</v>
      </c>
      <c r="P330">
        <v>-10.84</v>
      </c>
      <c r="Q330">
        <v>12.29</v>
      </c>
      <c r="S330">
        <v>12.01</v>
      </c>
      <c r="T330">
        <v>0</v>
      </c>
      <c r="U330">
        <v>99</v>
      </c>
      <c r="V330">
        <v>806</v>
      </c>
      <c r="W330">
        <v>33.54</v>
      </c>
      <c r="Y330">
        <v>13.11</v>
      </c>
    </row>
    <row r="331" spans="1:25" x14ac:dyDescent="0.25">
      <c r="A331">
        <v>2006</v>
      </c>
      <c r="B331">
        <v>135</v>
      </c>
      <c r="C331">
        <v>200</v>
      </c>
      <c r="D331" s="7">
        <v>-0.84499999999999997</v>
      </c>
      <c r="E331" s="7">
        <v>-13.58</v>
      </c>
      <c r="F331" s="7">
        <v>10.82</v>
      </c>
      <c r="G331" s="7">
        <v>11.01</v>
      </c>
      <c r="H331" s="7"/>
      <c r="I331" s="7"/>
      <c r="J331" s="7"/>
      <c r="K331" s="7">
        <v>0.48299999999999998</v>
      </c>
      <c r="L331" s="7">
        <v>135.4</v>
      </c>
      <c r="M331" s="7">
        <v>0</v>
      </c>
      <c r="N331" s="7"/>
      <c r="O331">
        <v>-11.5</v>
      </c>
      <c r="P331">
        <v>-10.84</v>
      </c>
      <c r="Q331">
        <v>12.24</v>
      </c>
      <c r="S331">
        <v>11.99</v>
      </c>
      <c r="T331">
        <v>0</v>
      </c>
      <c r="U331">
        <v>97.8</v>
      </c>
      <c r="V331">
        <v>805</v>
      </c>
      <c r="W331">
        <v>33.49</v>
      </c>
      <c r="Y331">
        <v>13.06</v>
      </c>
    </row>
    <row r="332" spans="1:25" x14ac:dyDescent="0.25">
      <c r="A332">
        <v>2006</v>
      </c>
      <c r="B332">
        <v>135</v>
      </c>
      <c r="C332">
        <v>300</v>
      </c>
      <c r="D332" s="7">
        <v>-1.115</v>
      </c>
      <c r="E332" s="7">
        <v>-16.29</v>
      </c>
      <c r="F332" s="7">
        <v>10.35</v>
      </c>
      <c r="G332" s="7">
        <v>10.48</v>
      </c>
      <c r="H332" s="7"/>
      <c r="I332" s="7"/>
      <c r="J332" s="7"/>
      <c r="K332" s="7">
        <v>0.60899999999999999</v>
      </c>
      <c r="L332" s="7">
        <v>111</v>
      </c>
      <c r="M332" s="7">
        <v>0.2</v>
      </c>
      <c r="N332" s="7"/>
      <c r="O332">
        <v>-11.5</v>
      </c>
      <c r="P332">
        <v>-10.84</v>
      </c>
      <c r="Q332">
        <v>12.24</v>
      </c>
      <c r="S332">
        <v>11.93</v>
      </c>
      <c r="T332">
        <v>0</v>
      </c>
      <c r="U332">
        <v>98.5</v>
      </c>
      <c r="V332">
        <v>803</v>
      </c>
      <c r="W332">
        <v>33.4</v>
      </c>
      <c r="Y332">
        <v>13.01</v>
      </c>
    </row>
    <row r="333" spans="1:25" x14ac:dyDescent="0.25">
      <c r="A333">
        <v>2006</v>
      </c>
      <c r="B333">
        <v>135</v>
      </c>
      <c r="C333">
        <v>400</v>
      </c>
      <c r="D333" s="7">
        <v>-0.61899999999999999</v>
      </c>
      <c r="E333" s="7">
        <v>-10.07</v>
      </c>
      <c r="F333" s="7">
        <v>10.34</v>
      </c>
      <c r="G333" s="7">
        <v>10.38</v>
      </c>
      <c r="H333" s="7"/>
      <c r="I333" s="7"/>
      <c r="J333" s="7"/>
      <c r="K333" s="7">
        <v>1.2969999999999999</v>
      </c>
      <c r="L333" s="7">
        <v>110.4</v>
      </c>
      <c r="M333" s="7">
        <v>0</v>
      </c>
      <c r="N333" s="7"/>
      <c r="O333">
        <v>-11.5</v>
      </c>
      <c r="P333">
        <v>-10.85</v>
      </c>
      <c r="Q333">
        <v>12.22</v>
      </c>
      <c r="S333">
        <v>11.9</v>
      </c>
      <c r="T333">
        <v>0</v>
      </c>
      <c r="U333">
        <v>99.6</v>
      </c>
      <c r="V333">
        <v>802</v>
      </c>
      <c r="W333">
        <v>33.35</v>
      </c>
      <c r="Y333">
        <v>12.97</v>
      </c>
    </row>
    <row r="334" spans="1:25" x14ac:dyDescent="0.25">
      <c r="A334">
        <v>2006</v>
      </c>
      <c r="B334">
        <v>135</v>
      </c>
      <c r="C334">
        <v>500</v>
      </c>
      <c r="D334" s="7">
        <v>2.98</v>
      </c>
      <c r="E334" s="7">
        <v>-8.6199999999999992</v>
      </c>
      <c r="F334" s="7">
        <v>10.28</v>
      </c>
      <c r="G334" s="7">
        <v>10.31</v>
      </c>
      <c r="H334" s="7"/>
      <c r="I334" s="7"/>
      <c r="J334" s="7"/>
      <c r="K334" s="7">
        <v>0.79600000000000004</v>
      </c>
      <c r="L334" s="7">
        <v>105.7</v>
      </c>
      <c r="M334" s="7">
        <v>0</v>
      </c>
      <c r="N334" s="7"/>
      <c r="O334">
        <v>-6.4349999999999996</v>
      </c>
      <c r="P334">
        <v>-9.61</v>
      </c>
      <c r="Q334">
        <v>12.14</v>
      </c>
      <c r="S334">
        <v>11.86</v>
      </c>
      <c r="T334">
        <v>0</v>
      </c>
      <c r="U334">
        <v>99.6</v>
      </c>
      <c r="V334">
        <v>800</v>
      </c>
      <c r="W334">
        <v>33.25</v>
      </c>
      <c r="Y334">
        <v>12.94</v>
      </c>
    </row>
    <row r="335" spans="1:25" x14ac:dyDescent="0.25">
      <c r="A335">
        <v>2006</v>
      </c>
      <c r="B335">
        <v>135</v>
      </c>
      <c r="C335">
        <v>600</v>
      </c>
      <c r="D335" s="7">
        <v>34.51</v>
      </c>
      <c r="E335" s="7">
        <v>9.85</v>
      </c>
      <c r="F335" s="7">
        <v>10.25</v>
      </c>
      <c r="G335" s="7">
        <v>10.39</v>
      </c>
      <c r="H335" s="7"/>
      <c r="I335" s="7"/>
      <c r="J335" s="7"/>
      <c r="K335" s="7">
        <v>1.748</v>
      </c>
      <c r="L335" s="7">
        <v>111.9</v>
      </c>
      <c r="M335" s="7">
        <v>0</v>
      </c>
      <c r="N335" s="7"/>
      <c r="O335">
        <v>39.270000000000003</v>
      </c>
      <c r="P335">
        <v>2.62</v>
      </c>
      <c r="Q335">
        <v>12.13</v>
      </c>
      <c r="S335">
        <v>11.8</v>
      </c>
      <c r="T335">
        <v>0</v>
      </c>
      <c r="U335">
        <v>98.4</v>
      </c>
      <c r="V335">
        <v>799</v>
      </c>
      <c r="W335">
        <v>33.18</v>
      </c>
      <c r="Y335">
        <v>12.99</v>
      </c>
    </row>
    <row r="336" spans="1:25" x14ac:dyDescent="0.25">
      <c r="A336">
        <v>2006</v>
      </c>
      <c r="B336">
        <v>135</v>
      </c>
      <c r="C336">
        <v>700</v>
      </c>
      <c r="D336" s="7">
        <v>50.12</v>
      </c>
      <c r="E336" s="7">
        <v>18.29</v>
      </c>
      <c r="F336" s="7">
        <v>10.42</v>
      </c>
      <c r="G336" s="7">
        <v>10.82</v>
      </c>
      <c r="H336" s="7"/>
      <c r="I336" s="7"/>
      <c r="J336" s="7"/>
      <c r="K336" s="7">
        <v>1.9139999999999999</v>
      </c>
      <c r="L336" s="7">
        <v>123.4</v>
      </c>
      <c r="M336" s="7">
        <v>0</v>
      </c>
      <c r="N336" s="7"/>
      <c r="O336">
        <v>61.74</v>
      </c>
      <c r="P336">
        <v>9.7100000000000009</v>
      </c>
      <c r="Q336">
        <v>12.13</v>
      </c>
      <c r="S336">
        <v>11.8</v>
      </c>
      <c r="T336">
        <v>0</v>
      </c>
      <c r="U336">
        <v>95.3</v>
      </c>
      <c r="V336">
        <v>797</v>
      </c>
      <c r="W336">
        <v>33.11</v>
      </c>
      <c r="Y336">
        <v>13.12</v>
      </c>
    </row>
    <row r="337" spans="1:25" x14ac:dyDescent="0.25">
      <c r="A337">
        <v>2006</v>
      </c>
      <c r="B337">
        <v>135</v>
      </c>
      <c r="C337">
        <v>800</v>
      </c>
      <c r="D337" s="7">
        <v>79.400000000000006</v>
      </c>
      <c r="E337" s="7">
        <v>37.99</v>
      </c>
      <c r="F337" s="7">
        <v>10.49</v>
      </c>
      <c r="G337" s="7">
        <v>11.09</v>
      </c>
      <c r="H337" s="7"/>
      <c r="I337" s="7"/>
      <c r="J337" s="7"/>
      <c r="K337" s="7">
        <v>1.4259999999999999</v>
      </c>
      <c r="L337" s="7">
        <v>119.5</v>
      </c>
      <c r="M337" s="7">
        <v>0</v>
      </c>
      <c r="N337" s="7"/>
      <c r="O337">
        <v>102.4</v>
      </c>
      <c r="P337">
        <v>20.58</v>
      </c>
      <c r="Q337">
        <v>12.1</v>
      </c>
      <c r="S337">
        <v>11.77</v>
      </c>
      <c r="T337">
        <v>0</v>
      </c>
      <c r="U337">
        <v>93</v>
      </c>
      <c r="V337">
        <v>796</v>
      </c>
      <c r="W337">
        <v>33.06</v>
      </c>
      <c r="Y337">
        <v>13.4</v>
      </c>
    </row>
    <row r="338" spans="1:25" x14ac:dyDescent="0.25">
      <c r="A338">
        <v>2006</v>
      </c>
      <c r="B338">
        <v>135</v>
      </c>
      <c r="C338">
        <v>900</v>
      </c>
      <c r="D338" s="7">
        <v>134.30000000000001</v>
      </c>
      <c r="E338" s="7">
        <v>74.900000000000006</v>
      </c>
      <c r="F338" s="7">
        <v>10.96</v>
      </c>
      <c r="G338" s="7">
        <v>11.57</v>
      </c>
      <c r="H338" s="7">
        <f>AVERAGE(G338:G361)</f>
        <v>11.113750000000001</v>
      </c>
      <c r="I338" s="7">
        <f>MIN(G338:G361)</f>
        <v>8.2200000000000006</v>
      </c>
      <c r="J338" s="7">
        <f>MAX(G338:G361)</f>
        <v>12.47</v>
      </c>
      <c r="K338" s="7">
        <v>1.613</v>
      </c>
      <c r="L338" s="7">
        <v>155.69999999999999</v>
      </c>
      <c r="M338" s="7">
        <v>0.2</v>
      </c>
      <c r="N338" s="7">
        <f>SUM(M338:M361)</f>
        <v>5.4</v>
      </c>
      <c r="O338">
        <v>179.4</v>
      </c>
      <c r="P338">
        <v>41.27</v>
      </c>
      <c r="Q338">
        <v>12.07</v>
      </c>
      <c r="S338">
        <v>11.72</v>
      </c>
      <c r="T338">
        <v>0</v>
      </c>
      <c r="U338">
        <v>93</v>
      </c>
      <c r="V338">
        <v>797</v>
      </c>
      <c r="W338">
        <v>33.07</v>
      </c>
      <c r="Y338">
        <v>13.67</v>
      </c>
    </row>
    <row r="339" spans="1:25" x14ac:dyDescent="0.25">
      <c r="A339">
        <v>2006</v>
      </c>
      <c r="B339">
        <v>135</v>
      </c>
      <c r="C339">
        <v>1000</v>
      </c>
      <c r="D339" s="7">
        <v>175.6</v>
      </c>
      <c r="E339" s="7">
        <v>104.7</v>
      </c>
      <c r="F339" s="7">
        <v>11.16</v>
      </c>
      <c r="G339" s="7">
        <v>11.51</v>
      </c>
      <c r="H339" s="7"/>
      <c r="I339" s="7"/>
      <c r="J339" s="7"/>
      <c r="K339" s="7">
        <v>1.98</v>
      </c>
      <c r="L339" s="7">
        <v>141.19999999999999</v>
      </c>
      <c r="M339" s="7">
        <v>0.4</v>
      </c>
      <c r="N339" s="7"/>
      <c r="O339">
        <v>238.7</v>
      </c>
      <c r="P339">
        <v>55.52</v>
      </c>
      <c r="Q339">
        <v>12.04</v>
      </c>
      <c r="S339">
        <v>11.68</v>
      </c>
      <c r="T339">
        <v>0</v>
      </c>
      <c r="U339">
        <v>96</v>
      </c>
      <c r="V339">
        <v>798</v>
      </c>
      <c r="W339">
        <v>33.14</v>
      </c>
      <c r="Y339">
        <v>13.76</v>
      </c>
    </row>
    <row r="340" spans="1:25" x14ac:dyDescent="0.25">
      <c r="A340">
        <v>2006</v>
      </c>
      <c r="B340">
        <v>135</v>
      </c>
      <c r="C340">
        <v>1100</v>
      </c>
      <c r="D340" s="7">
        <v>260.89999999999998</v>
      </c>
      <c r="E340" s="7">
        <v>161.6</v>
      </c>
      <c r="F340" s="7">
        <v>11.58</v>
      </c>
      <c r="G340" s="7">
        <v>11.83</v>
      </c>
      <c r="H340" s="7"/>
      <c r="I340" s="7"/>
      <c r="J340" s="7"/>
      <c r="K340" s="7">
        <v>2.4630000000000001</v>
      </c>
      <c r="L340" s="7">
        <v>121.5</v>
      </c>
      <c r="M340" s="7">
        <v>0</v>
      </c>
      <c r="N340" s="7"/>
      <c r="O340">
        <v>347.9</v>
      </c>
      <c r="P340">
        <v>84.9</v>
      </c>
      <c r="Q340">
        <v>12.13</v>
      </c>
      <c r="S340">
        <v>11.69</v>
      </c>
      <c r="T340">
        <v>0</v>
      </c>
      <c r="U340">
        <v>97.1</v>
      </c>
      <c r="V340">
        <v>801</v>
      </c>
      <c r="W340">
        <v>33.29</v>
      </c>
      <c r="Y340">
        <v>13.91</v>
      </c>
    </row>
    <row r="341" spans="1:25" x14ac:dyDescent="0.25">
      <c r="A341">
        <v>2006</v>
      </c>
      <c r="B341">
        <v>135</v>
      </c>
      <c r="C341">
        <v>1200</v>
      </c>
      <c r="D341" s="7">
        <v>149.1</v>
      </c>
      <c r="E341" s="7">
        <v>88.4</v>
      </c>
      <c r="F341" s="7">
        <v>11.34</v>
      </c>
      <c r="G341" s="7">
        <v>11.52</v>
      </c>
      <c r="H341" s="7"/>
      <c r="I341" s="7"/>
      <c r="J341" s="7"/>
      <c r="K341" s="7">
        <v>2.16</v>
      </c>
      <c r="L341" s="7">
        <v>122.6</v>
      </c>
      <c r="M341" s="7">
        <v>1.2</v>
      </c>
      <c r="N341" s="7"/>
      <c r="O341">
        <v>198.8</v>
      </c>
      <c r="P341">
        <v>45.61</v>
      </c>
      <c r="Q341">
        <v>12.23</v>
      </c>
      <c r="S341">
        <v>11.7</v>
      </c>
      <c r="T341">
        <v>0</v>
      </c>
      <c r="U341">
        <v>97.9</v>
      </c>
      <c r="V341">
        <v>803</v>
      </c>
      <c r="W341">
        <v>33.39</v>
      </c>
      <c r="Y341">
        <v>13.79</v>
      </c>
    </row>
    <row r="342" spans="1:25" x14ac:dyDescent="0.25">
      <c r="A342">
        <v>2006</v>
      </c>
      <c r="B342">
        <v>135</v>
      </c>
      <c r="C342">
        <v>1300</v>
      </c>
      <c r="D342" s="7">
        <v>161.1</v>
      </c>
      <c r="E342" s="7">
        <v>97.1</v>
      </c>
      <c r="F342" s="7">
        <v>11.21</v>
      </c>
      <c r="G342" s="7">
        <v>11.35</v>
      </c>
      <c r="H342" s="7"/>
      <c r="I342" s="7"/>
      <c r="J342" s="7"/>
      <c r="K342" s="7">
        <v>2.5369999999999999</v>
      </c>
      <c r="L342" s="7">
        <v>118.9</v>
      </c>
      <c r="M342" s="7">
        <v>0.6</v>
      </c>
      <c r="N342" s="7"/>
      <c r="O342">
        <v>210.3</v>
      </c>
      <c r="P342">
        <v>46.59</v>
      </c>
      <c r="Q342">
        <v>12.31</v>
      </c>
      <c r="S342">
        <v>11.74</v>
      </c>
      <c r="T342">
        <v>0</v>
      </c>
      <c r="U342">
        <v>98.3</v>
      </c>
      <c r="V342">
        <v>818</v>
      </c>
      <c r="W342">
        <v>34.200000000000003</v>
      </c>
      <c r="Y342">
        <v>13.79</v>
      </c>
    </row>
    <row r="343" spans="1:25" x14ac:dyDescent="0.25">
      <c r="A343">
        <v>2006</v>
      </c>
      <c r="B343">
        <v>135</v>
      </c>
      <c r="C343">
        <v>1400</v>
      </c>
      <c r="D343" s="7">
        <v>184.1</v>
      </c>
      <c r="E343" s="7">
        <v>112.3</v>
      </c>
      <c r="F343" s="7">
        <v>10.94</v>
      </c>
      <c r="G343" s="7">
        <v>11.13</v>
      </c>
      <c r="H343" s="7"/>
      <c r="I343" s="7"/>
      <c r="J343" s="7"/>
      <c r="K343" s="7">
        <v>2.58</v>
      </c>
      <c r="L343" s="7">
        <v>118.6</v>
      </c>
      <c r="M343" s="7">
        <v>0.8</v>
      </c>
      <c r="N343" s="7"/>
      <c r="O343">
        <v>245.3</v>
      </c>
      <c r="P343">
        <v>60.69</v>
      </c>
      <c r="Q343">
        <v>12.35</v>
      </c>
      <c r="S343">
        <v>11.79</v>
      </c>
      <c r="T343">
        <v>0</v>
      </c>
      <c r="U343">
        <v>97.8</v>
      </c>
      <c r="V343">
        <v>850</v>
      </c>
      <c r="W343">
        <v>36.08</v>
      </c>
      <c r="Y343">
        <v>13.8</v>
      </c>
    </row>
    <row r="344" spans="1:25" x14ac:dyDescent="0.25">
      <c r="A344">
        <v>2006</v>
      </c>
      <c r="B344">
        <v>135</v>
      </c>
      <c r="C344">
        <v>1500</v>
      </c>
      <c r="D344" s="7">
        <v>200</v>
      </c>
      <c r="E344" s="7">
        <v>122.3</v>
      </c>
      <c r="F344" s="7">
        <v>11.09</v>
      </c>
      <c r="G344" s="7">
        <v>11.21</v>
      </c>
      <c r="H344" s="7"/>
      <c r="I344" s="7"/>
      <c r="J344" s="7"/>
      <c r="K344" s="7">
        <v>2.1669999999999998</v>
      </c>
      <c r="L344" s="7">
        <v>116.6</v>
      </c>
      <c r="M344" s="7">
        <v>0.4</v>
      </c>
      <c r="N344" s="7"/>
      <c r="O344">
        <v>264</v>
      </c>
      <c r="P344">
        <v>66.03</v>
      </c>
      <c r="Q344">
        <v>12.43</v>
      </c>
      <c r="S344">
        <v>11.85</v>
      </c>
      <c r="T344">
        <v>0</v>
      </c>
      <c r="U344">
        <v>98.6</v>
      </c>
      <c r="V344">
        <v>892</v>
      </c>
      <c r="W344">
        <v>38.89</v>
      </c>
      <c r="Y344">
        <v>13.81</v>
      </c>
    </row>
    <row r="345" spans="1:25" x14ac:dyDescent="0.25">
      <c r="A345">
        <v>2006</v>
      </c>
      <c r="B345">
        <v>135</v>
      </c>
      <c r="C345">
        <v>1600</v>
      </c>
      <c r="D345" s="7">
        <v>169.8</v>
      </c>
      <c r="E345" s="7">
        <v>99.9</v>
      </c>
      <c r="F345" s="7">
        <v>11.49</v>
      </c>
      <c r="G345" s="7">
        <v>11.61</v>
      </c>
      <c r="H345" s="7"/>
      <c r="I345" s="7"/>
      <c r="J345" s="7"/>
      <c r="K345" s="7">
        <v>1.5549999999999999</v>
      </c>
      <c r="L345" s="7">
        <v>123.9</v>
      </c>
      <c r="M345" s="7">
        <v>0.2</v>
      </c>
      <c r="N345" s="7"/>
      <c r="O345">
        <v>228.1</v>
      </c>
      <c r="P345">
        <v>55.71</v>
      </c>
      <c r="Q345">
        <v>12.47</v>
      </c>
      <c r="S345">
        <v>11.91</v>
      </c>
      <c r="T345">
        <v>0</v>
      </c>
      <c r="U345">
        <v>98.6</v>
      </c>
      <c r="V345">
        <v>865</v>
      </c>
      <c r="W345">
        <v>36.99</v>
      </c>
      <c r="Y345">
        <v>13.8</v>
      </c>
    </row>
    <row r="346" spans="1:25" x14ac:dyDescent="0.25">
      <c r="A346">
        <v>2006</v>
      </c>
      <c r="B346">
        <v>135</v>
      </c>
      <c r="C346">
        <v>1700</v>
      </c>
      <c r="D346" s="7">
        <v>132.69999999999999</v>
      </c>
      <c r="E346" s="7">
        <v>71.7</v>
      </c>
      <c r="F346" s="7">
        <v>12.04</v>
      </c>
      <c r="G346" s="7">
        <v>12.18</v>
      </c>
      <c r="H346" s="7"/>
      <c r="I346" s="7"/>
      <c r="J346" s="7"/>
      <c r="K346" s="7">
        <v>0.76600000000000001</v>
      </c>
      <c r="L346" s="7">
        <v>150.80000000000001</v>
      </c>
      <c r="M346" s="7">
        <v>0.2</v>
      </c>
      <c r="N346" s="7"/>
      <c r="O346">
        <v>177.3</v>
      </c>
      <c r="P346">
        <v>39.67</v>
      </c>
      <c r="Q346">
        <v>12.55</v>
      </c>
      <c r="S346">
        <v>11.98</v>
      </c>
      <c r="T346">
        <v>0</v>
      </c>
      <c r="U346">
        <v>98.5</v>
      </c>
      <c r="V346">
        <v>849</v>
      </c>
      <c r="W346">
        <v>36.04</v>
      </c>
      <c r="Y346">
        <v>13.76</v>
      </c>
    </row>
    <row r="347" spans="1:25" x14ac:dyDescent="0.25">
      <c r="A347">
        <v>2006</v>
      </c>
      <c r="B347">
        <v>135</v>
      </c>
      <c r="C347">
        <v>1800</v>
      </c>
      <c r="D347" s="7">
        <v>76.400000000000006</v>
      </c>
      <c r="E347" s="7">
        <v>35.57</v>
      </c>
      <c r="F347" s="7">
        <v>12.08</v>
      </c>
      <c r="G347" s="7">
        <v>12.07</v>
      </c>
      <c r="H347" s="7"/>
      <c r="I347" s="7"/>
      <c r="J347" s="7"/>
      <c r="K347" s="7">
        <v>0.91800000000000004</v>
      </c>
      <c r="L347" s="7">
        <v>111.3</v>
      </c>
      <c r="M347" s="7">
        <v>0.2</v>
      </c>
      <c r="N347" s="7"/>
      <c r="O347">
        <v>99.6</v>
      </c>
      <c r="P347">
        <v>19.3</v>
      </c>
      <c r="Q347">
        <v>12.61</v>
      </c>
      <c r="S347">
        <v>11.98</v>
      </c>
      <c r="T347">
        <v>0</v>
      </c>
      <c r="U347">
        <v>100.1</v>
      </c>
      <c r="V347">
        <v>844</v>
      </c>
      <c r="W347">
        <v>35.700000000000003</v>
      </c>
      <c r="Y347">
        <v>13.64</v>
      </c>
    </row>
    <row r="348" spans="1:25" x14ac:dyDescent="0.25">
      <c r="A348">
        <v>2006</v>
      </c>
      <c r="B348">
        <v>135</v>
      </c>
      <c r="C348">
        <v>1900</v>
      </c>
      <c r="D348" s="7">
        <v>57.68</v>
      </c>
      <c r="E348" s="7">
        <v>24.29</v>
      </c>
      <c r="F348" s="7">
        <v>12.1</v>
      </c>
      <c r="G348" s="7">
        <v>12.05</v>
      </c>
      <c r="H348" s="7"/>
      <c r="I348" s="7"/>
      <c r="J348" s="7"/>
      <c r="K348" s="7">
        <v>0.98599999999999999</v>
      </c>
      <c r="L348" s="7">
        <v>112.3</v>
      </c>
      <c r="M348" s="7">
        <v>0.2</v>
      </c>
      <c r="N348" s="7"/>
      <c r="O348">
        <v>69.39</v>
      </c>
      <c r="P348">
        <v>11.19</v>
      </c>
      <c r="Q348">
        <v>12.68</v>
      </c>
      <c r="S348">
        <v>12.06</v>
      </c>
      <c r="T348">
        <v>0</v>
      </c>
      <c r="U348">
        <v>100.5</v>
      </c>
      <c r="V348">
        <v>841</v>
      </c>
      <c r="W348">
        <v>35.520000000000003</v>
      </c>
      <c r="Y348">
        <v>13.57</v>
      </c>
    </row>
    <row r="349" spans="1:25" x14ac:dyDescent="0.25">
      <c r="A349">
        <v>2006</v>
      </c>
      <c r="B349">
        <v>135</v>
      </c>
      <c r="C349">
        <v>2000</v>
      </c>
      <c r="D349" s="7">
        <v>12.25</v>
      </c>
      <c r="E349" s="7">
        <v>-3.6880000000000002</v>
      </c>
      <c r="F349" s="7">
        <v>11.89</v>
      </c>
      <c r="G349" s="7">
        <v>11.82</v>
      </c>
      <c r="H349" s="7"/>
      <c r="I349" s="7"/>
      <c r="J349" s="7"/>
      <c r="K349" s="7">
        <v>0.80700000000000005</v>
      </c>
      <c r="L349" s="7">
        <v>108.4</v>
      </c>
      <c r="M349" s="7">
        <v>0</v>
      </c>
      <c r="N349" s="7"/>
      <c r="O349">
        <v>6.6660000000000004</v>
      </c>
      <c r="P349">
        <v>-5.7649999999999997</v>
      </c>
      <c r="Q349">
        <v>12.72</v>
      </c>
      <c r="S349">
        <v>12.11</v>
      </c>
      <c r="T349">
        <v>0</v>
      </c>
      <c r="U349">
        <v>100.8</v>
      </c>
      <c r="V349">
        <v>835</v>
      </c>
      <c r="W349">
        <v>35.17</v>
      </c>
      <c r="Y349">
        <v>13.47</v>
      </c>
    </row>
    <row r="350" spans="1:25" x14ac:dyDescent="0.25">
      <c r="A350">
        <v>2006</v>
      </c>
      <c r="B350">
        <v>135</v>
      </c>
      <c r="C350">
        <v>2100</v>
      </c>
      <c r="D350" s="7">
        <v>0.67600000000000005</v>
      </c>
      <c r="E350" s="7">
        <v>-9.98</v>
      </c>
      <c r="F350" s="7">
        <v>11.77</v>
      </c>
      <c r="G350" s="7">
        <v>11.8</v>
      </c>
      <c r="H350" s="7"/>
      <c r="I350" s="7"/>
      <c r="J350" s="7"/>
      <c r="K350" s="7">
        <v>0.63200000000000001</v>
      </c>
      <c r="L350" s="7">
        <v>175</v>
      </c>
      <c r="M350" s="7">
        <v>0.2</v>
      </c>
      <c r="N350" s="7"/>
      <c r="O350">
        <v>-9.8000000000000007</v>
      </c>
      <c r="P350">
        <v>-10.49</v>
      </c>
      <c r="Q350">
        <v>12.72</v>
      </c>
      <c r="S350">
        <v>12.13</v>
      </c>
      <c r="T350">
        <v>0</v>
      </c>
      <c r="U350">
        <v>99.7</v>
      </c>
      <c r="V350">
        <v>829</v>
      </c>
      <c r="W350">
        <v>34.840000000000003</v>
      </c>
      <c r="Y350">
        <v>13.38</v>
      </c>
    </row>
    <row r="351" spans="1:25" x14ac:dyDescent="0.25">
      <c r="A351">
        <v>2006</v>
      </c>
      <c r="B351">
        <v>135</v>
      </c>
      <c r="C351">
        <v>2200</v>
      </c>
      <c r="D351" s="7">
        <v>-0.86199999999999999</v>
      </c>
      <c r="E351" s="7">
        <v>-11.16</v>
      </c>
      <c r="F351" s="7">
        <v>11.8</v>
      </c>
      <c r="G351" s="7">
        <v>11.83</v>
      </c>
      <c r="H351" s="7"/>
      <c r="I351" s="7"/>
      <c r="J351" s="7"/>
      <c r="K351" s="7">
        <v>1.2450000000000001</v>
      </c>
      <c r="L351" s="7">
        <v>221.8</v>
      </c>
      <c r="M351" s="7">
        <v>0.6</v>
      </c>
      <c r="N351" s="7"/>
      <c r="O351">
        <v>-11.5</v>
      </c>
      <c r="P351">
        <v>-10.86</v>
      </c>
      <c r="Q351">
        <v>12.69</v>
      </c>
      <c r="S351">
        <v>12.13</v>
      </c>
      <c r="T351">
        <v>0</v>
      </c>
      <c r="U351">
        <v>99.6</v>
      </c>
      <c r="V351">
        <v>836</v>
      </c>
      <c r="W351">
        <v>35.270000000000003</v>
      </c>
      <c r="Y351">
        <v>13.3</v>
      </c>
    </row>
    <row r="352" spans="1:25" x14ac:dyDescent="0.25">
      <c r="A352">
        <v>2006</v>
      </c>
      <c r="B352">
        <v>135</v>
      </c>
      <c r="C352">
        <v>2300</v>
      </c>
      <c r="D352" s="7">
        <v>-0.73299999999999998</v>
      </c>
      <c r="E352" s="7">
        <v>-10.28</v>
      </c>
      <c r="F352" s="7">
        <v>11.61</v>
      </c>
      <c r="G352" s="7">
        <v>11.6</v>
      </c>
      <c r="H352" s="7"/>
      <c r="I352" s="7"/>
      <c r="J352" s="7"/>
      <c r="K352" s="7">
        <v>1.2669999999999999</v>
      </c>
      <c r="L352" s="7">
        <v>221.8</v>
      </c>
      <c r="M352" s="7">
        <v>0.2</v>
      </c>
      <c r="N352" s="7"/>
      <c r="O352">
        <v>-11.5</v>
      </c>
      <c r="P352">
        <v>-10.85</v>
      </c>
      <c r="Q352">
        <v>12.67</v>
      </c>
      <c r="S352">
        <v>12.13</v>
      </c>
      <c r="T352">
        <v>0</v>
      </c>
      <c r="U352">
        <v>100.1</v>
      </c>
      <c r="V352">
        <v>836</v>
      </c>
      <c r="W352">
        <v>35.25</v>
      </c>
      <c r="Y352">
        <v>13.23</v>
      </c>
    </row>
    <row r="353" spans="1:25" x14ac:dyDescent="0.25">
      <c r="A353">
        <v>2006</v>
      </c>
      <c r="B353">
        <v>135</v>
      </c>
      <c r="C353">
        <v>2400</v>
      </c>
      <c r="D353" s="7">
        <v>-1.3340000000000001</v>
      </c>
      <c r="E353" s="7">
        <v>-24.07</v>
      </c>
      <c r="F353" s="7">
        <v>11.11</v>
      </c>
      <c r="G353" s="7">
        <v>11.13</v>
      </c>
      <c r="H353" s="7"/>
      <c r="I353" s="7"/>
      <c r="J353" s="7"/>
      <c r="K353" s="7">
        <v>1.504</v>
      </c>
      <c r="L353" s="7">
        <v>223.9</v>
      </c>
      <c r="M353" s="7">
        <v>0</v>
      </c>
      <c r="N353" s="7"/>
      <c r="O353">
        <v>-11.49</v>
      </c>
      <c r="P353">
        <v>-10.84</v>
      </c>
      <c r="Q353">
        <v>12.65</v>
      </c>
      <c r="S353">
        <v>12.11</v>
      </c>
      <c r="T353">
        <v>0</v>
      </c>
      <c r="U353">
        <v>99.8</v>
      </c>
      <c r="V353">
        <v>831</v>
      </c>
      <c r="W353">
        <v>34.96</v>
      </c>
      <c r="Y353">
        <v>13.17</v>
      </c>
    </row>
    <row r="354" spans="1:25" x14ac:dyDescent="0.25">
      <c r="A354">
        <v>2006</v>
      </c>
      <c r="B354">
        <v>136</v>
      </c>
      <c r="C354">
        <v>100</v>
      </c>
      <c r="D354" s="7">
        <v>-2.0649999999999999</v>
      </c>
      <c r="E354" s="7">
        <v>-25.97</v>
      </c>
      <c r="F354" s="7">
        <v>10.199999999999999</v>
      </c>
      <c r="G354" s="7">
        <v>10.26</v>
      </c>
      <c r="H354" s="7"/>
      <c r="I354" s="7"/>
      <c r="J354" s="7"/>
      <c r="K354" s="7">
        <v>1.675</v>
      </c>
      <c r="L354" s="7">
        <v>223.4</v>
      </c>
      <c r="M354" s="7">
        <v>0</v>
      </c>
      <c r="N354" s="7"/>
      <c r="O354">
        <v>-11.5</v>
      </c>
      <c r="P354">
        <v>-10.84</v>
      </c>
      <c r="Q354">
        <v>12.61</v>
      </c>
      <c r="S354">
        <v>12.08</v>
      </c>
      <c r="T354">
        <v>0</v>
      </c>
      <c r="U354">
        <v>99.4</v>
      </c>
      <c r="V354">
        <v>826</v>
      </c>
      <c r="W354">
        <v>34.64</v>
      </c>
      <c r="Y354">
        <v>13.11</v>
      </c>
    </row>
    <row r="355" spans="1:25" x14ac:dyDescent="0.25">
      <c r="A355">
        <v>2006</v>
      </c>
      <c r="B355">
        <v>136</v>
      </c>
      <c r="C355">
        <v>200</v>
      </c>
      <c r="D355" s="7">
        <v>-1.403</v>
      </c>
      <c r="E355" s="7">
        <v>-16.600000000000001</v>
      </c>
      <c r="F355" s="7">
        <v>10.26</v>
      </c>
      <c r="G355" s="7">
        <v>10.38</v>
      </c>
      <c r="H355" s="7"/>
      <c r="I355" s="7"/>
      <c r="J355" s="7"/>
      <c r="K355" s="7">
        <v>1.6579999999999999</v>
      </c>
      <c r="L355" s="7">
        <v>247.4</v>
      </c>
      <c r="M355" s="7">
        <v>0</v>
      </c>
      <c r="N355" s="7"/>
      <c r="O355">
        <v>-11.5</v>
      </c>
      <c r="P355">
        <v>-10.84</v>
      </c>
      <c r="Q355">
        <v>12.57</v>
      </c>
      <c r="S355">
        <v>12.11</v>
      </c>
      <c r="T355">
        <v>0</v>
      </c>
      <c r="U355">
        <v>98.5</v>
      </c>
      <c r="V355">
        <v>830</v>
      </c>
      <c r="W355">
        <v>34.909999999999997</v>
      </c>
      <c r="Y355">
        <v>13.05</v>
      </c>
    </row>
    <row r="356" spans="1:25" x14ac:dyDescent="0.25">
      <c r="A356">
        <v>2006</v>
      </c>
      <c r="B356">
        <v>136</v>
      </c>
      <c r="C356">
        <v>300</v>
      </c>
      <c r="D356" s="7">
        <v>-2.5339999999999998</v>
      </c>
      <c r="E356" s="7">
        <v>-26.68</v>
      </c>
      <c r="F356" s="7">
        <v>8.5399999999999991</v>
      </c>
      <c r="G356" s="7">
        <v>8.56</v>
      </c>
      <c r="H356" s="7"/>
      <c r="I356" s="7"/>
      <c r="J356" s="7"/>
      <c r="K356" s="7">
        <v>0.59499999999999997</v>
      </c>
      <c r="L356" s="7">
        <v>249.3</v>
      </c>
      <c r="M356" s="7">
        <v>0</v>
      </c>
      <c r="N356" s="7"/>
      <c r="O356">
        <v>-11.5</v>
      </c>
      <c r="P356">
        <v>-10.84</v>
      </c>
      <c r="Q356">
        <v>12.48</v>
      </c>
      <c r="S356">
        <v>12.02</v>
      </c>
      <c r="T356">
        <v>0</v>
      </c>
      <c r="U356">
        <v>99.7</v>
      </c>
      <c r="V356">
        <v>819</v>
      </c>
      <c r="W356">
        <v>34.29</v>
      </c>
      <c r="Y356">
        <v>13</v>
      </c>
    </row>
    <row r="357" spans="1:25" x14ac:dyDescent="0.25">
      <c r="A357">
        <v>2006</v>
      </c>
      <c r="B357">
        <v>136</v>
      </c>
      <c r="C357">
        <v>400</v>
      </c>
      <c r="D357" s="7">
        <v>-2.2719999999999998</v>
      </c>
      <c r="E357" s="7">
        <v>-21.34</v>
      </c>
      <c r="F357" s="7">
        <v>8.17</v>
      </c>
      <c r="G357" s="7">
        <v>8.2200000000000006</v>
      </c>
      <c r="H357" s="7"/>
      <c r="I357" s="7"/>
      <c r="J357" s="7"/>
      <c r="K357" s="7">
        <v>0.72399999999999998</v>
      </c>
      <c r="L357" s="7">
        <v>226.1</v>
      </c>
      <c r="M357" s="7">
        <v>0</v>
      </c>
      <c r="N357" s="7"/>
      <c r="O357">
        <v>-11.42</v>
      </c>
      <c r="P357">
        <v>-10.84</v>
      </c>
      <c r="Q357">
        <v>12.35</v>
      </c>
      <c r="S357">
        <v>11.92</v>
      </c>
      <c r="T357">
        <v>0</v>
      </c>
      <c r="U357">
        <v>99.3</v>
      </c>
      <c r="V357">
        <v>819</v>
      </c>
      <c r="W357">
        <v>34.25</v>
      </c>
      <c r="Y357">
        <v>12.96</v>
      </c>
    </row>
    <row r="358" spans="1:25" x14ac:dyDescent="0.25">
      <c r="A358">
        <v>2006</v>
      </c>
      <c r="B358">
        <v>136</v>
      </c>
      <c r="C358">
        <v>500</v>
      </c>
      <c r="D358" s="7">
        <v>10.220000000000001</v>
      </c>
      <c r="E358" s="7">
        <v>-6.0570000000000004</v>
      </c>
      <c r="F358" s="7">
        <v>8.64</v>
      </c>
      <c r="G358" s="7">
        <v>8.76</v>
      </c>
      <c r="H358" s="7"/>
      <c r="I358" s="7"/>
      <c r="J358" s="7"/>
      <c r="K358" s="7">
        <v>1.1240000000000001</v>
      </c>
      <c r="L358" s="7">
        <v>202.8</v>
      </c>
      <c r="M358" s="7">
        <v>0</v>
      </c>
      <c r="N358" s="7"/>
      <c r="O358">
        <v>6.9080000000000004</v>
      </c>
      <c r="P358">
        <v>-4.8090000000000002</v>
      </c>
      <c r="Q358">
        <v>12.23</v>
      </c>
      <c r="S358">
        <v>11.87</v>
      </c>
      <c r="T358">
        <v>0</v>
      </c>
      <c r="U358">
        <v>98.5</v>
      </c>
      <c r="V358">
        <v>812</v>
      </c>
      <c r="W358">
        <v>33.89</v>
      </c>
      <c r="Y358">
        <v>12.93</v>
      </c>
    </row>
    <row r="359" spans="1:25" x14ac:dyDescent="0.25">
      <c r="A359">
        <v>2006</v>
      </c>
      <c r="B359">
        <v>136</v>
      </c>
      <c r="C359">
        <v>600</v>
      </c>
      <c r="D359" s="7">
        <v>61.88</v>
      </c>
      <c r="E359" s="7">
        <v>33.909999999999997</v>
      </c>
      <c r="F359" s="7">
        <v>10.18</v>
      </c>
      <c r="G359" s="7">
        <v>10.38</v>
      </c>
      <c r="H359" s="7"/>
      <c r="I359" s="7"/>
      <c r="J359" s="7"/>
      <c r="K359" s="7">
        <v>1.165</v>
      </c>
      <c r="L359" s="7">
        <v>216.2</v>
      </c>
      <c r="M359" s="7">
        <v>0</v>
      </c>
      <c r="N359" s="7"/>
      <c r="O359">
        <v>75.8</v>
      </c>
      <c r="P359">
        <v>14.06</v>
      </c>
      <c r="Q359">
        <v>12.12</v>
      </c>
      <c r="S359">
        <v>11.82</v>
      </c>
      <c r="T359">
        <v>0</v>
      </c>
      <c r="U359">
        <v>97.6</v>
      </c>
      <c r="V359">
        <v>810</v>
      </c>
      <c r="W359">
        <v>33.79</v>
      </c>
      <c r="Y359">
        <v>13.07</v>
      </c>
    </row>
    <row r="360" spans="1:25" x14ac:dyDescent="0.25">
      <c r="A360">
        <v>2006</v>
      </c>
      <c r="B360">
        <v>136</v>
      </c>
      <c r="C360">
        <v>700</v>
      </c>
      <c r="D360" s="7">
        <v>124.2</v>
      </c>
      <c r="E360" s="7">
        <v>71.099999999999994</v>
      </c>
      <c r="F360" s="7">
        <v>11.24</v>
      </c>
      <c r="G360" s="7">
        <v>11.49</v>
      </c>
      <c r="H360" s="7"/>
      <c r="I360" s="7"/>
      <c r="J360" s="7"/>
      <c r="K360" s="7">
        <v>1.4990000000000001</v>
      </c>
      <c r="L360" s="7">
        <v>210.7</v>
      </c>
      <c r="M360" s="7">
        <v>0</v>
      </c>
      <c r="N360" s="7"/>
      <c r="O360">
        <v>153.1</v>
      </c>
      <c r="P360">
        <v>37.409999999999997</v>
      </c>
      <c r="Q360">
        <v>12.06</v>
      </c>
      <c r="S360">
        <v>11.79</v>
      </c>
      <c r="T360">
        <v>0</v>
      </c>
      <c r="U360">
        <v>97.2</v>
      </c>
      <c r="V360">
        <v>809</v>
      </c>
      <c r="W360">
        <v>33.700000000000003</v>
      </c>
      <c r="Y360">
        <v>13.58</v>
      </c>
    </row>
    <row r="361" spans="1:25" x14ac:dyDescent="0.25">
      <c r="A361">
        <v>2006</v>
      </c>
      <c r="B361">
        <v>136</v>
      </c>
      <c r="C361">
        <v>800</v>
      </c>
      <c r="D361" s="7">
        <v>204.2</v>
      </c>
      <c r="E361" s="7">
        <v>121.7</v>
      </c>
      <c r="F361" s="7">
        <v>12.03</v>
      </c>
      <c r="G361" s="7">
        <v>12.47</v>
      </c>
      <c r="H361" s="7"/>
      <c r="I361" s="7"/>
      <c r="J361" s="7"/>
      <c r="K361" s="7">
        <v>1.044</v>
      </c>
      <c r="L361" s="7">
        <v>168</v>
      </c>
      <c r="M361" s="7">
        <v>0</v>
      </c>
      <c r="N361" s="7"/>
      <c r="O361">
        <v>254.8</v>
      </c>
      <c r="P361">
        <v>75.099999999999994</v>
      </c>
      <c r="Q361">
        <v>12.08</v>
      </c>
      <c r="S361">
        <v>11.73</v>
      </c>
      <c r="T361">
        <v>0</v>
      </c>
      <c r="U361">
        <v>95.1</v>
      </c>
      <c r="V361">
        <v>807</v>
      </c>
      <c r="W361">
        <v>33.630000000000003</v>
      </c>
      <c r="Y361">
        <v>13.87</v>
      </c>
    </row>
    <row r="362" spans="1:25" x14ac:dyDescent="0.25">
      <c r="A362">
        <v>2006</v>
      </c>
      <c r="B362">
        <v>136</v>
      </c>
      <c r="C362">
        <v>900</v>
      </c>
      <c r="D362" s="7">
        <v>274</v>
      </c>
      <c r="E362" s="7">
        <v>159.80000000000001</v>
      </c>
      <c r="F362" s="7">
        <v>12.92</v>
      </c>
      <c r="G362" s="7">
        <v>13.77</v>
      </c>
      <c r="H362" s="7">
        <f>AVERAGE(G362:G385)</f>
        <v>13.211250000000005</v>
      </c>
      <c r="I362" s="7">
        <f>MIN(G362:G385)</f>
        <v>10.39</v>
      </c>
      <c r="J362" s="7">
        <f>MAX(G362:G385)</f>
        <v>16.329999999999998</v>
      </c>
      <c r="K362" s="7">
        <v>1.655</v>
      </c>
      <c r="L362" s="7">
        <v>204.3</v>
      </c>
      <c r="M362" s="7">
        <v>0</v>
      </c>
      <c r="N362" s="7">
        <f>SUM(M362:M385)</f>
        <v>7.2000000000000011</v>
      </c>
      <c r="O362">
        <v>342.9</v>
      </c>
      <c r="P362">
        <v>94.5</v>
      </c>
      <c r="Q362">
        <v>12.13</v>
      </c>
      <c r="S362">
        <v>11.72</v>
      </c>
      <c r="T362">
        <v>0</v>
      </c>
      <c r="U362">
        <v>91</v>
      </c>
      <c r="V362">
        <v>806</v>
      </c>
      <c r="W362">
        <v>33.56</v>
      </c>
      <c r="Y362">
        <v>13.97</v>
      </c>
    </row>
    <row r="363" spans="1:25" x14ac:dyDescent="0.25">
      <c r="A363">
        <v>2006</v>
      </c>
      <c r="B363">
        <v>136</v>
      </c>
      <c r="C363">
        <v>1000</v>
      </c>
      <c r="D363" s="7">
        <v>486.1</v>
      </c>
      <c r="E363" s="7">
        <v>297.60000000000002</v>
      </c>
      <c r="F363" s="7">
        <v>13.87</v>
      </c>
      <c r="G363" s="7">
        <v>14.86</v>
      </c>
      <c r="H363" s="7"/>
      <c r="I363" s="7"/>
      <c r="J363" s="7"/>
      <c r="K363" s="7">
        <v>1.798</v>
      </c>
      <c r="L363" s="7">
        <v>186.9</v>
      </c>
      <c r="M363" s="7">
        <v>0</v>
      </c>
      <c r="N363" s="7"/>
      <c r="O363">
        <v>621.1</v>
      </c>
      <c r="P363">
        <v>175.2</v>
      </c>
      <c r="Q363">
        <v>12.27</v>
      </c>
      <c r="S363">
        <v>11.74</v>
      </c>
      <c r="T363">
        <v>0</v>
      </c>
      <c r="U363">
        <v>89.8</v>
      </c>
      <c r="V363">
        <v>804</v>
      </c>
      <c r="W363">
        <v>33.44</v>
      </c>
      <c r="Y363">
        <v>14.32</v>
      </c>
    </row>
    <row r="364" spans="1:25" x14ac:dyDescent="0.25">
      <c r="A364">
        <v>2006</v>
      </c>
      <c r="B364">
        <v>136</v>
      </c>
      <c r="C364">
        <v>1100</v>
      </c>
      <c r="D364" s="7">
        <v>367.6</v>
      </c>
      <c r="E364" s="7">
        <v>212.5</v>
      </c>
      <c r="F364" s="7">
        <v>15.26</v>
      </c>
      <c r="G364" s="7">
        <v>15.75</v>
      </c>
      <c r="H364" s="7"/>
      <c r="I364" s="7"/>
      <c r="J364" s="7"/>
      <c r="K364" s="7">
        <v>1.8180000000000001</v>
      </c>
      <c r="L364" s="7">
        <v>173.6</v>
      </c>
      <c r="M364" s="7">
        <v>0</v>
      </c>
      <c r="N364" s="7"/>
      <c r="O364">
        <v>471</v>
      </c>
      <c r="P364">
        <v>136.4</v>
      </c>
      <c r="Q364">
        <v>12.48</v>
      </c>
      <c r="S364">
        <v>11.8</v>
      </c>
      <c r="T364">
        <v>0</v>
      </c>
      <c r="U364">
        <v>95.1</v>
      </c>
      <c r="V364">
        <v>802</v>
      </c>
      <c r="W364">
        <v>33.340000000000003</v>
      </c>
      <c r="Y364">
        <v>14.13</v>
      </c>
    </row>
    <row r="365" spans="1:25" x14ac:dyDescent="0.25">
      <c r="A365">
        <v>2006</v>
      </c>
      <c r="B365">
        <v>136</v>
      </c>
      <c r="C365">
        <v>1200</v>
      </c>
      <c r="D365" s="7">
        <v>400.1</v>
      </c>
      <c r="E365" s="7">
        <v>243.6</v>
      </c>
      <c r="F365" s="7">
        <v>15.84</v>
      </c>
      <c r="G365" s="7">
        <v>15.77</v>
      </c>
      <c r="H365" s="7"/>
      <c r="I365" s="7"/>
      <c r="J365" s="7"/>
      <c r="K365" s="7">
        <v>2.2370000000000001</v>
      </c>
      <c r="L365" s="7">
        <v>182.3</v>
      </c>
      <c r="M365" s="7">
        <v>0</v>
      </c>
      <c r="N365" s="7"/>
      <c r="O365">
        <v>521.6</v>
      </c>
      <c r="P365">
        <v>151.9</v>
      </c>
      <c r="Q365">
        <v>12.72</v>
      </c>
      <c r="S365">
        <v>11.85</v>
      </c>
      <c r="T365">
        <v>0</v>
      </c>
      <c r="U365">
        <v>100.8</v>
      </c>
      <c r="V365">
        <v>799</v>
      </c>
      <c r="W365">
        <v>33.21</v>
      </c>
      <c r="Y365">
        <v>14.1</v>
      </c>
    </row>
    <row r="366" spans="1:25" x14ac:dyDescent="0.25">
      <c r="A366">
        <v>2006</v>
      </c>
      <c r="B366">
        <v>136</v>
      </c>
      <c r="C366">
        <v>1300</v>
      </c>
      <c r="D366" s="7">
        <v>469.3</v>
      </c>
      <c r="E366" s="7">
        <v>286.89999999999998</v>
      </c>
      <c r="F366" s="7">
        <v>16.440000000000001</v>
      </c>
      <c r="G366" s="7">
        <v>16.329999999999998</v>
      </c>
      <c r="H366" s="7"/>
      <c r="I366" s="7"/>
      <c r="J366" s="7"/>
      <c r="K366" s="7">
        <v>2.3759999999999999</v>
      </c>
      <c r="L366" s="7">
        <v>172.2</v>
      </c>
      <c r="M366" s="7">
        <v>0</v>
      </c>
      <c r="N366" s="7"/>
      <c r="O366">
        <v>597.1</v>
      </c>
      <c r="P366">
        <v>168.1</v>
      </c>
      <c r="Q366">
        <v>12.96</v>
      </c>
      <c r="S366">
        <v>12.01</v>
      </c>
      <c r="T366">
        <v>0</v>
      </c>
      <c r="U366">
        <v>101.1</v>
      </c>
      <c r="V366">
        <v>798</v>
      </c>
      <c r="W366">
        <v>33.119999999999997</v>
      </c>
      <c r="Y366">
        <v>14.19</v>
      </c>
    </row>
    <row r="367" spans="1:25" x14ac:dyDescent="0.25">
      <c r="A367">
        <v>2006</v>
      </c>
      <c r="B367">
        <v>136</v>
      </c>
      <c r="C367">
        <v>1400</v>
      </c>
      <c r="D367" s="7">
        <v>272.3</v>
      </c>
      <c r="E367" s="7">
        <v>150.1</v>
      </c>
      <c r="F367" s="7">
        <v>15.58</v>
      </c>
      <c r="G367" s="7">
        <v>15.14</v>
      </c>
      <c r="H367" s="7"/>
      <c r="I367" s="7"/>
      <c r="J367" s="7"/>
      <c r="K367" s="7">
        <v>2.4169999999999998</v>
      </c>
      <c r="L367" s="7">
        <v>180.9</v>
      </c>
      <c r="M367" s="7">
        <v>0.8</v>
      </c>
      <c r="N367" s="7"/>
      <c r="O367">
        <v>344.8</v>
      </c>
      <c r="P367">
        <v>91</v>
      </c>
      <c r="Q367">
        <v>13.17</v>
      </c>
      <c r="S367">
        <v>12.13</v>
      </c>
      <c r="T367">
        <v>0</v>
      </c>
      <c r="U367">
        <v>104.7</v>
      </c>
      <c r="V367">
        <v>796</v>
      </c>
      <c r="W367">
        <v>33.020000000000003</v>
      </c>
      <c r="Y367">
        <v>13.98</v>
      </c>
    </row>
    <row r="368" spans="1:25" x14ac:dyDescent="0.25">
      <c r="A368">
        <v>2006</v>
      </c>
      <c r="B368">
        <v>136</v>
      </c>
      <c r="C368">
        <v>1500</v>
      </c>
      <c r="D368" s="7">
        <v>62.74</v>
      </c>
      <c r="E368" s="7">
        <v>21.09</v>
      </c>
      <c r="F368" s="7">
        <v>13.6</v>
      </c>
      <c r="G368" s="7">
        <v>13.16</v>
      </c>
      <c r="H368" s="7"/>
      <c r="I368" s="7"/>
      <c r="J368" s="7"/>
      <c r="K368" s="7">
        <v>1.609</v>
      </c>
      <c r="L368" s="7">
        <v>163.1</v>
      </c>
      <c r="M368" s="7">
        <v>3.6</v>
      </c>
      <c r="N368" s="7"/>
      <c r="O368">
        <v>76.900000000000006</v>
      </c>
      <c r="P368">
        <v>9.52</v>
      </c>
      <c r="Q368">
        <v>13.38</v>
      </c>
      <c r="S368">
        <v>12.29</v>
      </c>
      <c r="T368">
        <v>0</v>
      </c>
      <c r="U368">
        <v>104.9</v>
      </c>
      <c r="V368">
        <v>905</v>
      </c>
      <c r="W368">
        <v>41.94</v>
      </c>
      <c r="Y368">
        <v>13.67</v>
      </c>
    </row>
    <row r="369" spans="1:25" x14ac:dyDescent="0.25">
      <c r="A369">
        <v>2006</v>
      </c>
      <c r="B369">
        <v>136</v>
      </c>
      <c r="C369">
        <v>1600</v>
      </c>
      <c r="D369" s="7">
        <v>61.29</v>
      </c>
      <c r="E369" s="7">
        <v>25.48</v>
      </c>
      <c r="F369" s="7">
        <v>13.28</v>
      </c>
      <c r="G369" s="7">
        <v>13.08</v>
      </c>
      <c r="H369" s="7"/>
      <c r="I369" s="7"/>
      <c r="J369" s="7"/>
      <c r="K369" s="7">
        <v>1.3120000000000001</v>
      </c>
      <c r="L369" s="7">
        <v>130.6</v>
      </c>
      <c r="M369" s="7">
        <v>1.4</v>
      </c>
      <c r="N369" s="7"/>
      <c r="O369">
        <v>78.2</v>
      </c>
      <c r="P369">
        <v>12.41</v>
      </c>
      <c r="Q369">
        <v>13.62</v>
      </c>
      <c r="S369">
        <v>12.58</v>
      </c>
      <c r="T369">
        <v>0</v>
      </c>
      <c r="U369">
        <v>102.2</v>
      </c>
      <c r="V369">
        <v>1019</v>
      </c>
      <c r="W369">
        <v>51.39</v>
      </c>
      <c r="Y369">
        <v>13.61</v>
      </c>
    </row>
    <row r="370" spans="1:25" x14ac:dyDescent="0.25">
      <c r="A370">
        <v>2006</v>
      </c>
      <c r="B370">
        <v>136</v>
      </c>
      <c r="C370">
        <v>1700</v>
      </c>
      <c r="D370" s="7">
        <v>233.1</v>
      </c>
      <c r="E370" s="7">
        <v>138.69999999999999</v>
      </c>
      <c r="F370" s="7">
        <v>14.3</v>
      </c>
      <c r="G370" s="7">
        <v>14.66</v>
      </c>
      <c r="H370" s="7"/>
      <c r="I370" s="7"/>
      <c r="J370" s="7"/>
      <c r="K370" s="7">
        <v>1.9259999999999999</v>
      </c>
      <c r="L370" s="7">
        <v>171.2</v>
      </c>
      <c r="M370" s="7">
        <v>0.4</v>
      </c>
      <c r="N370" s="7"/>
      <c r="O370">
        <v>290.3</v>
      </c>
      <c r="P370">
        <v>77.5</v>
      </c>
      <c r="Q370">
        <v>13.7</v>
      </c>
      <c r="S370">
        <v>12.78</v>
      </c>
      <c r="T370">
        <v>0</v>
      </c>
      <c r="U370">
        <v>96.3</v>
      </c>
      <c r="V370">
        <v>1023</v>
      </c>
      <c r="W370">
        <v>51.8</v>
      </c>
      <c r="Y370">
        <v>13.82</v>
      </c>
    </row>
    <row r="371" spans="1:25" x14ac:dyDescent="0.25">
      <c r="A371">
        <v>2006</v>
      </c>
      <c r="B371">
        <v>136</v>
      </c>
      <c r="C371">
        <v>1800</v>
      </c>
      <c r="D371" s="7">
        <v>296.60000000000002</v>
      </c>
      <c r="E371" s="7">
        <v>182.2</v>
      </c>
      <c r="F371" s="7">
        <v>15.04</v>
      </c>
      <c r="G371" s="7">
        <v>15.52</v>
      </c>
      <c r="H371" s="7"/>
      <c r="I371" s="7"/>
      <c r="J371" s="7"/>
      <c r="K371" s="7">
        <v>2.3359999999999999</v>
      </c>
      <c r="L371" s="7">
        <v>184.1</v>
      </c>
      <c r="M371" s="7">
        <v>0</v>
      </c>
      <c r="N371" s="7"/>
      <c r="O371">
        <v>360.1</v>
      </c>
      <c r="P371">
        <v>157.4</v>
      </c>
      <c r="Q371">
        <v>13.71</v>
      </c>
      <c r="S371">
        <v>12.9</v>
      </c>
      <c r="T371">
        <v>0</v>
      </c>
      <c r="U371">
        <v>95.1</v>
      </c>
      <c r="V371">
        <v>1002</v>
      </c>
      <c r="W371">
        <v>49.55</v>
      </c>
      <c r="Y371">
        <v>13.79</v>
      </c>
    </row>
    <row r="372" spans="1:25" x14ac:dyDescent="0.25">
      <c r="A372">
        <v>2006</v>
      </c>
      <c r="B372">
        <v>136</v>
      </c>
      <c r="C372">
        <v>1900</v>
      </c>
      <c r="D372" s="7">
        <v>178.3</v>
      </c>
      <c r="E372" s="7">
        <v>97.6</v>
      </c>
      <c r="F372" s="7">
        <v>15.1</v>
      </c>
      <c r="G372" s="7">
        <v>15.08</v>
      </c>
      <c r="H372" s="7"/>
      <c r="I372" s="7"/>
      <c r="J372" s="7"/>
      <c r="K372" s="7">
        <v>2.399</v>
      </c>
      <c r="L372" s="7">
        <v>185.7</v>
      </c>
      <c r="M372" s="7">
        <v>0</v>
      </c>
      <c r="N372" s="7"/>
      <c r="O372">
        <v>218.3</v>
      </c>
      <c r="P372">
        <v>126</v>
      </c>
      <c r="Q372">
        <v>13.74</v>
      </c>
      <c r="S372">
        <v>12.91</v>
      </c>
      <c r="T372">
        <v>0</v>
      </c>
      <c r="U372">
        <v>100.3</v>
      </c>
      <c r="V372">
        <v>890</v>
      </c>
      <c r="W372">
        <v>38.729999999999997</v>
      </c>
      <c r="Y372">
        <v>13.65</v>
      </c>
    </row>
    <row r="373" spans="1:25" x14ac:dyDescent="0.25">
      <c r="A373">
        <v>2006</v>
      </c>
      <c r="B373">
        <v>136</v>
      </c>
      <c r="C373">
        <v>2000</v>
      </c>
      <c r="D373" s="7">
        <v>25.18</v>
      </c>
      <c r="E373" s="7">
        <v>-16.48</v>
      </c>
      <c r="F373" s="7">
        <v>13.88</v>
      </c>
      <c r="G373" s="7">
        <v>13.81</v>
      </c>
      <c r="H373" s="7"/>
      <c r="I373" s="7"/>
      <c r="J373" s="7"/>
      <c r="K373" s="7">
        <v>2.04</v>
      </c>
      <c r="L373" s="7">
        <v>186.1</v>
      </c>
      <c r="M373" s="7">
        <v>0</v>
      </c>
      <c r="N373" s="7"/>
      <c r="O373">
        <v>19.8</v>
      </c>
      <c r="P373">
        <v>-1.2070000000000001</v>
      </c>
      <c r="Q373">
        <v>13.73</v>
      </c>
      <c r="S373">
        <v>12.89</v>
      </c>
      <c r="T373">
        <v>0</v>
      </c>
      <c r="U373">
        <v>100.7</v>
      </c>
      <c r="V373">
        <v>878</v>
      </c>
      <c r="W373">
        <v>37.880000000000003</v>
      </c>
      <c r="Y373">
        <v>13.51</v>
      </c>
    </row>
    <row r="374" spans="1:25" x14ac:dyDescent="0.25">
      <c r="A374">
        <v>2006</v>
      </c>
      <c r="B374">
        <v>136</v>
      </c>
      <c r="C374">
        <v>2100</v>
      </c>
      <c r="D374" s="7">
        <v>1.645</v>
      </c>
      <c r="E374" s="7">
        <v>-22.42</v>
      </c>
      <c r="F374" s="7">
        <v>13.33</v>
      </c>
      <c r="G374" s="7">
        <v>13.11</v>
      </c>
      <c r="H374" s="7"/>
      <c r="I374" s="7"/>
      <c r="J374" s="7"/>
      <c r="K374" s="7">
        <v>1.6950000000000001</v>
      </c>
      <c r="L374" s="7">
        <v>207.3</v>
      </c>
      <c r="M374" s="7">
        <v>1</v>
      </c>
      <c r="N374" s="7"/>
      <c r="O374">
        <v>-7.2</v>
      </c>
      <c r="P374">
        <v>-9.77</v>
      </c>
      <c r="Q374">
        <v>13.71</v>
      </c>
      <c r="S374">
        <v>12.88</v>
      </c>
      <c r="T374">
        <v>0</v>
      </c>
      <c r="U374">
        <v>102.4</v>
      </c>
      <c r="V374">
        <v>857</v>
      </c>
      <c r="W374">
        <v>36.520000000000003</v>
      </c>
      <c r="Y374">
        <v>13.41</v>
      </c>
    </row>
    <row r="375" spans="1:25" x14ac:dyDescent="0.25">
      <c r="A375">
        <v>2006</v>
      </c>
      <c r="B375">
        <v>136</v>
      </c>
      <c r="C375">
        <v>2200</v>
      </c>
      <c r="D375" s="7">
        <v>-1.98</v>
      </c>
      <c r="E375" s="7">
        <v>-32.61</v>
      </c>
      <c r="F375" s="7">
        <v>12.62</v>
      </c>
      <c r="G375" s="7">
        <v>12.47</v>
      </c>
      <c r="H375" s="7"/>
      <c r="I375" s="7"/>
      <c r="J375" s="7"/>
      <c r="K375" s="7">
        <v>1.0469999999999999</v>
      </c>
      <c r="L375" s="7">
        <v>207.6</v>
      </c>
      <c r="M375" s="7">
        <v>0</v>
      </c>
      <c r="N375" s="7"/>
      <c r="O375">
        <v>-11.66</v>
      </c>
      <c r="P375">
        <v>-11.1</v>
      </c>
      <c r="Q375">
        <v>13.65</v>
      </c>
      <c r="S375">
        <v>12.85</v>
      </c>
      <c r="T375">
        <v>0</v>
      </c>
      <c r="U375">
        <v>101.7</v>
      </c>
      <c r="V375">
        <v>870</v>
      </c>
      <c r="W375">
        <v>37.36</v>
      </c>
      <c r="Y375">
        <v>13.32</v>
      </c>
    </row>
    <row r="376" spans="1:25" x14ac:dyDescent="0.25">
      <c r="A376">
        <v>2006</v>
      </c>
      <c r="B376">
        <v>136</v>
      </c>
      <c r="C376">
        <v>2300</v>
      </c>
      <c r="D376" s="7">
        <v>-2.4950000000000001</v>
      </c>
      <c r="E376" s="7">
        <v>-36.81</v>
      </c>
      <c r="F376" s="7">
        <v>11.74</v>
      </c>
      <c r="G376" s="7">
        <v>11.66</v>
      </c>
      <c r="H376" s="7"/>
      <c r="I376" s="7"/>
      <c r="J376" s="7"/>
      <c r="K376" s="7">
        <v>1.2589999999999999</v>
      </c>
      <c r="L376" s="7">
        <v>233.6</v>
      </c>
      <c r="M376" s="7">
        <v>0</v>
      </c>
      <c r="N376" s="7"/>
      <c r="O376">
        <v>-11.55</v>
      </c>
      <c r="P376">
        <v>-10.93</v>
      </c>
      <c r="Q376">
        <v>13.58</v>
      </c>
      <c r="S376">
        <v>12.84</v>
      </c>
      <c r="T376">
        <v>0</v>
      </c>
      <c r="U376">
        <v>101</v>
      </c>
      <c r="V376">
        <v>896</v>
      </c>
      <c r="W376">
        <v>39.18</v>
      </c>
      <c r="Y376">
        <v>13.25</v>
      </c>
    </row>
    <row r="377" spans="1:25" x14ac:dyDescent="0.25">
      <c r="A377">
        <v>2006</v>
      </c>
      <c r="B377">
        <v>136</v>
      </c>
      <c r="C377">
        <v>2400</v>
      </c>
      <c r="D377" s="7">
        <v>-2.5539999999999998</v>
      </c>
      <c r="E377" s="7">
        <v>-33.14</v>
      </c>
      <c r="F377" s="7">
        <v>10.85</v>
      </c>
      <c r="G377" s="7">
        <v>10.93</v>
      </c>
      <c r="H377" s="7"/>
      <c r="I377" s="7"/>
      <c r="J377" s="7"/>
      <c r="K377" s="7">
        <v>1.5640000000000001</v>
      </c>
      <c r="L377" s="7">
        <v>239</v>
      </c>
      <c r="M377" s="7">
        <v>0</v>
      </c>
      <c r="N377" s="7"/>
      <c r="O377">
        <v>-11.51</v>
      </c>
      <c r="P377">
        <v>-10.85</v>
      </c>
      <c r="Q377">
        <v>13.46</v>
      </c>
      <c r="S377">
        <v>12.75</v>
      </c>
      <c r="T377">
        <v>0</v>
      </c>
      <c r="U377">
        <v>99.1</v>
      </c>
      <c r="V377">
        <v>862</v>
      </c>
      <c r="W377">
        <v>36.840000000000003</v>
      </c>
      <c r="Y377">
        <v>13.18</v>
      </c>
    </row>
    <row r="378" spans="1:25" x14ac:dyDescent="0.25">
      <c r="A378">
        <v>2006</v>
      </c>
      <c r="B378">
        <v>137</v>
      </c>
      <c r="C378">
        <v>100</v>
      </c>
      <c r="D378" s="7">
        <v>-2.4</v>
      </c>
      <c r="E378" s="7">
        <v>-30.88</v>
      </c>
      <c r="F378" s="7">
        <v>10.44</v>
      </c>
      <c r="G378" s="7">
        <v>10.47</v>
      </c>
      <c r="H378" s="7"/>
      <c r="I378" s="7"/>
      <c r="J378" s="7"/>
      <c r="K378" s="7">
        <v>1.7709999999999999</v>
      </c>
      <c r="L378" s="7">
        <v>218.4</v>
      </c>
      <c r="M378" s="7">
        <v>0</v>
      </c>
      <c r="N378" s="7"/>
      <c r="O378">
        <v>-11.5</v>
      </c>
      <c r="P378">
        <v>-10.84</v>
      </c>
      <c r="Q378">
        <v>13.34</v>
      </c>
      <c r="S378">
        <v>12.68</v>
      </c>
      <c r="T378">
        <v>0</v>
      </c>
      <c r="U378">
        <v>99.6</v>
      </c>
      <c r="V378">
        <v>855</v>
      </c>
      <c r="W378">
        <v>36.35</v>
      </c>
      <c r="Y378">
        <v>13.12</v>
      </c>
    </row>
    <row r="379" spans="1:25" x14ac:dyDescent="0.25">
      <c r="A379">
        <v>2006</v>
      </c>
      <c r="B379">
        <v>137</v>
      </c>
      <c r="C379">
        <v>200</v>
      </c>
      <c r="D379" s="7">
        <v>-2.3690000000000002</v>
      </c>
      <c r="E379" s="7">
        <v>-27.16</v>
      </c>
      <c r="F379" s="7">
        <v>10.35</v>
      </c>
      <c r="G379" s="7">
        <v>10.39</v>
      </c>
      <c r="H379" s="7"/>
      <c r="I379" s="7"/>
      <c r="J379" s="7"/>
      <c r="K379" s="7">
        <v>1.4339999999999999</v>
      </c>
      <c r="L379" s="7">
        <v>218.8</v>
      </c>
      <c r="M379" s="7">
        <v>0</v>
      </c>
      <c r="N379" s="7"/>
      <c r="O379">
        <v>-11.5</v>
      </c>
      <c r="P379">
        <v>-10.84</v>
      </c>
      <c r="Q379">
        <v>13.22</v>
      </c>
      <c r="S379">
        <v>12.62</v>
      </c>
      <c r="T379">
        <v>0</v>
      </c>
      <c r="U379">
        <v>99.5</v>
      </c>
      <c r="V379">
        <v>863</v>
      </c>
      <c r="W379">
        <v>36.92</v>
      </c>
      <c r="Y379">
        <v>13.06</v>
      </c>
    </row>
    <row r="380" spans="1:25" x14ac:dyDescent="0.25">
      <c r="A380">
        <v>2006</v>
      </c>
      <c r="B380">
        <v>137</v>
      </c>
      <c r="C380">
        <v>300</v>
      </c>
      <c r="D380" s="7">
        <v>-1.351</v>
      </c>
      <c r="E380" s="7">
        <v>-11.85</v>
      </c>
      <c r="F380" s="7">
        <v>10.65</v>
      </c>
      <c r="G380" s="7">
        <v>10.8</v>
      </c>
      <c r="H380" s="7"/>
      <c r="I380" s="7"/>
      <c r="J380" s="7"/>
      <c r="K380" s="7">
        <v>1.4730000000000001</v>
      </c>
      <c r="L380" s="7">
        <v>207.5</v>
      </c>
      <c r="M380" s="7">
        <v>0</v>
      </c>
      <c r="N380" s="7"/>
      <c r="O380">
        <v>-11.5</v>
      </c>
      <c r="P380">
        <v>-10.84</v>
      </c>
      <c r="Q380">
        <v>13.1</v>
      </c>
      <c r="S380">
        <v>12.55</v>
      </c>
      <c r="T380">
        <v>0</v>
      </c>
      <c r="U380">
        <v>98.3</v>
      </c>
      <c r="V380">
        <v>849</v>
      </c>
      <c r="W380">
        <v>36.04</v>
      </c>
      <c r="Y380">
        <v>13.01</v>
      </c>
    </row>
    <row r="381" spans="1:25" x14ac:dyDescent="0.25">
      <c r="A381">
        <v>2006</v>
      </c>
      <c r="B381">
        <v>137</v>
      </c>
      <c r="C381">
        <v>400</v>
      </c>
      <c r="D381" s="7">
        <v>-1.1100000000000001</v>
      </c>
      <c r="E381" s="7">
        <v>-9.6300000000000008</v>
      </c>
      <c r="F381" s="7">
        <v>11.04</v>
      </c>
      <c r="G381" s="7">
        <v>11.22</v>
      </c>
      <c r="H381" s="7"/>
      <c r="I381" s="7"/>
      <c r="J381" s="7"/>
      <c r="K381" s="7">
        <v>1.234</v>
      </c>
      <c r="L381" s="7">
        <v>196.9</v>
      </c>
      <c r="M381" s="7">
        <v>0</v>
      </c>
      <c r="N381" s="7"/>
      <c r="O381">
        <v>-11.47</v>
      </c>
      <c r="P381">
        <v>-10.84</v>
      </c>
      <c r="Q381">
        <v>12.98</v>
      </c>
      <c r="S381">
        <v>12.46</v>
      </c>
      <c r="T381">
        <v>0</v>
      </c>
      <c r="U381">
        <v>97.8</v>
      </c>
      <c r="V381">
        <v>841</v>
      </c>
      <c r="W381">
        <v>35.51</v>
      </c>
      <c r="Y381">
        <v>12.97</v>
      </c>
    </row>
    <row r="382" spans="1:25" x14ac:dyDescent="0.25">
      <c r="A382">
        <v>2006</v>
      </c>
      <c r="B382">
        <v>137</v>
      </c>
      <c r="C382">
        <v>500</v>
      </c>
      <c r="D382" s="7">
        <v>5.9969999999999999</v>
      </c>
      <c r="E382" s="7">
        <v>-5.2190000000000003</v>
      </c>
      <c r="F382" s="7">
        <v>11.42</v>
      </c>
      <c r="G382" s="7">
        <v>11.55</v>
      </c>
      <c r="H382" s="7"/>
      <c r="I382" s="7"/>
      <c r="J382" s="7"/>
      <c r="K382" s="7">
        <v>1.238</v>
      </c>
      <c r="L382" s="7">
        <v>184.9</v>
      </c>
      <c r="M382" s="7">
        <v>0</v>
      </c>
      <c r="N382" s="7"/>
      <c r="O382">
        <v>-2.7029999999999998</v>
      </c>
      <c r="P382">
        <v>-8.7100000000000009</v>
      </c>
      <c r="Q382">
        <v>12.88</v>
      </c>
      <c r="S382">
        <v>12.37</v>
      </c>
      <c r="T382">
        <v>0</v>
      </c>
      <c r="U382">
        <v>98.4</v>
      </c>
      <c r="V382">
        <v>835</v>
      </c>
      <c r="W382">
        <v>35.21</v>
      </c>
      <c r="Y382">
        <v>12.94</v>
      </c>
    </row>
    <row r="383" spans="1:25" x14ac:dyDescent="0.25">
      <c r="A383">
        <v>2006</v>
      </c>
      <c r="B383">
        <v>137</v>
      </c>
      <c r="C383">
        <v>600</v>
      </c>
      <c r="D383" s="7">
        <v>24.32</v>
      </c>
      <c r="E383" s="7">
        <v>9.98</v>
      </c>
      <c r="F383" s="7">
        <v>11.54</v>
      </c>
      <c r="G383" s="7">
        <v>11.71</v>
      </c>
      <c r="H383" s="7"/>
      <c r="I383" s="7"/>
      <c r="J383" s="7"/>
      <c r="K383" s="7">
        <v>1.3480000000000001</v>
      </c>
      <c r="L383" s="7">
        <v>205.1</v>
      </c>
      <c r="M383" s="7">
        <v>0</v>
      </c>
      <c r="N383" s="7"/>
      <c r="O383">
        <v>20.6</v>
      </c>
      <c r="P383">
        <v>-2.4</v>
      </c>
      <c r="Q383">
        <v>12.8</v>
      </c>
      <c r="S383">
        <v>12.27</v>
      </c>
      <c r="T383">
        <v>0</v>
      </c>
      <c r="U383">
        <v>98</v>
      </c>
      <c r="V383">
        <v>827</v>
      </c>
      <c r="W383">
        <v>34.74</v>
      </c>
      <c r="Y383">
        <v>12.93</v>
      </c>
    </row>
    <row r="384" spans="1:25" x14ac:dyDescent="0.25">
      <c r="A384">
        <v>2006</v>
      </c>
      <c r="B384">
        <v>137</v>
      </c>
      <c r="C384">
        <v>700</v>
      </c>
      <c r="D384" s="7">
        <v>124</v>
      </c>
      <c r="E384" s="7">
        <v>76.099999999999994</v>
      </c>
      <c r="F384" s="7">
        <v>11.89</v>
      </c>
      <c r="G384" s="7">
        <v>12.17</v>
      </c>
      <c r="H384" s="7"/>
      <c r="I384" s="7"/>
      <c r="J384" s="7"/>
      <c r="K384" s="7">
        <v>0.76700000000000002</v>
      </c>
      <c r="L384" s="7">
        <v>190.7</v>
      </c>
      <c r="M384" s="7">
        <v>0</v>
      </c>
      <c r="N384" s="7"/>
      <c r="O384">
        <v>158</v>
      </c>
      <c r="P384">
        <v>41.8</v>
      </c>
      <c r="Q384">
        <v>12.72</v>
      </c>
      <c r="S384">
        <v>12.19</v>
      </c>
      <c r="T384">
        <v>0</v>
      </c>
      <c r="U384">
        <v>96.9</v>
      </c>
      <c r="V384">
        <v>825</v>
      </c>
      <c r="W384">
        <v>34.590000000000003</v>
      </c>
      <c r="Y384">
        <v>13.34</v>
      </c>
    </row>
    <row r="385" spans="1:25" x14ac:dyDescent="0.25">
      <c r="A385">
        <v>2006</v>
      </c>
      <c r="B385">
        <v>137</v>
      </c>
      <c r="C385">
        <v>800</v>
      </c>
      <c r="D385" s="7">
        <v>283.60000000000002</v>
      </c>
      <c r="E385" s="7">
        <v>178.5</v>
      </c>
      <c r="F385" s="7">
        <v>13.17</v>
      </c>
      <c r="G385" s="7">
        <v>13.66</v>
      </c>
      <c r="H385" s="7"/>
      <c r="I385" s="7"/>
      <c r="J385" s="7"/>
      <c r="K385" s="7">
        <v>1.41</v>
      </c>
      <c r="L385" s="7">
        <v>174.7</v>
      </c>
      <c r="M385" s="7">
        <v>0</v>
      </c>
      <c r="N385" s="7"/>
      <c r="O385">
        <v>374.5</v>
      </c>
      <c r="P385">
        <v>114.2</v>
      </c>
      <c r="Q385">
        <v>12.78</v>
      </c>
      <c r="S385">
        <v>12.24</v>
      </c>
      <c r="T385">
        <v>0</v>
      </c>
      <c r="U385">
        <v>94.7</v>
      </c>
      <c r="V385">
        <v>823</v>
      </c>
      <c r="W385">
        <v>34.49</v>
      </c>
      <c r="Y385">
        <v>14.09</v>
      </c>
    </row>
    <row r="386" spans="1:25" x14ac:dyDescent="0.25">
      <c r="A386">
        <v>2006</v>
      </c>
      <c r="B386">
        <v>137</v>
      </c>
      <c r="C386">
        <v>900</v>
      </c>
      <c r="D386" s="7">
        <v>235.8</v>
      </c>
      <c r="E386" s="7">
        <v>133.19999999999999</v>
      </c>
      <c r="F386" s="7">
        <v>13.45</v>
      </c>
      <c r="G386" s="7">
        <v>13.78</v>
      </c>
      <c r="H386" s="7">
        <f>AVERAGE(G386:G409)</f>
        <v>12.357083333333335</v>
      </c>
      <c r="I386" s="7">
        <f>MIN(G386:G409)</f>
        <v>10.29</v>
      </c>
      <c r="J386" s="7">
        <f>MAX(G386:G409)</f>
        <v>13.94</v>
      </c>
      <c r="K386" s="7">
        <v>1.5640000000000001</v>
      </c>
      <c r="L386" s="7">
        <v>160.4</v>
      </c>
      <c r="M386" s="7">
        <v>0</v>
      </c>
      <c r="N386" s="7">
        <f>SUM(M386:M409)</f>
        <v>7.6000000000000005</v>
      </c>
      <c r="O386">
        <v>305.39999999999998</v>
      </c>
      <c r="P386">
        <v>82.2</v>
      </c>
      <c r="Q386">
        <v>12.82</v>
      </c>
      <c r="S386">
        <v>12.16</v>
      </c>
      <c r="T386">
        <v>0</v>
      </c>
      <c r="U386">
        <v>96.5</v>
      </c>
      <c r="V386">
        <v>820</v>
      </c>
      <c r="W386">
        <v>34.299999999999997</v>
      </c>
      <c r="Y386">
        <v>13.91</v>
      </c>
    </row>
    <row r="387" spans="1:25" x14ac:dyDescent="0.25">
      <c r="A387">
        <v>2006</v>
      </c>
      <c r="B387">
        <v>137</v>
      </c>
      <c r="C387">
        <v>1000</v>
      </c>
      <c r="D387" s="7">
        <v>252.7</v>
      </c>
      <c r="E387" s="7">
        <v>139.9</v>
      </c>
      <c r="F387" s="7">
        <v>13.82</v>
      </c>
      <c r="G387" s="7">
        <v>13.94</v>
      </c>
      <c r="H387" s="7"/>
      <c r="I387" s="7"/>
      <c r="J387" s="7"/>
      <c r="K387" s="7">
        <v>2.0379999999999998</v>
      </c>
      <c r="L387" s="7">
        <v>124.4</v>
      </c>
      <c r="M387" s="7">
        <v>0</v>
      </c>
      <c r="N387" s="7"/>
      <c r="O387">
        <v>335.5</v>
      </c>
      <c r="P387">
        <v>94.7</v>
      </c>
      <c r="Q387">
        <v>12.92</v>
      </c>
      <c r="S387">
        <v>12.14</v>
      </c>
      <c r="T387">
        <v>0</v>
      </c>
      <c r="U387">
        <v>98.7</v>
      </c>
      <c r="V387">
        <v>818</v>
      </c>
      <c r="W387">
        <v>34.21</v>
      </c>
      <c r="Y387">
        <v>13.93</v>
      </c>
    </row>
    <row r="388" spans="1:25" x14ac:dyDescent="0.25">
      <c r="A388">
        <v>2006</v>
      </c>
      <c r="B388">
        <v>137</v>
      </c>
      <c r="C388">
        <v>1100</v>
      </c>
      <c r="D388" s="7">
        <v>227.2</v>
      </c>
      <c r="E388" s="7">
        <v>128.6</v>
      </c>
      <c r="F388" s="7">
        <v>13.51</v>
      </c>
      <c r="G388" s="7">
        <v>13.31</v>
      </c>
      <c r="H388" s="7"/>
      <c r="I388" s="7"/>
      <c r="J388" s="7"/>
      <c r="K388" s="7">
        <v>2.5009999999999999</v>
      </c>
      <c r="L388" s="7">
        <v>130.19999999999999</v>
      </c>
      <c r="M388" s="7">
        <v>0</v>
      </c>
      <c r="N388" s="7"/>
      <c r="O388">
        <v>305.10000000000002</v>
      </c>
      <c r="P388">
        <v>85.2</v>
      </c>
      <c r="Q388">
        <v>13.02</v>
      </c>
      <c r="S388">
        <v>12.17</v>
      </c>
      <c r="T388">
        <v>0</v>
      </c>
      <c r="U388">
        <v>102.3</v>
      </c>
      <c r="V388">
        <v>815</v>
      </c>
      <c r="W388">
        <v>34.049999999999997</v>
      </c>
      <c r="Y388">
        <v>13.9</v>
      </c>
    </row>
    <row r="389" spans="1:25" x14ac:dyDescent="0.25">
      <c r="A389">
        <v>2006</v>
      </c>
      <c r="B389">
        <v>137</v>
      </c>
      <c r="C389">
        <v>1200</v>
      </c>
      <c r="D389" s="7">
        <v>151.6</v>
      </c>
      <c r="E389" s="7">
        <v>87.1</v>
      </c>
      <c r="F389" s="7">
        <v>13.09</v>
      </c>
      <c r="G389" s="7">
        <v>12.76</v>
      </c>
      <c r="H389" s="7"/>
      <c r="I389" s="7"/>
      <c r="J389" s="7"/>
      <c r="K389" s="7">
        <v>2.5030000000000001</v>
      </c>
      <c r="L389" s="7">
        <v>134.69999999999999</v>
      </c>
      <c r="M389" s="7">
        <v>0.2</v>
      </c>
      <c r="N389" s="7"/>
      <c r="O389">
        <v>204</v>
      </c>
      <c r="P389">
        <v>49.86</v>
      </c>
      <c r="Q389">
        <v>13.08</v>
      </c>
      <c r="S389">
        <v>12.22</v>
      </c>
      <c r="T389">
        <v>0</v>
      </c>
      <c r="U389">
        <v>103.7</v>
      </c>
      <c r="V389">
        <v>813</v>
      </c>
      <c r="W389">
        <v>33.92</v>
      </c>
      <c r="Y389">
        <v>13.79</v>
      </c>
    </row>
    <row r="390" spans="1:25" x14ac:dyDescent="0.25">
      <c r="A390">
        <v>2006</v>
      </c>
      <c r="B390">
        <v>137</v>
      </c>
      <c r="C390">
        <v>1300</v>
      </c>
      <c r="D390" s="7">
        <v>117.4</v>
      </c>
      <c r="E390" s="7">
        <v>69.3</v>
      </c>
      <c r="F390" s="7">
        <v>12.45</v>
      </c>
      <c r="G390" s="7">
        <v>12.24</v>
      </c>
      <c r="H390" s="7"/>
      <c r="I390" s="7"/>
      <c r="J390" s="7"/>
      <c r="K390" s="7">
        <v>3.258</v>
      </c>
      <c r="L390" s="7">
        <v>124.6</v>
      </c>
      <c r="M390" s="7">
        <v>0.8</v>
      </c>
      <c r="N390" s="7"/>
      <c r="O390">
        <v>155.19999999999999</v>
      </c>
      <c r="P390">
        <v>27.82</v>
      </c>
      <c r="Q390">
        <v>13.15</v>
      </c>
      <c r="S390">
        <v>12.25</v>
      </c>
      <c r="T390">
        <v>0</v>
      </c>
      <c r="U390">
        <v>102.3</v>
      </c>
      <c r="V390">
        <v>812</v>
      </c>
      <c r="W390">
        <v>33.880000000000003</v>
      </c>
      <c r="Y390">
        <v>13.73</v>
      </c>
    </row>
    <row r="391" spans="1:25" x14ac:dyDescent="0.25">
      <c r="A391">
        <v>2006</v>
      </c>
      <c r="B391">
        <v>137</v>
      </c>
      <c r="C391">
        <v>1400</v>
      </c>
      <c r="D391" s="7">
        <v>102.5</v>
      </c>
      <c r="E391" s="7">
        <v>60.67</v>
      </c>
      <c r="F391" s="7">
        <v>12.27</v>
      </c>
      <c r="G391" s="7">
        <v>12.24</v>
      </c>
      <c r="H391" s="7"/>
      <c r="I391" s="7"/>
      <c r="J391" s="7"/>
      <c r="K391" s="7">
        <v>3.3540000000000001</v>
      </c>
      <c r="L391" s="7">
        <v>128.80000000000001</v>
      </c>
      <c r="M391" s="7">
        <v>0.8</v>
      </c>
      <c r="N391" s="7"/>
      <c r="O391">
        <v>133</v>
      </c>
      <c r="P391">
        <v>22.82</v>
      </c>
      <c r="Q391">
        <v>13.17</v>
      </c>
      <c r="S391">
        <v>12.3</v>
      </c>
      <c r="T391">
        <v>0</v>
      </c>
      <c r="U391">
        <v>100.4</v>
      </c>
      <c r="V391">
        <v>818</v>
      </c>
      <c r="W391">
        <v>34.229999999999997</v>
      </c>
      <c r="Y391">
        <v>13.66</v>
      </c>
    </row>
    <row r="392" spans="1:25" x14ac:dyDescent="0.25">
      <c r="A392">
        <v>2006</v>
      </c>
      <c r="B392">
        <v>137</v>
      </c>
      <c r="C392">
        <v>1500</v>
      </c>
      <c r="D392" s="7">
        <v>98.2</v>
      </c>
      <c r="E392" s="7">
        <v>58.35</v>
      </c>
      <c r="F392" s="7">
        <v>12.32</v>
      </c>
      <c r="G392" s="7">
        <v>12.38</v>
      </c>
      <c r="H392" s="7"/>
      <c r="I392" s="7"/>
      <c r="J392" s="7"/>
      <c r="K392" s="7">
        <v>3.8159999999999998</v>
      </c>
      <c r="L392" s="7">
        <v>129</v>
      </c>
      <c r="M392" s="7">
        <v>1.2</v>
      </c>
      <c r="N392" s="7"/>
      <c r="O392">
        <v>126.5</v>
      </c>
      <c r="P392">
        <v>24.48</v>
      </c>
      <c r="Q392">
        <v>13.19</v>
      </c>
      <c r="S392">
        <v>12.39</v>
      </c>
      <c r="T392">
        <v>0</v>
      </c>
      <c r="U392">
        <v>99.4</v>
      </c>
      <c r="V392">
        <v>840</v>
      </c>
      <c r="W392">
        <v>35.47</v>
      </c>
      <c r="Y392">
        <v>13.64</v>
      </c>
    </row>
    <row r="393" spans="1:25" x14ac:dyDescent="0.25">
      <c r="A393">
        <v>2006</v>
      </c>
      <c r="B393">
        <v>137</v>
      </c>
      <c r="C393">
        <v>1600</v>
      </c>
      <c r="D393" s="7">
        <v>73.8</v>
      </c>
      <c r="E393" s="7">
        <v>42.27</v>
      </c>
      <c r="F393" s="7">
        <v>12.34</v>
      </c>
      <c r="G393" s="7">
        <v>12.43</v>
      </c>
      <c r="H393" s="7"/>
      <c r="I393" s="7"/>
      <c r="J393" s="7"/>
      <c r="K393" s="7">
        <v>4.8</v>
      </c>
      <c r="L393" s="7">
        <v>120.6</v>
      </c>
      <c r="M393" s="7">
        <v>2.2000000000000002</v>
      </c>
      <c r="N393" s="7"/>
      <c r="O393">
        <v>91.9</v>
      </c>
      <c r="P393">
        <v>15.97</v>
      </c>
      <c r="Q393">
        <v>13.2</v>
      </c>
      <c r="S393">
        <v>12.45</v>
      </c>
      <c r="T393">
        <v>0</v>
      </c>
      <c r="U393">
        <v>98.9</v>
      </c>
      <c r="V393">
        <v>975</v>
      </c>
      <c r="W393">
        <v>46.71</v>
      </c>
      <c r="Y393">
        <v>13.65</v>
      </c>
    </row>
    <row r="394" spans="1:25" x14ac:dyDescent="0.25">
      <c r="A394">
        <v>2006</v>
      </c>
      <c r="B394">
        <v>137</v>
      </c>
      <c r="C394">
        <v>1700</v>
      </c>
      <c r="D394" s="7">
        <v>28.91</v>
      </c>
      <c r="E394" s="7">
        <v>13.19</v>
      </c>
      <c r="F394" s="7">
        <v>12.12</v>
      </c>
      <c r="G394" s="7">
        <v>12.18</v>
      </c>
      <c r="H394" s="7"/>
      <c r="I394" s="7"/>
      <c r="J394" s="7"/>
      <c r="K394" s="7">
        <v>5.6349999999999998</v>
      </c>
      <c r="L394" s="7">
        <v>115.4</v>
      </c>
      <c r="M394" s="7">
        <v>2</v>
      </c>
      <c r="N394" s="7"/>
      <c r="O394">
        <v>28.79</v>
      </c>
      <c r="P394">
        <v>-0.45200000000000001</v>
      </c>
      <c r="Q394">
        <v>13.33</v>
      </c>
      <c r="S394">
        <v>12.45</v>
      </c>
      <c r="T394">
        <v>0</v>
      </c>
      <c r="U394">
        <v>99.3</v>
      </c>
      <c r="V394">
        <v>1009</v>
      </c>
      <c r="W394">
        <v>50.08</v>
      </c>
      <c r="Y394">
        <v>13.53</v>
      </c>
    </row>
    <row r="395" spans="1:25" x14ac:dyDescent="0.25">
      <c r="A395">
        <v>2006</v>
      </c>
      <c r="B395">
        <v>137</v>
      </c>
      <c r="C395">
        <v>1800</v>
      </c>
      <c r="D395" s="7">
        <v>38.89</v>
      </c>
      <c r="E395" s="7">
        <v>19.989999999999998</v>
      </c>
      <c r="F395" s="7">
        <v>12.1</v>
      </c>
      <c r="G395" s="7">
        <v>12.23</v>
      </c>
      <c r="H395" s="7"/>
      <c r="I395" s="7"/>
      <c r="J395" s="7"/>
      <c r="K395" s="7">
        <v>4.4749999999999996</v>
      </c>
      <c r="L395" s="7">
        <v>128.80000000000001</v>
      </c>
      <c r="M395" s="7">
        <v>0.2</v>
      </c>
      <c r="N395" s="7"/>
      <c r="O395">
        <v>44.46</v>
      </c>
      <c r="P395">
        <v>3.488</v>
      </c>
      <c r="Q395">
        <v>13.26</v>
      </c>
      <c r="S395">
        <v>12.45</v>
      </c>
      <c r="T395">
        <v>0</v>
      </c>
      <c r="U395">
        <v>98.6</v>
      </c>
      <c r="V395">
        <v>1011</v>
      </c>
      <c r="W395">
        <v>50.25</v>
      </c>
      <c r="Y395">
        <v>13.45</v>
      </c>
    </row>
    <row r="396" spans="1:25" x14ac:dyDescent="0.25">
      <c r="A396">
        <v>2006</v>
      </c>
      <c r="B396">
        <v>137</v>
      </c>
      <c r="C396">
        <v>1900</v>
      </c>
      <c r="D396" s="7">
        <v>60.5</v>
      </c>
      <c r="E396" s="7">
        <v>31.38</v>
      </c>
      <c r="F396" s="7">
        <v>12.27</v>
      </c>
      <c r="G396" s="7">
        <v>12.46</v>
      </c>
      <c r="H396" s="7"/>
      <c r="I396" s="7"/>
      <c r="J396" s="7"/>
      <c r="K396" s="7">
        <v>3.0289999999999999</v>
      </c>
      <c r="L396" s="7">
        <v>146.30000000000001</v>
      </c>
      <c r="M396" s="7">
        <v>0</v>
      </c>
      <c r="N396" s="7"/>
      <c r="O396">
        <v>69.599999999999994</v>
      </c>
      <c r="P396">
        <v>10.08</v>
      </c>
      <c r="Q396">
        <v>13.17</v>
      </c>
      <c r="S396">
        <v>12.45</v>
      </c>
      <c r="T396">
        <v>0</v>
      </c>
      <c r="U396">
        <v>97.9</v>
      </c>
      <c r="V396">
        <v>1012</v>
      </c>
      <c r="W396">
        <v>50.38</v>
      </c>
      <c r="Y396">
        <v>13.48</v>
      </c>
    </row>
    <row r="397" spans="1:25" x14ac:dyDescent="0.25">
      <c r="A397">
        <v>2006</v>
      </c>
      <c r="B397">
        <v>137</v>
      </c>
      <c r="C397">
        <v>2000</v>
      </c>
      <c r="D397" s="7">
        <v>28.83</v>
      </c>
      <c r="E397" s="7">
        <v>3.9860000000000002</v>
      </c>
      <c r="F397" s="7">
        <v>12.17</v>
      </c>
      <c r="G397" s="7">
        <v>12.61</v>
      </c>
      <c r="H397" s="7"/>
      <c r="I397" s="7"/>
      <c r="J397" s="7"/>
      <c r="K397" s="7">
        <v>3.044</v>
      </c>
      <c r="L397" s="7">
        <v>166.1</v>
      </c>
      <c r="M397" s="7">
        <v>0.2</v>
      </c>
      <c r="N397" s="7"/>
      <c r="O397">
        <v>26.9</v>
      </c>
      <c r="P397">
        <v>0.21099999999999999</v>
      </c>
      <c r="Q397">
        <v>13.08</v>
      </c>
      <c r="S397">
        <v>12.43</v>
      </c>
      <c r="T397">
        <v>0</v>
      </c>
      <c r="U397">
        <v>95.2</v>
      </c>
      <c r="V397">
        <v>1013</v>
      </c>
      <c r="W397">
        <v>50.55</v>
      </c>
      <c r="Y397">
        <v>13.43</v>
      </c>
    </row>
    <row r="398" spans="1:25" x14ac:dyDescent="0.25">
      <c r="A398">
        <v>2006</v>
      </c>
      <c r="B398">
        <v>137</v>
      </c>
      <c r="C398">
        <v>2100</v>
      </c>
      <c r="D398" s="7">
        <v>0.21</v>
      </c>
      <c r="E398" s="7">
        <v>-18.79</v>
      </c>
      <c r="F398" s="7">
        <v>11.93</v>
      </c>
      <c r="G398" s="7">
        <v>12.66</v>
      </c>
      <c r="H398" s="7"/>
      <c r="I398" s="7"/>
      <c r="J398" s="7"/>
      <c r="K398" s="7">
        <v>2.6269999999999998</v>
      </c>
      <c r="L398" s="7">
        <v>178.4</v>
      </c>
      <c r="M398" s="7">
        <v>0</v>
      </c>
      <c r="N398" s="7"/>
      <c r="O398">
        <v>-9.19</v>
      </c>
      <c r="P398">
        <v>-10.32</v>
      </c>
      <c r="Q398">
        <v>13</v>
      </c>
      <c r="S398">
        <v>12.39</v>
      </c>
      <c r="T398">
        <v>0</v>
      </c>
      <c r="U398">
        <v>91.9</v>
      </c>
      <c r="V398">
        <v>1016</v>
      </c>
      <c r="W398">
        <v>50.9</v>
      </c>
      <c r="Y398">
        <v>13.34</v>
      </c>
    </row>
    <row r="399" spans="1:25" x14ac:dyDescent="0.25">
      <c r="A399">
        <v>2006</v>
      </c>
      <c r="B399">
        <v>137</v>
      </c>
      <c r="C399">
        <v>2200</v>
      </c>
      <c r="D399" s="7">
        <v>-2.343</v>
      </c>
      <c r="E399" s="7">
        <v>-14.25</v>
      </c>
      <c r="F399" s="7">
        <v>12.11</v>
      </c>
      <c r="G399" s="7">
        <v>12.91</v>
      </c>
      <c r="H399" s="7"/>
      <c r="I399" s="7"/>
      <c r="J399" s="7"/>
      <c r="K399" s="7">
        <v>3.5339999999999998</v>
      </c>
      <c r="L399" s="7">
        <v>194.2</v>
      </c>
      <c r="M399" s="7">
        <v>0</v>
      </c>
      <c r="N399" s="7"/>
      <c r="O399">
        <v>-11.51</v>
      </c>
      <c r="P399">
        <v>-10.86</v>
      </c>
      <c r="Q399">
        <v>12.96</v>
      </c>
      <c r="S399">
        <v>12.35</v>
      </c>
      <c r="T399">
        <v>0</v>
      </c>
      <c r="U399">
        <v>91.1</v>
      </c>
      <c r="V399">
        <v>1016</v>
      </c>
      <c r="W399">
        <v>50.98</v>
      </c>
      <c r="Y399">
        <v>13.27</v>
      </c>
    </row>
    <row r="400" spans="1:25" x14ac:dyDescent="0.25">
      <c r="A400">
        <v>2006</v>
      </c>
      <c r="B400">
        <v>137</v>
      </c>
      <c r="C400">
        <v>2300</v>
      </c>
      <c r="D400" s="7">
        <v>-2.2029999999999998</v>
      </c>
      <c r="E400" s="7">
        <v>-16.23</v>
      </c>
      <c r="F400" s="7">
        <v>12.25</v>
      </c>
      <c r="G400" s="7">
        <v>12.82</v>
      </c>
      <c r="H400" s="7"/>
      <c r="I400" s="7"/>
      <c r="J400" s="7"/>
      <c r="K400" s="7">
        <v>3.7679999999999998</v>
      </c>
      <c r="L400" s="7">
        <v>192.3</v>
      </c>
      <c r="M400" s="7">
        <v>0</v>
      </c>
      <c r="N400" s="7"/>
      <c r="O400">
        <v>-11.51</v>
      </c>
      <c r="P400">
        <v>-10.85</v>
      </c>
      <c r="Q400">
        <v>12.88</v>
      </c>
      <c r="S400">
        <v>12.31</v>
      </c>
      <c r="T400">
        <v>0</v>
      </c>
      <c r="U400">
        <v>93.7</v>
      </c>
      <c r="V400">
        <v>1018</v>
      </c>
      <c r="W400">
        <v>51.23</v>
      </c>
      <c r="Y400">
        <v>13.2</v>
      </c>
    </row>
    <row r="401" spans="1:25" x14ac:dyDescent="0.25">
      <c r="A401">
        <v>2006</v>
      </c>
      <c r="B401">
        <v>137</v>
      </c>
      <c r="C401">
        <v>2400</v>
      </c>
      <c r="D401" s="7">
        <v>-1.3720000000000001</v>
      </c>
      <c r="E401" s="7">
        <v>-11.86</v>
      </c>
      <c r="F401" s="7">
        <v>12.54</v>
      </c>
      <c r="G401" s="7">
        <v>12.9</v>
      </c>
      <c r="H401" s="7"/>
      <c r="I401" s="7"/>
      <c r="J401" s="7"/>
      <c r="K401" s="7">
        <v>4.1269999999999998</v>
      </c>
      <c r="L401" s="7">
        <v>205.9</v>
      </c>
      <c r="M401" s="7">
        <v>0</v>
      </c>
      <c r="N401" s="7"/>
      <c r="O401">
        <v>-11.51</v>
      </c>
      <c r="P401">
        <v>-10.86</v>
      </c>
      <c r="Q401">
        <v>12.83</v>
      </c>
      <c r="S401">
        <v>12.29</v>
      </c>
      <c r="T401">
        <v>0</v>
      </c>
      <c r="U401">
        <v>96</v>
      </c>
      <c r="V401">
        <v>1018</v>
      </c>
      <c r="W401">
        <v>51.23</v>
      </c>
      <c r="Y401">
        <v>13.14</v>
      </c>
    </row>
    <row r="402" spans="1:25" x14ac:dyDescent="0.25">
      <c r="A402">
        <v>2006</v>
      </c>
      <c r="B402">
        <v>138</v>
      </c>
      <c r="C402">
        <v>100</v>
      </c>
      <c r="D402" s="7">
        <v>-1.4339999999999999</v>
      </c>
      <c r="E402" s="7">
        <v>-12.24</v>
      </c>
      <c r="F402" s="7">
        <v>12.37</v>
      </c>
      <c r="G402" s="7">
        <v>12.65</v>
      </c>
      <c r="H402" s="7"/>
      <c r="I402" s="7"/>
      <c r="J402" s="7"/>
      <c r="K402" s="7">
        <v>4.2720000000000002</v>
      </c>
      <c r="L402" s="7">
        <v>219.6</v>
      </c>
      <c r="M402" s="7">
        <v>0</v>
      </c>
      <c r="N402" s="7"/>
      <c r="O402">
        <v>-11.51</v>
      </c>
      <c r="P402">
        <v>-10.86</v>
      </c>
      <c r="Q402">
        <v>12.76</v>
      </c>
      <c r="S402">
        <v>12.23</v>
      </c>
      <c r="T402">
        <v>0</v>
      </c>
      <c r="U402">
        <v>97</v>
      </c>
      <c r="V402">
        <v>1019</v>
      </c>
      <c r="W402">
        <v>51.38</v>
      </c>
      <c r="Y402">
        <v>13.08</v>
      </c>
    </row>
    <row r="403" spans="1:25" x14ac:dyDescent="0.25">
      <c r="A403">
        <v>2006</v>
      </c>
      <c r="B403">
        <v>138</v>
      </c>
      <c r="C403">
        <v>200</v>
      </c>
      <c r="D403" s="7">
        <v>-1.105</v>
      </c>
      <c r="E403" s="7">
        <v>-16.440000000000001</v>
      </c>
      <c r="F403" s="7">
        <v>12.21</v>
      </c>
      <c r="G403" s="7">
        <v>12.36</v>
      </c>
      <c r="H403" s="7"/>
      <c r="I403" s="7"/>
      <c r="J403" s="7"/>
      <c r="K403" s="7">
        <v>4.0739999999999998</v>
      </c>
      <c r="L403" s="7">
        <v>229.1</v>
      </c>
      <c r="M403" s="7">
        <v>0</v>
      </c>
      <c r="N403" s="7"/>
      <c r="O403">
        <v>-11.51</v>
      </c>
      <c r="P403">
        <v>-10.85</v>
      </c>
      <c r="Q403">
        <v>12.68</v>
      </c>
      <c r="S403">
        <v>12.18</v>
      </c>
      <c r="T403">
        <v>0</v>
      </c>
      <c r="U403">
        <v>98.3</v>
      </c>
      <c r="V403">
        <v>1020</v>
      </c>
      <c r="W403">
        <v>51.47</v>
      </c>
      <c r="Y403">
        <v>13.02</v>
      </c>
    </row>
    <row r="404" spans="1:25" x14ac:dyDescent="0.25">
      <c r="A404">
        <v>2006</v>
      </c>
      <c r="B404">
        <v>138</v>
      </c>
      <c r="C404">
        <v>300</v>
      </c>
      <c r="D404" s="7">
        <v>-1.407</v>
      </c>
      <c r="E404" s="7">
        <v>-19.82</v>
      </c>
      <c r="F404" s="7">
        <v>11.76</v>
      </c>
      <c r="G404" s="7">
        <v>11.96</v>
      </c>
      <c r="H404" s="7"/>
      <c r="I404" s="7"/>
      <c r="J404" s="7"/>
      <c r="K404" s="7">
        <v>3.7280000000000002</v>
      </c>
      <c r="L404" s="7">
        <v>229.9</v>
      </c>
      <c r="M404" s="7">
        <v>0</v>
      </c>
      <c r="N404" s="7"/>
      <c r="O404">
        <v>-11.5</v>
      </c>
      <c r="P404">
        <v>-10.86</v>
      </c>
      <c r="Q404">
        <v>12.6</v>
      </c>
      <c r="S404">
        <v>12.11</v>
      </c>
      <c r="T404">
        <v>0</v>
      </c>
      <c r="U404">
        <v>97.8</v>
      </c>
      <c r="V404">
        <v>1019</v>
      </c>
      <c r="W404">
        <v>51.38</v>
      </c>
      <c r="Y404">
        <v>12.98</v>
      </c>
    </row>
    <row r="405" spans="1:25" x14ac:dyDescent="0.25">
      <c r="A405">
        <v>2006</v>
      </c>
      <c r="B405">
        <v>138</v>
      </c>
      <c r="C405">
        <v>400</v>
      </c>
      <c r="D405" s="7">
        <v>-1.633</v>
      </c>
      <c r="E405" s="7">
        <v>-40.57</v>
      </c>
      <c r="F405" s="7">
        <v>11.04</v>
      </c>
      <c r="G405" s="7">
        <v>11.22</v>
      </c>
      <c r="H405" s="7"/>
      <c r="I405" s="7"/>
      <c r="J405" s="7"/>
      <c r="K405" s="7">
        <v>4.593</v>
      </c>
      <c r="L405" s="7">
        <v>230.7</v>
      </c>
      <c r="M405" s="7">
        <v>0</v>
      </c>
      <c r="N405" s="7"/>
      <c r="O405">
        <v>-11.39</v>
      </c>
      <c r="P405">
        <v>-10.85</v>
      </c>
      <c r="Q405">
        <v>12.52</v>
      </c>
      <c r="S405">
        <v>12.05</v>
      </c>
      <c r="T405">
        <v>0</v>
      </c>
      <c r="U405">
        <v>97.9</v>
      </c>
      <c r="V405">
        <v>1019</v>
      </c>
      <c r="W405">
        <v>51.39</v>
      </c>
      <c r="Y405">
        <v>12.95</v>
      </c>
    </row>
    <row r="406" spans="1:25" x14ac:dyDescent="0.25">
      <c r="A406">
        <v>2006</v>
      </c>
      <c r="B406">
        <v>138</v>
      </c>
      <c r="C406">
        <v>500</v>
      </c>
      <c r="D406" s="7">
        <v>9.09</v>
      </c>
      <c r="E406" s="7">
        <v>-45.34</v>
      </c>
      <c r="F406" s="7">
        <v>10.18</v>
      </c>
      <c r="G406" s="7">
        <v>10.29</v>
      </c>
      <c r="H406" s="7"/>
      <c r="I406" s="7"/>
      <c r="J406" s="7"/>
      <c r="K406" s="7">
        <v>3.7909999999999999</v>
      </c>
      <c r="L406" s="7">
        <v>226.9</v>
      </c>
      <c r="M406" s="7">
        <v>0</v>
      </c>
      <c r="N406" s="7"/>
      <c r="O406">
        <v>2.7749999999999999</v>
      </c>
      <c r="P406">
        <v>-5.6580000000000004</v>
      </c>
      <c r="Q406">
        <v>12.46</v>
      </c>
      <c r="S406">
        <v>12</v>
      </c>
      <c r="T406">
        <v>0</v>
      </c>
      <c r="U406">
        <v>98.7</v>
      </c>
      <c r="V406">
        <v>1027</v>
      </c>
      <c r="W406">
        <v>52.41</v>
      </c>
      <c r="Y406">
        <v>12.93</v>
      </c>
    </row>
    <row r="407" spans="1:25" x14ac:dyDescent="0.25">
      <c r="A407">
        <v>2006</v>
      </c>
      <c r="B407">
        <v>138</v>
      </c>
      <c r="C407">
        <v>600</v>
      </c>
      <c r="D407" s="7">
        <v>85</v>
      </c>
      <c r="E407" s="7">
        <v>24.47</v>
      </c>
      <c r="F407" s="7">
        <v>10.36</v>
      </c>
      <c r="G407" s="7">
        <v>10.45</v>
      </c>
      <c r="H407" s="7"/>
      <c r="I407" s="7"/>
      <c r="J407" s="7"/>
      <c r="K407" s="7">
        <v>3.2469999999999999</v>
      </c>
      <c r="L407" s="7">
        <v>218.5</v>
      </c>
      <c r="M407" s="7">
        <v>0</v>
      </c>
      <c r="N407" s="7"/>
      <c r="O407">
        <v>107.9</v>
      </c>
      <c r="P407">
        <v>37.76</v>
      </c>
      <c r="Q407">
        <v>12.37</v>
      </c>
      <c r="S407">
        <v>11.97</v>
      </c>
      <c r="T407">
        <v>0</v>
      </c>
      <c r="U407">
        <v>98.9</v>
      </c>
      <c r="V407">
        <v>1019</v>
      </c>
      <c r="W407">
        <v>51.36</v>
      </c>
      <c r="Y407">
        <v>13.12</v>
      </c>
    </row>
    <row r="408" spans="1:25" x14ac:dyDescent="0.25">
      <c r="A408">
        <v>2006</v>
      </c>
      <c r="B408">
        <v>138</v>
      </c>
      <c r="C408">
        <v>700</v>
      </c>
      <c r="D408" s="7">
        <v>248.8</v>
      </c>
      <c r="E408" s="7">
        <v>177.4</v>
      </c>
      <c r="F408" s="7">
        <v>11.37</v>
      </c>
      <c r="G408" s="7">
        <v>11.5</v>
      </c>
      <c r="H408" s="7"/>
      <c r="I408" s="7"/>
      <c r="J408" s="7"/>
      <c r="K408" s="7">
        <v>3.7530000000000001</v>
      </c>
      <c r="L408" s="7">
        <v>220</v>
      </c>
      <c r="M408" s="7">
        <v>0</v>
      </c>
      <c r="N408" s="7"/>
      <c r="O408">
        <v>353</v>
      </c>
      <c r="P408">
        <v>128</v>
      </c>
      <c r="Q408">
        <v>12.29</v>
      </c>
      <c r="S408">
        <v>11.96</v>
      </c>
      <c r="T408">
        <v>0</v>
      </c>
      <c r="U408">
        <v>98.5</v>
      </c>
      <c r="V408">
        <v>1019</v>
      </c>
      <c r="W408">
        <v>51.32</v>
      </c>
      <c r="Y408">
        <v>13.92</v>
      </c>
    </row>
    <row r="409" spans="1:25" x14ac:dyDescent="0.25">
      <c r="A409">
        <v>2006</v>
      </c>
      <c r="B409">
        <v>138</v>
      </c>
      <c r="C409">
        <v>800</v>
      </c>
      <c r="D409" s="7">
        <v>334.9</v>
      </c>
      <c r="E409" s="7">
        <v>231.7</v>
      </c>
      <c r="F409" s="7">
        <v>12.22</v>
      </c>
      <c r="G409" s="7">
        <v>12.29</v>
      </c>
      <c r="H409" s="7"/>
      <c r="I409" s="7"/>
      <c r="J409" s="7"/>
      <c r="K409" s="7">
        <v>3.6280000000000001</v>
      </c>
      <c r="L409" s="7">
        <v>214.4</v>
      </c>
      <c r="M409" s="7">
        <v>0</v>
      </c>
      <c r="N409" s="7"/>
      <c r="O409">
        <v>449.3</v>
      </c>
      <c r="P409">
        <v>147.80000000000001</v>
      </c>
      <c r="Q409">
        <v>12.29</v>
      </c>
      <c r="S409">
        <v>11.92</v>
      </c>
      <c r="T409">
        <v>0</v>
      </c>
      <c r="U409">
        <v>99.3</v>
      </c>
      <c r="V409">
        <v>1018</v>
      </c>
      <c r="W409">
        <v>51.26</v>
      </c>
      <c r="Y409">
        <v>14.28</v>
      </c>
    </row>
    <row r="410" spans="1:25" x14ac:dyDescent="0.25">
      <c r="A410">
        <v>2006</v>
      </c>
      <c r="B410">
        <v>138</v>
      </c>
      <c r="C410">
        <v>900</v>
      </c>
      <c r="D410" s="7">
        <v>329.4</v>
      </c>
      <c r="E410" s="7">
        <v>205</v>
      </c>
      <c r="F410" s="7">
        <v>12.49</v>
      </c>
      <c r="G410" s="7">
        <v>12.65</v>
      </c>
      <c r="H410" s="7">
        <f>AVERAGE(G410:G433)</f>
        <v>11.679583333333333</v>
      </c>
      <c r="I410" s="7">
        <f>MIN(G410:G433)</f>
        <v>9.39</v>
      </c>
      <c r="J410" s="7">
        <f>MAX(G410:G433)</f>
        <v>15.77</v>
      </c>
      <c r="K410" s="7">
        <v>3.665</v>
      </c>
      <c r="L410" s="7">
        <v>210</v>
      </c>
      <c r="M410" s="7">
        <v>0</v>
      </c>
      <c r="N410" s="7">
        <f>SUM(M410:M433)</f>
        <v>1.8</v>
      </c>
      <c r="O410">
        <v>425.3</v>
      </c>
      <c r="P410">
        <v>120.7</v>
      </c>
      <c r="Q410">
        <v>12.32</v>
      </c>
      <c r="S410">
        <v>11.79</v>
      </c>
      <c r="T410">
        <v>0</v>
      </c>
      <c r="U410">
        <v>98.2</v>
      </c>
      <c r="V410">
        <v>867</v>
      </c>
      <c r="W410">
        <v>37.14</v>
      </c>
      <c r="Y410">
        <v>14.24</v>
      </c>
    </row>
    <row r="411" spans="1:25" x14ac:dyDescent="0.25">
      <c r="A411">
        <v>2006</v>
      </c>
      <c r="B411">
        <v>138</v>
      </c>
      <c r="C411">
        <v>1000</v>
      </c>
      <c r="D411" s="7">
        <v>531.4</v>
      </c>
      <c r="E411" s="7">
        <v>333.6</v>
      </c>
      <c r="F411" s="7">
        <v>14.09</v>
      </c>
      <c r="G411" s="7">
        <v>14.26</v>
      </c>
      <c r="H411" s="7"/>
      <c r="I411" s="7"/>
      <c r="J411" s="7"/>
      <c r="K411" s="7">
        <v>3.9620000000000002</v>
      </c>
      <c r="L411" s="7">
        <v>214.1</v>
      </c>
      <c r="M411" s="7">
        <v>0</v>
      </c>
      <c r="N411" s="7"/>
      <c r="O411">
        <v>679.7</v>
      </c>
      <c r="P411">
        <v>191.6</v>
      </c>
      <c r="Q411">
        <v>12.49</v>
      </c>
      <c r="S411">
        <v>11.85</v>
      </c>
      <c r="T411">
        <v>0</v>
      </c>
      <c r="U411">
        <v>98.2</v>
      </c>
      <c r="V411">
        <v>852</v>
      </c>
      <c r="W411">
        <v>36.22</v>
      </c>
      <c r="Y411">
        <v>14.57</v>
      </c>
    </row>
    <row r="412" spans="1:25" x14ac:dyDescent="0.25">
      <c r="A412">
        <v>2006</v>
      </c>
      <c r="B412">
        <v>138</v>
      </c>
      <c r="C412">
        <v>1100</v>
      </c>
      <c r="D412" s="7">
        <v>545.29999999999995</v>
      </c>
      <c r="E412" s="7">
        <v>339.2</v>
      </c>
      <c r="F412" s="7">
        <v>15.05</v>
      </c>
      <c r="G412" s="7">
        <v>15.06</v>
      </c>
      <c r="H412" s="7"/>
      <c r="I412" s="7"/>
      <c r="J412" s="7"/>
      <c r="K412" s="7">
        <v>3.9359999999999999</v>
      </c>
      <c r="L412" s="7">
        <v>200.5</v>
      </c>
      <c r="M412" s="7">
        <v>0</v>
      </c>
      <c r="N412" s="7"/>
      <c r="O412">
        <v>702</v>
      </c>
      <c r="P412">
        <v>195.4</v>
      </c>
      <c r="Q412">
        <v>12.64</v>
      </c>
      <c r="S412">
        <v>11.86</v>
      </c>
      <c r="T412">
        <v>0</v>
      </c>
      <c r="U412">
        <v>99.9</v>
      </c>
      <c r="V412">
        <v>845</v>
      </c>
      <c r="W412">
        <v>35.76</v>
      </c>
      <c r="Y412">
        <v>14.38</v>
      </c>
    </row>
    <row r="413" spans="1:25" x14ac:dyDescent="0.25">
      <c r="A413">
        <v>2006</v>
      </c>
      <c r="B413">
        <v>138</v>
      </c>
      <c r="C413">
        <v>1200</v>
      </c>
      <c r="D413" s="7">
        <v>683.8</v>
      </c>
      <c r="E413" s="7">
        <v>419.9</v>
      </c>
      <c r="F413" s="7">
        <v>15.83</v>
      </c>
      <c r="G413" s="7">
        <v>15.77</v>
      </c>
      <c r="H413" s="7"/>
      <c r="I413" s="7"/>
      <c r="J413" s="7"/>
      <c r="K413" s="7">
        <v>4.12</v>
      </c>
      <c r="L413" s="7">
        <v>196.1</v>
      </c>
      <c r="M413" s="7">
        <v>0</v>
      </c>
      <c r="N413" s="7"/>
      <c r="O413">
        <v>861</v>
      </c>
      <c r="P413">
        <v>228</v>
      </c>
      <c r="Q413">
        <v>12.87</v>
      </c>
      <c r="S413">
        <v>11.96</v>
      </c>
      <c r="T413">
        <v>0</v>
      </c>
      <c r="U413">
        <v>100.6</v>
      </c>
      <c r="V413">
        <v>838</v>
      </c>
      <c r="W413">
        <v>35.36</v>
      </c>
      <c r="Y413">
        <v>14.34</v>
      </c>
    </row>
    <row r="414" spans="1:25" x14ac:dyDescent="0.25">
      <c r="A414">
        <v>2006</v>
      </c>
      <c r="B414">
        <v>138</v>
      </c>
      <c r="C414">
        <v>1300</v>
      </c>
      <c r="D414" s="7">
        <v>459.2</v>
      </c>
      <c r="E414" s="7">
        <v>269.10000000000002</v>
      </c>
      <c r="F414" s="7">
        <v>15.59</v>
      </c>
      <c r="G414" s="7">
        <v>15.41</v>
      </c>
      <c r="H414" s="7"/>
      <c r="I414" s="7"/>
      <c r="J414" s="7"/>
      <c r="K414" s="7">
        <v>3.5409999999999999</v>
      </c>
      <c r="L414" s="7">
        <v>181.9</v>
      </c>
      <c r="M414" s="7">
        <v>0</v>
      </c>
      <c r="N414" s="7"/>
      <c r="O414">
        <v>582.70000000000005</v>
      </c>
      <c r="P414">
        <v>160.1</v>
      </c>
      <c r="Q414">
        <v>13.12</v>
      </c>
      <c r="S414">
        <v>12.08</v>
      </c>
      <c r="T414">
        <v>0</v>
      </c>
      <c r="U414">
        <v>101.9</v>
      </c>
      <c r="V414">
        <v>832</v>
      </c>
      <c r="W414">
        <v>35.03</v>
      </c>
      <c r="Y414">
        <v>14.19</v>
      </c>
    </row>
    <row r="415" spans="1:25" x14ac:dyDescent="0.25">
      <c r="A415">
        <v>2006</v>
      </c>
      <c r="B415">
        <v>138</v>
      </c>
      <c r="C415">
        <v>1400</v>
      </c>
      <c r="D415" s="7">
        <v>323.7</v>
      </c>
      <c r="E415" s="7">
        <v>190.8</v>
      </c>
      <c r="F415" s="7">
        <v>13.95</v>
      </c>
      <c r="G415" s="7">
        <v>13.65</v>
      </c>
      <c r="H415" s="7"/>
      <c r="I415" s="7"/>
      <c r="J415" s="7"/>
      <c r="K415" s="7">
        <v>3.7549999999999999</v>
      </c>
      <c r="L415" s="7">
        <v>191.3</v>
      </c>
      <c r="M415" s="7">
        <v>0.4</v>
      </c>
      <c r="N415" s="7"/>
      <c r="O415">
        <v>412.6</v>
      </c>
      <c r="P415">
        <v>86.1</v>
      </c>
      <c r="Q415">
        <v>13.37</v>
      </c>
      <c r="S415">
        <v>12.22</v>
      </c>
      <c r="T415">
        <v>0</v>
      </c>
      <c r="U415">
        <v>103.2</v>
      </c>
      <c r="V415">
        <v>827</v>
      </c>
      <c r="W415">
        <v>34.729999999999997</v>
      </c>
      <c r="Y415">
        <v>14.05</v>
      </c>
    </row>
    <row r="416" spans="1:25" x14ac:dyDescent="0.25">
      <c r="A416">
        <v>2006</v>
      </c>
      <c r="B416">
        <v>138</v>
      </c>
      <c r="C416">
        <v>1500</v>
      </c>
      <c r="D416" s="7">
        <v>252.4</v>
      </c>
      <c r="E416" s="7">
        <v>140</v>
      </c>
      <c r="F416" s="7">
        <v>11.6</v>
      </c>
      <c r="G416" s="7">
        <v>11.52</v>
      </c>
      <c r="H416" s="7"/>
      <c r="I416" s="7"/>
      <c r="J416" s="7"/>
      <c r="K416" s="7">
        <v>2.7890000000000001</v>
      </c>
      <c r="L416" s="7">
        <v>178.7</v>
      </c>
      <c r="M416" s="7">
        <v>0.2</v>
      </c>
      <c r="N416" s="7"/>
      <c r="O416">
        <v>331</v>
      </c>
      <c r="P416">
        <v>71.8</v>
      </c>
      <c r="Q416">
        <v>13.53</v>
      </c>
      <c r="S416">
        <v>12.39</v>
      </c>
      <c r="T416">
        <v>0</v>
      </c>
      <c r="U416">
        <v>100.9</v>
      </c>
      <c r="V416">
        <v>827</v>
      </c>
      <c r="W416">
        <v>34.700000000000003</v>
      </c>
      <c r="Y416">
        <v>13.88</v>
      </c>
    </row>
    <row r="417" spans="1:25" x14ac:dyDescent="0.25">
      <c r="A417">
        <v>2006</v>
      </c>
      <c r="B417">
        <v>138</v>
      </c>
      <c r="C417">
        <v>1600</v>
      </c>
      <c r="D417" s="7">
        <v>402.9</v>
      </c>
      <c r="E417" s="7">
        <v>237.3</v>
      </c>
      <c r="F417" s="7">
        <v>12.95</v>
      </c>
      <c r="G417" s="7">
        <v>13.05</v>
      </c>
      <c r="H417" s="7"/>
      <c r="I417" s="7"/>
      <c r="J417" s="7"/>
      <c r="K417" s="7">
        <v>3.2869999999999999</v>
      </c>
      <c r="L417" s="7">
        <v>200.7</v>
      </c>
      <c r="M417" s="7">
        <v>0</v>
      </c>
      <c r="N417" s="7"/>
      <c r="O417">
        <v>509.7</v>
      </c>
      <c r="P417">
        <v>152.30000000000001</v>
      </c>
      <c r="Q417">
        <v>13.66</v>
      </c>
      <c r="S417">
        <v>12.64</v>
      </c>
      <c r="T417">
        <v>0</v>
      </c>
      <c r="U417">
        <v>98.9</v>
      </c>
      <c r="V417">
        <v>826</v>
      </c>
      <c r="W417">
        <v>34.630000000000003</v>
      </c>
      <c r="Y417">
        <v>14.12</v>
      </c>
    </row>
    <row r="418" spans="1:25" x14ac:dyDescent="0.25">
      <c r="A418">
        <v>2006</v>
      </c>
      <c r="B418">
        <v>138</v>
      </c>
      <c r="C418">
        <v>1700</v>
      </c>
      <c r="D418" s="7">
        <v>377.2</v>
      </c>
      <c r="E418" s="7">
        <v>216.7</v>
      </c>
      <c r="F418" s="7">
        <v>14.09</v>
      </c>
      <c r="G418" s="7">
        <v>13.94</v>
      </c>
      <c r="H418" s="7"/>
      <c r="I418" s="7"/>
      <c r="J418" s="7"/>
      <c r="K418" s="7">
        <v>3.2719999999999998</v>
      </c>
      <c r="L418" s="7">
        <v>193.2</v>
      </c>
      <c r="M418" s="7">
        <v>0</v>
      </c>
      <c r="N418" s="7"/>
      <c r="O418">
        <v>467.9</v>
      </c>
      <c r="P418">
        <v>166.2</v>
      </c>
      <c r="Q418">
        <v>13.74</v>
      </c>
      <c r="S418">
        <v>12.8</v>
      </c>
      <c r="T418">
        <v>0</v>
      </c>
      <c r="U418">
        <v>101.7</v>
      </c>
      <c r="V418">
        <v>822</v>
      </c>
      <c r="W418">
        <v>34.46</v>
      </c>
      <c r="Y418">
        <v>14.03</v>
      </c>
    </row>
    <row r="419" spans="1:25" x14ac:dyDescent="0.25">
      <c r="A419">
        <v>2006</v>
      </c>
      <c r="B419">
        <v>138</v>
      </c>
      <c r="C419">
        <v>1800</v>
      </c>
      <c r="D419" s="7">
        <v>274.2</v>
      </c>
      <c r="E419" s="7">
        <v>150.5</v>
      </c>
      <c r="F419" s="7">
        <v>12.96</v>
      </c>
      <c r="G419" s="7">
        <v>12.89</v>
      </c>
      <c r="H419" s="7"/>
      <c r="I419" s="7"/>
      <c r="J419" s="7"/>
      <c r="K419" s="7">
        <v>3.3759999999999999</v>
      </c>
      <c r="L419" s="7">
        <v>194.3</v>
      </c>
      <c r="M419" s="7">
        <v>0</v>
      </c>
      <c r="N419" s="7"/>
      <c r="O419">
        <v>344</v>
      </c>
      <c r="P419">
        <v>131.19999999999999</v>
      </c>
      <c r="Q419">
        <v>13.79</v>
      </c>
      <c r="S419">
        <v>12.87</v>
      </c>
      <c r="T419">
        <v>0</v>
      </c>
      <c r="U419">
        <v>100.8</v>
      </c>
      <c r="V419">
        <v>820</v>
      </c>
      <c r="W419">
        <v>34.299999999999997</v>
      </c>
      <c r="Y419">
        <v>13.84</v>
      </c>
    </row>
    <row r="420" spans="1:25" x14ac:dyDescent="0.25">
      <c r="A420">
        <v>2006</v>
      </c>
      <c r="B420">
        <v>138</v>
      </c>
      <c r="C420">
        <v>1900</v>
      </c>
      <c r="D420" s="7">
        <v>118.9</v>
      </c>
      <c r="E420" s="7">
        <v>34.97</v>
      </c>
      <c r="F420" s="7">
        <v>12.33</v>
      </c>
      <c r="G420" s="7">
        <v>12.25</v>
      </c>
      <c r="H420" s="7"/>
      <c r="I420" s="7"/>
      <c r="J420" s="7"/>
      <c r="K420" s="7">
        <v>3.0409999999999999</v>
      </c>
      <c r="L420" s="7">
        <v>203.8</v>
      </c>
      <c r="M420" s="7">
        <v>0</v>
      </c>
      <c r="N420" s="7"/>
      <c r="O420">
        <v>138.5</v>
      </c>
      <c r="P420">
        <v>60.13</v>
      </c>
      <c r="Q420">
        <v>13.82</v>
      </c>
      <c r="S420">
        <v>12.94</v>
      </c>
      <c r="T420">
        <v>0</v>
      </c>
      <c r="U420">
        <v>100.9</v>
      </c>
      <c r="V420">
        <v>817</v>
      </c>
      <c r="W420">
        <v>34.159999999999997</v>
      </c>
      <c r="Y420">
        <v>13.72</v>
      </c>
    </row>
    <row r="421" spans="1:25" x14ac:dyDescent="0.25">
      <c r="A421">
        <v>2006</v>
      </c>
      <c r="B421">
        <v>138</v>
      </c>
      <c r="C421">
        <v>2000</v>
      </c>
      <c r="D421" s="7">
        <v>46.94</v>
      </c>
      <c r="E421" s="7">
        <v>-19.63</v>
      </c>
      <c r="F421" s="7">
        <v>11.77</v>
      </c>
      <c r="G421" s="7">
        <v>11.68</v>
      </c>
      <c r="H421" s="7"/>
      <c r="I421" s="7"/>
      <c r="J421" s="7"/>
      <c r="K421" s="7">
        <v>2.1419999999999999</v>
      </c>
      <c r="L421" s="7">
        <v>200.7</v>
      </c>
      <c r="M421" s="7">
        <v>0</v>
      </c>
      <c r="N421" s="7"/>
      <c r="O421">
        <v>48.35</v>
      </c>
      <c r="P421">
        <v>29.17</v>
      </c>
      <c r="Q421">
        <v>13.79</v>
      </c>
      <c r="S421">
        <v>12.96</v>
      </c>
      <c r="T421">
        <v>0</v>
      </c>
      <c r="U421">
        <v>101.1</v>
      </c>
      <c r="V421">
        <v>815</v>
      </c>
      <c r="W421">
        <v>34.08</v>
      </c>
      <c r="Y421">
        <v>13.56</v>
      </c>
    </row>
    <row r="422" spans="1:25" x14ac:dyDescent="0.25">
      <c r="A422">
        <v>2006</v>
      </c>
      <c r="B422">
        <v>138</v>
      </c>
      <c r="C422">
        <v>2100</v>
      </c>
      <c r="D422" s="7">
        <v>0.97499999999999998</v>
      </c>
      <c r="E422" s="7">
        <v>-52.86</v>
      </c>
      <c r="F422" s="7">
        <v>10.74</v>
      </c>
      <c r="G422" s="7">
        <v>10.52</v>
      </c>
      <c r="H422" s="7"/>
      <c r="I422" s="7"/>
      <c r="J422" s="7"/>
      <c r="K422" s="7">
        <v>1.286</v>
      </c>
      <c r="L422" s="7">
        <v>196.4</v>
      </c>
      <c r="M422" s="7">
        <v>0</v>
      </c>
      <c r="N422" s="7"/>
      <c r="O422">
        <v>-7.09</v>
      </c>
      <c r="P422">
        <v>-9.36</v>
      </c>
      <c r="Q422">
        <v>13.72</v>
      </c>
      <c r="S422">
        <v>12.97</v>
      </c>
      <c r="T422">
        <v>0</v>
      </c>
      <c r="U422">
        <v>102.6</v>
      </c>
      <c r="V422">
        <v>813</v>
      </c>
      <c r="W422">
        <v>33.97</v>
      </c>
      <c r="Y422">
        <v>13.45</v>
      </c>
    </row>
    <row r="423" spans="1:25" x14ac:dyDescent="0.25">
      <c r="A423">
        <v>2006</v>
      </c>
      <c r="B423">
        <v>138</v>
      </c>
      <c r="C423">
        <v>2200</v>
      </c>
      <c r="D423" s="7">
        <v>-3.4460000000000002</v>
      </c>
      <c r="E423" s="7">
        <v>-58.82</v>
      </c>
      <c r="F423" s="7">
        <v>9.6</v>
      </c>
      <c r="G423" s="7">
        <v>9.51</v>
      </c>
      <c r="H423" s="7"/>
      <c r="I423" s="7"/>
      <c r="J423" s="7"/>
      <c r="K423" s="7">
        <v>0.79100000000000004</v>
      </c>
      <c r="L423" s="7">
        <v>206</v>
      </c>
      <c r="M423" s="7">
        <v>0</v>
      </c>
      <c r="N423" s="7"/>
      <c r="O423">
        <v>-11.51</v>
      </c>
      <c r="P423">
        <v>-10.87</v>
      </c>
      <c r="Q423">
        <v>13.58</v>
      </c>
      <c r="S423">
        <v>12.92</v>
      </c>
      <c r="T423">
        <v>0</v>
      </c>
      <c r="U423">
        <v>101.1</v>
      </c>
      <c r="V423">
        <v>813</v>
      </c>
      <c r="W423">
        <v>33.93</v>
      </c>
      <c r="Y423">
        <v>13.36</v>
      </c>
    </row>
    <row r="424" spans="1:25" x14ac:dyDescent="0.25">
      <c r="A424">
        <v>2006</v>
      </c>
      <c r="B424">
        <v>138</v>
      </c>
      <c r="C424">
        <v>2300</v>
      </c>
      <c r="D424" s="7">
        <v>-1.8979999999999999</v>
      </c>
      <c r="E424" s="7">
        <v>-27.61</v>
      </c>
      <c r="F424" s="7">
        <v>9.36</v>
      </c>
      <c r="G424" s="7">
        <v>9.39</v>
      </c>
      <c r="H424" s="7"/>
      <c r="I424" s="7"/>
      <c r="J424" s="7"/>
      <c r="K424" s="7">
        <v>1.1020000000000001</v>
      </c>
      <c r="L424" s="7">
        <v>228.4</v>
      </c>
      <c r="M424" s="7">
        <v>0</v>
      </c>
      <c r="N424" s="7"/>
      <c r="O424">
        <v>-11.5</v>
      </c>
      <c r="P424">
        <v>-10.84</v>
      </c>
      <c r="Q424">
        <v>13.46</v>
      </c>
      <c r="S424">
        <v>12.89</v>
      </c>
      <c r="T424">
        <v>0</v>
      </c>
      <c r="U424">
        <v>99.6</v>
      </c>
      <c r="V424">
        <v>821</v>
      </c>
      <c r="W424">
        <v>34.380000000000003</v>
      </c>
      <c r="Y424">
        <v>13.29</v>
      </c>
    </row>
    <row r="425" spans="1:25" x14ac:dyDescent="0.25">
      <c r="A425">
        <v>2006</v>
      </c>
      <c r="B425">
        <v>138</v>
      </c>
      <c r="C425">
        <v>2400</v>
      </c>
      <c r="D425" s="7">
        <v>-1.052</v>
      </c>
      <c r="E425" s="7">
        <v>-11.53</v>
      </c>
      <c r="F425" s="7">
        <v>9.73</v>
      </c>
      <c r="G425" s="7">
        <v>9.5500000000000007</v>
      </c>
      <c r="H425" s="7"/>
      <c r="I425" s="7"/>
      <c r="J425" s="7"/>
      <c r="K425" s="7">
        <v>1.506</v>
      </c>
      <c r="L425" s="7">
        <v>230.3</v>
      </c>
      <c r="M425" s="7">
        <v>0.6</v>
      </c>
      <c r="N425" s="7"/>
      <c r="O425">
        <v>-11.5</v>
      </c>
      <c r="P425">
        <v>-10.84</v>
      </c>
      <c r="Q425">
        <v>13.32</v>
      </c>
      <c r="S425">
        <v>12.83</v>
      </c>
      <c r="T425">
        <v>0</v>
      </c>
      <c r="U425">
        <v>102.3</v>
      </c>
      <c r="V425">
        <v>814</v>
      </c>
      <c r="W425">
        <v>34.020000000000003</v>
      </c>
      <c r="Y425">
        <v>13.22</v>
      </c>
    </row>
    <row r="426" spans="1:25" x14ac:dyDescent="0.25">
      <c r="A426">
        <v>2006</v>
      </c>
      <c r="B426">
        <v>139</v>
      </c>
      <c r="C426">
        <v>100</v>
      </c>
      <c r="D426" s="7">
        <v>-0.57299999999999995</v>
      </c>
      <c r="E426" s="7">
        <v>-8.7899999999999991</v>
      </c>
      <c r="F426" s="7">
        <v>9.84</v>
      </c>
      <c r="G426" s="7">
        <v>9.6300000000000008</v>
      </c>
      <c r="H426" s="7"/>
      <c r="I426" s="7"/>
      <c r="J426" s="7"/>
      <c r="K426" s="7">
        <v>1.585</v>
      </c>
      <c r="L426" s="7">
        <v>229.1</v>
      </c>
      <c r="M426" s="7">
        <v>0.2</v>
      </c>
      <c r="N426" s="7"/>
      <c r="O426">
        <v>-11.5</v>
      </c>
      <c r="P426">
        <v>-10.84</v>
      </c>
      <c r="Q426">
        <v>13.17</v>
      </c>
      <c r="S426">
        <v>12.72</v>
      </c>
      <c r="T426">
        <v>0</v>
      </c>
      <c r="U426">
        <v>102.6</v>
      </c>
      <c r="V426">
        <v>816</v>
      </c>
      <c r="W426">
        <v>34.119999999999997</v>
      </c>
      <c r="Y426">
        <v>13.16</v>
      </c>
    </row>
    <row r="427" spans="1:25" x14ac:dyDescent="0.25">
      <c r="A427">
        <v>2006</v>
      </c>
      <c r="B427">
        <v>139</v>
      </c>
      <c r="C427">
        <v>200</v>
      </c>
      <c r="D427" s="7">
        <v>-0.57299999999999995</v>
      </c>
      <c r="E427" s="7">
        <v>-7.27</v>
      </c>
      <c r="F427" s="7">
        <v>10.23</v>
      </c>
      <c r="G427" s="7">
        <v>10.08</v>
      </c>
      <c r="H427" s="7"/>
      <c r="I427" s="7"/>
      <c r="J427" s="7"/>
      <c r="K427" s="7">
        <v>2.1139999999999999</v>
      </c>
      <c r="L427" s="7">
        <v>260.3</v>
      </c>
      <c r="M427" s="7">
        <v>0.2</v>
      </c>
      <c r="N427" s="7"/>
      <c r="O427">
        <v>-11.5</v>
      </c>
      <c r="P427">
        <v>-10.84</v>
      </c>
      <c r="Q427">
        <v>13.07</v>
      </c>
      <c r="S427">
        <v>12.63</v>
      </c>
      <c r="T427">
        <v>0</v>
      </c>
      <c r="U427">
        <v>101.8</v>
      </c>
      <c r="V427">
        <v>817</v>
      </c>
      <c r="W427">
        <v>34.159999999999997</v>
      </c>
      <c r="Y427">
        <v>13.1</v>
      </c>
    </row>
    <row r="428" spans="1:25" x14ac:dyDescent="0.25">
      <c r="A428">
        <v>2006</v>
      </c>
      <c r="B428">
        <v>139</v>
      </c>
      <c r="C428">
        <v>300</v>
      </c>
      <c r="D428" s="7">
        <v>-0.625</v>
      </c>
      <c r="E428" s="7">
        <v>-9.68</v>
      </c>
      <c r="F428" s="7">
        <v>10.44</v>
      </c>
      <c r="G428" s="7">
        <v>10.44</v>
      </c>
      <c r="H428" s="7"/>
      <c r="I428" s="7"/>
      <c r="J428" s="7"/>
      <c r="K428" s="7">
        <v>3.581</v>
      </c>
      <c r="L428" s="7">
        <v>287.60000000000002</v>
      </c>
      <c r="M428" s="7">
        <v>0.2</v>
      </c>
      <c r="N428" s="7"/>
      <c r="O428">
        <v>-11.5</v>
      </c>
      <c r="P428">
        <v>-10.84</v>
      </c>
      <c r="Q428">
        <v>12.98</v>
      </c>
      <c r="S428">
        <v>12.54</v>
      </c>
      <c r="T428">
        <v>0</v>
      </c>
      <c r="U428">
        <v>100</v>
      </c>
      <c r="V428">
        <v>817</v>
      </c>
      <c r="W428">
        <v>34.18</v>
      </c>
      <c r="Y428">
        <v>13.04</v>
      </c>
    </row>
    <row r="429" spans="1:25" x14ac:dyDescent="0.25">
      <c r="A429">
        <v>2006</v>
      </c>
      <c r="B429">
        <v>139</v>
      </c>
      <c r="C429">
        <v>400</v>
      </c>
      <c r="D429" s="7">
        <v>-0.51200000000000001</v>
      </c>
      <c r="E429" s="7">
        <v>-8.86</v>
      </c>
      <c r="F429" s="7">
        <v>10.199999999999999</v>
      </c>
      <c r="G429" s="7">
        <v>10.41</v>
      </c>
      <c r="H429" s="7"/>
      <c r="I429" s="7"/>
      <c r="J429" s="7"/>
      <c r="K429" s="7">
        <v>3.9569999999999999</v>
      </c>
      <c r="L429" s="7">
        <v>293.3</v>
      </c>
      <c r="M429" s="7">
        <v>0</v>
      </c>
      <c r="N429" s="7"/>
      <c r="O429">
        <v>-11.46</v>
      </c>
      <c r="P429">
        <v>-10.84</v>
      </c>
      <c r="Q429">
        <v>12.89</v>
      </c>
      <c r="S429">
        <v>12.44</v>
      </c>
      <c r="T429">
        <v>0</v>
      </c>
      <c r="U429">
        <v>97.5</v>
      </c>
      <c r="V429">
        <v>817</v>
      </c>
      <c r="W429">
        <v>34.130000000000003</v>
      </c>
      <c r="Y429">
        <v>12.99</v>
      </c>
    </row>
    <row r="430" spans="1:25" x14ac:dyDescent="0.25">
      <c r="A430">
        <v>2006</v>
      </c>
      <c r="B430">
        <v>139</v>
      </c>
      <c r="C430">
        <v>500</v>
      </c>
      <c r="D430" s="7">
        <v>3.0150000000000001</v>
      </c>
      <c r="E430" s="7">
        <v>-9.5500000000000007</v>
      </c>
      <c r="F430" s="7">
        <v>9.4600000000000009</v>
      </c>
      <c r="G430" s="7">
        <v>9.84</v>
      </c>
      <c r="H430" s="7"/>
      <c r="I430" s="7"/>
      <c r="J430" s="7"/>
      <c r="K430" s="7">
        <v>4.1210000000000004</v>
      </c>
      <c r="L430" s="7">
        <v>291</v>
      </c>
      <c r="M430" s="7">
        <v>0</v>
      </c>
      <c r="N430" s="7"/>
      <c r="O430">
        <v>-6.5629999999999997</v>
      </c>
      <c r="P430">
        <v>-9.8000000000000007</v>
      </c>
      <c r="Q430">
        <v>12.81</v>
      </c>
      <c r="S430">
        <v>12.35</v>
      </c>
      <c r="T430">
        <v>0</v>
      </c>
      <c r="U430">
        <v>95.3</v>
      </c>
      <c r="V430">
        <v>815</v>
      </c>
      <c r="W430">
        <v>34.07</v>
      </c>
      <c r="Y430">
        <v>12.96</v>
      </c>
    </row>
    <row r="431" spans="1:25" x14ac:dyDescent="0.25">
      <c r="A431">
        <v>2006</v>
      </c>
      <c r="B431">
        <v>139</v>
      </c>
      <c r="C431">
        <v>600</v>
      </c>
      <c r="D431" s="7">
        <v>33.57</v>
      </c>
      <c r="E431" s="7">
        <v>8.51</v>
      </c>
      <c r="F431" s="7">
        <v>9.2100000000000009</v>
      </c>
      <c r="G431" s="7">
        <v>9.5500000000000007</v>
      </c>
      <c r="H431" s="7"/>
      <c r="I431" s="7"/>
      <c r="J431" s="7"/>
      <c r="K431" s="7">
        <v>3.5990000000000002</v>
      </c>
      <c r="L431" s="7">
        <v>280.5</v>
      </c>
      <c r="M431" s="7">
        <v>0</v>
      </c>
      <c r="N431" s="7"/>
      <c r="O431">
        <v>34.72</v>
      </c>
      <c r="P431">
        <v>1.4770000000000001</v>
      </c>
      <c r="Q431">
        <v>12.71</v>
      </c>
      <c r="S431">
        <v>12.26</v>
      </c>
      <c r="T431">
        <v>0</v>
      </c>
      <c r="U431">
        <v>95.9</v>
      </c>
      <c r="V431">
        <v>814</v>
      </c>
      <c r="W431">
        <v>33.979999999999997</v>
      </c>
      <c r="Y431">
        <v>12.95</v>
      </c>
    </row>
    <row r="432" spans="1:25" x14ac:dyDescent="0.25">
      <c r="A432">
        <v>2006</v>
      </c>
      <c r="B432">
        <v>139</v>
      </c>
      <c r="C432">
        <v>700</v>
      </c>
      <c r="D432" s="7">
        <v>67.739999999999995</v>
      </c>
      <c r="E432" s="7">
        <v>32.119999999999997</v>
      </c>
      <c r="F432" s="7">
        <v>9.42</v>
      </c>
      <c r="G432" s="7">
        <v>9.64</v>
      </c>
      <c r="H432" s="7"/>
      <c r="I432" s="7"/>
      <c r="J432" s="7"/>
      <c r="K432" s="7">
        <v>3.7759999999999998</v>
      </c>
      <c r="L432" s="7">
        <v>272.8</v>
      </c>
      <c r="M432" s="7">
        <v>0</v>
      </c>
      <c r="N432" s="7"/>
      <c r="O432">
        <v>80.400000000000006</v>
      </c>
      <c r="P432">
        <v>15.42</v>
      </c>
      <c r="Q432">
        <v>12.63</v>
      </c>
      <c r="S432">
        <v>12.21</v>
      </c>
      <c r="T432">
        <v>0</v>
      </c>
      <c r="U432">
        <v>97.3</v>
      </c>
      <c r="V432">
        <v>813</v>
      </c>
      <c r="W432">
        <v>33.93</v>
      </c>
      <c r="Y432">
        <v>13.25</v>
      </c>
    </row>
    <row r="433" spans="1:25" x14ac:dyDescent="0.25">
      <c r="A433">
        <v>2006</v>
      </c>
      <c r="B433">
        <v>139</v>
      </c>
      <c r="C433">
        <v>800</v>
      </c>
      <c r="D433" s="7">
        <v>52.8</v>
      </c>
      <c r="E433" s="7">
        <v>23.11</v>
      </c>
      <c r="F433" s="7">
        <v>9.43</v>
      </c>
      <c r="G433" s="7">
        <v>9.6199999999999992</v>
      </c>
      <c r="H433" s="7"/>
      <c r="I433" s="7"/>
      <c r="J433" s="7"/>
      <c r="K433" s="7">
        <v>4.6550000000000002</v>
      </c>
      <c r="L433" s="7">
        <v>277.10000000000002</v>
      </c>
      <c r="M433" s="7">
        <v>0</v>
      </c>
      <c r="N433" s="7"/>
      <c r="O433">
        <v>62.17</v>
      </c>
      <c r="P433">
        <v>10.85</v>
      </c>
      <c r="Q433">
        <v>12.55</v>
      </c>
      <c r="S433">
        <v>12.13</v>
      </c>
      <c r="T433">
        <v>0</v>
      </c>
      <c r="U433">
        <v>97.6</v>
      </c>
      <c r="V433">
        <v>812</v>
      </c>
      <c r="W433">
        <v>33.869999999999997</v>
      </c>
      <c r="Y433">
        <v>13.38</v>
      </c>
    </row>
    <row r="434" spans="1:25" x14ac:dyDescent="0.25">
      <c r="A434">
        <v>2006</v>
      </c>
      <c r="B434">
        <v>139</v>
      </c>
      <c r="C434">
        <v>900</v>
      </c>
      <c r="D434" s="7">
        <v>111.8</v>
      </c>
      <c r="E434" s="7">
        <v>62.14</v>
      </c>
      <c r="F434" s="7">
        <v>9.9499999999999993</v>
      </c>
      <c r="G434" s="7">
        <v>10.199999999999999</v>
      </c>
      <c r="H434" s="7">
        <f>AVERAGE(G434:G457)</f>
        <v>11.255833333333335</v>
      </c>
      <c r="I434" s="7">
        <f>MIN(G434:G457)</f>
        <v>9.19</v>
      </c>
      <c r="J434" s="7">
        <f>MAX(G434:G457)</f>
        <v>14.67</v>
      </c>
      <c r="K434" s="7">
        <v>4.99</v>
      </c>
      <c r="L434" s="7">
        <v>268</v>
      </c>
      <c r="M434" s="7">
        <v>0</v>
      </c>
      <c r="N434" s="7">
        <f>SUM(M434:M457)</f>
        <v>5.4</v>
      </c>
      <c r="O434">
        <v>143.6</v>
      </c>
      <c r="P434">
        <v>35.1</v>
      </c>
      <c r="Q434">
        <v>12.5</v>
      </c>
      <c r="S434">
        <v>12.1</v>
      </c>
      <c r="T434">
        <v>0</v>
      </c>
      <c r="U434">
        <v>97</v>
      </c>
      <c r="V434">
        <v>811</v>
      </c>
      <c r="W434">
        <v>33.83</v>
      </c>
      <c r="Y434">
        <v>13.58</v>
      </c>
    </row>
    <row r="435" spans="1:25" x14ac:dyDescent="0.25">
      <c r="A435">
        <v>2006</v>
      </c>
      <c r="B435">
        <v>139</v>
      </c>
      <c r="C435">
        <v>1000</v>
      </c>
      <c r="D435" s="7">
        <v>207.5</v>
      </c>
      <c r="E435" s="7">
        <v>124.9</v>
      </c>
      <c r="F435" s="7">
        <v>10.52</v>
      </c>
      <c r="G435" s="7">
        <v>10.67</v>
      </c>
      <c r="H435" s="7"/>
      <c r="I435" s="7"/>
      <c r="J435" s="7"/>
      <c r="K435" s="7">
        <v>5.4279999999999999</v>
      </c>
      <c r="L435" s="7">
        <v>268.5</v>
      </c>
      <c r="M435" s="7">
        <v>0</v>
      </c>
      <c r="N435" s="7"/>
      <c r="O435">
        <v>267.89999999999998</v>
      </c>
      <c r="P435">
        <v>72.5</v>
      </c>
      <c r="Q435">
        <v>12.43</v>
      </c>
      <c r="S435">
        <v>12.05</v>
      </c>
      <c r="T435">
        <v>0</v>
      </c>
      <c r="U435">
        <v>98.2</v>
      </c>
      <c r="V435">
        <v>810</v>
      </c>
      <c r="W435">
        <v>33.76</v>
      </c>
      <c r="Y435">
        <v>13.79</v>
      </c>
    </row>
    <row r="436" spans="1:25" x14ac:dyDescent="0.25">
      <c r="A436">
        <v>2006</v>
      </c>
      <c r="B436">
        <v>139</v>
      </c>
      <c r="C436">
        <v>1100</v>
      </c>
      <c r="D436" s="7">
        <v>326.7</v>
      </c>
      <c r="E436" s="7">
        <v>202</v>
      </c>
      <c r="F436" s="7">
        <v>11.56</v>
      </c>
      <c r="G436" s="7">
        <v>11.68</v>
      </c>
      <c r="H436" s="7"/>
      <c r="I436" s="7"/>
      <c r="J436" s="7"/>
      <c r="K436" s="7">
        <v>5.3630000000000004</v>
      </c>
      <c r="L436" s="7">
        <v>275.7</v>
      </c>
      <c r="M436" s="7">
        <v>0</v>
      </c>
      <c r="N436" s="7"/>
      <c r="O436">
        <v>417.7</v>
      </c>
      <c r="P436">
        <v>119.5</v>
      </c>
      <c r="Q436">
        <v>12.44</v>
      </c>
      <c r="S436">
        <v>12.03</v>
      </c>
      <c r="T436">
        <v>0</v>
      </c>
      <c r="U436">
        <v>98.7</v>
      </c>
      <c r="V436">
        <v>808</v>
      </c>
      <c r="W436">
        <v>33.69</v>
      </c>
      <c r="Y436">
        <v>14.04</v>
      </c>
    </row>
    <row r="437" spans="1:25" x14ac:dyDescent="0.25">
      <c r="A437">
        <v>2006</v>
      </c>
      <c r="B437">
        <v>139</v>
      </c>
      <c r="C437">
        <v>1200</v>
      </c>
      <c r="D437" s="7">
        <v>316.39999999999998</v>
      </c>
      <c r="E437" s="7">
        <v>191.6</v>
      </c>
      <c r="F437" s="7">
        <v>12.06</v>
      </c>
      <c r="G437" s="7">
        <v>12.17</v>
      </c>
      <c r="H437" s="7"/>
      <c r="I437" s="7"/>
      <c r="J437" s="7"/>
      <c r="K437" s="7">
        <v>4.9939999999999998</v>
      </c>
      <c r="L437" s="7">
        <v>271</v>
      </c>
      <c r="M437" s="7">
        <v>0</v>
      </c>
      <c r="N437" s="7"/>
      <c r="O437">
        <v>408.7</v>
      </c>
      <c r="P437">
        <v>118.3</v>
      </c>
      <c r="Q437">
        <v>12.47</v>
      </c>
      <c r="S437">
        <v>11.98</v>
      </c>
      <c r="T437">
        <v>0</v>
      </c>
      <c r="U437">
        <v>98.8</v>
      </c>
      <c r="V437">
        <v>807</v>
      </c>
      <c r="W437">
        <v>33.630000000000003</v>
      </c>
      <c r="Y437">
        <v>14.01</v>
      </c>
    </row>
    <row r="438" spans="1:25" x14ac:dyDescent="0.25">
      <c r="A438">
        <v>2006</v>
      </c>
      <c r="B438">
        <v>139</v>
      </c>
      <c r="C438">
        <v>1300</v>
      </c>
      <c r="D438" s="7">
        <v>501.7</v>
      </c>
      <c r="E438" s="7">
        <v>310.60000000000002</v>
      </c>
      <c r="F438" s="7">
        <v>13.22</v>
      </c>
      <c r="G438" s="7">
        <v>13.28</v>
      </c>
      <c r="H438" s="7"/>
      <c r="I438" s="7"/>
      <c r="J438" s="7"/>
      <c r="K438" s="7">
        <v>4.82</v>
      </c>
      <c r="L438" s="7">
        <v>273</v>
      </c>
      <c r="M438" s="7">
        <v>0</v>
      </c>
      <c r="N438" s="7"/>
      <c r="O438">
        <v>639.6</v>
      </c>
      <c r="P438">
        <v>177.8</v>
      </c>
      <c r="Q438">
        <v>12.59</v>
      </c>
      <c r="S438">
        <v>12.04</v>
      </c>
      <c r="T438">
        <v>0</v>
      </c>
      <c r="U438">
        <v>99.4</v>
      </c>
      <c r="V438">
        <v>805</v>
      </c>
      <c r="W438">
        <v>33.520000000000003</v>
      </c>
      <c r="Y438">
        <v>14.24</v>
      </c>
    </row>
    <row r="439" spans="1:25" x14ac:dyDescent="0.25">
      <c r="A439">
        <v>2006</v>
      </c>
      <c r="B439">
        <v>139</v>
      </c>
      <c r="C439">
        <v>1400</v>
      </c>
      <c r="D439" s="7">
        <v>375.2</v>
      </c>
      <c r="E439" s="7">
        <v>218.9</v>
      </c>
      <c r="F439" s="7">
        <v>13.63</v>
      </c>
      <c r="G439" s="7">
        <v>13.63</v>
      </c>
      <c r="H439" s="7"/>
      <c r="I439" s="7"/>
      <c r="J439" s="7"/>
      <c r="K439" s="7">
        <v>3.8410000000000002</v>
      </c>
      <c r="L439" s="7">
        <v>276.39999999999998</v>
      </c>
      <c r="M439" s="7">
        <v>0</v>
      </c>
      <c r="N439" s="7"/>
      <c r="O439">
        <v>473.1</v>
      </c>
      <c r="P439">
        <v>135.80000000000001</v>
      </c>
      <c r="Q439">
        <v>12.73</v>
      </c>
      <c r="S439">
        <v>12.08</v>
      </c>
      <c r="T439">
        <v>0</v>
      </c>
      <c r="U439">
        <v>100</v>
      </c>
      <c r="V439">
        <v>803</v>
      </c>
      <c r="W439">
        <v>33.42</v>
      </c>
      <c r="Y439">
        <v>14.12</v>
      </c>
    </row>
    <row r="440" spans="1:25" x14ac:dyDescent="0.25">
      <c r="A440">
        <v>2006</v>
      </c>
      <c r="B440">
        <v>139</v>
      </c>
      <c r="C440">
        <v>1500</v>
      </c>
      <c r="D440" s="7">
        <v>418.1</v>
      </c>
      <c r="E440" s="7">
        <v>246.4</v>
      </c>
      <c r="F440" s="7">
        <v>14.07</v>
      </c>
      <c r="G440" s="7">
        <v>14.08</v>
      </c>
      <c r="H440" s="7"/>
      <c r="I440" s="7"/>
      <c r="J440" s="7"/>
      <c r="K440" s="7">
        <v>3.5680000000000001</v>
      </c>
      <c r="L440" s="7">
        <v>275.10000000000002</v>
      </c>
      <c r="M440" s="7">
        <v>0</v>
      </c>
      <c r="N440" s="7"/>
      <c r="O440">
        <v>531</v>
      </c>
      <c r="P440">
        <v>150.4</v>
      </c>
      <c r="Q440">
        <v>12.92</v>
      </c>
      <c r="S440">
        <v>12.17</v>
      </c>
      <c r="T440">
        <v>0</v>
      </c>
      <c r="U440">
        <v>99.9</v>
      </c>
      <c r="V440">
        <v>801</v>
      </c>
      <c r="W440">
        <v>33.32</v>
      </c>
      <c r="Y440">
        <v>14.1</v>
      </c>
    </row>
    <row r="441" spans="1:25" x14ac:dyDescent="0.25">
      <c r="A441">
        <v>2006</v>
      </c>
      <c r="B441">
        <v>139</v>
      </c>
      <c r="C441">
        <v>1600</v>
      </c>
      <c r="D441" s="7">
        <v>528.29999999999995</v>
      </c>
      <c r="E441" s="7">
        <v>312.5</v>
      </c>
      <c r="F441" s="7">
        <v>14.71</v>
      </c>
      <c r="G441" s="7">
        <v>14.67</v>
      </c>
      <c r="H441" s="7"/>
      <c r="I441" s="7"/>
      <c r="J441" s="7"/>
      <c r="K441" s="7">
        <v>3.24</v>
      </c>
      <c r="L441" s="7">
        <v>292.2</v>
      </c>
      <c r="M441" s="7">
        <v>0</v>
      </c>
      <c r="N441" s="7"/>
      <c r="O441">
        <v>647.5</v>
      </c>
      <c r="P441">
        <v>211</v>
      </c>
      <c r="Q441">
        <v>13.1</v>
      </c>
      <c r="S441">
        <v>12.29</v>
      </c>
      <c r="T441">
        <v>0</v>
      </c>
      <c r="U441">
        <v>100.4</v>
      </c>
      <c r="V441">
        <v>799</v>
      </c>
      <c r="W441">
        <v>33.21</v>
      </c>
      <c r="Y441">
        <v>14.28</v>
      </c>
    </row>
    <row r="442" spans="1:25" x14ac:dyDescent="0.25">
      <c r="A442">
        <v>2006</v>
      </c>
      <c r="B442">
        <v>139</v>
      </c>
      <c r="C442">
        <v>1700</v>
      </c>
      <c r="D442" s="7">
        <v>243.6</v>
      </c>
      <c r="E442" s="7">
        <v>129</v>
      </c>
      <c r="F442" s="7">
        <v>14.66</v>
      </c>
      <c r="G442" s="7">
        <v>14.51</v>
      </c>
      <c r="H442" s="7"/>
      <c r="I442" s="7"/>
      <c r="J442" s="7"/>
      <c r="K442" s="7">
        <v>1.895</v>
      </c>
      <c r="L442" s="7">
        <v>312.89999999999998</v>
      </c>
      <c r="M442" s="7">
        <v>0</v>
      </c>
      <c r="N442" s="7"/>
      <c r="O442">
        <v>294.10000000000002</v>
      </c>
      <c r="P442">
        <v>97.6</v>
      </c>
      <c r="Q442">
        <v>13.29</v>
      </c>
      <c r="S442">
        <v>12.42</v>
      </c>
      <c r="T442">
        <v>0</v>
      </c>
      <c r="U442">
        <v>101.6</v>
      </c>
      <c r="V442">
        <v>798</v>
      </c>
      <c r="W442">
        <v>33.130000000000003</v>
      </c>
      <c r="Y442">
        <v>13.97</v>
      </c>
    </row>
    <row r="443" spans="1:25" x14ac:dyDescent="0.25">
      <c r="A443">
        <v>2006</v>
      </c>
      <c r="B443">
        <v>139</v>
      </c>
      <c r="C443">
        <v>1800</v>
      </c>
      <c r="D443" s="7">
        <v>57.03</v>
      </c>
      <c r="E443" s="7">
        <v>8.98</v>
      </c>
      <c r="F443" s="7">
        <v>13.2</v>
      </c>
      <c r="G443" s="7">
        <v>13.09</v>
      </c>
      <c r="H443" s="7"/>
      <c r="I443" s="7"/>
      <c r="J443" s="7"/>
      <c r="K443" s="7">
        <v>1.355</v>
      </c>
      <c r="L443" s="7">
        <v>209.9</v>
      </c>
      <c r="M443" s="7">
        <v>0</v>
      </c>
      <c r="N443" s="7"/>
      <c r="O443">
        <v>70.5</v>
      </c>
      <c r="P443">
        <v>14.02</v>
      </c>
      <c r="Q443">
        <v>13.41</v>
      </c>
      <c r="S443">
        <v>12.49</v>
      </c>
      <c r="T443">
        <v>0</v>
      </c>
      <c r="U443">
        <v>101.3</v>
      </c>
      <c r="V443">
        <v>796</v>
      </c>
      <c r="W443">
        <v>33.04</v>
      </c>
      <c r="Y443">
        <v>13.62</v>
      </c>
    </row>
    <row r="444" spans="1:25" x14ac:dyDescent="0.25">
      <c r="A444">
        <v>2006</v>
      </c>
      <c r="B444">
        <v>139</v>
      </c>
      <c r="C444">
        <v>1900</v>
      </c>
      <c r="D444" s="7">
        <v>59.02</v>
      </c>
      <c r="E444" s="7">
        <v>10.47</v>
      </c>
      <c r="F444" s="7">
        <v>13</v>
      </c>
      <c r="G444" s="7">
        <v>12.94</v>
      </c>
      <c r="H444" s="7"/>
      <c r="I444" s="7"/>
      <c r="J444" s="7"/>
      <c r="K444" s="7">
        <v>0.83199999999999996</v>
      </c>
      <c r="L444" s="7">
        <v>128.30000000000001</v>
      </c>
      <c r="M444" s="7">
        <v>0</v>
      </c>
      <c r="N444" s="7"/>
      <c r="O444">
        <v>72.3</v>
      </c>
      <c r="P444">
        <v>14.15</v>
      </c>
      <c r="Q444">
        <v>13.51</v>
      </c>
      <c r="S444">
        <v>12.63</v>
      </c>
      <c r="T444">
        <v>0</v>
      </c>
      <c r="U444">
        <v>100.7</v>
      </c>
      <c r="V444">
        <v>795</v>
      </c>
      <c r="W444">
        <v>33.01</v>
      </c>
      <c r="Y444">
        <v>13.56</v>
      </c>
    </row>
    <row r="445" spans="1:25" x14ac:dyDescent="0.25">
      <c r="A445">
        <v>2006</v>
      </c>
      <c r="B445">
        <v>139</v>
      </c>
      <c r="C445">
        <v>2000</v>
      </c>
      <c r="D445" s="7">
        <v>8.6300000000000008</v>
      </c>
      <c r="E445" s="7">
        <v>-14.86</v>
      </c>
      <c r="F445" s="7">
        <v>12.51</v>
      </c>
      <c r="G445" s="7">
        <v>12.24</v>
      </c>
      <c r="H445" s="7"/>
      <c r="I445" s="7"/>
      <c r="J445" s="7"/>
      <c r="K445" s="7">
        <v>0.78100000000000003</v>
      </c>
      <c r="L445" s="7">
        <v>143.6</v>
      </c>
      <c r="M445" s="7">
        <v>1.6</v>
      </c>
      <c r="N445" s="7"/>
      <c r="O445">
        <v>3.617</v>
      </c>
      <c r="P445">
        <v>-6.8920000000000003</v>
      </c>
      <c r="Q445">
        <v>13.52</v>
      </c>
      <c r="S445">
        <v>12.73</v>
      </c>
      <c r="T445">
        <v>0</v>
      </c>
      <c r="U445">
        <v>103.1</v>
      </c>
      <c r="V445">
        <v>795</v>
      </c>
      <c r="W445">
        <v>33.01</v>
      </c>
      <c r="Y445">
        <v>13.46</v>
      </c>
    </row>
    <row r="446" spans="1:25" x14ac:dyDescent="0.25">
      <c r="A446">
        <v>2006</v>
      </c>
      <c r="B446">
        <v>139</v>
      </c>
      <c r="C446">
        <v>2100</v>
      </c>
      <c r="D446" s="7">
        <v>0.68500000000000005</v>
      </c>
      <c r="E446" s="7">
        <v>-19.329999999999998</v>
      </c>
      <c r="F446" s="7">
        <v>11.16</v>
      </c>
      <c r="G446" s="7">
        <v>10.86</v>
      </c>
      <c r="H446" s="7"/>
      <c r="I446" s="7"/>
      <c r="J446" s="7"/>
      <c r="K446" s="7">
        <v>0.97799999999999998</v>
      </c>
      <c r="L446" s="7">
        <v>145.69999999999999</v>
      </c>
      <c r="M446" s="7">
        <v>0.6</v>
      </c>
      <c r="N446" s="7"/>
      <c r="O446">
        <v>-9.16</v>
      </c>
      <c r="P446">
        <v>-10.52</v>
      </c>
      <c r="Q446">
        <v>13.49</v>
      </c>
      <c r="S446">
        <v>12.76</v>
      </c>
      <c r="T446">
        <v>0</v>
      </c>
      <c r="U446">
        <v>103.6</v>
      </c>
      <c r="V446">
        <v>803</v>
      </c>
      <c r="W446">
        <v>33.380000000000003</v>
      </c>
      <c r="Y446">
        <v>13.36</v>
      </c>
    </row>
    <row r="447" spans="1:25" x14ac:dyDescent="0.25">
      <c r="A447">
        <v>2006</v>
      </c>
      <c r="B447">
        <v>139</v>
      </c>
      <c r="C447">
        <v>2200</v>
      </c>
      <c r="D447" s="7">
        <v>-0.96799999999999997</v>
      </c>
      <c r="E447" s="7">
        <v>-16.760000000000002</v>
      </c>
      <c r="F447" s="7">
        <v>10.64</v>
      </c>
      <c r="G447" s="7">
        <v>10.35</v>
      </c>
      <c r="H447" s="7"/>
      <c r="I447" s="7"/>
      <c r="J447" s="7"/>
      <c r="K447" s="7">
        <v>1.2110000000000001</v>
      </c>
      <c r="L447" s="7">
        <v>96</v>
      </c>
      <c r="M447" s="7">
        <v>0.2</v>
      </c>
      <c r="N447" s="7"/>
      <c r="O447">
        <v>-11.51</v>
      </c>
      <c r="P447">
        <v>-10.91</v>
      </c>
      <c r="Q447">
        <v>13.43</v>
      </c>
      <c r="S447">
        <v>12.78</v>
      </c>
      <c r="T447">
        <v>0</v>
      </c>
      <c r="U447">
        <v>103.5</v>
      </c>
      <c r="V447">
        <v>810</v>
      </c>
      <c r="W447">
        <v>33.770000000000003</v>
      </c>
      <c r="Y447">
        <v>13.29</v>
      </c>
    </row>
    <row r="448" spans="1:25" x14ac:dyDescent="0.25">
      <c r="A448">
        <v>2006</v>
      </c>
      <c r="B448">
        <v>139</v>
      </c>
      <c r="C448">
        <v>2300</v>
      </c>
      <c r="D448" s="7">
        <v>-0.57299999999999995</v>
      </c>
      <c r="E448" s="7">
        <v>-10.94</v>
      </c>
      <c r="F448" s="7">
        <v>10.17</v>
      </c>
      <c r="G448" s="7">
        <v>9.92</v>
      </c>
      <c r="H448" s="7"/>
      <c r="I448" s="7"/>
      <c r="J448" s="7"/>
      <c r="K448" s="7">
        <v>1.633</v>
      </c>
      <c r="L448" s="7">
        <v>96.4</v>
      </c>
      <c r="M448" s="7">
        <v>0</v>
      </c>
      <c r="N448" s="7"/>
      <c r="O448">
        <v>-11.51</v>
      </c>
      <c r="P448">
        <v>-10.85</v>
      </c>
      <c r="Q448">
        <v>13.34</v>
      </c>
      <c r="S448">
        <v>12.77</v>
      </c>
      <c r="T448">
        <v>0</v>
      </c>
      <c r="U448">
        <v>103.1</v>
      </c>
      <c r="V448">
        <v>812</v>
      </c>
      <c r="W448">
        <v>33.909999999999997</v>
      </c>
      <c r="Y448">
        <v>13.22</v>
      </c>
    </row>
    <row r="449" spans="1:25" x14ac:dyDescent="0.25">
      <c r="A449">
        <v>2006</v>
      </c>
      <c r="B449">
        <v>139</v>
      </c>
      <c r="C449">
        <v>2400</v>
      </c>
      <c r="D449" s="7">
        <v>-0.57599999999999996</v>
      </c>
      <c r="E449" s="7">
        <v>-11.88</v>
      </c>
      <c r="F449" s="7">
        <v>9.8699999999999992</v>
      </c>
      <c r="G449" s="7">
        <v>9.7200000000000006</v>
      </c>
      <c r="H449" s="7"/>
      <c r="I449" s="7"/>
      <c r="J449" s="7"/>
      <c r="K449" s="7">
        <v>1.597</v>
      </c>
      <c r="L449" s="7">
        <v>90.3</v>
      </c>
      <c r="M449" s="7">
        <v>0</v>
      </c>
      <c r="N449" s="7"/>
      <c r="O449">
        <v>-11.5</v>
      </c>
      <c r="P449">
        <v>-10.84</v>
      </c>
      <c r="Q449">
        <v>13.26</v>
      </c>
      <c r="S449">
        <v>12.74</v>
      </c>
      <c r="T449">
        <v>0</v>
      </c>
      <c r="U449">
        <v>101.8</v>
      </c>
      <c r="V449">
        <v>814</v>
      </c>
      <c r="W449">
        <v>33.97</v>
      </c>
      <c r="Y449">
        <v>13.15</v>
      </c>
    </row>
    <row r="450" spans="1:25" x14ac:dyDescent="0.25">
      <c r="A450">
        <v>2006</v>
      </c>
      <c r="B450">
        <v>140</v>
      </c>
      <c r="C450">
        <v>100</v>
      </c>
      <c r="D450" s="7">
        <v>-0.56999999999999995</v>
      </c>
      <c r="E450" s="7">
        <v>-8.52</v>
      </c>
      <c r="F450" s="7">
        <v>9.7799999999999994</v>
      </c>
      <c r="G450" s="7">
        <v>9.69</v>
      </c>
      <c r="H450" s="7"/>
      <c r="I450" s="7"/>
      <c r="J450" s="7"/>
      <c r="K450" s="7">
        <v>1.579</v>
      </c>
      <c r="L450" s="7">
        <v>88.8</v>
      </c>
      <c r="M450" s="7">
        <v>0</v>
      </c>
      <c r="N450" s="7"/>
      <c r="O450">
        <v>-11.5</v>
      </c>
      <c r="P450">
        <v>-10.84</v>
      </c>
      <c r="Q450">
        <v>13.17</v>
      </c>
      <c r="S450">
        <v>12.71</v>
      </c>
      <c r="T450">
        <v>0</v>
      </c>
      <c r="U450">
        <v>101.1</v>
      </c>
      <c r="V450">
        <v>813</v>
      </c>
      <c r="W450">
        <v>33.94</v>
      </c>
      <c r="Y450">
        <v>13.09</v>
      </c>
    </row>
    <row r="451" spans="1:25" x14ac:dyDescent="0.25">
      <c r="A451">
        <v>2006</v>
      </c>
      <c r="B451">
        <v>140</v>
      </c>
      <c r="C451">
        <v>200</v>
      </c>
      <c r="D451" s="7">
        <v>-0.41199999999999998</v>
      </c>
      <c r="E451" s="7">
        <v>-6.8689999999999998</v>
      </c>
      <c r="F451" s="7">
        <v>9.7799999999999994</v>
      </c>
      <c r="G451" s="7">
        <v>9.68</v>
      </c>
      <c r="H451" s="7"/>
      <c r="I451" s="7"/>
      <c r="J451" s="7"/>
      <c r="K451" s="7">
        <v>1.468</v>
      </c>
      <c r="L451" s="7">
        <v>81.099999999999994</v>
      </c>
      <c r="M451" s="7">
        <v>0.8</v>
      </c>
      <c r="N451" s="7"/>
      <c r="O451">
        <v>-11.5</v>
      </c>
      <c r="P451">
        <v>-10.84</v>
      </c>
      <c r="Q451">
        <v>13.07</v>
      </c>
      <c r="S451">
        <v>12.65</v>
      </c>
      <c r="T451">
        <v>0</v>
      </c>
      <c r="U451">
        <v>101.3</v>
      </c>
      <c r="V451">
        <v>814</v>
      </c>
      <c r="W451">
        <v>33.99</v>
      </c>
      <c r="Y451">
        <v>13.03</v>
      </c>
    </row>
    <row r="452" spans="1:25" x14ac:dyDescent="0.25">
      <c r="A452">
        <v>2006</v>
      </c>
      <c r="B452">
        <v>140</v>
      </c>
      <c r="C452">
        <v>300</v>
      </c>
      <c r="D452" s="7">
        <v>-0.42799999999999999</v>
      </c>
      <c r="E452" s="7">
        <v>-7.69</v>
      </c>
      <c r="F452" s="7">
        <v>9.41</v>
      </c>
      <c r="G452" s="7">
        <v>9.35</v>
      </c>
      <c r="H452" s="7"/>
      <c r="I452" s="7"/>
      <c r="J452" s="7"/>
      <c r="K452" s="7">
        <v>1.417</v>
      </c>
      <c r="L452" s="7">
        <v>76.3</v>
      </c>
      <c r="M452" s="7">
        <v>0.4</v>
      </c>
      <c r="N452" s="7"/>
      <c r="O452">
        <v>-11.5</v>
      </c>
      <c r="P452">
        <v>-10.84</v>
      </c>
      <c r="Q452">
        <v>12.96</v>
      </c>
      <c r="S452">
        <v>12.57</v>
      </c>
      <c r="T452">
        <v>0</v>
      </c>
      <c r="U452">
        <v>100.7</v>
      </c>
      <c r="V452">
        <v>820</v>
      </c>
      <c r="W452">
        <v>34.31</v>
      </c>
      <c r="Y452">
        <v>12.98</v>
      </c>
    </row>
    <row r="453" spans="1:25" x14ac:dyDescent="0.25">
      <c r="A453">
        <v>2006</v>
      </c>
      <c r="B453">
        <v>140</v>
      </c>
      <c r="C453">
        <v>400</v>
      </c>
      <c r="D453" s="7">
        <v>-0.307</v>
      </c>
      <c r="E453" s="7">
        <v>-6.7720000000000002</v>
      </c>
      <c r="F453" s="7">
        <v>9.2100000000000009</v>
      </c>
      <c r="G453" s="7">
        <v>9.19</v>
      </c>
      <c r="H453" s="7"/>
      <c r="I453" s="7"/>
      <c r="J453" s="7"/>
      <c r="K453" s="7">
        <v>1.4570000000000001</v>
      </c>
      <c r="L453" s="7">
        <v>54.25</v>
      </c>
      <c r="M453" s="7">
        <v>0.4</v>
      </c>
      <c r="N453" s="7"/>
      <c r="O453">
        <v>-11.5</v>
      </c>
      <c r="P453">
        <v>-10.84</v>
      </c>
      <c r="Q453">
        <v>12.85</v>
      </c>
      <c r="S453">
        <v>12.48</v>
      </c>
      <c r="T453">
        <v>0</v>
      </c>
      <c r="U453">
        <v>100.2</v>
      </c>
      <c r="V453">
        <v>821</v>
      </c>
      <c r="W453">
        <v>34.369999999999997</v>
      </c>
      <c r="Y453">
        <v>12.95</v>
      </c>
    </row>
    <row r="454" spans="1:25" x14ac:dyDescent="0.25">
      <c r="A454">
        <v>2006</v>
      </c>
      <c r="B454">
        <v>140</v>
      </c>
      <c r="C454">
        <v>500</v>
      </c>
      <c r="D454" s="7">
        <v>2.242</v>
      </c>
      <c r="E454" s="7">
        <v>-5.3140000000000001</v>
      </c>
      <c r="F454" s="7">
        <v>9.2100000000000009</v>
      </c>
      <c r="G454" s="7">
        <v>9.2200000000000006</v>
      </c>
      <c r="H454" s="7"/>
      <c r="I454" s="7"/>
      <c r="J454" s="7"/>
      <c r="K454" s="7">
        <v>1.3120000000000001</v>
      </c>
      <c r="L454" s="7">
        <v>34.01</v>
      </c>
      <c r="M454" s="7">
        <v>0.2</v>
      </c>
      <c r="N454" s="7"/>
      <c r="O454">
        <v>-7.38</v>
      </c>
      <c r="P454">
        <v>-9.91</v>
      </c>
      <c r="Q454">
        <v>12.75</v>
      </c>
      <c r="S454">
        <v>12.4</v>
      </c>
      <c r="T454">
        <v>0</v>
      </c>
      <c r="U454">
        <v>99.9</v>
      </c>
      <c r="V454">
        <v>825</v>
      </c>
      <c r="W454">
        <v>34.590000000000003</v>
      </c>
      <c r="Y454">
        <v>12.92</v>
      </c>
    </row>
    <row r="455" spans="1:25" x14ac:dyDescent="0.25">
      <c r="A455">
        <v>2006</v>
      </c>
      <c r="B455">
        <v>140</v>
      </c>
      <c r="C455">
        <v>600</v>
      </c>
      <c r="D455" s="7">
        <v>15.35</v>
      </c>
      <c r="E455" s="7">
        <v>2.41</v>
      </c>
      <c r="F455" s="7">
        <v>9.35</v>
      </c>
      <c r="G455" s="7">
        <v>9.4</v>
      </c>
      <c r="H455" s="7"/>
      <c r="I455" s="7"/>
      <c r="J455" s="7"/>
      <c r="K455" s="7">
        <v>1.056</v>
      </c>
      <c r="L455" s="7">
        <v>337.4</v>
      </c>
      <c r="M455" s="7">
        <v>0.4</v>
      </c>
      <c r="N455" s="7"/>
      <c r="O455">
        <v>12.31</v>
      </c>
      <c r="P455">
        <v>-4.7750000000000004</v>
      </c>
      <c r="Q455">
        <v>12.65</v>
      </c>
      <c r="S455">
        <v>12.33</v>
      </c>
      <c r="T455">
        <v>0</v>
      </c>
      <c r="U455">
        <v>99.3</v>
      </c>
      <c r="V455">
        <v>829</v>
      </c>
      <c r="W455">
        <v>34.83</v>
      </c>
      <c r="Y455">
        <v>12.91</v>
      </c>
    </row>
    <row r="456" spans="1:25" x14ac:dyDescent="0.25">
      <c r="A456">
        <v>2006</v>
      </c>
      <c r="B456">
        <v>140</v>
      </c>
      <c r="C456">
        <v>700</v>
      </c>
      <c r="D456" s="7">
        <v>26.03</v>
      </c>
      <c r="E456" s="7">
        <v>8.9</v>
      </c>
      <c r="F456" s="7">
        <v>9.34</v>
      </c>
      <c r="G456" s="7">
        <v>9.41</v>
      </c>
      <c r="H456" s="7"/>
      <c r="I456" s="7"/>
      <c r="J456" s="7"/>
      <c r="K456" s="7">
        <v>0.98599999999999999</v>
      </c>
      <c r="L456" s="7">
        <v>347.5</v>
      </c>
      <c r="M456" s="7">
        <v>0.8</v>
      </c>
      <c r="N456" s="7"/>
      <c r="O456">
        <v>25.05</v>
      </c>
      <c r="P456">
        <v>-1.5</v>
      </c>
      <c r="Q456">
        <v>12.57</v>
      </c>
      <c r="S456">
        <v>12.25</v>
      </c>
      <c r="T456">
        <v>0</v>
      </c>
      <c r="U456">
        <v>99</v>
      </c>
      <c r="V456">
        <v>838</v>
      </c>
      <c r="W456">
        <v>35.36</v>
      </c>
      <c r="Y456">
        <v>12.91</v>
      </c>
    </row>
    <row r="457" spans="1:25" x14ac:dyDescent="0.25">
      <c r="A457">
        <v>2006</v>
      </c>
      <c r="B457">
        <v>140</v>
      </c>
      <c r="C457">
        <v>800</v>
      </c>
      <c r="D457" s="7">
        <v>207.8</v>
      </c>
      <c r="E457" s="7">
        <v>132.69999999999999</v>
      </c>
      <c r="F457" s="7">
        <v>9.8000000000000007</v>
      </c>
      <c r="G457" s="7">
        <v>10.19</v>
      </c>
      <c r="H457" s="7"/>
      <c r="I457" s="7"/>
      <c r="J457" s="7"/>
      <c r="K457" s="7">
        <v>1.923</v>
      </c>
      <c r="L457" s="7">
        <v>352.9</v>
      </c>
      <c r="M457" s="7">
        <v>0</v>
      </c>
      <c r="N457" s="7"/>
      <c r="O457">
        <v>271.8</v>
      </c>
      <c r="P457">
        <v>66.400000000000006</v>
      </c>
      <c r="Q457">
        <v>12.55</v>
      </c>
      <c r="S457">
        <v>12.23</v>
      </c>
      <c r="T457">
        <v>0</v>
      </c>
      <c r="U457">
        <v>95.3</v>
      </c>
      <c r="V457">
        <v>847</v>
      </c>
      <c r="W457">
        <v>35.92</v>
      </c>
      <c r="Y457">
        <v>13.55</v>
      </c>
    </row>
    <row r="458" spans="1:25" x14ac:dyDescent="0.25">
      <c r="A458">
        <v>2006</v>
      </c>
      <c r="B458">
        <v>140</v>
      </c>
      <c r="C458">
        <v>900</v>
      </c>
      <c r="D458" s="7">
        <v>393.9</v>
      </c>
      <c r="E458" s="7">
        <v>250.7</v>
      </c>
      <c r="F458" s="7">
        <v>10.6</v>
      </c>
      <c r="G458" s="7">
        <v>11.3</v>
      </c>
      <c r="H458" s="7">
        <f>AVERAGE(G458:G481)</f>
        <v>7.0180833333333341</v>
      </c>
      <c r="I458" s="7">
        <f>MIN(G458:G481)</f>
        <v>0.33100000000000002</v>
      </c>
      <c r="J458" s="7">
        <f>MAX(G458:G481)</f>
        <v>11.4</v>
      </c>
      <c r="K458" s="7">
        <v>2.8730000000000002</v>
      </c>
      <c r="L458" s="7">
        <v>0</v>
      </c>
      <c r="M458" s="7">
        <v>0</v>
      </c>
      <c r="N458" s="7">
        <f>SUM(M458:M481)</f>
        <v>0</v>
      </c>
      <c r="O458">
        <v>506.3</v>
      </c>
      <c r="P458">
        <v>151.9</v>
      </c>
      <c r="Q458">
        <v>12.57</v>
      </c>
      <c r="S458">
        <v>12.24</v>
      </c>
      <c r="T458">
        <v>0</v>
      </c>
      <c r="U458">
        <v>91.9</v>
      </c>
      <c r="V458">
        <v>843</v>
      </c>
      <c r="W458">
        <v>35.64</v>
      </c>
      <c r="Y458">
        <v>14.29</v>
      </c>
    </row>
    <row r="459" spans="1:25" x14ac:dyDescent="0.25">
      <c r="A459">
        <v>2006</v>
      </c>
      <c r="B459">
        <v>140</v>
      </c>
      <c r="C459">
        <v>1000</v>
      </c>
      <c r="D459" s="7">
        <v>240</v>
      </c>
      <c r="E459" s="7">
        <v>137.1</v>
      </c>
      <c r="F459" s="7">
        <v>10.84</v>
      </c>
      <c r="G459" s="7">
        <v>11.4</v>
      </c>
      <c r="H459" s="7"/>
      <c r="I459" s="7"/>
      <c r="J459" s="7"/>
      <c r="K459" s="7">
        <v>2.7850000000000001</v>
      </c>
      <c r="L459" s="7">
        <v>0</v>
      </c>
      <c r="M459" s="7">
        <v>0</v>
      </c>
      <c r="N459" s="7"/>
      <c r="O459">
        <v>303.39999999999998</v>
      </c>
      <c r="P459">
        <v>90.3</v>
      </c>
      <c r="Q459">
        <v>12.61</v>
      </c>
      <c r="S459">
        <v>12.17</v>
      </c>
      <c r="T459">
        <v>0</v>
      </c>
      <c r="U459">
        <v>93.6</v>
      </c>
      <c r="V459">
        <v>836</v>
      </c>
      <c r="W459">
        <v>35.25</v>
      </c>
      <c r="Y459">
        <v>14.01</v>
      </c>
    </row>
    <row r="460" spans="1:25" x14ac:dyDescent="0.25">
      <c r="A460">
        <v>2006</v>
      </c>
      <c r="B460">
        <v>140</v>
      </c>
      <c r="C460">
        <v>1100</v>
      </c>
      <c r="D460" s="7">
        <v>184.9</v>
      </c>
      <c r="E460" s="7">
        <v>100.6</v>
      </c>
      <c r="F460" s="7">
        <v>10.18</v>
      </c>
      <c r="G460" s="7">
        <v>10.55</v>
      </c>
      <c r="H460" s="7"/>
      <c r="I460" s="7"/>
      <c r="J460" s="7"/>
      <c r="K460" s="7">
        <v>3.1789999999999998</v>
      </c>
      <c r="L460" s="7">
        <v>0</v>
      </c>
      <c r="M460" s="7">
        <v>0</v>
      </c>
      <c r="N460" s="7"/>
      <c r="O460">
        <v>240.3</v>
      </c>
      <c r="P460">
        <v>68.11</v>
      </c>
      <c r="Q460">
        <v>12.68</v>
      </c>
      <c r="S460">
        <v>12.11</v>
      </c>
      <c r="T460">
        <v>0</v>
      </c>
      <c r="U460">
        <v>95.7</v>
      </c>
      <c r="V460">
        <v>830</v>
      </c>
      <c r="W460">
        <v>34.880000000000003</v>
      </c>
      <c r="Y460">
        <v>13.84</v>
      </c>
    </row>
    <row r="461" spans="1:25" x14ac:dyDescent="0.25">
      <c r="A461">
        <v>2006</v>
      </c>
      <c r="B461">
        <v>140</v>
      </c>
      <c r="C461">
        <v>1200</v>
      </c>
      <c r="D461" s="7">
        <v>187.6</v>
      </c>
      <c r="E461" s="7">
        <v>100.6</v>
      </c>
      <c r="F461" s="7">
        <v>10</v>
      </c>
      <c r="G461" s="7">
        <v>10.26</v>
      </c>
      <c r="H461" s="7"/>
      <c r="I461" s="7"/>
      <c r="J461" s="7"/>
      <c r="K461" s="7">
        <v>3.1789999999999998</v>
      </c>
      <c r="L461" s="7">
        <v>0</v>
      </c>
      <c r="M461" s="7">
        <v>0</v>
      </c>
      <c r="N461" s="7"/>
      <c r="O461">
        <v>247.1</v>
      </c>
      <c r="P461">
        <v>70.099999999999994</v>
      </c>
      <c r="Q461">
        <v>12.76</v>
      </c>
      <c r="S461">
        <v>12.18</v>
      </c>
      <c r="T461">
        <v>0</v>
      </c>
      <c r="U461">
        <v>96.9</v>
      </c>
      <c r="V461">
        <v>825</v>
      </c>
      <c r="W461">
        <v>34.61</v>
      </c>
      <c r="Y461">
        <v>13.84</v>
      </c>
    </row>
    <row r="462" spans="1:25" x14ac:dyDescent="0.25">
      <c r="A462">
        <v>2006</v>
      </c>
      <c r="B462">
        <v>140</v>
      </c>
      <c r="C462">
        <v>1300</v>
      </c>
      <c r="D462" s="7">
        <v>264.5</v>
      </c>
      <c r="E462" s="7">
        <v>150</v>
      </c>
      <c r="F462" s="7">
        <v>9.68</v>
      </c>
      <c r="G462" s="7">
        <v>9.93</v>
      </c>
      <c r="H462" s="7"/>
      <c r="I462" s="7"/>
      <c r="J462" s="7"/>
      <c r="K462" s="7">
        <v>3.7610000000000001</v>
      </c>
      <c r="L462" s="7">
        <v>0</v>
      </c>
      <c r="M462" s="7">
        <v>0</v>
      </c>
      <c r="N462" s="7"/>
      <c r="O462">
        <v>343.6</v>
      </c>
      <c r="P462">
        <v>99.9</v>
      </c>
      <c r="Q462">
        <v>12.83</v>
      </c>
      <c r="S462">
        <v>12.25</v>
      </c>
      <c r="T462">
        <v>0</v>
      </c>
      <c r="U462">
        <v>97.1</v>
      </c>
      <c r="V462">
        <v>821</v>
      </c>
      <c r="W462">
        <v>34.380000000000003</v>
      </c>
      <c r="Y462">
        <v>13.89</v>
      </c>
    </row>
    <row r="463" spans="1:25" x14ac:dyDescent="0.25">
      <c r="A463">
        <v>2006</v>
      </c>
      <c r="B463">
        <v>140</v>
      </c>
      <c r="C463">
        <v>1400</v>
      </c>
      <c r="D463" s="7">
        <v>316.7</v>
      </c>
      <c r="E463" s="7">
        <v>185.8</v>
      </c>
      <c r="F463" s="7">
        <v>9.9499999999999993</v>
      </c>
      <c r="G463" s="7">
        <v>10.16</v>
      </c>
      <c r="H463" s="7"/>
      <c r="I463" s="7"/>
      <c r="J463" s="7"/>
      <c r="K463" s="7">
        <v>3.8439999999999999</v>
      </c>
      <c r="L463" s="7">
        <v>0</v>
      </c>
      <c r="M463" s="7">
        <v>0</v>
      </c>
      <c r="N463" s="7"/>
      <c r="O463">
        <v>409</v>
      </c>
      <c r="P463">
        <v>115.6</v>
      </c>
      <c r="Q463">
        <v>12.85</v>
      </c>
      <c r="S463">
        <v>12.33</v>
      </c>
      <c r="T463">
        <v>0</v>
      </c>
      <c r="U463">
        <v>97.4</v>
      </c>
      <c r="V463">
        <v>817</v>
      </c>
      <c r="W463">
        <v>34.19</v>
      </c>
      <c r="Y463">
        <v>14.03</v>
      </c>
    </row>
    <row r="464" spans="1:25" x14ac:dyDescent="0.25">
      <c r="A464">
        <v>2006</v>
      </c>
      <c r="B464">
        <v>140</v>
      </c>
      <c r="C464">
        <v>1500</v>
      </c>
      <c r="D464" s="7">
        <v>571</v>
      </c>
      <c r="E464" s="7">
        <v>347.7</v>
      </c>
      <c r="F464" s="7">
        <v>11.13</v>
      </c>
      <c r="G464" s="7">
        <v>11.23</v>
      </c>
      <c r="H464" s="7"/>
      <c r="I464" s="7"/>
      <c r="J464" s="7"/>
      <c r="K464" s="7">
        <v>3.863</v>
      </c>
      <c r="L464" s="7">
        <v>0</v>
      </c>
      <c r="M464" s="7">
        <v>0</v>
      </c>
      <c r="N464" s="7"/>
      <c r="O464">
        <v>717</v>
      </c>
      <c r="P464">
        <v>199.1</v>
      </c>
      <c r="Q464">
        <v>12.91</v>
      </c>
      <c r="S464">
        <v>12.41</v>
      </c>
      <c r="T464">
        <v>0</v>
      </c>
      <c r="U464">
        <v>98.8</v>
      </c>
      <c r="V464">
        <v>814</v>
      </c>
      <c r="W464">
        <v>34.020000000000003</v>
      </c>
      <c r="Y464">
        <v>14.28</v>
      </c>
    </row>
    <row r="465" spans="1:25" x14ac:dyDescent="0.25">
      <c r="A465">
        <v>2006</v>
      </c>
      <c r="B465">
        <v>140</v>
      </c>
      <c r="C465">
        <v>1600</v>
      </c>
      <c r="D465" s="7">
        <v>379.3</v>
      </c>
      <c r="E465" s="7">
        <v>206.4</v>
      </c>
      <c r="F465" s="7">
        <v>11.27</v>
      </c>
      <c r="G465" s="7">
        <v>11.22</v>
      </c>
      <c r="H465" s="7"/>
      <c r="I465" s="7"/>
      <c r="J465" s="7"/>
      <c r="K465" s="7">
        <v>3.448</v>
      </c>
      <c r="L465" s="7">
        <v>0</v>
      </c>
      <c r="M465" s="7">
        <v>0</v>
      </c>
      <c r="N465" s="7"/>
      <c r="O465">
        <v>457.7</v>
      </c>
      <c r="P465">
        <v>132.9</v>
      </c>
      <c r="Q465">
        <v>12.98</v>
      </c>
      <c r="S465">
        <v>12.44</v>
      </c>
      <c r="T465">
        <v>0</v>
      </c>
      <c r="U465">
        <v>100.5</v>
      </c>
      <c r="V465">
        <v>810</v>
      </c>
      <c r="W465">
        <v>33.799999999999997</v>
      </c>
      <c r="Y465">
        <v>14.08</v>
      </c>
    </row>
    <row r="466" spans="1:25" x14ac:dyDescent="0.25">
      <c r="A466">
        <v>2006</v>
      </c>
      <c r="B466">
        <v>140</v>
      </c>
      <c r="C466">
        <v>1700</v>
      </c>
      <c r="D466" s="7">
        <v>230.5</v>
      </c>
      <c r="E466" s="7">
        <v>115.3</v>
      </c>
      <c r="F466" s="7">
        <v>10.66</v>
      </c>
      <c r="G466" s="7">
        <v>10.67</v>
      </c>
      <c r="H466" s="7"/>
      <c r="I466" s="7"/>
      <c r="J466" s="7"/>
      <c r="K466" s="7">
        <v>3.2490000000000001</v>
      </c>
      <c r="L466" s="7">
        <v>0</v>
      </c>
      <c r="M466" s="7">
        <v>0</v>
      </c>
      <c r="N466" s="7"/>
      <c r="O466">
        <v>286.3</v>
      </c>
      <c r="P466">
        <v>81.400000000000006</v>
      </c>
      <c r="Q466">
        <v>13.07</v>
      </c>
      <c r="S466">
        <v>12.48</v>
      </c>
      <c r="T466">
        <v>0</v>
      </c>
      <c r="U466">
        <v>99.9</v>
      </c>
      <c r="V466">
        <v>808</v>
      </c>
      <c r="W466">
        <v>33.65</v>
      </c>
      <c r="Y466">
        <v>13.86</v>
      </c>
    </row>
    <row r="467" spans="1:25" x14ac:dyDescent="0.25">
      <c r="A467">
        <v>2006</v>
      </c>
      <c r="B467">
        <v>140</v>
      </c>
      <c r="C467">
        <v>1800</v>
      </c>
      <c r="D467" s="7">
        <v>244</v>
      </c>
      <c r="E467" s="7">
        <v>124.5</v>
      </c>
      <c r="F467" s="7">
        <v>10.57</v>
      </c>
      <c r="G467" s="7">
        <v>10.52</v>
      </c>
      <c r="H467" s="7"/>
      <c r="I467" s="7"/>
      <c r="J467" s="7"/>
      <c r="K467" s="7">
        <v>2.855</v>
      </c>
      <c r="L467" s="7">
        <v>0</v>
      </c>
      <c r="M467" s="7">
        <v>0</v>
      </c>
      <c r="N467" s="7"/>
      <c r="O467">
        <v>297.89999999999998</v>
      </c>
      <c r="P467">
        <v>111.2</v>
      </c>
      <c r="Q467">
        <v>13.12</v>
      </c>
      <c r="S467">
        <v>12.58</v>
      </c>
      <c r="T467">
        <v>0</v>
      </c>
      <c r="U467">
        <v>100.6</v>
      </c>
      <c r="V467">
        <v>805</v>
      </c>
      <c r="W467">
        <v>33.520000000000003</v>
      </c>
      <c r="Y467">
        <v>13.8</v>
      </c>
    </row>
    <row r="468" spans="1:25" x14ac:dyDescent="0.25">
      <c r="A468">
        <v>2006</v>
      </c>
      <c r="B468">
        <v>140</v>
      </c>
      <c r="C468">
        <v>1900</v>
      </c>
      <c r="D468" s="7">
        <v>130</v>
      </c>
      <c r="E468" s="7">
        <v>46.93</v>
      </c>
      <c r="F468" s="7">
        <v>9.69</v>
      </c>
      <c r="G468" s="7">
        <v>9.64</v>
      </c>
      <c r="H468" s="7"/>
      <c r="I468" s="7"/>
      <c r="J468" s="7"/>
      <c r="K468" s="7">
        <v>2.2530000000000001</v>
      </c>
      <c r="L468" s="7">
        <v>0</v>
      </c>
      <c r="M468" s="7">
        <v>0</v>
      </c>
      <c r="N468" s="7"/>
      <c r="O468">
        <v>158.19999999999999</v>
      </c>
      <c r="P468">
        <v>62.19</v>
      </c>
      <c r="Q468">
        <v>13.15</v>
      </c>
      <c r="S468">
        <v>12.65</v>
      </c>
      <c r="T468">
        <v>0</v>
      </c>
      <c r="U468">
        <v>100.6</v>
      </c>
      <c r="V468">
        <v>804</v>
      </c>
      <c r="W468">
        <v>33.450000000000003</v>
      </c>
      <c r="Y468">
        <v>13.67</v>
      </c>
    </row>
    <row r="469" spans="1:25" x14ac:dyDescent="0.25">
      <c r="A469">
        <v>2006</v>
      </c>
      <c r="B469">
        <v>140</v>
      </c>
      <c r="C469">
        <v>2000</v>
      </c>
      <c r="D469" s="7">
        <v>44.71</v>
      </c>
      <c r="E469" s="7">
        <v>-17.7</v>
      </c>
      <c r="F469" s="7">
        <v>8.35</v>
      </c>
      <c r="G469" s="7">
        <v>8.33</v>
      </c>
      <c r="H469" s="7"/>
      <c r="I469" s="7"/>
      <c r="J469" s="7"/>
      <c r="K469" s="7">
        <v>1.7549999999999999</v>
      </c>
      <c r="L469" s="7">
        <v>0</v>
      </c>
      <c r="M469" s="7">
        <v>0</v>
      </c>
      <c r="N469" s="7"/>
      <c r="O469">
        <v>47.01</v>
      </c>
      <c r="P469">
        <v>14.32</v>
      </c>
      <c r="Q469">
        <v>13.1</v>
      </c>
      <c r="S469">
        <v>12.67</v>
      </c>
      <c r="T469">
        <v>0</v>
      </c>
      <c r="U469">
        <v>100.4</v>
      </c>
      <c r="V469">
        <v>803</v>
      </c>
      <c r="W469">
        <v>33.39</v>
      </c>
      <c r="Y469">
        <v>13.56</v>
      </c>
    </row>
    <row r="470" spans="1:25" x14ac:dyDescent="0.25">
      <c r="A470">
        <v>2006</v>
      </c>
      <c r="B470">
        <v>140</v>
      </c>
      <c r="C470">
        <v>2100</v>
      </c>
      <c r="D470" s="7">
        <v>2.6850000000000001</v>
      </c>
      <c r="E470" s="7">
        <v>-41.08</v>
      </c>
      <c r="F470" s="7">
        <v>7.63</v>
      </c>
      <c r="G470" s="7">
        <v>7.6</v>
      </c>
      <c r="H470" s="7"/>
      <c r="I470" s="7"/>
      <c r="J470" s="7"/>
      <c r="K470" s="7">
        <v>1.1779999999999999</v>
      </c>
      <c r="L470" s="7">
        <v>0</v>
      </c>
      <c r="M470" s="7">
        <v>0</v>
      </c>
      <c r="N470" s="7"/>
      <c r="O470">
        <v>-5.2370000000000001</v>
      </c>
      <c r="P470">
        <v>-8.7200000000000006</v>
      </c>
      <c r="Q470">
        <v>13.01</v>
      </c>
      <c r="S470">
        <v>12.67</v>
      </c>
      <c r="T470">
        <v>0</v>
      </c>
      <c r="U470">
        <v>100.3</v>
      </c>
      <c r="V470">
        <v>812</v>
      </c>
      <c r="W470">
        <v>33.89</v>
      </c>
      <c r="Y470">
        <v>13.46</v>
      </c>
    </row>
    <row r="471" spans="1:25" x14ac:dyDescent="0.25">
      <c r="A471">
        <v>2006</v>
      </c>
      <c r="B471">
        <v>140</v>
      </c>
      <c r="C471">
        <v>2200</v>
      </c>
      <c r="D471" s="7">
        <v>-3.7559999999999998</v>
      </c>
      <c r="E471" s="7">
        <v>-63.75</v>
      </c>
      <c r="F471" s="7">
        <v>5.8920000000000003</v>
      </c>
      <c r="G471" s="7">
        <v>5.734</v>
      </c>
      <c r="H471" s="7"/>
      <c r="I471" s="7"/>
      <c r="J471" s="7"/>
      <c r="K471" s="7">
        <v>0.42899999999999999</v>
      </c>
      <c r="L471" s="7">
        <v>355.4</v>
      </c>
      <c r="M471" s="7">
        <v>0</v>
      </c>
      <c r="N471" s="7"/>
      <c r="O471">
        <v>-11.5</v>
      </c>
      <c r="P471">
        <v>-10.84</v>
      </c>
      <c r="Q471">
        <v>12.9</v>
      </c>
      <c r="S471">
        <v>12.63</v>
      </c>
      <c r="T471">
        <v>0</v>
      </c>
      <c r="U471">
        <v>102.3</v>
      </c>
      <c r="V471">
        <v>822</v>
      </c>
      <c r="W471">
        <v>34.46</v>
      </c>
      <c r="Y471">
        <v>13.38</v>
      </c>
    </row>
    <row r="472" spans="1:25" x14ac:dyDescent="0.25">
      <c r="A472">
        <v>2006</v>
      </c>
      <c r="B472">
        <v>140</v>
      </c>
      <c r="C472">
        <v>2300</v>
      </c>
      <c r="D472" s="7">
        <v>-3.5129999999999999</v>
      </c>
      <c r="E472" s="7">
        <v>-50.63</v>
      </c>
      <c r="F472" s="7">
        <v>3.5950000000000002</v>
      </c>
      <c r="G472" s="7">
        <v>3.3119999999999998</v>
      </c>
      <c r="H472" s="7"/>
      <c r="I472" s="7"/>
      <c r="J472" s="7"/>
      <c r="K472" s="7">
        <v>0.29099999999999998</v>
      </c>
      <c r="L472" s="7">
        <v>206.3</v>
      </c>
      <c r="M472" s="7">
        <v>0</v>
      </c>
      <c r="N472" s="7"/>
      <c r="O472">
        <v>-11.5</v>
      </c>
      <c r="P472">
        <v>-10.84</v>
      </c>
      <c r="Q472">
        <v>12.75</v>
      </c>
      <c r="S472">
        <v>12.57</v>
      </c>
      <c r="T472">
        <v>0</v>
      </c>
      <c r="U472">
        <v>104.5</v>
      </c>
      <c r="V472">
        <v>830</v>
      </c>
      <c r="W472">
        <v>34.93</v>
      </c>
      <c r="Y472">
        <v>13.31</v>
      </c>
    </row>
    <row r="473" spans="1:25" x14ac:dyDescent="0.25">
      <c r="A473">
        <v>2006</v>
      </c>
      <c r="B473">
        <v>140</v>
      </c>
      <c r="C473">
        <v>2400</v>
      </c>
      <c r="D473" s="7">
        <v>-1.8240000000000001</v>
      </c>
      <c r="E473" s="7">
        <v>-30.89</v>
      </c>
      <c r="F473" s="7">
        <v>3.3439999999999999</v>
      </c>
      <c r="G473" s="7">
        <v>3.1960000000000002</v>
      </c>
      <c r="H473" s="7"/>
      <c r="I473" s="7"/>
      <c r="J473" s="7"/>
      <c r="K473" s="7">
        <v>0.42899999999999999</v>
      </c>
      <c r="L473" s="7">
        <v>186.5</v>
      </c>
      <c r="M473" s="7">
        <v>0</v>
      </c>
      <c r="N473" s="7"/>
      <c r="O473">
        <v>-11.5</v>
      </c>
      <c r="P473">
        <v>-10.85</v>
      </c>
      <c r="Q473">
        <v>12.53</v>
      </c>
      <c r="S473">
        <v>12.47</v>
      </c>
      <c r="T473">
        <v>0</v>
      </c>
      <c r="U473">
        <v>102.4</v>
      </c>
      <c r="V473">
        <v>807</v>
      </c>
      <c r="W473">
        <v>33.619999999999997</v>
      </c>
      <c r="Y473">
        <v>13.24</v>
      </c>
    </row>
    <row r="474" spans="1:25" x14ac:dyDescent="0.25">
      <c r="A474">
        <v>2006</v>
      </c>
      <c r="B474">
        <v>141</v>
      </c>
      <c r="C474">
        <v>100</v>
      </c>
      <c r="D474" s="7">
        <v>-3.2570000000000001</v>
      </c>
      <c r="E474" s="7">
        <v>-40.22</v>
      </c>
      <c r="F474" s="7">
        <v>2.5249999999999999</v>
      </c>
      <c r="G474" s="7">
        <v>2.335</v>
      </c>
      <c r="H474" s="7"/>
      <c r="I474" s="7"/>
      <c r="J474" s="7"/>
      <c r="K474" s="7">
        <v>0.36299999999999999</v>
      </c>
      <c r="L474" s="7">
        <v>196.9</v>
      </c>
      <c r="M474" s="7">
        <v>0</v>
      </c>
      <c r="N474" s="7"/>
      <c r="O474">
        <v>-11.5</v>
      </c>
      <c r="P474">
        <v>-10.85</v>
      </c>
      <c r="Q474">
        <v>12.33</v>
      </c>
      <c r="S474">
        <v>12.37</v>
      </c>
      <c r="T474">
        <v>0</v>
      </c>
      <c r="U474">
        <v>103.1</v>
      </c>
      <c r="V474">
        <v>804</v>
      </c>
      <c r="W474">
        <v>33.49</v>
      </c>
      <c r="Y474">
        <v>13.18</v>
      </c>
    </row>
    <row r="475" spans="1:25" x14ac:dyDescent="0.25">
      <c r="A475">
        <v>2006</v>
      </c>
      <c r="B475">
        <v>141</v>
      </c>
      <c r="C475">
        <v>200</v>
      </c>
      <c r="D475" s="7">
        <v>-2.9180000000000001</v>
      </c>
      <c r="E475" s="7">
        <v>-37.11</v>
      </c>
      <c r="F475" s="7">
        <v>1.145</v>
      </c>
      <c r="G475" s="7">
        <v>1.077</v>
      </c>
      <c r="H475" s="7"/>
      <c r="I475" s="7"/>
      <c r="J475" s="7"/>
      <c r="K475" s="7">
        <v>0.314</v>
      </c>
      <c r="L475" s="7">
        <v>244</v>
      </c>
      <c r="M475" s="7">
        <v>0</v>
      </c>
      <c r="N475" s="7"/>
      <c r="O475">
        <v>-11.5</v>
      </c>
      <c r="P475">
        <v>-10.85</v>
      </c>
      <c r="Q475">
        <v>12.06</v>
      </c>
      <c r="S475">
        <v>12.19</v>
      </c>
      <c r="T475">
        <v>0</v>
      </c>
      <c r="U475">
        <v>101.2</v>
      </c>
      <c r="V475">
        <v>803</v>
      </c>
      <c r="W475">
        <v>33.409999999999997</v>
      </c>
      <c r="Y475">
        <v>13.11</v>
      </c>
    </row>
    <row r="476" spans="1:25" x14ac:dyDescent="0.25">
      <c r="A476">
        <v>2006</v>
      </c>
      <c r="B476">
        <v>141</v>
      </c>
      <c r="C476">
        <v>300</v>
      </c>
      <c r="D476" s="7">
        <v>-2.6349999999999998</v>
      </c>
      <c r="E476" s="7">
        <v>-32.869999999999997</v>
      </c>
      <c r="F476" s="7">
        <v>1.4079999999999999</v>
      </c>
      <c r="G476" s="7">
        <v>1.36</v>
      </c>
      <c r="H476" s="7"/>
      <c r="I476" s="7"/>
      <c r="J476" s="7"/>
      <c r="K476" s="7">
        <v>0.42899999999999999</v>
      </c>
      <c r="L476" s="7">
        <v>111.9</v>
      </c>
      <c r="M476" s="7">
        <v>0</v>
      </c>
      <c r="N476" s="7"/>
      <c r="O476">
        <v>-11.51</v>
      </c>
      <c r="P476">
        <v>-10.85</v>
      </c>
      <c r="Q476">
        <v>11.82</v>
      </c>
      <c r="S476">
        <v>12.03</v>
      </c>
      <c r="T476">
        <v>0</v>
      </c>
      <c r="U476">
        <v>100.8</v>
      </c>
      <c r="V476">
        <v>802</v>
      </c>
      <c r="W476">
        <v>33.35</v>
      </c>
      <c r="Y476">
        <v>13.05</v>
      </c>
    </row>
    <row r="477" spans="1:25" x14ac:dyDescent="0.25">
      <c r="A477">
        <v>2006</v>
      </c>
      <c r="B477">
        <v>141</v>
      </c>
      <c r="C477">
        <v>400</v>
      </c>
      <c r="D477" s="7">
        <v>-2.2200000000000002</v>
      </c>
      <c r="E477" s="7">
        <v>-33.9</v>
      </c>
      <c r="F477" s="7">
        <v>0.35699999999999998</v>
      </c>
      <c r="G477" s="7">
        <v>0.33100000000000002</v>
      </c>
      <c r="H477" s="7"/>
      <c r="I477" s="7"/>
      <c r="J477" s="7"/>
      <c r="K477" s="7">
        <v>0.23</v>
      </c>
      <c r="L477" s="7">
        <v>199.6</v>
      </c>
      <c r="M477" s="7">
        <v>0</v>
      </c>
      <c r="N477" s="7"/>
      <c r="O477">
        <v>-10.85</v>
      </c>
      <c r="P477">
        <v>-10.61</v>
      </c>
      <c r="Q477">
        <v>11.6</v>
      </c>
      <c r="S477">
        <v>11.89</v>
      </c>
      <c r="T477">
        <v>0</v>
      </c>
      <c r="U477">
        <v>100.5</v>
      </c>
      <c r="V477">
        <v>802</v>
      </c>
      <c r="W477">
        <v>33.340000000000003</v>
      </c>
      <c r="Y477">
        <v>13</v>
      </c>
    </row>
    <row r="478" spans="1:25" x14ac:dyDescent="0.25">
      <c r="A478">
        <v>2006</v>
      </c>
      <c r="B478">
        <v>141</v>
      </c>
      <c r="C478">
        <v>500</v>
      </c>
      <c r="D478" s="7">
        <v>11.08</v>
      </c>
      <c r="E478" s="7">
        <v>-14.01</v>
      </c>
      <c r="F478" s="7">
        <v>0.89800000000000002</v>
      </c>
      <c r="G478" s="7">
        <v>0.89500000000000002</v>
      </c>
      <c r="H478" s="7"/>
      <c r="I478" s="7"/>
      <c r="J478" s="7"/>
      <c r="K478" s="7">
        <v>0.25800000000000001</v>
      </c>
      <c r="L478" s="7">
        <v>186.1</v>
      </c>
      <c r="M478" s="7">
        <v>0</v>
      </c>
      <c r="N478" s="7"/>
      <c r="O478">
        <v>5.2859999999999996</v>
      </c>
      <c r="P478">
        <v>-5.3330000000000002</v>
      </c>
      <c r="Q478">
        <v>11.35</v>
      </c>
      <c r="S478">
        <v>11.71</v>
      </c>
      <c r="T478">
        <v>0</v>
      </c>
      <c r="U478">
        <v>100.1</v>
      </c>
      <c r="V478">
        <v>801</v>
      </c>
      <c r="W478">
        <v>33.32</v>
      </c>
      <c r="Y478">
        <v>12.95</v>
      </c>
    </row>
    <row r="479" spans="1:25" x14ac:dyDescent="0.25">
      <c r="A479">
        <v>2006</v>
      </c>
      <c r="B479">
        <v>141</v>
      </c>
      <c r="C479">
        <v>600</v>
      </c>
      <c r="D479" s="7">
        <v>60.82</v>
      </c>
      <c r="E479" s="7">
        <v>23.21</v>
      </c>
      <c r="F479" s="7">
        <v>3.1970000000000001</v>
      </c>
      <c r="G479" s="7">
        <v>3.1930000000000001</v>
      </c>
      <c r="H479" s="7"/>
      <c r="I479" s="7"/>
      <c r="J479" s="7"/>
      <c r="K479" s="7">
        <v>0.38600000000000001</v>
      </c>
      <c r="L479" s="7">
        <v>164.9</v>
      </c>
      <c r="M479" s="7">
        <v>0</v>
      </c>
      <c r="N479" s="7"/>
      <c r="O479">
        <v>71.400000000000006</v>
      </c>
      <c r="P479">
        <v>15.22</v>
      </c>
      <c r="Q479">
        <v>11.14</v>
      </c>
      <c r="S479">
        <v>11.57</v>
      </c>
      <c r="T479">
        <v>0</v>
      </c>
      <c r="U479">
        <v>100.1</v>
      </c>
      <c r="V479">
        <v>801</v>
      </c>
      <c r="W479">
        <v>33.31</v>
      </c>
      <c r="Y479">
        <v>13.12</v>
      </c>
    </row>
    <row r="480" spans="1:25" x14ac:dyDescent="0.25">
      <c r="A480">
        <v>2006</v>
      </c>
      <c r="B480">
        <v>141</v>
      </c>
      <c r="C480">
        <v>700</v>
      </c>
      <c r="D480" s="7">
        <v>166.9</v>
      </c>
      <c r="E480" s="7">
        <v>103.3</v>
      </c>
      <c r="F480" s="7">
        <v>5.9260000000000002</v>
      </c>
      <c r="G480" s="7">
        <v>5.9909999999999997</v>
      </c>
      <c r="H480" s="7"/>
      <c r="I480" s="7"/>
      <c r="J480" s="7"/>
      <c r="K480" s="7">
        <v>0.26900000000000002</v>
      </c>
      <c r="L480" s="7">
        <v>136.1</v>
      </c>
      <c r="M480" s="7">
        <v>0</v>
      </c>
      <c r="N480" s="7"/>
      <c r="O480">
        <v>214.7</v>
      </c>
      <c r="P480">
        <v>63.72</v>
      </c>
      <c r="Q480">
        <v>10.98</v>
      </c>
      <c r="S480">
        <v>11.44</v>
      </c>
      <c r="T480">
        <v>0</v>
      </c>
      <c r="U480">
        <v>99.2</v>
      </c>
      <c r="V480">
        <v>801</v>
      </c>
      <c r="W480">
        <v>33.299999999999997</v>
      </c>
      <c r="Y480">
        <v>13.67</v>
      </c>
    </row>
    <row r="481" spans="1:25" x14ac:dyDescent="0.25">
      <c r="A481">
        <v>2006</v>
      </c>
      <c r="B481">
        <v>141</v>
      </c>
      <c r="C481">
        <v>800</v>
      </c>
      <c r="D481" s="7">
        <v>348.2</v>
      </c>
      <c r="E481" s="7">
        <v>235.1</v>
      </c>
      <c r="F481" s="7">
        <v>7.39</v>
      </c>
      <c r="G481" s="7">
        <v>8.1999999999999993</v>
      </c>
      <c r="H481" s="7"/>
      <c r="I481" s="7"/>
      <c r="J481" s="7"/>
      <c r="K481" s="7">
        <v>1.246</v>
      </c>
      <c r="L481" s="7">
        <v>77</v>
      </c>
      <c r="M481" s="7">
        <v>0</v>
      </c>
      <c r="N481" s="7"/>
      <c r="O481">
        <v>460.8</v>
      </c>
      <c r="P481">
        <v>149</v>
      </c>
      <c r="Q481">
        <v>10.97</v>
      </c>
      <c r="S481">
        <v>11.35</v>
      </c>
      <c r="T481">
        <v>0</v>
      </c>
      <c r="U481">
        <v>89.6</v>
      </c>
      <c r="V481">
        <v>800</v>
      </c>
      <c r="W481">
        <v>33.28</v>
      </c>
      <c r="Y481">
        <v>14.23</v>
      </c>
    </row>
    <row r="482" spans="1:25" x14ac:dyDescent="0.25">
      <c r="A482">
        <v>2006</v>
      </c>
      <c r="B482">
        <v>141</v>
      </c>
      <c r="C482">
        <v>900</v>
      </c>
      <c r="D482" s="7">
        <v>304.2</v>
      </c>
      <c r="E482" s="7">
        <v>182.5</v>
      </c>
      <c r="F482" s="7">
        <v>8.6300000000000008</v>
      </c>
      <c r="G482" s="7">
        <v>8.94</v>
      </c>
      <c r="H482" s="7">
        <f>AVERAGE(G482:G505)</f>
        <v>6.7622916666666661</v>
      </c>
      <c r="I482" s="7">
        <f>MIN(G482:G505)</f>
        <v>5.9249999999999998</v>
      </c>
      <c r="J482" s="7">
        <f>MAX(G482:G505)</f>
        <v>9.18</v>
      </c>
      <c r="K482" s="7">
        <v>1.5429999999999999</v>
      </c>
      <c r="L482" s="7">
        <v>75.400000000000006</v>
      </c>
      <c r="M482" s="7">
        <v>0</v>
      </c>
      <c r="N482" s="7">
        <f>SUM(M482:M505)</f>
        <v>8</v>
      </c>
      <c r="O482">
        <v>384.8</v>
      </c>
      <c r="P482">
        <v>109.8</v>
      </c>
      <c r="Q482">
        <v>11.01</v>
      </c>
      <c r="S482">
        <v>11.22</v>
      </c>
      <c r="T482">
        <v>0</v>
      </c>
      <c r="U482">
        <v>96.1</v>
      </c>
      <c r="V482">
        <v>800</v>
      </c>
      <c r="W482">
        <v>33.24</v>
      </c>
      <c r="Y482">
        <v>14.12</v>
      </c>
    </row>
    <row r="483" spans="1:25" x14ac:dyDescent="0.25">
      <c r="A483">
        <v>2006</v>
      </c>
      <c r="B483">
        <v>141</v>
      </c>
      <c r="C483">
        <v>1000</v>
      </c>
      <c r="D483" s="7">
        <v>275</v>
      </c>
      <c r="E483" s="7">
        <v>156.4</v>
      </c>
      <c r="F483" s="7">
        <v>9.1199999999999992</v>
      </c>
      <c r="G483" s="7">
        <v>8.99</v>
      </c>
      <c r="H483" s="7"/>
      <c r="I483" s="7"/>
      <c r="J483" s="7"/>
      <c r="K483" s="7">
        <v>1.9350000000000001</v>
      </c>
      <c r="L483" s="7">
        <v>85</v>
      </c>
      <c r="M483" s="7">
        <v>0</v>
      </c>
      <c r="N483" s="7"/>
      <c r="O483">
        <v>355.3</v>
      </c>
      <c r="P483">
        <v>100.3</v>
      </c>
      <c r="Q483">
        <v>11.06</v>
      </c>
      <c r="S483">
        <v>11.11</v>
      </c>
      <c r="T483">
        <v>0</v>
      </c>
      <c r="U483">
        <v>101.6</v>
      </c>
      <c r="V483">
        <v>799</v>
      </c>
      <c r="W483">
        <v>33.200000000000003</v>
      </c>
      <c r="Y483">
        <v>13.94</v>
      </c>
    </row>
    <row r="484" spans="1:25" x14ac:dyDescent="0.25">
      <c r="A484">
        <v>2006</v>
      </c>
      <c r="B484">
        <v>141</v>
      </c>
      <c r="C484">
        <v>1100</v>
      </c>
      <c r="D484" s="7">
        <v>280.89999999999998</v>
      </c>
      <c r="E484" s="7">
        <v>159</v>
      </c>
      <c r="F484" s="7">
        <v>9.33</v>
      </c>
      <c r="G484" s="7">
        <v>9.18</v>
      </c>
      <c r="H484" s="7"/>
      <c r="I484" s="7"/>
      <c r="J484" s="7"/>
      <c r="K484" s="7">
        <v>2.6629999999999998</v>
      </c>
      <c r="L484" s="7">
        <v>94.7</v>
      </c>
      <c r="M484" s="7">
        <v>0</v>
      </c>
      <c r="N484" s="7"/>
      <c r="O484">
        <v>370.1</v>
      </c>
      <c r="P484">
        <v>104.9</v>
      </c>
      <c r="Q484">
        <v>11.19</v>
      </c>
      <c r="S484">
        <v>11.14</v>
      </c>
      <c r="T484">
        <v>0</v>
      </c>
      <c r="U484">
        <v>101.9</v>
      </c>
      <c r="V484">
        <v>798</v>
      </c>
      <c r="W484">
        <v>33.15</v>
      </c>
      <c r="Y484">
        <v>13.97</v>
      </c>
    </row>
    <row r="485" spans="1:25" x14ac:dyDescent="0.25">
      <c r="A485">
        <v>2006</v>
      </c>
      <c r="B485">
        <v>141</v>
      </c>
      <c r="C485">
        <v>1200</v>
      </c>
      <c r="D485" s="7">
        <v>161</v>
      </c>
      <c r="E485" s="7">
        <v>79.3</v>
      </c>
      <c r="F485" s="7">
        <v>8.5299999999999994</v>
      </c>
      <c r="G485" s="7">
        <v>8.43</v>
      </c>
      <c r="H485" s="7"/>
      <c r="I485" s="7"/>
      <c r="J485" s="7"/>
      <c r="K485" s="7">
        <v>2.5390000000000001</v>
      </c>
      <c r="L485" s="7">
        <v>93.8</v>
      </c>
      <c r="M485" s="7">
        <v>0</v>
      </c>
      <c r="N485" s="7"/>
      <c r="O485">
        <v>221.1</v>
      </c>
      <c r="P485">
        <v>59.79</v>
      </c>
      <c r="Q485">
        <v>11.26</v>
      </c>
      <c r="S485">
        <v>11.12</v>
      </c>
      <c r="T485">
        <v>0</v>
      </c>
      <c r="U485">
        <v>101.3</v>
      </c>
      <c r="V485">
        <v>796</v>
      </c>
      <c r="W485">
        <v>33.06</v>
      </c>
      <c r="Y485">
        <v>13.79</v>
      </c>
    </row>
    <row r="486" spans="1:25" x14ac:dyDescent="0.25">
      <c r="A486">
        <v>2006</v>
      </c>
      <c r="B486">
        <v>141</v>
      </c>
      <c r="C486">
        <v>1300</v>
      </c>
      <c r="D486" s="7">
        <v>120.2</v>
      </c>
      <c r="E486" s="7">
        <v>56.86</v>
      </c>
      <c r="F486" s="7">
        <v>7.21</v>
      </c>
      <c r="G486" s="7">
        <v>7.16</v>
      </c>
      <c r="H486" s="7"/>
      <c r="I486" s="7"/>
      <c r="J486" s="7"/>
      <c r="K486" s="7">
        <v>2.4209999999999998</v>
      </c>
      <c r="L486" s="7">
        <v>90.4</v>
      </c>
      <c r="M486" s="7">
        <v>1</v>
      </c>
      <c r="N486" s="7"/>
      <c r="O486">
        <v>166.5</v>
      </c>
      <c r="P486">
        <v>32.85</v>
      </c>
      <c r="Q486">
        <v>11.31</v>
      </c>
      <c r="S486">
        <v>11.12</v>
      </c>
      <c r="T486">
        <v>0</v>
      </c>
      <c r="U486">
        <v>100.6</v>
      </c>
      <c r="V486">
        <v>796</v>
      </c>
      <c r="W486">
        <v>33.06</v>
      </c>
      <c r="Y486">
        <v>13.71</v>
      </c>
    </row>
    <row r="487" spans="1:25" x14ac:dyDescent="0.25">
      <c r="A487">
        <v>2006</v>
      </c>
      <c r="B487">
        <v>141</v>
      </c>
      <c r="C487">
        <v>1400</v>
      </c>
      <c r="D487" s="7">
        <v>119.9</v>
      </c>
      <c r="E487" s="7">
        <v>60.87</v>
      </c>
      <c r="F487" s="7">
        <v>6.4429999999999996</v>
      </c>
      <c r="G487" s="7">
        <v>6.407</v>
      </c>
      <c r="H487" s="7"/>
      <c r="I487" s="7"/>
      <c r="J487" s="7"/>
      <c r="K487" s="7">
        <v>1.99</v>
      </c>
      <c r="L487" s="7">
        <v>79.7</v>
      </c>
      <c r="M487" s="7">
        <v>0.8</v>
      </c>
      <c r="N487" s="7"/>
      <c r="O487">
        <v>165.9</v>
      </c>
      <c r="P487">
        <v>30.08</v>
      </c>
      <c r="Q487">
        <v>11.29</v>
      </c>
      <c r="S487">
        <v>11.14</v>
      </c>
      <c r="T487">
        <v>0</v>
      </c>
      <c r="U487">
        <v>100.5</v>
      </c>
      <c r="V487">
        <v>800</v>
      </c>
      <c r="W487">
        <v>33.26</v>
      </c>
      <c r="Y487">
        <v>13.7</v>
      </c>
    </row>
    <row r="488" spans="1:25" x14ac:dyDescent="0.25">
      <c r="A488">
        <v>2006</v>
      </c>
      <c r="B488">
        <v>141</v>
      </c>
      <c r="C488">
        <v>1500</v>
      </c>
      <c r="D488" s="7">
        <v>87.4</v>
      </c>
      <c r="E488" s="7">
        <v>40.79</v>
      </c>
      <c r="F488" s="7">
        <v>6.06</v>
      </c>
      <c r="G488" s="7">
        <v>6.0209999999999999</v>
      </c>
      <c r="H488" s="7"/>
      <c r="I488" s="7"/>
      <c r="J488" s="7"/>
      <c r="K488" s="7">
        <v>1.641</v>
      </c>
      <c r="L488" s="7">
        <v>81.7</v>
      </c>
      <c r="M488" s="7">
        <v>1</v>
      </c>
      <c r="N488" s="7"/>
      <c r="O488">
        <v>116.9</v>
      </c>
      <c r="P488">
        <v>18.5</v>
      </c>
      <c r="Q488">
        <v>11.28</v>
      </c>
      <c r="S488">
        <v>11.18</v>
      </c>
      <c r="T488">
        <v>0</v>
      </c>
      <c r="U488">
        <v>100.6</v>
      </c>
      <c r="V488">
        <v>814</v>
      </c>
      <c r="W488">
        <v>34.04</v>
      </c>
      <c r="Y488">
        <v>13.64</v>
      </c>
    </row>
    <row r="489" spans="1:25" x14ac:dyDescent="0.25">
      <c r="A489">
        <v>2006</v>
      </c>
      <c r="B489">
        <v>141</v>
      </c>
      <c r="C489">
        <v>1600</v>
      </c>
      <c r="D489" s="7">
        <v>75.400000000000006</v>
      </c>
      <c r="E489" s="7">
        <v>34.479999999999997</v>
      </c>
      <c r="F489" s="7">
        <v>6.0410000000000004</v>
      </c>
      <c r="G489" s="7">
        <v>6.1029999999999998</v>
      </c>
      <c r="H489" s="7"/>
      <c r="I489" s="7"/>
      <c r="J489" s="7"/>
      <c r="K489" s="7">
        <v>1.7090000000000001</v>
      </c>
      <c r="L489" s="7">
        <v>75.5</v>
      </c>
      <c r="M489" s="7">
        <v>0.4</v>
      </c>
      <c r="N489" s="7"/>
      <c r="O489">
        <v>99.7</v>
      </c>
      <c r="P489">
        <v>14.95</v>
      </c>
      <c r="Q489">
        <v>11.26</v>
      </c>
      <c r="S489">
        <v>11.24</v>
      </c>
      <c r="T489">
        <v>0</v>
      </c>
      <c r="U489">
        <v>99.1</v>
      </c>
      <c r="V489">
        <v>842</v>
      </c>
      <c r="W489">
        <v>35.57</v>
      </c>
      <c r="Y489">
        <v>13.59</v>
      </c>
    </row>
    <row r="490" spans="1:25" x14ac:dyDescent="0.25">
      <c r="A490">
        <v>2006</v>
      </c>
      <c r="B490">
        <v>141</v>
      </c>
      <c r="C490">
        <v>1700</v>
      </c>
      <c r="D490" s="7">
        <v>44.23</v>
      </c>
      <c r="E490" s="7">
        <v>15.82</v>
      </c>
      <c r="F490" s="7">
        <v>6.0069999999999997</v>
      </c>
      <c r="G490" s="7">
        <v>5.9249999999999998</v>
      </c>
      <c r="H490" s="7"/>
      <c r="I490" s="7"/>
      <c r="J490" s="7"/>
      <c r="K490" s="7">
        <v>1.6719999999999999</v>
      </c>
      <c r="L490" s="7">
        <v>69.45</v>
      </c>
      <c r="M490" s="7">
        <v>1.4</v>
      </c>
      <c r="N490" s="7"/>
      <c r="O490">
        <v>53.41</v>
      </c>
      <c r="P490">
        <v>4.7130000000000001</v>
      </c>
      <c r="Q490">
        <v>11.18</v>
      </c>
      <c r="S490">
        <v>11.23</v>
      </c>
      <c r="T490">
        <v>0</v>
      </c>
      <c r="U490">
        <v>101.2</v>
      </c>
      <c r="V490">
        <v>888</v>
      </c>
      <c r="W490">
        <v>39.549999999999997</v>
      </c>
      <c r="Y490">
        <v>13.53</v>
      </c>
    </row>
    <row r="491" spans="1:25" x14ac:dyDescent="0.25">
      <c r="A491">
        <v>2006</v>
      </c>
      <c r="B491">
        <v>141</v>
      </c>
      <c r="C491">
        <v>1800</v>
      </c>
      <c r="D491" s="7">
        <v>40.229999999999997</v>
      </c>
      <c r="E491" s="7">
        <v>17.12</v>
      </c>
      <c r="F491" s="7">
        <v>6.5990000000000002</v>
      </c>
      <c r="G491" s="7">
        <v>6.4619999999999997</v>
      </c>
      <c r="H491" s="7"/>
      <c r="I491" s="7"/>
      <c r="J491" s="7"/>
      <c r="K491" s="7">
        <v>1.7769999999999999</v>
      </c>
      <c r="L491" s="7">
        <v>64.33</v>
      </c>
      <c r="M491" s="7">
        <v>0.8</v>
      </c>
      <c r="N491" s="7"/>
      <c r="O491">
        <v>46.07</v>
      </c>
      <c r="P491">
        <v>3.774</v>
      </c>
      <c r="Q491">
        <v>11.1</v>
      </c>
      <c r="S491">
        <v>11.15</v>
      </c>
      <c r="T491">
        <v>0</v>
      </c>
      <c r="U491">
        <v>101.9</v>
      </c>
      <c r="V491">
        <v>1022</v>
      </c>
      <c r="W491">
        <v>51.76</v>
      </c>
      <c r="Y491">
        <v>13.46</v>
      </c>
    </row>
    <row r="492" spans="1:25" x14ac:dyDescent="0.25">
      <c r="A492">
        <v>2006</v>
      </c>
      <c r="B492">
        <v>141</v>
      </c>
      <c r="C492">
        <v>1900</v>
      </c>
      <c r="D492" s="7">
        <v>25.2</v>
      </c>
      <c r="E492" s="7">
        <v>7.14</v>
      </c>
      <c r="F492" s="7">
        <v>6.4930000000000003</v>
      </c>
      <c r="G492" s="7">
        <v>6.4219999999999997</v>
      </c>
      <c r="H492" s="7"/>
      <c r="I492" s="7"/>
      <c r="J492" s="7"/>
      <c r="K492" s="7">
        <v>2.0099999999999998</v>
      </c>
      <c r="L492" s="7">
        <v>67.5</v>
      </c>
      <c r="M492" s="7">
        <v>0.6</v>
      </c>
      <c r="N492" s="7"/>
      <c r="O492">
        <v>24.06</v>
      </c>
      <c r="P492">
        <v>-1.341</v>
      </c>
      <c r="Q492">
        <v>11.01</v>
      </c>
      <c r="S492">
        <v>11.14</v>
      </c>
      <c r="T492">
        <v>0</v>
      </c>
      <c r="U492">
        <v>101</v>
      </c>
      <c r="V492">
        <v>1026</v>
      </c>
      <c r="W492">
        <v>52.21</v>
      </c>
      <c r="Y492">
        <v>13.39</v>
      </c>
    </row>
    <row r="493" spans="1:25" x14ac:dyDescent="0.25">
      <c r="A493">
        <v>2006</v>
      </c>
      <c r="B493">
        <v>141</v>
      </c>
      <c r="C493">
        <v>2000</v>
      </c>
      <c r="D493" s="7">
        <v>3.8929999999999998</v>
      </c>
      <c r="E493" s="7">
        <v>-5.0739999999999998</v>
      </c>
      <c r="F493" s="7">
        <v>6.4340000000000002</v>
      </c>
      <c r="G493" s="7">
        <v>6.3630000000000004</v>
      </c>
      <c r="H493" s="7"/>
      <c r="I493" s="7"/>
      <c r="J493" s="7"/>
      <c r="K493" s="7">
        <v>1.859</v>
      </c>
      <c r="L493" s="7">
        <v>64.25</v>
      </c>
      <c r="M493" s="7">
        <v>0.4</v>
      </c>
      <c r="N493" s="7"/>
      <c r="O493">
        <v>-5.5039999999999996</v>
      </c>
      <c r="P493">
        <v>-9.34</v>
      </c>
      <c r="Q493">
        <v>10.94</v>
      </c>
      <c r="S493">
        <v>11.06</v>
      </c>
      <c r="T493">
        <v>0</v>
      </c>
      <c r="U493">
        <v>101</v>
      </c>
      <c r="V493">
        <v>1027</v>
      </c>
      <c r="W493">
        <v>52.38</v>
      </c>
      <c r="Y493">
        <v>13.31</v>
      </c>
    </row>
    <row r="494" spans="1:25" x14ac:dyDescent="0.25">
      <c r="A494">
        <v>2006</v>
      </c>
      <c r="B494">
        <v>141</v>
      </c>
      <c r="C494">
        <v>2100</v>
      </c>
      <c r="D494" s="7">
        <v>0.11799999999999999</v>
      </c>
      <c r="E494" s="7">
        <v>-6.7370000000000001</v>
      </c>
      <c r="F494" s="7">
        <v>6.5590000000000002</v>
      </c>
      <c r="G494" s="7">
        <v>6.5140000000000002</v>
      </c>
      <c r="H494" s="7"/>
      <c r="I494" s="7"/>
      <c r="J494" s="7"/>
      <c r="K494" s="7">
        <v>1.954</v>
      </c>
      <c r="L494" s="7">
        <v>51.02</v>
      </c>
      <c r="M494" s="7">
        <v>0.8</v>
      </c>
      <c r="N494" s="7"/>
      <c r="O494">
        <v>-11.1</v>
      </c>
      <c r="P494">
        <v>-10.81</v>
      </c>
      <c r="Q494">
        <v>10.85</v>
      </c>
      <c r="S494">
        <v>11.01</v>
      </c>
      <c r="T494">
        <v>0</v>
      </c>
      <c r="U494">
        <v>100.6</v>
      </c>
      <c r="V494">
        <v>1027</v>
      </c>
      <c r="W494">
        <v>52.42</v>
      </c>
      <c r="Y494">
        <v>13.25</v>
      </c>
    </row>
    <row r="495" spans="1:25" x14ac:dyDescent="0.25">
      <c r="A495">
        <v>2006</v>
      </c>
      <c r="B495">
        <v>141</v>
      </c>
      <c r="C495">
        <v>2200</v>
      </c>
      <c r="D495" s="7">
        <v>-0.377</v>
      </c>
      <c r="E495" s="7">
        <v>-6.5739999999999998</v>
      </c>
      <c r="F495" s="7">
        <v>6.9169999999999998</v>
      </c>
      <c r="G495" s="7">
        <v>6.8959999999999999</v>
      </c>
      <c r="H495" s="7"/>
      <c r="I495" s="7"/>
      <c r="J495" s="7"/>
      <c r="K495" s="7">
        <v>1.732</v>
      </c>
      <c r="L495" s="7">
        <v>52.46</v>
      </c>
      <c r="M495" s="7">
        <v>0.4</v>
      </c>
      <c r="N495" s="7"/>
      <c r="O495">
        <v>-11.5</v>
      </c>
      <c r="P495">
        <v>-10.84</v>
      </c>
      <c r="Q495">
        <v>10.76</v>
      </c>
      <c r="S495">
        <v>10.93</v>
      </c>
      <c r="T495">
        <v>0</v>
      </c>
      <c r="U495">
        <v>100.3</v>
      </c>
      <c r="V495">
        <v>1028</v>
      </c>
      <c r="W495">
        <v>52.61</v>
      </c>
      <c r="Y495">
        <v>13.18</v>
      </c>
    </row>
    <row r="496" spans="1:25" x14ac:dyDescent="0.25">
      <c r="A496">
        <v>2006</v>
      </c>
      <c r="B496">
        <v>141</v>
      </c>
      <c r="C496">
        <v>2300</v>
      </c>
      <c r="D496" s="7">
        <v>-0.20100000000000001</v>
      </c>
      <c r="E496" s="7">
        <v>-6.742</v>
      </c>
      <c r="F496" s="7">
        <v>6.7149999999999999</v>
      </c>
      <c r="G496" s="7">
        <v>6.7460000000000004</v>
      </c>
      <c r="H496" s="7"/>
      <c r="I496" s="7"/>
      <c r="J496" s="7"/>
      <c r="K496" s="7">
        <v>2.1539999999999999</v>
      </c>
      <c r="L496" s="7">
        <v>53.98</v>
      </c>
      <c r="M496" s="7">
        <v>0</v>
      </c>
      <c r="N496" s="7"/>
      <c r="O496">
        <v>-11.5</v>
      </c>
      <c r="P496">
        <v>-10.85</v>
      </c>
      <c r="Q496">
        <v>10.71</v>
      </c>
      <c r="S496">
        <v>10.88</v>
      </c>
      <c r="T496">
        <v>0</v>
      </c>
      <c r="U496">
        <v>99.6</v>
      </c>
      <c r="V496">
        <v>1029</v>
      </c>
      <c r="W496">
        <v>52.73</v>
      </c>
      <c r="Y496">
        <v>13.12</v>
      </c>
    </row>
    <row r="497" spans="1:25" x14ac:dyDescent="0.25">
      <c r="A497">
        <v>2006</v>
      </c>
      <c r="B497">
        <v>141</v>
      </c>
      <c r="C497">
        <v>2400</v>
      </c>
      <c r="D497" s="7">
        <v>-0.28799999999999998</v>
      </c>
      <c r="E497" s="7">
        <v>-7.13</v>
      </c>
      <c r="F497" s="7">
        <v>6.3550000000000004</v>
      </c>
      <c r="G497" s="7">
        <v>6.4219999999999997</v>
      </c>
      <c r="H497" s="7"/>
      <c r="I497" s="7"/>
      <c r="J497" s="7"/>
      <c r="K497" s="7">
        <v>2.4359999999999999</v>
      </c>
      <c r="L497" s="7">
        <v>51.55</v>
      </c>
      <c r="M497" s="7">
        <v>0</v>
      </c>
      <c r="N497" s="7"/>
      <c r="O497">
        <v>-11.5</v>
      </c>
      <c r="P497">
        <v>-10.85</v>
      </c>
      <c r="Q497">
        <v>10.64</v>
      </c>
      <c r="S497">
        <v>10.79</v>
      </c>
      <c r="T497">
        <v>0</v>
      </c>
      <c r="U497">
        <v>99.1</v>
      </c>
      <c r="V497">
        <v>1030</v>
      </c>
      <c r="W497">
        <v>52.77</v>
      </c>
      <c r="Y497">
        <v>13.06</v>
      </c>
    </row>
    <row r="498" spans="1:25" x14ac:dyDescent="0.25">
      <c r="A498">
        <v>2006</v>
      </c>
      <c r="B498">
        <v>142</v>
      </c>
      <c r="C498">
        <v>100</v>
      </c>
      <c r="D498" s="7">
        <v>-0.52</v>
      </c>
      <c r="E498" s="7">
        <v>-7.68</v>
      </c>
      <c r="F498" s="7">
        <v>6.048</v>
      </c>
      <c r="G498" s="7">
        <v>6.1710000000000003</v>
      </c>
      <c r="H498" s="7"/>
      <c r="I498" s="7"/>
      <c r="J498" s="7"/>
      <c r="K498" s="7">
        <v>2.5840000000000001</v>
      </c>
      <c r="L498" s="7">
        <v>51.45</v>
      </c>
      <c r="M498" s="7">
        <v>0.2</v>
      </c>
      <c r="N498" s="7"/>
      <c r="O498">
        <v>-11.5</v>
      </c>
      <c r="P498">
        <v>-10.85</v>
      </c>
      <c r="Q498">
        <v>10.55</v>
      </c>
      <c r="S498">
        <v>10.71</v>
      </c>
      <c r="T498">
        <v>0</v>
      </c>
      <c r="U498">
        <v>98.3</v>
      </c>
      <c r="V498">
        <v>1030</v>
      </c>
      <c r="W498">
        <v>52.77</v>
      </c>
      <c r="Y498">
        <v>13.01</v>
      </c>
    </row>
    <row r="499" spans="1:25" x14ac:dyDescent="0.25">
      <c r="A499">
        <v>2006</v>
      </c>
      <c r="B499">
        <v>142</v>
      </c>
      <c r="C499">
        <v>200</v>
      </c>
      <c r="D499" s="7">
        <v>-0.45400000000000001</v>
      </c>
      <c r="E499" s="7">
        <v>-7.75</v>
      </c>
      <c r="F499" s="7">
        <v>5.9279999999999999</v>
      </c>
      <c r="G499" s="7">
        <v>6.12</v>
      </c>
      <c r="H499" s="7"/>
      <c r="I499" s="7"/>
      <c r="J499" s="7"/>
      <c r="K499" s="7">
        <v>2.5880000000000001</v>
      </c>
      <c r="L499" s="7">
        <v>51.18</v>
      </c>
      <c r="M499" s="7">
        <v>0</v>
      </c>
      <c r="N499" s="7"/>
      <c r="O499">
        <v>-11.5</v>
      </c>
      <c r="P499">
        <v>-10.85</v>
      </c>
      <c r="Q499">
        <v>10.47</v>
      </c>
      <c r="S499">
        <v>10.63</v>
      </c>
      <c r="T499">
        <v>0</v>
      </c>
      <c r="U499">
        <v>97.3</v>
      </c>
      <c r="V499">
        <v>1030</v>
      </c>
      <c r="W499">
        <v>52.78</v>
      </c>
      <c r="Y499">
        <v>12.96</v>
      </c>
    </row>
    <row r="500" spans="1:25" x14ac:dyDescent="0.25">
      <c r="A500">
        <v>2006</v>
      </c>
      <c r="B500">
        <v>142</v>
      </c>
      <c r="C500">
        <v>300</v>
      </c>
      <c r="D500" s="7">
        <v>-0.57099999999999995</v>
      </c>
      <c r="E500" s="7">
        <v>-6.9790000000000001</v>
      </c>
      <c r="F500" s="7">
        <v>6.069</v>
      </c>
      <c r="G500" s="7">
        <v>6.21</v>
      </c>
      <c r="H500" s="7"/>
      <c r="I500" s="7"/>
      <c r="J500" s="7"/>
      <c r="K500" s="7">
        <v>2.226</v>
      </c>
      <c r="L500" s="7">
        <v>43.31</v>
      </c>
      <c r="M500" s="7">
        <v>0.2</v>
      </c>
      <c r="N500" s="7"/>
      <c r="O500">
        <v>-11.5</v>
      </c>
      <c r="P500">
        <v>-10.84</v>
      </c>
      <c r="Q500">
        <v>10.4</v>
      </c>
      <c r="S500">
        <v>10.58</v>
      </c>
      <c r="T500">
        <v>0</v>
      </c>
      <c r="U500">
        <v>98</v>
      </c>
      <c r="V500">
        <v>1030</v>
      </c>
      <c r="W500">
        <v>52.79</v>
      </c>
      <c r="Y500">
        <v>12.93</v>
      </c>
    </row>
    <row r="501" spans="1:25" x14ac:dyDescent="0.25">
      <c r="A501">
        <v>2006</v>
      </c>
      <c r="B501">
        <v>142</v>
      </c>
      <c r="C501">
        <v>400</v>
      </c>
      <c r="D501" s="7">
        <v>-0.55100000000000005</v>
      </c>
      <c r="E501" s="7">
        <v>-8.68</v>
      </c>
      <c r="F501" s="7">
        <v>6.11</v>
      </c>
      <c r="G501" s="7">
        <v>6.4160000000000004</v>
      </c>
      <c r="H501" s="7"/>
      <c r="I501" s="7"/>
      <c r="J501" s="7"/>
      <c r="K501" s="7">
        <v>2.1459999999999999</v>
      </c>
      <c r="L501" s="7">
        <v>33.83</v>
      </c>
      <c r="M501" s="7">
        <v>0</v>
      </c>
      <c r="N501" s="7"/>
      <c r="O501">
        <v>-11.51</v>
      </c>
      <c r="P501">
        <v>-10.85</v>
      </c>
      <c r="Q501">
        <v>10.32</v>
      </c>
      <c r="S501">
        <v>10.49</v>
      </c>
      <c r="T501">
        <v>0</v>
      </c>
      <c r="U501">
        <v>95.8</v>
      </c>
      <c r="V501">
        <v>1030</v>
      </c>
      <c r="W501">
        <v>52.79</v>
      </c>
      <c r="Y501">
        <v>12.91</v>
      </c>
    </row>
    <row r="502" spans="1:25" x14ac:dyDescent="0.25">
      <c r="A502">
        <v>2006</v>
      </c>
      <c r="B502">
        <v>142</v>
      </c>
      <c r="C502">
        <v>500</v>
      </c>
      <c r="D502" s="7">
        <v>1.052</v>
      </c>
      <c r="E502" s="7">
        <v>-8.3699999999999992</v>
      </c>
      <c r="F502" s="7">
        <v>5.7290000000000001</v>
      </c>
      <c r="G502" s="7">
        <v>6.1840000000000002</v>
      </c>
      <c r="H502" s="7"/>
      <c r="I502" s="7"/>
      <c r="J502" s="7"/>
      <c r="K502" s="7">
        <v>2.4060000000000001</v>
      </c>
      <c r="L502" s="7">
        <v>25.81</v>
      </c>
      <c r="M502" s="7">
        <v>0</v>
      </c>
      <c r="N502" s="7"/>
      <c r="O502">
        <v>-9.26</v>
      </c>
      <c r="P502">
        <v>-10.42</v>
      </c>
      <c r="Q502">
        <v>10.24</v>
      </c>
      <c r="S502">
        <v>10.43</v>
      </c>
      <c r="T502">
        <v>0</v>
      </c>
      <c r="U502">
        <v>93.7</v>
      </c>
      <c r="V502">
        <v>1030</v>
      </c>
      <c r="W502">
        <v>52.79</v>
      </c>
      <c r="Y502">
        <v>12.89</v>
      </c>
    </row>
    <row r="503" spans="1:25" x14ac:dyDescent="0.25">
      <c r="A503">
        <v>2006</v>
      </c>
      <c r="B503">
        <v>142</v>
      </c>
      <c r="C503">
        <v>600</v>
      </c>
      <c r="D503" s="7">
        <v>8.16</v>
      </c>
      <c r="E503" s="7">
        <v>-4.5190000000000001</v>
      </c>
      <c r="F503" s="7">
        <v>5.4550000000000001</v>
      </c>
      <c r="G503" s="7">
        <v>5.9870000000000001</v>
      </c>
      <c r="H503" s="7"/>
      <c r="I503" s="7"/>
      <c r="J503" s="7"/>
      <c r="K503" s="7">
        <v>2.1819999999999999</v>
      </c>
      <c r="L503" s="7">
        <v>20.27</v>
      </c>
      <c r="M503" s="7">
        <v>0</v>
      </c>
      <c r="N503" s="7"/>
      <c r="O503">
        <v>2.2170000000000001</v>
      </c>
      <c r="P503">
        <v>-7.51</v>
      </c>
      <c r="Q503">
        <v>10.19</v>
      </c>
      <c r="S503">
        <v>10.36</v>
      </c>
      <c r="T503">
        <v>0</v>
      </c>
      <c r="U503">
        <v>92.5</v>
      </c>
      <c r="V503">
        <v>1030</v>
      </c>
      <c r="W503">
        <v>52.79</v>
      </c>
      <c r="Y503">
        <v>12.88</v>
      </c>
    </row>
    <row r="504" spans="1:25" x14ac:dyDescent="0.25">
      <c r="A504">
        <v>2006</v>
      </c>
      <c r="B504">
        <v>142</v>
      </c>
      <c r="C504">
        <v>700</v>
      </c>
      <c r="D504" s="7">
        <v>20.02</v>
      </c>
      <c r="E504" s="7">
        <v>2.617</v>
      </c>
      <c r="F504" s="7">
        <v>5.3540000000000001</v>
      </c>
      <c r="G504" s="7">
        <v>6.0410000000000004</v>
      </c>
      <c r="H504" s="7"/>
      <c r="I504" s="7"/>
      <c r="J504" s="7"/>
      <c r="K504" s="7">
        <v>2.218</v>
      </c>
      <c r="L504" s="7">
        <v>29.06</v>
      </c>
      <c r="M504" s="7">
        <v>0</v>
      </c>
      <c r="N504" s="7"/>
      <c r="O504">
        <v>18.899999999999999</v>
      </c>
      <c r="P504">
        <v>-3.4430000000000001</v>
      </c>
      <c r="Q504">
        <v>10.11</v>
      </c>
      <c r="S504">
        <v>10.29</v>
      </c>
      <c r="T504">
        <v>0</v>
      </c>
      <c r="U504">
        <v>90.4</v>
      </c>
      <c r="V504">
        <v>1029</v>
      </c>
      <c r="W504">
        <v>52.7</v>
      </c>
      <c r="Y504">
        <v>12.88</v>
      </c>
    </row>
    <row r="505" spans="1:25" x14ac:dyDescent="0.25">
      <c r="A505">
        <v>2006</v>
      </c>
      <c r="B505">
        <v>142</v>
      </c>
      <c r="C505">
        <v>800</v>
      </c>
      <c r="D505" s="7">
        <v>33.86</v>
      </c>
      <c r="E505" s="7">
        <v>11.54</v>
      </c>
      <c r="F505" s="7">
        <v>5.41</v>
      </c>
      <c r="G505" s="7">
        <v>6.1849999999999996</v>
      </c>
      <c r="H505" s="7"/>
      <c r="I505" s="7"/>
      <c r="J505" s="7"/>
      <c r="K505" s="7">
        <v>2.161</v>
      </c>
      <c r="L505" s="7">
        <v>17.170000000000002</v>
      </c>
      <c r="M505" s="7">
        <v>0</v>
      </c>
      <c r="N505" s="7"/>
      <c r="O505">
        <v>37.39</v>
      </c>
      <c r="P505">
        <v>1.4650000000000001</v>
      </c>
      <c r="Q505">
        <v>10.039999999999999</v>
      </c>
      <c r="S505">
        <v>10.26</v>
      </c>
      <c r="T505">
        <v>0</v>
      </c>
      <c r="U505">
        <v>89.3</v>
      </c>
      <c r="V505">
        <v>893</v>
      </c>
      <c r="W505">
        <v>39.22</v>
      </c>
      <c r="Y505">
        <v>12.91</v>
      </c>
    </row>
    <row r="506" spans="1:25" x14ac:dyDescent="0.25">
      <c r="A506">
        <v>2006</v>
      </c>
      <c r="B506">
        <v>142</v>
      </c>
      <c r="C506">
        <v>900</v>
      </c>
      <c r="D506" s="7">
        <v>77.7</v>
      </c>
      <c r="E506" s="7">
        <v>39.799999999999997</v>
      </c>
      <c r="F506" s="7">
        <v>5.7249999999999996</v>
      </c>
      <c r="G506" s="7">
        <v>6.43</v>
      </c>
      <c r="H506" s="7">
        <f>AVERAGE(G506:G529)</f>
        <v>5.6632500000000014</v>
      </c>
      <c r="I506" s="7">
        <f>MIN(G506:G529)</f>
        <v>1.74</v>
      </c>
      <c r="J506" s="7">
        <f>MAX(G506:G529)</f>
        <v>10.06</v>
      </c>
      <c r="K506" s="7">
        <v>2.3340000000000001</v>
      </c>
      <c r="L506" s="7">
        <v>343.7</v>
      </c>
      <c r="M506" s="7">
        <v>0</v>
      </c>
      <c r="N506" s="7">
        <f>SUM(M506:M529)</f>
        <v>0.2</v>
      </c>
      <c r="O506">
        <v>99.3</v>
      </c>
      <c r="P506">
        <v>19.579999999999998</v>
      </c>
      <c r="Q506">
        <v>10</v>
      </c>
      <c r="S506">
        <v>10.199999999999999</v>
      </c>
      <c r="T506">
        <v>0</v>
      </c>
      <c r="U506">
        <v>90.3</v>
      </c>
      <c r="V506">
        <v>859</v>
      </c>
      <c r="W506">
        <v>36.619999999999997</v>
      </c>
      <c r="Y506">
        <v>13.22</v>
      </c>
    </row>
    <row r="507" spans="1:25" x14ac:dyDescent="0.25">
      <c r="A507">
        <v>2006</v>
      </c>
      <c r="B507">
        <v>142</v>
      </c>
      <c r="C507">
        <v>1000</v>
      </c>
      <c r="D507" s="7">
        <v>144.6</v>
      </c>
      <c r="E507" s="7">
        <v>81.599999999999994</v>
      </c>
      <c r="F507" s="7">
        <v>6.1820000000000004</v>
      </c>
      <c r="G507" s="7">
        <v>6.6660000000000004</v>
      </c>
      <c r="H507" s="7"/>
      <c r="I507" s="7"/>
      <c r="J507" s="7"/>
      <c r="K507" s="7">
        <v>1.9690000000000001</v>
      </c>
      <c r="L507" s="7">
        <v>357.2</v>
      </c>
      <c r="M507" s="7">
        <v>0</v>
      </c>
      <c r="N507" s="7"/>
      <c r="O507">
        <v>194.9</v>
      </c>
      <c r="P507">
        <v>47.85</v>
      </c>
      <c r="Q507">
        <v>10</v>
      </c>
      <c r="S507">
        <v>10.16</v>
      </c>
      <c r="T507">
        <v>0</v>
      </c>
      <c r="U507">
        <v>93.4</v>
      </c>
      <c r="V507">
        <v>852</v>
      </c>
      <c r="W507">
        <v>36.21</v>
      </c>
      <c r="Y507">
        <v>13.65</v>
      </c>
    </row>
    <row r="508" spans="1:25" x14ac:dyDescent="0.25">
      <c r="A508">
        <v>2006</v>
      </c>
      <c r="B508">
        <v>142</v>
      </c>
      <c r="C508">
        <v>1100</v>
      </c>
      <c r="D508" s="7">
        <v>218.1</v>
      </c>
      <c r="E508" s="7">
        <v>131.5</v>
      </c>
      <c r="F508" s="7">
        <v>7.07</v>
      </c>
      <c r="G508" s="7">
        <v>7.46</v>
      </c>
      <c r="H508" s="7"/>
      <c r="I508" s="7"/>
      <c r="J508" s="7"/>
      <c r="K508" s="7">
        <v>1.948</v>
      </c>
      <c r="L508" s="7">
        <v>354</v>
      </c>
      <c r="M508" s="7">
        <v>0</v>
      </c>
      <c r="N508" s="7"/>
      <c r="O508">
        <v>295.5</v>
      </c>
      <c r="P508">
        <v>68.7</v>
      </c>
      <c r="Q508">
        <v>9.99</v>
      </c>
      <c r="S508">
        <v>10.19</v>
      </c>
      <c r="T508">
        <v>0</v>
      </c>
      <c r="U508">
        <v>94.8</v>
      </c>
      <c r="V508">
        <v>847</v>
      </c>
      <c r="W508">
        <v>35.86</v>
      </c>
      <c r="Y508">
        <v>13.83</v>
      </c>
    </row>
    <row r="509" spans="1:25" x14ac:dyDescent="0.25">
      <c r="A509">
        <v>2006</v>
      </c>
      <c r="B509">
        <v>142</v>
      </c>
      <c r="C509">
        <v>1200</v>
      </c>
      <c r="D509" s="7">
        <v>315.10000000000002</v>
      </c>
      <c r="E509" s="7">
        <v>203</v>
      </c>
      <c r="F509" s="7">
        <v>7.73</v>
      </c>
      <c r="G509" s="7">
        <v>8.32</v>
      </c>
      <c r="H509" s="7"/>
      <c r="I509" s="7"/>
      <c r="J509" s="7"/>
      <c r="K509" s="7">
        <v>2.1040000000000001</v>
      </c>
      <c r="L509" s="7">
        <v>355</v>
      </c>
      <c r="M509" s="7">
        <v>0</v>
      </c>
      <c r="N509" s="7"/>
      <c r="O509">
        <v>424</v>
      </c>
      <c r="P509">
        <v>95.9</v>
      </c>
      <c r="Q509">
        <v>10.029999999999999</v>
      </c>
      <c r="S509">
        <v>10.15</v>
      </c>
      <c r="T509">
        <v>0</v>
      </c>
      <c r="U509">
        <v>92.4</v>
      </c>
      <c r="V509">
        <v>844</v>
      </c>
      <c r="W509">
        <v>35.71</v>
      </c>
      <c r="Y509">
        <v>13.99</v>
      </c>
    </row>
    <row r="510" spans="1:25" x14ac:dyDescent="0.25">
      <c r="A510">
        <v>2006</v>
      </c>
      <c r="B510">
        <v>142</v>
      </c>
      <c r="C510">
        <v>1300</v>
      </c>
      <c r="D510" s="7">
        <v>276.7</v>
      </c>
      <c r="E510" s="7">
        <v>169.3</v>
      </c>
      <c r="F510" s="7">
        <v>8.15</v>
      </c>
      <c r="G510" s="7">
        <v>8.19</v>
      </c>
      <c r="H510" s="7"/>
      <c r="I510" s="7"/>
      <c r="J510" s="7"/>
      <c r="K510" s="7">
        <v>2.5070000000000001</v>
      </c>
      <c r="L510" s="7">
        <v>0</v>
      </c>
      <c r="M510" s="7">
        <v>0.2</v>
      </c>
      <c r="N510" s="7"/>
      <c r="O510">
        <v>375.4</v>
      </c>
      <c r="P510">
        <v>92.6</v>
      </c>
      <c r="Q510">
        <v>10.130000000000001</v>
      </c>
      <c r="S510">
        <v>10.15</v>
      </c>
      <c r="T510">
        <v>0</v>
      </c>
      <c r="U510">
        <v>99.6</v>
      </c>
      <c r="V510">
        <v>842</v>
      </c>
      <c r="W510">
        <v>35.56</v>
      </c>
      <c r="Y510">
        <v>14</v>
      </c>
    </row>
    <row r="511" spans="1:25" x14ac:dyDescent="0.25">
      <c r="A511">
        <v>2006</v>
      </c>
      <c r="B511">
        <v>142</v>
      </c>
      <c r="C511">
        <v>1400</v>
      </c>
      <c r="D511" s="7">
        <v>357.6</v>
      </c>
      <c r="E511" s="7">
        <v>219.2</v>
      </c>
      <c r="F511" s="7">
        <v>8.75</v>
      </c>
      <c r="G511" s="7">
        <v>8.98</v>
      </c>
      <c r="H511" s="7"/>
      <c r="I511" s="7"/>
      <c r="J511" s="7"/>
      <c r="K511" s="7">
        <v>2.4700000000000002</v>
      </c>
      <c r="L511" s="7">
        <v>0</v>
      </c>
      <c r="M511" s="7">
        <v>0</v>
      </c>
      <c r="N511" s="7"/>
      <c r="O511">
        <v>463.6</v>
      </c>
      <c r="P511">
        <v>127</v>
      </c>
      <c r="Q511">
        <v>10.24</v>
      </c>
      <c r="S511">
        <v>10.19</v>
      </c>
      <c r="T511">
        <v>0</v>
      </c>
      <c r="U511">
        <v>97.2</v>
      </c>
      <c r="V511">
        <v>838</v>
      </c>
      <c r="W511">
        <v>35.340000000000003</v>
      </c>
      <c r="Y511">
        <v>14.09</v>
      </c>
    </row>
    <row r="512" spans="1:25" x14ac:dyDescent="0.25">
      <c r="A512">
        <v>2006</v>
      </c>
      <c r="B512">
        <v>142</v>
      </c>
      <c r="C512">
        <v>1500</v>
      </c>
      <c r="D512" s="7">
        <v>636.4</v>
      </c>
      <c r="E512" s="7">
        <v>384.1</v>
      </c>
      <c r="F512" s="7">
        <v>9.89</v>
      </c>
      <c r="G512" s="7">
        <v>10.06</v>
      </c>
      <c r="H512" s="7"/>
      <c r="I512" s="7"/>
      <c r="J512" s="7"/>
      <c r="K512" s="7">
        <v>3.4790000000000001</v>
      </c>
      <c r="L512" s="7">
        <v>0</v>
      </c>
      <c r="M512" s="7">
        <v>0</v>
      </c>
      <c r="N512" s="7"/>
      <c r="O512">
        <v>784</v>
      </c>
      <c r="P512">
        <v>205.2</v>
      </c>
      <c r="Q512">
        <v>10.38</v>
      </c>
      <c r="S512">
        <v>10.31</v>
      </c>
      <c r="T512">
        <v>0</v>
      </c>
      <c r="U512">
        <v>97.9</v>
      </c>
      <c r="V512">
        <v>833</v>
      </c>
      <c r="W512">
        <v>35.06</v>
      </c>
      <c r="Y512">
        <v>14.35</v>
      </c>
    </row>
    <row r="513" spans="1:25" x14ac:dyDescent="0.25">
      <c r="A513">
        <v>2006</v>
      </c>
      <c r="B513">
        <v>142</v>
      </c>
      <c r="C513">
        <v>1600</v>
      </c>
      <c r="D513" s="7">
        <v>555.20000000000005</v>
      </c>
      <c r="E513" s="7">
        <v>323.8</v>
      </c>
      <c r="F513" s="7">
        <v>10.09</v>
      </c>
      <c r="G513" s="7">
        <v>10.039999999999999</v>
      </c>
      <c r="H513" s="7"/>
      <c r="I513" s="7"/>
      <c r="J513" s="7"/>
      <c r="K513" s="7">
        <v>3.6070000000000002</v>
      </c>
      <c r="L513" s="7">
        <v>0</v>
      </c>
      <c r="M513" s="7">
        <v>0</v>
      </c>
      <c r="N513" s="7"/>
      <c r="O513">
        <v>685</v>
      </c>
      <c r="P513">
        <v>212</v>
      </c>
      <c r="Q513">
        <v>10.54</v>
      </c>
      <c r="S513">
        <v>10.4</v>
      </c>
      <c r="T513">
        <v>0</v>
      </c>
      <c r="U513">
        <v>100.7</v>
      </c>
      <c r="V513">
        <v>826</v>
      </c>
      <c r="W513">
        <v>34.67</v>
      </c>
      <c r="Y513">
        <v>14.31</v>
      </c>
    </row>
    <row r="514" spans="1:25" x14ac:dyDescent="0.25">
      <c r="A514">
        <v>2006</v>
      </c>
      <c r="B514">
        <v>142</v>
      </c>
      <c r="C514">
        <v>1700</v>
      </c>
      <c r="D514" s="7">
        <v>480.3</v>
      </c>
      <c r="E514" s="7">
        <v>273.7</v>
      </c>
      <c r="F514" s="7">
        <v>9.74</v>
      </c>
      <c r="G514" s="7">
        <v>9.65</v>
      </c>
      <c r="H514" s="7"/>
      <c r="I514" s="7"/>
      <c r="J514" s="7"/>
      <c r="K514" s="7">
        <v>3.6059999999999999</v>
      </c>
      <c r="L514" s="7">
        <v>0</v>
      </c>
      <c r="M514" s="7">
        <v>0</v>
      </c>
      <c r="N514" s="7"/>
      <c r="O514">
        <v>593.1</v>
      </c>
      <c r="P514">
        <v>224.5</v>
      </c>
      <c r="Q514">
        <v>10.7</v>
      </c>
      <c r="S514">
        <v>10.51</v>
      </c>
      <c r="T514">
        <v>0</v>
      </c>
      <c r="U514">
        <v>101.2</v>
      </c>
      <c r="V514">
        <v>821</v>
      </c>
      <c r="W514">
        <v>34.36</v>
      </c>
      <c r="Y514">
        <v>14.08</v>
      </c>
    </row>
    <row r="515" spans="1:25" x14ac:dyDescent="0.25">
      <c r="A515">
        <v>2006</v>
      </c>
      <c r="B515">
        <v>142</v>
      </c>
      <c r="C515">
        <v>1800</v>
      </c>
      <c r="D515" s="7">
        <v>387</v>
      </c>
      <c r="E515" s="7">
        <v>214.9</v>
      </c>
      <c r="F515" s="7">
        <v>9.14</v>
      </c>
      <c r="G515" s="7">
        <v>9.0500000000000007</v>
      </c>
      <c r="H515" s="7"/>
      <c r="I515" s="7"/>
      <c r="J515" s="7"/>
      <c r="K515" s="7">
        <v>3.8170000000000002</v>
      </c>
      <c r="L515" s="7">
        <v>0</v>
      </c>
      <c r="M515" s="7">
        <v>0</v>
      </c>
      <c r="N515" s="7"/>
      <c r="O515">
        <v>477.9</v>
      </c>
      <c r="P515">
        <v>228.1</v>
      </c>
      <c r="Q515">
        <v>10.83</v>
      </c>
      <c r="S515">
        <v>10.65</v>
      </c>
      <c r="T515">
        <v>0</v>
      </c>
      <c r="U515">
        <v>101.1</v>
      </c>
      <c r="V515">
        <v>817</v>
      </c>
      <c r="W515">
        <v>34.14</v>
      </c>
      <c r="Y515">
        <v>13.78</v>
      </c>
    </row>
    <row r="516" spans="1:25" x14ac:dyDescent="0.25">
      <c r="A516">
        <v>2006</v>
      </c>
      <c r="B516">
        <v>142</v>
      </c>
      <c r="C516">
        <v>1900</v>
      </c>
      <c r="D516" s="7">
        <v>230.6</v>
      </c>
      <c r="E516" s="7">
        <v>112.5</v>
      </c>
      <c r="F516" s="7">
        <v>8.3000000000000007</v>
      </c>
      <c r="G516" s="7">
        <v>8.18</v>
      </c>
      <c r="H516" s="7"/>
      <c r="I516" s="7"/>
      <c r="J516" s="7"/>
      <c r="K516" s="7">
        <v>3.0750000000000002</v>
      </c>
      <c r="L516" s="7">
        <v>0</v>
      </c>
      <c r="M516" s="7">
        <v>0</v>
      </c>
      <c r="N516" s="7"/>
      <c r="O516">
        <v>293.60000000000002</v>
      </c>
      <c r="P516">
        <v>177.3</v>
      </c>
      <c r="Q516">
        <v>10.92</v>
      </c>
      <c r="S516">
        <v>10.76</v>
      </c>
      <c r="T516">
        <v>0</v>
      </c>
      <c r="U516">
        <v>101.5</v>
      </c>
      <c r="V516">
        <v>813</v>
      </c>
      <c r="W516">
        <v>33.950000000000003</v>
      </c>
      <c r="Y516">
        <v>13.63</v>
      </c>
    </row>
    <row r="517" spans="1:25" x14ac:dyDescent="0.25">
      <c r="A517">
        <v>2006</v>
      </c>
      <c r="B517">
        <v>142</v>
      </c>
      <c r="C517">
        <v>2000</v>
      </c>
      <c r="D517" s="7">
        <v>70.599999999999994</v>
      </c>
      <c r="E517" s="7">
        <v>-13.25</v>
      </c>
      <c r="F517" s="7">
        <v>6.84</v>
      </c>
      <c r="G517" s="7">
        <v>6.7240000000000002</v>
      </c>
      <c r="H517" s="7"/>
      <c r="I517" s="7"/>
      <c r="J517" s="7"/>
      <c r="K517" s="7">
        <v>2.0430000000000001</v>
      </c>
      <c r="L517" s="7">
        <v>326.89999999999998</v>
      </c>
      <c r="M517" s="7">
        <v>0</v>
      </c>
      <c r="N517" s="7"/>
      <c r="O517">
        <v>81.400000000000006</v>
      </c>
      <c r="P517">
        <v>64.45</v>
      </c>
      <c r="Q517">
        <v>10.89</v>
      </c>
      <c r="S517">
        <v>10.8</v>
      </c>
      <c r="T517">
        <v>0</v>
      </c>
      <c r="U517">
        <v>101.6</v>
      </c>
      <c r="V517">
        <v>813</v>
      </c>
      <c r="W517">
        <v>33.97</v>
      </c>
      <c r="Y517">
        <v>13.53</v>
      </c>
    </row>
    <row r="518" spans="1:25" x14ac:dyDescent="0.25">
      <c r="A518">
        <v>2006</v>
      </c>
      <c r="B518">
        <v>142</v>
      </c>
      <c r="C518">
        <v>2100</v>
      </c>
      <c r="D518" s="7">
        <v>3.8290000000000002</v>
      </c>
      <c r="E518" s="7">
        <v>-66.239999999999995</v>
      </c>
      <c r="F518" s="7">
        <v>4.5819999999999999</v>
      </c>
      <c r="G518" s="7">
        <v>4.4269999999999996</v>
      </c>
      <c r="H518" s="7"/>
      <c r="I518" s="7"/>
      <c r="J518" s="7"/>
      <c r="K518" s="7">
        <v>0.89800000000000002</v>
      </c>
      <c r="L518" s="7">
        <v>288.39999999999998</v>
      </c>
      <c r="M518" s="7">
        <v>0</v>
      </c>
      <c r="N518" s="7"/>
      <c r="O518">
        <v>-1.5820000000000001</v>
      </c>
      <c r="P518">
        <v>-4.4829999999999997</v>
      </c>
      <c r="Q518">
        <v>10.82</v>
      </c>
      <c r="S518">
        <v>10.81</v>
      </c>
      <c r="T518">
        <v>0</v>
      </c>
      <c r="U518">
        <v>102.4</v>
      </c>
      <c r="V518">
        <v>812</v>
      </c>
      <c r="W518">
        <v>33.880000000000003</v>
      </c>
      <c r="Y518">
        <v>13.44</v>
      </c>
    </row>
    <row r="519" spans="1:25" x14ac:dyDescent="0.25">
      <c r="A519">
        <v>2006</v>
      </c>
      <c r="B519">
        <v>142</v>
      </c>
      <c r="C519">
        <v>2200</v>
      </c>
      <c r="D519" s="7">
        <v>-3.9039999999999999</v>
      </c>
      <c r="E519" s="7">
        <v>-68.59</v>
      </c>
      <c r="F519" s="7">
        <v>2.109</v>
      </c>
      <c r="G519" s="7">
        <v>1.74</v>
      </c>
      <c r="H519" s="7"/>
      <c r="I519" s="7"/>
      <c r="J519" s="7"/>
      <c r="K519" s="7">
        <v>0.28100000000000003</v>
      </c>
      <c r="L519" s="7">
        <v>271.7</v>
      </c>
      <c r="M519" s="7">
        <v>0</v>
      </c>
      <c r="N519" s="7"/>
      <c r="O519">
        <v>-11.49</v>
      </c>
      <c r="P519">
        <v>-10.84</v>
      </c>
      <c r="Q519">
        <v>10.7</v>
      </c>
      <c r="S519">
        <v>10.76</v>
      </c>
      <c r="T519">
        <v>0</v>
      </c>
      <c r="U519">
        <v>106.3</v>
      </c>
      <c r="V519">
        <v>811</v>
      </c>
      <c r="W519">
        <v>33.86</v>
      </c>
      <c r="Y519">
        <v>13.36</v>
      </c>
    </row>
    <row r="520" spans="1:25" x14ac:dyDescent="0.25">
      <c r="A520">
        <v>2006</v>
      </c>
      <c r="B520">
        <v>142</v>
      </c>
      <c r="C520">
        <v>2300</v>
      </c>
      <c r="D520" s="7">
        <v>-3.37</v>
      </c>
      <c r="E520" s="7">
        <v>-58.63</v>
      </c>
      <c r="F520" s="7">
        <v>1.9410000000000001</v>
      </c>
      <c r="G520" s="7">
        <v>1.756</v>
      </c>
      <c r="H520" s="7"/>
      <c r="I520" s="7"/>
      <c r="J520" s="7"/>
      <c r="K520" s="7">
        <v>1.07</v>
      </c>
      <c r="L520" s="7">
        <v>254.6</v>
      </c>
      <c r="M520" s="7">
        <v>0</v>
      </c>
      <c r="N520" s="7"/>
      <c r="O520">
        <v>-11.51</v>
      </c>
      <c r="P520">
        <v>-10.85</v>
      </c>
      <c r="Q520">
        <v>10.53</v>
      </c>
      <c r="S520">
        <v>10.72</v>
      </c>
      <c r="T520">
        <v>0</v>
      </c>
      <c r="U520">
        <v>103.2</v>
      </c>
      <c r="V520">
        <v>813</v>
      </c>
      <c r="W520">
        <v>33.92</v>
      </c>
      <c r="Y520">
        <v>13.29</v>
      </c>
    </row>
    <row r="521" spans="1:25" x14ac:dyDescent="0.25">
      <c r="A521">
        <v>2006</v>
      </c>
      <c r="B521">
        <v>142</v>
      </c>
      <c r="C521">
        <v>2400</v>
      </c>
      <c r="D521" s="7">
        <v>-3.2970000000000002</v>
      </c>
      <c r="E521" s="7">
        <v>-58.72</v>
      </c>
      <c r="F521" s="7">
        <v>2.101</v>
      </c>
      <c r="G521" s="7">
        <v>2.0459999999999998</v>
      </c>
      <c r="H521" s="7"/>
      <c r="I521" s="7"/>
      <c r="J521" s="7"/>
      <c r="K521" s="7">
        <v>1.504</v>
      </c>
      <c r="L521" s="7">
        <v>250.4</v>
      </c>
      <c r="M521" s="7">
        <v>0</v>
      </c>
      <c r="N521" s="7"/>
      <c r="O521">
        <v>-11.5</v>
      </c>
      <c r="P521">
        <v>-10.85</v>
      </c>
      <c r="Q521">
        <v>10.32</v>
      </c>
      <c r="S521">
        <v>10.6</v>
      </c>
      <c r="T521">
        <v>0</v>
      </c>
      <c r="U521">
        <v>100.9</v>
      </c>
      <c r="V521">
        <v>812</v>
      </c>
      <c r="W521">
        <v>33.880000000000003</v>
      </c>
      <c r="Y521">
        <v>13.23</v>
      </c>
    </row>
    <row r="522" spans="1:25" x14ac:dyDescent="0.25">
      <c r="A522">
        <v>2006</v>
      </c>
      <c r="B522">
        <v>143</v>
      </c>
      <c r="C522">
        <v>100</v>
      </c>
      <c r="D522" s="7">
        <v>-2.9169999999999998</v>
      </c>
      <c r="E522" s="7">
        <v>-53.39</v>
      </c>
      <c r="F522" s="7">
        <v>2.218</v>
      </c>
      <c r="G522" s="7">
        <v>2.1869999999999998</v>
      </c>
      <c r="H522" s="7"/>
      <c r="I522" s="7"/>
      <c r="J522" s="7"/>
      <c r="K522" s="7">
        <v>1.6919999999999999</v>
      </c>
      <c r="L522" s="7">
        <v>250.8</v>
      </c>
      <c r="M522" s="7">
        <v>0</v>
      </c>
      <c r="N522" s="7"/>
      <c r="O522">
        <v>-11.51</v>
      </c>
      <c r="P522">
        <v>-10.85</v>
      </c>
      <c r="Q522">
        <v>10.11</v>
      </c>
      <c r="S522">
        <v>10.46</v>
      </c>
      <c r="T522">
        <v>0</v>
      </c>
      <c r="U522">
        <v>100.5</v>
      </c>
      <c r="V522">
        <v>810</v>
      </c>
      <c r="W522">
        <v>33.799999999999997</v>
      </c>
      <c r="Y522">
        <v>13.16</v>
      </c>
    </row>
    <row r="523" spans="1:25" x14ac:dyDescent="0.25">
      <c r="A523">
        <v>2006</v>
      </c>
      <c r="B523">
        <v>143</v>
      </c>
      <c r="C523">
        <v>200</v>
      </c>
      <c r="D523" s="7">
        <v>-2.6909999999999998</v>
      </c>
      <c r="E523" s="7">
        <v>-49.55</v>
      </c>
      <c r="F523" s="7">
        <v>2.35</v>
      </c>
      <c r="G523" s="7">
        <v>2.29</v>
      </c>
      <c r="H523" s="7"/>
      <c r="I523" s="7"/>
      <c r="J523" s="7"/>
      <c r="K523" s="7">
        <v>1.546</v>
      </c>
      <c r="L523" s="7">
        <v>243.7</v>
      </c>
      <c r="M523" s="7">
        <v>0</v>
      </c>
      <c r="N523" s="7"/>
      <c r="O523">
        <v>-11.51</v>
      </c>
      <c r="P523">
        <v>-10.85</v>
      </c>
      <c r="Q523">
        <v>9.9700000000000006</v>
      </c>
      <c r="S523">
        <v>10.39</v>
      </c>
      <c r="T523">
        <v>0</v>
      </c>
      <c r="U523">
        <v>101</v>
      </c>
      <c r="V523">
        <v>809</v>
      </c>
      <c r="W523">
        <v>33.74</v>
      </c>
      <c r="Y523">
        <v>13.1</v>
      </c>
    </row>
    <row r="524" spans="1:25" x14ac:dyDescent="0.25">
      <c r="A524">
        <v>2006</v>
      </c>
      <c r="B524">
        <v>143</v>
      </c>
      <c r="C524">
        <v>300</v>
      </c>
      <c r="D524" s="7">
        <v>-2.8410000000000002</v>
      </c>
      <c r="E524" s="7">
        <v>-53.39</v>
      </c>
      <c r="F524" s="7">
        <v>1.9730000000000001</v>
      </c>
      <c r="G524" s="7">
        <v>2.008</v>
      </c>
      <c r="H524" s="7"/>
      <c r="I524" s="7"/>
      <c r="J524" s="7"/>
      <c r="K524" s="7">
        <v>1.8280000000000001</v>
      </c>
      <c r="L524" s="7">
        <v>216.9</v>
      </c>
      <c r="M524" s="7">
        <v>0</v>
      </c>
      <c r="N524" s="7"/>
      <c r="O524">
        <v>-11.51</v>
      </c>
      <c r="P524">
        <v>-10.85</v>
      </c>
      <c r="Q524">
        <v>9.8000000000000007</v>
      </c>
      <c r="S524">
        <v>10.220000000000001</v>
      </c>
      <c r="T524">
        <v>0</v>
      </c>
      <c r="U524">
        <v>99.4</v>
      </c>
      <c r="V524">
        <v>809</v>
      </c>
      <c r="W524">
        <v>33.71</v>
      </c>
      <c r="Y524">
        <v>13.04</v>
      </c>
    </row>
    <row r="525" spans="1:25" x14ac:dyDescent="0.25">
      <c r="A525">
        <v>2006</v>
      </c>
      <c r="B525">
        <v>143</v>
      </c>
      <c r="C525">
        <v>400</v>
      </c>
      <c r="D525" s="7">
        <v>-2.6179999999999999</v>
      </c>
      <c r="E525" s="7">
        <v>-53.49</v>
      </c>
      <c r="F525" s="7">
        <v>1.8129999999999999</v>
      </c>
      <c r="G525" s="7">
        <v>2.0270000000000001</v>
      </c>
      <c r="H525" s="7"/>
      <c r="I525" s="7"/>
      <c r="J525" s="7"/>
      <c r="K525" s="7">
        <v>2.0059999999999998</v>
      </c>
      <c r="L525" s="7">
        <v>212.5</v>
      </c>
      <c r="M525" s="7">
        <v>0</v>
      </c>
      <c r="N525" s="7"/>
      <c r="O525">
        <v>-10.89</v>
      </c>
      <c r="P525">
        <v>-10.62</v>
      </c>
      <c r="Q525">
        <v>9.6199999999999992</v>
      </c>
      <c r="S525">
        <v>10.06</v>
      </c>
      <c r="T525">
        <v>0</v>
      </c>
      <c r="U525">
        <v>96.5</v>
      </c>
      <c r="V525">
        <v>808</v>
      </c>
      <c r="W525">
        <v>33.68</v>
      </c>
      <c r="Y525">
        <v>12.99</v>
      </c>
    </row>
    <row r="526" spans="1:25" x14ac:dyDescent="0.25">
      <c r="A526">
        <v>2006</v>
      </c>
      <c r="B526">
        <v>143</v>
      </c>
      <c r="C526">
        <v>500</v>
      </c>
      <c r="D526" s="7">
        <v>11.9</v>
      </c>
      <c r="E526" s="7">
        <v>-38.28</v>
      </c>
      <c r="F526" s="7">
        <v>1.9239999999999999</v>
      </c>
      <c r="G526" s="7">
        <v>2.161</v>
      </c>
      <c r="H526" s="7"/>
      <c r="I526" s="7"/>
      <c r="J526" s="7"/>
      <c r="K526" s="7">
        <v>1.9450000000000001</v>
      </c>
      <c r="L526" s="7">
        <v>214.4</v>
      </c>
      <c r="M526" s="7">
        <v>0</v>
      </c>
      <c r="N526" s="7"/>
      <c r="O526">
        <v>7.52</v>
      </c>
      <c r="P526">
        <v>-3.948</v>
      </c>
      <c r="Q526">
        <v>9.4600000000000009</v>
      </c>
      <c r="S526">
        <v>9.89</v>
      </c>
      <c r="T526">
        <v>0</v>
      </c>
      <c r="U526">
        <v>96.1</v>
      </c>
      <c r="V526">
        <v>808</v>
      </c>
      <c r="W526">
        <v>33.65</v>
      </c>
      <c r="Y526">
        <v>12.94</v>
      </c>
    </row>
    <row r="527" spans="1:25" x14ac:dyDescent="0.25">
      <c r="A527">
        <v>2006</v>
      </c>
      <c r="B527">
        <v>143</v>
      </c>
      <c r="C527">
        <v>600</v>
      </c>
      <c r="D527" s="7">
        <v>91.4</v>
      </c>
      <c r="E527" s="7">
        <v>39.4</v>
      </c>
      <c r="F527" s="7">
        <v>2.9039999999999999</v>
      </c>
      <c r="G527" s="7">
        <v>3.226</v>
      </c>
      <c r="H527" s="7"/>
      <c r="I527" s="7"/>
      <c r="J527" s="7"/>
      <c r="K527" s="7">
        <v>1.6870000000000001</v>
      </c>
      <c r="L527" s="7">
        <v>221.6</v>
      </c>
      <c r="M527" s="7">
        <v>0</v>
      </c>
      <c r="N527" s="7"/>
      <c r="O527">
        <v>124.7</v>
      </c>
      <c r="P527">
        <v>48.94</v>
      </c>
      <c r="Q527">
        <v>9.35</v>
      </c>
      <c r="S527">
        <v>9.8000000000000007</v>
      </c>
      <c r="T527">
        <v>0</v>
      </c>
      <c r="U527">
        <v>94.9</v>
      </c>
      <c r="V527">
        <v>807</v>
      </c>
      <c r="W527">
        <v>33.630000000000003</v>
      </c>
      <c r="Y527">
        <v>13.14</v>
      </c>
    </row>
    <row r="528" spans="1:25" x14ac:dyDescent="0.25">
      <c r="A528">
        <v>2006</v>
      </c>
      <c r="B528">
        <v>143</v>
      </c>
      <c r="C528">
        <v>700</v>
      </c>
      <c r="D528" s="7">
        <v>237.9</v>
      </c>
      <c r="E528" s="7">
        <v>166.6</v>
      </c>
      <c r="F528" s="7">
        <v>4.96</v>
      </c>
      <c r="G528" s="7">
        <v>5.1100000000000003</v>
      </c>
      <c r="H528" s="7"/>
      <c r="I528" s="7"/>
      <c r="J528" s="7"/>
      <c r="K528" s="7">
        <v>2.2610000000000001</v>
      </c>
      <c r="L528" s="7">
        <v>226.4</v>
      </c>
      <c r="M528" s="7">
        <v>0</v>
      </c>
      <c r="N528" s="7"/>
      <c r="O528">
        <v>341.7</v>
      </c>
      <c r="P528">
        <v>125.2</v>
      </c>
      <c r="Q528">
        <v>9.27</v>
      </c>
      <c r="S528">
        <v>9.73</v>
      </c>
      <c r="T528">
        <v>0</v>
      </c>
      <c r="U528">
        <v>97.8</v>
      </c>
      <c r="V528">
        <v>807</v>
      </c>
      <c r="W528">
        <v>33.61</v>
      </c>
      <c r="Y528">
        <v>13.85</v>
      </c>
    </row>
    <row r="529" spans="1:25" x14ac:dyDescent="0.25">
      <c r="A529">
        <v>2006</v>
      </c>
      <c r="B529">
        <v>143</v>
      </c>
      <c r="C529">
        <v>800</v>
      </c>
      <c r="D529" s="7">
        <v>396.3</v>
      </c>
      <c r="E529" s="7">
        <v>269.39999999999998</v>
      </c>
      <c r="F529" s="7">
        <v>6.9660000000000002</v>
      </c>
      <c r="G529" s="7">
        <v>7.19</v>
      </c>
      <c r="H529" s="7"/>
      <c r="I529" s="7"/>
      <c r="J529" s="7"/>
      <c r="K529" s="7">
        <v>2.355</v>
      </c>
      <c r="L529" s="7">
        <v>225.8</v>
      </c>
      <c r="M529" s="7">
        <v>0</v>
      </c>
      <c r="N529" s="7"/>
      <c r="O529">
        <v>541.5</v>
      </c>
      <c r="P529">
        <v>180.7</v>
      </c>
      <c r="Q529">
        <v>9.2899999999999991</v>
      </c>
      <c r="S529">
        <v>9.64</v>
      </c>
      <c r="T529">
        <v>0</v>
      </c>
      <c r="U529">
        <v>97</v>
      </c>
      <c r="V529">
        <v>806</v>
      </c>
      <c r="W529">
        <v>33.58</v>
      </c>
      <c r="Y529">
        <v>14.41</v>
      </c>
    </row>
    <row r="530" spans="1:25" x14ac:dyDescent="0.25">
      <c r="A530">
        <v>2006</v>
      </c>
      <c r="B530">
        <v>143</v>
      </c>
      <c r="C530">
        <v>900</v>
      </c>
      <c r="D530" s="7">
        <v>513.4</v>
      </c>
      <c r="E530" s="7">
        <v>331.9</v>
      </c>
      <c r="F530" s="7">
        <v>8.5299999999999994</v>
      </c>
      <c r="G530" s="7">
        <v>8.68</v>
      </c>
      <c r="H530" s="7">
        <f>AVERAGE(G530:G553)</f>
        <v>7.225416666666665</v>
      </c>
      <c r="I530" s="7">
        <f>MIN(G530:G553)</f>
        <v>4.4109999999999996</v>
      </c>
      <c r="J530" s="7">
        <f>MAX(G530:G553)</f>
        <v>11.61</v>
      </c>
      <c r="K530" s="7">
        <v>2.843</v>
      </c>
      <c r="L530" s="7">
        <v>229.3</v>
      </c>
      <c r="M530" s="7">
        <v>0</v>
      </c>
      <c r="N530" s="7">
        <f>SUM(M530:M553)</f>
        <v>6.2000000000000011</v>
      </c>
      <c r="O530">
        <v>661.5</v>
      </c>
      <c r="P530">
        <v>197.6</v>
      </c>
      <c r="Q530">
        <v>9.4</v>
      </c>
      <c r="S530">
        <v>9.56</v>
      </c>
      <c r="T530">
        <v>0</v>
      </c>
      <c r="U530">
        <v>98.1</v>
      </c>
      <c r="V530">
        <v>805</v>
      </c>
      <c r="W530">
        <v>33.54</v>
      </c>
      <c r="Y530">
        <v>14.68</v>
      </c>
    </row>
    <row r="531" spans="1:25" x14ac:dyDescent="0.25">
      <c r="A531">
        <v>2006</v>
      </c>
      <c r="B531">
        <v>143</v>
      </c>
      <c r="C531">
        <v>1000</v>
      </c>
      <c r="D531" s="7">
        <v>569.5</v>
      </c>
      <c r="E531" s="7">
        <v>357.2</v>
      </c>
      <c r="F531" s="7">
        <v>10.08</v>
      </c>
      <c r="G531" s="7">
        <v>10.19</v>
      </c>
      <c r="H531" s="7"/>
      <c r="I531" s="7"/>
      <c r="J531" s="7"/>
      <c r="K531" s="7">
        <v>3.1589999999999998</v>
      </c>
      <c r="L531" s="7">
        <v>231.7</v>
      </c>
      <c r="M531" s="7">
        <v>0</v>
      </c>
      <c r="N531" s="7"/>
      <c r="O531">
        <v>732</v>
      </c>
      <c r="P531">
        <v>203</v>
      </c>
      <c r="Q531">
        <v>9.6199999999999992</v>
      </c>
      <c r="S531">
        <v>9.51</v>
      </c>
      <c r="T531">
        <v>0</v>
      </c>
      <c r="U531">
        <v>98.6</v>
      </c>
      <c r="V531">
        <v>803</v>
      </c>
      <c r="W531">
        <v>33.42</v>
      </c>
      <c r="Y531">
        <v>14.6</v>
      </c>
    </row>
    <row r="532" spans="1:25" x14ac:dyDescent="0.25">
      <c r="A532">
        <v>2006</v>
      </c>
      <c r="B532">
        <v>143</v>
      </c>
      <c r="C532">
        <v>1100</v>
      </c>
      <c r="D532" s="7">
        <v>665.9</v>
      </c>
      <c r="E532" s="7">
        <v>414.1</v>
      </c>
      <c r="F532" s="7">
        <v>11.56</v>
      </c>
      <c r="G532" s="7">
        <v>11.61</v>
      </c>
      <c r="H532" s="7"/>
      <c r="I532" s="7"/>
      <c r="J532" s="7"/>
      <c r="K532" s="7">
        <v>3.4169999999999998</v>
      </c>
      <c r="L532" s="7">
        <v>235.4</v>
      </c>
      <c r="M532" s="7">
        <v>0</v>
      </c>
      <c r="N532" s="7"/>
      <c r="O532">
        <v>862</v>
      </c>
      <c r="P532">
        <v>236.8</v>
      </c>
      <c r="Q532">
        <v>9.94</v>
      </c>
      <c r="S532">
        <v>9.59</v>
      </c>
      <c r="T532">
        <v>0</v>
      </c>
      <c r="U532">
        <v>99.4</v>
      </c>
      <c r="V532">
        <v>801</v>
      </c>
      <c r="W532">
        <v>33.32</v>
      </c>
      <c r="Y532">
        <v>14.47</v>
      </c>
    </row>
    <row r="533" spans="1:25" x14ac:dyDescent="0.25">
      <c r="A533">
        <v>2006</v>
      </c>
      <c r="B533">
        <v>143</v>
      </c>
      <c r="C533">
        <v>1200</v>
      </c>
      <c r="D533" s="7">
        <v>263.39999999999998</v>
      </c>
      <c r="E533" s="7">
        <v>142.5</v>
      </c>
      <c r="F533" s="7">
        <v>10.37</v>
      </c>
      <c r="G533" s="7">
        <v>10.130000000000001</v>
      </c>
      <c r="H533" s="7"/>
      <c r="I533" s="7"/>
      <c r="J533" s="7"/>
      <c r="K533" s="7">
        <v>3.137</v>
      </c>
      <c r="L533" s="7">
        <v>227.9</v>
      </c>
      <c r="M533" s="7">
        <v>0</v>
      </c>
      <c r="N533" s="7"/>
      <c r="O533">
        <v>353.9</v>
      </c>
      <c r="P533">
        <v>95.3</v>
      </c>
      <c r="Q533">
        <v>10.24</v>
      </c>
      <c r="S533">
        <v>9.66</v>
      </c>
      <c r="T533">
        <v>0</v>
      </c>
      <c r="U533">
        <v>103</v>
      </c>
      <c r="V533">
        <v>799</v>
      </c>
      <c r="W533">
        <v>33.22</v>
      </c>
      <c r="Y533">
        <v>13.99</v>
      </c>
    </row>
    <row r="534" spans="1:25" x14ac:dyDescent="0.25">
      <c r="A534">
        <v>2006</v>
      </c>
      <c r="B534">
        <v>143</v>
      </c>
      <c r="C534">
        <v>1300</v>
      </c>
      <c r="D534" s="7">
        <v>111.5</v>
      </c>
      <c r="E534" s="7">
        <v>52.15</v>
      </c>
      <c r="F534" s="7">
        <v>8.09</v>
      </c>
      <c r="G534" s="7">
        <v>7.78</v>
      </c>
      <c r="H534" s="7"/>
      <c r="I534" s="7"/>
      <c r="J534" s="7"/>
      <c r="K534" s="7">
        <v>2.3959999999999999</v>
      </c>
      <c r="L534" s="7">
        <v>239.2</v>
      </c>
      <c r="M534" s="7">
        <v>4.5999999999999996</v>
      </c>
      <c r="N534" s="7"/>
      <c r="O534">
        <v>151.6</v>
      </c>
      <c r="P534">
        <v>30.45</v>
      </c>
      <c r="Q534">
        <v>10.5</v>
      </c>
      <c r="S534">
        <v>9.84</v>
      </c>
      <c r="T534">
        <v>0</v>
      </c>
      <c r="U534">
        <v>104.4</v>
      </c>
      <c r="V534">
        <v>799</v>
      </c>
      <c r="W534">
        <v>33.22</v>
      </c>
      <c r="Y534">
        <v>13.82</v>
      </c>
    </row>
    <row r="535" spans="1:25" x14ac:dyDescent="0.25">
      <c r="A535">
        <v>2006</v>
      </c>
      <c r="B535">
        <v>143</v>
      </c>
      <c r="C535">
        <v>1400</v>
      </c>
      <c r="D535" s="7">
        <v>551.5</v>
      </c>
      <c r="E535" s="7">
        <v>353.2</v>
      </c>
      <c r="F535" s="7">
        <v>8.8000000000000007</v>
      </c>
      <c r="G535" s="7">
        <v>8.7100000000000009</v>
      </c>
      <c r="H535" s="7"/>
      <c r="I535" s="7"/>
      <c r="J535" s="7"/>
      <c r="K535" s="7">
        <v>2.423</v>
      </c>
      <c r="L535" s="7">
        <v>239.1</v>
      </c>
      <c r="M535" s="7">
        <v>0.2</v>
      </c>
      <c r="N535" s="7"/>
      <c r="O535">
        <v>693.7</v>
      </c>
      <c r="P535">
        <v>150.30000000000001</v>
      </c>
      <c r="Q535">
        <v>10.74</v>
      </c>
      <c r="S535">
        <v>10.26</v>
      </c>
      <c r="T535">
        <v>0</v>
      </c>
      <c r="U535">
        <v>101.4</v>
      </c>
      <c r="V535">
        <v>1017</v>
      </c>
      <c r="W535">
        <v>51.01</v>
      </c>
      <c r="Y535">
        <v>14.26</v>
      </c>
    </row>
    <row r="536" spans="1:25" x14ac:dyDescent="0.25">
      <c r="A536">
        <v>2006</v>
      </c>
      <c r="B536">
        <v>143</v>
      </c>
      <c r="C536">
        <v>1500</v>
      </c>
      <c r="D536" s="7">
        <v>345.7</v>
      </c>
      <c r="E536" s="7">
        <v>207.1</v>
      </c>
      <c r="F536" s="7">
        <v>9.1300000000000008</v>
      </c>
      <c r="G536" s="7">
        <v>9.31</v>
      </c>
      <c r="H536" s="7"/>
      <c r="I536" s="7"/>
      <c r="J536" s="7"/>
      <c r="K536" s="7">
        <v>3.1190000000000002</v>
      </c>
      <c r="L536" s="7">
        <v>252.6</v>
      </c>
      <c r="M536" s="7">
        <v>0.4</v>
      </c>
      <c r="N536" s="7"/>
      <c r="O536">
        <v>453.5</v>
      </c>
      <c r="P536">
        <v>110.6</v>
      </c>
      <c r="Q536">
        <v>10.86</v>
      </c>
      <c r="S536">
        <v>10.42</v>
      </c>
      <c r="T536">
        <v>0</v>
      </c>
      <c r="U536">
        <v>97.8</v>
      </c>
      <c r="V536">
        <v>1018</v>
      </c>
      <c r="W536">
        <v>51.15</v>
      </c>
      <c r="Y536">
        <v>14.06</v>
      </c>
    </row>
    <row r="537" spans="1:25" x14ac:dyDescent="0.25">
      <c r="A537">
        <v>2006</v>
      </c>
      <c r="B537">
        <v>143</v>
      </c>
      <c r="C537">
        <v>1600</v>
      </c>
      <c r="D537" s="7">
        <v>292.60000000000002</v>
      </c>
      <c r="E537" s="7">
        <v>170.4</v>
      </c>
      <c r="F537" s="7">
        <v>8.8800000000000008</v>
      </c>
      <c r="G537" s="7">
        <v>9.01</v>
      </c>
      <c r="H537" s="7"/>
      <c r="I537" s="7"/>
      <c r="J537" s="7"/>
      <c r="K537" s="7">
        <v>3.0270000000000001</v>
      </c>
      <c r="L537" s="7">
        <v>246.5</v>
      </c>
      <c r="M537" s="7">
        <v>0.4</v>
      </c>
      <c r="N537" s="7"/>
      <c r="O537">
        <v>378</v>
      </c>
      <c r="P537">
        <v>97</v>
      </c>
      <c r="Q537">
        <v>11.03</v>
      </c>
      <c r="S537">
        <v>10.52</v>
      </c>
      <c r="T537">
        <v>0</v>
      </c>
      <c r="U537">
        <v>98.4</v>
      </c>
      <c r="V537">
        <v>1017</v>
      </c>
      <c r="W537">
        <v>51.11</v>
      </c>
      <c r="Y537">
        <v>13.99</v>
      </c>
    </row>
    <row r="538" spans="1:25" x14ac:dyDescent="0.25">
      <c r="A538">
        <v>2006</v>
      </c>
      <c r="B538">
        <v>143</v>
      </c>
      <c r="C538">
        <v>1700</v>
      </c>
      <c r="D538" s="7">
        <v>231.2</v>
      </c>
      <c r="E538" s="7">
        <v>127.9</v>
      </c>
      <c r="F538" s="7">
        <v>8.01</v>
      </c>
      <c r="G538" s="7">
        <v>8.08</v>
      </c>
      <c r="H538" s="7"/>
      <c r="I538" s="7"/>
      <c r="J538" s="7"/>
      <c r="K538" s="7">
        <v>3.3090000000000002</v>
      </c>
      <c r="L538" s="7">
        <v>267.3</v>
      </c>
      <c r="M538" s="7">
        <v>0.2</v>
      </c>
      <c r="N538" s="7"/>
      <c r="O538">
        <v>296.60000000000002</v>
      </c>
      <c r="P538">
        <v>73</v>
      </c>
      <c r="Q538">
        <v>11.19</v>
      </c>
      <c r="S538">
        <v>10.67</v>
      </c>
      <c r="T538">
        <v>0</v>
      </c>
      <c r="U538">
        <v>99.1</v>
      </c>
      <c r="V538">
        <v>1018</v>
      </c>
      <c r="W538">
        <v>51.13</v>
      </c>
      <c r="Y538">
        <v>13.92</v>
      </c>
    </row>
    <row r="539" spans="1:25" x14ac:dyDescent="0.25">
      <c r="A539">
        <v>2006</v>
      </c>
      <c r="B539">
        <v>143</v>
      </c>
      <c r="C539">
        <v>1800</v>
      </c>
      <c r="D539" s="7">
        <v>202.2</v>
      </c>
      <c r="E539" s="7">
        <v>104.5</v>
      </c>
      <c r="F539" s="7">
        <v>8.65</v>
      </c>
      <c r="G539" s="7">
        <v>8.8000000000000007</v>
      </c>
      <c r="H539" s="7"/>
      <c r="I539" s="7"/>
      <c r="J539" s="7"/>
      <c r="K539" s="7">
        <v>2.8940000000000001</v>
      </c>
      <c r="L539" s="7">
        <v>256.3</v>
      </c>
      <c r="M539" s="7">
        <v>0</v>
      </c>
      <c r="N539" s="7"/>
      <c r="O539">
        <v>254.1</v>
      </c>
      <c r="P539">
        <v>69.39</v>
      </c>
      <c r="Q539">
        <v>11.29</v>
      </c>
      <c r="S539">
        <v>10.79</v>
      </c>
      <c r="T539">
        <v>0</v>
      </c>
      <c r="U539">
        <v>98</v>
      </c>
      <c r="V539">
        <v>1018</v>
      </c>
      <c r="W539">
        <v>51.14</v>
      </c>
      <c r="Y539">
        <v>13.83</v>
      </c>
    </row>
    <row r="540" spans="1:25" x14ac:dyDescent="0.25">
      <c r="A540">
        <v>2006</v>
      </c>
      <c r="B540">
        <v>143</v>
      </c>
      <c r="C540">
        <v>1900</v>
      </c>
      <c r="D540" s="7">
        <v>89.4</v>
      </c>
      <c r="E540" s="7">
        <v>32.24</v>
      </c>
      <c r="F540" s="7">
        <v>7.35</v>
      </c>
      <c r="G540" s="7">
        <v>7.47</v>
      </c>
      <c r="H540" s="7"/>
      <c r="I540" s="7"/>
      <c r="J540" s="7"/>
      <c r="K540" s="7">
        <v>3.173</v>
      </c>
      <c r="L540" s="7">
        <v>254.2</v>
      </c>
      <c r="M540" s="7">
        <v>0</v>
      </c>
      <c r="N540" s="7"/>
      <c r="O540">
        <v>113.6</v>
      </c>
      <c r="P540">
        <v>26.67</v>
      </c>
      <c r="Q540">
        <v>11.35</v>
      </c>
      <c r="S540">
        <v>10.85</v>
      </c>
      <c r="T540">
        <v>0</v>
      </c>
      <c r="U540">
        <v>98.4</v>
      </c>
      <c r="V540">
        <v>980</v>
      </c>
      <c r="W540">
        <v>47.52</v>
      </c>
      <c r="Y540">
        <v>13.68</v>
      </c>
    </row>
    <row r="541" spans="1:25" x14ac:dyDescent="0.25">
      <c r="A541">
        <v>2006</v>
      </c>
      <c r="B541">
        <v>143</v>
      </c>
      <c r="C541">
        <v>2000</v>
      </c>
      <c r="D541" s="7">
        <v>61.88</v>
      </c>
      <c r="E541" s="7">
        <v>-1.4490000000000001</v>
      </c>
      <c r="F541" s="7">
        <v>7.02</v>
      </c>
      <c r="G541" s="7">
        <v>7.05</v>
      </c>
      <c r="H541" s="7"/>
      <c r="I541" s="7"/>
      <c r="J541" s="7"/>
      <c r="K541" s="7">
        <v>2.4649999999999999</v>
      </c>
      <c r="L541" s="7">
        <v>249.1</v>
      </c>
      <c r="M541" s="7">
        <v>0</v>
      </c>
      <c r="N541" s="7"/>
      <c r="O541">
        <v>73.2</v>
      </c>
      <c r="P541">
        <v>26.55</v>
      </c>
      <c r="Q541">
        <v>11.38</v>
      </c>
      <c r="S541">
        <v>10.92</v>
      </c>
      <c r="T541">
        <v>0</v>
      </c>
      <c r="U541">
        <v>99.5</v>
      </c>
      <c r="V541">
        <v>855</v>
      </c>
      <c r="W541">
        <v>36.409999999999997</v>
      </c>
      <c r="Y541">
        <v>13.57</v>
      </c>
    </row>
    <row r="542" spans="1:25" x14ac:dyDescent="0.25">
      <c r="A542">
        <v>2006</v>
      </c>
      <c r="B542">
        <v>143</v>
      </c>
      <c r="C542">
        <v>2100</v>
      </c>
      <c r="D542" s="7">
        <v>3.468</v>
      </c>
      <c r="E542" s="7">
        <v>-29.58</v>
      </c>
      <c r="F542" s="7">
        <v>6.4370000000000003</v>
      </c>
      <c r="G542" s="7">
        <v>6.4749999999999996</v>
      </c>
      <c r="H542" s="7"/>
      <c r="I542" s="7"/>
      <c r="J542" s="7"/>
      <c r="K542" s="7">
        <v>2.0619999999999998</v>
      </c>
      <c r="L542" s="7">
        <v>259.5</v>
      </c>
      <c r="M542" s="7">
        <v>0</v>
      </c>
      <c r="N542" s="7"/>
      <c r="O542">
        <v>-4.8769999999999998</v>
      </c>
      <c r="P542">
        <v>-8.8699999999999992</v>
      </c>
      <c r="Q542">
        <v>11.33</v>
      </c>
      <c r="S542">
        <v>10.95</v>
      </c>
      <c r="T542">
        <v>0</v>
      </c>
      <c r="U542">
        <v>99.5</v>
      </c>
      <c r="V542">
        <v>846</v>
      </c>
      <c r="W542">
        <v>35.799999999999997</v>
      </c>
      <c r="Y542">
        <v>13.48</v>
      </c>
    </row>
    <row r="543" spans="1:25" x14ac:dyDescent="0.25">
      <c r="A543">
        <v>2006</v>
      </c>
      <c r="B543">
        <v>143</v>
      </c>
      <c r="C543">
        <v>2200</v>
      </c>
      <c r="D543" s="7">
        <v>-2.0369999999999999</v>
      </c>
      <c r="E543" s="7">
        <v>-37.869999999999997</v>
      </c>
      <c r="F543" s="7">
        <v>5.9349999999999996</v>
      </c>
      <c r="G543" s="7">
        <v>5.86</v>
      </c>
      <c r="H543" s="7"/>
      <c r="I543" s="7"/>
      <c r="J543" s="7"/>
      <c r="K543" s="7">
        <v>1.8580000000000001</v>
      </c>
      <c r="L543" s="7">
        <v>234.1</v>
      </c>
      <c r="M543" s="7">
        <v>0</v>
      </c>
      <c r="N543" s="7"/>
      <c r="O543">
        <v>-11.5</v>
      </c>
      <c r="P543">
        <v>-10.84</v>
      </c>
      <c r="Q543">
        <v>11.28</v>
      </c>
      <c r="S543">
        <v>10.97</v>
      </c>
      <c r="T543">
        <v>0</v>
      </c>
      <c r="U543">
        <v>101.1</v>
      </c>
      <c r="V543">
        <v>842</v>
      </c>
      <c r="W543">
        <v>35.61</v>
      </c>
      <c r="Y543">
        <v>13.4</v>
      </c>
    </row>
    <row r="544" spans="1:25" x14ac:dyDescent="0.25">
      <c r="A544">
        <v>2006</v>
      </c>
      <c r="B544">
        <v>143</v>
      </c>
      <c r="C544">
        <v>2300</v>
      </c>
      <c r="D544" s="7">
        <v>-1.8</v>
      </c>
      <c r="E544" s="7">
        <v>-33.909999999999997</v>
      </c>
      <c r="F544" s="7">
        <v>5.3760000000000003</v>
      </c>
      <c r="G544" s="7">
        <v>5.4809999999999999</v>
      </c>
      <c r="H544" s="7"/>
      <c r="I544" s="7"/>
      <c r="J544" s="7"/>
      <c r="K544" s="7">
        <v>1.9970000000000001</v>
      </c>
      <c r="L544" s="7">
        <v>232.7</v>
      </c>
      <c r="M544" s="7">
        <v>0</v>
      </c>
      <c r="N544" s="7"/>
      <c r="O544">
        <v>-11.5</v>
      </c>
      <c r="P544">
        <v>-10.84</v>
      </c>
      <c r="Q544">
        <v>11.14</v>
      </c>
      <c r="S544">
        <v>10.91</v>
      </c>
      <c r="T544">
        <v>0</v>
      </c>
      <c r="U544">
        <v>98.5</v>
      </c>
      <c r="V544">
        <v>836</v>
      </c>
      <c r="W544">
        <v>35.26</v>
      </c>
      <c r="Y544">
        <v>13.33</v>
      </c>
    </row>
    <row r="545" spans="1:25" x14ac:dyDescent="0.25">
      <c r="A545">
        <v>2006</v>
      </c>
      <c r="B545">
        <v>143</v>
      </c>
      <c r="C545">
        <v>2400</v>
      </c>
      <c r="D545" s="7">
        <v>-1.232</v>
      </c>
      <c r="E545" s="7">
        <v>-24.91</v>
      </c>
      <c r="F545" s="7">
        <v>5.7949999999999999</v>
      </c>
      <c r="G545" s="7">
        <v>5.9329999999999998</v>
      </c>
      <c r="H545" s="7"/>
      <c r="I545" s="7"/>
      <c r="J545" s="7"/>
      <c r="K545" s="7">
        <v>2.278</v>
      </c>
      <c r="L545" s="7">
        <v>235.2</v>
      </c>
      <c r="M545" s="7">
        <v>0</v>
      </c>
      <c r="N545" s="7"/>
      <c r="O545">
        <v>-11.5</v>
      </c>
      <c r="P545">
        <v>-10.85</v>
      </c>
      <c r="Q545">
        <v>11</v>
      </c>
      <c r="S545">
        <v>10.83</v>
      </c>
      <c r="T545">
        <v>0</v>
      </c>
      <c r="U545">
        <v>98.1</v>
      </c>
      <c r="V545">
        <v>834</v>
      </c>
      <c r="W545">
        <v>35.11</v>
      </c>
      <c r="Y545">
        <v>13.26</v>
      </c>
    </row>
    <row r="546" spans="1:25" x14ac:dyDescent="0.25">
      <c r="A546">
        <v>2006</v>
      </c>
      <c r="B546">
        <v>144</v>
      </c>
      <c r="C546">
        <v>100</v>
      </c>
      <c r="D546" s="7">
        <v>-1.4239999999999999</v>
      </c>
      <c r="E546" s="7">
        <v>-29.57</v>
      </c>
      <c r="F546" s="7">
        <v>5.7149999999999999</v>
      </c>
      <c r="G546" s="7">
        <v>5.91</v>
      </c>
      <c r="H546" s="7"/>
      <c r="I546" s="7"/>
      <c r="J546" s="7"/>
      <c r="K546" s="7">
        <v>2.2360000000000002</v>
      </c>
      <c r="L546" s="7">
        <v>240.3</v>
      </c>
      <c r="M546" s="7">
        <v>0</v>
      </c>
      <c r="N546" s="7"/>
      <c r="O546">
        <v>-11.5</v>
      </c>
      <c r="P546">
        <v>-10.85</v>
      </c>
      <c r="Q546">
        <v>10.87</v>
      </c>
      <c r="S546">
        <v>10.74</v>
      </c>
      <c r="T546">
        <v>0</v>
      </c>
      <c r="U546">
        <v>97.2</v>
      </c>
      <c r="V546">
        <v>830</v>
      </c>
      <c r="W546">
        <v>34.89</v>
      </c>
      <c r="Y546">
        <v>13.19</v>
      </c>
    </row>
    <row r="547" spans="1:25" x14ac:dyDescent="0.25">
      <c r="A547">
        <v>2006</v>
      </c>
      <c r="B547">
        <v>144</v>
      </c>
      <c r="C547">
        <v>200</v>
      </c>
      <c r="D547" s="7">
        <v>-1.6919999999999999</v>
      </c>
      <c r="E547" s="7">
        <v>-22.35</v>
      </c>
      <c r="F547" s="7">
        <v>5.5279999999999996</v>
      </c>
      <c r="G547" s="7">
        <v>5.6230000000000002</v>
      </c>
      <c r="H547" s="7"/>
      <c r="I547" s="7"/>
      <c r="J547" s="7"/>
      <c r="K547" s="7">
        <v>1.84</v>
      </c>
      <c r="L547" s="7">
        <v>254.8</v>
      </c>
      <c r="M547" s="7">
        <v>0</v>
      </c>
      <c r="N547" s="7"/>
      <c r="O547">
        <v>-11.5</v>
      </c>
      <c r="P547">
        <v>-10.84</v>
      </c>
      <c r="Q547">
        <v>10.74</v>
      </c>
      <c r="S547">
        <v>10.64</v>
      </c>
      <c r="T547">
        <v>0</v>
      </c>
      <c r="U547">
        <v>98.7</v>
      </c>
      <c r="V547">
        <v>828</v>
      </c>
      <c r="W547">
        <v>34.76</v>
      </c>
      <c r="Y547">
        <v>13.13</v>
      </c>
    </row>
    <row r="548" spans="1:25" x14ac:dyDescent="0.25">
      <c r="A548">
        <v>2006</v>
      </c>
      <c r="B548">
        <v>144</v>
      </c>
      <c r="C548">
        <v>300</v>
      </c>
      <c r="D548" s="7">
        <v>-1.66</v>
      </c>
      <c r="E548" s="7">
        <v>-24.47</v>
      </c>
      <c r="F548" s="7">
        <v>4.67</v>
      </c>
      <c r="G548" s="7">
        <v>4.625</v>
      </c>
      <c r="H548" s="7"/>
      <c r="I548" s="7"/>
      <c r="J548" s="7"/>
      <c r="K548" s="7">
        <v>2.2669999999999999</v>
      </c>
      <c r="L548" s="7">
        <v>273.2</v>
      </c>
      <c r="M548" s="7">
        <v>0.2</v>
      </c>
      <c r="N548" s="7"/>
      <c r="O548">
        <v>-11.5</v>
      </c>
      <c r="P548">
        <v>-10.85</v>
      </c>
      <c r="Q548">
        <v>10.63</v>
      </c>
      <c r="S548">
        <v>10.56</v>
      </c>
      <c r="T548">
        <v>0</v>
      </c>
      <c r="U548">
        <v>100.7</v>
      </c>
      <c r="V548">
        <v>826</v>
      </c>
      <c r="W548">
        <v>34.68</v>
      </c>
      <c r="Y548">
        <v>13.07</v>
      </c>
    </row>
    <row r="549" spans="1:25" x14ac:dyDescent="0.25">
      <c r="A549">
        <v>2006</v>
      </c>
      <c r="B549">
        <v>144</v>
      </c>
      <c r="C549">
        <v>400</v>
      </c>
      <c r="D549" s="7">
        <v>-1.3009999999999999</v>
      </c>
      <c r="E549" s="7">
        <v>-26.8</v>
      </c>
      <c r="F549" s="7">
        <v>4.452</v>
      </c>
      <c r="G549" s="7">
        <v>4.4329999999999998</v>
      </c>
      <c r="H549" s="7"/>
      <c r="I549" s="7"/>
      <c r="J549" s="7"/>
      <c r="K549" s="7">
        <v>1.8979999999999999</v>
      </c>
      <c r="L549" s="7">
        <v>238.4</v>
      </c>
      <c r="M549" s="7">
        <v>0</v>
      </c>
      <c r="N549" s="7"/>
      <c r="O549">
        <v>-10.96</v>
      </c>
      <c r="P549">
        <v>-10.73</v>
      </c>
      <c r="Q549">
        <v>10.56</v>
      </c>
      <c r="S549">
        <v>10.48</v>
      </c>
      <c r="T549">
        <v>0</v>
      </c>
      <c r="U549">
        <v>100.3</v>
      </c>
      <c r="V549">
        <v>827</v>
      </c>
      <c r="W549">
        <v>34.74</v>
      </c>
      <c r="Y549">
        <v>13.02</v>
      </c>
    </row>
    <row r="550" spans="1:25" x14ac:dyDescent="0.25">
      <c r="A550">
        <v>2006</v>
      </c>
      <c r="B550">
        <v>144</v>
      </c>
      <c r="C550">
        <v>500</v>
      </c>
      <c r="D550" s="7">
        <v>11.31</v>
      </c>
      <c r="E550" s="7">
        <v>-31.13</v>
      </c>
      <c r="F550" s="7">
        <v>4.28</v>
      </c>
      <c r="G550" s="7">
        <v>4.4109999999999996</v>
      </c>
      <c r="H550" s="7"/>
      <c r="I550" s="7"/>
      <c r="J550" s="7"/>
      <c r="K550" s="7">
        <v>2.621</v>
      </c>
      <c r="L550" s="7">
        <v>248</v>
      </c>
      <c r="M550" s="7">
        <v>0</v>
      </c>
      <c r="N550" s="7"/>
      <c r="O550">
        <v>4.9420000000000002</v>
      </c>
      <c r="P550">
        <v>-5.367</v>
      </c>
      <c r="Q550">
        <v>10.44</v>
      </c>
      <c r="S550">
        <v>10.37</v>
      </c>
      <c r="T550">
        <v>0</v>
      </c>
      <c r="U550">
        <v>98</v>
      </c>
      <c r="V550">
        <v>826</v>
      </c>
      <c r="W550">
        <v>34.64</v>
      </c>
      <c r="Y550">
        <v>12.97</v>
      </c>
    </row>
    <row r="551" spans="1:25" x14ac:dyDescent="0.25">
      <c r="A551">
        <v>2006</v>
      </c>
      <c r="B551">
        <v>144</v>
      </c>
      <c r="C551">
        <v>600</v>
      </c>
      <c r="D551" s="7">
        <v>88.6</v>
      </c>
      <c r="E551" s="7">
        <v>37.1</v>
      </c>
      <c r="F551" s="7">
        <v>4.657</v>
      </c>
      <c r="G551" s="7">
        <v>4.7939999999999996</v>
      </c>
      <c r="H551" s="7"/>
      <c r="I551" s="7"/>
      <c r="J551" s="7"/>
      <c r="K551" s="7">
        <v>3.1970000000000001</v>
      </c>
      <c r="L551" s="7">
        <v>253.9</v>
      </c>
      <c r="M551" s="7">
        <v>0.2</v>
      </c>
      <c r="N551" s="7"/>
      <c r="O551">
        <v>118.6</v>
      </c>
      <c r="P551">
        <v>32.76</v>
      </c>
      <c r="Q551">
        <v>10.31</v>
      </c>
      <c r="S551">
        <v>10.26</v>
      </c>
      <c r="T551">
        <v>0</v>
      </c>
      <c r="U551">
        <v>98</v>
      </c>
      <c r="V551">
        <v>824</v>
      </c>
      <c r="W551">
        <v>34.549999999999997</v>
      </c>
      <c r="Y551">
        <v>13.21</v>
      </c>
    </row>
    <row r="552" spans="1:25" x14ac:dyDescent="0.25">
      <c r="A552">
        <v>2006</v>
      </c>
      <c r="B552">
        <v>144</v>
      </c>
      <c r="C552">
        <v>700</v>
      </c>
      <c r="D552" s="7">
        <v>246.8</v>
      </c>
      <c r="E552" s="7">
        <v>174.1</v>
      </c>
      <c r="F552" s="7">
        <v>5.5910000000000002</v>
      </c>
      <c r="G552" s="7">
        <v>5.875</v>
      </c>
      <c r="H552" s="7"/>
      <c r="I552" s="7"/>
      <c r="J552" s="7"/>
      <c r="K552" s="7">
        <v>3.524</v>
      </c>
      <c r="L552" s="7">
        <v>259.89999999999998</v>
      </c>
      <c r="M552" s="7">
        <v>0</v>
      </c>
      <c r="N552" s="7"/>
      <c r="O552">
        <v>354.7</v>
      </c>
      <c r="P552">
        <v>115.9</v>
      </c>
      <c r="Q552">
        <v>10.23</v>
      </c>
      <c r="S552">
        <v>10.23</v>
      </c>
      <c r="T552">
        <v>0</v>
      </c>
      <c r="U552">
        <v>96</v>
      </c>
      <c r="V552">
        <v>824</v>
      </c>
      <c r="W552">
        <v>34.549999999999997</v>
      </c>
      <c r="Y552">
        <v>13.85</v>
      </c>
    </row>
    <row r="553" spans="1:25" x14ac:dyDescent="0.25">
      <c r="A553">
        <v>2006</v>
      </c>
      <c r="B553">
        <v>144</v>
      </c>
      <c r="C553">
        <v>800</v>
      </c>
      <c r="D553" s="7">
        <v>398.7</v>
      </c>
      <c r="E553" s="7">
        <v>277.10000000000002</v>
      </c>
      <c r="F553" s="7">
        <v>6.8280000000000003</v>
      </c>
      <c r="G553" s="7">
        <v>7.17</v>
      </c>
      <c r="H553" s="7"/>
      <c r="I553" s="7"/>
      <c r="J553" s="7"/>
      <c r="K553" s="7">
        <v>4.5049999999999999</v>
      </c>
      <c r="L553" s="7">
        <v>266.39999999999998</v>
      </c>
      <c r="M553" s="7">
        <v>0</v>
      </c>
      <c r="N553" s="7"/>
      <c r="O553">
        <v>541.20000000000005</v>
      </c>
      <c r="P553">
        <v>167.5</v>
      </c>
      <c r="Q553">
        <v>10.220000000000001</v>
      </c>
      <c r="S553">
        <v>10.16</v>
      </c>
      <c r="T553">
        <v>0</v>
      </c>
      <c r="U553">
        <v>95.3</v>
      </c>
      <c r="V553">
        <v>822</v>
      </c>
      <c r="W553">
        <v>34.44</v>
      </c>
      <c r="Y553">
        <v>14.38</v>
      </c>
    </row>
    <row r="554" spans="1:25" x14ac:dyDescent="0.25">
      <c r="A554">
        <v>2006</v>
      </c>
      <c r="B554">
        <v>144</v>
      </c>
      <c r="C554">
        <v>900</v>
      </c>
      <c r="D554" s="7">
        <v>483</v>
      </c>
      <c r="E554" s="7">
        <v>308.5</v>
      </c>
      <c r="F554" s="7">
        <v>8.18</v>
      </c>
      <c r="G554" s="7">
        <v>8.35</v>
      </c>
      <c r="H554" s="7">
        <f>AVERAGE(G554:G577)</f>
        <v>7.8748333333333314</v>
      </c>
      <c r="I554" s="7">
        <f>MIN(G554:G577)</f>
        <v>1.2569999999999999</v>
      </c>
      <c r="J554" s="7">
        <f>MAX(G554:G577)</f>
        <v>12.02</v>
      </c>
      <c r="K554" s="7">
        <v>4.2679999999999998</v>
      </c>
      <c r="L554" s="7">
        <v>272.39999999999998</v>
      </c>
      <c r="M554" s="7">
        <v>0</v>
      </c>
      <c r="N554" s="7">
        <f>SUM(M554:M577)</f>
        <v>0.8</v>
      </c>
      <c r="O554">
        <v>621.70000000000005</v>
      </c>
      <c r="P554">
        <v>180.1</v>
      </c>
      <c r="Q554">
        <v>10.28</v>
      </c>
      <c r="S554">
        <v>10.1</v>
      </c>
      <c r="T554">
        <v>0</v>
      </c>
      <c r="U554">
        <v>97.7</v>
      </c>
      <c r="V554">
        <v>819</v>
      </c>
      <c r="W554">
        <v>34.29</v>
      </c>
      <c r="Y554">
        <v>14.6</v>
      </c>
    </row>
    <row r="555" spans="1:25" x14ac:dyDescent="0.25">
      <c r="A555">
        <v>2006</v>
      </c>
      <c r="B555">
        <v>144</v>
      </c>
      <c r="C555">
        <v>1000</v>
      </c>
      <c r="D555" s="7">
        <v>574.29999999999995</v>
      </c>
      <c r="E555" s="7">
        <v>355.8</v>
      </c>
      <c r="F555" s="7">
        <v>9.4700000000000006</v>
      </c>
      <c r="G555" s="7">
        <v>9.57</v>
      </c>
      <c r="H555" s="7"/>
      <c r="I555" s="7"/>
      <c r="J555" s="7"/>
      <c r="K555" s="7">
        <v>4.6230000000000002</v>
      </c>
      <c r="L555" s="7">
        <v>290.89999999999998</v>
      </c>
      <c r="M555" s="7">
        <v>0</v>
      </c>
      <c r="N555" s="7"/>
      <c r="O555">
        <v>745</v>
      </c>
      <c r="P555">
        <v>199.8</v>
      </c>
      <c r="Q555">
        <v>10.41</v>
      </c>
      <c r="S555">
        <v>10.050000000000001</v>
      </c>
      <c r="T555">
        <v>0</v>
      </c>
      <c r="U555">
        <v>98.8</v>
      </c>
      <c r="V555">
        <v>816</v>
      </c>
      <c r="W555">
        <v>34.119999999999997</v>
      </c>
      <c r="Y555">
        <v>14.59</v>
      </c>
    </row>
    <row r="556" spans="1:25" x14ac:dyDescent="0.25">
      <c r="A556">
        <v>2006</v>
      </c>
      <c r="B556">
        <v>144</v>
      </c>
      <c r="C556">
        <v>1100</v>
      </c>
      <c r="D556" s="7">
        <v>437</v>
      </c>
      <c r="E556" s="7">
        <v>266.10000000000002</v>
      </c>
      <c r="F556" s="7">
        <v>9.56</v>
      </c>
      <c r="G556" s="7">
        <v>9.52</v>
      </c>
      <c r="H556" s="7"/>
      <c r="I556" s="7"/>
      <c r="J556" s="7"/>
      <c r="K556" s="7">
        <v>4.0579999999999998</v>
      </c>
      <c r="L556" s="7">
        <v>291</v>
      </c>
      <c r="M556" s="7">
        <v>0.6</v>
      </c>
      <c r="N556" s="7"/>
      <c r="O556">
        <v>563.1</v>
      </c>
      <c r="P556">
        <v>140.5</v>
      </c>
      <c r="Q556">
        <v>10.61</v>
      </c>
      <c r="S556">
        <v>10.09</v>
      </c>
      <c r="T556">
        <v>0</v>
      </c>
      <c r="U556">
        <v>100.6</v>
      </c>
      <c r="V556">
        <v>814</v>
      </c>
      <c r="W556">
        <v>33.979999999999997</v>
      </c>
      <c r="Y556">
        <v>14.2</v>
      </c>
    </row>
    <row r="557" spans="1:25" x14ac:dyDescent="0.25">
      <c r="A557">
        <v>2006</v>
      </c>
      <c r="B557">
        <v>144</v>
      </c>
      <c r="C557">
        <v>1200</v>
      </c>
      <c r="D557" s="7">
        <v>618.70000000000005</v>
      </c>
      <c r="E557" s="7">
        <v>394.2</v>
      </c>
      <c r="F557" s="7">
        <v>9.32</v>
      </c>
      <c r="G557" s="7">
        <v>9.39</v>
      </c>
      <c r="H557" s="7"/>
      <c r="I557" s="7"/>
      <c r="J557" s="7"/>
      <c r="K557" s="7">
        <v>3.4249999999999998</v>
      </c>
      <c r="L557" s="7">
        <v>287.5</v>
      </c>
      <c r="M557" s="7">
        <v>0</v>
      </c>
      <c r="N557" s="7"/>
      <c r="O557">
        <v>792</v>
      </c>
      <c r="P557">
        <v>169.9</v>
      </c>
      <c r="Q557">
        <v>10.79</v>
      </c>
      <c r="S557">
        <v>10.18</v>
      </c>
      <c r="T557">
        <v>0</v>
      </c>
      <c r="U557">
        <v>99.1</v>
      </c>
      <c r="V557">
        <v>814</v>
      </c>
      <c r="W557">
        <v>34.020000000000003</v>
      </c>
      <c r="Y557">
        <v>14.09</v>
      </c>
    </row>
    <row r="558" spans="1:25" x14ac:dyDescent="0.25">
      <c r="A558">
        <v>2006</v>
      </c>
      <c r="B558">
        <v>144</v>
      </c>
      <c r="C558">
        <v>1300</v>
      </c>
      <c r="D558" s="7">
        <v>650.70000000000005</v>
      </c>
      <c r="E558" s="7">
        <v>403.6</v>
      </c>
      <c r="F558" s="7">
        <v>11.18</v>
      </c>
      <c r="G558" s="7">
        <v>11.31</v>
      </c>
      <c r="H558" s="7"/>
      <c r="I558" s="7"/>
      <c r="J558" s="7"/>
      <c r="K558" s="7">
        <v>3.492</v>
      </c>
      <c r="L558" s="7">
        <v>278.5</v>
      </c>
      <c r="M558" s="7">
        <v>0.2</v>
      </c>
      <c r="N558" s="7"/>
      <c r="O558">
        <v>828</v>
      </c>
      <c r="P558">
        <v>196.8</v>
      </c>
      <c r="Q558">
        <v>11.03</v>
      </c>
      <c r="S558">
        <v>10.41</v>
      </c>
      <c r="T558">
        <v>0</v>
      </c>
      <c r="U558">
        <v>98.5</v>
      </c>
      <c r="V558">
        <v>813</v>
      </c>
      <c r="W558">
        <v>33.950000000000003</v>
      </c>
      <c r="Y558">
        <v>14.14</v>
      </c>
    </row>
    <row r="559" spans="1:25" x14ac:dyDescent="0.25">
      <c r="A559">
        <v>2006</v>
      </c>
      <c r="B559">
        <v>144</v>
      </c>
      <c r="C559">
        <v>1400</v>
      </c>
      <c r="D559" s="7">
        <v>484.2</v>
      </c>
      <c r="E559" s="7">
        <v>278.60000000000002</v>
      </c>
      <c r="F559" s="7">
        <v>11.76</v>
      </c>
      <c r="G559" s="7">
        <v>11.77</v>
      </c>
      <c r="H559" s="7"/>
      <c r="I559" s="7"/>
      <c r="J559" s="7"/>
      <c r="K559" s="7">
        <v>3.6829999999999998</v>
      </c>
      <c r="L559" s="7">
        <v>288</v>
      </c>
      <c r="M559" s="7">
        <v>0</v>
      </c>
      <c r="N559" s="7"/>
      <c r="O559">
        <v>603.5</v>
      </c>
      <c r="P559">
        <v>166.8</v>
      </c>
      <c r="Q559">
        <v>11.28</v>
      </c>
      <c r="S559">
        <v>10.61</v>
      </c>
      <c r="T559">
        <v>0</v>
      </c>
      <c r="U559">
        <v>99.9</v>
      </c>
      <c r="V559">
        <v>811</v>
      </c>
      <c r="W559">
        <v>33.82</v>
      </c>
      <c r="Y559">
        <v>14.27</v>
      </c>
    </row>
    <row r="560" spans="1:25" x14ac:dyDescent="0.25">
      <c r="A560">
        <v>2006</v>
      </c>
      <c r="B560">
        <v>144</v>
      </c>
      <c r="C560">
        <v>1500</v>
      </c>
      <c r="D560" s="7">
        <v>451.4</v>
      </c>
      <c r="E560" s="7">
        <v>252.4</v>
      </c>
      <c r="F560" s="7">
        <v>12.06</v>
      </c>
      <c r="G560" s="7">
        <v>12.02</v>
      </c>
      <c r="H560" s="7"/>
      <c r="I560" s="7"/>
      <c r="J560" s="7"/>
      <c r="K560" s="7">
        <v>3.089</v>
      </c>
      <c r="L560" s="7">
        <v>295.60000000000002</v>
      </c>
      <c r="M560" s="7">
        <v>0</v>
      </c>
      <c r="N560" s="7"/>
      <c r="O560">
        <v>567.29999999999995</v>
      </c>
      <c r="P560">
        <v>159.4</v>
      </c>
      <c r="Q560">
        <v>11.53</v>
      </c>
      <c r="S560">
        <v>10.84</v>
      </c>
      <c r="T560">
        <v>0</v>
      </c>
      <c r="U560">
        <v>100.4</v>
      </c>
      <c r="V560">
        <v>807</v>
      </c>
      <c r="W560">
        <v>33.61</v>
      </c>
      <c r="Y560">
        <v>14.17</v>
      </c>
    </row>
    <row r="561" spans="1:25" x14ac:dyDescent="0.25">
      <c r="A561">
        <v>2006</v>
      </c>
      <c r="B561">
        <v>144</v>
      </c>
      <c r="C561">
        <v>1600</v>
      </c>
      <c r="D561" s="7">
        <v>356.9</v>
      </c>
      <c r="E561" s="7">
        <v>205.6</v>
      </c>
      <c r="F561" s="7">
        <v>11.51</v>
      </c>
      <c r="G561" s="7">
        <v>11.47</v>
      </c>
      <c r="H561" s="7"/>
      <c r="I561" s="7"/>
      <c r="J561" s="7"/>
      <c r="K561" s="7">
        <v>2.9220000000000002</v>
      </c>
      <c r="L561" s="7">
        <v>299</v>
      </c>
      <c r="M561" s="7">
        <v>0</v>
      </c>
      <c r="N561" s="7"/>
      <c r="O561">
        <v>450.3</v>
      </c>
      <c r="P561">
        <v>139</v>
      </c>
      <c r="Q561">
        <v>11.74</v>
      </c>
      <c r="S561">
        <v>11.06</v>
      </c>
      <c r="T561">
        <v>0</v>
      </c>
      <c r="U561">
        <v>100.5</v>
      </c>
      <c r="V561">
        <v>805</v>
      </c>
      <c r="W561">
        <v>33.51</v>
      </c>
      <c r="Y561">
        <v>14.09</v>
      </c>
    </row>
    <row r="562" spans="1:25" x14ac:dyDescent="0.25">
      <c r="A562">
        <v>2006</v>
      </c>
      <c r="B562">
        <v>144</v>
      </c>
      <c r="C562">
        <v>1700</v>
      </c>
      <c r="D562" s="7">
        <v>292.3</v>
      </c>
      <c r="E562" s="7">
        <v>155.30000000000001</v>
      </c>
      <c r="F562" s="7">
        <v>11.97</v>
      </c>
      <c r="G562" s="7">
        <v>11.92</v>
      </c>
      <c r="H562" s="7"/>
      <c r="I562" s="7"/>
      <c r="J562" s="7"/>
      <c r="K562" s="7">
        <v>2.2719999999999998</v>
      </c>
      <c r="L562" s="7">
        <v>300.60000000000002</v>
      </c>
      <c r="M562" s="7">
        <v>0</v>
      </c>
      <c r="N562" s="7"/>
      <c r="O562">
        <v>366.6</v>
      </c>
      <c r="P562">
        <v>122.5</v>
      </c>
      <c r="Q562">
        <v>11.92</v>
      </c>
      <c r="S562">
        <v>11.28</v>
      </c>
      <c r="T562">
        <v>0</v>
      </c>
      <c r="U562">
        <v>100.6</v>
      </c>
      <c r="V562">
        <v>804</v>
      </c>
      <c r="W562">
        <v>33.450000000000003</v>
      </c>
      <c r="Y562">
        <v>13.97</v>
      </c>
    </row>
    <row r="563" spans="1:25" x14ac:dyDescent="0.25">
      <c r="A563">
        <v>2006</v>
      </c>
      <c r="B563">
        <v>144</v>
      </c>
      <c r="C563">
        <v>1800</v>
      </c>
      <c r="D563" s="7">
        <v>230.3</v>
      </c>
      <c r="E563" s="7">
        <v>117.1</v>
      </c>
      <c r="F563" s="7">
        <v>11.94</v>
      </c>
      <c r="G563" s="7">
        <v>11.89</v>
      </c>
      <c r="H563" s="7"/>
      <c r="I563" s="7"/>
      <c r="J563" s="7"/>
      <c r="K563" s="7">
        <v>1.9059999999999999</v>
      </c>
      <c r="L563" s="7">
        <v>308.10000000000002</v>
      </c>
      <c r="M563" s="7">
        <v>0</v>
      </c>
      <c r="N563" s="7"/>
      <c r="O563">
        <v>296.60000000000002</v>
      </c>
      <c r="P563">
        <v>105.3</v>
      </c>
      <c r="Q563">
        <v>12.06</v>
      </c>
      <c r="S563">
        <v>11.44</v>
      </c>
      <c r="T563">
        <v>0</v>
      </c>
      <c r="U563">
        <v>100.6</v>
      </c>
      <c r="V563">
        <v>803</v>
      </c>
      <c r="W563">
        <v>33.4</v>
      </c>
      <c r="Y563">
        <v>13.83</v>
      </c>
    </row>
    <row r="564" spans="1:25" x14ac:dyDescent="0.25">
      <c r="A564">
        <v>2006</v>
      </c>
      <c r="B564">
        <v>144</v>
      </c>
      <c r="C564">
        <v>1900</v>
      </c>
      <c r="D564" s="7">
        <v>120.8</v>
      </c>
      <c r="E564" s="7">
        <v>41.36</v>
      </c>
      <c r="F564" s="7">
        <v>11.31</v>
      </c>
      <c r="G564" s="7">
        <v>11.25</v>
      </c>
      <c r="H564" s="7"/>
      <c r="I564" s="7"/>
      <c r="J564" s="7"/>
      <c r="K564" s="7">
        <v>1.6259999999999999</v>
      </c>
      <c r="L564" s="7">
        <v>316.3</v>
      </c>
      <c r="M564" s="7">
        <v>0</v>
      </c>
      <c r="N564" s="7"/>
      <c r="O564">
        <v>148.69999999999999</v>
      </c>
      <c r="P564">
        <v>45.93</v>
      </c>
      <c r="Q564">
        <v>12.15</v>
      </c>
      <c r="S564">
        <v>11.56</v>
      </c>
      <c r="T564">
        <v>0</v>
      </c>
      <c r="U564">
        <v>100.7</v>
      </c>
      <c r="V564">
        <v>801</v>
      </c>
      <c r="W564">
        <v>33.31</v>
      </c>
      <c r="Y564">
        <v>13.7</v>
      </c>
    </row>
    <row r="565" spans="1:25" x14ac:dyDescent="0.25">
      <c r="A565">
        <v>2006</v>
      </c>
      <c r="B565">
        <v>144</v>
      </c>
      <c r="C565">
        <v>2000</v>
      </c>
      <c r="D565" s="7">
        <v>35.18</v>
      </c>
      <c r="E565" s="7">
        <v>-15.38</v>
      </c>
      <c r="F565" s="7">
        <v>10.02</v>
      </c>
      <c r="G565" s="7">
        <v>9.93</v>
      </c>
      <c r="H565" s="7"/>
      <c r="I565" s="7"/>
      <c r="J565" s="7"/>
      <c r="K565" s="7">
        <v>1.0029999999999999</v>
      </c>
      <c r="L565" s="7">
        <v>314.89999999999998</v>
      </c>
      <c r="M565" s="7">
        <v>0</v>
      </c>
      <c r="N565" s="7"/>
      <c r="O565">
        <v>34.28</v>
      </c>
      <c r="P565">
        <v>5.46</v>
      </c>
      <c r="Q565">
        <v>12.19</v>
      </c>
      <c r="S565">
        <v>11.61</v>
      </c>
      <c r="T565">
        <v>0</v>
      </c>
      <c r="U565">
        <v>101.2</v>
      </c>
      <c r="V565">
        <v>801</v>
      </c>
      <c r="W565">
        <v>33.28</v>
      </c>
      <c r="Y565">
        <v>13.58</v>
      </c>
    </row>
    <row r="566" spans="1:25" x14ac:dyDescent="0.25">
      <c r="A566">
        <v>2006</v>
      </c>
      <c r="B566">
        <v>144</v>
      </c>
      <c r="C566">
        <v>2100</v>
      </c>
      <c r="D566" s="7">
        <v>3.956</v>
      </c>
      <c r="E566" s="7">
        <v>-25.91</v>
      </c>
      <c r="F566" s="7">
        <v>9.35</v>
      </c>
      <c r="G566" s="7">
        <v>9.1300000000000008</v>
      </c>
      <c r="H566" s="7"/>
      <c r="I566" s="7"/>
      <c r="J566" s="7"/>
      <c r="K566" s="7">
        <v>0.25900000000000001</v>
      </c>
      <c r="L566" s="7">
        <v>272.39999999999998</v>
      </c>
      <c r="M566" s="7">
        <v>0</v>
      </c>
      <c r="N566" s="7"/>
      <c r="O566">
        <v>-2.9540000000000002</v>
      </c>
      <c r="P566">
        <v>-5.6109999999999998</v>
      </c>
      <c r="Q566">
        <v>12.19</v>
      </c>
      <c r="S566">
        <v>11.68</v>
      </c>
      <c r="T566">
        <v>0</v>
      </c>
      <c r="U566">
        <v>102.8</v>
      </c>
      <c r="V566">
        <v>800</v>
      </c>
      <c r="W566">
        <v>33.26</v>
      </c>
      <c r="Y566">
        <v>13.47</v>
      </c>
    </row>
    <row r="567" spans="1:25" x14ac:dyDescent="0.25">
      <c r="A567">
        <v>2006</v>
      </c>
      <c r="B567">
        <v>144</v>
      </c>
      <c r="C567">
        <v>2200</v>
      </c>
      <c r="D567" s="7">
        <v>-1.7130000000000001</v>
      </c>
      <c r="E567" s="7">
        <v>-31.91</v>
      </c>
      <c r="F567" s="7">
        <v>8.51</v>
      </c>
      <c r="G567" s="7">
        <v>8.4600000000000009</v>
      </c>
      <c r="H567" s="7"/>
      <c r="I567" s="7"/>
      <c r="J567" s="7"/>
      <c r="K567" s="7">
        <v>0.437</v>
      </c>
      <c r="L567" s="7">
        <v>64.75</v>
      </c>
      <c r="M567" s="7">
        <v>0</v>
      </c>
      <c r="N567" s="7"/>
      <c r="O567">
        <v>-11.47</v>
      </c>
      <c r="P567">
        <v>-10.84</v>
      </c>
      <c r="Q567">
        <v>12.11</v>
      </c>
      <c r="S567">
        <v>11.71</v>
      </c>
      <c r="T567">
        <v>0</v>
      </c>
      <c r="U567">
        <v>100.7</v>
      </c>
      <c r="V567">
        <v>800</v>
      </c>
      <c r="W567">
        <v>33.25</v>
      </c>
      <c r="Y567">
        <v>13.38</v>
      </c>
    </row>
    <row r="568" spans="1:25" x14ac:dyDescent="0.25">
      <c r="A568">
        <v>2006</v>
      </c>
      <c r="B568">
        <v>144</v>
      </c>
      <c r="C568">
        <v>2300</v>
      </c>
      <c r="D568" s="7">
        <v>-2.6840000000000002</v>
      </c>
      <c r="E568" s="7">
        <v>-44.74</v>
      </c>
      <c r="F568" s="7">
        <v>7.08</v>
      </c>
      <c r="G568" s="7">
        <v>6.7910000000000004</v>
      </c>
      <c r="H568" s="7"/>
      <c r="I568" s="7"/>
      <c r="J568" s="7"/>
      <c r="K568" s="7">
        <v>0.40899999999999997</v>
      </c>
      <c r="L568" s="7">
        <v>86.7</v>
      </c>
      <c r="M568" s="7">
        <v>0</v>
      </c>
      <c r="N568" s="7"/>
      <c r="O568">
        <v>-11.5</v>
      </c>
      <c r="P568">
        <v>-10.84</v>
      </c>
      <c r="Q568">
        <v>12.04</v>
      </c>
      <c r="S568">
        <v>11.69</v>
      </c>
      <c r="T568">
        <v>0</v>
      </c>
      <c r="U568">
        <v>104</v>
      </c>
      <c r="V568">
        <v>801</v>
      </c>
      <c r="W568">
        <v>33.299999999999997</v>
      </c>
      <c r="Y568">
        <v>13.31</v>
      </c>
    </row>
    <row r="569" spans="1:25" x14ac:dyDescent="0.25">
      <c r="A569">
        <v>2006</v>
      </c>
      <c r="B569">
        <v>144</v>
      </c>
      <c r="C569">
        <v>2400</v>
      </c>
      <c r="D569" s="7">
        <v>-2.5009999999999999</v>
      </c>
      <c r="E569" s="7">
        <v>-42.63</v>
      </c>
      <c r="F569" s="7">
        <v>5.3920000000000003</v>
      </c>
      <c r="G569" s="7">
        <v>5.07</v>
      </c>
      <c r="H569" s="7"/>
      <c r="I569" s="7"/>
      <c r="J569" s="7"/>
      <c r="K569" s="7">
        <v>0.248</v>
      </c>
      <c r="L569" s="7">
        <v>171.1</v>
      </c>
      <c r="M569" s="7">
        <v>0</v>
      </c>
      <c r="N569" s="7"/>
      <c r="O569">
        <v>-11.5</v>
      </c>
      <c r="P569">
        <v>-10.84</v>
      </c>
      <c r="Q569">
        <v>11.89</v>
      </c>
      <c r="S569">
        <v>11.61</v>
      </c>
      <c r="T569">
        <v>0</v>
      </c>
      <c r="U569">
        <v>104.7</v>
      </c>
      <c r="V569">
        <v>803</v>
      </c>
      <c r="W569">
        <v>33.43</v>
      </c>
      <c r="Y569">
        <v>13.24</v>
      </c>
    </row>
    <row r="570" spans="1:25" x14ac:dyDescent="0.25">
      <c r="A570">
        <v>2006</v>
      </c>
      <c r="B570">
        <v>145</v>
      </c>
      <c r="C570">
        <v>100</v>
      </c>
      <c r="D570" s="7">
        <v>-2.9039999999999999</v>
      </c>
      <c r="E570" s="7">
        <v>-44.64</v>
      </c>
      <c r="F570" s="7">
        <v>3.5819999999999999</v>
      </c>
      <c r="G570" s="7">
        <v>3.3210000000000002</v>
      </c>
      <c r="H570" s="7"/>
      <c r="I570" s="7"/>
      <c r="J570" s="7"/>
      <c r="K570" s="7">
        <v>0.16600000000000001</v>
      </c>
      <c r="L570" s="7">
        <v>203</v>
      </c>
      <c r="M570" s="7">
        <v>0</v>
      </c>
      <c r="N570" s="7"/>
      <c r="O570">
        <v>-11.5</v>
      </c>
      <c r="P570">
        <v>-10.84</v>
      </c>
      <c r="Q570">
        <v>11.75</v>
      </c>
      <c r="S570">
        <v>11.54</v>
      </c>
      <c r="T570">
        <v>0</v>
      </c>
      <c r="U570">
        <v>104.1</v>
      </c>
      <c r="V570">
        <v>805</v>
      </c>
      <c r="W570">
        <v>33.51</v>
      </c>
      <c r="Y570">
        <v>13.17</v>
      </c>
    </row>
    <row r="571" spans="1:25" x14ac:dyDescent="0.25">
      <c r="A571">
        <v>2006</v>
      </c>
      <c r="B571">
        <v>145</v>
      </c>
      <c r="C571">
        <v>200</v>
      </c>
      <c r="D571" s="7">
        <v>-2.306</v>
      </c>
      <c r="E571" s="7">
        <v>-35</v>
      </c>
      <c r="F571" s="7">
        <v>2.5510000000000002</v>
      </c>
      <c r="G571" s="7">
        <v>2.391</v>
      </c>
      <c r="H571" s="7"/>
      <c r="I571" s="7"/>
      <c r="J571" s="7"/>
      <c r="K571" s="7">
        <v>0.182</v>
      </c>
      <c r="L571" s="7">
        <v>182</v>
      </c>
      <c r="M571" s="7">
        <v>0</v>
      </c>
      <c r="N571" s="7"/>
      <c r="O571">
        <v>-11.5</v>
      </c>
      <c r="P571">
        <v>-10.84</v>
      </c>
      <c r="Q571">
        <v>11.53</v>
      </c>
      <c r="S571">
        <v>11.43</v>
      </c>
      <c r="T571">
        <v>0</v>
      </c>
      <c r="U571">
        <v>102.6</v>
      </c>
      <c r="V571">
        <v>805</v>
      </c>
      <c r="W571">
        <v>33.54</v>
      </c>
      <c r="Y571">
        <v>13.11</v>
      </c>
    </row>
    <row r="572" spans="1:25" x14ac:dyDescent="0.25">
      <c r="A572">
        <v>2006</v>
      </c>
      <c r="B572">
        <v>145</v>
      </c>
      <c r="C572">
        <v>300</v>
      </c>
      <c r="D572" s="7">
        <v>-2.87</v>
      </c>
      <c r="E572" s="7">
        <v>-38.14</v>
      </c>
      <c r="F572" s="7">
        <v>1.5469999999999999</v>
      </c>
      <c r="G572" s="7">
        <v>1.452</v>
      </c>
      <c r="H572" s="7"/>
      <c r="I572" s="7"/>
      <c r="J572" s="7"/>
      <c r="K572" s="7">
        <v>0.13200000000000001</v>
      </c>
      <c r="L572" s="7">
        <v>195.5</v>
      </c>
      <c r="M572" s="7">
        <v>0</v>
      </c>
      <c r="N572" s="7"/>
      <c r="O572">
        <v>-11.5</v>
      </c>
      <c r="P572">
        <v>-10.85</v>
      </c>
      <c r="Q572">
        <v>11.33</v>
      </c>
      <c r="S572">
        <v>11.32</v>
      </c>
      <c r="T572">
        <v>0</v>
      </c>
      <c r="U572">
        <v>101.6</v>
      </c>
      <c r="V572">
        <v>803</v>
      </c>
      <c r="W572">
        <v>33.4</v>
      </c>
      <c r="Y572">
        <v>13.05</v>
      </c>
    </row>
    <row r="573" spans="1:25" x14ac:dyDescent="0.25">
      <c r="A573">
        <v>2006</v>
      </c>
      <c r="B573">
        <v>145</v>
      </c>
      <c r="C573">
        <v>400</v>
      </c>
      <c r="D573" s="7">
        <v>-1.7350000000000001</v>
      </c>
      <c r="E573" s="7">
        <v>-34.44</v>
      </c>
      <c r="F573" s="7">
        <v>1.3069999999999999</v>
      </c>
      <c r="G573" s="7">
        <v>1.369</v>
      </c>
      <c r="H573" s="7"/>
      <c r="I573" s="7"/>
      <c r="J573" s="7"/>
      <c r="K573" s="7">
        <v>9.9000000000000005E-2</v>
      </c>
      <c r="L573" s="7">
        <v>210.1</v>
      </c>
      <c r="M573" s="7">
        <v>0</v>
      </c>
      <c r="N573" s="7"/>
      <c r="O573">
        <v>-10.220000000000001</v>
      </c>
      <c r="P573">
        <v>-10.37</v>
      </c>
      <c r="Q573">
        <v>11.05</v>
      </c>
      <c r="S573">
        <v>11.16</v>
      </c>
      <c r="T573">
        <v>0</v>
      </c>
      <c r="U573">
        <v>99</v>
      </c>
      <c r="V573">
        <v>802</v>
      </c>
      <c r="W573">
        <v>33.369999999999997</v>
      </c>
      <c r="Y573">
        <v>13</v>
      </c>
    </row>
    <row r="574" spans="1:25" x14ac:dyDescent="0.25">
      <c r="A574">
        <v>2006</v>
      </c>
      <c r="B574">
        <v>145</v>
      </c>
      <c r="C574">
        <v>500</v>
      </c>
      <c r="D574" s="7">
        <v>12.98</v>
      </c>
      <c r="E574" s="7">
        <v>-21.46</v>
      </c>
      <c r="F574" s="7">
        <v>1.2</v>
      </c>
      <c r="G574" s="7">
        <v>1.2569999999999999</v>
      </c>
      <c r="H574" s="7"/>
      <c r="I574" s="7"/>
      <c r="J574" s="7"/>
      <c r="K574" s="7">
        <v>0.189</v>
      </c>
      <c r="L574" s="7">
        <v>138.69999999999999</v>
      </c>
      <c r="M574" s="7">
        <v>0</v>
      </c>
      <c r="N574" s="7"/>
      <c r="O574">
        <v>8.1199999999999992</v>
      </c>
      <c r="P574">
        <v>-3.0720000000000001</v>
      </c>
      <c r="Q574">
        <v>10.85</v>
      </c>
      <c r="S574">
        <v>11.05</v>
      </c>
      <c r="T574">
        <v>0</v>
      </c>
      <c r="U574">
        <v>99.1</v>
      </c>
      <c r="V574">
        <v>803</v>
      </c>
      <c r="W574">
        <v>33.42</v>
      </c>
      <c r="Y574">
        <v>12.95</v>
      </c>
    </row>
    <row r="575" spans="1:25" x14ac:dyDescent="0.25">
      <c r="A575">
        <v>2006</v>
      </c>
      <c r="B575">
        <v>145</v>
      </c>
      <c r="C575">
        <v>600</v>
      </c>
      <c r="D575" s="7">
        <v>98.6</v>
      </c>
      <c r="E575" s="7">
        <v>64.08</v>
      </c>
      <c r="F575" s="7">
        <v>4.383</v>
      </c>
      <c r="G575" s="7">
        <v>4.665</v>
      </c>
      <c r="H575" s="7"/>
      <c r="I575" s="7"/>
      <c r="J575" s="7"/>
      <c r="K575" s="7">
        <v>1.008</v>
      </c>
      <c r="L575" s="7">
        <v>254.5</v>
      </c>
      <c r="M575" s="7">
        <v>0</v>
      </c>
      <c r="N575" s="7"/>
      <c r="O575">
        <v>134.69999999999999</v>
      </c>
      <c r="P575">
        <v>52.74</v>
      </c>
      <c r="Q575">
        <v>10.65</v>
      </c>
      <c r="S575">
        <v>10.92</v>
      </c>
      <c r="T575">
        <v>0</v>
      </c>
      <c r="U575">
        <v>95.9</v>
      </c>
      <c r="V575">
        <v>804</v>
      </c>
      <c r="W575">
        <v>33.44</v>
      </c>
      <c r="Y575">
        <v>13.14</v>
      </c>
    </row>
    <row r="576" spans="1:25" x14ac:dyDescent="0.25">
      <c r="A576">
        <v>2006</v>
      </c>
      <c r="B576">
        <v>145</v>
      </c>
      <c r="C576">
        <v>700</v>
      </c>
      <c r="D576" s="7">
        <v>250.7</v>
      </c>
      <c r="E576" s="7">
        <v>197</v>
      </c>
      <c r="F576" s="7">
        <v>6.835</v>
      </c>
      <c r="G576" s="7">
        <v>7.32</v>
      </c>
      <c r="H576" s="7"/>
      <c r="I576" s="7"/>
      <c r="J576" s="7"/>
      <c r="K576" s="7">
        <v>1.3959999999999999</v>
      </c>
      <c r="L576" s="7">
        <v>257.5</v>
      </c>
      <c r="M576" s="7">
        <v>0</v>
      </c>
      <c r="N576" s="7"/>
      <c r="O576">
        <v>352.2</v>
      </c>
      <c r="P576">
        <v>131.69999999999999</v>
      </c>
      <c r="Q576">
        <v>10.51</v>
      </c>
      <c r="S576">
        <v>10.86</v>
      </c>
      <c r="T576">
        <v>0</v>
      </c>
      <c r="U576">
        <v>93.5</v>
      </c>
      <c r="V576">
        <v>805</v>
      </c>
      <c r="W576">
        <v>33.53</v>
      </c>
      <c r="Y576">
        <v>13.85</v>
      </c>
    </row>
    <row r="577" spans="1:25" x14ac:dyDescent="0.25">
      <c r="A577">
        <v>2006</v>
      </c>
      <c r="B577">
        <v>145</v>
      </c>
      <c r="C577">
        <v>800</v>
      </c>
      <c r="D577" s="7">
        <v>390.7</v>
      </c>
      <c r="E577" s="7">
        <v>269.60000000000002</v>
      </c>
      <c r="F577" s="7">
        <v>8.98</v>
      </c>
      <c r="G577" s="7">
        <v>9.3800000000000008</v>
      </c>
      <c r="H577" s="7"/>
      <c r="I577" s="7"/>
      <c r="J577" s="7"/>
      <c r="K577" s="7">
        <v>1.694</v>
      </c>
      <c r="L577" s="7">
        <v>276.8</v>
      </c>
      <c r="M577" s="7">
        <v>0</v>
      </c>
      <c r="N577" s="7"/>
      <c r="O577">
        <v>534.5</v>
      </c>
      <c r="P577">
        <v>176.6</v>
      </c>
      <c r="Q577">
        <v>10.47</v>
      </c>
      <c r="S577">
        <v>10.74</v>
      </c>
      <c r="T577">
        <v>0</v>
      </c>
      <c r="U577">
        <v>95.1</v>
      </c>
      <c r="V577">
        <v>803</v>
      </c>
      <c r="W577">
        <v>33.409999999999997</v>
      </c>
      <c r="Y577">
        <v>14.38</v>
      </c>
    </row>
    <row r="578" spans="1:25" x14ac:dyDescent="0.25">
      <c r="A578">
        <v>2006</v>
      </c>
      <c r="B578">
        <v>145</v>
      </c>
      <c r="C578">
        <v>900</v>
      </c>
      <c r="D578" s="7">
        <v>541.9</v>
      </c>
      <c r="E578" s="7">
        <v>352.5</v>
      </c>
      <c r="F578" s="7">
        <v>10.62</v>
      </c>
      <c r="G578" s="7">
        <v>10.66</v>
      </c>
      <c r="H578" s="7">
        <f>AVERAGE(G578:G601)</f>
        <v>11.679583333333333</v>
      </c>
      <c r="I578" s="7">
        <f>MIN(G578:G601)</f>
        <v>8.9499999999999993</v>
      </c>
      <c r="J578" s="7">
        <f>MAX(G578:G601)</f>
        <v>15.1</v>
      </c>
      <c r="K578" s="7">
        <v>1.631</v>
      </c>
      <c r="L578" s="7">
        <v>296.7</v>
      </c>
      <c r="M578" s="7">
        <v>0</v>
      </c>
      <c r="N578" s="7">
        <f>SUM(M578:M601)</f>
        <v>7</v>
      </c>
      <c r="O578">
        <v>696.9</v>
      </c>
      <c r="P578">
        <v>205.2</v>
      </c>
      <c r="Q578">
        <v>10.56</v>
      </c>
      <c r="S578">
        <v>10.63</v>
      </c>
      <c r="T578">
        <v>0</v>
      </c>
      <c r="U578">
        <v>99.4</v>
      </c>
      <c r="V578">
        <v>800</v>
      </c>
      <c r="W578">
        <v>33.270000000000003</v>
      </c>
      <c r="Y578">
        <v>14.72</v>
      </c>
    </row>
    <row r="579" spans="1:25" x14ac:dyDescent="0.25">
      <c r="A579">
        <v>2006</v>
      </c>
      <c r="B579">
        <v>145</v>
      </c>
      <c r="C579">
        <v>1000</v>
      </c>
      <c r="D579" s="7">
        <v>699.8</v>
      </c>
      <c r="E579" s="7">
        <v>442.4</v>
      </c>
      <c r="F579" s="7">
        <v>12.5</v>
      </c>
      <c r="G579" s="7">
        <v>12.36</v>
      </c>
      <c r="H579" s="7"/>
      <c r="I579" s="7"/>
      <c r="J579" s="7"/>
      <c r="K579" s="7">
        <v>1.8089999999999999</v>
      </c>
      <c r="L579" s="7">
        <v>279.7</v>
      </c>
      <c r="M579" s="7">
        <v>0</v>
      </c>
      <c r="N579" s="7"/>
      <c r="O579">
        <v>905</v>
      </c>
      <c r="P579">
        <v>246.1</v>
      </c>
      <c r="Q579">
        <v>10.78</v>
      </c>
      <c r="S579">
        <v>10.6</v>
      </c>
      <c r="T579">
        <v>0</v>
      </c>
      <c r="U579">
        <v>101.7</v>
      </c>
      <c r="V579">
        <v>798</v>
      </c>
      <c r="W579">
        <v>33.15</v>
      </c>
      <c r="Y579">
        <v>14.75</v>
      </c>
    </row>
    <row r="580" spans="1:25" x14ac:dyDescent="0.25">
      <c r="A580">
        <v>2006</v>
      </c>
      <c r="B580">
        <v>145</v>
      </c>
      <c r="C580">
        <v>1100</v>
      </c>
      <c r="D580" s="7">
        <v>600.5</v>
      </c>
      <c r="E580" s="7">
        <v>365.6</v>
      </c>
      <c r="F580" s="7">
        <v>12.68</v>
      </c>
      <c r="G580" s="7">
        <v>12.52</v>
      </c>
      <c r="H580" s="7"/>
      <c r="I580" s="7"/>
      <c r="J580" s="7"/>
      <c r="K580" s="7">
        <v>1.9970000000000001</v>
      </c>
      <c r="L580" s="7">
        <v>268.10000000000002</v>
      </c>
      <c r="M580" s="7">
        <v>0</v>
      </c>
      <c r="N580" s="7"/>
      <c r="O580">
        <v>765</v>
      </c>
      <c r="P580">
        <v>206.5</v>
      </c>
      <c r="Q580">
        <v>11.04</v>
      </c>
      <c r="S580">
        <v>10.6</v>
      </c>
      <c r="T580">
        <v>0</v>
      </c>
      <c r="U580">
        <v>101.9</v>
      </c>
      <c r="V580">
        <v>795</v>
      </c>
      <c r="W580">
        <v>33.01</v>
      </c>
      <c r="Y580">
        <v>14.38</v>
      </c>
    </row>
    <row r="581" spans="1:25" x14ac:dyDescent="0.25">
      <c r="A581">
        <v>2006</v>
      </c>
      <c r="B581">
        <v>145</v>
      </c>
      <c r="C581">
        <v>1200</v>
      </c>
      <c r="D581" s="7">
        <v>604.29999999999995</v>
      </c>
      <c r="E581" s="7">
        <v>358.1</v>
      </c>
      <c r="F581" s="7">
        <v>13.09</v>
      </c>
      <c r="G581" s="7">
        <v>12.86</v>
      </c>
      <c r="H581" s="7"/>
      <c r="I581" s="7"/>
      <c r="J581" s="7"/>
      <c r="K581" s="7">
        <v>1.8560000000000001</v>
      </c>
      <c r="L581" s="7">
        <v>279.2</v>
      </c>
      <c r="M581" s="7">
        <v>0</v>
      </c>
      <c r="N581" s="7"/>
      <c r="O581">
        <v>759</v>
      </c>
      <c r="P581">
        <v>195.4</v>
      </c>
      <c r="Q581">
        <v>11.4</v>
      </c>
      <c r="S581">
        <v>10.8</v>
      </c>
      <c r="T581">
        <v>0</v>
      </c>
      <c r="U581">
        <v>102.6</v>
      </c>
      <c r="V581">
        <v>794</v>
      </c>
      <c r="W581">
        <v>32.92</v>
      </c>
      <c r="Y581">
        <v>14.13</v>
      </c>
    </row>
    <row r="582" spans="1:25" x14ac:dyDescent="0.25">
      <c r="A582">
        <v>2006</v>
      </c>
      <c r="B582">
        <v>145</v>
      </c>
      <c r="C582">
        <v>1300</v>
      </c>
      <c r="D582" s="7">
        <v>708</v>
      </c>
      <c r="E582" s="7">
        <v>422</v>
      </c>
      <c r="F582" s="7">
        <v>13.81</v>
      </c>
      <c r="G582" s="7">
        <v>13.56</v>
      </c>
      <c r="H582" s="7"/>
      <c r="I582" s="7"/>
      <c r="J582" s="7"/>
      <c r="K582" s="7">
        <v>1.7569999999999999</v>
      </c>
      <c r="L582" s="7">
        <v>265.8</v>
      </c>
      <c r="M582" s="7">
        <v>0</v>
      </c>
      <c r="N582" s="7"/>
      <c r="O582">
        <v>882</v>
      </c>
      <c r="P582">
        <v>225.1</v>
      </c>
      <c r="Q582">
        <v>11.7</v>
      </c>
      <c r="S582">
        <v>11.01</v>
      </c>
      <c r="T582">
        <v>0</v>
      </c>
      <c r="U582">
        <v>102.8</v>
      </c>
      <c r="V582">
        <v>793</v>
      </c>
      <c r="W582">
        <v>32.86</v>
      </c>
      <c r="Y582">
        <v>14.24</v>
      </c>
    </row>
    <row r="583" spans="1:25" x14ac:dyDescent="0.25">
      <c r="A583">
        <v>2006</v>
      </c>
      <c r="B583">
        <v>145</v>
      </c>
      <c r="C583">
        <v>1400</v>
      </c>
      <c r="D583" s="7">
        <v>686.7</v>
      </c>
      <c r="E583" s="7">
        <v>405.4</v>
      </c>
      <c r="F583" s="7">
        <v>14.64</v>
      </c>
      <c r="G583" s="7">
        <v>14.39</v>
      </c>
      <c r="H583" s="7"/>
      <c r="I583" s="7"/>
      <c r="J583" s="7"/>
      <c r="K583" s="7">
        <v>1.9419999999999999</v>
      </c>
      <c r="L583" s="7">
        <v>267.2</v>
      </c>
      <c r="M583" s="7">
        <v>0</v>
      </c>
      <c r="N583" s="7"/>
      <c r="O583">
        <v>857</v>
      </c>
      <c r="P583">
        <v>233.6</v>
      </c>
      <c r="Q583">
        <v>12.05</v>
      </c>
      <c r="S583">
        <v>11.31</v>
      </c>
      <c r="T583">
        <v>0</v>
      </c>
      <c r="U583">
        <v>102.6</v>
      </c>
      <c r="V583">
        <v>791</v>
      </c>
      <c r="W583">
        <v>32.78</v>
      </c>
      <c r="Y583">
        <v>14.32</v>
      </c>
    </row>
    <row r="584" spans="1:25" x14ac:dyDescent="0.25">
      <c r="A584">
        <v>2006</v>
      </c>
      <c r="B584">
        <v>145</v>
      </c>
      <c r="C584">
        <v>1500</v>
      </c>
      <c r="D584" s="7">
        <v>673</v>
      </c>
      <c r="E584" s="7">
        <v>400.5</v>
      </c>
      <c r="F584" s="7">
        <v>15.39</v>
      </c>
      <c r="G584" s="7">
        <v>15.1</v>
      </c>
      <c r="H584" s="7"/>
      <c r="I584" s="7"/>
      <c r="J584" s="7"/>
      <c r="K584" s="7">
        <v>2.0430000000000001</v>
      </c>
      <c r="L584" s="7">
        <v>279.89999999999998</v>
      </c>
      <c r="M584" s="7">
        <v>0</v>
      </c>
      <c r="N584" s="7"/>
      <c r="O584">
        <v>845</v>
      </c>
      <c r="P584">
        <v>233.5</v>
      </c>
      <c r="Q584">
        <v>12.43</v>
      </c>
      <c r="S584">
        <v>11.64</v>
      </c>
      <c r="T584">
        <v>0</v>
      </c>
      <c r="U584">
        <v>103.1</v>
      </c>
      <c r="V584">
        <v>788</v>
      </c>
      <c r="W584">
        <v>32.65</v>
      </c>
      <c r="Y584">
        <v>14.25</v>
      </c>
    </row>
    <row r="585" spans="1:25" x14ac:dyDescent="0.25">
      <c r="A585">
        <v>2006</v>
      </c>
      <c r="B585">
        <v>145</v>
      </c>
      <c r="C585">
        <v>1600</v>
      </c>
      <c r="D585" s="7">
        <v>488</v>
      </c>
      <c r="E585" s="7">
        <v>270.39999999999998</v>
      </c>
      <c r="F585" s="7">
        <v>15.15</v>
      </c>
      <c r="G585" s="7">
        <v>14.85</v>
      </c>
      <c r="H585" s="7"/>
      <c r="I585" s="7"/>
      <c r="J585" s="7"/>
      <c r="K585" s="7">
        <v>1.885</v>
      </c>
      <c r="L585" s="7">
        <v>289.8</v>
      </c>
      <c r="M585" s="7">
        <v>0</v>
      </c>
      <c r="N585" s="7"/>
      <c r="O585">
        <v>603.9</v>
      </c>
      <c r="P585">
        <v>185.6</v>
      </c>
      <c r="Q585">
        <v>12.74</v>
      </c>
      <c r="S585">
        <v>11.87</v>
      </c>
      <c r="T585">
        <v>0</v>
      </c>
      <c r="U585">
        <v>103.1</v>
      </c>
      <c r="V585">
        <v>786</v>
      </c>
      <c r="W585">
        <v>32.53</v>
      </c>
      <c r="Y585">
        <v>14.13</v>
      </c>
    </row>
    <row r="586" spans="1:25" x14ac:dyDescent="0.25">
      <c r="A586">
        <v>2006</v>
      </c>
      <c r="B586">
        <v>145</v>
      </c>
      <c r="C586">
        <v>1700</v>
      </c>
      <c r="D586" s="7">
        <v>345.4</v>
      </c>
      <c r="E586" s="7">
        <v>172</v>
      </c>
      <c r="F586" s="7">
        <v>14.74</v>
      </c>
      <c r="G586" s="7">
        <v>14.51</v>
      </c>
      <c r="H586" s="7"/>
      <c r="I586" s="7"/>
      <c r="J586" s="7"/>
      <c r="K586" s="7">
        <v>1.595</v>
      </c>
      <c r="L586" s="7">
        <v>313.60000000000002</v>
      </c>
      <c r="M586" s="7">
        <v>0</v>
      </c>
      <c r="N586" s="7"/>
      <c r="O586">
        <v>424.7</v>
      </c>
      <c r="P586">
        <v>145.30000000000001</v>
      </c>
      <c r="Q586">
        <v>13.09</v>
      </c>
      <c r="S586">
        <v>12.17</v>
      </c>
      <c r="T586">
        <v>0</v>
      </c>
      <c r="U586">
        <v>102.5</v>
      </c>
      <c r="V586">
        <v>784</v>
      </c>
      <c r="W586">
        <v>32.44</v>
      </c>
      <c r="Y586">
        <v>13.96</v>
      </c>
    </row>
    <row r="587" spans="1:25" x14ac:dyDescent="0.25">
      <c r="A587">
        <v>2006</v>
      </c>
      <c r="B587">
        <v>145</v>
      </c>
      <c r="C587">
        <v>1800</v>
      </c>
      <c r="D587" s="7">
        <v>275.3</v>
      </c>
      <c r="E587" s="7">
        <v>132.6</v>
      </c>
      <c r="F587" s="7">
        <v>14.78</v>
      </c>
      <c r="G587" s="7">
        <v>14.39</v>
      </c>
      <c r="H587" s="7"/>
      <c r="I587" s="7"/>
      <c r="J587" s="7"/>
      <c r="K587" s="7">
        <v>1.216</v>
      </c>
      <c r="L587" s="7">
        <v>0</v>
      </c>
      <c r="M587" s="7">
        <v>0</v>
      </c>
      <c r="N587" s="7"/>
      <c r="O587">
        <v>339.5</v>
      </c>
      <c r="P587">
        <v>131.69999999999999</v>
      </c>
      <c r="Q587">
        <v>13.31</v>
      </c>
      <c r="S587">
        <v>12.43</v>
      </c>
      <c r="T587">
        <v>0</v>
      </c>
      <c r="U587">
        <v>104.1</v>
      </c>
      <c r="V587">
        <v>783</v>
      </c>
      <c r="W587">
        <v>32.380000000000003</v>
      </c>
      <c r="Y587">
        <v>13.83</v>
      </c>
    </row>
    <row r="588" spans="1:25" x14ac:dyDescent="0.25">
      <c r="A588">
        <v>2006</v>
      </c>
      <c r="B588">
        <v>145</v>
      </c>
      <c r="C588">
        <v>1900</v>
      </c>
      <c r="D588" s="7">
        <v>117.7</v>
      </c>
      <c r="E588" s="7">
        <v>29.04</v>
      </c>
      <c r="F588" s="7">
        <v>12.88</v>
      </c>
      <c r="G588" s="7">
        <v>12.47</v>
      </c>
      <c r="H588" s="7"/>
      <c r="I588" s="7"/>
      <c r="J588" s="7"/>
      <c r="K588" s="7">
        <v>1.4710000000000001</v>
      </c>
      <c r="L588" s="7">
        <v>80.599999999999994</v>
      </c>
      <c r="M588" s="7">
        <v>0</v>
      </c>
      <c r="N588" s="7"/>
      <c r="O588">
        <v>143.4</v>
      </c>
      <c r="P588">
        <v>47.94</v>
      </c>
      <c r="Q588">
        <v>13.43</v>
      </c>
      <c r="S588">
        <v>12.59</v>
      </c>
      <c r="T588">
        <v>0</v>
      </c>
      <c r="U588">
        <v>104.6</v>
      </c>
      <c r="V588">
        <v>782</v>
      </c>
      <c r="W588">
        <v>32.32</v>
      </c>
      <c r="Y588">
        <v>13.68</v>
      </c>
    </row>
    <row r="589" spans="1:25" x14ac:dyDescent="0.25">
      <c r="A589">
        <v>2006</v>
      </c>
      <c r="B589">
        <v>145</v>
      </c>
      <c r="C589">
        <v>2000</v>
      </c>
      <c r="D589" s="7">
        <v>47.85</v>
      </c>
      <c r="E589" s="7">
        <v>-17.39</v>
      </c>
      <c r="F589" s="7">
        <v>11.07</v>
      </c>
      <c r="G589" s="7">
        <v>10.89</v>
      </c>
      <c r="H589" s="7"/>
      <c r="I589" s="7"/>
      <c r="J589" s="7"/>
      <c r="K589" s="7">
        <v>1.2250000000000001</v>
      </c>
      <c r="L589" s="7">
        <v>92.2</v>
      </c>
      <c r="M589" s="7">
        <v>0</v>
      </c>
      <c r="N589" s="7"/>
      <c r="O589">
        <v>51.97</v>
      </c>
      <c r="P589">
        <v>12.12</v>
      </c>
      <c r="Q589">
        <v>13.45</v>
      </c>
      <c r="S589">
        <v>12.71</v>
      </c>
      <c r="T589">
        <v>0</v>
      </c>
      <c r="U589">
        <v>102.2</v>
      </c>
      <c r="V589">
        <v>780</v>
      </c>
      <c r="W589">
        <v>32.25</v>
      </c>
      <c r="Y589">
        <v>13.54</v>
      </c>
    </row>
    <row r="590" spans="1:25" x14ac:dyDescent="0.25">
      <c r="A590">
        <v>2006</v>
      </c>
      <c r="B590">
        <v>145</v>
      </c>
      <c r="C590">
        <v>2100</v>
      </c>
      <c r="D590" s="7">
        <v>3.6040000000000001</v>
      </c>
      <c r="E590" s="7">
        <v>-28.63</v>
      </c>
      <c r="F590" s="7">
        <v>10.01</v>
      </c>
      <c r="G590" s="7">
        <v>9.92</v>
      </c>
      <c r="H590" s="7"/>
      <c r="I590" s="7"/>
      <c r="J590" s="7"/>
      <c r="K590" s="7">
        <v>0.98099999999999998</v>
      </c>
      <c r="L590" s="7">
        <v>108.8</v>
      </c>
      <c r="M590" s="7">
        <v>0</v>
      </c>
      <c r="N590" s="7"/>
      <c r="O590">
        <v>-5.2789999999999999</v>
      </c>
      <c r="P590">
        <v>-9.18</v>
      </c>
      <c r="Q590">
        <v>13.39</v>
      </c>
      <c r="S590">
        <v>12.8</v>
      </c>
      <c r="T590">
        <v>0</v>
      </c>
      <c r="U590">
        <v>101.1</v>
      </c>
      <c r="V590">
        <v>780</v>
      </c>
      <c r="W590">
        <v>32.25</v>
      </c>
      <c r="Y590">
        <v>13.42</v>
      </c>
    </row>
    <row r="591" spans="1:25" x14ac:dyDescent="0.25">
      <c r="A591">
        <v>2006</v>
      </c>
      <c r="B591">
        <v>145</v>
      </c>
      <c r="C591">
        <v>2200</v>
      </c>
      <c r="D591" s="7">
        <v>-1.1659999999999999</v>
      </c>
      <c r="E591" s="7">
        <v>-27.92</v>
      </c>
      <c r="F591" s="7">
        <v>9.5399999999999991</v>
      </c>
      <c r="G591" s="7">
        <v>9.3800000000000008</v>
      </c>
      <c r="H591" s="7"/>
      <c r="I591" s="7"/>
      <c r="J591" s="7"/>
      <c r="K591" s="7">
        <v>0.65400000000000003</v>
      </c>
      <c r="L591" s="7">
        <v>138</v>
      </c>
      <c r="M591" s="7">
        <v>0</v>
      </c>
      <c r="N591" s="7"/>
      <c r="O591">
        <v>-11.63</v>
      </c>
      <c r="P591">
        <v>-11.11</v>
      </c>
      <c r="Q591">
        <v>13.29</v>
      </c>
      <c r="S591">
        <v>12.78</v>
      </c>
      <c r="T591">
        <v>0</v>
      </c>
      <c r="U591">
        <v>102</v>
      </c>
      <c r="V591">
        <v>781</v>
      </c>
      <c r="W591">
        <v>32.28</v>
      </c>
      <c r="Y591">
        <v>13.33</v>
      </c>
    </row>
    <row r="592" spans="1:25" x14ac:dyDescent="0.25">
      <c r="A592">
        <v>2006</v>
      </c>
      <c r="B592">
        <v>145</v>
      </c>
      <c r="C592">
        <v>2300</v>
      </c>
      <c r="D592" s="7">
        <v>-1.1479999999999999</v>
      </c>
      <c r="E592" s="7">
        <v>-25.44</v>
      </c>
      <c r="F592" s="7">
        <v>9.14</v>
      </c>
      <c r="G592" s="7">
        <v>8.9499999999999993</v>
      </c>
      <c r="H592" s="7"/>
      <c r="I592" s="7"/>
      <c r="J592" s="7"/>
      <c r="K592" s="7">
        <v>0.76300000000000001</v>
      </c>
      <c r="L592" s="7">
        <v>113.4</v>
      </c>
      <c r="M592" s="7">
        <v>0</v>
      </c>
      <c r="N592" s="7"/>
      <c r="O592">
        <v>-11.55</v>
      </c>
      <c r="P592">
        <v>-10.94</v>
      </c>
      <c r="Q592">
        <v>13.15</v>
      </c>
      <c r="S592">
        <v>12.75</v>
      </c>
      <c r="T592">
        <v>0</v>
      </c>
      <c r="U592">
        <v>102.4</v>
      </c>
      <c r="V592">
        <v>782</v>
      </c>
      <c r="W592">
        <v>32.31</v>
      </c>
      <c r="Y592">
        <v>13.26</v>
      </c>
    </row>
    <row r="593" spans="1:25" x14ac:dyDescent="0.25">
      <c r="A593">
        <v>2006</v>
      </c>
      <c r="B593">
        <v>145</v>
      </c>
      <c r="C593">
        <v>2400</v>
      </c>
      <c r="D593" s="7">
        <v>-1.335</v>
      </c>
      <c r="E593" s="7">
        <v>-19.13</v>
      </c>
      <c r="F593" s="7">
        <v>9.51</v>
      </c>
      <c r="G593" s="7">
        <v>9.18</v>
      </c>
      <c r="H593" s="7"/>
      <c r="I593" s="7"/>
      <c r="J593" s="7"/>
      <c r="K593" s="7">
        <v>1.4079999999999999</v>
      </c>
      <c r="L593" s="7">
        <v>109.9</v>
      </c>
      <c r="M593" s="7">
        <v>0.2</v>
      </c>
      <c r="N593" s="7"/>
      <c r="O593">
        <v>-11.5</v>
      </c>
      <c r="P593">
        <v>-10.86</v>
      </c>
      <c r="Q593">
        <v>13.03</v>
      </c>
      <c r="S593">
        <v>12.69</v>
      </c>
      <c r="T593">
        <v>0</v>
      </c>
      <c r="U593">
        <v>104.1</v>
      </c>
      <c r="V593">
        <v>783</v>
      </c>
      <c r="W593">
        <v>32.36</v>
      </c>
      <c r="Y593">
        <v>13.19</v>
      </c>
    </row>
    <row r="594" spans="1:25" x14ac:dyDescent="0.25">
      <c r="A594">
        <v>2006</v>
      </c>
      <c r="B594">
        <v>146</v>
      </c>
      <c r="C594">
        <v>100</v>
      </c>
      <c r="D594" s="7">
        <v>-1.0289999999999999</v>
      </c>
      <c r="E594" s="7">
        <v>-13.78</v>
      </c>
      <c r="F594" s="7">
        <v>10</v>
      </c>
      <c r="G594" s="7">
        <v>9.77</v>
      </c>
      <c r="H594" s="7"/>
      <c r="I594" s="7"/>
      <c r="J594" s="7"/>
      <c r="K594" s="7">
        <v>1.3120000000000001</v>
      </c>
      <c r="L594" s="7">
        <v>111.6</v>
      </c>
      <c r="M594" s="7">
        <v>0.8</v>
      </c>
      <c r="N594" s="7"/>
      <c r="O594">
        <v>-11.5</v>
      </c>
      <c r="P594">
        <v>-10.84</v>
      </c>
      <c r="Q594">
        <v>12.92</v>
      </c>
      <c r="S594">
        <v>12.63</v>
      </c>
      <c r="T594">
        <v>0</v>
      </c>
      <c r="U594">
        <v>102.9</v>
      </c>
      <c r="V594">
        <v>784</v>
      </c>
      <c r="W594">
        <v>32.409999999999997</v>
      </c>
      <c r="Y594">
        <v>13.13</v>
      </c>
    </row>
    <row r="595" spans="1:25" x14ac:dyDescent="0.25">
      <c r="A595">
        <v>2006</v>
      </c>
      <c r="B595">
        <v>146</v>
      </c>
      <c r="C595">
        <v>200</v>
      </c>
      <c r="D595" s="7">
        <v>-0.57299999999999995</v>
      </c>
      <c r="E595" s="7">
        <v>-11.14</v>
      </c>
      <c r="F595" s="7">
        <v>10.220000000000001</v>
      </c>
      <c r="G595" s="7">
        <v>10</v>
      </c>
      <c r="H595" s="7"/>
      <c r="I595" s="7"/>
      <c r="J595" s="7"/>
      <c r="K595" s="7">
        <v>1.593</v>
      </c>
      <c r="L595" s="7">
        <v>109.4</v>
      </c>
      <c r="M595" s="7">
        <v>1.2</v>
      </c>
      <c r="N595" s="7"/>
      <c r="O595">
        <v>-11.51</v>
      </c>
      <c r="P595">
        <v>-10.84</v>
      </c>
      <c r="Q595">
        <v>12.8</v>
      </c>
      <c r="S595">
        <v>12.54</v>
      </c>
      <c r="T595">
        <v>0</v>
      </c>
      <c r="U595">
        <v>102.7</v>
      </c>
      <c r="V595">
        <v>788</v>
      </c>
      <c r="W595">
        <v>32.630000000000003</v>
      </c>
      <c r="Y595">
        <v>13.07</v>
      </c>
    </row>
    <row r="596" spans="1:25" x14ac:dyDescent="0.25">
      <c r="A596">
        <v>2006</v>
      </c>
      <c r="B596">
        <v>146</v>
      </c>
      <c r="C596">
        <v>300</v>
      </c>
      <c r="D596" s="7">
        <v>-0.57299999999999995</v>
      </c>
      <c r="E596" s="7">
        <v>-8.6999999999999993</v>
      </c>
      <c r="F596" s="7">
        <v>10.32</v>
      </c>
      <c r="G596" s="7">
        <v>10.130000000000001</v>
      </c>
      <c r="H596" s="7"/>
      <c r="I596" s="7"/>
      <c r="J596" s="7"/>
      <c r="K596" s="7">
        <v>1.764</v>
      </c>
      <c r="L596" s="7">
        <v>115.2</v>
      </c>
      <c r="M596" s="7">
        <v>2</v>
      </c>
      <c r="N596" s="7"/>
      <c r="O596">
        <v>-11.5</v>
      </c>
      <c r="P596">
        <v>-10.84</v>
      </c>
      <c r="Q596">
        <v>12.68</v>
      </c>
      <c r="S596">
        <v>12.44</v>
      </c>
      <c r="T596">
        <v>0</v>
      </c>
      <c r="U596">
        <v>102.4</v>
      </c>
      <c r="V596">
        <v>838</v>
      </c>
      <c r="W596">
        <v>35.71</v>
      </c>
      <c r="Y596">
        <v>13.01</v>
      </c>
    </row>
    <row r="597" spans="1:25" x14ac:dyDescent="0.25">
      <c r="A597">
        <v>2006</v>
      </c>
      <c r="B597">
        <v>146</v>
      </c>
      <c r="C597">
        <v>400</v>
      </c>
      <c r="D597" s="7">
        <v>-0.11600000000000001</v>
      </c>
      <c r="E597" s="7">
        <v>-7.2</v>
      </c>
      <c r="F597" s="7">
        <v>10.29</v>
      </c>
      <c r="G597" s="7">
        <v>10.23</v>
      </c>
      <c r="H597" s="7"/>
      <c r="I597" s="7"/>
      <c r="J597" s="7"/>
      <c r="K597" s="7">
        <v>2.3620000000000001</v>
      </c>
      <c r="L597" s="7">
        <v>123.1</v>
      </c>
      <c r="M597" s="7">
        <v>1</v>
      </c>
      <c r="N597" s="7"/>
      <c r="O597">
        <v>-11.43</v>
      </c>
      <c r="P597">
        <v>-10.84</v>
      </c>
      <c r="Q597">
        <v>12.58</v>
      </c>
      <c r="S597">
        <v>12.36</v>
      </c>
      <c r="T597">
        <v>0</v>
      </c>
      <c r="U597">
        <v>100.7</v>
      </c>
      <c r="V597">
        <v>1021</v>
      </c>
      <c r="W597">
        <v>51.54</v>
      </c>
      <c r="Y597">
        <v>12.97</v>
      </c>
    </row>
    <row r="598" spans="1:25" x14ac:dyDescent="0.25">
      <c r="A598">
        <v>2006</v>
      </c>
      <c r="B598">
        <v>146</v>
      </c>
      <c r="C598">
        <v>500</v>
      </c>
      <c r="D598" s="7">
        <v>7.51</v>
      </c>
      <c r="E598" s="7">
        <v>-1.3939999999999999</v>
      </c>
      <c r="F598" s="7">
        <v>10.06</v>
      </c>
      <c r="G598" s="7">
        <v>10.08</v>
      </c>
      <c r="H598" s="7"/>
      <c r="I598" s="7"/>
      <c r="J598" s="7"/>
      <c r="K598" s="7">
        <v>2.6640000000000001</v>
      </c>
      <c r="L598" s="7">
        <v>125.7</v>
      </c>
      <c r="M598" s="7">
        <v>1</v>
      </c>
      <c r="N598" s="7"/>
      <c r="O598">
        <v>-0.14499999999999999</v>
      </c>
      <c r="P598">
        <v>-8.01</v>
      </c>
      <c r="Q598">
        <v>12.48</v>
      </c>
      <c r="S598">
        <v>12.24</v>
      </c>
      <c r="T598">
        <v>0</v>
      </c>
      <c r="U598">
        <v>99.8</v>
      </c>
      <c r="V598">
        <v>1022</v>
      </c>
      <c r="W598">
        <v>51.67</v>
      </c>
      <c r="Y598">
        <v>12.94</v>
      </c>
    </row>
    <row r="599" spans="1:25" x14ac:dyDescent="0.25">
      <c r="A599">
        <v>2006</v>
      </c>
      <c r="B599">
        <v>146</v>
      </c>
      <c r="C599">
        <v>600</v>
      </c>
      <c r="D599" s="7">
        <v>47.63</v>
      </c>
      <c r="E599" s="7">
        <v>25.74</v>
      </c>
      <c r="F599" s="7">
        <v>10.4</v>
      </c>
      <c r="G599" s="7">
        <v>10.39</v>
      </c>
      <c r="H599" s="7"/>
      <c r="I599" s="7"/>
      <c r="J599" s="7"/>
      <c r="K599" s="7">
        <v>1.97</v>
      </c>
      <c r="L599" s="7">
        <v>127.7</v>
      </c>
      <c r="M599" s="7">
        <v>0.8</v>
      </c>
      <c r="N599" s="7"/>
      <c r="O599">
        <v>55.83</v>
      </c>
      <c r="P599">
        <v>6.3140000000000001</v>
      </c>
      <c r="Q599">
        <v>12.38</v>
      </c>
      <c r="S599">
        <v>12.15</v>
      </c>
      <c r="T599">
        <v>0</v>
      </c>
      <c r="U599">
        <v>100.1</v>
      </c>
      <c r="V599">
        <v>1023</v>
      </c>
      <c r="W599">
        <v>51.83</v>
      </c>
      <c r="Y599">
        <v>12.98</v>
      </c>
    </row>
    <row r="600" spans="1:25" x14ac:dyDescent="0.25">
      <c r="A600">
        <v>2006</v>
      </c>
      <c r="B600">
        <v>146</v>
      </c>
      <c r="C600">
        <v>700</v>
      </c>
      <c r="D600" s="7">
        <v>51.46</v>
      </c>
      <c r="E600" s="7">
        <v>28.52</v>
      </c>
      <c r="F600" s="7">
        <v>11.29</v>
      </c>
      <c r="G600" s="7">
        <v>11.3</v>
      </c>
      <c r="H600" s="7"/>
      <c r="I600" s="7"/>
      <c r="J600" s="7"/>
      <c r="K600" s="7">
        <v>0.84199999999999997</v>
      </c>
      <c r="L600" s="7">
        <v>180.8</v>
      </c>
      <c r="M600" s="7">
        <v>0</v>
      </c>
      <c r="N600" s="7"/>
      <c r="O600">
        <v>61.49</v>
      </c>
      <c r="P600">
        <v>7.63</v>
      </c>
      <c r="Q600">
        <v>12.33</v>
      </c>
      <c r="S600">
        <v>12.09</v>
      </c>
      <c r="T600">
        <v>0</v>
      </c>
      <c r="U600">
        <v>99.9</v>
      </c>
      <c r="V600">
        <v>1023</v>
      </c>
      <c r="W600">
        <v>51.89</v>
      </c>
      <c r="Y600">
        <v>13.29</v>
      </c>
    </row>
    <row r="601" spans="1:25" x14ac:dyDescent="0.25">
      <c r="A601">
        <v>2006</v>
      </c>
      <c r="B601">
        <v>146</v>
      </c>
      <c r="C601">
        <v>800</v>
      </c>
      <c r="D601" s="7">
        <v>116</v>
      </c>
      <c r="E601" s="7">
        <v>71.099999999999994</v>
      </c>
      <c r="F601" s="7">
        <v>12.37</v>
      </c>
      <c r="G601" s="7">
        <v>12.42</v>
      </c>
      <c r="H601" s="7"/>
      <c r="I601" s="7"/>
      <c r="J601" s="7"/>
      <c r="K601" s="7">
        <v>1.81</v>
      </c>
      <c r="L601" s="7">
        <v>258.89999999999998</v>
      </c>
      <c r="M601" s="7">
        <v>0</v>
      </c>
      <c r="N601" s="7"/>
      <c r="O601">
        <v>147.6</v>
      </c>
      <c r="P601">
        <v>30.2</v>
      </c>
      <c r="Q601">
        <v>12.28</v>
      </c>
      <c r="S601">
        <v>12.02</v>
      </c>
      <c r="T601">
        <v>0</v>
      </c>
      <c r="U601">
        <v>99.5</v>
      </c>
      <c r="V601">
        <v>1025</v>
      </c>
      <c r="W601">
        <v>52.19</v>
      </c>
      <c r="Y601">
        <v>13.56</v>
      </c>
    </row>
    <row r="602" spans="1:25" x14ac:dyDescent="0.25">
      <c r="A602">
        <v>2006</v>
      </c>
      <c r="B602">
        <v>146</v>
      </c>
      <c r="C602">
        <v>900</v>
      </c>
      <c r="D602" s="7">
        <v>102.3</v>
      </c>
      <c r="E602" s="7">
        <v>60.65</v>
      </c>
      <c r="F602" s="7">
        <v>13.03</v>
      </c>
      <c r="G602" s="7">
        <v>13.23</v>
      </c>
      <c r="H602" s="7">
        <f>AVERAGE(G602:G625)</f>
        <v>13.275833333333338</v>
      </c>
      <c r="I602" s="7">
        <f>MIN(G602:G625)</f>
        <v>10.220000000000001</v>
      </c>
      <c r="J602" s="7">
        <f>MAX(G602:G625)</f>
        <v>17.72</v>
      </c>
      <c r="K602" s="7">
        <v>2.762</v>
      </c>
      <c r="L602" s="7">
        <v>274.7</v>
      </c>
      <c r="M602" s="7">
        <v>0</v>
      </c>
      <c r="N602" s="7">
        <f>SUM(M602:M625)</f>
        <v>0.4</v>
      </c>
      <c r="O602">
        <v>131.5</v>
      </c>
      <c r="P602">
        <v>27.39</v>
      </c>
      <c r="Q602">
        <v>12.27</v>
      </c>
      <c r="S602">
        <v>11.95</v>
      </c>
      <c r="T602">
        <v>0</v>
      </c>
      <c r="U602">
        <v>97.8</v>
      </c>
      <c r="V602">
        <v>1025</v>
      </c>
      <c r="W602">
        <v>52.15</v>
      </c>
      <c r="Y602">
        <v>13.63</v>
      </c>
    </row>
    <row r="603" spans="1:25" x14ac:dyDescent="0.25">
      <c r="A603">
        <v>2006</v>
      </c>
      <c r="B603">
        <v>146</v>
      </c>
      <c r="C603">
        <v>1000</v>
      </c>
      <c r="D603" s="7">
        <v>205.4</v>
      </c>
      <c r="E603" s="7">
        <v>124.7</v>
      </c>
      <c r="F603" s="7">
        <v>13.62</v>
      </c>
      <c r="G603" s="7">
        <v>14</v>
      </c>
      <c r="H603" s="7"/>
      <c r="I603" s="7"/>
      <c r="J603" s="7"/>
      <c r="K603" s="7">
        <v>3.476</v>
      </c>
      <c r="L603" s="7">
        <v>281.60000000000002</v>
      </c>
      <c r="M603" s="7">
        <v>0</v>
      </c>
      <c r="N603" s="7"/>
      <c r="O603">
        <v>263.7</v>
      </c>
      <c r="P603">
        <v>64.37</v>
      </c>
      <c r="Q603">
        <v>12.36</v>
      </c>
      <c r="S603">
        <v>11.95</v>
      </c>
      <c r="T603">
        <v>0</v>
      </c>
      <c r="U603">
        <v>95.9</v>
      </c>
      <c r="V603">
        <v>1020</v>
      </c>
      <c r="W603">
        <v>51.5</v>
      </c>
      <c r="Y603">
        <v>13.83</v>
      </c>
    </row>
    <row r="604" spans="1:25" x14ac:dyDescent="0.25">
      <c r="A604">
        <v>2006</v>
      </c>
      <c r="B604">
        <v>146</v>
      </c>
      <c r="C604">
        <v>1100</v>
      </c>
      <c r="D604" s="7">
        <v>342.3</v>
      </c>
      <c r="E604" s="7">
        <v>208.3</v>
      </c>
      <c r="F604" s="7">
        <v>14.63</v>
      </c>
      <c r="G604" s="7">
        <v>15.2</v>
      </c>
      <c r="H604" s="7"/>
      <c r="I604" s="7"/>
      <c r="J604" s="7"/>
      <c r="K604" s="7">
        <v>3.5329999999999999</v>
      </c>
      <c r="L604" s="7">
        <v>278.3</v>
      </c>
      <c r="M604" s="7">
        <v>0</v>
      </c>
      <c r="N604" s="7"/>
      <c r="O604">
        <v>439.5</v>
      </c>
      <c r="P604">
        <v>119.8</v>
      </c>
      <c r="Q604">
        <v>12.46</v>
      </c>
      <c r="S604">
        <v>11.97</v>
      </c>
      <c r="T604">
        <v>0</v>
      </c>
      <c r="U604">
        <v>94.2</v>
      </c>
      <c r="V604">
        <v>873</v>
      </c>
      <c r="W604">
        <v>37.58</v>
      </c>
      <c r="Y604">
        <v>14.04</v>
      </c>
    </row>
    <row r="605" spans="1:25" x14ac:dyDescent="0.25">
      <c r="A605">
        <v>2006</v>
      </c>
      <c r="B605">
        <v>146</v>
      </c>
      <c r="C605">
        <v>1200</v>
      </c>
      <c r="D605" s="7">
        <v>226.5</v>
      </c>
      <c r="E605" s="7">
        <v>131</v>
      </c>
      <c r="F605" s="7">
        <v>14.89</v>
      </c>
      <c r="G605" s="7">
        <v>15.09</v>
      </c>
      <c r="H605" s="7"/>
      <c r="I605" s="7"/>
      <c r="J605" s="7"/>
      <c r="K605" s="7">
        <v>3.5259999999999998</v>
      </c>
      <c r="L605" s="7">
        <v>268.7</v>
      </c>
      <c r="M605" s="7">
        <v>0</v>
      </c>
      <c r="N605" s="7"/>
      <c r="O605">
        <v>293.5</v>
      </c>
      <c r="P605">
        <v>78.400000000000006</v>
      </c>
      <c r="Q605">
        <v>12.6</v>
      </c>
      <c r="S605">
        <v>11.96</v>
      </c>
      <c r="T605">
        <v>0</v>
      </c>
      <c r="U605">
        <v>98</v>
      </c>
      <c r="V605">
        <v>852</v>
      </c>
      <c r="W605">
        <v>36.22</v>
      </c>
      <c r="Y605">
        <v>13.92</v>
      </c>
    </row>
    <row r="606" spans="1:25" x14ac:dyDescent="0.25">
      <c r="A606">
        <v>2006</v>
      </c>
      <c r="B606">
        <v>146</v>
      </c>
      <c r="C606">
        <v>1300</v>
      </c>
      <c r="D606" s="7">
        <v>501.1</v>
      </c>
      <c r="E606" s="7">
        <v>324.10000000000002</v>
      </c>
      <c r="F606" s="7">
        <v>15.23</v>
      </c>
      <c r="G606" s="7">
        <v>15.57</v>
      </c>
      <c r="H606" s="7"/>
      <c r="I606" s="7"/>
      <c r="J606" s="7"/>
      <c r="K606" s="7">
        <v>4.3079999999999998</v>
      </c>
      <c r="L606" s="7">
        <v>286.5</v>
      </c>
      <c r="M606" s="7">
        <v>0.4</v>
      </c>
      <c r="N606" s="7"/>
      <c r="O606">
        <v>628.20000000000005</v>
      </c>
      <c r="P606">
        <v>135.19999999999999</v>
      </c>
      <c r="Q606">
        <v>12.8</v>
      </c>
      <c r="S606">
        <v>12.04</v>
      </c>
      <c r="T606">
        <v>0</v>
      </c>
      <c r="U606">
        <v>96.6</v>
      </c>
      <c r="V606">
        <v>845</v>
      </c>
      <c r="W606">
        <v>35.74</v>
      </c>
      <c r="Y606">
        <v>14.18</v>
      </c>
    </row>
    <row r="607" spans="1:25" x14ac:dyDescent="0.25">
      <c r="A607">
        <v>2006</v>
      </c>
      <c r="B607">
        <v>146</v>
      </c>
      <c r="C607">
        <v>1400</v>
      </c>
      <c r="D607" s="7">
        <v>703</v>
      </c>
      <c r="E607" s="7">
        <v>422.5</v>
      </c>
      <c r="F607" s="7">
        <v>16.52</v>
      </c>
      <c r="G607" s="7">
        <v>17.25</v>
      </c>
      <c r="H607" s="7"/>
      <c r="I607" s="7"/>
      <c r="J607" s="7"/>
      <c r="K607" s="7">
        <v>4.62</v>
      </c>
      <c r="L607" s="7">
        <v>293.7</v>
      </c>
      <c r="M607" s="7">
        <v>0</v>
      </c>
      <c r="N607" s="7"/>
      <c r="O607">
        <v>844</v>
      </c>
      <c r="P607">
        <v>209.7</v>
      </c>
      <c r="Q607">
        <v>13.03</v>
      </c>
      <c r="S607">
        <v>12.2</v>
      </c>
      <c r="T607">
        <v>0</v>
      </c>
      <c r="U607">
        <v>92.9</v>
      </c>
      <c r="V607">
        <v>842</v>
      </c>
      <c r="W607">
        <v>35.57</v>
      </c>
      <c r="Y607">
        <v>14.35</v>
      </c>
    </row>
    <row r="608" spans="1:25" x14ac:dyDescent="0.25">
      <c r="A608">
        <v>2006</v>
      </c>
      <c r="B608">
        <v>146</v>
      </c>
      <c r="C608">
        <v>1500</v>
      </c>
      <c r="D608" s="7">
        <v>765</v>
      </c>
      <c r="E608" s="7">
        <v>466.8</v>
      </c>
      <c r="F608" s="7">
        <v>17.54</v>
      </c>
      <c r="G608" s="7">
        <v>17.72</v>
      </c>
      <c r="H608" s="7"/>
      <c r="I608" s="7"/>
      <c r="J608" s="7"/>
      <c r="K608" s="7">
        <v>5.2460000000000004</v>
      </c>
      <c r="L608" s="7">
        <v>299.7</v>
      </c>
      <c r="M608" s="7">
        <v>0</v>
      </c>
      <c r="N608" s="7"/>
      <c r="O608">
        <v>929</v>
      </c>
      <c r="P608">
        <v>238.5</v>
      </c>
      <c r="Q608">
        <v>13.31</v>
      </c>
      <c r="S608">
        <v>12.34</v>
      </c>
      <c r="T608">
        <v>0</v>
      </c>
      <c r="U608">
        <v>98.3</v>
      </c>
      <c r="V608">
        <v>835</v>
      </c>
      <c r="W608">
        <v>35.200000000000003</v>
      </c>
      <c r="Y608">
        <v>14.31</v>
      </c>
    </row>
    <row r="609" spans="1:25" x14ac:dyDescent="0.25">
      <c r="A609">
        <v>2006</v>
      </c>
      <c r="B609">
        <v>146</v>
      </c>
      <c r="C609">
        <v>1600</v>
      </c>
      <c r="D609" s="7">
        <v>509.3</v>
      </c>
      <c r="E609" s="7">
        <v>296.3</v>
      </c>
      <c r="F609" s="7">
        <v>16.850000000000001</v>
      </c>
      <c r="G609" s="7">
        <v>16.87</v>
      </c>
      <c r="H609" s="7"/>
      <c r="I609" s="7"/>
      <c r="J609" s="7"/>
      <c r="K609" s="7">
        <v>5.1100000000000003</v>
      </c>
      <c r="L609" s="7">
        <v>304.60000000000002</v>
      </c>
      <c r="M609" s="7">
        <v>0</v>
      </c>
      <c r="N609" s="7"/>
      <c r="O609">
        <v>619.79999999999995</v>
      </c>
      <c r="P609">
        <v>190.7</v>
      </c>
      <c r="Q609">
        <v>13.61</v>
      </c>
      <c r="S609">
        <v>12.46</v>
      </c>
      <c r="T609">
        <v>0</v>
      </c>
      <c r="U609">
        <v>99.8</v>
      </c>
      <c r="V609">
        <v>826</v>
      </c>
      <c r="W609">
        <v>34.68</v>
      </c>
      <c r="Y609">
        <v>14.2</v>
      </c>
    </row>
    <row r="610" spans="1:25" x14ac:dyDescent="0.25">
      <c r="A610">
        <v>2006</v>
      </c>
      <c r="B610">
        <v>146</v>
      </c>
      <c r="C610">
        <v>1700</v>
      </c>
      <c r="D610" s="7">
        <v>529.70000000000005</v>
      </c>
      <c r="E610" s="7">
        <v>313.8</v>
      </c>
      <c r="F610" s="7">
        <v>16.71</v>
      </c>
      <c r="G610" s="7">
        <v>16.73</v>
      </c>
      <c r="H610" s="7"/>
      <c r="I610" s="7"/>
      <c r="J610" s="7"/>
      <c r="K610" s="7">
        <v>5.29</v>
      </c>
      <c r="L610" s="7">
        <v>301.5</v>
      </c>
      <c r="M610" s="7">
        <v>0</v>
      </c>
      <c r="N610" s="7"/>
      <c r="O610">
        <v>644.79999999999995</v>
      </c>
      <c r="P610">
        <v>243.2</v>
      </c>
      <c r="Q610">
        <v>13.88</v>
      </c>
      <c r="S610">
        <v>12.7</v>
      </c>
      <c r="T610">
        <v>0</v>
      </c>
      <c r="U610">
        <v>99.8</v>
      </c>
      <c r="V610">
        <v>820</v>
      </c>
      <c r="W610">
        <v>34.32</v>
      </c>
      <c r="Y610">
        <v>14.06</v>
      </c>
    </row>
    <row r="611" spans="1:25" x14ac:dyDescent="0.25">
      <c r="A611">
        <v>2006</v>
      </c>
      <c r="B611">
        <v>146</v>
      </c>
      <c r="C611">
        <v>1800</v>
      </c>
      <c r="D611" s="7">
        <v>365.2</v>
      </c>
      <c r="E611" s="7">
        <v>204.7</v>
      </c>
      <c r="F611" s="7">
        <v>15.91</v>
      </c>
      <c r="G611" s="7">
        <v>15.93</v>
      </c>
      <c r="H611" s="7"/>
      <c r="I611" s="7"/>
      <c r="J611" s="7"/>
      <c r="K611" s="7">
        <v>4.8639999999999999</v>
      </c>
      <c r="L611" s="7">
        <v>302.8</v>
      </c>
      <c r="M611" s="7">
        <v>0</v>
      </c>
      <c r="N611" s="7"/>
      <c r="O611">
        <v>442.8</v>
      </c>
      <c r="P611">
        <v>208.8</v>
      </c>
      <c r="Q611">
        <v>14.11</v>
      </c>
      <c r="S611">
        <v>12.94</v>
      </c>
      <c r="T611">
        <v>0</v>
      </c>
      <c r="U611">
        <v>99.8</v>
      </c>
      <c r="V611">
        <v>814</v>
      </c>
      <c r="W611">
        <v>33.99</v>
      </c>
      <c r="Y611">
        <v>13.76</v>
      </c>
    </row>
    <row r="612" spans="1:25" x14ac:dyDescent="0.25">
      <c r="A612">
        <v>2006</v>
      </c>
      <c r="B612">
        <v>146</v>
      </c>
      <c r="C612">
        <v>1900</v>
      </c>
      <c r="D612" s="7">
        <v>193.8</v>
      </c>
      <c r="E612" s="7">
        <v>92.5</v>
      </c>
      <c r="F612" s="7">
        <v>14.89</v>
      </c>
      <c r="G612" s="7">
        <v>14.8</v>
      </c>
      <c r="H612" s="7"/>
      <c r="I612" s="7"/>
      <c r="J612" s="7"/>
      <c r="K612" s="7">
        <v>3.3370000000000002</v>
      </c>
      <c r="L612" s="7">
        <v>303.89999999999998</v>
      </c>
      <c r="M612" s="7">
        <v>0</v>
      </c>
      <c r="N612" s="7"/>
      <c r="O612">
        <v>240.4</v>
      </c>
      <c r="P612">
        <v>131.4</v>
      </c>
      <c r="Q612">
        <v>14.22</v>
      </c>
      <c r="S612">
        <v>13.1</v>
      </c>
      <c r="T612">
        <v>0</v>
      </c>
      <c r="U612">
        <v>101</v>
      </c>
      <c r="V612">
        <v>809</v>
      </c>
      <c r="W612">
        <v>33.72</v>
      </c>
      <c r="Y612">
        <v>13.63</v>
      </c>
    </row>
    <row r="613" spans="1:25" x14ac:dyDescent="0.25">
      <c r="A613">
        <v>2006</v>
      </c>
      <c r="B613">
        <v>146</v>
      </c>
      <c r="C613">
        <v>2000</v>
      </c>
      <c r="D613" s="7">
        <v>84.3</v>
      </c>
      <c r="E613" s="7">
        <v>15.81</v>
      </c>
      <c r="F613" s="7">
        <v>14.21</v>
      </c>
      <c r="G613" s="7">
        <v>14.08</v>
      </c>
      <c r="H613" s="7"/>
      <c r="I613" s="7"/>
      <c r="J613" s="7"/>
      <c r="K613" s="7">
        <v>2.7589999999999999</v>
      </c>
      <c r="L613" s="7">
        <v>296.39999999999998</v>
      </c>
      <c r="M613" s="7">
        <v>0</v>
      </c>
      <c r="N613" s="7"/>
      <c r="O613">
        <v>102</v>
      </c>
      <c r="P613">
        <v>60</v>
      </c>
      <c r="Q613">
        <v>14.25</v>
      </c>
      <c r="S613">
        <v>13.22</v>
      </c>
      <c r="T613">
        <v>0</v>
      </c>
      <c r="U613">
        <v>101.3</v>
      </c>
      <c r="V613">
        <v>806</v>
      </c>
      <c r="W613">
        <v>33.56</v>
      </c>
      <c r="Y613">
        <v>13.59</v>
      </c>
    </row>
    <row r="614" spans="1:25" x14ac:dyDescent="0.25">
      <c r="A614">
        <v>2006</v>
      </c>
      <c r="B614">
        <v>146</v>
      </c>
      <c r="C614">
        <v>2100</v>
      </c>
      <c r="D614" s="7">
        <v>5.085</v>
      </c>
      <c r="E614" s="7">
        <v>-38.93</v>
      </c>
      <c r="F614" s="7">
        <v>12.59</v>
      </c>
      <c r="G614" s="7">
        <v>12.6</v>
      </c>
      <c r="H614" s="7"/>
      <c r="I614" s="7"/>
      <c r="J614" s="7"/>
      <c r="K614" s="7">
        <v>2.8140000000000001</v>
      </c>
      <c r="L614" s="7">
        <v>295.89999999999998</v>
      </c>
      <c r="M614" s="7">
        <v>0</v>
      </c>
      <c r="N614" s="7"/>
      <c r="O614">
        <v>-3.2010000000000001</v>
      </c>
      <c r="P614">
        <v>-8.51</v>
      </c>
      <c r="Q614">
        <v>14.18</v>
      </c>
      <c r="S614">
        <v>13.25</v>
      </c>
      <c r="T614">
        <v>0</v>
      </c>
      <c r="U614">
        <v>99.9</v>
      </c>
      <c r="V614">
        <v>805</v>
      </c>
      <c r="W614">
        <v>33.54</v>
      </c>
      <c r="Y614">
        <v>13.45</v>
      </c>
    </row>
    <row r="615" spans="1:25" x14ac:dyDescent="0.25">
      <c r="A615">
        <v>2006</v>
      </c>
      <c r="B615">
        <v>146</v>
      </c>
      <c r="C615">
        <v>2200</v>
      </c>
      <c r="D615" s="7">
        <v>-1.7949999999999999</v>
      </c>
      <c r="E615" s="7">
        <v>-41.44</v>
      </c>
      <c r="F615" s="7">
        <v>11.86</v>
      </c>
      <c r="G615" s="7">
        <v>11.82</v>
      </c>
      <c r="H615" s="7"/>
      <c r="I615" s="7"/>
      <c r="J615" s="7"/>
      <c r="K615" s="7">
        <v>2.661</v>
      </c>
      <c r="L615" s="7">
        <v>282.3</v>
      </c>
      <c r="M615" s="7">
        <v>0</v>
      </c>
      <c r="N615" s="7"/>
      <c r="O615">
        <v>-11.88</v>
      </c>
      <c r="P615">
        <v>-11.36</v>
      </c>
      <c r="Q615">
        <v>14.08</v>
      </c>
      <c r="S615">
        <v>13.26</v>
      </c>
      <c r="T615">
        <v>0</v>
      </c>
      <c r="U615">
        <v>100.4</v>
      </c>
      <c r="V615">
        <v>808</v>
      </c>
      <c r="W615">
        <v>33.67</v>
      </c>
      <c r="Y615">
        <v>13.36</v>
      </c>
    </row>
    <row r="616" spans="1:25" x14ac:dyDescent="0.25">
      <c r="A616">
        <v>2006</v>
      </c>
      <c r="B616">
        <v>146</v>
      </c>
      <c r="C616">
        <v>2300</v>
      </c>
      <c r="D616" s="7">
        <v>-1.302</v>
      </c>
      <c r="E616" s="7">
        <v>-27.1</v>
      </c>
      <c r="F616" s="7">
        <v>11.55</v>
      </c>
      <c r="G616" s="7">
        <v>11.56</v>
      </c>
      <c r="H616" s="7"/>
      <c r="I616" s="7"/>
      <c r="J616" s="7"/>
      <c r="K616" s="7">
        <v>2.5880000000000001</v>
      </c>
      <c r="L616" s="7">
        <v>285.8</v>
      </c>
      <c r="M616" s="7">
        <v>0</v>
      </c>
      <c r="N616" s="7"/>
      <c r="O616">
        <v>-11.93</v>
      </c>
      <c r="P616">
        <v>-11.27</v>
      </c>
      <c r="Q616">
        <v>13.95</v>
      </c>
      <c r="S616">
        <v>13.23</v>
      </c>
      <c r="T616">
        <v>0</v>
      </c>
      <c r="U616">
        <v>99.9</v>
      </c>
      <c r="V616">
        <v>805</v>
      </c>
      <c r="W616">
        <v>33.49</v>
      </c>
      <c r="Y616">
        <v>13.28</v>
      </c>
    </row>
    <row r="617" spans="1:25" x14ac:dyDescent="0.25">
      <c r="A617">
        <v>2006</v>
      </c>
      <c r="B617">
        <v>146</v>
      </c>
      <c r="C617">
        <v>2400</v>
      </c>
      <c r="D617" s="7">
        <v>-1.1639999999999999</v>
      </c>
      <c r="E617" s="7">
        <v>-24.25</v>
      </c>
      <c r="F617" s="7">
        <v>11.33</v>
      </c>
      <c r="G617" s="7">
        <v>11.3</v>
      </c>
      <c r="H617" s="7"/>
      <c r="I617" s="7"/>
      <c r="J617" s="7"/>
      <c r="K617" s="7">
        <v>2.0950000000000002</v>
      </c>
      <c r="L617" s="7">
        <v>276.8</v>
      </c>
      <c r="M617" s="7">
        <v>0</v>
      </c>
      <c r="N617" s="7"/>
      <c r="O617">
        <v>-11.7</v>
      </c>
      <c r="P617">
        <v>-11.04</v>
      </c>
      <c r="Q617">
        <v>13.78</v>
      </c>
      <c r="S617">
        <v>13.17</v>
      </c>
      <c r="T617">
        <v>0</v>
      </c>
      <c r="U617">
        <v>100.4</v>
      </c>
      <c r="V617">
        <v>804</v>
      </c>
      <c r="W617">
        <v>33.44</v>
      </c>
      <c r="Y617">
        <v>13.21</v>
      </c>
    </row>
    <row r="618" spans="1:25" x14ac:dyDescent="0.25">
      <c r="A618">
        <v>2006</v>
      </c>
      <c r="B618">
        <v>147</v>
      </c>
      <c r="C618">
        <v>100</v>
      </c>
      <c r="D618" s="7">
        <v>-1.46</v>
      </c>
      <c r="E618" s="7">
        <v>-27.81</v>
      </c>
      <c r="F618" s="7">
        <v>10.91</v>
      </c>
      <c r="G618" s="7">
        <v>10.89</v>
      </c>
      <c r="H618" s="7"/>
      <c r="I618" s="7"/>
      <c r="J618" s="7"/>
      <c r="K618" s="7">
        <v>1.8069999999999999</v>
      </c>
      <c r="L618" s="7">
        <v>270.8</v>
      </c>
      <c r="M618" s="7">
        <v>0</v>
      </c>
      <c r="N618" s="7"/>
      <c r="O618">
        <v>-11.58</v>
      </c>
      <c r="P618">
        <v>-10.98</v>
      </c>
      <c r="Q618">
        <v>13.63</v>
      </c>
      <c r="S618">
        <v>13.07</v>
      </c>
      <c r="T618">
        <v>0</v>
      </c>
      <c r="U618">
        <v>100.3</v>
      </c>
      <c r="V618">
        <v>805</v>
      </c>
      <c r="W618">
        <v>33.5</v>
      </c>
      <c r="Y618">
        <v>13.14</v>
      </c>
    </row>
    <row r="619" spans="1:25" x14ac:dyDescent="0.25">
      <c r="A619">
        <v>2006</v>
      </c>
      <c r="B619">
        <v>147</v>
      </c>
      <c r="C619">
        <v>200</v>
      </c>
      <c r="D619" s="7">
        <v>-1.155</v>
      </c>
      <c r="E619" s="7">
        <v>-26.12</v>
      </c>
      <c r="F619" s="7">
        <v>10.59</v>
      </c>
      <c r="G619" s="7">
        <v>10.74</v>
      </c>
      <c r="H619" s="7"/>
      <c r="I619" s="7"/>
      <c r="J619" s="7"/>
      <c r="K619" s="7">
        <v>2.5</v>
      </c>
      <c r="L619" s="7">
        <v>262.8</v>
      </c>
      <c r="M619" s="7">
        <v>0</v>
      </c>
      <c r="N619" s="7"/>
      <c r="O619">
        <v>-11.54</v>
      </c>
      <c r="P619">
        <v>-10.92</v>
      </c>
      <c r="Q619">
        <v>13.51</v>
      </c>
      <c r="S619">
        <v>13</v>
      </c>
      <c r="T619">
        <v>0</v>
      </c>
      <c r="U619">
        <v>98.2</v>
      </c>
      <c r="V619">
        <v>804</v>
      </c>
      <c r="W619">
        <v>33.450000000000003</v>
      </c>
      <c r="Y619">
        <v>13.08</v>
      </c>
    </row>
    <row r="620" spans="1:25" x14ac:dyDescent="0.25">
      <c r="A620">
        <v>2006</v>
      </c>
      <c r="B620">
        <v>147</v>
      </c>
      <c r="C620">
        <v>300</v>
      </c>
      <c r="D620" s="7">
        <v>-1.468</v>
      </c>
      <c r="E620" s="7">
        <v>-28.78</v>
      </c>
      <c r="F620" s="7">
        <v>10.26</v>
      </c>
      <c r="G620" s="7">
        <v>10.28</v>
      </c>
      <c r="H620" s="7"/>
      <c r="I620" s="7"/>
      <c r="J620" s="7"/>
      <c r="K620" s="7">
        <v>1.9870000000000001</v>
      </c>
      <c r="L620" s="7">
        <v>255.8</v>
      </c>
      <c r="M620" s="7">
        <v>0</v>
      </c>
      <c r="N620" s="7"/>
      <c r="O620">
        <v>-11.51</v>
      </c>
      <c r="P620">
        <v>-10.86</v>
      </c>
      <c r="Q620">
        <v>13.38</v>
      </c>
      <c r="S620">
        <v>12.89</v>
      </c>
      <c r="T620">
        <v>0</v>
      </c>
      <c r="U620">
        <v>99.8</v>
      </c>
      <c r="V620">
        <v>803</v>
      </c>
      <c r="W620">
        <v>33.42</v>
      </c>
      <c r="Y620">
        <v>13.03</v>
      </c>
    </row>
    <row r="621" spans="1:25" x14ac:dyDescent="0.25">
      <c r="A621">
        <v>2006</v>
      </c>
      <c r="B621">
        <v>147</v>
      </c>
      <c r="C621">
        <v>400</v>
      </c>
      <c r="D621" s="7">
        <v>-0.96099999999999997</v>
      </c>
      <c r="E621" s="7">
        <v>-24.86</v>
      </c>
      <c r="F621" s="7">
        <v>10.18</v>
      </c>
      <c r="G621" s="7">
        <v>10.220000000000001</v>
      </c>
      <c r="H621" s="7"/>
      <c r="I621" s="7"/>
      <c r="J621" s="7"/>
      <c r="K621" s="7">
        <v>2.33</v>
      </c>
      <c r="L621" s="7">
        <v>248.7</v>
      </c>
      <c r="M621" s="7">
        <v>0</v>
      </c>
      <c r="N621" s="7"/>
      <c r="O621">
        <v>-11.25</v>
      </c>
      <c r="P621">
        <v>-10.82</v>
      </c>
      <c r="Q621">
        <v>13.26</v>
      </c>
      <c r="S621">
        <v>12.81</v>
      </c>
      <c r="T621">
        <v>0</v>
      </c>
      <c r="U621">
        <v>99.5</v>
      </c>
      <c r="V621">
        <v>807</v>
      </c>
      <c r="W621">
        <v>33.64</v>
      </c>
      <c r="Y621">
        <v>12.98</v>
      </c>
    </row>
    <row r="622" spans="1:25" x14ac:dyDescent="0.25">
      <c r="A622">
        <v>2006</v>
      </c>
      <c r="B622">
        <v>147</v>
      </c>
      <c r="C622">
        <v>500</v>
      </c>
      <c r="D622" s="7">
        <v>6.8719999999999999</v>
      </c>
      <c r="E622" s="7">
        <v>-17.43</v>
      </c>
      <c r="F622" s="7">
        <v>10.15</v>
      </c>
      <c r="G622" s="7">
        <v>10.220000000000001</v>
      </c>
      <c r="H622" s="7"/>
      <c r="I622" s="7"/>
      <c r="J622" s="7"/>
      <c r="K622" s="7">
        <v>1.9950000000000001</v>
      </c>
      <c r="L622" s="7">
        <v>235.1</v>
      </c>
      <c r="M622" s="7">
        <v>0</v>
      </c>
      <c r="N622" s="7"/>
      <c r="O622">
        <v>-0.378</v>
      </c>
      <c r="P622">
        <v>-7.74</v>
      </c>
      <c r="Q622">
        <v>13.14</v>
      </c>
      <c r="S622">
        <v>12.72</v>
      </c>
      <c r="T622">
        <v>0</v>
      </c>
      <c r="U622">
        <v>99.1</v>
      </c>
      <c r="V622">
        <v>808</v>
      </c>
      <c r="W622">
        <v>33.659999999999997</v>
      </c>
      <c r="Y622">
        <v>12.95</v>
      </c>
    </row>
    <row r="623" spans="1:25" x14ac:dyDescent="0.25">
      <c r="A623">
        <v>2006</v>
      </c>
      <c r="B623">
        <v>147</v>
      </c>
      <c r="C623">
        <v>600</v>
      </c>
      <c r="D623" s="7">
        <v>26.55</v>
      </c>
      <c r="E623" s="7">
        <v>-0.89900000000000002</v>
      </c>
      <c r="F623" s="7">
        <v>10.35</v>
      </c>
      <c r="G623" s="7">
        <v>10.45</v>
      </c>
      <c r="H623" s="7"/>
      <c r="I623" s="7"/>
      <c r="J623" s="7"/>
      <c r="K623" s="7">
        <v>1.93</v>
      </c>
      <c r="L623" s="7">
        <v>234.4</v>
      </c>
      <c r="M623" s="7">
        <v>0</v>
      </c>
      <c r="N623" s="7"/>
      <c r="O623">
        <v>27.82</v>
      </c>
      <c r="P623">
        <v>0.80100000000000005</v>
      </c>
      <c r="Q623">
        <v>13.02</v>
      </c>
      <c r="S623">
        <v>12.62</v>
      </c>
      <c r="T623">
        <v>0</v>
      </c>
      <c r="U623">
        <v>98.9</v>
      </c>
      <c r="V623">
        <v>805</v>
      </c>
      <c r="W623">
        <v>33.49</v>
      </c>
      <c r="Y623">
        <v>12.92</v>
      </c>
    </row>
    <row r="624" spans="1:25" x14ac:dyDescent="0.25">
      <c r="A624">
        <v>2006</v>
      </c>
      <c r="B624">
        <v>147</v>
      </c>
      <c r="C624">
        <v>700</v>
      </c>
      <c r="D624" s="7">
        <v>58.02</v>
      </c>
      <c r="E624" s="7">
        <v>21.6</v>
      </c>
      <c r="F624" s="7">
        <v>10.71</v>
      </c>
      <c r="G624" s="7">
        <v>10.85</v>
      </c>
      <c r="H624" s="7"/>
      <c r="I624" s="7"/>
      <c r="J624" s="7"/>
      <c r="K624" s="7">
        <v>1.948</v>
      </c>
      <c r="L624" s="7">
        <v>235.4</v>
      </c>
      <c r="M624" s="7">
        <v>0</v>
      </c>
      <c r="N624" s="7"/>
      <c r="O624">
        <v>71.400000000000006</v>
      </c>
      <c r="P624">
        <v>13.21</v>
      </c>
      <c r="Q624">
        <v>12.93</v>
      </c>
      <c r="S624">
        <v>12.54</v>
      </c>
      <c r="T624">
        <v>0</v>
      </c>
      <c r="U624">
        <v>98.3</v>
      </c>
      <c r="V624">
        <v>804</v>
      </c>
      <c r="W624">
        <v>33.47</v>
      </c>
      <c r="Y624">
        <v>13.09</v>
      </c>
    </row>
    <row r="625" spans="1:25" x14ac:dyDescent="0.25">
      <c r="A625">
        <v>2006</v>
      </c>
      <c r="B625">
        <v>147</v>
      </c>
      <c r="C625">
        <v>800</v>
      </c>
      <c r="D625" s="7">
        <v>53.08</v>
      </c>
      <c r="E625" s="7">
        <v>25.84</v>
      </c>
      <c r="F625" s="7">
        <v>11.18</v>
      </c>
      <c r="G625" s="7">
        <v>11.22</v>
      </c>
      <c r="H625" s="7"/>
      <c r="I625" s="7"/>
      <c r="J625" s="7"/>
      <c r="K625" s="7">
        <v>2.1120000000000001</v>
      </c>
      <c r="L625" s="7">
        <v>237.4</v>
      </c>
      <c r="M625" s="7">
        <v>0</v>
      </c>
      <c r="N625" s="7"/>
      <c r="O625">
        <v>65.08</v>
      </c>
      <c r="P625">
        <v>8.6999999999999993</v>
      </c>
      <c r="Q625">
        <v>12.83</v>
      </c>
      <c r="S625">
        <v>12.42</v>
      </c>
      <c r="T625">
        <v>0</v>
      </c>
      <c r="U625">
        <v>99.5</v>
      </c>
      <c r="V625">
        <v>804</v>
      </c>
      <c r="W625">
        <v>33.479999999999997</v>
      </c>
      <c r="Y625">
        <v>13.34</v>
      </c>
    </row>
    <row r="626" spans="1:25" x14ac:dyDescent="0.25">
      <c r="A626">
        <v>2006</v>
      </c>
      <c r="B626">
        <v>147</v>
      </c>
      <c r="C626">
        <v>900</v>
      </c>
      <c r="D626" s="7">
        <v>106.4</v>
      </c>
      <c r="E626" s="7">
        <v>62.62</v>
      </c>
      <c r="F626" s="7">
        <v>11.9</v>
      </c>
      <c r="G626" s="7">
        <v>11.91</v>
      </c>
      <c r="H626" s="7">
        <f>AVERAGE(G626:G649)</f>
        <v>11.808750000000002</v>
      </c>
      <c r="I626" s="7">
        <f>MIN(G626:G649)</f>
        <v>8.36</v>
      </c>
      <c r="J626" s="7">
        <f>MAX(G626:G649)</f>
        <v>16.29</v>
      </c>
      <c r="K626" s="7">
        <v>1.8660000000000001</v>
      </c>
      <c r="L626" s="7">
        <v>232.5</v>
      </c>
      <c r="M626" s="7">
        <v>0.2</v>
      </c>
      <c r="N626" s="7">
        <f>SUM(M626:M649)</f>
        <v>4.6000000000000005</v>
      </c>
      <c r="O626">
        <v>137.80000000000001</v>
      </c>
      <c r="P626">
        <v>24.29</v>
      </c>
      <c r="Q626">
        <v>12.81</v>
      </c>
      <c r="S626">
        <v>12.36</v>
      </c>
      <c r="T626">
        <v>0</v>
      </c>
      <c r="U626">
        <v>100</v>
      </c>
      <c r="V626">
        <v>805</v>
      </c>
      <c r="W626">
        <v>33.520000000000003</v>
      </c>
      <c r="Y626">
        <v>13.59</v>
      </c>
    </row>
    <row r="627" spans="1:25" x14ac:dyDescent="0.25">
      <c r="A627">
        <v>2006</v>
      </c>
      <c r="B627">
        <v>147</v>
      </c>
      <c r="C627">
        <v>1000</v>
      </c>
      <c r="D627" s="7">
        <v>131.5</v>
      </c>
      <c r="E627" s="7">
        <v>79.5</v>
      </c>
      <c r="F627" s="7">
        <v>12.4</v>
      </c>
      <c r="G627" s="7">
        <v>12.58</v>
      </c>
      <c r="H627" s="7"/>
      <c r="I627" s="7"/>
      <c r="J627" s="7"/>
      <c r="K627" s="7">
        <v>2.0840000000000001</v>
      </c>
      <c r="L627" s="7">
        <v>241.1</v>
      </c>
      <c r="M627" s="7">
        <v>0</v>
      </c>
      <c r="N627" s="7"/>
      <c r="O627">
        <v>167</v>
      </c>
      <c r="P627">
        <v>33.090000000000003</v>
      </c>
      <c r="Q627">
        <v>12.78</v>
      </c>
      <c r="S627">
        <v>12.29</v>
      </c>
      <c r="T627">
        <v>0</v>
      </c>
      <c r="U627">
        <v>98.1</v>
      </c>
      <c r="V627">
        <v>807</v>
      </c>
      <c r="W627">
        <v>33.619999999999997</v>
      </c>
      <c r="Y627">
        <v>13.64</v>
      </c>
    </row>
    <row r="628" spans="1:25" x14ac:dyDescent="0.25">
      <c r="A628">
        <v>2006</v>
      </c>
      <c r="B628">
        <v>147</v>
      </c>
      <c r="C628">
        <v>1100</v>
      </c>
      <c r="D628" s="7">
        <v>357.1</v>
      </c>
      <c r="E628" s="7">
        <v>225.4</v>
      </c>
      <c r="F628" s="7">
        <v>14.12</v>
      </c>
      <c r="G628" s="7">
        <v>14.59</v>
      </c>
      <c r="H628" s="7"/>
      <c r="I628" s="7"/>
      <c r="J628" s="7"/>
      <c r="K628" s="7">
        <v>2.9329999999999998</v>
      </c>
      <c r="L628" s="7">
        <v>248.9</v>
      </c>
      <c r="M628" s="7">
        <v>0</v>
      </c>
      <c r="N628" s="7"/>
      <c r="O628">
        <v>455.6</v>
      </c>
      <c r="P628">
        <v>118.3</v>
      </c>
      <c r="Q628">
        <v>12.85</v>
      </c>
      <c r="S628">
        <v>12.33</v>
      </c>
      <c r="T628">
        <v>0</v>
      </c>
      <c r="U628">
        <v>95.1</v>
      </c>
      <c r="V628">
        <v>805</v>
      </c>
      <c r="W628">
        <v>33.5</v>
      </c>
      <c r="Y628">
        <v>14.08</v>
      </c>
    </row>
    <row r="629" spans="1:25" x14ac:dyDescent="0.25">
      <c r="A629">
        <v>2006</v>
      </c>
      <c r="B629">
        <v>147</v>
      </c>
      <c r="C629">
        <v>1200</v>
      </c>
      <c r="D629" s="7">
        <v>348.9</v>
      </c>
      <c r="E629" s="7">
        <v>226.5</v>
      </c>
      <c r="F629" s="7">
        <v>13.6</v>
      </c>
      <c r="G629" s="7">
        <v>13.66</v>
      </c>
      <c r="H629" s="7"/>
      <c r="I629" s="7"/>
      <c r="J629" s="7"/>
      <c r="K629" s="7">
        <v>3.74</v>
      </c>
      <c r="L629" s="7">
        <v>293.3</v>
      </c>
      <c r="M629" s="7">
        <v>4.4000000000000004</v>
      </c>
      <c r="N629" s="7"/>
      <c r="O629">
        <v>448.9</v>
      </c>
      <c r="P629">
        <v>101.9</v>
      </c>
      <c r="Q629">
        <v>12.95</v>
      </c>
      <c r="S629">
        <v>12.36</v>
      </c>
      <c r="T629">
        <v>0</v>
      </c>
      <c r="U629">
        <v>99.5</v>
      </c>
      <c r="V629">
        <v>968</v>
      </c>
      <c r="W629">
        <v>47.16</v>
      </c>
      <c r="Y629">
        <v>14.03</v>
      </c>
    </row>
    <row r="630" spans="1:25" x14ac:dyDescent="0.25">
      <c r="A630">
        <v>2006</v>
      </c>
      <c r="B630">
        <v>147</v>
      </c>
      <c r="C630">
        <v>1300</v>
      </c>
      <c r="D630" s="7">
        <v>734</v>
      </c>
      <c r="E630" s="7">
        <v>458.5</v>
      </c>
      <c r="F630" s="7">
        <v>15.22</v>
      </c>
      <c r="G630" s="7">
        <v>15.66</v>
      </c>
      <c r="H630" s="7"/>
      <c r="I630" s="7"/>
      <c r="J630" s="7"/>
      <c r="K630" s="7">
        <v>4.9059999999999997</v>
      </c>
      <c r="L630" s="7">
        <v>291.89999999999998</v>
      </c>
      <c r="M630" s="7">
        <v>0</v>
      </c>
      <c r="N630" s="7"/>
      <c r="O630">
        <v>917</v>
      </c>
      <c r="P630">
        <v>217.5</v>
      </c>
      <c r="Q630">
        <v>13.14</v>
      </c>
      <c r="S630">
        <v>12.44</v>
      </c>
      <c r="T630">
        <v>0</v>
      </c>
      <c r="U630">
        <v>95.5</v>
      </c>
      <c r="V630">
        <v>1022</v>
      </c>
      <c r="W630">
        <v>51.74</v>
      </c>
      <c r="Y630">
        <v>14.24</v>
      </c>
    </row>
    <row r="631" spans="1:25" x14ac:dyDescent="0.25">
      <c r="A631">
        <v>2006</v>
      </c>
      <c r="B631">
        <v>147</v>
      </c>
      <c r="C631">
        <v>1400</v>
      </c>
      <c r="D631" s="7">
        <v>816</v>
      </c>
      <c r="E631" s="7">
        <v>496.5</v>
      </c>
      <c r="F631" s="7">
        <v>16.23</v>
      </c>
      <c r="G631" s="7">
        <v>16.260000000000002</v>
      </c>
      <c r="H631" s="7"/>
      <c r="I631" s="7"/>
      <c r="J631" s="7"/>
      <c r="K631" s="7">
        <v>5.508</v>
      </c>
      <c r="L631" s="7">
        <v>294.7</v>
      </c>
      <c r="M631" s="7">
        <v>0</v>
      </c>
      <c r="N631" s="7"/>
      <c r="O631">
        <v>983</v>
      </c>
      <c r="P631">
        <v>243.7</v>
      </c>
      <c r="Q631">
        <v>13.36</v>
      </c>
      <c r="S631">
        <v>12.53</v>
      </c>
      <c r="T631">
        <v>0</v>
      </c>
      <c r="U631">
        <v>99.7</v>
      </c>
      <c r="V631">
        <v>1016</v>
      </c>
      <c r="W631">
        <v>50.97</v>
      </c>
      <c r="Y631">
        <v>14.47</v>
      </c>
    </row>
    <row r="632" spans="1:25" x14ac:dyDescent="0.25">
      <c r="A632">
        <v>2006</v>
      </c>
      <c r="B632">
        <v>147</v>
      </c>
      <c r="C632">
        <v>1500</v>
      </c>
      <c r="D632" s="7">
        <v>754</v>
      </c>
      <c r="E632" s="7">
        <v>451.9</v>
      </c>
      <c r="F632" s="7">
        <v>16.29</v>
      </c>
      <c r="G632" s="7">
        <v>16.29</v>
      </c>
      <c r="H632" s="7"/>
      <c r="I632" s="7"/>
      <c r="J632" s="7"/>
      <c r="K632" s="7">
        <v>5.4130000000000003</v>
      </c>
      <c r="L632" s="7">
        <v>295.89999999999998</v>
      </c>
      <c r="M632" s="7">
        <v>0</v>
      </c>
      <c r="N632" s="7"/>
      <c r="O632">
        <v>927</v>
      </c>
      <c r="P632">
        <v>235.7</v>
      </c>
      <c r="Q632">
        <v>13.66</v>
      </c>
      <c r="S632">
        <v>12.67</v>
      </c>
      <c r="T632">
        <v>0</v>
      </c>
      <c r="U632">
        <v>99.9</v>
      </c>
      <c r="V632">
        <v>855</v>
      </c>
      <c r="W632">
        <v>36.36</v>
      </c>
      <c r="Y632">
        <v>14.34</v>
      </c>
    </row>
    <row r="633" spans="1:25" x14ac:dyDescent="0.25">
      <c r="A633">
        <v>2006</v>
      </c>
      <c r="B633">
        <v>147</v>
      </c>
      <c r="C633">
        <v>1600</v>
      </c>
      <c r="D633" s="7">
        <v>542.1</v>
      </c>
      <c r="E633" s="7">
        <v>310.7</v>
      </c>
      <c r="F633" s="7">
        <v>15.5</v>
      </c>
      <c r="G633" s="7">
        <v>15.47</v>
      </c>
      <c r="H633" s="7"/>
      <c r="I633" s="7"/>
      <c r="J633" s="7"/>
      <c r="K633" s="7">
        <v>5.7</v>
      </c>
      <c r="L633" s="7">
        <v>294.8</v>
      </c>
      <c r="M633" s="7">
        <v>0</v>
      </c>
      <c r="N633" s="7"/>
      <c r="O633">
        <v>663.7</v>
      </c>
      <c r="P633">
        <v>199.3</v>
      </c>
      <c r="Q633">
        <v>13.92</v>
      </c>
      <c r="S633">
        <v>12.83</v>
      </c>
      <c r="T633">
        <v>0</v>
      </c>
      <c r="U633">
        <v>100.3</v>
      </c>
      <c r="V633">
        <v>836</v>
      </c>
      <c r="W633">
        <v>35.22</v>
      </c>
      <c r="Y633">
        <v>14.23</v>
      </c>
    </row>
    <row r="634" spans="1:25" x14ac:dyDescent="0.25">
      <c r="A634">
        <v>2006</v>
      </c>
      <c r="B634">
        <v>147</v>
      </c>
      <c r="C634">
        <v>1700</v>
      </c>
      <c r="D634" s="7">
        <v>522.9</v>
      </c>
      <c r="E634" s="7">
        <v>300.7</v>
      </c>
      <c r="F634" s="7">
        <v>14.74</v>
      </c>
      <c r="G634" s="7">
        <v>14.76</v>
      </c>
      <c r="H634" s="7"/>
      <c r="I634" s="7"/>
      <c r="J634" s="7"/>
      <c r="K634" s="7">
        <v>6.2629999999999999</v>
      </c>
      <c r="L634" s="7">
        <v>299.89999999999998</v>
      </c>
      <c r="M634" s="7">
        <v>0</v>
      </c>
      <c r="N634" s="7"/>
      <c r="O634">
        <v>640.4</v>
      </c>
      <c r="P634">
        <v>242.6</v>
      </c>
      <c r="Q634">
        <v>14.15</v>
      </c>
      <c r="S634">
        <v>13.06</v>
      </c>
      <c r="T634">
        <v>0</v>
      </c>
      <c r="U634">
        <v>99.9</v>
      </c>
      <c r="V634">
        <v>825</v>
      </c>
      <c r="W634">
        <v>34.630000000000003</v>
      </c>
      <c r="Y634">
        <v>14.06</v>
      </c>
    </row>
    <row r="635" spans="1:25" x14ac:dyDescent="0.25">
      <c r="A635">
        <v>2006</v>
      </c>
      <c r="B635">
        <v>147</v>
      </c>
      <c r="C635">
        <v>1800</v>
      </c>
      <c r="D635" s="7">
        <v>215.3</v>
      </c>
      <c r="E635" s="7">
        <v>100.3</v>
      </c>
      <c r="F635" s="7">
        <v>13.44</v>
      </c>
      <c r="G635" s="7">
        <v>13.43</v>
      </c>
      <c r="H635" s="7"/>
      <c r="I635" s="7"/>
      <c r="J635" s="7"/>
      <c r="K635" s="7">
        <v>5.5140000000000002</v>
      </c>
      <c r="L635" s="7">
        <v>298</v>
      </c>
      <c r="M635" s="7">
        <v>0</v>
      </c>
      <c r="N635" s="7"/>
      <c r="O635">
        <v>258.5</v>
      </c>
      <c r="P635">
        <v>95.6</v>
      </c>
      <c r="Q635">
        <v>14.24</v>
      </c>
      <c r="S635">
        <v>13.18</v>
      </c>
      <c r="T635">
        <v>0</v>
      </c>
      <c r="U635">
        <v>100.1</v>
      </c>
      <c r="V635">
        <v>818</v>
      </c>
      <c r="W635">
        <v>34.21</v>
      </c>
      <c r="Y635">
        <v>13.78</v>
      </c>
    </row>
    <row r="636" spans="1:25" x14ac:dyDescent="0.25">
      <c r="A636">
        <v>2006</v>
      </c>
      <c r="B636">
        <v>147</v>
      </c>
      <c r="C636">
        <v>1900</v>
      </c>
      <c r="D636" s="7">
        <v>83.3</v>
      </c>
      <c r="E636" s="7">
        <v>25.03</v>
      </c>
      <c r="F636" s="7">
        <v>12.5</v>
      </c>
      <c r="G636" s="7">
        <v>12.53</v>
      </c>
      <c r="H636" s="7"/>
      <c r="I636" s="7"/>
      <c r="J636" s="7"/>
      <c r="K636" s="7">
        <v>4.0190000000000001</v>
      </c>
      <c r="L636" s="7">
        <v>301.3</v>
      </c>
      <c r="M636" s="7">
        <v>0</v>
      </c>
      <c r="N636" s="7"/>
      <c r="O636">
        <v>100.4</v>
      </c>
      <c r="P636">
        <v>27.77</v>
      </c>
      <c r="Q636">
        <v>14.27</v>
      </c>
      <c r="S636">
        <v>13.32</v>
      </c>
      <c r="T636">
        <v>0</v>
      </c>
      <c r="U636">
        <v>99.7</v>
      </c>
      <c r="V636">
        <v>815</v>
      </c>
      <c r="W636">
        <v>34.049999999999997</v>
      </c>
      <c r="Y636">
        <v>13.63</v>
      </c>
    </row>
    <row r="637" spans="1:25" x14ac:dyDescent="0.25">
      <c r="A637">
        <v>2006</v>
      </c>
      <c r="B637">
        <v>147</v>
      </c>
      <c r="C637">
        <v>2000</v>
      </c>
      <c r="D637" s="7">
        <v>35.96</v>
      </c>
      <c r="E637" s="7">
        <v>-2.74</v>
      </c>
      <c r="F637" s="7">
        <v>11.73</v>
      </c>
      <c r="G637" s="7">
        <v>11.79</v>
      </c>
      <c r="H637" s="7"/>
      <c r="I637" s="7"/>
      <c r="J637" s="7"/>
      <c r="K637" s="7">
        <v>4.7149999999999999</v>
      </c>
      <c r="L637" s="7">
        <v>293.8</v>
      </c>
      <c r="M637" s="7">
        <v>0</v>
      </c>
      <c r="N637" s="7"/>
      <c r="O637">
        <v>36.61</v>
      </c>
      <c r="P637">
        <v>4.069</v>
      </c>
      <c r="Q637">
        <v>14.22</v>
      </c>
      <c r="S637">
        <v>13.4</v>
      </c>
      <c r="T637">
        <v>0</v>
      </c>
      <c r="U637">
        <v>99.4</v>
      </c>
      <c r="V637">
        <v>816</v>
      </c>
      <c r="W637">
        <v>34.08</v>
      </c>
      <c r="Y637">
        <v>13.51</v>
      </c>
    </row>
    <row r="638" spans="1:25" x14ac:dyDescent="0.25">
      <c r="A638">
        <v>2006</v>
      </c>
      <c r="B638">
        <v>147</v>
      </c>
      <c r="C638">
        <v>2100</v>
      </c>
      <c r="D638" s="7">
        <v>4.319</v>
      </c>
      <c r="E638" s="7">
        <v>-30.53</v>
      </c>
      <c r="F638" s="7">
        <v>11.01</v>
      </c>
      <c r="G638" s="7">
        <v>11</v>
      </c>
      <c r="H638" s="7"/>
      <c r="I638" s="7"/>
      <c r="J638" s="7"/>
      <c r="K638" s="7">
        <v>3.7559999999999998</v>
      </c>
      <c r="L638" s="7">
        <v>287.2</v>
      </c>
      <c r="M638" s="7">
        <v>0</v>
      </c>
      <c r="N638" s="7"/>
      <c r="O638">
        <v>-4.5810000000000004</v>
      </c>
      <c r="P638">
        <v>-8.94</v>
      </c>
      <c r="Q638">
        <v>14.09</v>
      </c>
      <c r="S638">
        <v>13.41</v>
      </c>
      <c r="T638">
        <v>0</v>
      </c>
      <c r="U638">
        <v>100.1</v>
      </c>
      <c r="V638">
        <v>810</v>
      </c>
      <c r="W638">
        <v>33.78</v>
      </c>
      <c r="Y638">
        <v>13.41</v>
      </c>
    </row>
    <row r="639" spans="1:25" x14ac:dyDescent="0.25">
      <c r="A639">
        <v>2006</v>
      </c>
      <c r="B639">
        <v>147</v>
      </c>
      <c r="C639">
        <v>2200</v>
      </c>
      <c r="D639" s="7">
        <v>-1.7649999999999999</v>
      </c>
      <c r="E639" s="7">
        <v>-47.02</v>
      </c>
      <c r="F639" s="7">
        <v>10.23</v>
      </c>
      <c r="G639" s="7">
        <v>10.210000000000001</v>
      </c>
      <c r="H639" s="7"/>
      <c r="I639" s="7"/>
      <c r="J639" s="7"/>
      <c r="K639" s="7">
        <v>3.7109999999999999</v>
      </c>
      <c r="L639" s="7">
        <v>281.8</v>
      </c>
      <c r="M639" s="7">
        <v>0</v>
      </c>
      <c r="N639" s="7"/>
      <c r="O639">
        <v>-11.45</v>
      </c>
      <c r="P639">
        <v>-10.96</v>
      </c>
      <c r="Q639">
        <v>13.94</v>
      </c>
      <c r="S639">
        <v>13.39</v>
      </c>
      <c r="T639">
        <v>0</v>
      </c>
      <c r="U639">
        <v>100.2</v>
      </c>
      <c r="V639">
        <v>809</v>
      </c>
      <c r="W639">
        <v>33.74</v>
      </c>
      <c r="Y639">
        <v>13.33</v>
      </c>
    </row>
    <row r="640" spans="1:25" x14ac:dyDescent="0.25">
      <c r="A640">
        <v>2006</v>
      </c>
      <c r="B640">
        <v>147</v>
      </c>
      <c r="C640">
        <v>2300</v>
      </c>
      <c r="D640" s="7">
        <v>-2.19</v>
      </c>
      <c r="E640" s="7">
        <v>-51.71</v>
      </c>
      <c r="F640" s="7">
        <v>9.61</v>
      </c>
      <c r="G640" s="7">
        <v>9.64</v>
      </c>
      <c r="H640" s="7"/>
      <c r="I640" s="7"/>
      <c r="J640" s="7"/>
      <c r="K640" s="7">
        <v>3.4529999999999998</v>
      </c>
      <c r="L640" s="7">
        <v>284.8</v>
      </c>
      <c r="M640" s="7">
        <v>0</v>
      </c>
      <c r="N640" s="7"/>
      <c r="O640">
        <v>-11.56</v>
      </c>
      <c r="P640">
        <v>-10.93</v>
      </c>
      <c r="Q640">
        <v>13.79</v>
      </c>
      <c r="S640">
        <v>13.34</v>
      </c>
      <c r="T640">
        <v>0</v>
      </c>
      <c r="U640">
        <v>99.5</v>
      </c>
      <c r="V640">
        <v>808</v>
      </c>
      <c r="W640">
        <v>33.700000000000003</v>
      </c>
      <c r="Y640">
        <v>13.26</v>
      </c>
    </row>
    <row r="641" spans="1:25" x14ac:dyDescent="0.25">
      <c r="A641">
        <v>2006</v>
      </c>
      <c r="B641">
        <v>147</v>
      </c>
      <c r="C641">
        <v>2400</v>
      </c>
      <c r="D641" s="7">
        <v>-1.478</v>
      </c>
      <c r="E641" s="7">
        <v>-33.83</v>
      </c>
      <c r="F641" s="7">
        <v>9.64</v>
      </c>
      <c r="G641" s="7">
        <v>9.74</v>
      </c>
      <c r="H641" s="7"/>
      <c r="I641" s="7"/>
      <c r="J641" s="7"/>
      <c r="K641" s="7">
        <v>3.3119999999999998</v>
      </c>
      <c r="L641" s="7">
        <v>291.7</v>
      </c>
      <c r="M641" s="7">
        <v>0</v>
      </c>
      <c r="N641" s="7"/>
      <c r="O641">
        <v>-11.51</v>
      </c>
      <c r="P641">
        <v>-10.86</v>
      </c>
      <c r="Q641">
        <v>13.64</v>
      </c>
      <c r="S641">
        <v>13.28</v>
      </c>
      <c r="T641">
        <v>0</v>
      </c>
      <c r="U641">
        <v>98.9</v>
      </c>
      <c r="V641">
        <v>811</v>
      </c>
      <c r="W641">
        <v>33.82</v>
      </c>
      <c r="Y641">
        <v>13.19</v>
      </c>
    </row>
    <row r="642" spans="1:25" x14ac:dyDescent="0.25">
      <c r="A642">
        <v>2006</v>
      </c>
      <c r="B642">
        <v>148</v>
      </c>
      <c r="C642">
        <v>100</v>
      </c>
      <c r="D642" s="7">
        <v>-2.141</v>
      </c>
      <c r="E642" s="7">
        <v>-50.1</v>
      </c>
      <c r="F642" s="7">
        <v>9.0299999999999994</v>
      </c>
      <c r="G642" s="7">
        <v>9.07</v>
      </c>
      <c r="H642" s="7"/>
      <c r="I642" s="7"/>
      <c r="J642" s="7"/>
      <c r="K642" s="7">
        <v>3.052</v>
      </c>
      <c r="L642" s="7">
        <v>289.2</v>
      </c>
      <c r="M642" s="7">
        <v>0</v>
      </c>
      <c r="N642" s="7"/>
      <c r="O642">
        <v>-11.51</v>
      </c>
      <c r="P642">
        <v>-10.85</v>
      </c>
      <c r="Q642">
        <v>13.45</v>
      </c>
      <c r="S642">
        <v>13.15</v>
      </c>
      <c r="T642">
        <v>0</v>
      </c>
      <c r="U642">
        <v>99.5</v>
      </c>
      <c r="V642">
        <v>814</v>
      </c>
      <c r="W642">
        <v>33.99</v>
      </c>
      <c r="Y642">
        <v>13.12</v>
      </c>
    </row>
    <row r="643" spans="1:25" x14ac:dyDescent="0.25">
      <c r="A643">
        <v>2006</v>
      </c>
      <c r="B643">
        <v>148</v>
      </c>
      <c r="C643">
        <v>200</v>
      </c>
      <c r="D643" s="7">
        <v>-2.8290000000000002</v>
      </c>
      <c r="E643" s="7">
        <v>-57.44</v>
      </c>
      <c r="F643" s="7">
        <v>8.26</v>
      </c>
      <c r="G643" s="7">
        <v>8.36</v>
      </c>
      <c r="H643" s="7"/>
      <c r="I643" s="7"/>
      <c r="J643" s="7"/>
      <c r="K643" s="7">
        <v>2.57</v>
      </c>
      <c r="L643" s="7">
        <v>285.8</v>
      </c>
      <c r="M643" s="7">
        <v>0</v>
      </c>
      <c r="N643" s="7"/>
      <c r="O643">
        <v>-11.5</v>
      </c>
      <c r="P643">
        <v>-10.84</v>
      </c>
      <c r="Q643">
        <v>13.25</v>
      </c>
      <c r="S643">
        <v>13</v>
      </c>
      <c r="T643">
        <v>0</v>
      </c>
      <c r="U643">
        <v>98.6</v>
      </c>
      <c r="V643">
        <v>813</v>
      </c>
      <c r="W643">
        <v>33.950000000000003</v>
      </c>
      <c r="Y643">
        <v>13.06</v>
      </c>
    </row>
    <row r="644" spans="1:25" x14ac:dyDescent="0.25">
      <c r="A644">
        <v>2006</v>
      </c>
      <c r="B644">
        <v>148</v>
      </c>
      <c r="C644">
        <v>300</v>
      </c>
      <c r="D644" s="7">
        <v>-2.157</v>
      </c>
      <c r="E644" s="7">
        <v>-45.22</v>
      </c>
      <c r="F644" s="7">
        <v>8.43</v>
      </c>
      <c r="G644" s="7">
        <v>8.49</v>
      </c>
      <c r="H644" s="7"/>
      <c r="I644" s="7"/>
      <c r="J644" s="7"/>
      <c r="K644" s="7">
        <v>3.2589999999999999</v>
      </c>
      <c r="L644" s="7">
        <v>282.39999999999998</v>
      </c>
      <c r="M644" s="7">
        <v>0</v>
      </c>
      <c r="N644" s="7"/>
      <c r="O644">
        <v>-11.5</v>
      </c>
      <c r="P644">
        <v>-10.84</v>
      </c>
      <c r="Q644">
        <v>13.09</v>
      </c>
      <c r="S644">
        <v>12.88</v>
      </c>
      <c r="T644">
        <v>0</v>
      </c>
      <c r="U644">
        <v>99.2</v>
      </c>
      <c r="V644">
        <v>808</v>
      </c>
      <c r="W644">
        <v>33.67</v>
      </c>
      <c r="Y644">
        <v>13.01</v>
      </c>
    </row>
    <row r="645" spans="1:25" x14ac:dyDescent="0.25">
      <c r="A645">
        <v>2006</v>
      </c>
      <c r="B645">
        <v>148</v>
      </c>
      <c r="C645">
        <v>400</v>
      </c>
      <c r="D645" s="7">
        <v>-1.33</v>
      </c>
      <c r="E645" s="7">
        <v>-47.51</v>
      </c>
      <c r="F645" s="7">
        <v>8.33</v>
      </c>
      <c r="G645" s="7">
        <v>8.4600000000000009</v>
      </c>
      <c r="H645" s="7"/>
      <c r="I645" s="7"/>
      <c r="J645" s="7"/>
      <c r="K645" s="7">
        <v>3.274</v>
      </c>
      <c r="L645" s="7">
        <v>284.8</v>
      </c>
      <c r="M645" s="7">
        <v>0</v>
      </c>
      <c r="N645" s="7"/>
      <c r="O645">
        <v>-10.43</v>
      </c>
      <c r="P645">
        <v>-10.54</v>
      </c>
      <c r="Q645">
        <v>12.92</v>
      </c>
      <c r="S645">
        <v>12.76</v>
      </c>
      <c r="T645">
        <v>0</v>
      </c>
      <c r="U645">
        <v>98.3</v>
      </c>
      <c r="V645">
        <v>807</v>
      </c>
      <c r="W645">
        <v>33.630000000000003</v>
      </c>
      <c r="Y645">
        <v>12.96</v>
      </c>
    </row>
    <row r="646" spans="1:25" x14ac:dyDescent="0.25">
      <c r="A646">
        <v>2006</v>
      </c>
      <c r="B646">
        <v>148</v>
      </c>
      <c r="C646">
        <v>500</v>
      </c>
      <c r="D646" s="7">
        <v>19.45</v>
      </c>
      <c r="E646" s="7">
        <v>-33.81</v>
      </c>
      <c r="F646" s="7">
        <v>8.23</v>
      </c>
      <c r="G646" s="7">
        <v>8.3800000000000008</v>
      </c>
      <c r="H646" s="7"/>
      <c r="I646" s="7"/>
      <c r="J646" s="7"/>
      <c r="K646" s="7">
        <v>3.2029999999999998</v>
      </c>
      <c r="L646" s="7">
        <v>291.39999999999998</v>
      </c>
      <c r="M646" s="7">
        <v>0</v>
      </c>
      <c r="N646" s="7"/>
      <c r="O646">
        <v>15.98</v>
      </c>
      <c r="P646">
        <v>-1.1279999999999999</v>
      </c>
      <c r="Q646">
        <v>12.75</v>
      </c>
      <c r="S646">
        <v>12.6</v>
      </c>
      <c r="T646">
        <v>0</v>
      </c>
      <c r="U646">
        <v>98.2</v>
      </c>
      <c r="V646">
        <v>807</v>
      </c>
      <c r="W646">
        <v>33.630000000000003</v>
      </c>
      <c r="Y646">
        <v>12.94</v>
      </c>
    </row>
    <row r="647" spans="1:25" x14ac:dyDescent="0.25">
      <c r="A647">
        <v>2006</v>
      </c>
      <c r="B647">
        <v>148</v>
      </c>
      <c r="C647">
        <v>600</v>
      </c>
      <c r="D647" s="7">
        <v>75.3</v>
      </c>
      <c r="E647" s="7">
        <v>22.32</v>
      </c>
      <c r="F647" s="7">
        <v>9.1</v>
      </c>
      <c r="G647" s="7">
        <v>9.2899999999999991</v>
      </c>
      <c r="H647" s="7"/>
      <c r="I647" s="7"/>
      <c r="J647" s="7"/>
      <c r="K647" s="7">
        <v>3.266</v>
      </c>
      <c r="L647" s="7">
        <v>283.5</v>
      </c>
      <c r="M647" s="7">
        <v>0</v>
      </c>
      <c r="N647" s="7"/>
      <c r="O647">
        <v>85.8</v>
      </c>
      <c r="P647">
        <v>21.06</v>
      </c>
      <c r="Q647">
        <v>12.61</v>
      </c>
      <c r="S647">
        <v>12.49</v>
      </c>
      <c r="T647">
        <v>0</v>
      </c>
      <c r="U647">
        <v>97.6</v>
      </c>
      <c r="V647">
        <v>807</v>
      </c>
      <c r="W647">
        <v>33.619999999999997</v>
      </c>
      <c r="Y647">
        <v>13.17</v>
      </c>
    </row>
    <row r="648" spans="1:25" x14ac:dyDescent="0.25">
      <c r="A648">
        <v>2006</v>
      </c>
      <c r="B648">
        <v>148</v>
      </c>
      <c r="C648">
        <v>700</v>
      </c>
      <c r="D648" s="7">
        <v>193.5</v>
      </c>
      <c r="E648" s="7">
        <v>116.1</v>
      </c>
      <c r="F648" s="7">
        <v>9.9</v>
      </c>
      <c r="G648" s="7">
        <v>10.050000000000001</v>
      </c>
      <c r="H648" s="7"/>
      <c r="I648" s="7"/>
      <c r="J648" s="7"/>
      <c r="K648" s="7">
        <v>3.3879999999999999</v>
      </c>
      <c r="L648" s="7">
        <v>287.3</v>
      </c>
      <c r="M648" s="7">
        <v>0</v>
      </c>
      <c r="N648" s="7"/>
      <c r="O648">
        <v>251.8</v>
      </c>
      <c r="P648">
        <v>82.5</v>
      </c>
      <c r="Q648">
        <v>12.47</v>
      </c>
      <c r="S648">
        <v>12.36</v>
      </c>
      <c r="T648">
        <v>0</v>
      </c>
      <c r="U648">
        <v>98.2</v>
      </c>
      <c r="V648">
        <v>806</v>
      </c>
      <c r="W648">
        <v>33.549999999999997</v>
      </c>
      <c r="Y648">
        <v>13.74</v>
      </c>
    </row>
    <row r="649" spans="1:25" x14ac:dyDescent="0.25">
      <c r="A649">
        <v>2006</v>
      </c>
      <c r="B649">
        <v>148</v>
      </c>
      <c r="C649">
        <v>800</v>
      </c>
      <c r="D649" s="7">
        <v>421.5</v>
      </c>
      <c r="E649" s="7">
        <v>285.10000000000002</v>
      </c>
      <c r="F649" s="7">
        <v>11.44</v>
      </c>
      <c r="G649" s="7">
        <v>11.79</v>
      </c>
      <c r="H649" s="7"/>
      <c r="I649" s="7"/>
      <c r="J649" s="7"/>
      <c r="K649" s="7">
        <v>4.0250000000000004</v>
      </c>
      <c r="L649" s="7">
        <v>298.39999999999998</v>
      </c>
      <c r="M649" s="7">
        <v>0</v>
      </c>
      <c r="N649" s="7"/>
      <c r="O649">
        <v>570.20000000000005</v>
      </c>
      <c r="P649">
        <v>189.2</v>
      </c>
      <c r="Q649">
        <v>12.5</v>
      </c>
      <c r="S649">
        <v>12.34</v>
      </c>
      <c r="T649">
        <v>0</v>
      </c>
      <c r="U649">
        <v>95.9</v>
      </c>
      <c r="V649">
        <v>805</v>
      </c>
      <c r="W649">
        <v>33.53</v>
      </c>
      <c r="Y649">
        <v>14.4</v>
      </c>
    </row>
    <row r="650" spans="1:25" x14ac:dyDescent="0.25">
      <c r="A650">
        <v>2006</v>
      </c>
      <c r="B650">
        <v>148</v>
      </c>
      <c r="C650">
        <v>900</v>
      </c>
      <c r="D650" s="7">
        <v>328.9</v>
      </c>
      <c r="E650" s="7">
        <v>200.2</v>
      </c>
      <c r="F650" s="7">
        <v>11.93</v>
      </c>
      <c r="G650" s="7">
        <v>12.02</v>
      </c>
      <c r="H650" s="7">
        <f>AVERAGE(G650:G673)</f>
        <v>10.031416666666665</v>
      </c>
      <c r="I650" s="7">
        <f>MIN(G650:G673)</f>
        <v>5.51</v>
      </c>
      <c r="J650" s="7">
        <f>MAX(G650:G673)</f>
        <v>14.65</v>
      </c>
      <c r="K650" s="7">
        <v>4.3470000000000004</v>
      </c>
      <c r="L650" s="7">
        <v>299.5</v>
      </c>
      <c r="M650" s="7">
        <v>0</v>
      </c>
      <c r="N650" s="7">
        <f>SUM(M650:M673)</f>
        <v>0</v>
      </c>
      <c r="O650">
        <v>419.4</v>
      </c>
      <c r="P650">
        <v>119.7</v>
      </c>
      <c r="Q650">
        <v>12.51</v>
      </c>
      <c r="S650">
        <v>12.2</v>
      </c>
      <c r="T650">
        <v>0</v>
      </c>
      <c r="U650">
        <v>99.1</v>
      </c>
      <c r="V650">
        <v>804</v>
      </c>
      <c r="W650">
        <v>33.47</v>
      </c>
      <c r="Y650">
        <v>14.16</v>
      </c>
    </row>
    <row r="651" spans="1:25" x14ac:dyDescent="0.25">
      <c r="A651">
        <v>2006</v>
      </c>
      <c r="B651">
        <v>148</v>
      </c>
      <c r="C651">
        <v>1000</v>
      </c>
      <c r="D651" s="7">
        <v>374.4</v>
      </c>
      <c r="E651" s="7">
        <v>221.7</v>
      </c>
      <c r="F651" s="7">
        <v>11.93</v>
      </c>
      <c r="G651" s="7">
        <v>11.99</v>
      </c>
      <c r="H651" s="7"/>
      <c r="I651" s="7"/>
      <c r="J651" s="7"/>
      <c r="K651" s="7">
        <v>3.948</v>
      </c>
      <c r="L651" s="7">
        <v>301.8</v>
      </c>
      <c r="M651" s="7">
        <v>0</v>
      </c>
      <c r="N651" s="7"/>
      <c r="O651">
        <v>478</v>
      </c>
      <c r="P651">
        <v>129.30000000000001</v>
      </c>
      <c r="Q651">
        <v>12.62</v>
      </c>
      <c r="S651">
        <v>12.14</v>
      </c>
      <c r="T651">
        <v>0</v>
      </c>
      <c r="U651">
        <v>99.3</v>
      </c>
      <c r="V651">
        <v>803</v>
      </c>
      <c r="W651">
        <v>33.42</v>
      </c>
      <c r="Y651">
        <v>14.17</v>
      </c>
    </row>
    <row r="652" spans="1:25" x14ac:dyDescent="0.25">
      <c r="A652">
        <v>2006</v>
      </c>
      <c r="B652">
        <v>148</v>
      </c>
      <c r="C652">
        <v>1100</v>
      </c>
      <c r="D652" s="7">
        <v>449.3</v>
      </c>
      <c r="E652" s="7">
        <v>271.10000000000002</v>
      </c>
      <c r="F652" s="7">
        <v>13.22</v>
      </c>
      <c r="G652" s="7">
        <v>13.3</v>
      </c>
      <c r="H652" s="7"/>
      <c r="I652" s="7"/>
      <c r="J652" s="7"/>
      <c r="K652" s="7">
        <v>3.7869999999999999</v>
      </c>
      <c r="L652" s="7">
        <v>305.5</v>
      </c>
      <c r="M652" s="7">
        <v>0</v>
      </c>
      <c r="N652" s="7"/>
      <c r="O652">
        <v>571.20000000000005</v>
      </c>
      <c r="P652">
        <v>157.6</v>
      </c>
      <c r="Q652">
        <v>12.77</v>
      </c>
      <c r="S652">
        <v>12.21</v>
      </c>
      <c r="T652">
        <v>0</v>
      </c>
      <c r="U652">
        <v>99.2</v>
      </c>
      <c r="V652">
        <v>802</v>
      </c>
      <c r="W652">
        <v>33.380000000000003</v>
      </c>
      <c r="Y652">
        <v>14.23</v>
      </c>
    </row>
    <row r="653" spans="1:25" x14ac:dyDescent="0.25">
      <c r="A653">
        <v>2006</v>
      </c>
      <c r="B653">
        <v>148</v>
      </c>
      <c r="C653">
        <v>1200</v>
      </c>
      <c r="D653" s="7">
        <v>408.3</v>
      </c>
      <c r="E653" s="7">
        <v>242</v>
      </c>
      <c r="F653" s="7">
        <v>13.53</v>
      </c>
      <c r="G653" s="7">
        <v>13.53</v>
      </c>
      <c r="H653" s="7"/>
      <c r="I653" s="7"/>
      <c r="J653" s="7"/>
      <c r="K653" s="7">
        <v>3.528</v>
      </c>
      <c r="L653" s="7">
        <v>323</v>
      </c>
      <c r="M653" s="7">
        <v>0</v>
      </c>
      <c r="N653" s="7"/>
      <c r="O653">
        <v>524.1</v>
      </c>
      <c r="P653">
        <v>148.1</v>
      </c>
      <c r="Q653">
        <v>12.92</v>
      </c>
      <c r="S653">
        <v>12.27</v>
      </c>
      <c r="T653">
        <v>0</v>
      </c>
      <c r="U653">
        <v>100.1</v>
      </c>
      <c r="V653">
        <v>800</v>
      </c>
      <c r="W653">
        <v>33.24</v>
      </c>
      <c r="Y653">
        <v>14.16</v>
      </c>
    </row>
    <row r="654" spans="1:25" x14ac:dyDescent="0.25">
      <c r="A654">
        <v>2006</v>
      </c>
      <c r="B654">
        <v>148</v>
      </c>
      <c r="C654">
        <v>1300</v>
      </c>
      <c r="D654" s="7">
        <v>516.5</v>
      </c>
      <c r="E654" s="7">
        <v>308.7</v>
      </c>
      <c r="F654" s="7">
        <v>13.86</v>
      </c>
      <c r="G654" s="7">
        <v>13.83</v>
      </c>
      <c r="H654" s="7"/>
      <c r="I654" s="7"/>
      <c r="J654" s="7"/>
      <c r="K654" s="7">
        <v>2.6890000000000001</v>
      </c>
      <c r="L654" s="7">
        <v>0</v>
      </c>
      <c r="M654" s="7">
        <v>0</v>
      </c>
      <c r="N654" s="7"/>
      <c r="O654">
        <v>656</v>
      </c>
      <c r="P654">
        <v>175.6</v>
      </c>
      <c r="Q654">
        <v>13.11</v>
      </c>
      <c r="S654">
        <v>12.39</v>
      </c>
      <c r="T654">
        <v>0</v>
      </c>
      <c r="U654">
        <v>100.3</v>
      </c>
      <c r="V654">
        <v>797</v>
      </c>
      <c r="W654">
        <v>33.11</v>
      </c>
      <c r="Y654">
        <v>14.21</v>
      </c>
    </row>
    <row r="655" spans="1:25" x14ac:dyDescent="0.25">
      <c r="A655">
        <v>2006</v>
      </c>
      <c r="B655">
        <v>148</v>
      </c>
      <c r="C655">
        <v>1400</v>
      </c>
      <c r="D655" s="7">
        <v>491.8</v>
      </c>
      <c r="E655" s="7">
        <v>283.7</v>
      </c>
      <c r="F655" s="7">
        <v>14.05</v>
      </c>
      <c r="G655" s="7">
        <v>14.05</v>
      </c>
      <c r="H655" s="7"/>
      <c r="I655" s="7"/>
      <c r="J655" s="7"/>
      <c r="K655" s="7">
        <v>3.56</v>
      </c>
      <c r="L655" s="7">
        <v>0</v>
      </c>
      <c r="M655" s="7">
        <v>0</v>
      </c>
      <c r="N655" s="7"/>
      <c r="O655">
        <v>619.4</v>
      </c>
      <c r="P655">
        <v>171.8</v>
      </c>
      <c r="Q655">
        <v>13.31</v>
      </c>
      <c r="S655">
        <v>12.54</v>
      </c>
      <c r="T655">
        <v>0</v>
      </c>
      <c r="U655">
        <v>100</v>
      </c>
      <c r="V655">
        <v>796</v>
      </c>
      <c r="W655">
        <v>33.020000000000003</v>
      </c>
      <c r="Y655">
        <v>14.23</v>
      </c>
    </row>
    <row r="656" spans="1:25" x14ac:dyDescent="0.25">
      <c r="A656">
        <v>2006</v>
      </c>
      <c r="B656">
        <v>148</v>
      </c>
      <c r="C656">
        <v>1500</v>
      </c>
      <c r="D656" s="7">
        <v>600.5</v>
      </c>
      <c r="E656" s="7">
        <v>352.4</v>
      </c>
      <c r="F656" s="7">
        <v>14.69</v>
      </c>
      <c r="G656" s="7">
        <v>14.65</v>
      </c>
      <c r="H656" s="7"/>
      <c r="I656" s="7"/>
      <c r="J656" s="7"/>
      <c r="K656" s="7">
        <v>3.8239999999999998</v>
      </c>
      <c r="L656" s="7">
        <v>0</v>
      </c>
      <c r="M656" s="7">
        <v>0</v>
      </c>
      <c r="N656" s="7"/>
      <c r="O656">
        <v>745</v>
      </c>
      <c r="P656">
        <v>205.1</v>
      </c>
      <c r="Q656">
        <v>13.55</v>
      </c>
      <c r="S656">
        <v>12.72</v>
      </c>
      <c r="T656">
        <v>0</v>
      </c>
      <c r="U656">
        <v>100.4</v>
      </c>
      <c r="V656">
        <v>794</v>
      </c>
      <c r="W656">
        <v>32.950000000000003</v>
      </c>
      <c r="Y656">
        <v>14.29</v>
      </c>
    </row>
    <row r="657" spans="1:25" x14ac:dyDescent="0.25">
      <c r="A657">
        <v>2006</v>
      </c>
      <c r="B657">
        <v>148</v>
      </c>
      <c r="C657">
        <v>1600</v>
      </c>
      <c r="D657" s="7">
        <v>428.4</v>
      </c>
      <c r="E657" s="7">
        <v>238.6</v>
      </c>
      <c r="F657" s="7">
        <v>14.09</v>
      </c>
      <c r="G657" s="7">
        <v>14.08</v>
      </c>
      <c r="H657" s="7"/>
      <c r="I657" s="7"/>
      <c r="J657" s="7"/>
      <c r="K657" s="7">
        <v>3.653</v>
      </c>
      <c r="L657" s="7">
        <v>0</v>
      </c>
      <c r="M657" s="7">
        <v>0</v>
      </c>
      <c r="N657" s="7"/>
      <c r="O657">
        <v>533.20000000000005</v>
      </c>
      <c r="P657">
        <v>159.5</v>
      </c>
      <c r="Q657">
        <v>13.78</v>
      </c>
      <c r="S657">
        <v>12.88</v>
      </c>
      <c r="T657">
        <v>0</v>
      </c>
      <c r="U657">
        <v>100.1</v>
      </c>
      <c r="V657">
        <v>792</v>
      </c>
      <c r="W657">
        <v>32.81</v>
      </c>
      <c r="Y657">
        <v>14.11</v>
      </c>
    </row>
    <row r="658" spans="1:25" x14ac:dyDescent="0.25">
      <c r="A658">
        <v>2006</v>
      </c>
      <c r="B658">
        <v>148</v>
      </c>
      <c r="C658">
        <v>1700</v>
      </c>
      <c r="D658" s="7">
        <v>246</v>
      </c>
      <c r="E658" s="7">
        <v>124.2</v>
      </c>
      <c r="F658" s="7">
        <v>13.34</v>
      </c>
      <c r="G658" s="7">
        <v>13.3</v>
      </c>
      <c r="H658" s="7"/>
      <c r="I658" s="7"/>
      <c r="J658" s="7"/>
      <c r="K658" s="7">
        <v>3.3010000000000002</v>
      </c>
      <c r="L658" s="7">
        <v>0</v>
      </c>
      <c r="M658" s="7">
        <v>0</v>
      </c>
      <c r="N658" s="7"/>
      <c r="O658">
        <v>311.10000000000002</v>
      </c>
      <c r="P658">
        <v>92.6</v>
      </c>
      <c r="Q658">
        <v>13.95</v>
      </c>
      <c r="S658">
        <v>13.02</v>
      </c>
      <c r="T658">
        <v>0</v>
      </c>
      <c r="U658">
        <v>100.5</v>
      </c>
      <c r="V658">
        <v>790</v>
      </c>
      <c r="W658">
        <v>32.729999999999997</v>
      </c>
      <c r="Y658">
        <v>13.91</v>
      </c>
    </row>
    <row r="659" spans="1:25" x14ac:dyDescent="0.25">
      <c r="A659">
        <v>2006</v>
      </c>
      <c r="B659">
        <v>148</v>
      </c>
      <c r="C659">
        <v>1800</v>
      </c>
      <c r="D659" s="7">
        <v>165.4</v>
      </c>
      <c r="E659" s="7">
        <v>75.900000000000006</v>
      </c>
      <c r="F659" s="7">
        <v>12.42</v>
      </c>
      <c r="G659" s="7">
        <v>12.42</v>
      </c>
      <c r="H659" s="7"/>
      <c r="I659" s="7"/>
      <c r="J659" s="7"/>
      <c r="K659" s="7">
        <v>2.8679999999999999</v>
      </c>
      <c r="L659" s="7">
        <v>0</v>
      </c>
      <c r="M659" s="7">
        <v>0</v>
      </c>
      <c r="N659" s="7"/>
      <c r="O659">
        <v>211.1</v>
      </c>
      <c r="P659">
        <v>65.72</v>
      </c>
      <c r="Q659">
        <v>14.07</v>
      </c>
      <c r="S659">
        <v>13.17</v>
      </c>
      <c r="T659">
        <v>0</v>
      </c>
      <c r="U659">
        <v>100.1</v>
      </c>
      <c r="V659">
        <v>789</v>
      </c>
      <c r="W659">
        <v>32.700000000000003</v>
      </c>
      <c r="Y659">
        <v>13.75</v>
      </c>
    </row>
    <row r="660" spans="1:25" x14ac:dyDescent="0.25">
      <c r="A660">
        <v>2006</v>
      </c>
      <c r="B660">
        <v>148</v>
      </c>
      <c r="C660">
        <v>1900</v>
      </c>
      <c r="D660" s="7">
        <v>137.19999999999999</v>
      </c>
      <c r="E660" s="7">
        <v>52.86</v>
      </c>
      <c r="F660" s="7">
        <v>11.78</v>
      </c>
      <c r="G660" s="7">
        <v>11.81</v>
      </c>
      <c r="H660" s="7"/>
      <c r="I660" s="7"/>
      <c r="J660" s="7"/>
      <c r="K660" s="7">
        <v>3.1909999999999998</v>
      </c>
      <c r="L660" s="7">
        <v>0</v>
      </c>
      <c r="M660" s="7">
        <v>0</v>
      </c>
      <c r="N660" s="7"/>
      <c r="O660">
        <v>169.2</v>
      </c>
      <c r="P660">
        <v>50.59</v>
      </c>
      <c r="Q660">
        <v>14.1</v>
      </c>
      <c r="S660">
        <v>13.29</v>
      </c>
      <c r="T660">
        <v>0</v>
      </c>
      <c r="U660">
        <v>99.6</v>
      </c>
      <c r="V660">
        <v>790</v>
      </c>
      <c r="W660">
        <v>32.75</v>
      </c>
      <c r="Y660">
        <v>13.7</v>
      </c>
    </row>
    <row r="661" spans="1:25" x14ac:dyDescent="0.25">
      <c r="A661">
        <v>2006</v>
      </c>
      <c r="B661">
        <v>148</v>
      </c>
      <c r="C661">
        <v>2000</v>
      </c>
      <c r="D661" s="7">
        <v>69.06</v>
      </c>
      <c r="E661" s="7">
        <v>3.1E-2</v>
      </c>
      <c r="F661" s="7">
        <v>10.23</v>
      </c>
      <c r="G661" s="7">
        <v>10.17</v>
      </c>
      <c r="H661" s="7"/>
      <c r="I661" s="7"/>
      <c r="J661" s="7"/>
      <c r="K661" s="7">
        <v>2.4089999999999998</v>
      </c>
      <c r="L661" s="7">
        <v>0</v>
      </c>
      <c r="M661" s="7">
        <v>0</v>
      </c>
      <c r="N661" s="7"/>
      <c r="O661">
        <v>80.8</v>
      </c>
      <c r="P661">
        <v>36.340000000000003</v>
      </c>
      <c r="Q661">
        <v>14.06</v>
      </c>
      <c r="S661">
        <v>13.35</v>
      </c>
      <c r="T661">
        <v>0</v>
      </c>
      <c r="U661">
        <v>100.8</v>
      </c>
      <c r="V661">
        <v>790</v>
      </c>
      <c r="W661">
        <v>32.72</v>
      </c>
      <c r="Y661">
        <v>13.58</v>
      </c>
    </row>
    <row r="662" spans="1:25" x14ac:dyDescent="0.25">
      <c r="A662">
        <v>2006</v>
      </c>
      <c r="B662">
        <v>148</v>
      </c>
      <c r="C662">
        <v>2100</v>
      </c>
      <c r="D662" s="7">
        <v>5.1189999999999998</v>
      </c>
      <c r="E662" s="7">
        <v>-38.4</v>
      </c>
      <c r="F662" s="7">
        <v>9.01</v>
      </c>
      <c r="G662" s="7">
        <v>9.07</v>
      </c>
      <c r="H662" s="7"/>
      <c r="I662" s="7"/>
      <c r="J662" s="7"/>
      <c r="K662" s="7">
        <v>2.3149999999999999</v>
      </c>
      <c r="L662" s="7">
        <v>314.5</v>
      </c>
      <c r="M662" s="7">
        <v>0</v>
      </c>
      <c r="N662" s="7"/>
      <c r="O662">
        <v>-2.9580000000000002</v>
      </c>
      <c r="P662">
        <v>-7.67</v>
      </c>
      <c r="Q662">
        <v>13.96</v>
      </c>
      <c r="S662">
        <v>13.39</v>
      </c>
      <c r="T662">
        <v>0</v>
      </c>
      <c r="U662">
        <v>99.2</v>
      </c>
      <c r="V662">
        <v>790</v>
      </c>
      <c r="W662">
        <v>32.729999999999997</v>
      </c>
      <c r="Y662">
        <v>13.47</v>
      </c>
    </row>
    <row r="663" spans="1:25" x14ac:dyDescent="0.25">
      <c r="A663">
        <v>2006</v>
      </c>
      <c r="B663">
        <v>148</v>
      </c>
      <c r="C663">
        <v>2200</v>
      </c>
      <c r="D663" s="7">
        <v>-2.415</v>
      </c>
      <c r="E663" s="7">
        <v>-54.21</v>
      </c>
      <c r="F663" s="7">
        <v>8.24</v>
      </c>
      <c r="G663" s="7">
        <v>8.2200000000000006</v>
      </c>
      <c r="H663" s="7"/>
      <c r="I663" s="7"/>
      <c r="J663" s="7"/>
      <c r="K663" s="7">
        <v>2.23</v>
      </c>
      <c r="L663" s="7">
        <v>300.10000000000002</v>
      </c>
      <c r="M663" s="7">
        <v>0</v>
      </c>
      <c r="N663" s="7"/>
      <c r="O663">
        <v>-11.45</v>
      </c>
      <c r="P663">
        <v>-10.89</v>
      </c>
      <c r="Q663">
        <v>13.82</v>
      </c>
      <c r="S663">
        <v>13.36</v>
      </c>
      <c r="T663">
        <v>0</v>
      </c>
      <c r="U663">
        <v>100.3</v>
      </c>
      <c r="V663">
        <v>795</v>
      </c>
      <c r="W663">
        <v>32.99</v>
      </c>
      <c r="Y663">
        <v>13.38</v>
      </c>
    </row>
    <row r="664" spans="1:25" x14ac:dyDescent="0.25">
      <c r="A664">
        <v>2006</v>
      </c>
      <c r="B664">
        <v>148</v>
      </c>
      <c r="C664">
        <v>2300</v>
      </c>
      <c r="D664" s="7">
        <v>-2.0310000000000001</v>
      </c>
      <c r="E664" s="7">
        <v>-36.51</v>
      </c>
      <c r="F664" s="7">
        <v>7.47</v>
      </c>
      <c r="G664" s="7">
        <v>7.42</v>
      </c>
      <c r="H664" s="7"/>
      <c r="I664" s="7"/>
      <c r="J664" s="7"/>
      <c r="K664" s="7">
        <v>1.909</v>
      </c>
      <c r="L664" s="7">
        <v>281.39999999999998</v>
      </c>
      <c r="M664" s="7">
        <v>0</v>
      </c>
      <c r="N664" s="7"/>
      <c r="O664">
        <v>-11.5</v>
      </c>
      <c r="P664">
        <v>-10.86</v>
      </c>
      <c r="Q664">
        <v>13.65</v>
      </c>
      <c r="S664">
        <v>13.31</v>
      </c>
      <c r="T664">
        <v>0</v>
      </c>
      <c r="U664">
        <v>100.7</v>
      </c>
      <c r="V664">
        <v>802</v>
      </c>
      <c r="W664">
        <v>33.340000000000003</v>
      </c>
      <c r="Y664">
        <v>13.3</v>
      </c>
    </row>
    <row r="665" spans="1:25" x14ac:dyDescent="0.25">
      <c r="A665">
        <v>2006</v>
      </c>
      <c r="B665">
        <v>148</v>
      </c>
      <c r="C665">
        <v>2400</v>
      </c>
      <c r="D665" s="7">
        <v>-1.4410000000000001</v>
      </c>
      <c r="E665" s="7">
        <v>-30.05</v>
      </c>
      <c r="F665" s="7">
        <v>7.41</v>
      </c>
      <c r="G665" s="7">
        <v>7.4</v>
      </c>
      <c r="H665" s="7"/>
      <c r="I665" s="7"/>
      <c r="J665" s="7"/>
      <c r="K665" s="7">
        <v>2.0720000000000001</v>
      </c>
      <c r="L665" s="7">
        <v>290.2</v>
      </c>
      <c r="M665" s="7">
        <v>0</v>
      </c>
      <c r="N665" s="7"/>
      <c r="O665">
        <v>-11.5</v>
      </c>
      <c r="P665">
        <v>-10.84</v>
      </c>
      <c r="Q665">
        <v>13.46</v>
      </c>
      <c r="S665">
        <v>13.22</v>
      </c>
      <c r="T665">
        <v>0</v>
      </c>
      <c r="U665">
        <v>100.2</v>
      </c>
      <c r="V665">
        <v>798</v>
      </c>
      <c r="W665">
        <v>33.17</v>
      </c>
      <c r="Y665">
        <v>13.23</v>
      </c>
    </row>
    <row r="666" spans="1:25" x14ac:dyDescent="0.25">
      <c r="A666">
        <v>2006</v>
      </c>
      <c r="B666">
        <v>149</v>
      </c>
      <c r="C666">
        <v>100</v>
      </c>
      <c r="D666" s="7">
        <v>-2.0720000000000001</v>
      </c>
      <c r="E666" s="7">
        <v>-45.97</v>
      </c>
      <c r="F666" s="7">
        <v>6.7380000000000004</v>
      </c>
      <c r="G666" s="7">
        <v>6.7380000000000004</v>
      </c>
      <c r="H666" s="7"/>
      <c r="I666" s="7"/>
      <c r="J666" s="7"/>
      <c r="K666" s="7">
        <v>2.0099999999999998</v>
      </c>
      <c r="L666" s="7">
        <v>284.60000000000002</v>
      </c>
      <c r="M666" s="7">
        <v>0</v>
      </c>
      <c r="N666" s="7"/>
      <c r="O666">
        <v>-11.51</v>
      </c>
      <c r="P666">
        <v>-10.85</v>
      </c>
      <c r="Q666">
        <v>13.29</v>
      </c>
      <c r="S666">
        <v>13.11</v>
      </c>
      <c r="T666">
        <v>0</v>
      </c>
      <c r="U666">
        <v>100</v>
      </c>
      <c r="V666">
        <v>795</v>
      </c>
      <c r="W666">
        <v>32.99</v>
      </c>
      <c r="Y666">
        <v>13.17</v>
      </c>
    </row>
    <row r="667" spans="1:25" x14ac:dyDescent="0.25">
      <c r="A667">
        <v>2006</v>
      </c>
      <c r="B667">
        <v>149</v>
      </c>
      <c r="C667">
        <v>200</v>
      </c>
      <c r="D667" s="7">
        <v>-2.78</v>
      </c>
      <c r="E667" s="7">
        <v>-60.54</v>
      </c>
      <c r="F667" s="7">
        <v>5.9640000000000004</v>
      </c>
      <c r="G667" s="7">
        <v>6.0369999999999999</v>
      </c>
      <c r="H667" s="7"/>
      <c r="I667" s="7"/>
      <c r="J667" s="7"/>
      <c r="K667" s="7">
        <v>2.456</v>
      </c>
      <c r="L667" s="7">
        <v>284.2</v>
      </c>
      <c r="M667" s="7">
        <v>0</v>
      </c>
      <c r="N667" s="7"/>
      <c r="O667">
        <v>-11.5</v>
      </c>
      <c r="P667">
        <v>-10.85</v>
      </c>
      <c r="Q667">
        <v>13.12</v>
      </c>
      <c r="S667">
        <v>12.99</v>
      </c>
      <c r="T667">
        <v>0</v>
      </c>
      <c r="U667">
        <v>99</v>
      </c>
      <c r="V667">
        <v>793</v>
      </c>
      <c r="W667">
        <v>32.869999999999997</v>
      </c>
      <c r="Y667">
        <v>13.11</v>
      </c>
    </row>
    <row r="668" spans="1:25" x14ac:dyDescent="0.25">
      <c r="A668">
        <v>2006</v>
      </c>
      <c r="B668">
        <v>149</v>
      </c>
      <c r="C668">
        <v>300</v>
      </c>
      <c r="D668" s="7">
        <v>-2.4620000000000002</v>
      </c>
      <c r="E668" s="7">
        <v>-50.16</v>
      </c>
      <c r="F668" s="7">
        <v>5.51</v>
      </c>
      <c r="G668" s="7">
        <v>5.51</v>
      </c>
      <c r="H668" s="7"/>
      <c r="I668" s="7"/>
      <c r="J668" s="7"/>
      <c r="K668" s="7">
        <v>1.9770000000000001</v>
      </c>
      <c r="L668" s="7">
        <v>277.89999999999998</v>
      </c>
      <c r="M668" s="7">
        <v>0</v>
      </c>
      <c r="N668" s="7"/>
      <c r="O668">
        <v>-11.5</v>
      </c>
      <c r="P668">
        <v>-10.85</v>
      </c>
      <c r="Q668">
        <v>12.9</v>
      </c>
      <c r="S668">
        <v>12.82</v>
      </c>
      <c r="T668">
        <v>0</v>
      </c>
      <c r="U668">
        <v>100</v>
      </c>
      <c r="V668">
        <v>794</v>
      </c>
      <c r="W668">
        <v>32.950000000000003</v>
      </c>
      <c r="Y668">
        <v>13.05</v>
      </c>
    </row>
    <row r="669" spans="1:25" x14ac:dyDescent="0.25">
      <c r="A669">
        <v>2006</v>
      </c>
      <c r="B669">
        <v>149</v>
      </c>
      <c r="C669">
        <v>400</v>
      </c>
      <c r="D669" s="7">
        <v>-0.69499999999999995</v>
      </c>
      <c r="E669" s="7">
        <v>-24.47</v>
      </c>
      <c r="F669" s="7">
        <v>5.78</v>
      </c>
      <c r="G669" s="7">
        <v>5.9089999999999998</v>
      </c>
      <c r="H669" s="7"/>
      <c r="I669" s="7"/>
      <c r="J669" s="7"/>
      <c r="K669" s="7">
        <v>2.0699999999999998</v>
      </c>
      <c r="L669" s="7">
        <v>261.2</v>
      </c>
      <c r="M669" s="7">
        <v>0</v>
      </c>
      <c r="N669" s="7"/>
      <c r="O669">
        <v>-10.9</v>
      </c>
      <c r="P669">
        <v>-10.69</v>
      </c>
      <c r="Q669">
        <v>12.69</v>
      </c>
      <c r="S669">
        <v>12.67</v>
      </c>
      <c r="T669">
        <v>0</v>
      </c>
      <c r="U669">
        <v>98.2</v>
      </c>
      <c r="V669">
        <v>793</v>
      </c>
      <c r="W669">
        <v>32.869999999999997</v>
      </c>
      <c r="Y669">
        <v>12.99</v>
      </c>
    </row>
    <row r="670" spans="1:25" x14ac:dyDescent="0.25">
      <c r="A670">
        <v>2006</v>
      </c>
      <c r="B670">
        <v>149</v>
      </c>
      <c r="C670">
        <v>500</v>
      </c>
      <c r="D670" s="7">
        <v>13.21</v>
      </c>
      <c r="E670" s="7">
        <v>-16.28</v>
      </c>
      <c r="F670" s="7">
        <v>5.8630000000000004</v>
      </c>
      <c r="G670" s="7">
        <v>6.048</v>
      </c>
      <c r="H670" s="7"/>
      <c r="I670" s="7"/>
      <c r="J670" s="7"/>
      <c r="K670" s="7">
        <v>2.2959999999999998</v>
      </c>
      <c r="L670" s="7">
        <v>250</v>
      </c>
      <c r="M670" s="7">
        <v>0</v>
      </c>
      <c r="N670" s="7"/>
      <c r="O670">
        <v>6.6989999999999998</v>
      </c>
      <c r="P670">
        <v>-4.931</v>
      </c>
      <c r="Q670">
        <v>12.5</v>
      </c>
      <c r="S670">
        <v>12.51</v>
      </c>
      <c r="T670">
        <v>0</v>
      </c>
      <c r="U670">
        <v>97.4</v>
      </c>
      <c r="V670">
        <v>792</v>
      </c>
      <c r="W670">
        <v>32.86</v>
      </c>
      <c r="Y670">
        <v>12.95</v>
      </c>
    </row>
    <row r="671" spans="1:25" x14ac:dyDescent="0.25">
      <c r="A671">
        <v>2006</v>
      </c>
      <c r="B671">
        <v>149</v>
      </c>
      <c r="C671">
        <v>600</v>
      </c>
      <c r="D671" s="7">
        <v>41.06</v>
      </c>
      <c r="E671" s="7">
        <v>10.68</v>
      </c>
      <c r="F671" s="7">
        <v>6.5430000000000001</v>
      </c>
      <c r="G671" s="7">
        <v>6.782</v>
      </c>
      <c r="H671" s="7"/>
      <c r="I671" s="7"/>
      <c r="J671" s="7"/>
      <c r="K671" s="7">
        <v>2.72</v>
      </c>
      <c r="L671" s="7">
        <v>265.39999999999998</v>
      </c>
      <c r="M671" s="7">
        <v>0</v>
      </c>
      <c r="N671" s="7"/>
      <c r="O671">
        <v>45.19</v>
      </c>
      <c r="P671">
        <v>6.024</v>
      </c>
      <c r="Q671">
        <v>12.36</v>
      </c>
      <c r="S671">
        <v>12.38</v>
      </c>
      <c r="T671">
        <v>0</v>
      </c>
      <c r="U671">
        <v>96.7</v>
      </c>
      <c r="V671">
        <v>791</v>
      </c>
      <c r="W671">
        <v>32.799999999999997</v>
      </c>
      <c r="Y671">
        <v>12.97</v>
      </c>
    </row>
    <row r="672" spans="1:25" x14ac:dyDescent="0.25">
      <c r="A672">
        <v>2006</v>
      </c>
      <c r="B672">
        <v>149</v>
      </c>
      <c r="C672">
        <v>700</v>
      </c>
      <c r="D672" s="7">
        <v>108.9</v>
      </c>
      <c r="E672" s="7">
        <v>58.27</v>
      </c>
      <c r="F672" s="7">
        <v>7.53</v>
      </c>
      <c r="G672" s="7">
        <v>7.65</v>
      </c>
      <c r="H672" s="7"/>
      <c r="I672" s="7"/>
      <c r="J672" s="7"/>
      <c r="K672" s="7">
        <v>3.5190000000000001</v>
      </c>
      <c r="L672" s="7">
        <v>267.3</v>
      </c>
      <c r="M672" s="7">
        <v>0</v>
      </c>
      <c r="N672" s="7"/>
      <c r="O672">
        <v>136.5</v>
      </c>
      <c r="P672">
        <v>32.31</v>
      </c>
      <c r="Q672">
        <v>12.24</v>
      </c>
      <c r="S672">
        <v>12.27</v>
      </c>
      <c r="T672">
        <v>0</v>
      </c>
      <c r="U672">
        <v>98.5</v>
      </c>
      <c r="V672">
        <v>791</v>
      </c>
      <c r="W672">
        <v>32.79</v>
      </c>
      <c r="Y672">
        <v>13.42</v>
      </c>
    </row>
    <row r="673" spans="1:25" x14ac:dyDescent="0.25">
      <c r="A673">
        <v>2006</v>
      </c>
      <c r="B673">
        <v>149</v>
      </c>
      <c r="C673">
        <v>800</v>
      </c>
      <c r="D673" s="7">
        <v>123.8</v>
      </c>
      <c r="E673" s="7">
        <v>69.510000000000005</v>
      </c>
      <c r="F673" s="7">
        <v>8.6</v>
      </c>
      <c r="G673" s="7">
        <v>8.82</v>
      </c>
      <c r="H673" s="7"/>
      <c r="I673" s="7"/>
      <c r="J673" s="7"/>
      <c r="K673" s="7">
        <v>4.234</v>
      </c>
      <c r="L673" s="7">
        <v>302.39999999999998</v>
      </c>
      <c r="M673" s="7">
        <v>0</v>
      </c>
      <c r="N673" s="7"/>
      <c r="O673">
        <v>156</v>
      </c>
      <c r="P673">
        <v>40.11</v>
      </c>
      <c r="Q673">
        <v>12.21</v>
      </c>
      <c r="S673">
        <v>12.19</v>
      </c>
      <c r="T673">
        <v>0</v>
      </c>
      <c r="U673">
        <v>97.3</v>
      </c>
      <c r="V673">
        <v>790</v>
      </c>
      <c r="W673">
        <v>32.74</v>
      </c>
      <c r="Y673">
        <v>13.66</v>
      </c>
    </row>
    <row r="674" spans="1:25" x14ac:dyDescent="0.25">
      <c r="A674">
        <v>2006</v>
      </c>
      <c r="B674">
        <v>149</v>
      </c>
      <c r="C674">
        <v>900</v>
      </c>
      <c r="D674" s="7">
        <v>168.3</v>
      </c>
      <c r="E674" s="7">
        <v>97</v>
      </c>
      <c r="F674" s="7">
        <v>8.73</v>
      </c>
      <c r="G674" s="7">
        <v>8.98</v>
      </c>
      <c r="H674" s="7">
        <f>AVERAGE(G674:G697)</f>
        <v>9.0374166666666653</v>
      </c>
      <c r="I674" s="7">
        <f>MIN(G674:G697)</f>
        <v>5.9219999999999997</v>
      </c>
      <c r="J674" s="7">
        <f>MAX(G674:G697)</f>
        <v>12.75</v>
      </c>
      <c r="K674" s="7">
        <v>3.5470000000000002</v>
      </c>
      <c r="L674" s="7">
        <v>339</v>
      </c>
      <c r="M674" s="7">
        <v>0</v>
      </c>
      <c r="N674" s="7">
        <f>SUM(M674:M697)</f>
        <v>0</v>
      </c>
      <c r="O674">
        <v>217.8</v>
      </c>
      <c r="P674">
        <v>59.09</v>
      </c>
      <c r="Q674">
        <v>12.12</v>
      </c>
      <c r="S674">
        <v>12.04</v>
      </c>
      <c r="T674">
        <v>0</v>
      </c>
      <c r="U674">
        <v>96.8</v>
      </c>
      <c r="V674">
        <v>790</v>
      </c>
      <c r="W674">
        <v>32.72</v>
      </c>
      <c r="Y674">
        <v>13.76</v>
      </c>
    </row>
    <row r="675" spans="1:25" x14ac:dyDescent="0.25">
      <c r="A675">
        <v>2006</v>
      </c>
      <c r="B675">
        <v>149</v>
      </c>
      <c r="C675">
        <v>1000</v>
      </c>
      <c r="D675" s="7">
        <v>554.20000000000005</v>
      </c>
      <c r="E675" s="7">
        <v>349.8</v>
      </c>
      <c r="F675" s="7">
        <v>10.08</v>
      </c>
      <c r="G675" s="7">
        <v>10.19</v>
      </c>
      <c r="H675" s="7"/>
      <c r="I675" s="7"/>
      <c r="J675" s="7"/>
      <c r="K675" s="7">
        <v>3.101</v>
      </c>
      <c r="L675" s="7">
        <v>344</v>
      </c>
      <c r="M675" s="7">
        <v>0</v>
      </c>
      <c r="N675" s="7"/>
      <c r="O675">
        <v>714</v>
      </c>
      <c r="P675">
        <v>190.3</v>
      </c>
      <c r="Q675">
        <v>12.13</v>
      </c>
      <c r="S675">
        <v>12.05</v>
      </c>
      <c r="T675">
        <v>0</v>
      </c>
      <c r="U675">
        <v>98.6</v>
      </c>
      <c r="V675">
        <v>790</v>
      </c>
      <c r="W675">
        <v>32.71</v>
      </c>
      <c r="Y675">
        <v>14.42</v>
      </c>
    </row>
    <row r="676" spans="1:25" x14ac:dyDescent="0.25">
      <c r="A676">
        <v>2006</v>
      </c>
      <c r="B676">
        <v>149</v>
      </c>
      <c r="C676">
        <v>1100</v>
      </c>
      <c r="D676" s="7">
        <v>634.6</v>
      </c>
      <c r="E676" s="7">
        <v>390.6</v>
      </c>
      <c r="F676" s="7">
        <v>11.48</v>
      </c>
      <c r="G676" s="7">
        <v>11.55</v>
      </c>
      <c r="H676" s="7"/>
      <c r="I676" s="7"/>
      <c r="J676" s="7"/>
      <c r="K676" s="7">
        <v>3.4350000000000001</v>
      </c>
      <c r="L676" s="7">
        <v>347.2</v>
      </c>
      <c r="M676" s="7">
        <v>0</v>
      </c>
      <c r="N676" s="7"/>
      <c r="O676">
        <v>810</v>
      </c>
      <c r="P676">
        <v>210.8</v>
      </c>
      <c r="Q676">
        <v>12.17</v>
      </c>
      <c r="S676">
        <v>12.03</v>
      </c>
      <c r="T676">
        <v>0</v>
      </c>
      <c r="U676">
        <v>99.3</v>
      </c>
      <c r="V676">
        <v>788</v>
      </c>
      <c r="W676">
        <v>32.619999999999997</v>
      </c>
      <c r="Y676">
        <v>14.41</v>
      </c>
    </row>
    <row r="677" spans="1:25" x14ac:dyDescent="0.25">
      <c r="A677">
        <v>2006</v>
      </c>
      <c r="B677">
        <v>149</v>
      </c>
      <c r="C677">
        <v>1200</v>
      </c>
      <c r="D677" s="7">
        <v>738</v>
      </c>
      <c r="E677" s="7">
        <v>447.5</v>
      </c>
      <c r="F677" s="7">
        <v>12.12</v>
      </c>
      <c r="G677" s="7">
        <v>12.13</v>
      </c>
      <c r="H677" s="7"/>
      <c r="I677" s="7"/>
      <c r="J677" s="7"/>
      <c r="K677" s="7">
        <v>3.6589999999999998</v>
      </c>
      <c r="L677" s="7">
        <v>0</v>
      </c>
      <c r="M677" s="7">
        <v>0</v>
      </c>
      <c r="N677" s="7"/>
      <c r="O677">
        <v>935</v>
      </c>
      <c r="P677">
        <v>226.2</v>
      </c>
      <c r="Q677">
        <v>12.3</v>
      </c>
      <c r="S677">
        <v>12.01</v>
      </c>
      <c r="T677">
        <v>0</v>
      </c>
      <c r="U677">
        <v>100</v>
      </c>
      <c r="V677">
        <v>786</v>
      </c>
      <c r="W677">
        <v>32.51</v>
      </c>
      <c r="Y677">
        <v>14.13</v>
      </c>
    </row>
    <row r="678" spans="1:25" x14ac:dyDescent="0.25">
      <c r="A678">
        <v>2006</v>
      </c>
      <c r="B678">
        <v>149</v>
      </c>
      <c r="C678">
        <v>1300</v>
      </c>
      <c r="D678" s="7">
        <v>684.2</v>
      </c>
      <c r="E678" s="7">
        <v>404.3</v>
      </c>
      <c r="F678" s="7">
        <v>12.74</v>
      </c>
      <c r="G678" s="7">
        <v>12.64</v>
      </c>
      <c r="H678" s="7"/>
      <c r="I678" s="7"/>
      <c r="J678" s="7"/>
      <c r="K678" s="7">
        <v>3.468</v>
      </c>
      <c r="L678" s="7">
        <v>0</v>
      </c>
      <c r="M678" s="7">
        <v>0</v>
      </c>
      <c r="N678" s="7"/>
      <c r="O678">
        <v>858</v>
      </c>
      <c r="P678">
        <v>214.2</v>
      </c>
      <c r="Q678">
        <v>12.51</v>
      </c>
      <c r="S678">
        <v>12.12</v>
      </c>
      <c r="T678">
        <v>0</v>
      </c>
      <c r="U678">
        <v>101.1</v>
      </c>
      <c r="V678">
        <v>784</v>
      </c>
      <c r="W678">
        <v>32.409999999999997</v>
      </c>
      <c r="Y678">
        <v>14.23</v>
      </c>
    </row>
    <row r="679" spans="1:25" x14ac:dyDescent="0.25">
      <c r="A679">
        <v>2006</v>
      </c>
      <c r="B679">
        <v>149</v>
      </c>
      <c r="C679">
        <v>1400</v>
      </c>
      <c r="D679" s="7">
        <v>799</v>
      </c>
      <c r="E679" s="7">
        <v>461.4</v>
      </c>
      <c r="F679" s="7">
        <v>12.82</v>
      </c>
      <c r="G679" s="7">
        <v>12.75</v>
      </c>
      <c r="H679" s="7"/>
      <c r="I679" s="7"/>
      <c r="J679" s="7"/>
      <c r="K679" s="7">
        <v>4.0960000000000001</v>
      </c>
      <c r="L679" s="7">
        <v>0</v>
      </c>
      <c r="M679" s="7">
        <v>0</v>
      </c>
      <c r="N679" s="7"/>
      <c r="O679">
        <v>967</v>
      </c>
      <c r="P679">
        <v>240.4</v>
      </c>
      <c r="Q679">
        <v>12.78</v>
      </c>
      <c r="S679">
        <v>12.29</v>
      </c>
      <c r="T679">
        <v>0</v>
      </c>
      <c r="U679">
        <v>100.8</v>
      </c>
      <c r="V679">
        <v>782</v>
      </c>
      <c r="W679">
        <v>32.32</v>
      </c>
      <c r="Y679">
        <v>14.44</v>
      </c>
    </row>
    <row r="680" spans="1:25" x14ac:dyDescent="0.25">
      <c r="A680">
        <v>2006</v>
      </c>
      <c r="B680">
        <v>149</v>
      </c>
      <c r="C680">
        <v>1500</v>
      </c>
      <c r="D680" s="7">
        <v>690.9</v>
      </c>
      <c r="E680" s="7">
        <v>388.4</v>
      </c>
      <c r="F680" s="7">
        <v>12.11</v>
      </c>
      <c r="G680" s="7">
        <v>12.06</v>
      </c>
      <c r="H680" s="7"/>
      <c r="I680" s="7"/>
      <c r="J680" s="7"/>
      <c r="K680" s="7">
        <v>4.2869999999999999</v>
      </c>
      <c r="L680" s="7">
        <v>0</v>
      </c>
      <c r="M680" s="7">
        <v>0</v>
      </c>
      <c r="N680" s="7"/>
      <c r="O680">
        <v>840</v>
      </c>
      <c r="P680">
        <v>207</v>
      </c>
      <c r="Q680">
        <v>13.02</v>
      </c>
      <c r="S680">
        <v>12.46</v>
      </c>
      <c r="T680">
        <v>0</v>
      </c>
      <c r="U680">
        <v>100.6</v>
      </c>
      <c r="V680">
        <v>781</v>
      </c>
      <c r="W680">
        <v>32.26</v>
      </c>
      <c r="Y680">
        <v>14.19</v>
      </c>
    </row>
    <row r="681" spans="1:25" x14ac:dyDescent="0.25">
      <c r="A681">
        <v>2006</v>
      </c>
      <c r="B681">
        <v>149</v>
      </c>
      <c r="C681">
        <v>1600</v>
      </c>
      <c r="D681" s="7">
        <v>428.8</v>
      </c>
      <c r="E681" s="7">
        <v>230.6</v>
      </c>
      <c r="F681" s="7">
        <v>10.73</v>
      </c>
      <c r="G681" s="7">
        <v>10.67</v>
      </c>
      <c r="H681" s="7"/>
      <c r="I681" s="7"/>
      <c r="J681" s="7"/>
      <c r="K681" s="7">
        <v>4.2080000000000002</v>
      </c>
      <c r="L681" s="7">
        <v>0</v>
      </c>
      <c r="M681" s="7">
        <v>0</v>
      </c>
      <c r="N681" s="7"/>
      <c r="O681">
        <v>529.79999999999995</v>
      </c>
      <c r="P681">
        <v>159.9</v>
      </c>
      <c r="Q681">
        <v>13.27</v>
      </c>
      <c r="S681">
        <v>12.67</v>
      </c>
      <c r="T681">
        <v>0</v>
      </c>
      <c r="U681">
        <v>100.8</v>
      </c>
      <c r="V681">
        <v>779</v>
      </c>
      <c r="W681">
        <v>32.17</v>
      </c>
      <c r="Y681">
        <v>14.12</v>
      </c>
    </row>
    <row r="682" spans="1:25" x14ac:dyDescent="0.25">
      <c r="A682">
        <v>2006</v>
      </c>
      <c r="B682">
        <v>149</v>
      </c>
      <c r="C682">
        <v>1700</v>
      </c>
      <c r="D682" s="7">
        <v>385.8</v>
      </c>
      <c r="E682" s="7">
        <v>201.4</v>
      </c>
      <c r="F682" s="7">
        <v>10.34</v>
      </c>
      <c r="G682" s="7">
        <v>10.32</v>
      </c>
      <c r="H682" s="7"/>
      <c r="I682" s="7"/>
      <c r="J682" s="7"/>
      <c r="K682" s="7">
        <v>4.4009999999999998</v>
      </c>
      <c r="L682" s="7">
        <v>0</v>
      </c>
      <c r="M682" s="7">
        <v>0</v>
      </c>
      <c r="N682" s="7"/>
      <c r="O682">
        <v>468.2</v>
      </c>
      <c r="P682">
        <v>179.2</v>
      </c>
      <c r="Q682">
        <v>13.38</v>
      </c>
      <c r="S682">
        <v>12.91</v>
      </c>
      <c r="T682">
        <v>0</v>
      </c>
      <c r="U682">
        <v>100.2</v>
      </c>
      <c r="V682">
        <v>779</v>
      </c>
      <c r="W682">
        <v>32.17</v>
      </c>
      <c r="Y682">
        <v>13.95</v>
      </c>
    </row>
    <row r="683" spans="1:25" x14ac:dyDescent="0.25">
      <c r="A683">
        <v>2006</v>
      </c>
      <c r="B683">
        <v>149</v>
      </c>
      <c r="C683">
        <v>1800</v>
      </c>
      <c r="D683" s="7">
        <v>328.3</v>
      </c>
      <c r="E683" s="7">
        <v>168.4</v>
      </c>
      <c r="F683" s="7">
        <v>10.4</v>
      </c>
      <c r="G683" s="7">
        <v>10.36</v>
      </c>
      <c r="H683" s="7"/>
      <c r="I683" s="7"/>
      <c r="J683" s="7"/>
      <c r="K683" s="7">
        <v>4.5019999999999998</v>
      </c>
      <c r="L683" s="7">
        <v>0</v>
      </c>
      <c r="M683" s="7">
        <v>0</v>
      </c>
      <c r="N683" s="7"/>
      <c r="O683">
        <v>403.5</v>
      </c>
      <c r="P683">
        <v>186</v>
      </c>
      <c r="Q683">
        <v>13.43</v>
      </c>
      <c r="S683">
        <v>13.1</v>
      </c>
      <c r="T683">
        <v>0</v>
      </c>
      <c r="U683">
        <v>100.5</v>
      </c>
      <c r="V683">
        <v>780</v>
      </c>
      <c r="W683">
        <v>32.22</v>
      </c>
      <c r="Y683">
        <v>13.78</v>
      </c>
    </row>
    <row r="684" spans="1:25" x14ac:dyDescent="0.25">
      <c r="A684">
        <v>2006</v>
      </c>
      <c r="B684">
        <v>149</v>
      </c>
      <c r="C684">
        <v>1900</v>
      </c>
      <c r="D684" s="7">
        <v>120.2</v>
      </c>
      <c r="E684" s="7">
        <v>25.88</v>
      </c>
      <c r="F684" s="7">
        <v>9.32</v>
      </c>
      <c r="G684" s="7">
        <v>9.2899999999999991</v>
      </c>
      <c r="H684" s="7"/>
      <c r="I684" s="7"/>
      <c r="J684" s="7"/>
      <c r="K684" s="7">
        <v>4.1470000000000002</v>
      </c>
      <c r="L684" s="7">
        <v>0</v>
      </c>
      <c r="M684" s="7">
        <v>0</v>
      </c>
      <c r="N684" s="7"/>
      <c r="O684">
        <v>140.1</v>
      </c>
      <c r="P684">
        <v>66.599999999999994</v>
      </c>
      <c r="Q684">
        <v>13.41</v>
      </c>
      <c r="S684">
        <v>13.17</v>
      </c>
      <c r="T684">
        <v>0</v>
      </c>
      <c r="U684">
        <v>100.4</v>
      </c>
      <c r="V684">
        <v>781</v>
      </c>
      <c r="W684">
        <v>32.28</v>
      </c>
      <c r="Y684">
        <v>13.62</v>
      </c>
    </row>
    <row r="685" spans="1:25" x14ac:dyDescent="0.25">
      <c r="A685">
        <v>2006</v>
      </c>
      <c r="B685">
        <v>149</v>
      </c>
      <c r="C685">
        <v>2000</v>
      </c>
      <c r="D685" s="7">
        <v>66.650000000000006</v>
      </c>
      <c r="E685" s="7">
        <v>-0.55300000000000005</v>
      </c>
      <c r="F685" s="7">
        <v>8.65</v>
      </c>
      <c r="G685" s="7">
        <v>8.68</v>
      </c>
      <c r="H685" s="7"/>
      <c r="I685" s="7"/>
      <c r="J685" s="7"/>
      <c r="K685" s="7">
        <v>3.2519999999999998</v>
      </c>
      <c r="L685" s="7">
        <v>0</v>
      </c>
      <c r="M685" s="7">
        <v>0</v>
      </c>
      <c r="N685" s="7"/>
      <c r="O685">
        <v>77.400000000000006</v>
      </c>
      <c r="P685">
        <v>41.34</v>
      </c>
      <c r="Q685">
        <v>13.29</v>
      </c>
      <c r="S685">
        <v>13.22</v>
      </c>
      <c r="T685">
        <v>0</v>
      </c>
      <c r="U685">
        <v>99.6</v>
      </c>
      <c r="V685">
        <v>782</v>
      </c>
      <c r="W685">
        <v>32.31</v>
      </c>
      <c r="Y685">
        <v>13.52</v>
      </c>
    </row>
    <row r="686" spans="1:25" x14ac:dyDescent="0.25">
      <c r="A686">
        <v>2006</v>
      </c>
      <c r="B686">
        <v>149</v>
      </c>
      <c r="C686">
        <v>2100</v>
      </c>
      <c r="D686" s="7">
        <v>12.14</v>
      </c>
      <c r="E686" s="7">
        <v>-30.58</v>
      </c>
      <c r="F686" s="7">
        <v>8.11</v>
      </c>
      <c r="G686" s="7">
        <v>8.1199999999999992</v>
      </c>
      <c r="H686" s="7"/>
      <c r="I686" s="7"/>
      <c r="J686" s="7"/>
      <c r="K686" s="7">
        <v>2.3929999999999998</v>
      </c>
      <c r="L686" s="7">
        <v>0</v>
      </c>
      <c r="M686" s="7">
        <v>0</v>
      </c>
      <c r="N686" s="7"/>
      <c r="O686">
        <v>6.7229999999999999</v>
      </c>
      <c r="P686">
        <v>0.32300000000000001</v>
      </c>
      <c r="Q686">
        <v>13.15</v>
      </c>
      <c r="S686">
        <v>13.19</v>
      </c>
      <c r="T686">
        <v>0</v>
      </c>
      <c r="U686">
        <v>99.9</v>
      </c>
      <c r="V686">
        <v>782</v>
      </c>
      <c r="W686">
        <v>32.35</v>
      </c>
      <c r="Y686">
        <v>13.44</v>
      </c>
    </row>
    <row r="687" spans="1:25" x14ac:dyDescent="0.25">
      <c r="A687">
        <v>2006</v>
      </c>
      <c r="B687">
        <v>149</v>
      </c>
      <c r="C687">
        <v>2200</v>
      </c>
      <c r="D687" s="7">
        <v>-1.9770000000000001</v>
      </c>
      <c r="E687" s="7">
        <v>-37.9</v>
      </c>
      <c r="F687" s="7">
        <v>7.6</v>
      </c>
      <c r="G687" s="7">
        <v>7.64</v>
      </c>
      <c r="H687" s="7"/>
      <c r="I687" s="7"/>
      <c r="J687" s="7"/>
      <c r="K687" s="7">
        <v>2.9159999999999999</v>
      </c>
      <c r="L687" s="7">
        <v>344</v>
      </c>
      <c r="M687" s="7">
        <v>0</v>
      </c>
      <c r="N687" s="7"/>
      <c r="O687">
        <v>-11.39</v>
      </c>
      <c r="P687">
        <v>-10.84</v>
      </c>
      <c r="Q687">
        <v>12.97</v>
      </c>
      <c r="S687">
        <v>13.1</v>
      </c>
      <c r="T687">
        <v>0</v>
      </c>
      <c r="U687">
        <v>99.4</v>
      </c>
      <c r="V687">
        <v>781</v>
      </c>
      <c r="W687">
        <v>32.28</v>
      </c>
      <c r="Y687">
        <v>13.36</v>
      </c>
    </row>
    <row r="688" spans="1:25" x14ac:dyDescent="0.25">
      <c r="A688">
        <v>2006</v>
      </c>
      <c r="B688">
        <v>149</v>
      </c>
      <c r="C688">
        <v>2300</v>
      </c>
      <c r="D688" s="7">
        <v>-2.0089999999999999</v>
      </c>
      <c r="E688" s="7">
        <v>-46.29</v>
      </c>
      <c r="F688" s="7">
        <v>7.29</v>
      </c>
      <c r="G688" s="7">
        <v>7.23</v>
      </c>
      <c r="H688" s="7"/>
      <c r="I688" s="7"/>
      <c r="J688" s="7"/>
      <c r="K688" s="7">
        <v>2.8759999999999999</v>
      </c>
      <c r="L688" s="7">
        <v>329.4</v>
      </c>
      <c r="M688" s="7">
        <v>0</v>
      </c>
      <c r="N688" s="7"/>
      <c r="O688">
        <v>-11.51</v>
      </c>
      <c r="P688">
        <v>-10.85</v>
      </c>
      <c r="Q688">
        <v>12.81</v>
      </c>
      <c r="S688">
        <v>12.98</v>
      </c>
      <c r="T688">
        <v>0</v>
      </c>
      <c r="U688">
        <v>100.7</v>
      </c>
      <c r="V688">
        <v>784</v>
      </c>
      <c r="W688">
        <v>32.43</v>
      </c>
      <c r="Y688">
        <v>13.29</v>
      </c>
    </row>
    <row r="689" spans="1:25" x14ac:dyDescent="0.25">
      <c r="A689">
        <v>2006</v>
      </c>
      <c r="B689">
        <v>149</v>
      </c>
      <c r="C689">
        <v>2400</v>
      </c>
      <c r="D689" s="7">
        <v>-2.3260000000000001</v>
      </c>
      <c r="E689" s="7">
        <v>-50.96</v>
      </c>
      <c r="F689" s="7">
        <v>7.01</v>
      </c>
      <c r="G689" s="7">
        <v>7.04</v>
      </c>
      <c r="H689" s="7"/>
      <c r="I689" s="7"/>
      <c r="J689" s="7"/>
      <c r="K689" s="7">
        <v>2.331</v>
      </c>
      <c r="L689" s="7">
        <v>332.9</v>
      </c>
      <c r="M689" s="7">
        <v>0</v>
      </c>
      <c r="N689" s="7"/>
      <c r="O689">
        <v>-11.51</v>
      </c>
      <c r="P689">
        <v>-10.84</v>
      </c>
      <c r="Q689">
        <v>12.65</v>
      </c>
      <c r="S689">
        <v>12.88</v>
      </c>
      <c r="T689">
        <v>0</v>
      </c>
      <c r="U689">
        <v>99.6</v>
      </c>
      <c r="V689">
        <v>783</v>
      </c>
      <c r="W689">
        <v>32.36</v>
      </c>
      <c r="Y689">
        <v>13.22</v>
      </c>
    </row>
    <row r="690" spans="1:25" x14ac:dyDescent="0.25">
      <c r="A690">
        <v>2006</v>
      </c>
      <c r="B690">
        <v>150</v>
      </c>
      <c r="C690">
        <v>100</v>
      </c>
      <c r="D690" s="7">
        <v>-1.633</v>
      </c>
      <c r="E690" s="7">
        <v>-32.35</v>
      </c>
      <c r="F690" s="7">
        <v>7.21</v>
      </c>
      <c r="G690" s="7">
        <v>7.19</v>
      </c>
      <c r="H690" s="7"/>
      <c r="I690" s="7"/>
      <c r="J690" s="7"/>
      <c r="K690" s="7">
        <v>2.8570000000000002</v>
      </c>
      <c r="L690" s="7">
        <v>331.6</v>
      </c>
      <c r="M690" s="7">
        <v>0</v>
      </c>
      <c r="N690" s="7"/>
      <c r="O690">
        <v>-11.51</v>
      </c>
      <c r="P690">
        <v>-10.85</v>
      </c>
      <c r="Q690">
        <v>12.49</v>
      </c>
      <c r="S690">
        <v>12.76</v>
      </c>
      <c r="T690">
        <v>0</v>
      </c>
      <c r="U690">
        <v>100.3</v>
      </c>
      <c r="V690">
        <v>782</v>
      </c>
      <c r="W690">
        <v>32.33</v>
      </c>
      <c r="Y690">
        <v>13.16</v>
      </c>
    </row>
    <row r="691" spans="1:25" x14ac:dyDescent="0.25">
      <c r="A691">
        <v>2006</v>
      </c>
      <c r="B691">
        <v>150</v>
      </c>
      <c r="C691">
        <v>200</v>
      </c>
      <c r="D691" s="7">
        <v>-2.0609999999999999</v>
      </c>
      <c r="E691" s="7">
        <v>-41.69</v>
      </c>
      <c r="F691" s="7">
        <v>6.907</v>
      </c>
      <c r="G691" s="7">
        <v>6.9020000000000001</v>
      </c>
      <c r="H691" s="7"/>
      <c r="I691" s="7"/>
      <c r="J691" s="7"/>
      <c r="K691" s="7">
        <v>2.6789999999999998</v>
      </c>
      <c r="L691" s="7">
        <v>332</v>
      </c>
      <c r="M691" s="7">
        <v>0</v>
      </c>
      <c r="N691" s="7"/>
      <c r="O691">
        <v>-11.5</v>
      </c>
      <c r="P691">
        <v>-10.85</v>
      </c>
      <c r="Q691">
        <v>12.33</v>
      </c>
      <c r="S691">
        <v>12.61</v>
      </c>
      <c r="T691">
        <v>0</v>
      </c>
      <c r="U691">
        <v>100.1</v>
      </c>
      <c r="V691">
        <v>783</v>
      </c>
      <c r="W691">
        <v>32.369999999999997</v>
      </c>
      <c r="Y691">
        <v>13.1</v>
      </c>
    </row>
    <row r="692" spans="1:25" x14ac:dyDescent="0.25">
      <c r="A692">
        <v>2006</v>
      </c>
      <c r="B692">
        <v>150</v>
      </c>
      <c r="C692">
        <v>300</v>
      </c>
      <c r="D692" s="7">
        <v>-2.323</v>
      </c>
      <c r="E692" s="7">
        <v>-52.42</v>
      </c>
      <c r="F692" s="7">
        <v>6.5350000000000001</v>
      </c>
      <c r="G692" s="7">
        <v>6.6449999999999996</v>
      </c>
      <c r="H692" s="7"/>
      <c r="I692" s="7"/>
      <c r="J692" s="7"/>
      <c r="K692" s="7">
        <v>2.7989999999999999</v>
      </c>
      <c r="L692" s="7">
        <v>334</v>
      </c>
      <c r="M692" s="7">
        <v>0</v>
      </c>
      <c r="N692" s="7"/>
      <c r="O692">
        <v>-11.5</v>
      </c>
      <c r="P692">
        <v>-10.85</v>
      </c>
      <c r="Q692">
        <v>12.17</v>
      </c>
      <c r="S692">
        <v>12.45</v>
      </c>
      <c r="T692">
        <v>0</v>
      </c>
      <c r="U692">
        <v>98.5</v>
      </c>
      <c r="V692">
        <v>783</v>
      </c>
      <c r="W692">
        <v>32.39</v>
      </c>
      <c r="Y692">
        <v>13.04</v>
      </c>
    </row>
    <row r="693" spans="1:25" x14ac:dyDescent="0.25">
      <c r="A693">
        <v>2006</v>
      </c>
      <c r="B693">
        <v>150</v>
      </c>
      <c r="C693">
        <v>400</v>
      </c>
      <c r="D693" s="7">
        <v>-1.5229999999999999</v>
      </c>
      <c r="E693" s="7">
        <v>-59.1</v>
      </c>
      <c r="F693" s="7">
        <v>5.9619999999999997</v>
      </c>
      <c r="G693" s="7">
        <v>6.1639999999999997</v>
      </c>
      <c r="H693" s="7"/>
      <c r="I693" s="7"/>
      <c r="J693" s="7"/>
      <c r="K693" s="7">
        <v>2.6030000000000002</v>
      </c>
      <c r="L693" s="7">
        <v>332.1</v>
      </c>
      <c r="M693" s="7">
        <v>0</v>
      </c>
      <c r="N693" s="7"/>
      <c r="O693">
        <v>-9.61</v>
      </c>
      <c r="P693">
        <v>-10.199999999999999</v>
      </c>
      <c r="Q693">
        <v>12</v>
      </c>
      <c r="S693">
        <v>12.28</v>
      </c>
      <c r="T693">
        <v>0</v>
      </c>
      <c r="U693">
        <v>97.2</v>
      </c>
      <c r="V693">
        <v>782</v>
      </c>
      <c r="W693">
        <v>32.33</v>
      </c>
      <c r="Y693">
        <v>12.99</v>
      </c>
    </row>
    <row r="694" spans="1:25" x14ac:dyDescent="0.25">
      <c r="A694">
        <v>2006</v>
      </c>
      <c r="B694">
        <v>150</v>
      </c>
      <c r="C694">
        <v>500</v>
      </c>
      <c r="D694" s="7">
        <v>17.170000000000002</v>
      </c>
      <c r="E694" s="7">
        <v>-46.25</v>
      </c>
      <c r="F694" s="7">
        <v>5.5369999999999999</v>
      </c>
      <c r="G694" s="7">
        <v>5.9219999999999997</v>
      </c>
      <c r="H694" s="7"/>
      <c r="I694" s="7"/>
      <c r="J694" s="7"/>
      <c r="K694" s="7">
        <v>2.8079999999999998</v>
      </c>
      <c r="L694" s="7">
        <v>330</v>
      </c>
      <c r="M694" s="7">
        <v>0</v>
      </c>
      <c r="N694" s="7"/>
      <c r="O694">
        <v>12.22</v>
      </c>
      <c r="P694">
        <v>-1.671</v>
      </c>
      <c r="Q694">
        <v>11.84</v>
      </c>
      <c r="S694">
        <v>12.12</v>
      </c>
      <c r="T694">
        <v>0</v>
      </c>
      <c r="U694">
        <v>94.6</v>
      </c>
      <c r="V694">
        <v>781</v>
      </c>
      <c r="W694">
        <v>32.299999999999997</v>
      </c>
      <c r="Y694">
        <v>12.95</v>
      </c>
    </row>
    <row r="695" spans="1:25" x14ac:dyDescent="0.25">
      <c r="A695">
        <v>2006</v>
      </c>
      <c r="B695">
        <v>150</v>
      </c>
      <c r="C695">
        <v>600</v>
      </c>
      <c r="D695" s="7">
        <v>130.30000000000001</v>
      </c>
      <c r="E695" s="7">
        <v>46.76</v>
      </c>
      <c r="F695" s="7">
        <v>6.4569999999999999</v>
      </c>
      <c r="G695" s="7">
        <v>6.7850000000000001</v>
      </c>
      <c r="H695" s="7"/>
      <c r="I695" s="7"/>
      <c r="J695" s="7"/>
      <c r="K695" s="7">
        <v>3.1280000000000001</v>
      </c>
      <c r="L695" s="7">
        <v>335.4</v>
      </c>
      <c r="M695" s="7">
        <v>0</v>
      </c>
      <c r="N695" s="7"/>
      <c r="O695">
        <v>171.3</v>
      </c>
      <c r="P695">
        <v>69.09</v>
      </c>
      <c r="Q695">
        <v>11.68</v>
      </c>
      <c r="S695">
        <v>12.01</v>
      </c>
      <c r="T695">
        <v>0</v>
      </c>
      <c r="U695">
        <v>95.5</v>
      </c>
      <c r="V695">
        <v>781</v>
      </c>
      <c r="W695">
        <v>32.28</v>
      </c>
      <c r="Y695">
        <v>13.18</v>
      </c>
    </row>
    <row r="696" spans="1:25" x14ac:dyDescent="0.25">
      <c r="A696">
        <v>2006</v>
      </c>
      <c r="B696">
        <v>150</v>
      </c>
      <c r="C696">
        <v>700</v>
      </c>
      <c r="D696" s="7">
        <v>300.3</v>
      </c>
      <c r="E696" s="7">
        <v>200.3</v>
      </c>
      <c r="F696" s="7">
        <v>8.23</v>
      </c>
      <c r="G696" s="7">
        <v>8.3800000000000008</v>
      </c>
      <c r="H696" s="7"/>
      <c r="I696" s="7"/>
      <c r="J696" s="7"/>
      <c r="K696" s="7">
        <v>3.4020000000000001</v>
      </c>
      <c r="L696" s="7">
        <v>0</v>
      </c>
      <c r="M696" s="7">
        <v>0</v>
      </c>
      <c r="N696" s="7"/>
      <c r="O696">
        <v>421.2</v>
      </c>
      <c r="P696">
        <v>148.69999999999999</v>
      </c>
      <c r="Q696">
        <v>11.64</v>
      </c>
      <c r="S696">
        <v>11.95</v>
      </c>
      <c r="T696">
        <v>0</v>
      </c>
      <c r="U696">
        <v>98.1</v>
      </c>
      <c r="V696">
        <v>781</v>
      </c>
      <c r="W696">
        <v>32.270000000000003</v>
      </c>
      <c r="Y696">
        <v>13.92</v>
      </c>
    </row>
    <row r="697" spans="1:25" x14ac:dyDescent="0.25">
      <c r="A697">
        <v>2006</v>
      </c>
      <c r="B697">
        <v>150</v>
      </c>
      <c r="C697">
        <v>800</v>
      </c>
      <c r="D697" s="7">
        <v>416</v>
      </c>
      <c r="E697" s="7">
        <v>278</v>
      </c>
      <c r="F697" s="7">
        <v>9.2100000000000009</v>
      </c>
      <c r="G697" s="7">
        <v>9.26</v>
      </c>
      <c r="H697" s="7"/>
      <c r="I697" s="7"/>
      <c r="J697" s="7"/>
      <c r="K697" s="7">
        <v>3.64</v>
      </c>
      <c r="L697" s="7">
        <v>0</v>
      </c>
      <c r="M697" s="7">
        <v>0</v>
      </c>
      <c r="N697" s="7"/>
      <c r="O697">
        <v>564</v>
      </c>
      <c r="P697">
        <v>177</v>
      </c>
      <c r="Q697">
        <v>11.6</v>
      </c>
      <c r="S697">
        <v>11.82</v>
      </c>
      <c r="T697">
        <v>0</v>
      </c>
      <c r="U697">
        <v>99.4</v>
      </c>
      <c r="V697">
        <v>779</v>
      </c>
      <c r="W697">
        <v>32.17</v>
      </c>
      <c r="Y697">
        <v>14.3</v>
      </c>
    </row>
    <row r="698" spans="1:25" x14ac:dyDescent="0.25">
      <c r="A698">
        <v>2006</v>
      </c>
      <c r="B698">
        <v>150</v>
      </c>
      <c r="C698">
        <v>900</v>
      </c>
      <c r="D698" s="7">
        <v>586.70000000000005</v>
      </c>
      <c r="E698" s="7">
        <v>377.8</v>
      </c>
      <c r="F698" s="7">
        <v>10.14</v>
      </c>
      <c r="G698" s="7">
        <v>10.17</v>
      </c>
      <c r="H698" s="7">
        <f>AVERAGE(G698:G721)</f>
        <v>8.2914583333333329</v>
      </c>
      <c r="I698" s="7">
        <f>MIN(G698:G721)</f>
        <v>1.411</v>
      </c>
      <c r="J698" s="7">
        <f>MAX(G698:G721)</f>
        <v>12.38</v>
      </c>
      <c r="K698" s="7">
        <v>3.6869999999999998</v>
      </c>
      <c r="L698" s="7">
        <v>0</v>
      </c>
      <c r="M698" s="7">
        <v>0</v>
      </c>
      <c r="N698" s="7">
        <f>SUM(M698:M721)</f>
        <v>0</v>
      </c>
      <c r="O698">
        <v>762</v>
      </c>
      <c r="P698">
        <v>225.8</v>
      </c>
      <c r="Q698">
        <v>11.7</v>
      </c>
      <c r="S698">
        <v>11.77</v>
      </c>
      <c r="T698">
        <v>0</v>
      </c>
      <c r="U698">
        <v>99.6</v>
      </c>
      <c r="V698">
        <v>778</v>
      </c>
      <c r="W698">
        <v>32.14</v>
      </c>
      <c r="Y698">
        <v>14.72</v>
      </c>
    </row>
    <row r="699" spans="1:25" x14ac:dyDescent="0.25">
      <c r="A699">
        <v>2006</v>
      </c>
      <c r="B699">
        <v>150</v>
      </c>
      <c r="C699">
        <v>1000</v>
      </c>
      <c r="D699" s="7">
        <v>692.8</v>
      </c>
      <c r="E699" s="7">
        <v>423.8</v>
      </c>
      <c r="F699" s="7">
        <v>11.03</v>
      </c>
      <c r="G699" s="7">
        <v>11.06</v>
      </c>
      <c r="H699" s="7"/>
      <c r="I699" s="7"/>
      <c r="J699" s="7"/>
      <c r="K699" s="7">
        <v>3.508</v>
      </c>
      <c r="L699" s="7">
        <v>0</v>
      </c>
      <c r="M699" s="7">
        <v>0</v>
      </c>
      <c r="N699" s="7"/>
      <c r="O699">
        <v>889</v>
      </c>
      <c r="P699">
        <v>235.9</v>
      </c>
      <c r="Q699">
        <v>11.86</v>
      </c>
      <c r="S699">
        <v>11.73</v>
      </c>
      <c r="T699">
        <v>0</v>
      </c>
      <c r="U699">
        <v>99.7</v>
      </c>
      <c r="V699">
        <v>777</v>
      </c>
      <c r="W699">
        <v>32.06</v>
      </c>
      <c r="Y699">
        <v>14.75</v>
      </c>
    </row>
    <row r="700" spans="1:25" x14ac:dyDescent="0.25">
      <c r="A700">
        <v>2006</v>
      </c>
      <c r="B700">
        <v>150</v>
      </c>
      <c r="C700">
        <v>1100</v>
      </c>
      <c r="D700" s="7">
        <v>848</v>
      </c>
      <c r="E700" s="7">
        <v>523.9</v>
      </c>
      <c r="F700" s="7">
        <v>11.96</v>
      </c>
      <c r="G700" s="7">
        <v>12.04</v>
      </c>
      <c r="H700" s="7"/>
      <c r="I700" s="7"/>
      <c r="J700" s="7"/>
      <c r="K700" s="7">
        <v>4.1399999999999997</v>
      </c>
      <c r="L700" s="7">
        <v>0</v>
      </c>
      <c r="M700" s="7">
        <v>0</v>
      </c>
      <c r="N700" s="7"/>
      <c r="O700">
        <v>1081</v>
      </c>
      <c r="P700">
        <v>278.3</v>
      </c>
      <c r="Q700">
        <v>12.09</v>
      </c>
      <c r="S700">
        <v>11.79</v>
      </c>
      <c r="T700">
        <v>0</v>
      </c>
      <c r="U700">
        <v>99.1</v>
      </c>
      <c r="V700">
        <v>776</v>
      </c>
      <c r="W700">
        <v>32.01</v>
      </c>
      <c r="Y700">
        <v>14.62</v>
      </c>
    </row>
    <row r="701" spans="1:25" x14ac:dyDescent="0.25">
      <c r="A701">
        <v>2006</v>
      </c>
      <c r="B701">
        <v>150</v>
      </c>
      <c r="C701">
        <v>1200</v>
      </c>
      <c r="D701" s="7">
        <v>898</v>
      </c>
      <c r="E701" s="7">
        <v>544.70000000000005</v>
      </c>
      <c r="F701" s="7">
        <v>12.47</v>
      </c>
      <c r="G701" s="7">
        <v>12.38</v>
      </c>
      <c r="H701" s="7"/>
      <c r="I701" s="7"/>
      <c r="J701" s="7"/>
      <c r="K701" s="7">
        <v>4.0199999999999996</v>
      </c>
      <c r="L701" s="7">
        <v>0</v>
      </c>
      <c r="M701" s="7">
        <v>0</v>
      </c>
      <c r="N701" s="7"/>
      <c r="O701">
        <v>1139</v>
      </c>
      <c r="P701">
        <v>277.2</v>
      </c>
      <c r="Q701">
        <v>12.36</v>
      </c>
      <c r="S701">
        <v>11.94</v>
      </c>
      <c r="T701">
        <v>0</v>
      </c>
      <c r="U701">
        <v>101.1</v>
      </c>
      <c r="V701">
        <v>774</v>
      </c>
      <c r="W701">
        <v>31.93</v>
      </c>
      <c r="Y701">
        <v>14.23</v>
      </c>
    </row>
    <row r="702" spans="1:25" x14ac:dyDescent="0.25">
      <c r="A702">
        <v>2006</v>
      </c>
      <c r="B702">
        <v>150</v>
      </c>
      <c r="C702">
        <v>1300</v>
      </c>
      <c r="D702" s="7">
        <v>857</v>
      </c>
      <c r="E702" s="7">
        <v>493.2</v>
      </c>
      <c r="F702" s="7">
        <v>12.35</v>
      </c>
      <c r="G702" s="7">
        <v>12.25</v>
      </c>
      <c r="H702" s="7"/>
      <c r="I702" s="7"/>
      <c r="J702" s="7"/>
      <c r="K702" s="7">
        <v>3.9049999999999998</v>
      </c>
      <c r="L702" s="7">
        <v>0</v>
      </c>
      <c r="M702" s="7">
        <v>0</v>
      </c>
      <c r="N702" s="7"/>
      <c r="O702">
        <v>1058</v>
      </c>
      <c r="P702">
        <v>244.8</v>
      </c>
      <c r="Q702">
        <v>12.61</v>
      </c>
      <c r="S702">
        <v>12.11</v>
      </c>
      <c r="T702">
        <v>0</v>
      </c>
      <c r="U702">
        <v>101</v>
      </c>
      <c r="V702">
        <v>773</v>
      </c>
      <c r="W702">
        <v>31.86</v>
      </c>
      <c r="Y702">
        <v>14.18</v>
      </c>
    </row>
    <row r="703" spans="1:25" x14ac:dyDescent="0.25">
      <c r="A703">
        <v>2006</v>
      </c>
      <c r="B703">
        <v>150</v>
      </c>
      <c r="C703">
        <v>1400</v>
      </c>
      <c r="D703" s="7">
        <v>679.9</v>
      </c>
      <c r="E703" s="7">
        <v>374.8</v>
      </c>
      <c r="F703" s="7">
        <v>12.14</v>
      </c>
      <c r="G703" s="7">
        <v>12.03</v>
      </c>
      <c r="H703" s="7"/>
      <c r="I703" s="7"/>
      <c r="J703" s="7"/>
      <c r="K703" s="7">
        <v>3.7210000000000001</v>
      </c>
      <c r="L703" s="7">
        <v>0</v>
      </c>
      <c r="M703" s="7">
        <v>0</v>
      </c>
      <c r="N703" s="7"/>
      <c r="O703">
        <v>811</v>
      </c>
      <c r="P703">
        <v>200.9</v>
      </c>
      <c r="Q703">
        <v>12.91</v>
      </c>
      <c r="S703">
        <v>12.34</v>
      </c>
      <c r="T703">
        <v>0</v>
      </c>
      <c r="U703">
        <v>101.2</v>
      </c>
      <c r="V703">
        <v>770</v>
      </c>
      <c r="W703">
        <v>31.76</v>
      </c>
      <c r="Y703">
        <v>14.31</v>
      </c>
    </row>
    <row r="704" spans="1:25" x14ac:dyDescent="0.25">
      <c r="A704">
        <v>2006</v>
      </c>
      <c r="B704">
        <v>150</v>
      </c>
      <c r="C704">
        <v>1500</v>
      </c>
      <c r="D704" s="7">
        <v>726</v>
      </c>
      <c r="E704" s="7">
        <v>410.1</v>
      </c>
      <c r="F704" s="7">
        <v>12.31</v>
      </c>
      <c r="G704" s="7">
        <v>12.19</v>
      </c>
      <c r="H704" s="7"/>
      <c r="I704" s="7"/>
      <c r="J704" s="7"/>
      <c r="K704" s="7">
        <v>3.6389999999999998</v>
      </c>
      <c r="L704" s="7">
        <v>0</v>
      </c>
      <c r="M704" s="7">
        <v>0</v>
      </c>
      <c r="N704" s="7"/>
      <c r="O704">
        <v>892</v>
      </c>
      <c r="P704">
        <v>224.1</v>
      </c>
      <c r="Q704">
        <v>13.2</v>
      </c>
      <c r="S704">
        <v>12.68</v>
      </c>
      <c r="T704">
        <v>0</v>
      </c>
      <c r="U704">
        <v>101.4</v>
      </c>
      <c r="V704">
        <v>771</v>
      </c>
      <c r="W704">
        <v>31.78</v>
      </c>
      <c r="Y704">
        <v>14.27</v>
      </c>
    </row>
    <row r="705" spans="1:25" x14ac:dyDescent="0.25">
      <c r="A705">
        <v>2006</v>
      </c>
      <c r="B705">
        <v>150</v>
      </c>
      <c r="C705">
        <v>1600</v>
      </c>
      <c r="D705" s="7">
        <v>658.8</v>
      </c>
      <c r="E705" s="7">
        <v>374.3</v>
      </c>
      <c r="F705" s="7">
        <v>12.14</v>
      </c>
      <c r="G705" s="7">
        <v>12.01</v>
      </c>
      <c r="H705" s="7"/>
      <c r="I705" s="7"/>
      <c r="J705" s="7"/>
      <c r="K705" s="7">
        <v>3.4670000000000001</v>
      </c>
      <c r="L705" s="7">
        <v>0</v>
      </c>
      <c r="M705" s="7">
        <v>0</v>
      </c>
      <c r="N705" s="7"/>
      <c r="O705">
        <v>810</v>
      </c>
      <c r="P705">
        <v>242.8</v>
      </c>
      <c r="Q705">
        <v>13.41</v>
      </c>
      <c r="S705">
        <v>12.96</v>
      </c>
      <c r="T705">
        <v>0</v>
      </c>
      <c r="U705">
        <v>101.6</v>
      </c>
      <c r="V705">
        <v>768</v>
      </c>
      <c r="W705">
        <v>31.66</v>
      </c>
      <c r="Y705">
        <v>14.35</v>
      </c>
    </row>
    <row r="706" spans="1:25" x14ac:dyDescent="0.25">
      <c r="A706">
        <v>2006</v>
      </c>
      <c r="B706">
        <v>150</v>
      </c>
      <c r="C706">
        <v>1700</v>
      </c>
      <c r="D706" s="7">
        <v>484.1</v>
      </c>
      <c r="E706" s="7">
        <v>269.2</v>
      </c>
      <c r="F706" s="7">
        <v>11.96</v>
      </c>
      <c r="G706" s="7">
        <v>11.76</v>
      </c>
      <c r="H706" s="7"/>
      <c r="I706" s="7"/>
      <c r="J706" s="7"/>
      <c r="K706" s="7">
        <v>3.198</v>
      </c>
      <c r="L706" s="7">
        <v>0</v>
      </c>
      <c r="M706" s="7">
        <v>0</v>
      </c>
      <c r="N706" s="7"/>
      <c r="O706">
        <v>614.9</v>
      </c>
      <c r="P706">
        <v>210.2</v>
      </c>
      <c r="Q706">
        <v>13.6</v>
      </c>
      <c r="S706">
        <v>13.24</v>
      </c>
      <c r="T706">
        <v>0</v>
      </c>
      <c r="U706">
        <v>102.3</v>
      </c>
      <c r="V706">
        <v>768</v>
      </c>
      <c r="W706">
        <v>31.65</v>
      </c>
      <c r="Y706">
        <v>14.1</v>
      </c>
    </row>
    <row r="707" spans="1:25" x14ac:dyDescent="0.25">
      <c r="A707">
        <v>2006</v>
      </c>
      <c r="B707">
        <v>150</v>
      </c>
      <c r="C707">
        <v>1800</v>
      </c>
      <c r="D707" s="7">
        <v>298</v>
      </c>
      <c r="E707" s="7">
        <v>145.69999999999999</v>
      </c>
      <c r="F707" s="7">
        <v>10.55</v>
      </c>
      <c r="G707" s="7">
        <v>10.43</v>
      </c>
      <c r="H707" s="7"/>
      <c r="I707" s="7"/>
      <c r="J707" s="7"/>
      <c r="K707" s="7">
        <v>2.855</v>
      </c>
      <c r="L707" s="7">
        <v>0</v>
      </c>
      <c r="M707" s="7">
        <v>0</v>
      </c>
      <c r="N707" s="7"/>
      <c r="O707">
        <v>375.6</v>
      </c>
      <c r="P707">
        <v>162.30000000000001</v>
      </c>
      <c r="Q707">
        <v>13.74</v>
      </c>
      <c r="S707">
        <v>13.39</v>
      </c>
      <c r="T707">
        <v>0</v>
      </c>
      <c r="U707">
        <v>101.4</v>
      </c>
      <c r="V707">
        <v>768</v>
      </c>
      <c r="W707">
        <v>31.63</v>
      </c>
      <c r="Y707">
        <v>13.79</v>
      </c>
    </row>
    <row r="708" spans="1:25" x14ac:dyDescent="0.25">
      <c r="A708">
        <v>2006</v>
      </c>
      <c r="B708">
        <v>150</v>
      </c>
      <c r="C708">
        <v>1900</v>
      </c>
      <c r="D708" s="7">
        <v>304.5</v>
      </c>
      <c r="E708" s="7">
        <v>179.9</v>
      </c>
      <c r="F708" s="7">
        <v>10.58</v>
      </c>
      <c r="G708" s="7">
        <v>10.36</v>
      </c>
      <c r="H708" s="7"/>
      <c r="I708" s="7"/>
      <c r="J708" s="7"/>
      <c r="K708" s="7">
        <v>2.7389999999999999</v>
      </c>
      <c r="L708" s="7">
        <v>0</v>
      </c>
      <c r="M708" s="7">
        <v>0</v>
      </c>
      <c r="N708" s="7"/>
      <c r="O708">
        <v>418.3</v>
      </c>
      <c r="P708">
        <v>222.6</v>
      </c>
      <c r="Q708">
        <v>13.81</v>
      </c>
      <c r="S708">
        <v>13.58</v>
      </c>
      <c r="T708">
        <v>0</v>
      </c>
      <c r="U708">
        <v>102.6</v>
      </c>
      <c r="V708">
        <v>767</v>
      </c>
      <c r="W708">
        <v>31.57</v>
      </c>
      <c r="Y708">
        <v>13.72</v>
      </c>
    </row>
    <row r="709" spans="1:25" x14ac:dyDescent="0.25">
      <c r="A709">
        <v>2006</v>
      </c>
      <c r="B709">
        <v>150</v>
      </c>
      <c r="C709">
        <v>2000</v>
      </c>
      <c r="D709" s="7">
        <v>93</v>
      </c>
      <c r="E709" s="7">
        <v>1.6359999999999999</v>
      </c>
      <c r="F709" s="7">
        <v>8.81</v>
      </c>
      <c r="G709" s="7">
        <v>8.6999999999999993</v>
      </c>
      <c r="H709" s="7"/>
      <c r="I709" s="7"/>
      <c r="J709" s="7"/>
      <c r="K709" s="7">
        <v>3.0590000000000002</v>
      </c>
      <c r="L709" s="7">
        <v>0</v>
      </c>
      <c r="M709" s="7">
        <v>0</v>
      </c>
      <c r="N709" s="7"/>
      <c r="O709">
        <v>114.5</v>
      </c>
      <c r="P709">
        <v>88.4</v>
      </c>
      <c r="Q709">
        <v>13.78</v>
      </c>
      <c r="S709">
        <v>13.62</v>
      </c>
      <c r="T709">
        <v>0</v>
      </c>
      <c r="U709">
        <v>101.3</v>
      </c>
      <c r="V709">
        <v>768</v>
      </c>
      <c r="W709">
        <v>31.62</v>
      </c>
      <c r="Y709">
        <v>13.6</v>
      </c>
    </row>
    <row r="710" spans="1:25" x14ac:dyDescent="0.25">
      <c r="A710">
        <v>2006</v>
      </c>
      <c r="B710">
        <v>150</v>
      </c>
      <c r="C710">
        <v>2100</v>
      </c>
      <c r="D710" s="7">
        <v>6.4320000000000004</v>
      </c>
      <c r="E710" s="7">
        <v>-63.35</v>
      </c>
      <c r="F710" s="7">
        <v>7.3</v>
      </c>
      <c r="G710" s="7">
        <v>7.29</v>
      </c>
      <c r="H710" s="7"/>
      <c r="I710" s="7"/>
      <c r="J710" s="7"/>
      <c r="K710" s="7">
        <v>2.2909999999999999</v>
      </c>
      <c r="L710" s="7">
        <v>0</v>
      </c>
      <c r="M710" s="7">
        <v>0</v>
      </c>
      <c r="N710" s="7"/>
      <c r="O710">
        <v>-1.302</v>
      </c>
      <c r="P710">
        <v>-6.7409999999999997</v>
      </c>
      <c r="Q710">
        <v>13.64</v>
      </c>
      <c r="S710">
        <v>13.6</v>
      </c>
      <c r="T710">
        <v>0</v>
      </c>
      <c r="U710">
        <v>100.1</v>
      </c>
      <c r="V710">
        <v>771</v>
      </c>
      <c r="W710">
        <v>31.77</v>
      </c>
      <c r="Y710">
        <v>13.48</v>
      </c>
    </row>
    <row r="711" spans="1:25" x14ac:dyDescent="0.25">
      <c r="A711">
        <v>2006</v>
      </c>
      <c r="B711">
        <v>150</v>
      </c>
      <c r="C711">
        <v>2200</v>
      </c>
      <c r="D711" s="7">
        <v>-2.0249999999999999</v>
      </c>
      <c r="E711" s="7">
        <v>-49.11</v>
      </c>
      <c r="F711" s="7">
        <v>6.8360000000000003</v>
      </c>
      <c r="G711" s="7">
        <v>6.8730000000000002</v>
      </c>
      <c r="H711" s="7"/>
      <c r="I711" s="7"/>
      <c r="J711" s="7"/>
      <c r="K711" s="7">
        <v>1.4410000000000001</v>
      </c>
      <c r="L711" s="7">
        <v>0</v>
      </c>
      <c r="M711" s="7">
        <v>0</v>
      </c>
      <c r="N711" s="7"/>
      <c r="O711">
        <v>-11.42</v>
      </c>
      <c r="P711">
        <v>-10.85</v>
      </c>
      <c r="Q711">
        <v>13.46</v>
      </c>
      <c r="S711">
        <v>13.56</v>
      </c>
      <c r="T711">
        <v>0</v>
      </c>
      <c r="U711">
        <v>99.5</v>
      </c>
      <c r="V711">
        <v>776</v>
      </c>
      <c r="W711">
        <v>32.020000000000003</v>
      </c>
      <c r="Y711">
        <v>13.39</v>
      </c>
    </row>
    <row r="712" spans="1:25" x14ac:dyDescent="0.25">
      <c r="A712">
        <v>2006</v>
      </c>
      <c r="B712">
        <v>150</v>
      </c>
      <c r="C712">
        <v>2300</v>
      </c>
      <c r="D712" s="7">
        <v>-2.0459999999999998</v>
      </c>
      <c r="E712" s="7">
        <v>-50.48</v>
      </c>
      <c r="F712" s="7">
        <v>6.5469999999999997</v>
      </c>
      <c r="G712" s="7">
        <v>6.5949999999999998</v>
      </c>
      <c r="H712" s="7"/>
      <c r="I712" s="7"/>
      <c r="J712" s="7"/>
      <c r="K712" s="7">
        <v>1.873</v>
      </c>
      <c r="L712" s="7">
        <v>0</v>
      </c>
      <c r="M712" s="7">
        <v>0</v>
      </c>
      <c r="N712" s="7"/>
      <c r="O712">
        <v>-11.5</v>
      </c>
      <c r="P712">
        <v>-10.85</v>
      </c>
      <c r="Q712">
        <v>13.24</v>
      </c>
      <c r="S712">
        <v>13.46</v>
      </c>
      <c r="T712">
        <v>0</v>
      </c>
      <c r="U712">
        <v>99.3</v>
      </c>
      <c r="V712">
        <v>773</v>
      </c>
      <c r="W712">
        <v>31.9</v>
      </c>
      <c r="Y712">
        <v>13.32</v>
      </c>
    </row>
    <row r="713" spans="1:25" x14ac:dyDescent="0.25">
      <c r="A713">
        <v>2006</v>
      </c>
      <c r="B713">
        <v>150</v>
      </c>
      <c r="C713">
        <v>2400</v>
      </c>
      <c r="D713" s="7">
        <v>-3.0579999999999998</v>
      </c>
      <c r="E713" s="7">
        <v>-66.91</v>
      </c>
      <c r="F713" s="7">
        <v>6.0750000000000002</v>
      </c>
      <c r="G713" s="7">
        <v>6.141</v>
      </c>
      <c r="H713" s="7"/>
      <c r="I713" s="7"/>
      <c r="J713" s="7"/>
      <c r="K713" s="7">
        <v>2.2120000000000002</v>
      </c>
      <c r="L713" s="7">
        <v>0</v>
      </c>
      <c r="M713" s="7">
        <v>0</v>
      </c>
      <c r="N713" s="7"/>
      <c r="O713">
        <v>-11.5</v>
      </c>
      <c r="P713">
        <v>-10.85</v>
      </c>
      <c r="Q713">
        <v>13.06</v>
      </c>
      <c r="S713">
        <v>13.33</v>
      </c>
      <c r="T713">
        <v>0</v>
      </c>
      <c r="U713">
        <v>99.1</v>
      </c>
      <c r="V713">
        <v>774</v>
      </c>
      <c r="W713">
        <v>31.93</v>
      </c>
      <c r="Y713">
        <v>13.25</v>
      </c>
    </row>
    <row r="714" spans="1:25" x14ac:dyDescent="0.25">
      <c r="A714">
        <v>2006</v>
      </c>
      <c r="B714">
        <v>151</v>
      </c>
      <c r="C714">
        <v>100</v>
      </c>
      <c r="D714" s="7">
        <v>-3.39</v>
      </c>
      <c r="E714" s="7">
        <v>-67.55</v>
      </c>
      <c r="F714" s="7">
        <v>5.3</v>
      </c>
      <c r="G714" s="7">
        <v>5.2450000000000001</v>
      </c>
      <c r="H714" s="7"/>
      <c r="I714" s="7"/>
      <c r="J714" s="7"/>
      <c r="K714" s="7">
        <v>1.4119999999999999</v>
      </c>
      <c r="L714" s="7">
        <v>0</v>
      </c>
      <c r="M714" s="7">
        <v>0</v>
      </c>
      <c r="N714" s="7"/>
      <c r="O714">
        <v>-11.5</v>
      </c>
      <c r="P714">
        <v>-10.85</v>
      </c>
      <c r="Q714">
        <v>12.85</v>
      </c>
      <c r="S714">
        <v>13.16</v>
      </c>
      <c r="T714">
        <v>0</v>
      </c>
      <c r="U714">
        <v>100.9</v>
      </c>
      <c r="V714">
        <v>770</v>
      </c>
      <c r="W714">
        <v>31.73</v>
      </c>
      <c r="Y714">
        <v>13.18</v>
      </c>
    </row>
    <row r="715" spans="1:25" x14ac:dyDescent="0.25">
      <c r="A715">
        <v>2006</v>
      </c>
      <c r="B715">
        <v>151</v>
      </c>
      <c r="C715">
        <v>200</v>
      </c>
      <c r="D715" s="7">
        <v>-2.9550000000000001</v>
      </c>
      <c r="E715" s="7">
        <v>-54.16</v>
      </c>
      <c r="F715" s="7">
        <v>4.0119999999999996</v>
      </c>
      <c r="G715" s="7">
        <v>3.8769999999999998</v>
      </c>
      <c r="H715" s="7"/>
      <c r="I715" s="7"/>
      <c r="J715" s="7"/>
      <c r="K715" s="7">
        <v>0.61799999999999999</v>
      </c>
      <c r="L715" s="7">
        <v>236.3</v>
      </c>
      <c r="M715" s="7">
        <v>0</v>
      </c>
      <c r="N715" s="7"/>
      <c r="O715">
        <v>-11.5</v>
      </c>
      <c r="P715">
        <v>-10.85</v>
      </c>
      <c r="Q715">
        <v>12.6</v>
      </c>
      <c r="S715">
        <v>12.97</v>
      </c>
      <c r="T715">
        <v>0</v>
      </c>
      <c r="U715">
        <v>102.1</v>
      </c>
      <c r="V715">
        <v>771</v>
      </c>
      <c r="W715">
        <v>31.8</v>
      </c>
      <c r="Y715">
        <v>13.12</v>
      </c>
    </row>
    <row r="716" spans="1:25" x14ac:dyDescent="0.25">
      <c r="A716">
        <v>2006</v>
      </c>
      <c r="B716">
        <v>151</v>
      </c>
      <c r="C716">
        <v>300</v>
      </c>
      <c r="D716" s="7">
        <v>-3.2709999999999999</v>
      </c>
      <c r="E716" s="7">
        <v>-60.95</v>
      </c>
      <c r="F716" s="7">
        <v>3.5369999999999999</v>
      </c>
      <c r="G716" s="7">
        <v>3.4710000000000001</v>
      </c>
      <c r="H716" s="7"/>
      <c r="I716" s="7"/>
      <c r="J716" s="7"/>
      <c r="K716" s="7">
        <v>0.68100000000000005</v>
      </c>
      <c r="L716" s="7">
        <v>280.60000000000002</v>
      </c>
      <c r="M716" s="7">
        <v>0</v>
      </c>
      <c r="N716" s="7"/>
      <c r="O716">
        <v>-11.5</v>
      </c>
      <c r="P716">
        <v>-10.85</v>
      </c>
      <c r="Q716">
        <v>12.4</v>
      </c>
      <c r="S716">
        <v>12.82</v>
      </c>
      <c r="T716">
        <v>0</v>
      </c>
      <c r="U716">
        <v>101</v>
      </c>
      <c r="V716">
        <v>770</v>
      </c>
      <c r="W716">
        <v>31.75</v>
      </c>
      <c r="Y716">
        <v>13.06</v>
      </c>
    </row>
    <row r="717" spans="1:25" x14ac:dyDescent="0.25">
      <c r="A717">
        <v>2006</v>
      </c>
      <c r="B717">
        <v>151</v>
      </c>
      <c r="C717">
        <v>400</v>
      </c>
      <c r="D717" s="7">
        <v>-1.831</v>
      </c>
      <c r="E717" s="7">
        <v>-50.5</v>
      </c>
      <c r="F717" s="7">
        <v>1.984</v>
      </c>
      <c r="G717" s="7">
        <v>1.9410000000000001</v>
      </c>
      <c r="H717" s="7"/>
      <c r="I717" s="7"/>
      <c r="J717" s="7"/>
      <c r="K717" s="7">
        <v>0.45500000000000002</v>
      </c>
      <c r="L717" s="7">
        <v>259.89999999999998</v>
      </c>
      <c r="M717" s="7">
        <v>0</v>
      </c>
      <c r="N717" s="7"/>
      <c r="O717">
        <v>-9.19</v>
      </c>
      <c r="P717">
        <v>-10.039999999999999</v>
      </c>
      <c r="Q717">
        <v>12.14</v>
      </c>
      <c r="S717">
        <v>12.63</v>
      </c>
      <c r="T717">
        <v>0</v>
      </c>
      <c r="U717">
        <v>100.8</v>
      </c>
      <c r="V717">
        <v>770</v>
      </c>
      <c r="W717">
        <v>31.76</v>
      </c>
      <c r="Y717">
        <v>13</v>
      </c>
    </row>
    <row r="718" spans="1:25" x14ac:dyDescent="0.25">
      <c r="A718">
        <v>2006</v>
      </c>
      <c r="B718">
        <v>151</v>
      </c>
      <c r="C718">
        <v>500</v>
      </c>
      <c r="D718" s="7">
        <v>22.01</v>
      </c>
      <c r="E718" s="7">
        <v>-23.6</v>
      </c>
      <c r="F718" s="7">
        <v>1.482</v>
      </c>
      <c r="G718" s="7">
        <v>1.411</v>
      </c>
      <c r="H718" s="7"/>
      <c r="I718" s="7"/>
      <c r="J718" s="7"/>
      <c r="K718" s="7">
        <v>0.84599999999999997</v>
      </c>
      <c r="L718" s="7">
        <v>292</v>
      </c>
      <c r="M718" s="7">
        <v>0</v>
      </c>
      <c r="N718" s="7"/>
      <c r="O718">
        <v>20.83</v>
      </c>
      <c r="P718">
        <v>1.181</v>
      </c>
      <c r="Q718">
        <v>11.86</v>
      </c>
      <c r="S718">
        <v>12.41</v>
      </c>
      <c r="T718">
        <v>0</v>
      </c>
      <c r="U718">
        <v>101.3</v>
      </c>
      <c r="V718">
        <v>770</v>
      </c>
      <c r="W718">
        <v>31.74</v>
      </c>
      <c r="Y718">
        <v>12.97</v>
      </c>
    </row>
    <row r="719" spans="1:25" x14ac:dyDescent="0.25">
      <c r="A719">
        <v>2006</v>
      </c>
      <c r="B719">
        <v>151</v>
      </c>
      <c r="C719">
        <v>600</v>
      </c>
      <c r="D719" s="7">
        <v>126.3</v>
      </c>
      <c r="E719" s="7">
        <v>57.27</v>
      </c>
      <c r="F719" s="7">
        <v>5.0339999999999998</v>
      </c>
      <c r="G719" s="7">
        <v>5.3209999999999997</v>
      </c>
      <c r="H719" s="7"/>
      <c r="I719" s="7"/>
      <c r="J719" s="7"/>
      <c r="K719" s="7">
        <v>1.5920000000000001</v>
      </c>
      <c r="L719" s="7">
        <v>315.39999999999998</v>
      </c>
      <c r="M719" s="7">
        <v>0</v>
      </c>
      <c r="N719" s="7"/>
      <c r="O719">
        <v>157</v>
      </c>
      <c r="P719">
        <v>58.1</v>
      </c>
      <c r="Q719">
        <v>11.64</v>
      </c>
      <c r="S719">
        <v>12.26</v>
      </c>
      <c r="T719">
        <v>0</v>
      </c>
      <c r="U719">
        <v>95.9</v>
      </c>
      <c r="V719">
        <v>770</v>
      </c>
      <c r="W719">
        <v>31.72</v>
      </c>
      <c r="Y719">
        <v>13.3</v>
      </c>
    </row>
    <row r="720" spans="1:25" x14ac:dyDescent="0.25">
      <c r="A720">
        <v>2006</v>
      </c>
      <c r="B720">
        <v>151</v>
      </c>
      <c r="C720">
        <v>700</v>
      </c>
      <c r="D720" s="7">
        <v>190.4</v>
      </c>
      <c r="E720" s="7">
        <v>107</v>
      </c>
      <c r="F720" s="7">
        <v>6.9340000000000002</v>
      </c>
      <c r="G720" s="7">
        <v>7.32</v>
      </c>
      <c r="H720" s="7"/>
      <c r="I720" s="7"/>
      <c r="J720" s="7"/>
      <c r="K720" s="7">
        <v>1.6160000000000001</v>
      </c>
      <c r="L720" s="7">
        <v>328.1</v>
      </c>
      <c r="M720" s="7">
        <v>0</v>
      </c>
      <c r="N720" s="7"/>
      <c r="O720">
        <v>249.5</v>
      </c>
      <c r="P720">
        <v>77.7</v>
      </c>
      <c r="Q720">
        <v>11.51</v>
      </c>
      <c r="S720">
        <v>12.14</v>
      </c>
      <c r="T720">
        <v>0</v>
      </c>
      <c r="U720">
        <v>94.9</v>
      </c>
      <c r="V720">
        <v>769</v>
      </c>
      <c r="W720">
        <v>31.69</v>
      </c>
      <c r="Y720">
        <v>13.77</v>
      </c>
    </row>
    <row r="721" spans="1:25" x14ac:dyDescent="0.25">
      <c r="A721">
        <v>2006</v>
      </c>
      <c r="B721">
        <v>151</v>
      </c>
      <c r="C721">
        <v>800</v>
      </c>
      <c r="D721" s="7">
        <v>234.7</v>
      </c>
      <c r="E721" s="7">
        <v>130.6</v>
      </c>
      <c r="F721" s="7">
        <v>7.9</v>
      </c>
      <c r="G721" s="7">
        <v>8.1300000000000008</v>
      </c>
      <c r="H721" s="7"/>
      <c r="I721" s="7"/>
      <c r="J721" s="7"/>
      <c r="K721" s="7">
        <v>1.673</v>
      </c>
      <c r="L721" s="7">
        <v>333.7</v>
      </c>
      <c r="M721" s="7">
        <v>0</v>
      </c>
      <c r="N721" s="7"/>
      <c r="O721">
        <v>294.2</v>
      </c>
      <c r="P721">
        <v>87.1</v>
      </c>
      <c r="Q721">
        <v>11.47</v>
      </c>
      <c r="S721">
        <v>11.98</v>
      </c>
      <c r="T721">
        <v>0</v>
      </c>
      <c r="U721">
        <v>96.9</v>
      </c>
      <c r="V721">
        <v>768</v>
      </c>
      <c r="W721">
        <v>31.66</v>
      </c>
      <c r="Y721">
        <v>13.95</v>
      </c>
    </row>
    <row r="722" spans="1:25" x14ac:dyDescent="0.25">
      <c r="A722">
        <v>2006</v>
      </c>
      <c r="B722">
        <v>151</v>
      </c>
      <c r="C722">
        <v>900</v>
      </c>
      <c r="D722" s="7">
        <v>367.2</v>
      </c>
      <c r="E722" s="7">
        <v>222.4</v>
      </c>
      <c r="F722" s="7">
        <v>9.1300000000000008</v>
      </c>
      <c r="G722" s="7">
        <v>9.14</v>
      </c>
      <c r="H722" s="7">
        <f>AVERAGE(G722:G745)</f>
        <v>11.537083333333333</v>
      </c>
      <c r="I722" s="7">
        <f>MIN(G722:G745)</f>
        <v>8.07</v>
      </c>
      <c r="J722" s="7">
        <f>MAX(G722:G745)</f>
        <v>15.81</v>
      </c>
      <c r="K722" s="7">
        <v>2.2269999999999999</v>
      </c>
      <c r="L722" s="7">
        <v>320.10000000000002</v>
      </c>
      <c r="M722" s="7">
        <v>0</v>
      </c>
      <c r="N722" s="7">
        <f>SUM(M722:M745)</f>
        <v>0</v>
      </c>
      <c r="O722">
        <v>464.6</v>
      </c>
      <c r="P722">
        <v>135.1</v>
      </c>
      <c r="Q722">
        <v>11.52</v>
      </c>
      <c r="S722">
        <v>11.88</v>
      </c>
      <c r="T722">
        <v>0</v>
      </c>
      <c r="U722">
        <v>99.8</v>
      </c>
      <c r="V722">
        <v>768</v>
      </c>
      <c r="W722">
        <v>31.62</v>
      </c>
      <c r="Y722">
        <v>14.25</v>
      </c>
    </row>
    <row r="723" spans="1:25" x14ac:dyDescent="0.25">
      <c r="A723">
        <v>2006</v>
      </c>
      <c r="B723">
        <v>151</v>
      </c>
      <c r="C723">
        <v>1000</v>
      </c>
      <c r="D723" s="7">
        <v>678.5</v>
      </c>
      <c r="E723" s="7">
        <v>427.5</v>
      </c>
      <c r="F723" s="7">
        <v>11.25</v>
      </c>
      <c r="G723" s="7">
        <v>11.28</v>
      </c>
      <c r="H723" s="7"/>
      <c r="I723" s="7"/>
      <c r="J723" s="7"/>
      <c r="K723" s="7">
        <v>2.4740000000000002</v>
      </c>
      <c r="L723" s="7">
        <v>314.60000000000002</v>
      </c>
      <c r="M723" s="7">
        <v>0</v>
      </c>
      <c r="N723" s="7"/>
      <c r="O723">
        <v>877</v>
      </c>
      <c r="P723">
        <v>228.8</v>
      </c>
      <c r="Q723">
        <v>11.67</v>
      </c>
      <c r="S723">
        <v>11.87</v>
      </c>
      <c r="T723">
        <v>0</v>
      </c>
      <c r="U723">
        <v>99.7</v>
      </c>
      <c r="V723">
        <v>767</v>
      </c>
      <c r="W723">
        <v>31.6</v>
      </c>
      <c r="Y723">
        <v>14.68</v>
      </c>
    </row>
    <row r="724" spans="1:25" x14ac:dyDescent="0.25">
      <c r="A724">
        <v>2006</v>
      </c>
      <c r="B724">
        <v>151</v>
      </c>
      <c r="C724">
        <v>1100</v>
      </c>
      <c r="D724" s="7">
        <v>757</v>
      </c>
      <c r="E724" s="7">
        <v>464.5</v>
      </c>
      <c r="F724" s="7">
        <v>12.83</v>
      </c>
      <c r="G724" s="7">
        <v>12.8</v>
      </c>
      <c r="H724" s="7"/>
      <c r="I724" s="7"/>
      <c r="J724" s="7"/>
      <c r="K724" s="7">
        <v>2.3540000000000001</v>
      </c>
      <c r="L724" s="7">
        <v>336.5</v>
      </c>
      <c r="M724" s="7">
        <v>0</v>
      </c>
      <c r="N724" s="7"/>
      <c r="O724">
        <v>958</v>
      </c>
      <c r="P724">
        <v>239</v>
      </c>
      <c r="Q724">
        <v>11.9</v>
      </c>
      <c r="S724">
        <v>11.87</v>
      </c>
      <c r="T724">
        <v>0</v>
      </c>
      <c r="U724">
        <v>100.4</v>
      </c>
      <c r="V724">
        <v>766</v>
      </c>
      <c r="W724">
        <v>31.56</v>
      </c>
      <c r="Y724">
        <v>14.49</v>
      </c>
    </row>
    <row r="725" spans="1:25" x14ac:dyDescent="0.25">
      <c r="A725">
        <v>2006</v>
      </c>
      <c r="B725">
        <v>151</v>
      </c>
      <c r="C725">
        <v>1200</v>
      </c>
      <c r="D725" s="7">
        <v>818</v>
      </c>
      <c r="E725" s="7">
        <v>489.4</v>
      </c>
      <c r="F725" s="7">
        <v>13.73</v>
      </c>
      <c r="G725" s="7">
        <v>13.61</v>
      </c>
      <c r="H725" s="7"/>
      <c r="I725" s="7"/>
      <c r="J725" s="7"/>
      <c r="K725" s="7">
        <v>2.379</v>
      </c>
      <c r="L725" s="7">
        <v>0</v>
      </c>
      <c r="M725" s="7">
        <v>0</v>
      </c>
      <c r="N725" s="7"/>
      <c r="O725">
        <v>1028</v>
      </c>
      <c r="P725">
        <v>240.4</v>
      </c>
      <c r="Q725">
        <v>12.22</v>
      </c>
      <c r="S725">
        <v>11.95</v>
      </c>
      <c r="T725">
        <v>0</v>
      </c>
      <c r="U725">
        <v>101.4</v>
      </c>
      <c r="V725">
        <v>765</v>
      </c>
      <c r="W725">
        <v>31.48</v>
      </c>
      <c r="Y725">
        <v>14.1</v>
      </c>
    </row>
    <row r="726" spans="1:25" x14ac:dyDescent="0.25">
      <c r="A726">
        <v>2006</v>
      </c>
      <c r="B726">
        <v>151</v>
      </c>
      <c r="C726">
        <v>1300</v>
      </c>
      <c r="D726" s="7">
        <v>704</v>
      </c>
      <c r="E726" s="7">
        <v>401.5</v>
      </c>
      <c r="F726" s="7">
        <v>13.85</v>
      </c>
      <c r="G726" s="7">
        <v>13.74</v>
      </c>
      <c r="H726" s="7"/>
      <c r="I726" s="7"/>
      <c r="J726" s="7"/>
      <c r="K726" s="7">
        <v>2.5550000000000002</v>
      </c>
      <c r="L726" s="7">
        <v>0</v>
      </c>
      <c r="M726" s="7">
        <v>0</v>
      </c>
      <c r="N726" s="7"/>
      <c r="O726">
        <v>873</v>
      </c>
      <c r="P726">
        <v>213.7</v>
      </c>
      <c r="Q726">
        <v>12.59</v>
      </c>
      <c r="S726">
        <v>12.14</v>
      </c>
      <c r="T726">
        <v>0</v>
      </c>
      <c r="U726">
        <v>101.2</v>
      </c>
      <c r="V726">
        <v>763</v>
      </c>
      <c r="W726">
        <v>31.41</v>
      </c>
      <c r="Y726">
        <v>14.24</v>
      </c>
    </row>
    <row r="727" spans="1:25" x14ac:dyDescent="0.25">
      <c r="A727">
        <v>2006</v>
      </c>
      <c r="B727">
        <v>151</v>
      </c>
      <c r="C727">
        <v>1400</v>
      </c>
      <c r="D727" s="7">
        <v>814</v>
      </c>
      <c r="E727" s="7">
        <v>478.2</v>
      </c>
      <c r="F727" s="7">
        <v>15.34</v>
      </c>
      <c r="G727" s="7">
        <v>15.07</v>
      </c>
      <c r="H727" s="7"/>
      <c r="I727" s="7"/>
      <c r="J727" s="7"/>
      <c r="K727" s="7">
        <v>2.3130000000000002</v>
      </c>
      <c r="L727" s="7">
        <v>0</v>
      </c>
      <c r="M727" s="7">
        <v>0</v>
      </c>
      <c r="N727" s="7"/>
      <c r="O727">
        <v>991</v>
      </c>
      <c r="P727">
        <v>260.89999999999998</v>
      </c>
      <c r="Q727">
        <v>12.98</v>
      </c>
      <c r="S727">
        <v>12.47</v>
      </c>
      <c r="T727">
        <v>0</v>
      </c>
      <c r="U727">
        <v>102.8</v>
      </c>
      <c r="V727">
        <v>762</v>
      </c>
      <c r="W727">
        <v>31.33</v>
      </c>
      <c r="Y727">
        <v>14.49</v>
      </c>
    </row>
    <row r="728" spans="1:25" x14ac:dyDescent="0.25">
      <c r="A728">
        <v>2006</v>
      </c>
      <c r="B728">
        <v>151</v>
      </c>
      <c r="C728">
        <v>1500</v>
      </c>
      <c r="D728" s="7">
        <v>559</v>
      </c>
      <c r="E728" s="7">
        <v>316.10000000000002</v>
      </c>
      <c r="F728" s="7">
        <v>14.96</v>
      </c>
      <c r="G728" s="7">
        <v>14.7</v>
      </c>
      <c r="H728" s="7"/>
      <c r="I728" s="7"/>
      <c r="J728" s="7"/>
      <c r="K728" s="7">
        <v>2.0369999999999999</v>
      </c>
      <c r="L728" s="7">
        <v>0</v>
      </c>
      <c r="M728" s="7">
        <v>0</v>
      </c>
      <c r="N728" s="7"/>
      <c r="O728">
        <v>694.3</v>
      </c>
      <c r="P728">
        <v>199.1</v>
      </c>
      <c r="Q728">
        <v>13.36</v>
      </c>
      <c r="S728">
        <v>12.75</v>
      </c>
      <c r="T728">
        <v>0</v>
      </c>
      <c r="U728">
        <v>102.8</v>
      </c>
      <c r="V728">
        <v>760</v>
      </c>
      <c r="W728">
        <v>31.25</v>
      </c>
      <c r="Y728">
        <v>14.22</v>
      </c>
    </row>
    <row r="729" spans="1:25" x14ac:dyDescent="0.25">
      <c r="A729">
        <v>2006</v>
      </c>
      <c r="B729">
        <v>151</v>
      </c>
      <c r="C729">
        <v>1600</v>
      </c>
      <c r="D729" s="7">
        <v>687.9</v>
      </c>
      <c r="E729" s="7">
        <v>402</v>
      </c>
      <c r="F729" s="7">
        <v>15.97</v>
      </c>
      <c r="G729" s="7">
        <v>15.7</v>
      </c>
      <c r="H729" s="7"/>
      <c r="I729" s="7"/>
      <c r="J729" s="7"/>
      <c r="K729" s="7">
        <v>2.1930000000000001</v>
      </c>
      <c r="L729" s="7">
        <v>0</v>
      </c>
      <c r="M729" s="7">
        <v>0</v>
      </c>
      <c r="N729" s="7"/>
      <c r="O729">
        <v>844</v>
      </c>
      <c r="P729">
        <v>258.89999999999998</v>
      </c>
      <c r="Q729">
        <v>13.73</v>
      </c>
      <c r="S729">
        <v>13.11</v>
      </c>
      <c r="T729">
        <v>0</v>
      </c>
      <c r="U729">
        <v>102.9</v>
      </c>
      <c r="V729">
        <v>759</v>
      </c>
      <c r="W729">
        <v>31.22</v>
      </c>
      <c r="Y729">
        <v>14.34</v>
      </c>
    </row>
    <row r="730" spans="1:25" x14ac:dyDescent="0.25">
      <c r="A730">
        <v>2006</v>
      </c>
      <c r="B730">
        <v>151</v>
      </c>
      <c r="C730">
        <v>1700</v>
      </c>
      <c r="D730" s="7">
        <v>507</v>
      </c>
      <c r="E730" s="7">
        <v>288.7</v>
      </c>
      <c r="F730" s="7">
        <v>16.11</v>
      </c>
      <c r="G730" s="7">
        <v>15.73</v>
      </c>
      <c r="H730" s="7"/>
      <c r="I730" s="7"/>
      <c r="J730" s="7"/>
      <c r="K730" s="7">
        <v>1.9159999999999999</v>
      </c>
      <c r="L730" s="7">
        <v>0</v>
      </c>
      <c r="M730" s="7">
        <v>0</v>
      </c>
      <c r="N730" s="7"/>
      <c r="O730">
        <v>628.79999999999995</v>
      </c>
      <c r="P730">
        <v>229.3</v>
      </c>
      <c r="Q730">
        <v>14.06</v>
      </c>
      <c r="S730">
        <v>13.46</v>
      </c>
      <c r="T730">
        <v>0</v>
      </c>
      <c r="U730">
        <v>103.9</v>
      </c>
      <c r="V730">
        <v>758</v>
      </c>
      <c r="W730">
        <v>31.14</v>
      </c>
      <c r="Y730">
        <v>14.06</v>
      </c>
    </row>
    <row r="731" spans="1:25" x14ac:dyDescent="0.25">
      <c r="A731">
        <v>2006</v>
      </c>
      <c r="B731">
        <v>151</v>
      </c>
      <c r="C731">
        <v>1800</v>
      </c>
      <c r="D731" s="7">
        <v>372</v>
      </c>
      <c r="E731" s="7">
        <v>205.2</v>
      </c>
      <c r="F731" s="7">
        <v>16.190000000000001</v>
      </c>
      <c r="G731" s="7">
        <v>15.81</v>
      </c>
      <c r="H731" s="7"/>
      <c r="I731" s="7"/>
      <c r="J731" s="7"/>
      <c r="K731" s="7">
        <v>1.5449999999999999</v>
      </c>
      <c r="L731" s="7">
        <v>0</v>
      </c>
      <c r="M731" s="7">
        <v>0</v>
      </c>
      <c r="N731" s="7"/>
      <c r="O731">
        <v>471.1</v>
      </c>
      <c r="P731">
        <v>196.6</v>
      </c>
      <c r="Q731">
        <v>14.31</v>
      </c>
      <c r="S731">
        <v>13.7</v>
      </c>
      <c r="T731">
        <v>0</v>
      </c>
      <c r="U731">
        <v>103.8</v>
      </c>
      <c r="V731">
        <v>759</v>
      </c>
      <c r="W731">
        <v>31.19</v>
      </c>
      <c r="Y731">
        <v>13.83</v>
      </c>
    </row>
    <row r="732" spans="1:25" x14ac:dyDescent="0.25">
      <c r="A732">
        <v>2006</v>
      </c>
      <c r="B732">
        <v>151</v>
      </c>
      <c r="C732">
        <v>1900</v>
      </c>
      <c r="D732" s="7">
        <v>99.3</v>
      </c>
      <c r="E732" s="7">
        <v>26.38</v>
      </c>
      <c r="F732" s="7">
        <v>14.83</v>
      </c>
      <c r="G732" s="7">
        <v>14.58</v>
      </c>
      <c r="H732" s="7"/>
      <c r="I732" s="7"/>
      <c r="J732" s="7"/>
      <c r="K732" s="7">
        <v>1.254</v>
      </c>
      <c r="L732" s="7">
        <v>0</v>
      </c>
      <c r="M732" s="7">
        <v>0</v>
      </c>
      <c r="N732" s="7"/>
      <c r="O732">
        <v>118.8</v>
      </c>
      <c r="P732">
        <v>35.01</v>
      </c>
      <c r="Q732">
        <v>14.45</v>
      </c>
      <c r="S732">
        <v>13.83</v>
      </c>
      <c r="T732">
        <v>0</v>
      </c>
      <c r="U732">
        <v>102.6</v>
      </c>
      <c r="V732">
        <v>759</v>
      </c>
      <c r="W732">
        <v>31.19</v>
      </c>
      <c r="Y732">
        <v>13.65</v>
      </c>
    </row>
    <row r="733" spans="1:25" x14ac:dyDescent="0.25">
      <c r="A733">
        <v>2006</v>
      </c>
      <c r="B733">
        <v>151</v>
      </c>
      <c r="C733">
        <v>2000</v>
      </c>
      <c r="D733" s="7">
        <v>52.54</v>
      </c>
      <c r="E733" s="7">
        <v>-12.26</v>
      </c>
      <c r="F733" s="7">
        <v>13.2</v>
      </c>
      <c r="G733" s="7">
        <v>12.94</v>
      </c>
      <c r="H733" s="7"/>
      <c r="I733" s="7"/>
      <c r="J733" s="7"/>
      <c r="K733" s="7">
        <v>1.2909999999999999</v>
      </c>
      <c r="L733" s="7">
        <v>0</v>
      </c>
      <c r="M733" s="7">
        <v>0</v>
      </c>
      <c r="N733" s="7"/>
      <c r="O733">
        <v>57</v>
      </c>
      <c r="P733">
        <v>13.24</v>
      </c>
      <c r="Q733">
        <v>14.51</v>
      </c>
      <c r="S733">
        <v>13.94</v>
      </c>
      <c r="T733">
        <v>0</v>
      </c>
      <c r="U733">
        <v>102.9</v>
      </c>
      <c r="V733">
        <v>758</v>
      </c>
      <c r="W733">
        <v>31.15</v>
      </c>
      <c r="Y733">
        <v>13.5</v>
      </c>
    </row>
    <row r="734" spans="1:25" x14ac:dyDescent="0.25">
      <c r="A734">
        <v>2006</v>
      </c>
      <c r="B734">
        <v>151</v>
      </c>
      <c r="C734">
        <v>2100</v>
      </c>
      <c r="D734" s="7">
        <v>8.59</v>
      </c>
      <c r="E734" s="7">
        <v>-43.23</v>
      </c>
      <c r="F734" s="7">
        <v>11.25</v>
      </c>
      <c r="G734" s="7">
        <v>11.09</v>
      </c>
      <c r="H734" s="7"/>
      <c r="I734" s="7"/>
      <c r="J734" s="7"/>
      <c r="K734" s="7">
        <v>0.57099999999999995</v>
      </c>
      <c r="L734" s="7">
        <v>52.07</v>
      </c>
      <c r="M734" s="7">
        <v>0</v>
      </c>
      <c r="N734" s="7"/>
      <c r="O734">
        <v>1.7649999999999999</v>
      </c>
      <c r="P734">
        <v>-6.5819999999999999</v>
      </c>
      <c r="Q734">
        <v>14.49</v>
      </c>
      <c r="S734">
        <v>14.02</v>
      </c>
      <c r="T734">
        <v>0</v>
      </c>
      <c r="U734">
        <v>101.9</v>
      </c>
      <c r="V734">
        <v>757</v>
      </c>
      <c r="W734">
        <v>31.12</v>
      </c>
      <c r="Y734">
        <v>13.39</v>
      </c>
    </row>
    <row r="735" spans="1:25" x14ac:dyDescent="0.25">
      <c r="A735">
        <v>2006</v>
      </c>
      <c r="B735">
        <v>151</v>
      </c>
      <c r="C735">
        <v>2200</v>
      </c>
      <c r="D735" s="7">
        <v>-1.01</v>
      </c>
      <c r="E735" s="7">
        <v>-27.66</v>
      </c>
      <c r="F735" s="7">
        <v>10.58</v>
      </c>
      <c r="G735" s="7">
        <v>10.35</v>
      </c>
      <c r="H735" s="7"/>
      <c r="I735" s="7"/>
      <c r="J735" s="7"/>
      <c r="K735" s="7">
        <v>0.52500000000000002</v>
      </c>
      <c r="L735" s="7">
        <v>74.8</v>
      </c>
      <c r="M735" s="7">
        <v>0</v>
      </c>
      <c r="N735" s="7"/>
      <c r="O735">
        <v>-12</v>
      </c>
      <c r="P735">
        <v>-11.44</v>
      </c>
      <c r="Q735">
        <v>14.4</v>
      </c>
      <c r="S735">
        <v>14.03</v>
      </c>
      <c r="T735">
        <v>0</v>
      </c>
      <c r="U735">
        <v>102.8</v>
      </c>
      <c r="V735">
        <v>758</v>
      </c>
      <c r="W735">
        <v>31.15</v>
      </c>
      <c r="Y735">
        <v>13.3</v>
      </c>
    </row>
    <row r="736" spans="1:25" x14ac:dyDescent="0.25">
      <c r="A736">
        <v>2006</v>
      </c>
      <c r="B736">
        <v>151</v>
      </c>
      <c r="C736">
        <v>2300</v>
      </c>
      <c r="D736" s="7">
        <v>-2.198</v>
      </c>
      <c r="E736" s="7">
        <v>-41.81</v>
      </c>
      <c r="F736" s="7">
        <v>9.8000000000000007</v>
      </c>
      <c r="G736" s="7">
        <v>9.49</v>
      </c>
      <c r="H736" s="7"/>
      <c r="I736" s="7"/>
      <c r="J736" s="7"/>
      <c r="K736" s="7">
        <v>0.247</v>
      </c>
      <c r="L736" s="7">
        <v>120.2</v>
      </c>
      <c r="M736" s="7">
        <v>0</v>
      </c>
      <c r="N736" s="7"/>
      <c r="O736">
        <v>-12.17</v>
      </c>
      <c r="P736">
        <v>-11.46</v>
      </c>
      <c r="Q736">
        <v>14.27</v>
      </c>
      <c r="S736">
        <v>14.01</v>
      </c>
      <c r="T736">
        <v>0</v>
      </c>
      <c r="U736">
        <v>103.9</v>
      </c>
      <c r="V736">
        <v>760</v>
      </c>
      <c r="W736">
        <v>31.26</v>
      </c>
      <c r="Y736">
        <v>13.23</v>
      </c>
    </row>
    <row r="737" spans="1:25" x14ac:dyDescent="0.25">
      <c r="A737">
        <v>2006</v>
      </c>
      <c r="B737">
        <v>151</v>
      </c>
      <c r="C737">
        <v>2400</v>
      </c>
      <c r="D737" s="7">
        <v>-2.2189999999999999</v>
      </c>
      <c r="E737" s="7">
        <v>-39.61</v>
      </c>
      <c r="F737" s="7">
        <v>8.44</v>
      </c>
      <c r="G737" s="7">
        <v>8.1</v>
      </c>
      <c r="H737" s="7"/>
      <c r="I737" s="7"/>
      <c r="J737" s="7"/>
      <c r="K737" s="7">
        <v>0.20100000000000001</v>
      </c>
      <c r="L737" s="7">
        <v>211.7</v>
      </c>
      <c r="M737" s="7">
        <v>0</v>
      </c>
      <c r="N737" s="7"/>
      <c r="O737">
        <v>-12.08</v>
      </c>
      <c r="P737">
        <v>-11.38</v>
      </c>
      <c r="Q737">
        <v>14.09</v>
      </c>
      <c r="S737">
        <v>13.93</v>
      </c>
      <c r="T737">
        <v>0</v>
      </c>
      <c r="U737">
        <v>104.5</v>
      </c>
      <c r="V737">
        <v>761</v>
      </c>
      <c r="W737">
        <v>31.31</v>
      </c>
      <c r="Y737">
        <v>13.16</v>
      </c>
    </row>
    <row r="738" spans="1:25" x14ac:dyDescent="0.25">
      <c r="A738">
        <v>2006</v>
      </c>
      <c r="B738">
        <v>152</v>
      </c>
      <c r="C738">
        <v>100</v>
      </c>
      <c r="D738" s="7">
        <v>-2.012</v>
      </c>
      <c r="E738" s="7">
        <v>-44.8</v>
      </c>
      <c r="F738" s="7">
        <v>8.9499999999999993</v>
      </c>
      <c r="G738" s="7">
        <v>8.91</v>
      </c>
      <c r="H738" s="7"/>
      <c r="I738" s="7"/>
      <c r="J738" s="7"/>
      <c r="K738" s="7">
        <v>0.59699999999999998</v>
      </c>
      <c r="L738" s="7">
        <v>234.4</v>
      </c>
      <c r="M738" s="7">
        <v>0</v>
      </c>
      <c r="N738" s="7"/>
      <c r="O738">
        <v>-11.75</v>
      </c>
      <c r="P738">
        <v>-11.11</v>
      </c>
      <c r="Q738">
        <v>13.92</v>
      </c>
      <c r="S738">
        <v>13.85</v>
      </c>
      <c r="T738">
        <v>0</v>
      </c>
      <c r="U738">
        <v>100.5</v>
      </c>
      <c r="V738">
        <v>762</v>
      </c>
      <c r="W738">
        <v>31.36</v>
      </c>
      <c r="Y738">
        <v>13.1</v>
      </c>
    </row>
    <row r="739" spans="1:25" x14ac:dyDescent="0.25">
      <c r="A739">
        <v>2006</v>
      </c>
      <c r="B739">
        <v>152</v>
      </c>
      <c r="C739">
        <v>200</v>
      </c>
      <c r="D739" s="7">
        <v>-1.71</v>
      </c>
      <c r="E739" s="7">
        <v>-33.1</v>
      </c>
      <c r="F739" s="7">
        <v>8.91</v>
      </c>
      <c r="G739" s="7">
        <v>8.89</v>
      </c>
      <c r="H739" s="7"/>
      <c r="I739" s="7"/>
      <c r="J739" s="7"/>
      <c r="K739" s="7">
        <v>1.3680000000000001</v>
      </c>
      <c r="L739" s="7">
        <v>249.6</v>
      </c>
      <c r="M739" s="7">
        <v>0</v>
      </c>
      <c r="N739" s="7"/>
      <c r="O739">
        <v>-11.56</v>
      </c>
      <c r="P739">
        <v>-10.94</v>
      </c>
      <c r="Q739">
        <v>13.75</v>
      </c>
      <c r="S739">
        <v>13.75</v>
      </c>
      <c r="T739">
        <v>0</v>
      </c>
      <c r="U739">
        <v>100.3</v>
      </c>
      <c r="V739">
        <v>765</v>
      </c>
      <c r="W739">
        <v>31.47</v>
      </c>
      <c r="Y739">
        <v>13.04</v>
      </c>
    </row>
    <row r="740" spans="1:25" x14ac:dyDescent="0.25">
      <c r="A740">
        <v>2006</v>
      </c>
      <c r="B740">
        <v>152</v>
      </c>
      <c r="C740">
        <v>300</v>
      </c>
      <c r="D740" s="7">
        <v>-1.3169999999999999</v>
      </c>
      <c r="E740" s="7">
        <v>-29.76</v>
      </c>
      <c r="F740" s="7">
        <v>8.83</v>
      </c>
      <c r="G740" s="7">
        <v>8.8800000000000008</v>
      </c>
      <c r="H740" s="7"/>
      <c r="I740" s="7"/>
      <c r="J740" s="7"/>
      <c r="K740" s="7">
        <v>1.369</v>
      </c>
      <c r="L740" s="7">
        <v>260.5</v>
      </c>
      <c r="M740" s="7">
        <v>0</v>
      </c>
      <c r="N740" s="7"/>
      <c r="O740">
        <v>-11.53</v>
      </c>
      <c r="P740">
        <v>-10.88</v>
      </c>
      <c r="Q740">
        <v>13.56</v>
      </c>
      <c r="S740">
        <v>13.61</v>
      </c>
      <c r="T740">
        <v>0</v>
      </c>
      <c r="U740">
        <v>99.4</v>
      </c>
      <c r="V740">
        <v>763</v>
      </c>
      <c r="W740">
        <v>31.42</v>
      </c>
      <c r="Y740">
        <v>12.99</v>
      </c>
    </row>
    <row r="741" spans="1:25" x14ac:dyDescent="0.25">
      <c r="A741">
        <v>2006</v>
      </c>
      <c r="B741">
        <v>152</v>
      </c>
      <c r="C741">
        <v>400</v>
      </c>
      <c r="D741" s="7">
        <v>-1.7310000000000001</v>
      </c>
      <c r="E741" s="7">
        <v>-49.22</v>
      </c>
      <c r="F741" s="7">
        <v>8.1</v>
      </c>
      <c r="G741" s="7">
        <v>8.1199999999999992</v>
      </c>
      <c r="H741" s="7"/>
      <c r="I741" s="7"/>
      <c r="J741" s="7"/>
      <c r="K741" s="7">
        <v>1.3440000000000001</v>
      </c>
      <c r="L741" s="7">
        <v>248.6</v>
      </c>
      <c r="M741" s="7">
        <v>0</v>
      </c>
      <c r="N741" s="7"/>
      <c r="O741">
        <v>-11.01</v>
      </c>
      <c r="P741">
        <v>-10.77</v>
      </c>
      <c r="Q741">
        <v>13.39</v>
      </c>
      <c r="S741">
        <v>13.46</v>
      </c>
      <c r="T741">
        <v>0</v>
      </c>
      <c r="U741">
        <v>99.8</v>
      </c>
      <c r="V741">
        <v>762</v>
      </c>
      <c r="W741">
        <v>31.35</v>
      </c>
      <c r="Y741">
        <v>12.95</v>
      </c>
    </row>
    <row r="742" spans="1:25" x14ac:dyDescent="0.25">
      <c r="A742">
        <v>2006</v>
      </c>
      <c r="B742">
        <v>152</v>
      </c>
      <c r="C742">
        <v>500</v>
      </c>
      <c r="D742" s="7">
        <v>12.94</v>
      </c>
      <c r="E742" s="7">
        <v>-38.049999999999997</v>
      </c>
      <c r="F742" s="7">
        <v>8.1300000000000008</v>
      </c>
      <c r="G742" s="7">
        <v>8.07</v>
      </c>
      <c r="H742" s="7"/>
      <c r="I742" s="7"/>
      <c r="J742" s="7"/>
      <c r="K742" s="7">
        <v>1.1870000000000001</v>
      </c>
      <c r="L742" s="7">
        <v>249.4</v>
      </c>
      <c r="M742" s="7">
        <v>0</v>
      </c>
      <c r="N742" s="7"/>
      <c r="O742">
        <v>6.0460000000000003</v>
      </c>
      <c r="P742">
        <v>-4.57</v>
      </c>
      <c r="Q742">
        <v>13.24</v>
      </c>
      <c r="S742">
        <v>13.32</v>
      </c>
      <c r="T742">
        <v>0</v>
      </c>
      <c r="U742">
        <v>100.7</v>
      </c>
      <c r="V742">
        <v>761</v>
      </c>
      <c r="W742">
        <v>31.3</v>
      </c>
      <c r="Y742">
        <v>12.92</v>
      </c>
    </row>
    <row r="743" spans="1:25" x14ac:dyDescent="0.25">
      <c r="A743">
        <v>2006</v>
      </c>
      <c r="B743">
        <v>152</v>
      </c>
      <c r="C743">
        <v>600</v>
      </c>
      <c r="D743" s="7">
        <v>84.1</v>
      </c>
      <c r="E743" s="7">
        <v>15.13</v>
      </c>
      <c r="F743" s="7">
        <v>8.7200000000000006</v>
      </c>
      <c r="G743" s="7">
        <v>8.7100000000000009</v>
      </c>
      <c r="H743" s="7"/>
      <c r="I743" s="7"/>
      <c r="J743" s="7"/>
      <c r="K743" s="7">
        <v>1.5580000000000001</v>
      </c>
      <c r="L743" s="7">
        <v>252.1</v>
      </c>
      <c r="M743" s="7">
        <v>0</v>
      </c>
      <c r="N743" s="7"/>
      <c r="O743">
        <v>97.4</v>
      </c>
      <c r="P743">
        <v>34.39</v>
      </c>
      <c r="Q743">
        <v>13.09</v>
      </c>
      <c r="S743">
        <v>13.23</v>
      </c>
      <c r="T743">
        <v>0</v>
      </c>
      <c r="U743">
        <v>100.2</v>
      </c>
      <c r="V743">
        <v>761</v>
      </c>
      <c r="W743">
        <v>31.29</v>
      </c>
      <c r="Y743">
        <v>13.06</v>
      </c>
    </row>
    <row r="744" spans="1:25" x14ac:dyDescent="0.25">
      <c r="A744">
        <v>2006</v>
      </c>
      <c r="B744">
        <v>152</v>
      </c>
      <c r="C744">
        <v>700</v>
      </c>
      <c r="D744" s="7">
        <v>141.69999999999999</v>
      </c>
      <c r="E744" s="7">
        <v>70.599999999999994</v>
      </c>
      <c r="F744" s="7">
        <v>9.6999999999999993</v>
      </c>
      <c r="G744" s="7">
        <v>9.81</v>
      </c>
      <c r="H744" s="7"/>
      <c r="I744" s="7"/>
      <c r="J744" s="7"/>
      <c r="K744" s="7">
        <v>1.8839999999999999</v>
      </c>
      <c r="L744" s="7">
        <v>286.8</v>
      </c>
      <c r="M744" s="7">
        <v>0</v>
      </c>
      <c r="N744" s="7"/>
      <c r="O744">
        <v>177.7</v>
      </c>
      <c r="P744">
        <v>58.25</v>
      </c>
      <c r="Q744">
        <v>12.96</v>
      </c>
      <c r="S744">
        <v>13.11</v>
      </c>
      <c r="T744">
        <v>0</v>
      </c>
      <c r="U744">
        <v>98.6</v>
      </c>
      <c r="V744">
        <v>760</v>
      </c>
      <c r="W744">
        <v>31.23</v>
      </c>
      <c r="Y744">
        <v>13.6</v>
      </c>
    </row>
    <row r="745" spans="1:25" x14ac:dyDescent="0.25">
      <c r="A745">
        <v>2006</v>
      </c>
      <c r="B745">
        <v>152</v>
      </c>
      <c r="C745">
        <v>800</v>
      </c>
      <c r="D745" s="7">
        <v>271.2</v>
      </c>
      <c r="E745" s="7">
        <v>170.9</v>
      </c>
      <c r="F745" s="7">
        <v>10.93</v>
      </c>
      <c r="G745" s="7">
        <v>11.37</v>
      </c>
      <c r="H745" s="7"/>
      <c r="I745" s="7"/>
      <c r="J745" s="7"/>
      <c r="K745" s="7">
        <v>2.847</v>
      </c>
      <c r="L745" s="7">
        <v>303.5</v>
      </c>
      <c r="M745" s="7">
        <v>0</v>
      </c>
      <c r="N745" s="7"/>
      <c r="O745">
        <v>350</v>
      </c>
      <c r="P745">
        <v>106.8</v>
      </c>
      <c r="Q745">
        <v>12.94</v>
      </c>
      <c r="S745">
        <v>13.03</v>
      </c>
      <c r="T745">
        <v>0</v>
      </c>
      <c r="U745">
        <v>94.9</v>
      </c>
      <c r="V745">
        <v>758</v>
      </c>
      <c r="W745">
        <v>31.18</v>
      </c>
      <c r="Y745">
        <v>14.02</v>
      </c>
    </row>
    <row r="746" spans="1:25" x14ac:dyDescent="0.25">
      <c r="A746">
        <v>2006</v>
      </c>
      <c r="B746">
        <v>152</v>
      </c>
      <c r="C746">
        <v>900</v>
      </c>
      <c r="D746" s="7">
        <v>403.9</v>
      </c>
      <c r="E746" s="7">
        <v>258.2</v>
      </c>
      <c r="F746" s="7">
        <v>12.14</v>
      </c>
      <c r="G746" s="7">
        <v>12.46</v>
      </c>
      <c r="H746" s="7">
        <f>AVERAGE(G746:G769)</f>
        <v>12.699875</v>
      </c>
      <c r="I746" s="7">
        <f>MIN(G746:G769)</f>
        <v>6.2709999999999999</v>
      </c>
      <c r="J746" s="7">
        <f>MAX(G746:G769)</f>
        <v>18.47</v>
      </c>
      <c r="K746" s="7">
        <v>2.9950000000000001</v>
      </c>
      <c r="L746" s="7">
        <v>355.8</v>
      </c>
      <c r="M746" s="7">
        <v>0</v>
      </c>
      <c r="N746" s="7">
        <f>SUM(M746:M769)</f>
        <v>0</v>
      </c>
      <c r="O746">
        <v>522</v>
      </c>
      <c r="P746">
        <v>150.69999999999999</v>
      </c>
      <c r="Q746">
        <v>12.97</v>
      </c>
      <c r="S746">
        <v>12.93</v>
      </c>
      <c r="T746">
        <v>0</v>
      </c>
      <c r="U746">
        <v>96.4</v>
      </c>
      <c r="V746">
        <v>757</v>
      </c>
      <c r="W746">
        <v>31.12</v>
      </c>
      <c r="Y746">
        <v>14.25</v>
      </c>
    </row>
    <row r="747" spans="1:25" x14ac:dyDescent="0.25">
      <c r="A747">
        <v>2006</v>
      </c>
      <c r="B747">
        <v>152</v>
      </c>
      <c r="C747">
        <v>1000</v>
      </c>
      <c r="D747" s="7">
        <v>440.4</v>
      </c>
      <c r="E747" s="7">
        <v>272.5</v>
      </c>
      <c r="F747" s="7">
        <v>13.58</v>
      </c>
      <c r="G747" s="7">
        <v>13.64</v>
      </c>
      <c r="H747" s="7"/>
      <c r="I747" s="7"/>
      <c r="J747" s="7"/>
      <c r="K747" s="7">
        <v>2.8740000000000001</v>
      </c>
      <c r="L747" s="7">
        <v>0</v>
      </c>
      <c r="M747" s="7">
        <v>0</v>
      </c>
      <c r="N747" s="7"/>
      <c r="O747">
        <v>562.1</v>
      </c>
      <c r="P747">
        <v>157.30000000000001</v>
      </c>
      <c r="Q747">
        <v>13.11</v>
      </c>
      <c r="S747">
        <v>12.91</v>
      </c>
      <c r="T747">
        <v>0</v>
      </c>
      <c r="U747">
        <v>99.3</v>
      </c>
      <c r="V747">
        <v>756</v>
      </c>
      <c r="W747">
        <v>31.08</v>
      </c>
      <c r="Y747">
        <v>14.29</v>
      </c>
    </row>
    <row r="748" spans="1:25" x14ac:dyDescent="0.25">
      <c r="A748">
        <v>2006</v>
      </c>
      <c r="B748">
        <v>152</v>
      </c>
      <c r="C748">
        <v>1100</v>
      </c>
      <c r="D748" s="7">
        <v>361.8</v>
      </c>
      <c r="E748" s="7">
        <v>212.6</v>
      </c>
      <c r="F748" s="7">
        <v>13.9</v>
      </c>
      <c r="G748" s="7">
        <v>13.88</v>
      </c>
      <c r="H748" s="7"/>
      <c r="I748" s="7"/>
      <c r="J748" s="7"/>
      <c r="K748" s="7">
        <v>2.5659999999999998</v>
      </c>
      <c r="L748" s="7">
        <v>0</v>
      </c>
      <c r="M748" s="7">
        <v>0</v>
      </c>
      <c r="N748" s="7"/>
      <c r="O748">
        <v>452.4</v>
      </c>
      <c r="P748">
        <v>127.3</v>
      </c>
      <c r="Q748">
        <v>13.27</v>
      </c>
      <c r="S748">
        <v>12.87</v>
      </c>
      <c r="T748">
        <v>0</v>
      </c>
      <c r="U748">
        <v>100.2</v>
      </c>
      <c r="V748">
        <v>755</v>
      </c>
      <c r="W748">
        <v>31.03</v>
      </c>
      <c r="Y748">
        <v>14.11</v>
      </c>
    </row>
    <row r="749" spans="1:25" x14ac:dyDescent="0.25">
      <c r="A749">
        <v>2006</v>
      </c>
      <c r="B749">
        <v>152</v>
      </c>
      <c r="C749">
        <v>1200</v>
      </c>
      <c r="D749" s="7">
        <v>704</v>
      </c>
      <c r="E749" s="7">
        <v>428.9</v>
      </c>
      <c r="F749" s="7">
        <v>15.8</v>
      </c>
      <c r="G749" s="7">
        <v>15.8</v>
      </c>
      <c r="H749" s="7"/>
      <c r="I749" s="7"/>
      <c r="J749" s="7"/>
      <c r="K749" s="7">
        <v>3.097</v>
      </c>
      <c r="L749" s="7">
        <v>0</v>
      </c>
      <c r="M749" s="7">
        <v>0</v>
      </c>
      <c r="N749" s="7"/>
      <c r="O749">
        <v>881</v>
      </c>
      <c r="P749">
        <v>217.1</v>
      </c>
      <c r="Q749">
        <v>13.52</v>
      </c>
      <c r="S749">
        <v>13.02</v>
      </c>
      <c r="T749">
        <v>0</v>
      </c>
      <c r="U749">
        <v>100</v>
      </c>
      <c r="V749">
        <v>756</v>
      </c>
      <c r="W749">
        <v>31.04</v>
      </c>
      <c r="Y749">
        <v>14.17</v>
      </c>
    </row>
    <row r="750" spans="1:25" x14ac:dyDescent="0.25">
      <c r="A750">
        <v>2006</v>
      </c>
      <c r="B750">
        <v>152</v>
      </c>
      <c r="C750">
        <v>1300</v>
      </c>
      <c r="D750" s="7">
        <v>786</v>
      </c>
      <c r="E750" s="7">
        <v>470.3</v>
      </c>
      <c r="F750" s="7">
        <v>17.079999999999998</v>
      </c>
      <c r="G750" s="7">
        <v>17.03</v>
      </c>
      <c r="H750" s="7"/>
      <c r="I750" s="7"/>
      <c r="J750" s="7"/>
      <c r="K750" s="7">
        <v>3.2690000000000001</v>
      </c>
      <c r="L750" s="7">
        <v>0</v>
      </c>
      <c r="M750" s="7">
        <v>0</v>
      </c>
      <c r="N750" s="7"/>
      <c r="O750">
        <v>973</v>
      </c>
      <c r="P750">
        <v>237.6</v>
      </c>
      <c r="Q750">
        <v>13.8</v>
      </c>
      <c r="S750">
        <v>13.17</v>
      </c>
      <c r="T750">
        <v>0</v>
      </c>
      <c r="U750">
        <v>100.6</v>
      </c>
      <c r="V750">
        <v>754</v>
      </c>
      <c r="W750">
        <v>30.95</v>
      </c>
      <c r="Y750">
        <v>14.18</v>
      </c>
    </row>
    <row r="751" spans="1:25" x14ac:dyDescent="0.25">
      <c r="A751">
        <v>2006</v>
      </c>
      <c r="B751">
        <v>152</v>
      </c>
      <c r="C751">
        <v>1400</v>
      </c>
      <c r="D751" s="7">
        <v>699.5</v>
      </c>
      <c r="E751" s="7">
        <v>395.9</v>
      </c>
      <c r="F751" s="7">
        <v>17.53</v>
      </c>
      <c r="G751" s="7">
        <v>17.46</v>
      </c>
      <c r="H751" s="7"/>
      <c r="I751" s="7"/>
      <c r="J751" s="7"/>
      <c r="K751" s="7">
        <v>3.3149999999999999</v>
      </c>
      <c r="L751" s="7">
        <v>0</v>
      </c>
      <c r="M751" s="7">
        <v>0</v>
      </c>
      <c r="N751" s="7"/>
      <c r="O751">
        <v>829</v>
      </c>
      <c r="P751">
        <v>213</v>
      </c>
      <c r="Q751">
        <v>14.15</v>
      </c>
      <c r="S751">
        <v>13.36</v>
      </c>
      <c r="T751">
        <v>0</v>
      </c>
      <c r="U751">
        <v>100.7</v>
      </c>
      <c r="V751">
        <v>754</v>
      </c>
      <c r="W751">
        <v>30.97</v>
      </c>
      <c r="Y751">
        <v>14.34</v>
      </c>
    </row>
    <row r="752" spans="1:25" x14ac:dyDescent="0.25">
      <c r="A752">
        <v>2006</v>
      </c>
      <c r="B752">
        <v>152</v>
      </c>
      <c r="C752">
        <v>1500</v>
      </c>
      <c r="D752" s="7">
        <v>654.9</v>
      </c>
      <c r="E752" s="7">
        <v>369.4</v>
      </c>
      <c r="F752" s="7">
        <v>18.03</v>
      </c>
      <c r="G752" s="7">
        <v>17.940000000000001</v>
      </c>
      <c r="H752" s="7"/>
      <c r="I752" s="7"/>
      <c r="J752" s="7"/>
      <c r="K752" s="7">
        <v>3.14</v>
      </c>
      <c r="L752" s="7">
        <v>0</v>
      </c>
      <c r="M752" s="7">
        <v>0</v>
      </c>
      <c r="N752" s="7"/>
      <c r="O752">
        <v>792</v>
      </c>
      <c r="P752">
        <v>201.4</v>
      </c>
      <c r="Q752">
        <v>14.55</v>
      </c>
      <c r="S752">
        <v>13.64</v>
      </c>
      <c r="T752">
        <v>0</v>
      </c>
      <c r="U752">
        <v>100.8</v>
      </c>
      <c r="V752">
        <v>750</v>
      </c>
      <c r="W752">
        <v>30.78</v>
      </c>
      <c r="Y752">
        <v>14.2</v>
      </c>
    </row>
    <row r="753" spans="1:25" x14ac:dyDescent="0.25">
      <c r="A753">
        <v>2006</v>
      </c>
      <c r="B753">
        <v>152</v>
      </c>
      <c r="C753">
        <v>1600</v>
      </c>
      <c r="D753" s="7">
        <v>687.9</v>
      </c>
      <c r="E753" s="7">
        <v>394.4</v>
      </c>
      <c r="F753" s="7">
        <v>18.61</v>
      </c>
      <c r="G753" s="7">
        <v>18.47</v>
      </c>
      <c r="H753" s="7"/>
      <c r="I753" s="7"/>
      <c r="J753" s="7"/>
      <c r="K753" s="7">
        <v>3.0009999999999999</v>
      </c>
      <c r="L753" s="7">
        <v>0</v>
      </c>
      <c r="M753" s="7">
        <v>0</v>
      </c>
      <c r="N753" s="7"/>
      <c r="O753">
        <v>834</v>
      </c>
      <c r="P753">
        <v>250.9</v>
      </c>
      <c r="Q753">
        <v>14.87</v>
      </c>
      <c r="S753">
        <v>13.93</v>
      </c>
      <c r="T753">
        <v>0</v>
      </c>
      <c r="U753">
        <v>101.3</v>
      </c>
      <c r="V753">
        <v>749</v>
      </c>
      <c r="W753">
        <v>30.73</v>
      </c>
      <c r="Y753">
        <v>14.33</v>
      </c>
    </row>
    <row r="754" spans="1:25" x14ac:dyDescent="0.25">
      <c r="A754">
        <v>2006</v>
      </c>
      <c r="B754">
        <v>152</v>
      </c>
      <c r="C754">
        <v>1700</v>
      </c>
      <c r="D754" s="7">
        <v>539.20000000000005</v>
      </c>
      <c r="E754" s="7">
        <v>301.60000000000002</v>
      </c>
      <c r="F754" s="7">
        <v>18.21</v>
      </c>
      <c r="G754" s="7">
        <v>18.07</v>
      </c>
      <c r="H754" s="7"/>
      <c r="I754" s="7"/>
      <c r="J754" s="7"/>
      <c r="K754" s="7">
        <v>3.3029999999999999</v>
      </c>
      <c r="L754" s="7">
        <v>0</v>
      </c>
      <c r="M754" s="7">
        <v>0</v>
      </c>
      <c r="N754" s="7"/>
      <c r="O754">
        <v>652.4</v>
      </c>
      <c r="P754">
        <v>252.2</v>
      </c>
      <c r="Q754">
        <v>15.15</v>
      </c>
      <c r="S754">
        <v>14.19</v>
      </c>
      <c r="T754">
        <v>0</v>
      </c>
      <c r="U754">
        <v>101.4</v>
      </c>
      <c r="V754">
        <v>748</v>
      </c>
      <c r="W754">
        <v>30.69</v>
      </c>
      <c r="Y754">
        <v>14.04</v>
      </c>
    </row>
    <row r="755" spans="1:25" x14ac:dyDescent="0.25">
      <c r="A755">
        <v>2006</v>
      </c>
      <c r="B755">
        <v>152</v>
      </c>
      <c r="C755">
        <v>1800</v>
      </c>
      <c r="D755" s="7">
        <v>369.5</v>
      </c>
      <c r="E755" s="7">
        <v>200</v>
      </c>
      <c r="F755" s="7">
        <v>17.71</v>
      </c>
      <c r="G755" s="7">
        <v>17.54</v>
      </c>
      <c r="H755" s="7"/>
      <c r="I755" s="7"/>
      <c r="J755" s="7"/>
      <c r="K755" s="7">
        <v>2.9260000000000002</v>
      </c>
      <c r="L755" s="7">
        <v>0</v>
      </c>
      <c r="M755" s="7">
        <v>0</v>
      </c>
      <c r="N755" s="7"/>
      <c r="O755">
        <v>458.3</v>
      </c>
      <c r="P755">
        <v>205.6</v>
      </c>
      <c r="Q755">
        <v>15.41</v>
      </c>
      <c r="S755">
        <v>14.42</v>
      </c>
      <c r="T755">
        <v>0</v>
      </c>
      <c r="U755">
        <v>101.7</v>
      </c>
      <c r="V755">
        <v>747</v>
      </c>
      <c r="W755">
        <v>30.65</v>
      </c>
      <c r="Y755">
        <v>13.77</v>
      </c>
    </row>
    <row r="756" spans="1:25" x14ac:dyDescent="0.25">
      <c r="A756">
        <v>2006</v>
      </c>
      <c r="B756">
        <v>152</v>
      </c>
      <c r="C756">
        <v>1900</v>
      </c>
      <c r="D756" s="7">
        <v>190.9</v>
      </c>
      <c r="E756" s="7">
        <v>86.3</v>
      </c>
      <c r="F756" s="7">
        <v>16.579999999999998</v>
      </c>
      <c r="G756" s="7">
        <v>16.399999999999999</v>
      </c>
      <c r="H756" s="7"/>
      <c r="I756" s="7"/>
      <c r="J756" s="7"/>
      <c r="K756" s="7">
        <v>1.9119999999999999</v>
      </c>
      <c r="L756" s="7">
        <v>0</v>
      </c>
      <c r="M756" s="7">
        <v>0</v>
      </c>
      <c r="N756" s="7"/>
      <c r="O756">
        <v>245.5</v>
      </c>
      <c r="P756">
        <v>118.2</v>
      </c>
      <c r="Q756">
        <v>15.56</v>
      </c>
      <c r="S756">
        <v>14.62</v>
      </c>
      <c r="T756">
        <v>0</v>
      </c>
      <c r="U756">
        <v>101.7</v>
      </c>
      <c r="V756">
        <v>747</v>
      </c>
      <c r="W756">
        <v>30.62</v>
      </c>
      <c r="Y756">
        <v>13.69</v>
      </c>
    </row>
    <row r="757" spans="1:25" x14ac:dyDescent="0.25">
      <c r="A757">
        <v>2006</v>
      </c>
      <c r="B757">
        <v>152</v>
      </c>
      <c r="C757">
        <v>2000</v>
      </c>
      <c r="D757" s="7">
        <v>76.8</v>
      </c>
      <c r="E757" s="7">
        <v>-0.93700000000000006</v>
      </c>
      <c r="F757" s="7">
        <v>14.89</v>
      </c>
      <c r="G757" s="7">
        <v>14.71</v>
      </c>
      <c r="H757" s="7"/>
      <c r="I757" s="7"/>
      <c r="J757" s="7"/>
      <c r="K757" s="7">
        <v>1.5329999999999999</v>
      </c>
      <c r="L757" s="7">
        <v>0</v>
      </c>
      <c r="M757" s="7">
        <v>0</v>
      </c>
      <c r="N757" s="7"/>
      <c r="O757">
        <v>91.7</v>
      </c>
      <c r="P757">
        <v>58.12</v>
      </c>
      <c r="Q757">
        <v>15.57</v>
      </c>
      <c r="S757">
        <v>14.7</v>
      </c>
      <c r="T757">
        <v>0</v>
      </c>
      <c r="U757">
        <v>101.9</v>
      </c>
      <c r="V757">
        <v>749</v>
      </c>
      <c r="W757">
        <v>30.73</v>
      </c>
      <c r="Y757">
        <v>13.55</v>
      </c>
    </row>
    <row r="758" spans="1:25" x14ac:dyDescent="0.25">
      <c r="A758">
        <v>2006</v>
      </c>
      <c r="B758">
        <v>152</v>
      </c>
      <c r="C758">
        <v>2100</v>
      </c>
      <c r="D758" s="7">
        <v>13.8</v>
      </c>
      <c r="E758" s="7">
        <v>-46.55</v>
      </c>
      <c r="F758" s="7">
        <v>13.03</v>
      </c>
      <c r="G758" s="7">
        <v>12.98</v>
      </c>
      <c r="H758" s="7"/>
      <c r="I758" s="7"/>
      <c r="J758" s="7"/>
      <c r="K758" s="7">
        <v>1.133</v>
      </c>
      <c r="L758" s="7">
        <v>0</v>
      </c>
      <c r="M758" s="7">
        <v>0</v>
      </c>
      <c r="N758" s="7"/>
      <c r="O758">
        <v>10.78</v>
      </c>
      <c r="P758">
        <v>1.0620000000000001</v>
      </c>
      <c r="Q758">
        <v>15.49</v>
      </c>
      <c r="S758">
        <v>14.73</v>
      </c>
      <c r="T758">
        <v>0</v>
      </c>
      <c r="U758">
        <v>100.5</v>
      </c>
      <c r="V758">
        <v>747</v>
      </c>
      <c r="W758">
        <v>30.64</v>
      </c>
      <c r="Y758">
        <v>13.42</v>
      </c>
    </row>
    <row r="759" spans="1:25" x14ac:dyDescent="0.25">
      <c r="A759">
        <v>2006</v>
      </c>
      <c r="B759">
        <v>152</v>
      </c>
      <c r="C759">
        <v>2200</v>
      </c>
      <c r="D759" s="7">
        <v>-3.2290000000000001</v>
      </c>
      <c r="E759" s="7">
        <v>-65.540000000000006</v>
      </c>
      <c r="F759" s="7">
        <v>10.56</v>
      </c>
      <c r="G759" s="7">
        <v>10.35</v>
      </c>
      <c r="H759" s="7"/>
      <c r="I759" s="7"/>
      <c r="J759" s="7"/>
      <c r="K759" s="7">
        <v>0.64800000000000002</v>
      </c>
      <c r="L759" s="7">
        <v>333.9</v>
      </c>
      <c r="M759" s="7">
        <v>0</v>
      </c>
      <c r="N759" s="7"/>
      <c r="O759">
        <v>-11.63</v>
      </c>
      <c r="P759">
        <v>-11.25</v>
      </c>
      <c r="Q759">
        <v>15.35</v>
      </c>
      <c r="S759">
        <v>14.71</v>
      </c>
      <c r="T759">
        <v>0</v>
      </c>
      <c r="U759">
        <v>102.6</v>
      </c>
      <c r="V759">
        <v>748</v>
      </c>
      <c r="W759">
        <v>30.66</v>
      </c>
      <c r="Y759">
        <v>13.32</v>
      </c>
    </row>
    <row r="760" spans="1:25" x14ac:dyDescent="0.25">
      <c r="A760">
        <v>2006</v>
      </c>
      <c r="B760">
        <v>152</v>
      </c>
      <c r="C760">
        <v>2300</v>
      </c>
      <c r="D760" s="7">
        <v>-3.544</v>
      </c>
      <c r="E760" s="7">
        <v>-62.8</v>
      </c>
      <c r="F760" s="7">
        <v>8.24</v>
      </c>
      <c r="G760" s="7">
        <v>7.92</v>
      </c>
      <c r="H760" s="7"/>
      <c r="I760" s="7"/>
      <c r="J760" s="7"/>
      <c r="K760" s="7">
        <v>0.42899999999999999</v>
      </c>
      <c r="L760" s="7">
        <v>243.7</v>
      </c>
      <c r="M760" s="7">
        <v>0</v>
      </c>
      <c r="N760" s="7"/>
      <c r="O760">
        <v>-12.17</v>
      </c>
      <c r="P760">
        <v>-11.46</v>
      </c>
      <c r="Q760">
        <v>15.14</v>
      </c>
      <c r="S760">
        <v>14.65</v>
      </c>
      <c r="T760">
        <v>0</v>
      </c>
      <c r="U760">
        <v>104.2</v>
      </c>
      <c r="V760">
        <v>749</v>
      </c>
      <c r="W760">
        <v>30.75</v>
      </c>
      <c r="Y760">
        <v>13.24</v>
      </c>
    </row>
    <row r="761" spans="1:25" x14ac:dyDescent="0.25">
      <c r="A761">
        <v>2006</v>
      </c>
      <c r="B761">
        <v>152</v>
      </c>
      <c r="C761">
        <v>2400</v>
      </c>
      <c r="D761" s="7">
        <v>-3.1480000000000001</v>
      </c>
      <c r="E761" s="7">
        <v>-51.78</v>
      </c>
      <c r="F761" s="7">
        <v>6.6609999999999996</v>
      </c>
      <c r="G761" s="7">
        <v>6.4359999999999999</v>
      </c>
      <c r="H761" s="7"/>
      <c r="I761" s="7"/>
      <c r="J761" s="7"/>
      <c r="K761" s="7">
        <v>0.192</v>
      </c>
      <c r="L761" s="7">
        <v>236.3</v>
      </c>
      <c r="M761" s="7">
        <v>0</v>
      </c>
      <c r="N761" s="7"/>
      <c r="O761">
        <v>-11.96</v>
      </c>
      <c r="P761">
        <v>-11.3</v>
      </c>
      <c r="Q761">
        <v>14.86</v>
      </c>
      <c r="S761">
        <v>14.55</v>
      </c>
      <c r="T761">
        <v>0</v>
      </c>
      <c r="U761">
        <v>103.1</v>
      </c>
      <c r="V761">
        <v>752</v>
      </c>
      <c r="W761">
        <v>30.85</v>
      </c>
      <c r="Y761">
        <v>13.17</v>
      </c>
    </row>
    <row r="762" spans="1:25" x14ac:dyDescent="0.25">
      <c r="A762">
        <v>2006</v>
      </c>
      <c r="B762">
        <v>153</v>
      </c>
      <c r="C762">
        <v>100</v>
      </c>
      <c r="D762" s="7">
        <v>-2.6680000000000001</v>
      </c>
      <c r="E762" s="7">
        <v>-40.36</v>
      </c>
      <c r="F762" s="7">
        <v>6.431</v>
      </c>
      <c r="G762" s="7">
        <v>6.2709999999999999</v>
      </c>
      <c r="H762" s="7"/>
      <c r="I762" s="7"/>
      <c r="J762" s="7"/>
      <c r="K762" s="7">
        <v>0.32600000000000001</v>
      </c>
      <c r="L762" s="7">
        <v>241</v>
      </c>
      <c r="M762" s="7">
        <v>0</v>
      </c>
      <c r="N762" s="7"/>
      <c r="O762">
        <v>-11.61</v>
      </c>
      <c r="P762">
        <v>-10.96</v>
      </c>
      <c r="Q762">
        <v>14.55</v>
      </c>
      <c r="S762">
        <v>14.42</v>
      </c>
      <c r="T762">
        <v>0</v>
      </c>
      <c r="U762">
        <v>102.3</v>
      </c>
      <c r="V762">
        <v>751</v>
      </c>
      <c r="W762">
        <v>30.82</v>
      </c>
      <c r="Y762">
        <v>13.11</v>
      </c>
    </row>
    <row r="763" spans="1:25" x14ac:dyDescent="0.25">
      <c r="A763">
        <v>2006</v>
      </c>
      <c r="B763">
        <v>153</v>
      </c>
      <c r="C763">
        <v>200</v>
      </c>
      <c r="D763" s="7">
        <v>-2.7490000000000001</v>
      </c>
      <c r="E763" s="7">
        <v>-32.36</v>
      </c>
      <c r="F763" s="7">
        <v>7.77</v>
      </c>
      <c r="G763" s="7">
        <v>7.75</v>
      </c>
      <c r="H763" s="7"/>
      <c r="I763" s="7"/>
      <c r="J763" s="7"/>
      <c r="K763" s="7">
        <v>1.0900000000000001</v>
      </c>
      <c r="L763" s="7">
        <v>256.10000000000002</v>
      </c>
      <c r="M763" s="7">
        <v>0</v>
      </c>
      <c r="N763" s="7"/>
      <c r="O763">
        <v>-11.51</v>
      </c>
      <c r="P763">
        <v>-10.85</v>
      </c>
      <c r="Q763">
        <v>14.26</v>
      </c>
      <c r="S763">
        <v>14.28</v>
      </c>
      <c r="T763">
        <v>0</v>
      </c>
      <c r="U763">
        <v>100.3</v>
      </c>
      <c r="V763">
        <v>750</v>
      </c>
      <c r="W763">
        <v>30.8</v>
      </c>
      <c r="Y763">
        <v>13.05</v>
      </c>
    </row>
    <row r="764" spans="1:25" x14ac:dyDescent="0.25">
      <c r="A764">
        <v>2006</v>
      </c>
      <c r="B764">
        <v>153</v>
      </c>
      <c r="C764">
        <v>300</v>
      </c>
      <c r="D764" s="7">
        <v>-2.8260000000000001</v>
      </c>
      <c r="E764" s="7">
        <v>-29.02</v>
      </c>
      <c r="F764" s="7">
        <v>7.99</v>
      </c>
      <c r="G764" s="7">
        <v>8.01</v>
      </c>
      <c r="H764" s="7"/>
      <c r="I764" s="7"/>
      <c r="J764" s="7"/>
      <c r="K764" s="7">
        <v>1.2689999999999999</v>
      </c>
      <c r="L764" s="7">
        <v>258.60000000000002</v>
      </c>
      <c r="M764" s="7">
        <v>0</v>
      </c>
      <c r="N764" s="7"/>
      <c r="O764">
        <v>-11.5</v>
      </c>
      <c r="P764">
        <v>-10.84</v>
      </c>
      <c r="Q764">
        <v>13.98</v>
      </c>
      <c r="S764">
        <v>14.1</v>
      </c>
      <c r="T764">
        <v>0</v>
      </c>
      <c r="U764">
        <v>99.9</v>
      </c>
      <c r="V764">
        <v>752</v>
      </c>
      <c r="W764">
        <v>30.89</v>
      </c>
      <c r="Y764">
        <v>13</v>
      </c>
    </row>
    <row r="765" spans="1:25" x14ac:dyDescent="0.25">
      <c r="A765">
        <v>2006</v>
      </c>
      <c r="B765">
        <v>153</v>
      </c>
      <c r="C765">
        <v>400</v>
      </c>
      <c r="D765" s="7">
        <v>-1.282</v>
      </c>
      <c r="E765" s="7">
        <v>-23.72</v>
      </c>
      <c r="F765" s="7">
        <v>7.94</v>
      </c>
      <c r="G765" s="7">
        <v>7.91</v>
      </c>
      <c r="H765" s="7"/>
      <c r="I765" s="7"/>
      <c r="J765" s="7"/>
      <c r="K765" s="7">
        <v>1.6970000000000001</v>
      </c>
      <c r="L765" s="7">
        <v>261.89999999999998</v>
      </c>
      <c r="M765" s="7">
        <v>0</v>
      </c>
      <c r="N765" s="7"/>
      <c r="O765">
        <v>-10.23</v>
      </c>
      <c r="P765">
        <v>-10.49</v>
      </c>
      <c r="Q765">
        <v>13.74</v>
      </c>
      <c r="S765">
        <v>13.92</v>
      </c>
      <c r="T765">
        <v>0</v>
      </c>
      <c r="U765">
        <v>100.4</v>
      </c>
      <c r="V765">
        <v>751</v>
      </c>
      <c r="W765">
        <v>30.82</v>
      </c>
      <c r="Y765">
        <v>12.95</v>
      </c>
    </row>
    <row r="766" spans="1:25" x14ac:dyDescent="0.25">
      <c r="A766">
        <v>2006</v>
      </c>
      <c r="B766">
        <v>153</v>
      </c>
      <c r="C766">
        <v>500</v>
      </c>
      <c r="D766" s="7">
        <v>18.61</v>
      </c>
      <c r="E766" s="7">
        <v>-8.5500000000000007</v>
      </c>
      <c r="F766" s="7">
        <v>8.2899999999999991</v>
      </c>
      <c r="G766" s="7">
        <v>8.33</v>
      </c>
      <c r="H766" s="7"/>
      <c r="I766" s="7"/>
      <c r="J766" s="7"/>
      <c r="K766" s="7">
        <v>1.4730000000000001</v>
      </c>
      <c r="L766" s="7">
        <v>267.7</v>
      </c>
      <c r="M766" s="7">
        <v>0</v>
      </c>
      <c r="N766" s="7"/>
      <c r="O766">
        <v>13.35</v>
      </c>
      <c r="P766">
        <v>-2.0499999999999998</v>
      </c>
      <c r="Q766">
        <v>13.54</v>
      </c>
      <c r="S766">
        <v>13.75</v>
      </c>
      <c r="T766">
        <v>0</v>
      </c>
      <c r="U766">
        <v>99.5</v>
      </c>
      <c r="V766">
        <v>750</v>
      </c>
      <c r="W766">
        <v>30.78</v>
      </c>
      <c r="Y766">
        <v>12.92</v>
      </c>
    </row>
    <row r="767" spans="1:25" x14ac:dyDescent="0.25">
      <c r="A767">
        <v>2006</v>
      </c>
      <c r="B767">
        <v>153</v>
      </c>
      <c r="C767">
        <v>600</v>
      </c>
      <c r="D767" s="7">
        <v>103.4</v>
      </c>
      <c r="E767" s="7">
        <v>61.72</v>
      </c>
      <c r="F767" s="7">
        <v>9.8000000000000007</v>
      </c>
      <c r="G767" s="7">
        <v>10.119999999999999</v>
      </c>
      <c r="H767" s="7"/>
      <c r="I767" s="7"/>
      <c r="J767" s="7"/>
      <c r="K767" s="7">
        <v>1.77</v>
      </c>
      <c r="L767" s="7">
        <v>287.7</v>
      </c>
      <c r="M767" s="7">
        <v>0</v>
      </c>
      <c r="N767" s="7"/>
      <c r="O767">
        <v>131.4</v>
      </c>
      <c r="P767">
        <v>45.67</v>
      </c>
      <c r="Q767">
        <v>13.36</v>
      </c>
      <c r="S767">
        <v>13.59</v>
      </c>
      <c r="T767">
        <v>0</v>
      </c>
      <c r="U767">
        <v>96.2</v>
      </c>
      <c r="V767">
        <v>748</v>
      </c>
      <c r="W767">
        <v>30.69</v>
      </c>
      <c r="Y767">
        <v>13.2</v>
      </c>
    </row>
    <row r="768" spans="1:25" x14ac:dyDescent="0.25">
      <c r="A768">
        <v>2006</v>
      </c>
      <c r="B768">
        <v>153</v>
      </c>
      <c r="C768">
        <v>700</v>
      </c>
      <c r="D768" s="7">
        <v>297</v>
      </c>
      <c r="E768" s="7">
        <v>224</v>
      </c>
      <c r="F768" s="7">
        <v>11.68</v>
      </c>
      <c r="G768" s="7">
        <v>12.22</v>
      </c>
      <c r="H768" s="7"/>
      <c r="I768" s="7"/>
      <c r="J768" s="7"/>
      <c r="K768" s="7">
        <v>2.5310000000000001</v>
      </c>
      <c r="L768" s="7">
        <v>301.2</v>
      </c>
      <c r="M768" s="7">
        <v>0</v>
      </c>
      <c r="N768" s="7"/>
      <c r="O768">
        <v>425.4</v>
      </c>
      <c r="P768">
        <v>157.4</v>
      </c>
      <c r="Q768">
        <v>13.32</v>
      </c>
      <c r="S768">
        <v>13.52</v>
      </c>
      <c r="T768">
        <v>0</v>
      </c>
      <c r="U768">
        <v>93.9</v>
      </c>
      <c r="V768">
        <v>748</v>
      </c>
      <c r="W768">
        <v>30.68</v>
      </c>
      <c r="Y768">
        <v>13.93</v>
      </c>
    </row>
    <row r="769" spans="1:25" x14ac:dyDescent="0.25">
      <c r="A769">
        <v>2006</v>
      </c>
      <c r="B769">
        <v>153</v>
      </c>
      <c r="C769">
        <v>800</v>
      </c>
      <c r="D769" s="7">
        <v>404.6</v>
      </c>
      <c r="E769" s="7">
        <v>275.5</v>
      </c>
      <c r="F769" s="7">
        <v>12.9</v>
      </c>
      <c r="G769" s="7">
        <v>13.1</v>
      </c>
      <c r="H769" s="7"/>
      <c r="I769" s="7"/>
      <c r="J769" s="7"/>
      <c r="K769" s="7">
        <v>2.7930000000000001</v>
      </c>
      <c r="L769" s="7">
        <v>305</v>
      </c>
      <c r="M769" s="7">
        <v>0</v>
      </c>
      <c r="N769" s="7"/>
      <c r="O769">
        <v>542.9</v>
      </c>
      <c r="P769">
        <v>176.5</v>
      </c>
      <c r="Q769">
        <v>13.37</v>
      </c>
      <c r="S769">
        <v>13.4</v>
      </c>
      <c r="T769">
        <v>0</v>
      </c>
      <c r="U769">
        <v>97.7</v>
      </c>
      <c r="V769">
        <v>747</v>
      </c>
      <c r="W769">
        <v>30.61</v>
      </c>
      <c r="Y769">
        <v>14.28</v>
      </c>
    </row>
    <row r="770" spans="1:25" x14ac:dyDescent="0.25">
      <c r="A770">
        <v>2006</v>
      </c>
      <c r="B770">
        <v>153</v>
      </c>
      <c r="C770">
        <v>900</v>
      </c>
      <c r="D770" s="7">
        <v>542.29999999999995</v>
      </c>
      <c r="E770" s="7">
        <v>353</v>
      </c>
      <c r="F770" s="7">
        <v>14.07</v>
      </c>
      <c r="G770" s="7">
        <v>14.05</v>
      </c>
      <c r="H770" s="7">
        <f>AVERAGE(G770:G793)</f>
        <v>12.809666666666667</v>
      </c>
      <c r="I770" s="7">
        <f>MIN(G770:G793)</f>
        <v>3.69</v>
      </c>
      <c r="J770" s="7">
        <f>MAX(G770:G793)</f>
        <v>20.66</v>
      </c>
      <c r="K770" s="7">
        <v>2.6840000000000002</v>
      </c>
      <c r="L770" s="7">
        <v>321.39999999999998</v>
      </c>
      <c r="M770" s="7">
        <v>0</v>
      </c>
      <c r="N770" s="7">
        <f>SUM(M770:M793)</f>
        <v>0</v>
      </c>
      <c r="O770">
        <v>697.9</v>
      </c>
      <c r="P770">
        <v>207.5</v>
      </c>
      <c r="Q770">
        <v>13.54</v>
      </c>
      <c r="S770">
        <v>13.33</v>
      </c>
      <c r="T770">
        <v>0</v>
      </c>
      <c r="U770">
        <v>100.3</v>
      </c>
      <c r="V770">
        <v>745</v>
      </c>
      <c r="W770">
        <v>30.56</v>
      </c>
      <c r="Y770">
        <v>14.58</v>
      </c>
    </row>
    <row r="771" spans="1:25" x14ac:dyDescent="0.25">
      <c r="A771">
        <v>2006</v>
      </c>
      <c r="B771">
        <v>153</v>
      </c>
      <c r="C771">
        <v>1000</v>
      </c>
      <c r="D771" s="7">
        <v>622.20000000000005</v>
      </c>
      <c r="E771" s="7">
        <v>379.3</v>
      </c>
      <c r="F771" s="7">
        <v>15.03</v>
      </c>
      <c r="G771" s="7">
        <v>15.04</v>
      </c>
      <c r="H771" s="7"/>
      <c r="I771" s="7"/>
      <c r="J771" s="7"/>
      <c r="K771" s="7">
        <v>2.492</v>
      </c>
      <c r="L771" s="7">
        <v>0</v>
      </c>
      <c r="M771" s="7">
        <v>0</v>
      </c>
      <c r="N771" s="7"/>
      <c r="O771">
        <v>796</v>
      </c>
      <c r="P771">
        <v>210.3</v>
      </c>
      <c r="Q771">
        <v>13.8</v>
      </c>
      <c r="S771">
        <v>13.34</v>
      </c>
      <c r="T771">
        <v>0</v>
      </c>
      <c r="U771">
        <v>99.9</v>
      </c>
      <c r="V771">
        <v>743</v>
      </c>
      <c r="W771">
        <v>30.47</v>
      </c>
      <c r="Y771">
        <v>14.56</v>
      </c>
    </row>
    <row r="772" spans="1:25" x14ac:dyDescent="0.25">
      <c r="A772">
        <v>2006</v>
      </c>
      <c r="B772">
        <v>153</v>
      </c>
      <c r="C772">
        <v>1100</v>
      </c>
      <c r="D772" s="7">
        <v>795</v>
      </c>
      <c r="E772" s="7">
        <v>485.9</v>
      </c>
      <c r="F772" s="7">
        <v>16.850000000000001</v>
      </c>
      <c r="G772" s="7">
        <v>16.829999999999998</v>
      </c>
      <c r="H772" s="7"/>
      <c r="I772" s="7"/>
      <c r="J772" s="7"/>
      <c r="K772" s="7">
        <v>2.3029999999999999</v>
      </c>
      <c r="L772" s="7">
        <v>0</v>
      </c>
      <c r="M772" s="7">
        <v>0</v>
      </c>
      <c r="N772" s="7"/>
      <c r="O772">
        <v>1001</v>
      </c>
      <c r="P772">
        <v>245.8</v>
      </c>
      <c r="Q772">
        <v>14.09</v>
      </c>
      <c r="S772">
        <v>13.44</v>
      </c>
      <c r="T772">
        <v>0</v>
      </c>
      <c r="U772">
        <v>100.2</v>
      </c>
      <c r="V772">
        <v>744</v>
      </c>
      <c r="W772">
        <v>30.51</v>
      </c>
      <c r="Y772">
        <v>14.45</v>
      </c>
    </row>
    <row r="773" spans="1:25" x14ac:dyDescent="0.25">
      <c r="A773">
        <v>2006</v>
      </c>
      <c r="B773">
        <v>153</v>
      </c>
      <c r="C773">
        <v>1200</v>
      </c>
      <c r="D773" s="7">
        <v>839</v>
      </c>
      <c r="E773" s="7">
        <v>492.8</v>
      </c>
      <c r="F773" s="7">
        <v>17.3</v>
      </c>
      <c r="G773" s="7">
        <v>17.190000000000001</v>
      </c>
      <c r="H773" s="7"/>
      <c r="I773" s="7"/>
      <c r="J773" s="7"/>
      <c r="K773" s="7">
        <v>2.5089999999999999</v>
      </c>
      <c r="L773" s="7">
        <v>0</v>
      </c>
      <c r="M773" s="7">
        <v>0</v>
      </c>
      <c r="N773" s="7"/>
      <c r="O773">
        <v>1045</v>
      </c>
      <c r="P773">
        <v>231.8</v>
      </c>
      <c r="Q773">
        <v>14.44</v>
      </c>
      <c r="S773">
        <v>13.61</v>
      </c>
      <c r="T773">
        <v>0</v>
      </c>
      <c r="U773">
        <v>101</v>
      </c>
      <c r="V773">
        <v>743</v>
      </c>
      <c r="W773">
        <v>30.43</v>
      </c>
      <c r="Y773">
        <v>13.95</v>
      </c>
    </row>
    <row r="774" spans="1:25" x14ac:dyDescent="0.25">
      <c r="A774">
        <v>2006</v>
      </c>
      <c r="B774">
        <v>153</v>
      </c>
      <c r="C774">
        <v>1300</v>
      </c>
      <c r="D774" s="7">
        <v>855</v>
      </c>
      <c r="E774" s="7">
        <v>490.9</v>
      </c>
      <c r="F774" s="7">
        <v>18.32</v>
      </c>
      <c r="G774" s="7">
        <v>18.21</v>
      </c>
      <c r="H774" s="7"/>
      <c r="I774" s="7"/>
      <c r="J774" s="7"/>
      <c r="K774" s="7">
        <v>2.4089999999999998</v>
      </c>
      <c r="L774" s="7">
        <v>0</v>
      </c>
      <c r="M774" s="7">
        <v>0</v>
      </c>
      <c r="N774" s="7"/>
      <c r="O774">
        <v>1053</v>
      </c>
      <c r="P774">
        <v>237.3</v>
      </c>
      <c r="Q774">
        <v>14.77</v>
      </c>
      <c r="S774">
        <v>13.84</v>
      </c>
      <c r="T774">
        <v>0</v>
      </c>
      <c r="U774">
        <v>101.1</v>
      </c>
      <c r="V774">
        <v>742</v>
      </c>
      <c r="W774">
        <v>30.42</v>
      </c>
      <c r="Y774">
        <v>14.01</v>
      </c>
    </row>
    <row r="775" spans="1:25" x14ac:dyDescent="0.25">
      <c r="A775">
        <v>2006</v>
      </c>
      <c r="B775">
        <v>153</v>
      </c>
      <c r="C775">
        <v>1400</v>
      </c>
      <c r="D775" s="7">
        <v>814</v>
      </c>
      <c r="E775" s="7">
        <v>453.5</v>
      </c>
      <c r="F775" s="7">
        <v>19.55</v>
      </c>
      <c r="G775" s="7">
        <v>19.399999999999999</v>
      </c>
      <c r="H775" s="7"/>
      <c r="I775" s="7"/>
      <c r="J775" s="7"/>
      <c r="K775" s="7">
        <v>2.2599999999999998</v>
      </c>
      <c r="L775" s="7">
        <v>0</v>
      </c>
      <c r="M775" s="7">
        <v>0</v>
      </c>
      <c r="N775" s="7"/>
      <c r="O775">
        <v>971</v>
      </c>
      <c r="P775">
        <v>230.8</v>
      </c>
      <c r="Q775">
        <v>15.19</v>
      </c>
      <c r="S775">
        <v>14.2</v>
      </c>
      <c r="T775">
        <v>0</v>
      </c>
      <c r="U775">
        <v>101.5</v>
      </c>
      <c r="V775">
        <v>740</v>
      </c>
      <c r="W775">
        <v>30.3</v>
      </c>
      <c r="Y775">
        <v>14.31</v>
      </c>
    </row>
    <row r="776" spans="1:25" x14ac:dyDescent="0.25">
      <c r="A776">
        <v>2006</v>
      </c>
      <c r="B776">
        <v>153</v>
      </c>
      <c r="C776">
        <v>1500</v>
      </c>
      <c r="D776" s="7">
        <v>751</v>
      </c>
      <c r="E776" s="7">
        <v>420.9</v>
      </c>
      <c r="F776" s="7">
        <v>20.27</v>
      </c>
      <c r="G776" s="7">
        <v>20.059999999999999</v>
      </c>
      <c r="H776" s="7"/>
      <c r="I776" s="7"/>
      <c r="J776" s="7"/>
      <c r="K776" s="7">
        <v>2.5249999999999999</v>
      </c>
      <c r="L776" s="7">
        <v>0</v>
      </c>
      <c r="M776" s="7">
        <v>0</v>
      </c>
      <c r="N776" s="7"/>
      <c r="O776">
        <v>909</v>
      </c>
      <c r="P776">
        <v>220.3</v>
      </c>
      <c r="Q776">
        <v>15.63</v>
      </c>
      <c r="S776">
        <v>14.61</v>
      </c>
      <c r="T776">
        <v>0</v>
      </c>
      <c r="U776">
        <v>102</v>
      </c>
      <c r="V776">
        <v>738</v>
      </c>
      <c r="W776">
        <v>30.19</v>
      </c>
      <c r="Y776">
        <v>14.17</v>
      </c>
    </row>
    <row r="777" spans="1:25" x14ac:dyDescent="0.25">
      <c r="A777">
        <v>2006</v>
      </c>
      <c r="B777">
        <v>153</v>
      </c>
      <c r="C777">
        <v>1600</v>
      </c>
      <c r="D777" s="7">
        <v>667.7</v>
      </c>
      <c r="E777" s="7">
        <v>370.7</v>
      </c>
      <c r="F777" s="7">
        <v>20.67</v>
      </c>
      <c r="G777" s="7">
        <v>20.47</v>
      </c>
      <c r="H777" s="7"/>
      <c r="I777" s="7"/>
      <c r="J777" s="7"/>
      <c r="K777" s="7">
        <v>2.4889999999999999</v>
      </c>
      <c r="L777" s="7">
        <v>0</v>
      </c>
      <c r="M777" s="7">
        <v>0</v>
      </c>
      <c r="N777" s="7"/>
      <c r="O777">
        <v>808</v>
      </c>
      <c r="P777">
        <v>242.6</v>
      </c>
      <c r="Q777">
        <v>15.96</v>
      </c>
      <c r="S777">
        <v>14.96</v>
      </c>
      <c r="T777">
        <v>0</v>
      </c>
      <c r="U777">
        <v>101.9</v>
      </c>
      <c r="V777">
        <v>736</v>
      </c>
      <c r="W777">
        <v>30.13</v>
      </c>
      <c r="Y777">
        <v>14.25</v>
      </c>
    </row>
    <row r="778" spans="1:25" x14ac:dyDescent="0.25">
      <c r="A778">
        <v>2006</v>
      </c>
      <c r="B778">
        <v>153</v>
      </c>
      <c r="C778">
        <v>1700</v>
      </c>
      <c r="D778" s="7">
        <v>543.4</v>
      </c>
      <c r="E778" s="7">
        <v>300.2</v>
      </c>
      <c r="F778" s="7">
        <v>20.92</v>
      </c>
      <c r="G778" s="7">
        <v>20.66</v>
      </c>
      <c r="H778" s="7"/>
      <c r="I778" s="7"/>
      <c r="J778" s="7"/>
      <c r="K778" s="7">
        <v>2.1930000000000001</v>
      </c>
      <c r="L778" s="7">
        <v>0</v>
      </c>
      <c r="M778" s="7">
        <v>0</v>
      </c>
      <c r="N778" s="7"/>
      <c r="O778">
        <v>660.3</v>
      </c>
      <c r="P778">
        <v>254.9</v>
      </c>
      <c r="Q778">
        <v>16.22</v>
      </c>
      <c r="S778">
        <v>15.29</v>
      </c>
      <c r="T778">
        <v>0</v>
      </c>
      <c r="U778">
        <v>102.4</v>
      </c>
      <c r="V778">
        <v>735</v>
      </c>
      <c r="W778">
        <v>30.09</v>
      </c>
      <c r="Y778">
        <v>14.01</v>
      </c>
    </row>
    <row r="779" spans="1:25" x14ac:dyDescent="0.25">
      <c r="A779">
        <v>2006</v>
      </c>
      <c r="B779">
        <v>153</v>
      </c>
      <c r="C779">
        <v>1800</v>
      </c>
      <c r="D779" s="7">
        <v>384.4</v>
      </c>
      <c r="E779" s="7">
        <v>207.1</v>
      </c>
      <c r="F779" s="7">
        <v>20.54</v>
      </c>
      <c r="G779" s="7">
        <v>19.77</v>
      </c>
      <c r="H779" s="7"/>
      <c r="I779" s="7"/>
      <c r="J779" s="7"/>
      <c r="K779" s="7">
        <v>1.958</v>
      </c>
      <c r="L779" s="7">
        <v>0</v>
      </c>
      <c r="M779" s="7">
        <v>0</v>
      </c>
      <c r="N779" s="7"/>
      <c r="O779">
        <v>479.3</v>
      </c>
      <c r="P779">
        <v>226</v>
      </c>
      <c r="Q779">
        <v>16.45</v>
      </c>
      <c r="S779">
        <v>15.54</v>
      </c>
      <c r="T779">
        <v>0</v>
      </c>
      <c r="U779">
        <v>107.3</v>
      </c>
      <c r="V779">
        <v>735</v>
      </c>
      <c r="W779">
        <v>30.05</v>
      </c>
      <c r="Y779">
        <v>13.72</v>
      </c>
    </row>
    <row r="780" spans="1:25" x14ac:dyDescent="0.25">
      <c r="A780">
        <v>2006</v>
      </c>
      <c r="B780">
        <v>153</v>
      </c>
      <c r="C780">
        <v>1900</v>
      </c>
      <c r="D780" s="7">
        <v>227.4</v>
      </c>
      <c r="E780" s="7">
        <v>107.9</v>
      </c>
      <c r="F780" s="7">
        <v>17.649999999999999</v>
      </c>
      <c r="G780" s="7">
        <v>17.04</v>
      </c>
      <c r="H780" s="7"/>
      <c r="I780" s="7"/>
      <c r="J780" s="7"/>
      <c r="K780" s="7">
        <v>2.15</v>
      </c>
      <c r="L780" s="7">
        <v>0</v>
      </c>
      <c r="M780" s="7">
        <v>0</v>
      </c>
      <c r="N780" s="7"/>
      <c r="O780">
        <v>299</v>
      </c>
      <c r="P780">
        <v>177.4</v>
      </c>
      <c r="Q780">
        <v>16.57</v>
      </c>
      <c r="S780">
        <v>15.73</v>
      </c>
      <c r="T780">
        <v>0</v>
      </c>
      <c r="U780">
        <v>106.1</v>
      </c>
      <c r="V780">
        <v>734</v>
      </c>
      <c r="W780">
        <v>30.02</v>
      </c>
      <c r="Y780">
        <v>13.58</v>
      </c>
    </row>
    <row r="781" spans="1:25" x14ac:dyDescent="0.25">
      <c r="A781">
        <v>2006</v>
      </c>
      <c r="B781">
        <v>153</v>
      </c>
      <c r="C781">
        <v>2000</v>
      </c>
      <c r="D781" s="7">
        <v>108.1</v>
      </c>
      <c r="E781" s="7">
        <v>17.059999999999999</v>
      </c>
      <c r="F781" s="7">
        <v>15.7</v>
      </c>
      <c r="G781" s="7">
        <v>15.22</v>
      </c>
      <c r="H781" s="7"/>
      <c r="I781" s="7"/>
      <c r="J781" s="7"/>
      <c r="K781" s="7">
        <v>1.8089999999999999</v>
      </c>
      <c r="L781" s="7">
        <v>0</v>
      </c>
      <c r="M781" s="7">
        <v>0</v>
      </c>
      <c r="N781" s="7"/>
      <c r="O781">
        <v>135.5</v>
      </c>
      <c r="P781">
        <v>115.1</v>
      </c>
      <c r="Q781">
        <v>16.52</v>
      </c>
      <c r="S781">
        <v>15.78</v>
      </c>
      <c r="T781">
        <v>0</v>
      </c>
      <c r="U781">
        <v>105</v>
      </c>
      <c r="V781">
        <v>733</v>
      </c>
      <c r="W781">
        <v>29.97</v>
      </c>
      <c r="Y781">
        <v>13.5</v>
      </c>
    </row>
    <row r="782" spans="1:25" x14ac:dyDescent="0.25">
      <c r="A782">
        <v>2006</v>
      </c>
      <c r="B782">
        <v>153</v>
      </c>
      <c r="C782">
        <v>2100</v>
      </c>
      <c r="D782" s="7">
        <v>13.54</v>
      </c>
      <c r="E782" s="7">
        <v>-61.2</v>
      </c>
      <c r="F782" s="7">
        <v>12.95</v>
      </c>
      <c r="G782" s="7">
        <v>12.58</v>
      </c>
      <c r="H782" s="7"/>
      <c r="I782" s="7"/>
      <c r="J782" s="7"/>
      <c r="K782" s="7">
        <v>1.1639999999999999</v>
      </c>
      <c r="L782" s="7">
        <v>47.97</v>
      </c>
      <c r="M782" s="7">
        <v>0</v>
      </c>
      <c r="N782" s="7"/>
      <c r="O782">
        <v>9.4700000000000006</v>
      </c>
      <c r="P782">
        <v>9.36</v>
      </c>
      <c r="Q782">
        <v>16.38</v>
      </c>
      <c r="S782">
        <v>15.77</v>
      </c>
      <c r="T782">
        <v>0</v>
      </c>
      <c r="U782">
        <v>104.1</v>
      </c>
      <c r="V782">
        <v>734</v>
      </c>
      <c r="W782">
        <v>30.02</v>
      </c>
      <c r="Y782">
        <v>13.37</v>
      </c>
    </row>
    <row r="783" spans="1:25" x14ac:dyDescent="0.25">
      <c r="A783">
        <v>2006</v>
      </c>
      <c r="B783">
        <v>153</v>
      </c>
      <c r="C783">
        <v>2200</v>
      </c>
      <c r="D783" s="7">
        <v>-3.4889999999999999</v>
      </c>
      <c r="E783" s="7">
        <v>-70.5</v>
      </c>
      <c r="F783" s="7">
        <v>11.07</v>
      </c>
      <c r="G783" s="7">
        <v>10.93</v>
      </c>
      <c r="H783" s="7"/>
      <c r="I783" s="7"/>
      <c r="J783" s="7"/>
      <c r="K783" s="7">
        <v>0.6</v>
      </c>
      <c r="L783" s="7">
        <v>86.2</v>
      </c>
      <c r="M783" s="7">
        <v>0</v>
      </c>
      <c r="N783" s="7"/>
      <c r="O783">
        <v>-11.49</v>
      </c>
      <c r="P783">
        <v>-11.2</v>
      </c>
      <c r="Q783">
        <v>16.170000000000002</v>
      </c>
      <c r="S783">
        <v>15.71</v>
      </c>
      <c r="T783">
        <v>0</v>
      </c>
      <c r="U783">
        <v>101.7</v>
      </c>
      <c r="V783">
        <v>734</v>
      </c>
      <c r="W783">
        <v>30.01</v>
      </c>
      <c r="Y783">
        <v>13.28</v>
      </c>
    </row>
    <row r="784" spans="1:25" x14ac:dyDescent="0.25">
      <c r="A784">
        <v>2006</v>
      </c>
      <c r="B784">
        <v>153</v>
      </c>
      <c r="C784">
        <v>2300</v>
      </c>
      <c r="D784" s="7">
        <v>-3.7970000000000002</v>
      </c>
      <c r="E784" s="7">
        <v>-65.41</v>
      </c>
      <c r="F784" s="7">
        <v>9.9600000000000009</v>
      </c>
      <c r="G784" s="7">
        <v>9.84</v>
      </c>
      <c r="H784" s="7"/>
      <c r="I784" s="7"/>
      <c r="J784" s="7"/>
      <c r="K784" s="7">
        <v>0.38700000000000001</v>
      </c>
      <c r="L784" s="7">
        <v>121.2</v>
      </c>
      <c r="M784" s="7">
        <v>0</v>
      </c>
      <c r="N784" s="7"/>
      <c r="O784">
        <v>-12.17</v>
      </c>
      <c r="P784">
        <v>-11.47</v>
      </c>
      <c r="Q784">
        <v>15.94</v>
      </c>
      <c r="S784">
        <v>15.61</v>
      </c>
      <c r="T784">
        <v>0</v>
      </c>
      <c r="U784">
        <v>101.5</v>
      </c>
      <c r="V784">
        <v>734</v>
      </c>
      <c r="W784">
        <v>30.04</v>
      </c>
      <c r="Y784">
        <v>13.21</v>
      </c>
    </row>
    <row r="785" spans="1:25" x14ac:dyDescent="0.25">
      <c r="A785">
        <v>2006</v>
      </c>
      <c r="B785">
        <v>153</v>
      </c>
      <c r="C785">
        <v>2400</v>
      </c>
      <c r="D785" s="7">
        <v>-3.48</v>
      </c>
      <c r="E785" s="7">
        <v>-53.39</v>
      </c>
      <c r="F785" s="7">
        <v>7.6</v>
      </c>
      <c r="G785" s="7">
        <v>7.28</v>
      </c>
      <c r="H785" s="7"/>
      <c r="I785" s="7"/>
      <c r="J785" s="7"/>
      <c r="K785" s="7">
        <v>0.23499999999999999</v>
      </c>
      <c r="L785" s="7">
        <v>178.1</v>
      </c>
      <c r="M785" s="7">
        <v>0</v>
      </c>
      <c r="N785" s="7"/>
      <c r="O785">
        <v>-12.16</v>
      </c>
      <c r="P785">
        <v>-11.47</v>
      </c>
      <c r="Q785">
        <v>15.63</v>
      </c>
      <c r="S785">
        <v>15.46</v>
      </c>
      <c r="T785">
        <v>0</v>
      </c>
      <c r="U785">
        <v>104.2</v>
      </c>
      <c r="V785">
        <v>736</v>
      </c>
      <c r="W785">
        <v>30.14</v>
      </c>
      <c r="Y785">
        <v>13.14</v>
      </c>
    </row>
    <row r="786" spans="1:25" x14ac:dyDescent="0.25">
      <c r="A786">
        <v>2006</v>
      </c>
      <c r="B786">
        <v>154</v>
      </c>
      <c r="C786">
        <v>100</v>
      </c>
      <c r="D786" s="7">
        <v>-2.952</v>
      </c>
      <c r="E786" s="7">
        <v>-44.55</v>
      </c>
      <c r="F786" s="7">
        <v>6.0780000000000003</v>
      </c>
      <c r="G786" s="7">
        <v>5.8250000000000002</v>
      </c>
      <c r="H786" s="7"/>
      <c r="I786" s="7"/>
      <c r="J786" s="7"/>
      <c r="K786" s="7">
        <v>0.3</v>
      </c>
      <c r="L786" s="7">
        <v>207.7</v>
      </c>
      <c r="M786" s="7">
        <v>0</v>
      </c>
      <c r="N786" s="7"/>
      <c r="O786">
        <v>-11.88</v>
      </c>
      <c r="P786">
        <v>-11.23</v>
      </c>
      <c r="Q786">
        <v>15.32</v>
      </c>
      <c r="S786">
        <v>15.29</v>
      </c>
      <c r="T786">
        <v>0</v>
      </c>
      <c r="U786">
        <v>103.6</v>
      </c>
      <c r="V786">
        <v>735</v>
      </c>
      <c r="W786">
        <v>30.07</v>
      </c>
      <c r="Y786">
        <v>13.08</v>
      </c>
    </row>
    <row r="787" spans="1:25" x14ac:dyDescent="0.25">
      <c r="A787">
        <v>2006</v>
      </c>
      <c r="B787">
        <v>154</v>
      </c>
      <c r="C787">
        <v>200</v>
      </c>
      <c r="D787" s="7">
        <v>-2.738</v>
      </c>
      <c r="E787" s="7">
        <v>-42.47</v>
      </c>
      <c r="F787" s="7">
        <v>4.9400000000000004</v>
      </c>
      <c r="G787" s="7">
        <v>4.7850000000000001</v>
      </c>
      <c r="H787" s="7"/>
      <c r="I787" s="7"/>
      <c r="J787" s="7"/>
      <c r="K787" s="7">
        <v>0.19400000000000001</v>
      </c>
      <c r="L787" s="7">
        <v>203</v>
      </c>
      <c r="M787" s="7">
        <v>0</v>
      </c>
      <c r="N787" s="7"/>
      <c r="O787">
        <v>-11.54</v>
      </c>
      <c r="P787">
        <v>-10.91</v>
      </c>
      <c r="Q787">
        <v>14.97</v>
      </c>
      <c r="S787">
        <v>15.1</v>
      </c>
      <c r="T787">
        <v>0</v>
      </c>
      <c r="U787">
        <v>102.3</v>
      </c>
      <c r="V787">
        <v>734</v>
      </c>
      <c r="W787">
        <v>30.02</v>
      </c>
      <c r="Y787">
        <v>13.02</v>
      </c>
    </row>
    <row r="788" spans="1:25" x14ac:dyDescent="0.25">
      <c r="A788">
        <v>2006</v>
      </c>
      <c r="B788">
        <v>154</v>
      </c>
      <c r="C788">
        <v>300</v>
      </c>
      <c r="D788" s="7">
        <v>-2.532</v>
      </c>
      <c r="E788" s="7">
        <v>-39.79</v>
      </c>
      <c r="F788" s="7">
        <v>4.3879999999999999</v>
      </c>
      <c r="G788" s="7">
        <v>4.2560000000000002</v>
      </c>
      <c r="H788" s="7"/>
      <c r="I788" s="7"/>
      <c r="J788" s="7"/>
      <c r="K788" s="7">
        <v>0.155</v>
      </c>
      <c r="L788" s="7">
        <v>203</v>
      </c>
      <c r="M788" s="7">
        <v>0</v>
      </c>
      <c r="N788" s="7"/>
      <c r="O788">
        <v>-11.5</v>
      </c>
      <c r="P788">
        <v>-10.85</v>
      </c>
      <c r="Q788">
        <v>14.66</v>
      </c>
      <c r="S788">
        <v>14.92</v>
      </c>
      <c r="T788">
        <v>0</v>
      </c>
      <c r="U788">
        <v>102</v>
      </c>
      <c r="V788">
        <v>735</v>
      </c>
      <c r="W788">
        <v>30.08</v>
      </c>
      <c r="Y788">
        <v>12.97</v>
      </c>
    </row>
    <row r="789" spans="1:25" x14ac:dyDescent="0.25">
      <c r="A789">
        <v>2006</v>
      </c>
      <c r="B789">
        <v>154</v>
      </c>
      <c r="C789">
        <v>400</v>
      </c>
      <c r="D789" s="7">
        <v>-1.17</v>
      </c>
      <c r="E789" s="7">
        <v>-37.39</v>
      </c>
      <c r="F789" s="7">
        <v>3.7719999999999998</v>
      </c>
      <c r="G789" s="7">
        <v>3.69</v>
      </c>
      <c r="H789" s="7"/>
      <c r="I789" s="7"/>
      <c r="J789" s="7"/>
      <c r="K789" s="7">
        <v>0.14399999999999999</v>
      </c>
      <c r="L789" s="7">
        <v>203</v>
      </c>
      <c r="M789" s="7">
        <v>0</v>
      </c>
      <c r="N789" s="7"/>
      <c r="O789">
        <v>-9.6199999999999992</v>
      </c>
      <c r="P789">
        <v>-10.210000000000001</v>
      </c>
      <c r="Q789">
        <v>14.3</v>
      </c>
      <c r="S789">
        <v>14.68</v>
      </c>
      <c r="T789">
        <v>0</v>
      </c>
      <c r="U789">
        <v>101.3</v>
      </c>
      <c r="V789">
        <v>735</v>
      </c>
      <c r="W789">
        <v>30.09</v>
      </c>
      <c r="Y789">
        <v>12.93</v>
      </c>
    </row>
    <row r="790" spans="1:25" x14ac:dyDescent="0.25">
      <c r="A790">
        <v>2006</v>
      </c>
      <c r="B790">
        <v>154</v>
      </c>
      <c r="C790">
        <v>500</v>
      </c>
      <c r="D790" s="7">
        <v>15.02</v>
      </c>
      <c r="E790" s="7">
        <v>-22.96</v>
      </c>
      <c r="F790" s="7">
        <v>3.8420000000000001</v>
      </c>
      <c r="G790" s="7">
        <v>3.7839999999999998</v>
      </c>
      <c r="H790" s="7"/>
      <c r="I790" s="7"/>
      <c r="J790" s="7"/>
      <c r="K790" s="7">
        <v>0.22</v>
      </c>
      <c r="L790" s="7">
        <v>203</v>
      </c>
      <c r="M790" s="7">
        <v>0</v>
      </c>
      <c r="N790" s="7"/>
      <c r="O790">
        <v>6.2690000000000001</v>
      </c>
      <c r="P790">
        <v>-3.774</v>
      </c>
      <c r="Q790">
        <v>13.99</v>
      </c>
      <c r="S790">
        <v>14.46</v>
      </c>
      <c r="T790">
        <v>0</v>
      </c>
      <c r="U790">
        <v>100.9</v>
      </c>
      <c r="V790">
        <v>739</v>
      </c>
      <c r="W790">
        <v>30.28</v>
      </c>
      <c r="Y790">
        <v>12.9</v>
      </c>
    </row>
    <row r="791" spans="1:25" x14ac:dyDescent="0.25">
      <c r="A791">
        <v>2006</v>
      </c>
      <c r="B791">
        <v>154</v>
      </c>
      <c r="C791">
        <v>600</v>
      </c>
      <c r="D791" s="7">
        <v>107.2</v>
      </c>
      <c r="E791" s="7">
        <v>71.400000000000006</v>
      </c>
      <c r="F791" s="7">
        <v>6.9059999999999997</v>
      </c>
      <c r="G791" s="7">
        <v>6.992</v>
      </c>
      <c r="H791" s="7"/>
      <c r="I791" s="7"/>
      <c r="J791" s="7"/>
      <c r="K791" s="7">
        <v>0.50800000000000001</v>
      </c>
      <c r="L791" s="7">
        <v>302.8</v>
      </c>
      <c r="M791" s="7">
        <v>0</v>
      </c>
      <c r="N791" s="7"/>
      <c r="O791">
        <v>151.5</v>
      </c>
      <c r="P791">
        <v>59.6</v>
      </c>
      <c r="Q791">
        <v>13.71</v>
      </c>
      <c r="S791">
        <v>14.3</v>
      </c>
      <c r="T791">
        <v>0</v>
      </c>
      <c r="U791">
        <v>98.8</v>
      </c>
      <c r="V791">
        <v>738</v>
      </c>
      <c r="W791">
        <v>30.24</v>
      </c>
      <c r="Y791">
        <v>13.08</v>
      </c>
    </row>
    <row r="792" spans="1:25" x14ac:dyDescent="0.25">
      <c r="A792">
        <v>2006</v>
      </c>
      <c r="B792">
        <v>154</v>
      </c>
      <c r="C792">
        <v>700</v>
      </c>
      <c r="D792" s="7">
        <v>246</v>
      </c>
      <c r="E792" s="7">
        <v>215.4</v>
      </c>
      <c r="F792" s="7">
        <v>10.46</v>
      </c>
      <c r="G792" s="7">
        <v>10.82</v>
      </c>
      <c r="H792" s="7"/>
      <c r="I792" s="7"/>
      <c r="J792" s="7"/>
      <c r="K792" s="7">
        <v>0.97299999999999998</v>
      </c>
      <c r="L792" s="7">
        <v>300.7</v>
      </c>
      <c r="M792" s="7">
        <v>0</v>
      </c>
      <c r="N792" s="7"/>
      <c r="O792">
        <v>380.2</v>
      </c>
      <c r="P792">
        <v>145.69999999999999</v>
      </c>
      <c r="Q792">
        <v>13.59</v>
      </c>
      <c r="S792">
        <v>14.22</v>
      </c>
      <c r="T792">
        <v>0</v>
      </c>
      <c r="U792">
        <v>95.8</v>
      </c>
      <c r="V792">
        <v>737</v>
      </c>
      <c r="W792">
        <v>30.18</v>
      </c>
      <c r="Y792">
        <v>13.87</v>
      </c>
    </row>
    <row r="793" spans="1:25" x14ac:dyDescent="0.25">
      <c r="A793">
        <v>2006</v>
      </c>
      <c r="B793">
        <v>154</v>
      </c>
      <c r="C793">
        <v>800</v>
      </c>
      <c r="D793" s="7">
        <v>409.4</v>
      </c>
      <c r="E793" s="7">
        <v>291.89999999999998</v>
      </c>
      <c r="F793" s="7">
        <v>12.16</v>
      </c>
      <c r="G793" s="7">
        <v>12.71</v>
      </c>
      <c r="H793" s="7"/>
      <c r="I793" s="7"/>
      <c r="J793" s="7"/>
      <c r="K793" s="7">
        <v>1.0469999999999999</v>
      </c>
      <c r="L793" s="7">
        <v>310.8</v>
      </c>
      <c r="M793" s="7">
        <v>0</v>
      </c>
      <c r="N793" s="7"/>
      <c r="O793">
        <v>578.79999999999995</v>
      </c>
      <c r="P793">
        <v>192.6</v>
      </c>
      <c r="Q793">
        <v>13.59</v>
      </c>
      <c r="S793">
        <v>14.05</v>
      </c>
      <c r="T793">
        <v>0</v>
      </c>
      <c r="U793">
        <v>93.9</v>
      </c>
      <c r="V793">
        <v>735</v>
      </c>
      <c r="W793">
        <v>30.07</v>
      </c>
      <c r="Y793">
        <v>14.37</v>
      </c>
    </row>
    <row r="794" spans="1:25" x14ac:dyDescent="0.25">
      <c r="A794">
        <v>2006</v>
      </c>
      <c r="B794">
        <v>154</v>
      </c>
      <c r="C794">
        <v>900</v>
      </c>
      <c r="D794" s="7">
        <v>559.4</v>
      </c>
      <c r="E794" s="7">
        <v>362.8</v>
      </c>
      <c r="F794" s="7">
        <v>14.29</v>
      </c>
      <c r="G794" s="7">
        <v>14.21</v>
      </c>
      <c r="H794" s="7">
        <f>AVERAGE(G794:G817)</f>
        <v>15.106666666666667</v>
      </c>
      <c r="I794" s="7">
        <f>MIN(G794:G817)</f>
        <v>10.14</v>
      </c>
      <c r="J794" s="7">
        <f>MAX(G794:G817)</f>
        <v>22</v>
      </c>
      <c r="K794" s="7">
        <v>1.1559999999999999</v>
      </c>
      <c r="L794" s="7">
        <v>314.5</v>
      </c>
      <c r="M794" s="7">
        <v>0</v>
      </c>
      <c r="N794" s="7">
        <f>SUM(M794:M817)</f>
        <v>0</v>
      </c>
      <c r="O794">
        <v>724</v>
      </c>
      <c r="P794">
        <v>210.7</v>
      </c>
      <c r="Q794">
        <v>13.72</v>
      </c>
      <c r="S794">
        <v>13.91</v>
      </c>
      <c r="T794">
        <v>0</v>
      </c>
      <c r="U794">
        <v>100.8</v>
      </c>
      <c r="V794">
        <v>734</v>
      </c>
      <c r="W794">
        <v>30.01</v>
      </c>
      <c r="Y794">
        <v>14.66</v>
      </c>
    </row>
    <row r="795" spans="1:25" x14ac:dyDescent="0.25">
      <c r="A795">
        <v>2006</v>
      </c>
      <c r="B795">
        <v>154</v>
      </c>
      <c r="C795">
        <v>1000</v>
      </c>
      <c r="D795" s="7">
        <v>688.1</v>
      </c>
      <c r="E795" s="7">
        <v>422.7</v>
      </c>
      <c r="F795" s="7">
        <v>16.68</v>
      </c>
      <c r="G795" s="7">
        <v>16.38</v>
      </c>
      <c r="H795" s="7"/>
      <c r="I795" s="7"/>
      <c r="J795" s="7"/>
      <c r="K795" s="7">
        <v>1.0780000000000001</v>
      </c>
      <c r="L795" s="7">
        <v>313</v>
      </c>
      <c r="M795" s="7">
        <v>0</v>
      </c>
      <c r="N795" s="7"/>
      <c r="O795">
        <v>885</v>
      </c>
      <c r="P795">
        <v>224.5</v>
      </c>
      <c r="Q795">
        <v>14.01</v>
      </c>
      <c r="S795">
        <v>13.89</v>
      </c>
      <c r="T795">
        <v>0</v>
      </c>
      <c r="U795">
        <v>103.1</v>
      </c>
      <c r="V795">
        <v>733</v>
      </c>
      <c r="W795">
        <v>29.96</v>
      </c>
      <c r="Y795">
        <v>14.61</v>
      </c>
    </row>
    <row r="796" spans="1:25" x14ac:dyDescent="0.25">
      <c r="A796">
        <v>2006</v>
      </c>
      <c r="B796">
        <v>154</v>
      </c>
      <c r="C796">
        <v>1100</v>
      </c>
      <c r="D796" s="7">
        <v>782</v>
      </c>
      <c r="E796" s="7">
        <v>470.5</v>
      </c>
      <c r="F796" s="7">
        <v>18.2</v>
      </c>
      <c r="G796" s="7">
        <v>18.09</v>
      </c>
      <c r="H796" s="7"/>
      <c r="I796" s="7"/>
      <c r="J796" s="7"/>
      <c r="K796" s="7">
        <v>1.4530000000000001</v>
      </c>
      <c r="L796" s="7">
        <v>302.89999999999998</v>
      </c>
      <c r="M796" s="7">
        <v>0</v>
      </c>
      <c r="N796" s="7"/>
      <c r="O796">
        <v>988</v>
      </c>
      <c r="P796">
        <v>240.9</v>
      </c>
      <c r="Q796">
        <v>14.34</v>
      </c>
      <c r="S796">
        <v>13.95</v>
      </c>
      <c r="T796">
        <v>0</v>
      </c>
      <c r="U796">
        <v>101.1</v>
      </c>
      <c r="V796">
        <v>731</v>
      </c>
      <c r="W796">
        <v>29.9</v>
      </c>
      <c r="Y796">
        <v>14.35</v>
      </c>
    </row>
    <row r="797" spans="1:25" x14ac:dyDescent="0.25">
      <c r="A797">
        <v>2006</v>
      </c>
      <c r="B797">
        <v>154</v>
      </c>
      <c r="C797">
        <v>1200</v>
      </c>
      <c r="D797" s="7">
        <v>840</v>
      </c>
      <c r="E797" s="7">
        <v>488.8</v>
      </c>
      <c r="F797" s="7">
        <v>18.64</v>
      </c>
      <c r="G797" s="7">
        <v>18.43</v>
      </c>
      <c r="H797" s="7"/>
      <c r="I797" s="7"/>
      <c r="J797" s="7"/>
      <c r="K797" s="7">
        <v>1.593</v>
      </c>
      <c r="L797" s="7">
        <v>297.7</v>
      </c>
      <c r="M797" s="7">
        <v>0</v>
      </c>
      <c r="N797" s="7"/>
      <c r="O797">
        <v>1049</v>
      </c>
      <c r="P797">
        <v>236.3</v>
      </c>
      <c r="Q797">
        <v>14.69</v>
      </c>
      <c r="S797">
        <v>14.13</v>
      </c>
      <c r="T797">
        <v>0</v>
      </c>
      <c r="U797">
        <v>102</v>
      </c>
      <c r="V797">
        <v>730</v>
      </c>
      <c r="W797">
        <v>29.84</v>
      </c>
      <c r="Y797">
        <v>13.9</v>
      </c>
    </row>
    <row r="798" spans="1:25" x14ac:dyDescent="0.25">
      <c r="A798">
        <v>2006</v>
      </c>
      <c r="B798">
        <v>154</v>
      </c>
      <c r="C798">
        <v>1300</v>
      </c>
      <c r="D798" s="7">
        <v>849</v>
      </c>
      <c r="E798" s="7">
        <v>479.1</v>
      </c>
      <c r="F798" s="7">
        <v>19.34</v>
      </c>
      <c r="G798" s="7">
        <v>19.170000000000002</v>
      </c>
      <c r="H798" s="7"/>
      <c r="I798" s="7"/>
      <c r="J798" s="7"/>
      <c r="K798" s="7">
        <v>1.8640000000000001</v>
      </c>
      <c r="L798" s="7">
        <v>305.60000000000002</v>
      </c>
      <c r="M798" s="7">
        <v>0</v>
      </c>
      <c r="N798" s="7"/>
      <c r="O798">
        <v>1047</v>
      </c>
      <c r="P798">
        <v>242.1</v>
      </c>
      <c r="Q798">
        <v>15</v>
      </c>
      <c r="S798">
        <v>14.36</v>
      </c>
      <c r="T798">
        <v>0</v>
      </c>
      <c r="U798">
        <v>101.6</v>
      </c>
      <c r="V798">
        <v>727</v>
      </c>
      <c r="W798">
        <v>29.71</v>
      </c>
      <c r="Y798">
        <v>14.04</v>
      </c>
    </row>
    <row r="799" spans="1:25" x14ac:dyDescent="0.25">
      <c r="A799">
        <v>2006</v>
      </c>
      <c r="B799">
        <v>154</v>
      </c>
      <c r="C799">
        <v>1400</v>
      </c>
      <c r="D799" s="7">
        <v>848</v>
      </c>
      <c r="E799" s="7">
        <v>467.2</v>
      </c>
      <c r="F799" s="7">
        <v>20.49</v>
      </c>
      <c r="G799" s="7">
        <v>20.149999999999999</v>
      </c>
      <c r="H799" s="7"/>
      <c r="I799" s="7"/>
      <c r="J799" s="7"/>
      <c r="K799" s="7">
        <v>1.6870000000000001</v>
      </c>
      <c r="L799" s="7">
        <v>353.8</v>
      </c>
      <c r="M799" s="7">
        <v>0</v>
      </c>
      <c r="N799" s="7"/>
      <c r="O799">
        <v>1010</v>
      </c>
      <c r="P799">
        <v>238.6</v>
      </c>
      <c r="Q799">
        <v>15.42</v>
      </c>
      <c r="S799">
        <v>14.72</v>
      </c>
      <c r="T799">
        <v>0</v>
      </c>
      <c r="U799">
        <v>103.1</v>
      </c>
      <c r="V799">
        <v>725</v>
      </c>
      <c r="W799">
        <v>29.64</v>
      </c>
      <c r="Y799">
        <v>14.25</v>
      </c>
    </row>
    <row r="800" spans="1:25" x14ac:dyDescent="0.25">
      <c r="A800">
        <v>2006</v>
      </c>
      <c r="B800">
        <v>154</v>
      </c>
      <c r="C800">
        <v>1500</v>
      </c>
      <c r="D800" s="7">
        <v>774</v>
      </c>
      <c r="E800" s="7">
        <v>435.4</v>
      </c>
      <c r="F800" s="7">
        <v>22.1</v>
      </c>
      <c r="G800" s="7">
        <v>21.59</v>
      </c>
      <c r="H800" s="7"/>
      <c r="I800" s="7"/>
      <c r="J800" s="7"/>
      <c r="K800" s="7">
        <v>1.373</v>
      </c>
      <c r="L800" s="7">
        <v>0</v>
      </c>
      <c r="M800" s="7">
        <v>0</v>
      </c>
      <c r="N800" s="7"/>
      <c r="O800">
        <v>941</v>
      </c>
      <c r="P800">
        <v>228.5</v>
      </c>
      <c r="Q800">
        <v>15.87</v>
      </c>
      <c r="S800">
        <v>15.14</v>
      </c>
      <c r="T800">
        <v>0</v>
      </c>
      <c r="U800">
        <v>104.5</v>
      </c>
      <c r="V800">
        <v>723</v>
      </c>
      <c r="W800">
        <v>29.52</v>
      </c>
      <c r="Y800">
        <v>14.12</v>
      </c>
    </row>
    <row r="801" spans="1:25" x14ac:dyDescent="0.25">
      <c r="A801">
        <v>2006</v>
      </c>
      <c r="B801">
        <v>154</v>
      </c>
      <c r="C801">
        <v>1600</v>
      </c>
      <c r="D801" s="7">
        <v>651</v>
      </c>
      <c r="E801" s="7">
        <v>357.4</v>
      </c>
      <c r="F801" s="7">
        <v>22.41</v>
      </c>
      <c r="G801" s="7">
        <v>22</v>
      </c>
      <c r="H801" s="7"/>
      <c r="I801" s="7"/>
      <c r="J801" s="7"/>
      <c r="K801" s="7">
        <v>1.6279999999999999</v>
      </c>
      <c r="L801" s="7">
        <v>0</v>
      </c>
      <c r="M801" s="7">
        <v>0</v>
      </c>
      <c r="N801" s="7"/>
      <c r="O801">
        <v>790</v>
      </c>
      <c r="P801">
        <v>241.5</v>
      </c>
      <c r="Q801">
        <v>16.25</v>
      </c>
      <c r="S801">
        <v>15.52</v>
      </c>
      <c r="T801">
        <v>0</v>
      </c>
      <c r="U801">
        <v>103.5</v>
      </c>
      <c r="V801">
        <v>723</v>
      </c>
      <c r="W801">
        <v>29.52</v>
      </c>
      <c r="Y801">
        <v>14.21</v>
      </c>
    </row>
    <row r="802" spans="1:25" x14ac:dyDescent="0.25">
      <c r="A802">
        <v>2006</v>
      </c>
      <c r="B802">
        <v>154</v>
      </c>
      <c r="C802">
        <v>1700</v>
      </c>
      <c r="D802" s="7">
        <v>532.6</v>
      </c>
      <c r="E802" s="7">
        <v>287.3</v>
      </c>
      <c r="F802" s="7">
        <v>22.58</v>
      </c>
      <c r="G802" s="7">
        <v>21.76</v>
      </c>
      <c r="H802" s="7"/>
      <c r="I802" s="7"/>
      <c r="J802" s="7"/>
      <c r="K802" s="7">
        <v>1.875</v>
      </c>
      <c r="L802" s="7">
        <v>0</v>
      </c>
      <c r="M802" s="7">
        <v>0</v>
      </c>
      <c r="N802" s="7"/>
      <c r="O802">
        <v>648.4</v>
      </c>
      <c r="P802">
        <v>250.4</v>
      </c>
      <c r="Q802">
        <v>16.55</v>
      </c>
      <c r="S802">
        <v>15.85</v>
      </c>
      <c r="T802">
        <v>0</v>
      </c>
      <c r="U802">
        <v>107.4</v>
      </c>
      <c r="V802">
        <v>721</v>
      </c>
      <c r="W802">
        <v>29.43</v>
      </c>
      <c r="Y802">
        <v>13.98</v>
      </c>
    </row>
    <row r="803" spans="1:25" x14ac:dyDescent="0.25">
      <c r="A803">
        <v>2006</v>
      </c>
      <c r="B803">
        <v>154</v>
      </c>
      <c r="C803">
        <v>1800</v>
      </c>
      <c r="D803" s="7">
        <v>265.39999999999998</v>
      </c>
      <c r="E803" s="7">
        <v>107.4</v>
      </c>
      <c r="F803" s="7">
        <v>19.66</v>
      </c>
      <c r="G803" s="7">
        <v>18.82</v>
      </c>
      <c r="H803" s="7"/>
      <c r="I803" s="7"/>
      <c r="J803" s="7"/>
      <c r="K803" s="7">
        <v>2.226</v>
      </c>
      <c r="L803" s="7">
        <v>16.38</v>
      </c>
      <c r="M803" s="7">
        <v>0</v>
      </c>
      <c r="N803" s="7"/>
      <c r="O803">
        <v>318.60000000000002</v>
      </c>
      <c r="P803">
        <v>129.5</v>
      </c>
      <c r="Q803">
        <v>16.72</v>
      </c>
      <c r="S803">
        <v>16.059999999999999</v>
      </c>
      <c r="T803">
        <v>0</v>
      </c>
      <c r="U803">
        <v>107.9</v>
      </c>
      <c r="V803">
        <v>720</v>
      </c>
      <c r="W803">
        <v>29.41</v>
      </c>
      <c r="Y803">
        <v>13.72</v>
      </c>
    </row>
    <row r="804" spans="1:25" x14ac:dyDescent="0.25">
      <c r="A804">
        <v>2006</v>
      </c>
      <c r="B804">
        <v>154</v>
      </c>
      <c r="C804">
        <v>1900</v>
      </c>
      <c r="D804" s="7">
        <v>133.9</v>
      </c>
      <c r="E804" s="7">
        <v>23.14</v>
      </c>
      <c r="F804" s="7">
        <v>16.86</v>
      </c>
      <c r="G804" s="7">
        <v>16.559999999999999</v>
      </c>
      <c r="H804" s="7"/>
      <c r="I804" s="7"/>
      <c r="J804" s="7"/>
      <c r="K804" s="7">
        <v>2.0259999999999998</v>
      </c>
      <c r="L804" s="7">
        <v>108.8</v>
      </c>
      <c r="M804" s="7">
        <v>0</v>
      </c>
      <c r="N804" s="7"/>
      <c r="O804">
        <v>162.30000000000001</v>
      </c>
      <c r="P804">
        <v>52.96</v>
      </c>
      <c r="Q804">
        <v>16.809999999999999</v>
      </c>
      <c r="S804">
        <v>16.2</v>
      </c>
      <c r="T804">
        <v>0</v>
      </c>
      <c r="U804">
        <v>103</v>
      </c>
      <c r="V804">
        <v>720</v>
      </c>
      <c r="W804">
        <v>29.38</v>
      </c>
      <c r="Y804">
        <v>13.68</v>
      </c>
    </row>
    <row r="805" spans="1:25" x14ac:dyDescent="0.25">
      <c r="A805">
        <v>2006</v>
      </c>
      <c r="B805">
        <v>154</v>
      </c>
      <c r="C805">
        <v>2000</v>
      </c>
      <c r="D805" s="7">
        <v>66.599999999999994</v>
      </c>
      <c r="E805" s="7">
        <v>-14.53</v>
      </c>
      <c r="F805" s="7">
        <v>15.14</v>
      </c>
      <c r="G805" s="7">
        <v>14.9</v>
      </c>
      <c r="H805" s="7"/>
      <c r="I805" s="7"/>
      <c r="J805" s="7"/>
      <c r="K805" s="7">
        <v>1.6839999999999999</v>
      </c>
      <c r="L805" s="7">
        <v>103.3</v>
      </c>
      <c r="M805" s="7">
        <v>0</v>
      </c>
      <c r="N805" s="7"/>
      <c r="O805">
        <v>79</v>
      </c>
      <c r="P805">
        <v>24.74</v>
      </c>
      <c r="Q805">
        <v>16.78</v>
      </c>
      <c r="S805">
        <v>16.29</v>
      </c>
      <c r="T805">
        <v>0</v>
      </c>
      <c r="U805">
        <v>102.6</v>
      </c>
      <c r="V805">
        <v>719</v>
      </c>
      <c r="W805">
        <v>29.35</v>
      </c>
      <c r="Y805">
        <v>13.56</v>
      </c>
    </row>
    <row r="806" spans="1:25" x14ac:dyDescent="0.25">
      <c r="A806">
        <v>2006</v>
      </c>
      <c r="B806">
        <v>154</v>
      </c>
      <c r="C806">
        <v>2100</v>
      </c>
      <c r="D806" s="7">
        <v>12.17</v>
      </c>
      <c r="E806" s="7">
        <v>-44.82</v>
      </c>
      <c r="F806" s="7">
        <v>13.23</v>
      </c>
      <c r="G806" s="7">
        <v>13.11</v>
      </c>
      <c r="H806" s="7"/>
      <c r="I806" s="7"/>
      <c r="J806" s="7"/>
      <c r="K806" s="7">
        <v>1.234</v>
      </c>
      <c r="L806" s="7">
        <v>111.4</v>
      </c>
      <c r="M806" s="7">
        <v>0</v>
      </c>
      <c r="N806" s="7"/>
      <c r="O806">
        <v>7.6</v>
      </c>
      <c r="P806">
        <v>-3.875</v>
      </c>
      <c r="Q806">
        <v>16.649999999999999</v>
      </c>
      <c r="S806">
        <v>16.27</v>
      </c>
      <c r="T806">
        <v>0</v>
      </c>
      <c r="U806">
        <v>101.2</v>
      </c>
      <c r="V806">
        <v>718</v>
      </c>
      <c r="W806">
        <v>29.32</v>
      </c>
      <c r="Y806">
        <v>13.42</v>
      </c>
    </row>
    <row r="807" spans="1:25" x14ac:dyDescent="0.25">
      <c r="A807">
        <v>2006</v>
      </c>
      <c r="B807">
        <v>154</v>
      </c>
      <c r="C807">
        <v>2200</v>
      </c>
      <c r="D807" s="7">
        <v>-2.2559999999999998</v>
      </c>
      <c r="E807" s="7">
        <v>-53.23</v>
      </c>
      <c r="F807" s="7">
        <v>12.07</v>
      </c>
      <c r="G807" s="7">
        <v>11.84</v>
      </c>
      <c r="H807" s="7"/>
      <c r="I807" s="7"/>
      <c r="J807" s="7"/>
      <c r="K807" s="7">
        <v>1.304</v>
      </c>
      <c r="L807" s="7">
        <v>106.4</v>
      </c>
      <c r="M807" s="7">
        <v>0</v>
      </c>
      <c r="N807" s="7"/>
      <c r="O807">
        <v>-11.85</v>
      </c>
      <c r="P807">
        <v>-11.42</v>
      </c>
      <c r="Q807">
        <v>16.48</v>
      </c>
      <c r="S807">
        <v>16.21</v>
      </c>
      <c r="T807">
        <v>0</v>
      </c>
      <c r="U807">
        <v>102.6</v>
      </c>
      <c r="V807">
        <v>719</v>
      </c>
      <c r="W807">
        <v>29.36</v>
      </c>
      <c r="Y807">
        <v>13.32</v>
      </c>
    </row>
    <row r="808" spans="1:25" x14ac:dyDescent="0.25">
      <c r="A808">
        <v>2006</v>
      </c>
      <c r="B808">
        <v>154</v>
      </c>
      <c r="C808">
        <v>2300</v>
      </c>
      <c r="D808" s="7">
        <v>-2.593</v>
      </c>
      <c r="E808" s="7">
        <v>-50.24</v>
      </c>
      <c r="F808" s="7">
        <v>11.36</v>
      </c>
      <c r="G808" s="7">
        <v>11.16</v>
      </c>
      <c r="H808" s="7"/>
      <c r="I808" s="7"/>
      <c r="J808" s="7"/>
      <c r="K808" s="7">
        <v>1.109</v>
      </c>
      <c r="L808" s="7">
        <v>100.7</v>
      </c>
      <c r="M808" s="7">
        <v>0</v>
      </c>
      <c r="N808" s="7"/>
      <c r="O808">
        <v>-12.17</v>
      </c>
      <c r="P808">
        <v>-11.47</v>
      </c>
      <c r="Q808">
        <v>16.29</v>
      </c>
      <c r="S808">
        <v>16.13</v>
      </c>
      <c r="T808">
        <v>0</v>
      </c>
      <c r="U808">
        <v>102.3</v>
      </c>
      <c r="V808">
        <v>720</v>
      </c>
      <c r="W808">
        <v>29.38</v>
      </c>
      <c r="Y808">
        <v>13.24</v>
      </c>
    </row>
    <row r="809" spans="1:25" x14ac:dyDescent="0.25">
      <c r="A809">
        <v>2006</v>
      </c>
      <c r="B809">
        <v>154</v>
      </c>
      <c r="C809">
        <v>2400</v>
      </c>
      <c r="D809" s="7">
        <v>-1.9590000000000001</v>
      </c>
      <c r="E809" s="7">
        <v>-40.39</v>
      </c>
      <c r="F809" s="7">
        <v>11.03</v>
      </c>
      <c r="G809" s="7">
        <v>10.86</v>
      </c>
      <c r="H809" s="7"/>
      <c r="I809" s="7"/>
      <c r="J809" s="7"/>
      <c r="K809" s="7">
        <v>0.91700000000000004</v>
      </c>
      <c r="L809" s="7">
        <v>100.2</v>
      </c>
      <c r="M809" s="7">
        <v>0</v>
      </c>
      <c r="N809" s="7"/>
      <c r="O809">
        <v>-12.17</v>
      </c>
      <c r="P809">
        <v>-11.47</v>
      </c>
      <c r="Q809">
        <v>16.059999999999999</v>
      </c>
      <c r="S809">
        <v>16.010000000000002</v>
      </c>
      <c r="T809">
        <v>0</v>
      </c>
      <c r="U809">
        <v>102</v>
      </c>
      <c r="V809">
        <v>721</v>
      </c>
      <c r="W809">
        <v>29.45</v>
      </c>
      <c r="Y809">
        <v>13.17</v>
      </c>
    </row>
    <row r="810" spans="1:25" x14ac:dyDescent="0.25">
      <c r="A810">
        <v>2006</v>
      </c>
      <c r="B810">
        <v>155</v>
      </c>
      <c r="C810">
        <v>100</v>
      </c>
      <c r="D810" s="7">
        <v>-1.9019999999999999</v>
      </c>
      <c r="E810" s="7">
        <v>-35.76</v>
      </c>
      <c r="F810" s="7">
        <v>10.66</v>
      </c>
      <c r="G810" s="7">
        <v>10.52</v>
      </c>
      <c r="H810" s="7"/>
      <c r="I810" s="7"/>
      <c r="J810" s="7"/>
      <c r="K810" s="7">
        <v>0.60799999999999998</v>
      </c>
      <c r="L810" s="7">
        <v>94.1</v>
      </c>
      <c r="M810" s="7">
        <v>0</v>
      </c>
      <c r="N810" s="7"/>
      <c r="O810">
        <v>-12.17</v>
      </c>
      <c r="P810">
        <v>-11.47</v>
      </c>
      <c r="Q810">
        <v>15.85</v>
      </c>
      <c r="S810">
        <v>15.86</v>
      </c>
      <c r="T810">
        <v>0</v>
      </c>
      <c r="U810">
        <v>101.7</v>
      </c>
      <c r="V810">
        <v>724</v>
      </c>
      <c r="W810">
        <v>29.58</v>
      </c>
      <c r="Y810">
        <v>13.11</v>
      </c>
    </row>
    <row r="811" spans="1:25" x14ac:dyDescent="0.25">
      <c r="A811">
        <v>2006</v>
      </c>
      <c r="B811">
        <v>155</v>
      </c>
      <c r="C811">
        <v>200</v>
      </c>
      <c r="D811" s="7">
        <v>-1.274</v>
      </c>
      <c r="E811" s="7">
        <v>-29.06</v>
      </c>
      <c r="F811" s="7">
        <v>10.71</v>
      </c>
      <c r="G811" s="7">
        <v>10.61</v>
      </c>
      <c r="H811" s="7"/>
      <c r="I811" s="7"/>
      <c r="J811" s="7"/>
      <c r="K811" s="7">
        <v>0.64900000000000002</v>
      </c>
      <c r="L811" s="7">
        <v>85</v>
      </c>
      <c r="M811" s="7">
        <v>0</v>
      </c>
      <c r="N811" s="7"/>
      <c r="O811">
        <v>-12.17</v>
      </c>
      <c r="P811">
        <v>-11.46</v>
      </c>
      <c r="Q811">
        <v>15.64</v>
      </c>
      <c r="S811">
        <v>15.7</v>
      </c>
      <c r="T811">
        <v>0</v>
      </c>
      <c r="U811">
        <v>101.2</v>
      </c>
      <c r="V811">
        <v>722</v>
      </c>
      <c r="W811">
        <v>29.48</v>
      </c>
      <c r="Y811">
        <v>13.05</v>
      </c>
    </row>
    <row r="812" spans="1:25" x14ac:dyDescent="0.25">
      <c r="A812">
        <v>2006</v>
      </c>
      <c r="B812">
        <v>155</v>
      </c>
      <c r="C812">
        <v>300</v>
      </c>
      <c r="D812" s="7">
        <v>-1.853</v>
      </c>
      <c r="E812" s="7">
        <v>-34.65</v>
      </c>
      <c r="F812" s="7">
        <v>10.3</v>
      </c>
      <c r="G812" s="7">
        <v>10.17</v>
      </c>
      <c r="H812" s="7"/>
      <c r="I812" s="7"/>
      <c r="J812" s="7"/>
      <c r="K812" s="7">
        <v>0.34599999999999997</v>
      </c>
      <c r="L812" s="7">
        <v>121.5</v>
      </c>
      <c r="M812" s="7">
        <v>0</v>
      </c>
      <c r="N812" s="7"/>
      <c r="O812">
        <v>-12.17</v>
      </c>
      <c r="P812">
        <v>-11.44</v>
      </c>
      <c r="Q812">
        <v>15.49</v>
      </c>
      <c r="S812">
        <v>15.56</v>
      </c>
      <c r="T812">
        <v>0</v>
      </c>
      <c r="U812">
        <v>101.6</v>
      </c>
      <c r="V812">
        <v>721</v>
      </c>
      <c r="W812">
        <v>29.44</v>
      </c>
      <c r="Y812">
        <v>13</v>
      </c>
    </row>
    <row r="813" spans="1:25" x14ac:dyDescent="0.25">
      <c r="A813">
        <v>2006</v>
      </c>
      <c r="B813">
        <v>155</v>
      </c>
      <c r="C813">
        <v>400</v>
      </c>
      <c r="D813" s="7">
        <v>-0.77300000000000002</v>
      </c>
      <c r="E813" s="7">
        <v>-28.31</v>
      </c>
      <c r="F813" s="7">
        <v>10.1</v>
      </c>
      <c r="G813" s="7">
        <v>10.14</v>
      </c>
      <c r="H813" s="7"/>
      <c r="I813" s="7"/>
      <c r="J813" s="7"/>
      <c r="K813" s="7">
        <v>0.47899999999999998</v>
      </c>
      <c r="L813" s="7">
        <v>253</v>
      </c>
      <c r="M813" s="7">
        <v>0</v>
      </c>
      <c r="N813" s="7"/>
      <c r="O813">
        <v>-10.98</v>
      </c>
      <c r="P813">
        <v>-10.95</v>
      </c>
      <c r="Q813">
        <v>15.31</v>
      </c>
      <c r="S813">
        <v>15.39</v>
      </c>
      <c r="T813">
        <v>0</v>
      </c>
      <c r="U813">
        <v>99.5</v>
      </c>
      <c r="V813">
        <v>725</v>
      </c>
      <c r="W813">
        <v>29.62</v>
      </c>
      <c r="Y813">
        <v>12.96</v>
      </c>
    </row>
    <row r="814" spans="1:25" x14ac:dyDescent="0.25">
      <c r="A814">
        <v>2006</v>
      </c>
      <c r="B814">
        <v>155</v>
      </c>
      <c r="C814">
        <v>500</v>
      </c>
      <c r="D814" s="7">
        <v>5.4210000000000003</v>
      </c>
      <c r="E814" s="7">
        <v>-15.17</v>
      </c>
      <c r="F814" s="7">
        <v>11.46</v>
      </c>
      <c r="G814" s="7">
        <v>11.66</v>
      </c>
      <c r="H814" s="7"/>
      <c r="I814" s="7"/>
      <c r="J814" s="7"/>
      <c r="K814" s="7">
        <v>1.282</v>
      </c>
      <c r="L814" s="7">
        <v>257.2</v>
      </c>
      <c r="M814" s="7">
        <v>0</v>
      </c>
      <c r="N814" s="7"/>
      <c r="O814">
        <v>-3.2679999999999998</v>
      </c>
      <c r="P814">
        <v>-8.5399999999999991</v>
      </c>
      <c r="Q814">
        <v>15.14</v>
      </c>
      <c r="S814">
        <v>15.26</v>
      </c>
      <c r="T814">
        <v>0</v>
      </c>
      <c r="U814">
        <v>97.8</v>
      </c>
      <c r="V814">
        <v>724</v>
      </c>
      <c r="W814">
        <v>29.57</v>
      </c>
      <c r="Y814">
        <v>12.93</v>
      </c>
    </row>
    <row r="815" spans="1:25" x14ac:dyDescent="0.25">
      <c r="A815">
        <v>2006</v>
      </c>
      <c r="B815">
        <v>155</v>
      </c>
      <c r="C815">
        <v>600</v>
      </c>
      <c r="D815" s="7">
        <v>45.78</v>
      </c>
      <c r="E815" s="7">
        <v>7.5</v>
      </c>
      <c r="F815" s="7">
        <v>11.9</v>
      </c>
      <c r="G815" s="7">
        <v>12.03</v>
      </c>
      <c r="H815" s="7"/>
      <c r="I815" s="7"/>
      <c r="J815" s="7"/>
      <c r="K815" s="7">
        <v>1.34</v>
      </c>
      <c r="L815" s="7">
        <v>258.3</v>
      </c>
      <c r="M815" s="7">
        <v>0</v>
      </c>
      <c r="N815" s="7"/>
      <c r="O815">
        <v>47.24</v>
      </c>
      <c r="P815">
        <v>7.16</v>
      </c>
      <c r="Q815">
        <v>15.01</v>
      </c>
      <c r="S815">
        <v>15.13</v>
      </c>
      <c r="T815">
        <v>0</v>
      </c>
      <c r="U815">
        <v>98.6</v>
      </c>
      <c r="V815">
        <v>724</v>
      </c>
      <c r="W815">
        <v>29.56</v>
      </c>
      <c r="Y815">
        <v>12.95</v>
      </c>
    </row>
    <row r="816" spans="1:25" x14ac:dyDescent="0.25">
      <c r="A816">
        <v>2006</v>
      </c>
      <c r="B816">
        <v>155</v>
      </c>
      <c r="C816">
        <v>700</v>
      </c>
      <c r="D816" s="7">
        <v>167.1</v>
      </c>
      <c r="E816" s="7">
        <v>95</v>
      </c>
      <c r="F816" s="7">
        <v>12.87</v>
      </c>
      <c r="G816" s="7">
        <v>13.07</v>
      </c>
      <c r="H816" s="7"/>
      <c r="I816" s="7"/>
      <c r="J816" s="7"/>
      <c r="K816" s="7">
        <v>1.5249999999999999</v>
      </c>
      <c r="L816" s="7">
        <v>293.8</v>
      </c>
      <c r="M816" s="7">
        <v>0</v>
      </c>
      <c r="N816" s="7"/>
      <c r="O816">
        <v>218</v>
      </c>
      <c r="P816">
        <v>69.62</v>
      </c>
      <c r="Q816">
        <v>14.9</v>
      </c>
      <c r="S816">
        <v>15.02</v>
      </c>
      <c r="T816">
        <v>0</v>
      </c>
      <c r="U816">
        <v>97.8</v>
      </c>
      <c r="V816">
        <v>722</v>
      </c>
      <c r="W816">
        <v>29.5</v>
      </c>
      <c r="Y816">
        <v>13.59</v>
      </c>
    </row>
    <row r="817" spans="1:25" x14ac:dyDescent="0.25">
      <c r="A817">
        <v>2006</v>
      </c>
      <c r="B817">
        <v>155</v>
      </c>
      <c r="C817">
        <v>800</v>
      </c>
      <c r="D817" s="7">
        <v>368.8</v>
      </c>
      <c r="E817" s="7">
        <v>242.6</v>
      </c>
      <c r="F817" s="7">
        <v>14.66</v>
      </c>
      <c r="G817" s="7">
        <v>15.33</v>
      </c>
      <c r="H817" s="7"/>
      <c r="I817" s="7"/>
      <c r="J817" s="7"/>
      <c r="K817" s="7">
        <v>2.2599999999999998</v>
      </c>
      <c r="L817" s="7">
        <v>299.5</v>
      </c>
      <c r="M817" s="7">
        <v>0</v>
      </c>
      <c r="N817" s="7"/>
      <c r="O817">
        <v>492.3</v>
      </c>
      <c r="P817">
        <v>163.9</v>
      </c>
      <c r="Q817">
        <v>14.97</v>
      </c>
      <c r="S817">
        <v>15.01</v>
      </c>
      <c r="T817">
        <v>0</v>
      </c>
      <c r="U817">
        <v>93.1</v>
      </c>
      <c r="V817">
        <v>722</v>
      </c>
      <c r="W817">
        <v>29.48</v>
      </c>
      <c r="Y817">
        <v>14.25</v>
      </c>
    </row>
    <row r="818" spans="1:25" x14ac:dyDescent="0.25">
      <c r="A818">
        <v>2006</v>
      </c>
      <c r="B818">
        <v>155</v>
      </c>
      <c r="C818">
        <v>900</v>
      </c>
      <c r="D818" s="7">
        <v>458.5</v>
      </c>
      <c r="E818" s="7">
        <v>289</v>
      </c>
      <c r="F818" s="7">
        <v>15.78</v>
      </c>
      <c r="G818" s="7">
        <v>15.79</v>
      </c>
      <c r="H818" s="7">
        <f>AVERAGE(G818:G841)</f>
        <v>13.83</v>
      </c>
      <c r="I818" s="7">
        <f>MIN(G818:G841)</f>
        <v>7.08</v>
      </c>
      <c r="J818" s="7">
        <f>MAX(G818:G841)</f>
        <v>18.489999999999998</v>
      </c>
      <c r="K818" s="7">
        <v>3.2530000000000001</v>
      </c>
      <c r="L818" s="7">
        <v>307.60000000000002</v>
      </c>
      <c r="M818" s="7">
        <v>0</v>
      </c>
      <c r="N818" s="7">
        <f>SUM(M818:M841)</f>
        <v>0</v>
      </c>
      <c r="O818">
        <v>583.29999999999995</v>
      </c>
      <c r="P818">
        <v>176</v>
      </c>
      <c r="Q818">
        <v>15.06</v>
      </c>
      <c r="S818">
        <v>14.91</v>
      </c>
      <c r="T818">
        <v>0</v>
      </c>
      <c r="U818">
        <v>99.9</v>
      </c>
      <c r="V818">
        <v>720</v>
      </c>
      <c r="W818">
        <v>29.4</v>
      </c>
      <c r="Y818">
        <v>14.39</v>
      </c>
    </row>
    <row r="819" spans="1:25" x14ac:dyDescent="0.25">
      <c r="A819">
        <v>2006</v>
      </c>
      <c r="B819">
        <v>155</v>
      </c>
      <c r="C819">
        <v>1000</v>
      </c>
      <c r="D819" s="7">
        <v>608.4</v>
      </c>
      <c r="E819" s="7">
        <v>382.8</v>
      </c>
      <c r="F819" s="7">
        <v>16.7</v>
      </c>
      <c r="G819" s="7">
        <v>16.66</v>
      </c>
      <c r="H819" s="7"/>
      <c r="I819" s="7"/>
      <c r="J819" s="7"/>
      <c r="K819" s="7">
        <v>2.8969999999999998</v>
      </c>
      <c r="L819" s="7">
        <v>318.60000000000002</v>
      </c>
      <c r="M819" s="7">
        <v>0</v>
      </c>
      <c r="N819" s="7"/>
      <c r="O819">
        <v>778</v>
      </c>
      <c r="P819">
        <v>215.6</v>
      </c>
      <c r="Q819">
        <v>15.27</v>
      </c>
      <c r="S819">
        <v>14.91</v>
      </c>
      <c r="T819">
        <v>0</v>
      </c>
      <c r="U819">
        <v>100.4</v>
      </c>
      <c r="V819">
        <v>720</v>
      </c>
      <c r="W819">
        <v>29.39</v>
      </c>
      <c r="Y819">
        <v>14.57</v>
      </c>
    </row>
    <row r="820" spans="1:25" x14ac:dyDescent="0.25">
      <c r="A820">
        <v>2006</v>
      </c>
      <c r="B820">
        <v>155</v>
      </c>
      <c r="C820">
        <v>1100</v>
      </c>
      <c r="D820" s="7">
        <v>441.4</v>
      </c>
      <c r="E820" s="7">
        <v>264.89999999999998</v>
      </c>
      <c r="F820" s="7">
        <v>16.43</v>
      </c>
      <c r="G820" s="7">
        <v>16.3</v>
      </c>
      <c r="H820" s="7"/>
      <c r="I820" s="7"/>
      <c r="J820" s="7"/>
      <c r="K820" s="7">
        <v>2.5339999999999998</v>
      </c>
      <c r="L820" s="7">
        <v>0</v>
      </c>
      <c r="M820" s="7">
        <v>0</v>
      </c>
      <c r="N820" s="7"/>
      <c r="O820">
        <v>562.5</v>
      </c>
      <c r="P820">
        <v>162.9</v>
      </c>
      <c r="Q820">
        <v>15.49</v>
      </c>
      <c r="S820">
        <v>14.91</v>
      </c>
      <c r="T820">
        <v>0</v>
      </c>
      <c r="U820">
        <v>101.3</v>
      </c>
      <c r="V820">
        <v>719</v>
      </c>
      <c r="W820">
        <v>29.33</v>
      </c>
      <c r="Y820">
        <v>14.16</v>
      </c>
    </row>
    <row r="821" spans="1:25" x14ac:dyDescent="0.25">
      <c r="A821">
        <v>2006</v>
      </c>
      <c r="B821">
        <v>155</v>
      </c>
      <c r="C821">
        <v>1200</v>
      </c>
      <c r="D821" s="7">
        <v>318.10000000000002</v>
      </c>
      <c r="E821" s="7">
        <v>182</v>
      </c>
      <c r="F821" s="7">
        <v>15.81</v>
      </c>
      <c r="G821" s="7">
        <v>15.78</v>
      </c>
      <c r="H821" s="7"/>
      <c r="I821" s="7"/>
      <c r="J821" s="7"/>
      <c r="K821" s="7">
        <v>2.5099999999999998</v>
      </c>
      <c r="L821" s="7">
        <v>0</v>
      </c>
      <c r="M821" s="7">
        <v>0</v>
      </c>
      <c r="N821" s="7"/>
      <c r="O821">
        <v>405.7</v>
      </c>
      <c r="P821">
        <v>116.3</v>
      </c>
      <c r="Q821">
        <v>15.73</v>
      </c>
      <c r="S821">
        <v>15.01</v>
      </c>
      <c r="T821">
        <v>0</v>
      </c>
      <c r="U821">
        <v>100.2</v>
      </c>
      <c r="V821">
        <v>717</v>
      </c>
      <c r="W821">
        <v>29.26</v>
      </c>
      <c r="Y821">
        <v>13.95</v>
      </c>
    </row>
    <row r="822" spans="1:25" x14ac:dyDescent="0.25">
      <c r="A822">
        <v>2006</v>
      </c>
      <c r="B822">
        <v>155</v>
      </c>
      <c r="C822">
        <v>1300</v>
      </c>
      <c r="D822" s="7">
        <v>437.3</v>
      </c>
      <c r="E822" s="7">
        <v>260.60000000000002</v>
      </c>
      <c r="F822" s="7">
        <v>16.920000000000002</v>
      </c>
      <c r="G822" s="7">
        <v>16.8</v>
      </c>
      <c r="H822" s="7"/>
      <c r="I822" s="7"/>
      <c r="J822" s="7"/>
      <c r="K822" s="7">
        <v>2.31</v>
      </c>
      <c r="L822" s="7">
        <v>0</v>
      </c>
      <c r="M822" s="7">
        <v>0</v>
      </c>
      <c r="N822" s="7"/>
      <c r="O822">
        <v>550.5</v>
      </c>
      <c r="P822">
        <v>158.30000000000001</v>
      </c>
      <c r="Q822">
        <v>15.97</v>
      </c>
      <c r="S822">
        <v>15.25</v>
      </c>
      <c r="T822">
        <v>0</v>
      </c>
      <c r="U822">
        <v>101.2</v>
      </c>
      <c r="V822">
        <v>716</v>
      </c>
      <c r="W822">
        <v>29.19</v>
      </c>
      <c r="Y822">
        <v>14.17</v>
      </c>
    </row>
    <row r="823" spans="1:25" x14ac:dyDescent="0.25">
      <c r="A823">
        <v>2006</v>
      </c>
      <c r="B823">
        <v>155</v>
      </c>
      <c r="C823">
        <v>1400</v>
      </c>
      <c r="D823" s="7">
        <v>546.29999999999995</v>
      </c>
      <c r="E823" s="7">
        <v>321.89999999999998</v>
      </c>
      <c r="F823" s="7">
        <v>17.170000000000002</v>
      </c>
      <c r="G823" s="7">
        <v>17.12</v>
      </c>
      <c r="H823" s="7"/>
      <c r="I823" s="7"/>
      <c r="J823" s="7"/>
      <c r="K823" s="7">
        <v>2.29</v>
      </c>
      <c r="L823" s="7">
        <v>0</v>
      </c>
      <c r="M823" s="7">
        <v>0</v>
      </c>
      <c r="N823" s="7"/>
      <c r="O823">
        <v>689.1</v>
      </c>
      <c r="P823">
        <v>194.4</v>
      </c>
      <c r="Q823">
        <v>16.18</v>
      </c>
      <c r="S823">
        <v>15.41</v>
      </c>
      <c r="T823">
        <v>0</v>
      </c>
      <c r="U823">
        <v>100.4</v>
      </c>
      <c r="V823">
        <v>714</v>
      </c>
      <c r="W823">
        <v>29.14</v>
      </c>
      <c r="Y823">
        <v>14.21</v>
      </c>
    </row>
    <row r="824" spans="1:25" x14ac:dyDescent="0.25">
      <c r="A824">
        <v>2006</v>
      </c>
      <c r="B824">
        <v>155</v>
      </c>
      <c r="C824">
        <v>1500</v>
      </c>
      <c r="D824" s="7">
        <v>419.1</v>
      </c>
      <c r="E824" s="7">
        <v>242.4</v>
      </c>
      <c r="F824" s="7">
        <v>17.829999999999998</v>
      </c>
      <c r="G824" s="7">
        <v>17.71</v>
      </c>
      <c r="H824" s="7"/>
      <c r="I824" s="7"/>
      <c r="J824" s="7"/>
      <c r="K824" s="7">
        <v>2.2799999999999998</v>
      </c>
      <c r="L824" s="7">
        <v>0</v>
      </c>
      <c r="M824" s="7">
        <v>0</v>
      </c>
      <c r="N824" s="7"/>
      <c r="O824">
        <v>536.20000000000005</v>
      </c>
      <c r="P824">
        <v>161.1</v>
      </c>
      <c r="Q824">
        <v>16.37</v>
      </c>
      <c r="S824">
        <v>15.55</v>
      </c>
      <c r="T824">
        <v>0</v>
      </c>
      <c r="U824">
        <v>101.2</v>
      </c>
      <c r="V824">
        <v>713</v>
      </c>
      <c r="W824">
        <v>29.08</v>
      </c>
      <c r="Y824">
        <v>14.12</v>
      </c>
    </row>
    <row r="825" spans="1:25" x14ac:dyDescent="0.25">
      <c r="A825">
        <v>2006</v>
      </c>
      <c r="B825">
        <v>155</v>
      </c>
      <c r="C825">
        <v>1600</v>
      </c>
      <c r="D825" s="7">
        <v>383.8</v>
      </c>
      <c r="E825" s="7">
        <v>220.6</v>
      </c>
      <c r="F825" s="7">
        <v>17.98</v>
      </c>
      <c r="G825" s="7">
        <v>17.84</v>
      </c>
      <c r="H825" s="7"/>
      <c r="I825" s="7"/>
      <c r="J825" s="7"/>
      <c r="K825" s="7">
        <v>1.9950000000000001</v>
      </c>
      <c r="L825" s="7">
        <v>0</v>
      </c>
      <c r="M825" s="7">
        <v>0</v>
      </c>
      <c r="N825" s="7"/>
      <c r="O825">
        <v>481.7</v>
      </c>
      <c r="P825">
        <v>153.5</v>
      </c>
      <c r="Q825">
        <v>16.559999999999999</v>
      </c>
      <c r="S825">
        <v>15.68</v>
      </c>
      <c r="T825">
        <v>0</v>
      </c>
      <c r="U825">
        <v>101.3</v>
      </c>
      <c r="V825">
        <v>712</v>
      </c>
      <c r="W825">
        <v>29.04</v>
      </c>
      <c r="Y825">
        <v>14.06</v>
      </c>
    </row>
    <row r="826" spans="1:25" x14ac:dyDescent="0.25">
      <c r="A826">
        <v>2006</v>
      </c>
      <c r="B826">
        <v>155</v>
      </c>
      <c r="C826">
        <v>1700</v>
      </c>
      <c r="D826" s="7">
        <v>435.2</v>
      </c>
      <c r="E826" s="7">
        <v>247.8</v>
      </c>
      <c r="F826" s="7">
        <v>18.71</v>
      </c>
      <c r="G826" s="7">
        <v>18.489999999999998</v>
      </c>
      <c r="H826" s="7"/>
      <c r="I826" s="7"/>
      <c r="J826" s="7"/>
      <c r="K826" s="7">
        <v>1.728</v>
      </c>
      <c r="L826" s="7">
        <v>0</v>
      </c>
      <c r="M826" s="7">
        <v>0</v>
      </c>
      <c r="N826" s="7"/>
      <c r="O826">
        <v>531</v>
      </c>
      <c r="P826">
        <v>192.1</v>
      </c>
      <c r="Q826">
        <v>16.760000000000002</v>
      </c>
      <c r="S826">
        <v>15.88</v>
      </c>
      <c r="T826">
        <v>0</v>
      </c>
      <c r="U826">
        <v>102.1</v>
      </c>
      <c r="V826">
        <v>709</v>
      </c>
      <c r="W826">
        <v>28.92</v>
      </c>
      <c r="Y826">
        <v>14.02</v>
      </c>
    </row>
    <row r="827" spans="1:25" x14ac:dyDescent="0.25">
      <c r="A827">
        <v>2006</v>
      </c>
      <c r="B827">
        <v>155</v>
      </c>
      <c r="C827">
        <v>1800</v>
      </c>
      <c r="D827" s="7">
        <v>252.4</v>
      </c>
      <c r="E827" s="7">
        <v>126.2</v>
      </c>
      <c r="F827" s="7">
        <v>18.13</v>
      </c>
      <c r="G827" s="7">
        <v>17.989999999999998</v>
      </c>
      <c r="H827" s="7"/>
      <c r="I827" s="7"/>
      <c r="J827" s="7"/>
      <c r="K827" s="7">
        <v>1.782</v>
      </c>
      <c r="L827" s="7">
        <v>0</v>
      </c>
      <c r="M827" s="7">
        <v>0</v>
      </c>
      <c r="N827" s="7"/>
      <c r="O827">
        <v>310</v>
      </c>
      <c r="P827">
        <v>112.4</v>
      </c>
      <c r="Q827">
        <v>16.91</v>
      </c>
      <c r="S827">
        <v>15.99</v>
      </c>
      <c r="T827">
        <v>0</v>
      </c>
      <c r="U827">
        <v>101.4</v>
      </c>
      <c r="V827">
        <v>709</v>
      </c>
      <c r="W827">
        <v>28.9</v>
      </c>
      <c r="Y827">
        <v>13.83</v>
      </c>
    </row>
    <row r="828" spans="1:25" x14ac:dyDescent="0.25">
      <c r="A828">
        <v>2006</v>
      </c>
      <c r="B828">
        <v>155</v>
      </c>
      <c r="C828">
        <v>1900</v>
      </c>
      <c r="D828" s="7">
        <v>127.5</v>
      </c>
      <c r="E828" s="7">
        <v>50.48</v>
      </c>
      <c r="F828" s="7">
        <v>17.95</v>
      </c>
      <c r="G828" s="7">
        <v>17.79</v>
      </c>
      <c r="H828" s="7"/>
      <c r="I828" s="7"/>
      <c r="J828" s="7"/>
      <c r="K828" s="7">
        <v>1.075</v>
      </c>
      <c r="L828" s="7">
        <v>0</v>
      </c>
      <c r="M828" s="7">
        <v>0</v>
      </c>
      <c r="N828" s="7"/>
      <c r="O828">
        <v>160.30000000000001</v>
      </c>
      <c r="P828">
        <v>48.35</v>
      </c>
      <c r="Q828">
        <v>17.03</v>
      </c>
      <c r="S828">
        <v>16.13</v>
      </c>
      <c r="T828">
        <v>0</v>
      </c>
      <c r="U828">
        <v>101.6</v>
      </c>
      <c r="V828">
        <v>708</v>
      </c>
      <c r="W828">
        <v>28.86</v>
      </c>
      <c r="Y828">
        <v>13.72</v>
      </c>
    </row>
    <row r="829" spans="1:25" x14ac:dyDescent="0.25">
      <c r="A829">
        <v>2006</v>
      </c>
      <c r="B829">
        <v>155</v>
      </c>
      <c r="C829">
        <v>2000</v>
      </c>
      <c r="D829" s="7">
        <v>42.29</v>
      </c>
      <c r="E829" s="7">
        <v>-5.8070000000000004</v>
      </c>
      <c r="F829" s="7">
        <v>16.36</v>
      </c>
      <c r="G829" s="7">
        <v>16.04</v>
      </c>
      <c r="H829" s="7"/>
      <c r="I829" s="7"/>
      <c r="J829" s="7"/>
      <c r="K829" s="7">
        <v>1.649</v>
      </c>
      <c r="L829" s="7">
        <v>0</v>
      </c>
      <c r="M829" s="7">
        <v>0</v>
      </c>
      <c r="N829" s="7"/>
      <c r="O829">
        <v>46.22</v>
      </c>
      <c r="P829">
        <v>14.01</v>
      </c>
      <c r="Q829">
        <v>17.03</v>
      </c>
      <c r="S829">
        <v>16.16</v>
      </c>
      <c r="T829">
        <v>0</v>
      </c>
      <c r="U829">
        <v>103.3</v>
      </c>
      <c r="V829">
        <v>709</v>
      </c>
      <c r="W829">
        <v>28.88</v>
      </c>
      <c r="Y829">
        <v>13.54</v>
      </c>
    </row>
    <row r="830" spans="1:25" x14ac:dyDescent="0.25">
      <c r="A830">
        <v>2006</v>
      </c>
      <c r="B830">
        <v>155</v>
      </c>
      <c r="C830">
        <v>2100</v>
      </c>
      <c r="D830" s="7">
        <v>11.61</v>
      </c>
      <c r="E830" s="7">
        <v>-40.229999999999997</v>
      </c>
      <c r="F830" s="7">
        <v>14.4</v>
      </c>
      <c r="G830" s="7">
        <v>14</v>
      </c>
      <c r="H830" s="7"/>
      <c r="I830" s="7"/>
      <c r="J830" s="7"/>
      <c r="K830" s="7">
        <v>1.3280000000000001</v>
      </c>
      <c r="L830" s="7">
        <v>42.26</v>
      </c>
      <c r="M830" s="7">
        <v>0</v>
      </c>
      <c r="N830" s="7"/>
      <c r="O830">
        <v>5.7930000000000001</v>
      </c>
      <c r="P830">
        <v>-4.13</v>
      </c>
      <c r="Q830">
        <v>16.96</v>
      </c>
      <c r="S830">
        <v>16.18</v>
      </c>
      <c r="T830">
        <v>0</v>
      </c>
      <c r="U830">
        <v>104.3</v>
      </c>
      <c r="V830">
        <v>709</v>
      </c>
      <c r="W830">
        <v>28.89</v>
      </c>
      <c r="Y830">
        <v>13.4</v>
      </c>
    </row>
    <row r="831" spans="1:25" x14ac:dyDescent="0.25">
      <c r="A831">
        <v>2006</v>
      </c>
      <c r="B831">
        <v>155</v>
      </c>
      <c r="C831">
        <v>2200</v>
      </c>
      <c r="D831" s="7">
        <v>-1.5820000000000001</v>
      </c>
      <c r="E831" s="7">
        <v>-36.840000000000003</v>
      </c>
      <c r="F831" s="7">
        <v>12.82</v>
      </c>
      <c r="G831" s="7">
        <v>12.4</v>
      </c>
      <c r="H831" s="7"/>
      <c r="I831" s="7"/>
      <c r="J831" s="7"/>
      <c r="K831" s="7">
        <v>0.97199999999999998</v>
      </c>
      <c r="L831" s="7">
        <v>98.8</v>
      </c>
      <c r="M831" s="7">
        <v>0</v>
      </c>
      <c r="N831" s="7"/>
      <c r="O831">
        <v>-11.8</v>
      </c>
      <c r="P831">
        <v>-11.37</v>
      </c>
      <c r="Q831">
        <v>16.829999999999998</v>
      </c>
      <c r="S831">
        <v>16.170000000000002</v>
      </c>
      <c r="T831">
        <v>0</v>
      </c>
      <c r="U831">
        <v>104.7</v>
      </c>
      <c r="V831">
        <v>714</v>
      </c>
      <c r="W831">
        <v>29.14</v>
      </c>
      <c r="Y831">
        <v>13.31</v>
      </c>
    </row>
    <row r="832" spans="1:25" x14ac:dyDescent="0.25">
      <c r="A832">
        <v>2006</v>
      </c>
      <c r="B832">
        <v>155</v>
      </c>
      <c r="C832">
        <v>2300</v>
      </c>
      <c r="D832" s="7">
        <v>-1.6459999999999999</v>
      </c>
      <c r="E832" s="7">
        <v>-30.65</v>
      </c>
      <c r="F832" s="7">
        <v>12.06</v>
      </c>
      <c r="G832" s="7">
        <v>11.68</v>
      </c>
      <c r="H832" s="7"/>
      <c r="I832" s="7"/>
      <c r="J832" s="7"/>
      <c r="K832" s="7">
        <v>0.875</v>
      </c>
      <c r="L832" s="7">
        <v>112.3</v>
      </c>
      <c r="M832" s="7">
        <v>0</v>
      </c>
      <c r="N832" s="7"/>
      <c r="O832">
        <v>-12.16</v>
      </c>
      <c r="P832">
        <v>-11.48</v>
      </c>
      <c r="Q832">
        <v>16.649999999999999</v>
      </c>
      <c r="S832">
        <v>16.12</v>
      </c>
      <c r="T832">
        <v>0</v>
      </c>
      <c r="U832">
        <v>104.4</v>
      </c>
      <c r="V832">
        <v>718</v>
      </c>
      <c r="W832">
        <v>29.3</v>
      </c>
      <c r="Y832">
        <v>13.23</v>
      </c>
    </row>
    <row r="833" spans="1:25" x14ac:dyDescent="0.25">
      <c r="A833">
        <v>2006</v>
      </c>
      <c r="B833">
        <v>155</v>
      </c>
      <c r="C833">
        <v>2400</v>
      </c>
      <c r="D833" s="7">
        <v>-1.325</v>
      </c>
      <c r="E833" s="7">
        <v>-22.99</v>
      </c>
      <c r="F833" s="7">
        <v>11.47</v>
      </c>
      <c r="G833" s="7">
        <v>11.19</v>
      </c>
      <c r="H833" s="7"/>
      <c r="I833" s="7"/>
      <c r="J833" s="7"/>
      <c r="K833" s="7">
        <v>0.54200000000000004</v>
      </c>
      <c r="L833" s="7">
        <v>126.7</v>
      </c>
      <c r="M833" s="7">
        <v>0</v>
      </c>
      <c r="N833" s="7"/>
      <c r="O833">
        <v>-12.17</v>
      </c>
      <c r="P833">
        <v>-11.47</v>
      </c>
      <c r="Q833">
        <v>16.45</v>
      </c>
      <c r="S833">
        <v>16.04</v>
      </c>
      <c r="T833">
        <v>0</v>
      </c>
      <c r="U833">
        <v>103.2</v>
      </c>
      <c r="V833">
        <v>715</v>
      </c>
      <c r="W833">
        <v>29.15</v>
      </c>
      <c r="Y833">
        <v>13.16</v>
      </c>
    </row>
    <row r="834" spans="1:25" x14ac:dyDescent="0.25">
      <c r="A834">
        <v>2006</v>
      </c>
      <c r="B834">
        <v>156</v>
      </c>
      <c r="C834">
        <v>100</v>
      </c>
      <c r="D834" s="7">
        <v>-1.74</v>
      </c>
      <c r="E834" s="7">
        <v>-27.21</v>
      </c>
      <c r="F834" s="7">
        <v>10.8</v>
      </c>
      <c r="G834" s="7">
        <v>10.52</v>
      </c>
      <c r="H834" s="7"/>
      <c r="I834" s="7"/>
      <c r="J834" s="7"/>
      <c r="K834" s="7">
        <v>0.40600000000000003</v>
      </c>
      <c r="L834" s="7">
        <v>146</v>
      </c>
      <c r="M834" s="7">
        <v>0</v>
      </c>
      <c r="N834" s="7"/>
      <c r="O834">
        <v>-12.17</v>
      </c>
      <c r="P834">
        <v>-11.47</v>
      </c>
      <c r="Q834">
        <v>16.260000000000002</v>
      </c>
      <c r="S834">
        <v>15.93</v>
      </c>
      <c r="T834">
        <v>0</v>
      </c>
      <c r="U834">
        <v>103.5</v>
      </c>
      <c r="V834">
        <v>716</v>
      </c>
      <c r="W834">
        <v>29.22</v>
      </c>
      <c r="Y834">
        <v>13.1</v>
      </c>
    </row>
    <row r="835" spans="1:25" x14ac:dyDescent="0.25">
      <c r="A835">
        <v>2006</v>
      </c>
      <c r="B835">
        <v>156</v>
      </c>
      <c r="C835">
        <v>200</v>
      </c>
      <c r="D835" s="7">
        <v>-2.758</v>
      </c>
      <c r="E835" s="7">
        <v>-33.979999999999997</v>
      </c>
      <c r="F835" s="7">
        <v>8.32</v>
      </c>
      <c r="G835" s="7">
        <v>8.11</v>
      </c>
      <c r="H835" s="7"/>
      <c r="I835" s="7"/>
      <c r="J835" s="7"/>
      <c r="K835" s="7">
        <v>0.255</v>
      </c>
      <c r="L835" s="7">
        <v>254.4</v>
      </c>
      <c r="M835" s="7">
        <v>0</v>
      </c>
      <c r="N835" s="7"/>
      <c r="O835">
        <v>-12.17</v>
      </c>
      <c r="P835">
        <v>-11.47</v>
      </c>
      <c r="Q835">
        <v>16.04</v>
      </c>
      <c r="S835">
        <v>15.78</v>
      </c>
      <c r="T835">
        <v>0</v>
      </c>
      <c r="U835">
        <v>102.7</v>
      </c>
      <c r="V835">
        <v>725</v>
      </c>
      <c r="W835">
        <v>29.62</v>
      </c>
      <c r="Y835">
        <v>13.04</v>
      </c>
    </row>
    <row r="836" spans="1:25" x14ac:dyDescent="0.25">
      <c r="A836">
        <v>2006</v>
      </c>
      <c r="B836">
        <v>156</v>
      </c>
      <c r="C836">
        <v>300</v>
      </c>
      <c r="D836" s="7">
        <v>-2.351</v>
      </c>
      <c r="E836" s="7">
        <v>-31.37</v>
      </c>
      <c r="F836" s="7">
        <v>7.22</v>
      </c>
      <c r="G836" s="7">
        <v>7.08</v>
      </c>
      <c r="H836" s="7"/>
      <c r="I836" s="7"/>
      <c r="J836" s="7"/>
      <c r="K836" s="7">
        <v>0.107</v>
      </c>
      <c r="L836" s="7">
        <v>248.6</v>
      </c>
      <c r="M836" s="7">
        <v>0</v>
      </c>
      <c r="N836" s="7"/>
      <c r="O836">
        <v>-12.06</v>
      </c>
      <c r="P836">
        <v>-11.38</v>
      </c>
      <c r="Q836">
        <v>15.79</v>
      </c>
      <c r="S836">
        <v>15.64</v>
      </c>
      <c r="T836">
        <v>0</v>
      </c>
      <c r="U836">
        <v>101.8</v>
      </c>
      <c r="V836">
        <v>718</v>
      </c>
      <c r="W836">
        <v>29.3</v>
      </c>
      <c r="Y836">
        <v>12.99</v>
      </c>
    </row>
    <row r="837" spans="1:25" x14ac:dyDescent="0.25">
      <c r="A837">
        <v>2006</v>
      </c>
      <c r="B837">
        <v>156</v>
      </c>
      <c r="C837">
        <v>400</v>
      </c>
      <c r="D837" s="7">
        <v>0.161</v>
      </c>
      <c r="E837" s="7">
        <v>-21.72</v>
      </c>
      <c r="F837" s="7">
        <v>7.99</v>
      </c>
      <c r="G837" s="7">
        <v>7.96</v>
      </c>
      <c r="H837" s="7"/>
      <c r="I837" s="7"/>
      <c r="J837" s="7"/>
      <c r="K837" s="7">
        <v>0.33</v>
      </c>
      <c r="L837" s="7">
        <v>149.30000000000001</v>
      </c>
      <c r="M837" s="7">
        <v>0</v>
      </c>
      <c r="N837" s="7"/>
      <c r="O837">
        <v>-9.58</v>
      </c>
      <c r="P837">
        <v>-10.43</v>
      </c>
      <c r="Q837">
        <v>15.5</v>
      </c>
      <c r="S837">
        <v>15.49</v>
      </c>
      <c r="T837">
        <v>0</v>
      </c>
      <c r="U837">
        <v>100.4</v>
      </c>
      <c r="V837">
        <v>715</v>
      </c>
      <c r="W837">
        <v>29.16</v>
      </c>
      <c r="Y837">
        <v>12.95</v>
      </c>
    </row>
    <row r="838" spans="1:25" x14ac:dyDescent="0.25">
      <c r="A838">
        <v>2006</v>
      </c>
      <c r="B838">
        <v>156</v>
      </c>
      <c r="C838">
        <v>500</v>
      </c>
      <c r="D838" s="7">
        <v>15.32</v>
      </c>
      <c r="E838" s="7">
        <v>-4.3719999999999999</v>
      </c>
      <c r="F838" s="7">
        <v>8.84</v>
      </c>
      <c r="G838" s="7">
        <v>8.81</v>
      </c>
      <c r="H838" s="7"/>
      <c r="I838" s="7"/>
      <c r="J838" s="7"/>
      <c r="K838" s="7">
        <v>0.22800000000000001</v>
      </c>
      <c r="L838" s="7">
        <v>154.69999999999999</v>
      </c>
      <c r="M838" s="7">
        <v>0</v>
      </c>
      <c r="N838" s="7"/>
      <c r="O838">
        <v>8.0500000000000007</v>
      </c>
      <c r="P838">
        <v>-5.0199999999999996</v>
      </c>
      <c r="Q838">
        <v>15.25</v>
      </c>
      <c r="S838">
        <v>15.33</v>
      </c>
      <c r="T838">
        <v>0</v>
      </c>
      <c r="U838">
        <v>100.4</v>
      </c>
      <c r="V838">
        <v>711</v>
      </c>
      <c r="W838">
        <v>28.97</v>
      </c>
      <c r="Y838">
        <v>12.92</v>
      </c>
    </row>
    <row r="839" spans="1:25" x14ac:dyDescent="0.25">
      <c r="A839">
        <v>2006</v>
      </c>
      <c r="B839">
        <v>156</v>
      </c>
      <c r="C839">
        <v>600</v>
      </c>
      <c r="D839" s="7">
        <v>53.22</v>
      </c>
      <c r="E839" s="7">
        <v>25.17</v>
      </c>
      <c r="F839" s="7">
        <v>10.85</v>
      </c>
      <c r="G839" s="7">
        <v>10.73</v>
      </c>
      <c r="H839" s="7"/>
      <c r="I839" s="7"/>
      <c r="J839" s="7"/>
      <c r="K839" s="7">
        <v>0.45</v>
      </c>
      <c r="L839" s="7">
        <v>225</v>
      </c>
      <c r="M839" s="7">
        <v>0</v>
      </c>
      <c r="N839" s="7"/>
      <c r="O839">
        <v>55.44</v>
      </c>
      <c r="P839">
        <v>9.41</v>
      </c>
      <c r="Q839">
        <v>15.09</v>
      </c>
      <c r="S839">
        <v>15.22</v>
      </c>
      <c r="T839">
        <v>0</v>
      </c>
      <c r="U839">
        <v>101.4</v>
      </c>
      <c r="V839">
        <v>710</v>
      </c>
      <c r="W839">
        <v>28.92</v>
      </c>
      <c r="Y839">
        <v>12.99</v>
      </c>
    </row>
    <row r="840" spans="1:25" x14ac:dyDescent="0.25">
      <c r="A840">
        <v>2006</v>
      </c>
      <c r="B840">
        <v>156</v>
      </c>
      <c r="C840">
        <v>700</v>
      </c>
      <c r="D840" s="7">
        <v>148.4</v>
      </c>
      <c r="E840" s="7">
        <v>88.9</v>
      </c>
      <c r="F840" s="7">
        <v>11.67</v>
      </c>
      <c r="G840" s="7">
        <v>11.45</v>
      </c>
      <c r="H840" s="7"/>
      <c r="I840" s="7"/>
      <c r="J840" s="7"/>
      <c r="K840" s="7">
        <v>0.56100000000000005</v>
      </c>
      <c r="L840" s="7">
        <v>262.7</v>
      </c>
      <c r="M840" s="7">
        <v>0</v>
      </c>
      <c r="N840" s="7"/>
      <c r="O840">
        <v>179.7</v>
      </c>
      <c r="P840">
        <v>48.7</v>
      </c>
      <c r="Q840">
        <v>15</v>
      </c>
      <c r="S840">
        <v>15.1</v>
      </c>
      <c r="T840">
        <v>0</v>
      </c>
      <c r="U840">
        <v>102.6</v>
      </c>
      <c r="V840">
        <v>708</v>
      </c>
      <c r="W840">
        <v>28.87</v>
      </c>
      <c r="Y840">
        <v>13.59</v>
      </c>
    </row>
    <row r="841" spans="1:25" x14ac:dyDescent="0.25">
      <c r="A841">
        <v>2006</v>
      </c>
      <c r="B841">
        <v>156</v>
      </c>
      <c r="C841">
        <v>800</v>
      </c>
      <c r="D841" s="7">
        <v>380.8</v>
      </c>
      <c r="E841" s="7">
        <v>262.89999999999998</v>
      </c>
      <c r="F841" s="7">
        <v>13.66</v>
      </c>
      <c r="G841" s="7">
        <v>13.68</v>
      </c>
      <c r="H841" s="7"/>
      <c r="I841" s="7"/>
      <c r="J841" s="7"/>
      <c r="K841" s="7">
        <v>0.59399999999999997</v>
      </c>
      <c r="L841" s="7">
        <v>231.5</v>
      </c>
      <c r="M841" s="7">
        <v>0</v>
      </c>
      <c r="N841" s="7"/>
      <c r="O841">
        <v>505.3</v>
      </c>
      <c r="P841">
        <v>163.30000000000001</v>
      </c>
      <c r="Q841">
        <v>15.03</v>
      </c>
      <c r="S841">
        <v>15.05</v>
      </c>
      <c r="T841">
        <v>0</v>
      </c>
      <c r="U841">
        <v>100</v>
      </c>
      <c r="V841">
        <v>707</v>
      </c>
      <c r="W841">
        <v>28.81</v>
      </c>
      <c r="Y841">
        <v>14.19</v>
      </c>
    </row>
    <row r="842" spans="1:25" x14ac:dyDescent="0.25">
      <c r="A842">
        <v>2006</v>
      </c>
      <c r="B842">
        <v>156</v>
      </c>
      <c r="C842">
        <v>900</v>
      </c>
      <c r="D842" s="7">
        <v>507</v>
      </c>
      <c r="E842" s="7">
        <v>338.4</v>
      </c>
      <c r="F842" s="7">
        <v>15.8</v>
      </c>
      <c r="G842" s="7">
        <v>16.59</v>
      </c>
      <c r="H842" s="7">
        <f>AVERAGE(G842:G865)</f>
        <v>15.237499999999997</v>
      </c>
      <c r="I842" s="7">
        <f>MIN(G842:G865)</f>
        <v>7.8</v>
      </c>
      <c r="J842" s="7">
        <f>MAX(G842:G865)</f>
        <v>22</v>
      </c>
      <c r="K842" s="7">
        <v>0.84099999999999997</v>
      </c>
      <c r="L842" s="7">
        <v>317.8</v>
      </c>
      <c r="M842" s="7">
        <v>0</v>
      </c>
      <c r="N842" s="7">
        <f>SUM(M842:M865)</f>
        <v>0</v>
      </c>
      <c r="O842">
        <v>654.20000000000005</v>
      </c>
      <c r="P842">
        <v>197</v>
      </c>
      <c r="Q842">
        <v>15.18</v>
      </c>
      <c r="S842">
        <v>15.04</v>
      </c>
      <c r="T842">
        <v>0</v>
      </c>
      <c r="U842">
        <v>92.3</v>
      </c>
      <c r="V842">
        <v>706</v>
      </c>
      <c r="W842">
        <v>28.74</v>
      </c>
      <c r="Y842">
        <v>14.57</v>
      </c>
    </row>
    <row r="843" spans="1:25" x14ac:dyDescent="0.25">
      <c r="A843">
        <v>2006</v>
      </c>
      <c r="B843">
        <v>156</v>
      </c>
      <c r="C843">
        <v>1000</v>
      </c>
      <c r="D843" s="7">
        <v>525.5</v>
      </c>
      <c r="E843" s="7">
        <v>330.1</v>
      </c>
      <c r="F843" s="7">
        <v>18.489999999999998</v>
      </c>
      <c r="G843" s="7">
        <v>18.71</v>
      </c>
      <c r="H843" s="7"/>
      <c r="I843" s="7"/>
      <c r="J843" s="7"/>
      <c r="K843" s="7">
        <v>0.68700000000000006</v>
      </c>
      <c r="L843" s="7">
        <v>343.6</v>
      </c>
      <c r="M843" s="7">
        <v>0</v>
      </c>
      <c r="N843" s="7"/>
      <c r="O843">
        <v>673.1</v>
      </c>
      <c r="P843">
        <v>185</v>
      </c>
      <c r="Q843">
        <v>15.4</v>
      </c>
      <c r="S843">
        <v>15</v>
      </c>
      <c r="T843">
        <v>0</v>
      </c>
      <c r="U843">
        <v>97.9</v>
      </c>
      <c r="V843">
        <v>705</v>
      </c>
      <c r="W843">
        <v>28.7</v>
      </c>
      <c r="Y843">
        <v>14.42</v>
      </c>
    </row>
    <row r="844" spans="1:25" x14ac:dyDescent="0.25">
      <c r="A844">
        <v>2006</v>
      </c>
      <c r="B844">
        <v>156</v>
      </c>
      <c r="C844">
        <v>1100</v>
      </c>
      <c r="D844" s="7">
        <v>525.5</v>
      </c>
      <c r="E844" s="7">
        <v>325.5</v>
      </c>
      <c r="F844" s="7">
        <v>19.91</v>
      </c>
      <c r="G844" s="7">
        <v>19.46</v>
      </c>
      <c r="H844" s="7"/>
      <c r="I844" s="7"/>
      <c r="J844" s="7"/>
      <c r="K844" s="7">
        <v>1.0289999999999999</v>
      </c>
      <c r="L844" s="7">
        <v>285.2</v>
      </c>
      <c r="M844" s="7">
        <v>0</v>
      </c>
      <c r="N844" s="7"/>
      <c r="O844">
        <v>656.4</v>
      </c>
      <c r="P844">
        <v>182.8</v>
      </c>
      <c r="Q844">
        <v>15.71</v>
      </c>
      <c r="S844">
        <v>15.07</v>
      </c>
      <c r="T844">
        <v>0</v>
      </c>
      <c r="U844">
        <v>104.2</v>
      </c>
      <c r="V844">
        <v>702</v>
      </c>
      <c r="W844">
        <v>28.6</v>
      </c>
      <c r="Y844">
        <v>14.32</v>
      </c>
    </row>
    <row r="845" spans="1:25" x14ac:dyDescent="0.25">
      <c r="A845">
        <v>2006</v>
      </c>
      <c r="B845">
        <v>156</v>
      </c>
      <c r="C845">
        <v>1200</v>
      </c>
      <c r="D845" s="7">
        <v>658.1</v>
      </c>
      <c r="E845" s="7">
        <v>409.9</v>
      </c>
      <c r="F845" s="7">
        <v>20.72</v>
      </c>
      <c r="G845" s="7">
        <v>20.25</v>
      </c>
      <c r="H845" s="7"/>
      <c r="I845" s="7"/>
      <c r="J845" s="7"/>
      <c r="K845" s="7">
        <v>0.98199999999999998</v>
      </c>
      <c r="L845" s="7">
        <v>252.2</v>
      </c>
      <c r="M845" s="7">
        <v>0</v>
      </c>
      <c r="N845" s="7"/>
      <c r="O845">
        <v>838</v>
      </c>
      <c r="P845">
        <v>225.6</v>
      </c>
      <c r="Q845">
        <v>16.02</v>
      </c>
      <c r="S845">
        <v>15.24</v>
      </c>
      <c r="T845">
        <v>0</v>
      </c>
      <c r="U845">
        <v>104.3</v>
      </c>
      <c r="V845">
        <v>701</v>
      </c>
      <c r="W845">
        <v>28.55</v>
      </c>
      <c r="Y845">
        <v>14.18</v>
      </c>
    </row>
    <row r="846" spans="1:25" x14ac:dyDescent="0.25">
      <c r="A846">
        <v>2006</v>
      </c>
      <c r="B846">
        <v>156</v>
      </c>
      <c r="C846">
        <v>1300</v>
      </c>
      <c r="D846" s="7">
        <v>833</v>
      </c>
      <c r="E846" s="7">
        <v>511.5</v>
      </c>
      <c r="F846" s="7">
        <v>22.09</v>
      </c>
      <c r="G846" s="7">
        <v>21.53</v>
      </c>
      <c r="H846" s="7"/>
      <c r="I846" s="7"/>
      <c r="J846" s="7"/>
      <c r="K846" s="7">
        <v>1.232</v>
      </c>
      <c r="L846" s="7">
        <v>240.2</v>
      </c>
      <c r="M846" s="7">
        <v>0</v>
      </c>
      <c r="N846" s="7"/>
      <c r="O846">
        <v>1048</v>
      </c>
      <c r="P846">
        <v>271.60000000000002</v>
      </c>
      <c r="Q846">
        <v>16.38</v>
      </c>
      <c r="S846">
        <v>15.51</v>
      </c>
      <c r="T846">
        <v>0</v>
      </c>
      <c r="U846">
        <v>105</v>
      </c>
      <c r="V846">
        <v>698.7</v>
      </c>
      <c r="W846">
        <v>28.43</v>
      </c>
      <c r="Y846">
        <v>14.25</v>
      </c>
    </row>
    <row r="847" spans="1:25" x14ac:dyDescent="0.25">
      <c r="A847">
        <v>2006</v>
      </c>
      <c r="B847">
        <v>156</v>
      </c>
      <c r="C847">
        <v>1400</v>
      </c>
      <c r="D847" s="7">
        <v>623.20000000000005</v>
      </c>
      <c r="E847" s="7">
        <v>366.4</v>
      </c>
      <c r="F847" s="7">
        <v>22.74</v>
      </c>
      <c r="G847" s="7">
        <v>22</v>
      </c>
      <c r="H847" s="7"/>
      <c r="I847" s="7"/>
      <c r="J847" s="7"/>
      <c r="K847" s="7">
        <v>1.038</v>
      </c>
      <c r="L847" s="7">
        <v>251.5</v>
      </c>
      <c r="M847" s="7">
        <v>0</v>
      </c>
      <c r="N847" s="7"/>
      <c r="O847">
        <v>763</v>
      </c>
      <c r="P847">
        <v>212.8</v>
      </c>
      <c r="Q847">
        <v>16.78</v>
      </c>
      <c r="S847">
        <v>15.71</v>
      </c>
      <c r="T847">
        <v>0</v>
      </c>
      <c r="U847">
        <v>106.5</v>
      </c>
      <c r="V847">
        <v>697</v>
      </c>
      <c r="W847">
        <v>28.36</v>
      </c>
      <c r="Y847">
        <v>14.25</v>
      </c>
    </row>
    <row r="848" spans="1:25" x14ac:dyDescent="0.25">
      <c r="A848">
        <v>2006</v>
      </c>
      <c r="B848">
        <v>156</v>
      </c>
      <c r="C848">
        <v>1500</v>
      </c>
      <c r="D848" s="7">
        <v>521.20000000000005</v>
      </c>
      <c r="E848" s="7">
        <v>296</v>
      </c>
      <c r="F848" s="7">
        <v>21.77</v>
      </c>
      <c r="G848" s="7">
        <v>21.07</v>
      </c>
      <c r="H848" s="7"/>
      <c r="I848" s="7"/>
      <c r="J848" s="7"/>
      <c r="K848" s="7">
        <v>2.3330000000000002</v>
      </c>
      <c r="L848" s="7">
        <v>100.8</v>
      </c>
      <c r="M848" s="7">
        <v>0</v>
      </c>
      <c r="N848" s="7"/>
      <c r="O848">
        <v>655.9</v>
      </c>
      <c r="P848">
        <v>188.6</v>
      </c>
      <c r="Q848">
        <v>17.170000000000002</v>
      </c>
      <c r="S848">
        <v>15.96</v>
      </c>
      <c r="T848">
        <v>0</v>
      </c>
      <c r="U848">
        <v>106.3</v>
      </c>
      <c r="V848">
        <v>697.3</v>
      </c>
      <c r="W848">
        <v>28.37</v>
      </c>
      <c r="Y848">
        <v>14.12</v>
      </c>
    </row>
    <row r="849" spans="1:25" x14ac:dyDescent="0.25">
      <c r="A849">
        <v>2006</v>
      </c>
      <c r="B849">
        <v>156</v>
      </c>
      <c r="C849">
        <v>1600</v>
      </c>
      <c r="D849" s="7">
        <v>341.4</v>
      </c>
      <c r="E849" s="7">
        <v>180.1</v>
      </c>
      <c r="F849" s="7">
        <v>19.41</v>
      </c>
      <c r="G849" s="7">
        <v>19.02</v>
      </c>
      <c r="H849" s="7"/>
      <c r="I849" s="7"/>
      <c r="J849" s="7"/>
      <c r="K849" s="7">
        <v>2.528</v>
      </c>
      <c r="L849" s="7">
        <v>109.1</v>
      </c>
      <c r="M849" s="7">
        <v>0</v>
      </c>
      <c r="N849" s="7"/>
      <c r="O849">
        <v>427</v>
      </c>
      <c r="P849">
        <v>131.4</v>
      </c>
      <c r="Q849">
        <v>17.41</v>
      </c>
      <c r="S849">
        <v>16.21</v>
      </c>
      <c r="T849">
        <v>0</v>
      </c>
      <c r="U849">
        <v>103.7</v>
      </c>
      <c r="V849">
        <v>694.1</v>
      </c>
      <c r="W849">
        <v>28.23</v>
      </c>
      <c r="Y849">
        <v>13.96</v>
      </c>
    </row>
    <row r="850" spans="1:25" x14ac:dyDescent="0.25">
      <c r="A850">
        <v>2006</v>
      </c>
      <c r="B850">
        <v>156</v>
      </c>
      <c r="C850">
        <v>1700</v>
      </c>
      <c r="D850" s="7">
        <v>321.5</v>
      </c>
      <c r="E850" s="7">
        <v>162.1</v>
      </c>
      <c r="F850" s="7">
        <v>18.649999999999999</v>
      </c>
      <c r="G850" s="7">
        <v>18.39</v>
      </c>
      <c r="H850" s="7"/>
      <c r="I850" s="7"/>
      <c r="J850" s="7"/>
      <c r="K850" s="7">
        <v>2.5009999999999999</v>
      </c>
      <c r="L850" s="7">
        <v>111.7</v>
      </c>
      <c r="M850" s="7">
        <v>0</v>
      </c>
      <c r="N850" s="7"/>
      <c r="O850">
        <v>390.7</v>
      </c>
      <c r="P850">
        <v>133.1</v>
      </c>
      <c r="Q850">
        <v>17.559999999999999</v>
      </c>
      <c r="S850">
        <v>16.47</v>
      </c>
      <c r="T850">
        <v>0</v>
      </c>
      <c r="U850">
        <v>102.5</v>
      </c>
      <c r="V850">
        <v>692</v>
      </c>
      <c r="W850">
        <v>28.13</v>
      </c>
      <c r="Y850">
        <v>13.89</v>
      </c>
    </row>
    <row r="851" spans="1:25" x14ac:dyDescent="0.25">
      <c r="A851">
        <v>2006</v>
      </c>
      <c r="B851">
        <v>156</v>
      </c>
      <c r="C851">
        <v>1800</v>
      </c>
      <c r="D851" s="7">
        <v>313.60000000000002</v>
      </c>
      <c r="E851" s="7">
        <v>163.30000000000001</v>
      </c>
      <c r="F851" s="7">
        <v>18.97</v>
      </c>
      <c r="G851" s="7">
        <v>18.579999999999998</v>
      </c>
      <c r="H851" s="7"/>
      <c r="I851" s="7"/>
      <c r="J851" s="7"/>
      <c r="K851" s="7">
        <v>2.11</v>
      </c>
      <c r="L851" s="7">
        <v>113.4</v>
      </c>
      <c r="M851" s="7">
        <v>0</v>
      </c>
      <c r="N851" s="7"/>
      <c r="O851">
        <v>387.5</v>
      </c>
      <c r="P851">
        <v>164.7</v>
      </c>
      <c r="Q851">
        <v>17.62</v>
      </c>
      <c r="S851">
        <v>16.68</v>
      </c>
      <c r="T851">
        <v>0</v>
      </c>
      <c r="U851">
        <v>103.7</v>
      </c>
      <c r="V851">
        <v>690.6</v>
      </c>
      <c r="W851">
        <v>28.07</v>
      </c>
      <c r="Y851">
        <v>13.8</v>
      </c>
    </row>
    <row r="852" spans="1:25" x14ac:dyDescent="0.25">
      <c r="A852">
        <v>2006</v>
      </c>
      <c r="B852">
        <v>156</v>
      </c>
      <c r="C852">
        <v>1900</v>
      </c>
      <c r="D852" s="7">
        <v>202.7</v>
      </c>
      <c r="E852" s="7">
        <v>89.8</v>
      </c>
      <c r="F852" s="7">
        <v>18.32</v>
      </c>
      <c r="G852" s="7">
        <v>17.93</v>
      </c>
      <c r="H852" s="7"/>
      <c r="I852" s="7"/>
      <c r="J852" s="7"/>
      <c r="K852" s="7">
        <v>2.048</v>
      </c>
      <c r="L852" s="7">
        <v>111.4</v>
      </c>
      <c r="M852" s="7">
        <v>0</v>
      </c>
      <c r="N852" s="7"/>
      <c r="O852">
        <v>257.8</v>
      </c>
      <c r="P852">
        <v>138</v>
      </c>
      <c r="Q852">
        <v>17.600000000000001</v>
      </c>
      <c r="S852">
        <v>16.79</v>
      </c>
      <c r="T852">
        <v>0</v>
      </c>
      <c r="U852">
        <v>103.8</v>
      </c>
      <c r="V852">
        <v>690.4</v>
      </c>
      <c r="W852">
        <v>28.06</v>
      </c>
      <c r="Y852">
        <v>13.67</v>
      </c>
    </row>
    <row r="853" spans="1:25" x14ac:dyDescent="0.25">
      <c r="A853">
        <v>2006</v>
      </c>
      <c r="B853">
        <v>156</v>
      </c>
      <c r="C853">
        <v>2000</v>
      </c>
      <c r="D853" s="7">
        <v>91.7</v>
      </c>
      <c r="E853" s="7">
        <v>8.2200000000000006</v>
      </c>
      <c r="F853" s="7">
        <v>17.260000000000002</v>
      </c>
      <c r="G853" s="7">
        <v>16.93</v>
      </c>
      <c r="H853" s="7"/>
      <c r="I853" s="7"/>
      <c r="J853" s="7"/>
      <c r="K853" s="7">
        <v>1.4179999999999999</v>
      </c>
      <c r="L853" s="7">
        <v>111.6</v>
      </c>
      <c r="M853" s="7">
        <v>0</v>
      </c>
      <c r="N853" s="7"/>
      <c r="O853">
        <v>112.9</v>
      </c>
      <c r="P853">
        <v>70.599999999999994</v>
      </c>
      <c r="Q853">
        <v>17.489999999999998</v>
      </c>
      <c r="S853">
        <v>16.75</v>
      </c>
      <c r="T853">
        <v>0</v>
      </c>
      <c r="U853">
        <v>103.3</v>
      </c>
      <c r="V853">
        <v>689.8</v>
      </c>
      <c r="W853">
        <v>28.04</v>
      </c>
      <c r="Y853">
        <v>13.56</v>
      </c>
    </row>
    <row r="854" spans="1:25" x14ac:dyDescent="0.25">
      <c r="A854">
        <v>2006</v>
      </c>
      <c r="B854">
        <v>156</v>
      </c>
      <c r="C854">
        <v>2100</v>
      </c>
      <c r="D854" s="7">
        <v>16.34</v>
      </c>
      <c r="E854" s="7">
        <v>-47.98</v>
      </c>
      <c r="F854" s="7">
        <v>15.23</v>
      </c>
      <c r="G854" s="7">
        <v>15.02</v>
      </c>
      <c r="H854" s="7"/>
      <c r="I854" s="7"/>
      <c r="J854" s="7"/>
      <c r="K854" s="7">
        <v>1.054</v>
      </c>
      <c r="L854" s="7">
        <v>114</v>
      </c>
      <c r="M854" s="7">
        <v>0</v>
      </c>
      <c r="N854" s="7"/>
      <c r="O854">
        <v>14.35</v>
      </c>
      <c r="P854">
        <v>3.2970000000000002</v>
      </c>
      <c r="Q854">
        <v>17.38</v>
      </c>
      <c r="S854">
        <v>16.72</v>
      </c>
      <c r="T854">
        <v>0</v>
      </c>
      <c r="U854">
        <v>102.2</v>
      </c>
      <c r="V854">
        <v>688.3</v>
      </c>
      <c r="W854">
        <v>27.97</v>
      </c>
      <c r="Y854">
        <v>13.42</v>
      </c>
    </row>
    <row r="855" spans="1:25" x14ac:dyDescent="0.25">
      <c r="A855">
        <v>2006</v>
      </c>
      <c r="B855">
        <v>156</v>
      </c>
      <c r="C855">
        <v>2200</v>
      </c>
      <c r="D855" s="7">
        <v>-3.1880000000000002</v>
      </c>
      <c r="E855" s="7">
        <v>-58.48</v>
      </c>
      <c r="F855" s="7">
        <v>12.99</v>
      </c>
      <c r="G855" s="7">
        <v>12.74</v>
      </c>
      <c r="H855" s="7"/>
      <c r="I855" s="7"/>
      <c r="J855" s="7"/>
      <c r="K855" s="7">
        <v>0.36299999999999999</v>
      </c>
      <c r="L855" s="7">
        <v>115.1</v>
      </c>
      <c r="M855" s="7">
        <v>0</v>
      </c>
      <c r="N855" s="7"/>
      <c r="O855">
        <v>-11.56</v>
      </c>
      <c r="P855">
        <v>-11.27</v>
      </c>
      <c r="Q855">
        <v>17.21</v>
      </c>
      <c r="S855">
        <v>16.64</v>
      </c>
      <c r="T855">
        <v>0</v>
      </c>
      <c r="U855">
        <v>102.9</v>
      </c>
      <c r="V855">
        <v>688.2</v>
      </c>
      <c r="W855">
        <v>27.96</v>
      </c>
      <c r="Y855">
        <v>13.32</v>
      </c>
    </row>
    <row r="856" spans="1:25" x14ac:dyDescent="0.25">
      <c r="A856">
        <v>2006</v>
      </c>
      <c r="B856">
        <v>156</v>
      </c>
      <c r="C856">
        <v>2300</v>
      </c>
      <c r="D856" s="7">
        <v>-3.2050000000000001</v>
      </c>
      <c r="E856" s="7">
        <v>-46.6</v>
      </c>
      <c r="F856" s="7">
        <v>10.75</v>
      </c>
      <c r="G856" s="7">
        <v>10.44</v>
      </c>
      <c r="H856" s="7"/>
      <c r="I856" s="7"/>
      <c r="J856" s="7"/>
      <c r="K856" s="7">
        <v>0.126</v>
      </c>
      <c r="L856" s="7">
        <v>180.7</v>
      </c>
      <c r="M856" s="7">
        <v>0</v>
      </c>
      <c r="N856" s="7"/>
      <c r="O856">
        <v>-12.16</v>
      </c>
      <c r="P856">
        <v>-11.47</v>
      </c>
      <c r="Q856">
        <v>16.98</v>
      </c>
      <c r="S856">
        <v>16.53</v>
      </c>
      <c r="T856">
        <v>0</v>
      </c>
      <c r="U856">
        <v>103.7</v>
      </c>
      <c r="V856">
        <v>689.6</v>
      </c>
      <c r="W856">
        <v>28.03</v>
      </c>
      <c r="Y856">
        <v>13.24</v>
      </c>
    </row>
    <row r="857" spans="1:25" x14ac:dyDescent="0.25">
      <c r="A857">
        <v>2006</v>
      </c>
      <c r="B857">
        <v>156</v>
      </c>
      <c r="C857">
        <v>2400</v>
      </c>
      <c r="D857" s="7">
        <v>-2.395</v>
      </c>
      <c r="E857" s="7">
        <v>-36.200000000000003</v>
      </c>
      <c r="F857" s="7">
        <v>10.039999999999999</v>
      </c>
      <c r="G857" s="7">
        <v>9.8000000000000007</v>
      </c>
      <c r="H857" s="7"/>
      <c r="I857" s="7"/>
      <c r="J857" s="7"/>
      <c r="K857" s="7">
        <v>0.26100000000000001</v>
      </c>
      <c r="L857" s="7">
        <v>176.7</v>
      </c>
      <c r="M857" s="7">
        <v>0</v>
      </c>
      <c r="N857" s="7"/>
      <c r="O857">
        <v>-12.17</v>
      </c>
      <c r="P857">
        <v>-11.47</v>
      </c>
      <c r="Q857">
        <v>16.71</v>
      </c>
      <c r="S857">
        <v>16.420000000000002</v>
      </c>
      <c r="T857">
        <v>0</v>
      </c>
      <c r="U857">
        <v>103</v>
      </c>
      <c r="V857">
        <v>689.4</v>
      </c>
      <c r="W857">
        <v>28.02</v>
      </c>
      <c r="Y857">
        <v>13.17</v>
      </c>
    </row>
    <row r="858" spans="1:25" x14ac:dyDescent="0.25">
      <c r="A858">
        <v>2006</v>
      </c>
      <c r="B858">
        <v>157</v>
      </c>
      <c r="C858">
        <v>100</v>
      </c>
      <c r="D858" s="7">
        <v>-2.5449999999999999</v>
      </c>
      <c r="E858" s="7">
        <v>-33.119999999999997</v>
      </c>
      <c r="F858" s="7">
        <v>10.41</v>
      </c>
      <c r="G858" s="7">
        <v>10.27</v>
      </c>
      <c r="H858" s="7"/>
      <c r="I858" s="7"/>
      <c r="J858" s="7"/>
      <c r="K858" s="7">
        <v>0.20899999999999999</v>
      </c>
      <c r="L858" s="7">
        <v>61.78</v>
      </c>
      <c r="M858" s="7">
        <v>0</v>
      </c>
      <c r="N858" s="7"/>
      <c r="O858">
        <v>-12.17</v>
      </c>
      <c r="P858">
        <v>-11.47</v>
      </c>
      <c r="Q858">
        <v>16.43</v>
      </c>
      <c r="S858">
        <v>16.28</v>
      </c>
      <c r="T858">
        <v>0</v>
      </c>
      <c r="U858">
        <v>101.7</v>
      </c>
      <c r="V858">
        <v>689.5</v>
      </c>
      <c r="W858">
        <v>28.03</v>
      </c>
      <c r="Y858">
        <v>13.1</v>
      </c>
    </row>
    <row r="859" spans="1:25" x14ac:dyDescent="0.25">
      <c r="A859">
        <v>2006</v>
      </c>
      <c r="B859">
        <v>157</v>
      </c>
      <c r="C859">
        <v>200</v>
      </c>
      <c r="D859" s="7">
        <v>-2.4700000000000002</v>
      </c>
      <c r="E859" s="7">
        <v>-32.520000000000003</v>
      </c>
      <c r="F859" s="7">
        <v>8.9700000000000006</v>
      </c>
      <c r="G859" s="7">
        <v>8.83</v>
      </c>
      <c r="H859" s="7"/>
      <c r="I859" s="7"/>
      <c r="J859" s="7"/>
      <c r="K859" s="7">
        <v>0.16500000000000001</v>
      </c>
      <c r="L859" s="7">
        <v>157</v>
      </c>
      <c r="M859" s="7">
        <v>0</v>
      </c>
      <c r="N859" s="7"/>
      <c r="O859">
        <v>-12.17</v>
      </c>
      <c r="P859">
        <v>-11.47</v>
      </c>
      <c r="Q859">
        <v>16.14</v>
      </c>
      <c r="S859">
        <v>16.100000000000001</v>
      </c>
      <c r="T859">
        <v>0</v>
      </c>
      <c r="U859">
        <v>101.7</v>
      </c>
      <c r="V859">
        <v>689.5</v>
      </c>
      <c r="W859">
        <v>28.02</v>
      </c>
      <c r="Y859">
        <v>13.05</v>
      </c>
    </row>
    <row r="860" spans="1:25" x14ac:dyDescent="0.25">
      <c r="A860">
        <v>2006</v>
      </c>
      <c r="B860">
        <v>157</v>
      </c>
      <c r="C860">
        <v>300</v>
      </c>
      <c r="D860" s="7">
        <v>-2.2759999999999998</v>
      </c>
      <c r="E860" s="7">
        <v>-30.86</v>
      </c>
      <c r="F860" s="7">
        <v>7.96</v>
      </c>
      <c r="G860" s="7">
        <v>7.87</v>
      </c>
      <c r="H860" s="7"/>
      <c r="I860" s="7"/>
      <c r="J860" s="7"/>
      <c r="K860" s="7">
        <v>0.161</v>
      </c>
      <c r="L860" s="7">
        <v>201.6</v>
      </c>
      <c r="M860" s="7">
        <v>0</v>
      </c>
      <c r="N860" s="7"/>
      <c r="O860">
        <v>-12.16</v>
      </c>
      <c r="P860">
        <v>-11.47</v>
      </c>
      <c r="Q860">
        <v>15.88</v>
      </c>
      <c r="S860">
        <v>15.94</v>
      </c>
      <c r="T860">
        <v>0</v>
      </c>
      <c r="U860">
        <v>101.3</v>
      </c>
      <c r="V860">
        <v>687.5</v>
      </c>
      <c r="W860">
        <v>27.94</v>
      </c>
      <c r="Y860">
        <v>12.99</v>
      </c>
    </row>
    <row r="861" spans="1:25" x14ac:dyDescent="0.25">
      <c r="A861">
        <v>2006</v>
      </c>
      <c r="B861">
        <v>157</v>
      </c>
      <c r="C861">
        <v>400</v>
      </c>
      <c r="D861" s="7">
        <v>-0.63800000000000001</v>
      </c>
      <c r="E861" s="7">
        <v>-28.08</v>
      </c>
      <c r="F861" s="7">
        <v>7.83</v>
      </c>
      <c r="G861" s="7">
        <v>7.8</v>
      </c>
      <c r="H861" s="7"/>
      <c r="I861" s="7"/>
      <c r="J861" s="7"/>
      <c r="K861" s="7">
        <v>0.17699999999999999</v>
      </c>
      <c r="L861" s="7">
        <v>161.5</v>
      </c>
      <c r="M861" s="7">
        <v>0</v>
      </c>
      <c r="N861" s="7"/>
      <c r="O861">
        <v>-9.93</v>
      </c>
      <c r="P861">
        <v>-10.52</v>
      </c>
      <c r="Q861">
        <v>15.61</v>
      </c>
      <c r="S861">
        <v>15.76</v>
      </c>
      <c r="T861">
        <v>0</v>
      </c>
      <c r="U861">
        <v>100.5</v>
      </c>
      <c r="V861">
        <v>687.9</v>
      </c>
      <c r="W861">
        <v>27.95</v>
      </c>
      <c r="Y861">
        <v>12.95</v>
      </c>
    </row>
    <row r="862" spans="1:25" x14ac:dyDescent="0.25">
      <c r="A862">
        <v>2006</v>
      </c>
      <c r="B862">
        <v>157</v>
      </c>
      <c r="C862">
        <v>500</v>
      </c>
      <c r="D862" s="7">
        <v>18.38</v>
      </c>
      <c r="E862" s="7">
        <v>-13.4</v>
      </c>
      <c r="F862" s="7">
        <v>8</v>
      </c>
      <c r="G862" s="7">
        <v>7.99</v>
      </c>
      <c r="H862" s="7"/>
      <c r="I862" s="7"/>
      <c r="J862" s="7"/>
      <c r="K862" s="7">
        <v>0.13700000000000001</v>
      </c>
      <c r="L862" s="7">
        <v>158.5</v>
      </c>
      <c r="M862" s="7">
        <v>0</v>
      </c>
      <c r="N862" s="7"/>
      <c r="O862">
        <v>10.65</v>
      </c>
      <c r="P862">
        <v>-2.4620000000000002</v>
      </c>
      <c r="Q862">
        <v>15.34</v>
      </c>
      <c r="S862">
        <v>15.56</v>
      </c>
      <c r="T862">
        <v>0</v>
      </c>
      <c r="U862">
        <v>100</v>
      </c>
      <c r="V862">
        <v>687.6</v>
      </c>
      <c r="W862">
        <v>27.94</v>
      </c>
      <c r="Y862">
        <v>12.92</v>
      </c>
    </row>
    <row r="863" spans="1:25" x14ac:dyDescent="0.25">
      <c r="A863">
        <v>2006</v>
      </c>
      <c r="B863">
        <v>157</v>
      </c>
      <c r="C863">
        <v>600</v>
      </c>
      <c r="D863" s="7">
        <v>104.1</v>
      </c>
      <c r="E863" s="7">
        <v>70.099999999999994</v>
      </c>
      <c r="F863" s="7">
        <v>10.5</v>
      </c>
      <c r="G863" s="7">
        <v>10.56</v>
      </c>
      <c r="H863" s="7"/>
      <c r="I863" s="7"/>
      <c r="J863" s="7"/>
      <c r="K863" s="7">
        <v>9.0999999999999998E-2</v>
      </c>
      <c r="L863" s="7">
        <v>87.9</v>
      </c>
      <c r="M863" s="7">
        <v>0</v>
      </c>
      <c r="N863" s="7"/>
      <c r="O863">
        <v>147.6</v>
      </c>
      <c r="P863">
        <v>57.43</v>
      </c>
      <c r="Q863">
        <v>15.14</v>
      </c>
      <c r="S863">
        <v>15.42</v>
      </c>
      <c r="T863">
        <v>0</v>
      </c>
      <c r="U863">
        <v>99.2</v>
      </c>
      <c r="V863">
        <v>687.6</v>
      </c>
      <c r="W863">
        <v>27.94</v>
      </c>
      <c r="Y863">
        <v>13.15</v>
      </c>
    </row>
    <row r="864" spans="1:25" x14ac:dyDescent="0.25">
      <c r="A864">
        <v>2006</v>
      </c>
      <c r="B864">
        <v>157</v>
      </c>
      <c r="C864">
        <v>700</v>
      </c>
      <c r="D864" s="7">
        <v>227.1</v>
      </c>
      <c r="E864" s="7">
        <v>173.1</v>
      </c>
      <c r="F864" s="7">
        <v>14.75</v>
      </c>
      <c r="G864" s="7">
        <v>15.9</v>
      </c>
      <c r="H864" s="7"/>
      <c r="I864" s="7"/>
      <c r="J864" s="7"/>
      <c r="K864" s="7">
        <v>1.1499999999999999</v>
      </c>
      <c r="L864" s="7">
        <v>248.7</v>
      </c>
      <c r="M864" s="7">
        <v>0</v>
      </c>
      <c r="N864" s="7"/>
      <c r="O864">
        <v>331.8</v>
      </c>
      <c r="P864">
        <v>125.4</v>
      </c>
      <c r="Q864">
        <v>15.09</v>
      </c>
      <c r="S864">
        <v>15.4</v>
      </c>
      <c r="T864">
        <v>0</v>
      </c>
      <c r="U864">
        <v>88.6</v>
      </c>
      <c r="V864">
        <v>687.8</v>
      </c>
      <c r="W864">
        <v>27.95</v>
      </c>
      <c r="Y864">
        <v>13.86</v>
      </c>
    </row>
    <row r="865" spans="1:25" x14ac:dyDescent="0.25">
      <c r="A865">
        <v>2006</v>
      </c>
      <c r="B865">
        <v>157</v>
      </c>
      <c r="C865">
        <v>800</v>
      </c>
      <c r="D865" s="7">
        <v>404.5</v>
      </c>
      <c r="E865" s="7">
        <v>281.60000000000002</v>
      </c>
      <c r="F865" s="7">
        <v>17.91</v>
      </c>
      <c r="G865" s="7">
        <v>18.02</v>
      </c>
      <c r="H865" s="7"/>
      <c r="I865" s="7"/>
      <c r="J865" s="7"/>
      <c r="K865" s="7">
        <v>1.284</v>
      </c>
      <c r="L865" s="7">
        <v>271.7</v>
      </c>
      <c r="M865" s="7">
        <v>0</v>
      </c>
      <c r="N865" s="7"/>
      <c r="O865">
        <v>547.70000000000005</v>
      </c>
      <c r="P865">
        <v>183</v>
      </c>
      <c r="Q865">
        <v>15.14</v>
      </c>
      <c r="S865">
        <v>15.29</v>
      </c>
      <c r="T865">
        <v>0</v>
      </c>
      <c r="U865">
        <v>98.9</v>
      </c>
      <c r="V865">
        <v>686.9</v>
      </c>
      <c r="W865">
        <v>27.91</v>
      </c>
      <c r="Y865">
        <v>14.31</v>
      </c>
    </row>
    <row r="866" spans="1:25" x14ac:dyDescent="0.25">
      <c r="A866">
        <v>2006</v>
      </c>
      <c r="B866">
        <v>157</v>
      </c>
      <c r="C866">
        <v>900</v>
      </c>
      <c r="D866" s="7">
        <v>499.9</v>
      </c>
      <c r="E866" s="7">
        <v>326.89999999999998</v>
      </c>
      <c r="F866" s="7">
        <v>19.82</v>
      </c>
      <c r="G866" s="7">
        <v>19.68</v>
      </c>
      <c r="H866" s="7">
        <f>AVERAGE(G866:G889)</f>
        <v>17.240416666666665</v>
      </c>
      <c r="I866" s="7">
        <f>MIN(G866:G889)</f>
        <v>9.83</v>
      </c>
      <c r="J866" s="7">
        <f>MAX(G866:G889)</f>
        <v>25.82</v>
      </c>
      <c r="K866" s="7">
        <v>1.18</v>
      </c>
      <c r="L866" s="7">
        <v>256.39999999999998</v>
      </c>
      <c r="M866" s="7">
        <v>0</v>
      </c>
      <c r="N866" s="7">
        <f>SUM(M866:M889)</f>
        <v>1.4</v>
      </c>
      <c r="O866">
        <v>641.4</v>
      </c>
      <c r="P866">
        <v>189.3</v>
      </c>
      <c r="Q866">
        <v>15.35</v>
      </c>
      <c r="S866">
        <v>15.22</v>
      </c>
      <c r="T866">
        <v>0</v>
      </c>
      <c r="U866">
        <v>101.2</v>
      </c>
      <c r="V866">
        <v>686.7</v>
      </c>
      <c r="W866">
        <v>27.9</v>
      </c>
      <c r="Y866">
        <v>14.52</v>
      </c>
    </row>
    <row r="867" spans="1:25" x14ac:dyDescent="0.25">
      <c r="A867">
        <v>2006</v>
      </c>
      <c r="B867">
        <v>157</v>
      </c>
      <c r="C867">
        <v>1000</v>
      </c>
      <c r="D867" s="7">
        <v>643.79999999999995</v>
      </c>
      <c r="E867" s="7">
        <v>406.9</v>
      </c>
      <c r="F867" s="7">
        <v>21.95</v>
      </c>
      <c r="G867" s="7">
        <v>21.66</v>
      </c>
      <c r="H867" s="7"/>
      <c r="I867" s="7"/>
      <c r="J867" s="7"/>
      <c r="K867" s="7">
        <v>1.0669999999999999</v>
      </c>
      <c r="L867" s="7">
        <v>223.2</v>
      </c>
      <c r="M867" s="7">
        <v>0</v>
      </c>
      <c r="N867" s="7"/>
      <c r="O867">
        <v>827</v>
      </c>
      <c r="P867">
        <v>218.7</v>
      </c>
      <c r="Q867">
        <v>15.68</v>
      </c>
      <c r="S867">
        <v>15.25</v>
      </c>
      <c r="T867">
        <v>0</v>
      </c>
      <c r="U867">
        <v>102.6</v>
      </c>
      <c r="V867">
        <v>687.7</v>
      </c>
      <c r="W867">
        <v>27.94</v>
      </c>
      <c r="Y867">
        <v>14.56</v>
      </c>
    </row>
    <row r="868" spans="1:25" x14ac:dyDescent="0.25">
      <c r="A868">
        <v>2006</v>
      </c>
      <c r="B868">
        <v>157</v>
      </c>
      <c r="C868">
        <v>1100</v>
      </c>
      <c r="D868" s="7">
        <v>728</v>
      </c>
      <c r="E868" s="7">
        <v>445.5</v>
      </c>
      <c r="F868" s="7">
        <v>23.14</v>
      </c>
      <c r="G868" s="7">
        <v>22.9</v>
      </c>
      <c r="H868" s="7"/>
      <c r="I868" s="7"/>
      <c r="J868" s="7"/>
      <c r="K868" s="7">
        <v>1.468</v>
      </c>
      <c r="L868" s="7">
        <v>274.2</v>
      </c>
      <c r="M868" s="7">
        <v>0</v>
      </c>
      <c r="N868" s="7"/>
      <c r="O868">
        <v>918</v>
      </c>
      <c r="P868">
        <v>232.1</v>
      </c>
      <c r="Q868">
        <v>16.09</v>
      </c>
      <c r="S868">
        <v>15.37</v>
      </c>
      <c r="T868">
        <v>0</v>
      </c>
      <c r="U868">
        <v>102.1</v>
      </c>
      <c r="V868">
        <v>683.5</v>
      </c>
      <c r="W868">
        <v>27.76</v>
      </c>
      <c r="Y868">
        <v>14.38</v>
      </c>
    </row>
    <row r="869" spans="1:25" x14ac:dyDescent="0.25">
      <c r="A869">
        <v>2006</v>
      </c>
      <c r="B869">
        <v>157</v>
      </c>
      <c r="C869">
        <v>1200</v>
      </c>
      <c r="D869" s="7">
        <v>835</v>
      </c>
      <c r="E869" s="7">
        <v>495.3</v>
      </c>
      <c r="F869" s="7">
        <v>23.61</v>
      </c>
      <c r="G869" s="7">
        <v>23.45</v>
      </c>
      <c r="H869" s="7"/>
      <c r="I869" s="7"/>
      <c r="J869" s="7"/>
      <c r="K869" s="7">
        <v>1.819</v>
      </c>
      <c r="L869" s="7">
        <v>288.5</v>
      </c>
      <c r="M869" s="7">
        <v>0</v>
      </c>
      <c r="N869" s="7"/>
      <c r="O869">
        <v>1040</v>
      </c>
      <c r="P869">
        <v>236.6</v>
      </c>
      <c r="Q869">
        <v>16.510000000000002</v>
      </c>
      <c r="S869">
        <v>15.57</v>
      </c>
      <c r="T869">
        <v>0</v>
      </c>
      <c r="U869">
        <v>101.4</v>
      </c>
      <c r="V869">
        <v>681</v>
      </c>
      <c r="W869">
        <v>27.65</v>
      </c>
      <c r="Y869">
        <v>13.93</v>
      </c>
    </row>
    <row r="870" spans="1:25" x14ac:dyDescent="0.25">
      <c r="A870">
        <v>2006</v>
      </c>
      <c r="B870">
        <v>157</v>
      </c>
      <c r="C870">
        <v>1300</v>
      </c>
      <c r="D870" s="7">
        <v>871</v>
      </c>
      <c r="E870" s="7">
        <v>500.4</v>
      </c>
      <c r="F870" s="7">
        <v>24.26</v>
      </c>
      <c r="G870" s="7">
        <v>24.18</v>
      </c>
      <c r="H870" s="7"/>
      <c r="I870" s="7"/>
      <c r="J870" s="7"/>
      <c r="K870" s="7">
        <v>2.0680000000000001</v>
      </c>
      <c r="L870" s="7">
        <v>327.60000000000002</v>
      </c>
      <c r="M870" s="7">
        <v>0</v>
      </c>
      <c r="N870" s="7"/>
      <c r="O870">
        <v>1073</v>
      </c>
      <c r="P870">
        <v>249</v>
      </c>
      <c r="Q870">
        <v>16.940000000000001</v>
      </c>
      <c r="S870">
        <v>15.87</v>
      </c>
      <c r="T870">
        <v>0</v>
      </c>
      <c r="U870">
        <v>100.7</v>
      </c>
      <c r="V870">
        <v>677.1</v>
      </c>
      <c r="W870">
        <v>27.48</v>
      </c>
      <c r="Y870">
        <v>13.97</v>
      </c>
    </row>
    <row r="871" spans="1:25" x14ac:dyDescent="0.25">
      <c r="A871">
        <v>2006</v>
      </c>
      <c r="B871">
        <v>157</v>
      </c>
      <c r="C871">
        <v>1400</v>
      </c>
      <c r="D871" s="7">
        <v>793</v>
      </c>
      <c r="E871" s="7">
        <v>442.5</v>
      </c>
      <c r="F871" s="7">
        <v>25.02</v>
      </c>
      <c r="G871" s="7">
        <v>24.73</v>
      </c>
      <c r="H871" s="7"/>
      <c r="I871" s="7"/>
      <c r="J871" s="7"/>
      <c r="K871" s="7">
        <v>1.792</v>
      </c>
      <c r="L871" s="7">
        <v>0</v>
      </c>
      <c r="M871" s="7">
        <v>0</v>
      </c>
      <c r="N871" s="7"/>
      <c r="O871">
        <v>947</v>
      </c>
      <c r="P871">
        <v>237.7</v>
      </c>
      <c r="Q871">
        <v>17.43</v>
      </c>
      <c r="S871">
        <v>16.239999999999998</v>
      </c>
      <c r="T871">
        <v>0</v>
      </c>
      <c r="U871">
        <v>102.4</v>
      </c>
      <c r="V871">
        <v>675.1</v>
      </c>
      <c r="W871">
        <v>27.39</v>
      </c>
      <c r="Y871">
        <v>14.26</v>
      </c>
    </row>
    <row r="872" spans="1:25" x14ac:dyDescent="0.25">
      <c r="A872">
        <v>2006</v>
      </c>
      <c r="B872">
        <v>157</v>
      </c>
      <c r="C872">
        <v>1500</v>
      </c>
      <c r="D872" s="7">
        <v>777</v>
      </c>
      <c r="E872" s="7">
        <v>452.9</v>
      </c>
      <c r="F872" s="7">
        <v>26.28</v>
      </c>
      <c r="G872" s="7">
        <v>25.82</v>
      </c>
      <c r="H872" s="7"/>
      <c r="I872" s="7"/>
      <c r="J872" s="7"/>
      <c r="K872" s="7">
        <v>1.391</v>
      </c>
      <c r="L872" s="7">
        <v>0</v>
      </c>
      <c r="M872" s="7">
        <v>0</v>
      </c>
      <c r="N872" s="7"/>
      <c r="O872">
        <v>962</v>
      </c>
      <c r="P872">
        <v>252.3</v>
      </c>
      <c r="Q872">
        <v>17.86</v>
      </c>
      <c r="S872">
        <v>16.68</v>
      </c>
      <c r="T872">
        <v>0</v>
      </c>
      <c r="U872">
        <v>103.7</v>
      </c>
      <c r="V872">
        <v>671.6</v>
      </c>
      <c r="W872">
        <v>27.23</v>
      </c>
      <c r="Y872">
        <v>14.2</v>
      </c>
    </row>
    <row r="873" spans="1:25" x14ac:dyDescent="0.25">
      <c r="A873">
        <v>2006</v>
      </c>
      <c r="B873">
        <v>157</v>
      </c>
      <c r="C873">
        <v>1600</v>
      </c>
      <c r="D873" s="7">
        <v>457.3</v>
      </c>
      <c r="E873" s="7">
        <v>235.6</v>
      </c>
      <c r="F873" s="7">
        <v>25.13</v>
      </c>
      <c r="G873" s="7">
        <v>24.76</v>
      </c>
      <c r="H873" s="7"/>
      <c r="I873" s="7"/>
      <c r="J873" s="7"/>
      <c r="K873" s="7">
        <v>1.6839999999999999</v>
      </c>
      <c r="L873" s="7">
        <v>0</v>
      </c>
      <c r="M873" s="7">
        <v>0</v>
      </c>
      <c r="N873" s="7"/>
      <c r="O873">
        <v>557</v>
      </c>
      <c r="P873">
        <v>170.8</v>
      </c>
      <c r="Q873">
        <v>18.18</v>
      </c>
      <c r="S873">
        <v>17.02</v>
      </c>
      <c r="T873">
        <v>0</v>
      </c>
      <c r="U873">
        <v>103</v>
      </c>
      <c r="V873">
        <v>669.5</v>
      </c>
      <c r="W873">
        <v>27.14</v>
      </c>
      <c r="Y873">
        <v>14</v>
      </c>
    </row>
    <row r="874" spans="1:25" x14ac:dyDescent="0.25">
      <c r="A874">
        <v>2006</v>
      </c>
      <c r="B874">
        <v>157</v>
      </c>
      <c r="C874">
        <v>1700</v>
      </c>
      <c r="D874" s="7">
        <v>346.7</v>
      </c>
      <c r="E874" s="7">
        <v>171</v>
      </c>
      <c r="F874" s="7">
        <v>24.58</v>
      </c>
      <c r="G874" s="7">
        <v>24.34</v>
      </c>
      <c r="H874" s="7"/>
      <c r="I874" s="7"/>
      <c r="J874" s="7"/>
      <c r="K874" s="7">
        <v>1.534</v>
      </c>
      <c r="L874" s="7">
        <v>0</v>
      </c>
      <c r="M874" s="7">
        <v>0</v>
      </c>
      <c r="N874" s="7"/>
      <c r="O874">
        <v>433</v>
      </c>
      <c r="P874">
        <v>144.19999999999999</v>
      </c>
      <c r="Q874">
        <v>18.45</v>
      </c>
      <c r="S874">
        <v>17.36</v>
      </c>
      <c r="T874">
        <v>0</v>
      </c>
      <c r="U874">
        <v>102</v>
      </c>
      <c r="V874">
        <v>668.6</v>
      </c>
      <c r="W874">
        <v>27.1</v>
      </c>
      <c r="Y874">
        <v>13.9</v>
      </c>
    </row>
    <row r="875" spans="1:25" x14ac:dyDescent="0.25">
      <c r="A875">
        <v>2006</v>
      </c>
      <c r="B875">
        <v>157</v>
      </c>
      <c r="C875">
        <v>1800</v>
      </c>
      <c r="D875" s="7">
        <v>112.8</v>
      </c>
      <c r="E875" s="7">
        <v>32.18</v>
      </c>
      <c r="F875" s="7">
        <v>23.23</v>
      </c>
      <c r="G875" s="7">
        <v>22.9</v>
      </c>
      <c r="H875" s="7"/>
      <c r="I875" s="7"/>
      <c r="J875" s="7"/>
      <c r="K875" s="7">
        <v>1.141</v>
      </c>
      <c r="L875" s="7">
        <v>0.30599999999999999</v>
      </c>
      <c r="M875" s="7">
        <v>0.2</v>
      </c>
      <c r="N875" s="7"/>
      <c r="O875">
        <v>142.19999999999999</v>
      </c>
      <c r="P875">
        <v>40.270000000000003</v>
      </c>
      <c r="Q875">
        <v>18.63</v>
      </c>
      <c r="S875">
        <v>17.59</v>
      </c>
      <c r="T875">
        <v>0</v>
      </c>
      <c r="U875">
        <v>102.9</v>
      </c>
      <c r="V875">
        <v>668.4</v>
      </c>
      <c r="W875">
        <v>27.09</v>
      </c>
      <c r="Y875">
        <v>13.67</v>
      </c>
    </row>
    <row r="876" spans="1:25" x14ac:dyDescent="0.25">
      <c r="A876">
        <v>2006</v>
      </c>
      <c r="B876">
        <v>157</v>
      </c>
      <c r="C876">
        <v>1900</v>
      </c>
      <c r="D876" s="7">
        <v>72.3</v>
      </c>
      <c r="E876" s="7">
        <v>11.92</v>
      </c>
      <c r="F876" s="7">
        <v>19.07</v>
      </c>
      <c r="G876" s="7">
        <v>18.52</v>
      </c>
      <c r="H876" s="7"/>
      <c r="I876" s="7"/>
      <c r="J876" s="7"/>
      <c r="K876" s="7">
        <v>0.89900000000000002</v>
      </c>
      <c r="L876" s="7">
        <v>61.89</v>
      </c>
      <c r="M876" s="7">
        <v>1.2</v>
      </c>
      <c r="N876" s="7"/>
      <c r="O876">
        <v>97.8</v>
      </c>
      <c r="P876">
        <v>19.75</v>
      </c>
      <c r="Q876">
        <v>18.66</v>
      </c>
      <c r="S876">
        <v>17.71</v>
      </c>
      <c r="T876">
        <v>0</v>
      </c>
      <c r="U876">
        <v>105.2</v>
      </c>
      <c r="V876">
        <v>668</v>
      </c>
      <c r="W876">
        <v>27.08</v>
      </c>
      <c r="Y876">
        <v>13.5</v>
      </c>
    </row>
    <row r="877" spans="1:25" x14ac:dyDescent="0.25">
      <c r="A877">
        <v>2006</v>
      </c>
      <c r="B877">
        <v>157</v>
      </c>
      <c r="C877">
        <v>2000</v>
      </c>
      <c r="D877" s="7">
        <v>68.48</v>
      </c>
      <c r="E877" s="7">
        <v>8.85</v>
      </c>
      <c r="F877" s="7">
        <v>18.03</v>
      </c>
      <c r="G877" s="7">
        <v>17.89</v>
      </c>
      <c r="H877" s="7"/>
      <c r="I877" s="7"/>
      <c r="J877" s="7"/>
      <c r="K877" s="7">
        <v>0.77300000000000002</v>
      </c>
      <c r="L877" s="7">
        <v>101.5</v>
      </c>
      <c r="M877" s="7">
        <v>0</v>
      </c>
      <c r="N877" s="7"/>
      <c r="O877">
        <v>91.8</v>
      </c>
      <c r="P877">
        <v>36.82</v>
      </c>
      <c r="Q877">
        <v>18.600000000000001</v>
      </c>
      <c r="S877">
        <v>17.850000000000001</v>
      </c>
      <c r="T877">
        <v>0</v>
      </c>
      <c r="U877">
        <v>101.4</v>
      </c>
      <c r="V877">
        <v>668.3</v>
      </c>
      <c r="W877">
        <v>27.09</v>
      </c>
      <c r="Y877">
        <v>13.5</v>
      </c>
    </row>
    <row r="878" spans="1:25" x14ac:dyDescent="0.25">
      <c r="A878">
        <v>2006</v>
      </c>
      <c r="B878">
        <v>157</v>
      </c>
      <c r="C878">
        <v>2100</v>
      </c>
      <c r="D878" s="7">
        <v>15.57</v>
      </c>
      <c r="E878" s="7">
        <v>-46.92</v>
      </c>
      <c r="F878" s="7">
        <v>16.329999999999998</v>
      </c>
      <c r="G878" s="7">
        <v>15.95</v>
      </c>
      <c r="H878" s="7"/>
      <c r="I878" s="7"/>
      <c r="J878" s="7"/>
      <c r="K878" s="7">
        <v>0.52</v>
      </c>
      <c r="L878" s="7">
        <v>145.19999999999999</v>
      </c>
      <c r="M878" s="7">
        <v>0</v>
      </c>
      <c r="N878" s="7"/>
      <c r="O878">
        <v>13.12</v>
      </c>
      <c r="P878">
        <v>3.577</v>
      </c>
      <c r="Q878">
        <v>18.489999999999998</v>
      </c>
      <c r="S878">
        <v>17.84</v>
      </c>
      <c r="T878">
        <v>0</v>
      </c>
      <c r="U878">
        <v>103.9</v>
      </c>
      <c r="V878">
        <v>670.6</v>
      </c>
      <c r="W878">
        <v>27.19</v>
      </c>
      <c r="Y878">
        <v>13.38</v>
      </c>
    </row>
    <row r="879" spans="1:25" x14ac:dyDescent="0.25">
      <c r="A879">
        <v>2006</v>
      </c>
      <c r="B879">
        <v>157</v>
      </c>
      <c r="C879">
        <v>2200</v>
      </c>
      <c r="D879" s="7">
        <v>-3.032</v>
      </c>
      <c r="E879" s="7">
        <v>-53.19</v>
      </c>
      <c r="F879" s="7">
        <v>13.47</v>
      </c>
      <c r="G879" s="7">
        <v>13.16</v>
      </c>
      <c r="H879" s="7"/>
      <c r="I879" s="7"/>
      <c r="J879" s="7"/>
      <c r="K879" s="7">
        <v>0.246</v>
      </c>
      <c r="L879" s="7">
        <v>181.4</v>
      </c>
      <c r="M879" s="7">
        <v>0</v>
      </c>
      <c r="N879" s="7"/>
      <c r="O879">
        <v>-11.76</v>
      </c>
      <c r="P879">
        <v>-11.38</v>
      </c>
      <c r="Q879">
        <v>18.32</v>
      </c>
      <c r="S879">
        <v>17.760000000000002</v>
      </c>
      <c r="T879">
        <v>0</v>
      </c>
      <c r="U879">
        <v>103.5</v>
      </c>
      <c r="V879">
        <v>669.7</v>
      </c>
      <c r="W879">
        <v>27.15</v>
      </c>
      <c r="Y879">
        <v>13.27</v>
      </c>
    </row>
    <row r="880" spans="1:25" x14ac:dyDescent="0.25">
      <c r="A880">
        <v>2006</v>
      </c>
      <c r="B880">
        <v>157</v>
      </c>
      <c r="C880">
        <v>2300</v>
      </c>
      <c r="D880" s="7">
        <v>-2.823</v>
      </c>
      <c r="E880" s="7">
        <v>-40.56</v>
      </c>
      <c r="F880" s="7">
        <v>11.62</v>
      </c>
      <c r="G880" s="7">
        <v>11.34</v>
      </c>
      <c r="H880" s="7"/>
      <c r="I880" s="7"/>
      <c r="J880" s="7"/>
      <c r="K880" s="7">
        <v>0.27900000000000003</v>
      </c>
      <c r="L880" s="7">
        <v>235.5</v>
      </c>
      <c r="M880" s="7">
        <v>0</v>
      </c>
      <c r="N880" s="7"/>
      <c r="O880">
        <v>-12.16</v>
      </c>
      <c r="P880">
        <v>-11.47</v>
      </c>
      <c r="Q880">
        <v>18.059999999999999</v>
      </c>
      <c r="S880">
        <v>17.670000000000002</v>
      </c>
      <c r="T880">
        <v>0</v>
      </c>
      <c r="U880">
        <v>103.2</v>
      </c>
      <c r="V880">
        <v>672.1</v>
      </c>
      <c r="W880">
        <v>27.25</v>
      </c>
      <c r="Y880">
        <v>13.19</v>
      </c>
    </row>
    <row r="881" spans="1:25" x14ac:dyDescent="0.25">
      <c r="A881">
        <v>2006</v>
      </c>
      <c r="B881">
        <v>157</v>
      </c>
      <c r="C881">
        <v>2400</v>
      </c>
      <c r="D881" s="7">
        <v>-2.5710000000000002</v>
      </c>
      <c r="E881" s="7">
        <v>-36.549999999999997</v>
      </c>
      <c r="F881" s="7">
        <v>10.43</v>
      </c>
      <c r="G881" s="7">
        <v>10.26</v>
      </c>
      <c r="H881" s="7"/>
      <c r="I881" s="7"/>
      <c r="J881" s="7"/>
      <c r="K881" s="7">
        <v>0.13500000000000001</v>
      </c>
      <c r="L881" s="7">
        <v>206.7</v>
      </c>
      <c r="M881" s="7">
        <v>0</v>
      </c>
      <c r="N881" s="7"/>
      <c r="O881">
        <v>-12.16</v>
      </c>
      <c r="P881">
        <v>-11.47</v>
      </c>
      <c r="Q881">
        <v>17.739999999999998</v>
      </c>
      <c r="S881">
        <v>17.54</v>
      </c>
      <c r="T881">
        <v>0</v>
      </c>
      <c r="U881">
        <v>102.2</v>
      </c>
      <c r="V881">
        <v>675.6</v>
      </c>
      <c r="W881">
        <v>27.41</v>
      </c>
      <c r="Y881">
        <v>13.13</v>
      </c>
    </row>
    <row r="882" spans="1:25" x14ac:dyDescent="0.25">
      <c r="A882">
        <v>2006</v>
      </c>
      <c r="B882">
        <v>158</v>
      </c>
      <c r="C882">
        <v>100</v>
      </c>
      <c r="D882" s="7">
        <v>-2.0470000000000002</v>
      </c>
      <c r="E882" s="7">
        <v>-29.44</v>
      </c>
      <c r="F882" s="7">
        <v>11.16</v>
      </c>
      <c r="G882" s="7">
        <v>11.1</v>
      </c>
      <c r="H882" s="7"/>
      <c r="I882" s="7"/>
      <c r="J882" s="7"/>
      <c r="K882" s="7">
        <v>0.48099999999999998</v>
      </c>
      <c r="L882" s="7">
        <v>262.60000000000002</v>
      </c>
      <c r="M882" s="7">
        <v>0</v>
      </c>
      <c r="N882" s="7"/>
      <c r="O882">
        <v>-12.17</v>
      </c>
      <c r="P882">
        <v>-11.47</v>
      </c>
      <c r="Q882">
        <v>17.43</v>
      </c>
      <c r="S882">
        <v>17.39</v>
      </c>
      <c r="T882">
        <v>0</v>
      </c>
      <c r="U882">
        <v>100.8</v>
      </c>
      <c r="V882">
        <v>676.6</v>
      </c>
      <c r="W882">
        <v>27.45</v>
      </c>
      <c r="Y882">
        <v>13.06</v>
      </c>
    </row>
    <row r="883" spans="1:25" x14ac:dyDescent="0.25">
      <c r="A883">
        <v>2006</v>
      </c>
      <c r="B883">
        <v>158</v>
      </c>
      <c r="C883">
        <v>200</v>
      </c>
      <c r="D883" s="7">
        <v>-2.0609999999999999</v>
      </c>
      <c r="E883" s="7">
        <v>-26.87</v>
      </c>
      <c r="F883" s="7">
        <v>11.3</v>
      </c>
      <c r="G883" s="7">
        <v>11.21</v>
      </c>
      <c r="H883" s="7"/>
      <c r="I883" s="7"/>
      <c r="J883" s="7"/>
      <c r="K883" s="7">
        <v>0.80600000000000005</v>
      </c>
      <c r="L883" s="7">
        <v>278.3</v>
      </c>
      <c r="M883" s="7">
        <v>0</v>
      </c>
      <c r="N883" s="7"/>
      <c r="O883">
        <v>-12.17</v>
      </c>
      <c r="P883">
        <v>-11.47</v>
      </c>
      <c r="Q883">
        <v>17.14</v>
      </c>
      <c r="S883">
        <v>17.22</v>
      </c>
      <c r="T883">
        <v>0</v>
      </c>
      <c r="U883">
        <v>101</v>
      </c>
      <c r="V883">
        <v>672.6</v>
      </c>
      <c r="W883">
        <v>27.28</v>
      </c>
      <c r="Y883">
        <v>13.01</v>
      </c>
    </row>
    <row r="884" spans="1:25" x14ac:dyDescent="0.25">
      <c r="A884">
        <v>2006</v>
      </c>
      <c r="B884">
        <v>158</v>
      </c>
      <c r="C884">
        <v>300</v>
      </c>
      <c r="D884" s="7">
        <v>-2.589</v>
      </c>
      <c r="E884" s="7">
        <v>-29.7</v>
      </c>
      <c r="F884" s="7">
        <v>9.93</v>
      </c>
      <c r="G884" s="7">
        <v>9.83</v>
      </c>
      <c r="H884" s="7"/>
      <c r="I884" s="7"/>
      <c r="J884" s="7"/>
      <c r="K884" s="7">
        <v>0.28399999999999997</v>
      </c>
      <c r="L884" s="7">
        <v>295.39999999999998</v>
      </c>
      <c r="M884" s="7">
        <v>0</v>
      </c>
      <c r="N884" s="7"/>
      <c r="O884">
        <v>-12.17</v>
      </c>
      <c r="P884">
        <v>-11.47</v>
      </c>
      <c r="Q884">
        <v>16.829999999999998</v>
      </c>
      <c r="S884">
        <v>16.989999999999998</v>
      </c>
      <c r="T884">
        <v>0</v>
      </c>
      <c r="U884">
        <v>101.2</v>
      </c>
      <c r="V884">
        <v>671.6</v>
      </c>
      <c r="W884">
        <v>27.23</v>
      </c>
      <c r="Y884">
        <v>12.96</v>
      </c>
    </row>
    <row r="885" spans="1:25" x14ac:dyDescent="0.25">
      <c r="A885">
        <v>2006</v>
      </c>
      <c r="B885">
        <v>158</v>
      </c>
      <c r="C885">
        <v>400</v>
      </c>
      <c r="D885" s="7">
        <v>-4.5999999999999999E-2</v>
      </c>
      <c r="E885" s="7">
        <v>-10.62</v>
      </c>
      <c r="F885" s="7">
        <v>10.76</v>
      </c>
      <c r="G885" s="7">
        <v>10.61</v>
      </c>
      <c r="H885" s="7"/>
      <c r="I885" s="7"/>
      <c r="J885" s="7"/>
      <c r="K885" s="7">
        <v>1.117</v>
      </c>
      <c r="L885" s="7">
        <v>295.2</v>
      </c>
      <c r="M885" s="7">
        <v>0</v>
      </c>
      <c r="N885" s="7"/>
      <c r="O885">
        <v>-11.04</v>
      </c>
      <c r="P885">
        <v>-11.09</v>
      </c>
      <c r="Q885">
        <v>16.579999999999998</v>
      </c>
      <c r="S885">
        <v>16.82</v>
      </c>
      <c r="T885">
        <v>0</v>
      </c>
      <c r="U885">
        <v>101.9</v>
      </c>
      <c r="V885">
        <v>673.6</v>
      </c>
      <c r="W885">
        <v>27.32</v>
      </c>
      <c r="Y885">
        <v>12.93</v>
      </c>
    </row>
    <row r="886" spans="1:25" x14ac:dyDescent="0.25">
      <c r="A886">
        <v>2006</v>
      </c>
      <c r="B886">
        <v>158</v>
      </c>
      <c r="C886">
        <v>500</v>
      </c>
      <c r="D886" s="7">
        <v>8.83</v>
      </c>
      <c r="E886" s="7">
        <v>-2.0630000000000002</v>
      </c>
      <c r="F886" s="7">
        <v>11.68</v>
      </c>
      <c r="G886" s="7">
        <v>11.51</v>
      </c>
      <c r="H886" s="7"/>
      <c r="I886" s="7"/>
      <c r="J886" s="7"/>
      <c r="K886" s="7">
        <v>1.3129999999999999</v>
      </c>
      <c r="L886" s="7">
        <v>318.7</v>
      </c>
      <c r="M886" s="7">
        <v>0</v>
      </c>
      <c r="N886" s="7"/>
      <c r="O886">
        <v>0.39600000000000002</v>
      </c>
      <c r="P886">
        <v>-7.6</v>
      </c>
      <c r="Q886">
        <v>16.36</v>
      </c>
      <c r="S886">
        <v>16.63</v>
      </c>
      <c r="T886">
        <v>0</v>
      </c>
      <c r="U886">
        <v>102</v>
      </c>
      <c r="V886">
        <v>674.3</v>
      </c>
      <c r="W886">
        <v>27.35</v>
      </c>
      <c r="Y886">
        <v>12.91</v>
      </c>
    </row>
    <row r="887" spans="1:25" x14ac:dyDescent="0.25">
      <c r="A887">
        <v>2006</v>
      </c>
      <c r="B887">
        <v>158</v>
      </c>
      <c r="C887">
        <v>600</v>
      </c>
      <c r="D887" s="7">
        <v>37.72</v>
      </c>
      <c r="E887" s="7">
        <v>14.06</v>
      </c>
      <c r="F887" s="7">
        <v>12.03</v>
      </c>
      <c r="G887" s="7">
        <v>11.92</v>
      </c>
      <c r="H887" s="7"/>
      <c r="I887" s="7"/>
      <c r="J887" s="7"/>
      <c r="K887" s="7">
        <v>1.3320000000000001</v>
      </c>
      <c r="L887" s="7">
        <v>328.7</v>
      </c>
      <c r="M887" s="7">
        <v>0</v>
      </c>
      <c r="N887" s="7"/>
      <c r="O887">
        <v>38.08</v>
      </c>
      <c r="P887">
        <v>3.403</v>
      </c>
      <c r="Q887">
        <v>16.190000000000001</v>
      </c>
      <c r="S887">
        <v>16.440000000000001</v>
      </c>
      <c r="T887">
        <v>0</v>
      </c>
      <c r="U887">
        <v>101.3</v>
      </c>
      <c r="V887">
        <v>674</v>
      </c>
      <c r="W887">
        <v>27.34</v>
      </c>
      <c r="Y887">
        <v>12.92</v>
      </c>
    </row>
    <row r="888" spans="1:25" x14ac:dyDescent="0.25">
      <c r="A888">
        <v>2006</v>
      </c>
      <c r="B888">
        <v>158</v>
      </c>
      <c r="C888">
        <v>700</v>
      </c>
      <c r="D888" s="7">
        <v>90.5</v>
      </c>
      <c r="E888" s="7">
        <v>45.55</v>
      </c>
      <c r="F888" s="7">
        <v>12.45</v>
      </c>
      <c r="G888" s="7">
        <v>12.53</v>
      </c>
      <c r="H888" s="7"/>
      <c r="I888" s="7"/>
      <c r="J888" s="7"/>
      <c r="K888" s="7">
        <v>1.0469999999999999</v>
      </c>
      <c r="L888" s="7">
        <v>330.1</v>
      </c>
      <c r="M888" s="7">
        <v>0</v>
      </c>
      <c r="N888" s="7"/>
      <c r="O888">
        <v>106.4</v>
      </c>
      <c r="P888">
        <v>24</v>
      </c>
      <c r="Q888">
        <v>16.100000000000001</v>
      </c>
      <c r="S888">
        <v>16.29</v>
      </c>
      <c r="T888">
        <v>0</v>
      </c>
      <c r="U888">
        <v>99.1</v>
      </c>
      <c r="V888">
        <v>677.2</v>
      </c>
      <c r="W888">
        <v>27.48</v>
      </c>
      <c r="Y888">
        <v>13.3</v>
      </c>
    </row>
    <row r="889" spans="1:25" x14ac:dyDescent="0.25">
      <c r="A889">
        <v>2006</v>
      </c>
      <c r="B889">
        <v>158</v>
      </c>
      <c r="C889">
        <v>800</v>
      </c>
      <c r="D889" s="7">
        <v>135.19999999999999</v>
      </c>
      <c r="E889" s="7">
        <v>73.8</v>
      </c>
      <c r="F889" s="7">
        <v>13.11</v>
      </c>
      <c r="G889" s="7">
        <v>13.52</v>
      </c>
      <c r="H889" s="7"/>
      <c r="I889" s="7"/>
      <c r="J889" s="7"/>
      <c r="K889" s="7">
        <v>0.93799999999999994</v>
      </c>
      <c r="L889" s="7">
        <v>318.7</v>
      </c>
      <c r="M889" s="7">
        <v>0</v>
      </c>
      <c r="N889" s="7"/>
      <c r="O889">
        <v>168.1</v>
      </c>
      <c r="P889">
        <v>42.96</v>
      </c>
      <c r="Q889">
        <v>16.07</v>
      </c>
      <c r="S889">
        <v>16.18</v>
      </c>
      <c r="T889">
        <v>0</v>
      </c>
      <c r="U889">
        <v>95.5</v>
      </c>
      <c r="V889">
        <v>676.3</v>
      </c>
      <c r="W889">
        <v>27.44</v>
      </c>
      <c r="Y889">
        <v>13.65</v>
      </c>
    </row>
    <row r="890" spans="1:25" x14ac:dyDescent="0.25">
      <c r="A890">
        <v>2006</v>
      </c>
      <c r="B890">
        <v>158</v>
      </c>
      <c r="C890">
        <v>900</v>
      </c>
      <c r="D890" s="7">
        <v>213.3</v>
      </c>
      <c r="E890" s="7">
        <v>126.3</v>
      </c>
      <c r="F890" s="7">
        <v>13.77</v>
      </c>
      <c r="G890" s="7">
        <v>14.2</v>
      </c>
      <c r="H890" s="7">
        <f>AVERAGE(G890:G913)</f>
        <v>14.036250000000003</v>
      </c>
      <c r="I890" s="7">
        <f>MIN(G890:G913)</f>
        <v>7.63</v>
      </c>
      <c r="J890" s="7">
        <f>MAX(G890:G913)</f>
        <v>20.78</v>
      </c>
      <c r="K890" s="7">
        <v>1.651</v>
      </c>
      <c r="L890" s="7">
        <v>315.8</v>
      </c>
      <c r="M890" s="7">
        <v>0</v>
      </c>
      <c r="N890" s="7">
        <f>SUM(M890:M913)</f>
        <v>0</v>
      </c>
      <c r="O890">
        <v>270.5</v>
      </c>
      <c r="P890">
        <v>75.5</v>
      </c>
      <c r="Q890">
        <v>16.09</v>
      </c>
      <c r="S890">
        <v>16.11</v>
      </c>
      <c r="T890">
        <v>0</v>
      </c>
      <c r="U890">
        <v>95.5</v>
      </c>
      <c r="V890">
        <v>676</v>
      </c>
      <c r="W890">
        <v>27.43</v>
      </c>
      <c r="Y890">
        <v>13.82</v>
      </c>
    </row>
    <row r="891" spans="1:25" x14ac:dyDescent="0.25">
      <c r="A891">
        <v>2006</v>
      </c>
      <c r="B891">
        <v>158</v>
      </c>
      <c r="C891">
        <v>1000</v>
      </c>
      <c r="D891" s="7">
        <v>279.7</v>
      </c>
      <c r="E891" s="7">
        <v>170.1</v>
      </c>
      <c r="F891" s="7">
        <v>14.35</v>
      </c>
      <c r="G891" s="7">
        <v>14.92</v>
      </c>
      <c r="H891" s="7"/>
      <c r="I891" s="7"/>
      <c r="J891" s="7"/>
      <c r="K891" s="7">
        <v>1.4179999999999999</v>
      </c>
      <c r="L891" s="7">
        <v>315.39999999999998</v>
      </c>
      <c r="M891" s="7">
        <v>0</v>
      </c>
      <c r="N891" s="7"/>
      <c r="O891">
        <v>355</v>
      </c>
      <c r="P891">
        <v>101.6</v>
      </c>
      <c r="Q891">
        <v>16.18</v>
      </c>
      <c r="S891">
        <v>16.059999999999999</v>
      </c>
      <c r="T891">
        <v>0</v>
      </c>
      <c r="U891">
        <v>94</v>
      </c>
      <c r="V891">
        <v>676</v>
      </c>
      <c r="W891">
        <v>27.43</v>
      </c>
      <c r="Y891">
        <v>13.95</v>
      </c>
    </row>
    <row r="892" spans="1:25" x14ac:dyDescent="0.25">
      <c r="A892">
        <v>2006</v>
      </c>
      <c r="B892">
        <v>158</v>
      </c>
      <c r="C892">
        <v>1100</v>
      </c>
      <c r="D892" s="7">
        <v>347.4</v>
      </c>
      <c r="E892" s="7">
        <v>211.9</v>
      </c>
      <c r="F892" s="7">
        <v>15.21</v>
      </c>
      <c r="G892" s="7">
        <v>15.41</v>
      </c>
      <c r="H892" s="7"/>
      <c r="I892" s="7"/>
      <c r="J892" s="7"/>
      <c r="K892" s="7">
        <v>1.732</v>
      </c>
      <c r="L892" s="7">
        <v>306.5</v>
      </c>
      <c r="M892" s="7">
        <v>0</v>
      </c>
      <c r="N892" s="7"/>
      <c r="O892">
        <v>443.8</v>
      </c>
      <c r="P892">
        <v>128.30000000000001</v>
      </c>
      <c r="Q892">
        <v>16.32</v>
      </c>
      <c r="S892">
        <v>16.010000000000002</v>
      </c>
      <c r="T892">
        <v>0</v>
      </c>
      <c r="U892">
        <v>98</v>
      </c>
      <c r="V892">
        <v>675.9</v>
      </c>
      <c r="W892">
        <v>27.42</v>
      </c>
      <c r="Y892">
        <v>14.03</v>
      </c>
    </row>
    <row r="893" spans="1:25" x14ac:dyDescent="0.25">
      <c r="A893">
        <v>2006</v>
      </c>
      <c r="B893">
        <v>158</v>
      </c>
      <c r="C893">
        <v>1200</v>
      </c>
      <c r="D893" s="7">
        <v>514.6</v>
      </c>
      <c r="E893" s="7">
        <v>317.10000000000002</v>
      </c>
      <c r="F893" s="7">
        <v>17.02</v>
      </c>
      <c r="G893" s="7">
        <v>16.87</v>
      </c>
      <c r="H893" s="7"/>
      <c r="I893" s="7"/>
      <c r="J893" s="7"/>
      <c r="K893" s="7">
        <v>1.157</v>
      </c>
      <c r="L893" s="7">
        <v>281.39999999999998</v>
      </c>
      <c r="M893" s="7">
        <v>0</v>
      </c>
      <c r="N893" s="7"/>
      <c r="O893">
        <v>648</v>
      </c>
      <c r="P893">
        <v>181.8</v>
      </c>
      <c r="Q893">
        <v>16.54</v>
      </c>
      <c r="S893">
        <v>16.079999999999998</v>
      </c>
      <c r="T893">
        <v>0</v>
      </c>
      <c r="U893">
        <v>101.5</v>
      </c>
      <c r="V893">
        <v>675.4</v>
      </c>
      <c r="W893">
        <v>27.4</v>
      </c>
      <c r="Y893">
        <v>14.22</v>
      </c>
    </row>
    <row r="894" spans="1:25" x14ac:dyDescent="0.25">
      <c r="A894">
        <v>2006</v>
      </c>
      <c r="B894">
        <v>158</v>
      </c>
      <c r="C894">
        <v>1300</v>
      </c>
      <c r="D894" s="7">
        <v>537.9</v>
      </c>
      <c r="E894" s="7">
        <v>322.7</v>
      </c>
      <c r="F894" s="7">
        <v>18.27</v>
      </c>
      <c r="G894" s="7">
        <v>18.03</v>
      </c>
      <c r="H894" s="7"/>
      <c r="I894" s="7"/>
      <c r="J894" s="7"/>
      <c r="K894" s="7">
        <v>1.4550000000000001</v>
      </c>
      <c r="L894" s="7">
        <v>330.2</v>
      </c>
      <c r="M894" s="7">
        <v>0</v>
      </c>
      <c r="N894" s="7"/>
      <c r="O894">
        <v>672.6</v>
      </c>
      <c r="P894">
        <v>190.8</v>
      </c>
      <c r="Q894">
        <v>16.79</v>
      </c>
      <c r="S894">
        <v>16.16</v>
      </c>
      <c r="T894">
        <v>0</v>
      </c>
      <c r="U894">
        <v>102.3</v>
      </c>
      <c r="V894">
        <v>673.1</v>
      </c>
      <c r="W894">
        <v>27.3</v>
      </c>
      <c r="Y894">
        <v>14.25</v>
      </c>
    </row>
    <row r="895" spans="1:25" x14ac:dyDescent="0.25">
      <c r="A895">
        <v>2006</v>
      </c>
      <c r="B895">
        <v>158</v>
      </c>
      <c r="C895">
        <v>1400</v>
      </c>
      <c r="D895" s="7">
        <v>466.5</v>
      </c>
      <c r="E895" s="7">
        <v>270.60000000000002</v>
      </c>
      <c r="F895" s="7">
        <v>19.23</v>
      </c>
      <c r="G895" s="7">
        <v>18.91</v>
      </c>
      <c r="H895" s="7"/>
      <c r="I895" s="7"/>
      <c r="J895" s="7"/>
      <c r="K895" s="7">
        <v>1.093</v>
      </c>
      <c r="L895" s="7">
        <v>331.8</v>
      </c>
      <c r="M895" s="7">
        <v>0</v>
      </c>
      <c r="N895" s="7"/>
      <c r="O895">
        <v>583.79999999999995</v>
      </c>
      <c r="P895">
        <v>172.2</v>
      </c>
      <c r="Q895">
        <v>17.03</v>
      </c>
      <c r="S895">
        <v>16.23</v>
      </c>
      <c r="T895">
        <v>0</v>
      </c>
      <c r="U895">
        <v>103</v>
      </c>
      <c r="V895">
        <v>671.4</v>
      </c>
      <c r="W895">
        <v>27.22</v>
      </c>
      <c r="Y895">
        <v>14.18</v>
      </c>
    </row>
    <row r="896" spans="1:25" x14ac:dyDescent="0.25">
      <c r="A896">
        <v>2006</v>
      </c>
      <c r="B896">
        <v>158</v>
      </c>
      <c r="C896">
        <v>1500</v>
      </c>
      <c r="D896" s="7">
        <v>481.5</v>
      </c>
      <c r="E896" s="7">
        <v>282</v>
      </c>
      <c r="F896" s="7">
        <v>20.39</v>
      </c>
      <c r="G896" s="7">
        <v>19.940000000000001</v>
      </c>
      <c r="H896" s="7"/>
      <c r="I896" s="7"/>
      <c r="J896" s="7"/>
      <c r="K896" s="7">
        <v>0.82099999999999995</v>
      </c>
      <c r="L896" s="7">
        <v>308.7</v>
      </c>
      <c r="M896" s="7">
        <v>0</v>
      </c>
      <c r="N896" s="7"/>
      <c r="O896">
        <v>606.1</v>
      </c>
      <c r="P896">
        <v>178.1</v>
      </c>
      <c r="Q896">
        <v>17.309999999999999</v>
      </c>
      <c r="S896">
        <v>16.41</v>
      </c>
      <c r="T896">
        <v>0</v>
      </c>
      <c r="U896">
        <v>104.2</v>
      </c>
      <c r="V896">
        <v>670.8</v>
      </c>
      <c r="W896">
        <v>27.2</v>
      </c>
      <c r="Y896">
        <v>14.17</v>
      </c>
    </row>
    <row r="897" spans="1:25" x14ac:dyDescent="0.25">
      <c r="A897">
        <v>2006</v>
      </c>
      <c r="B897">
        <v>158</v>
      </c>
      <c r="C897">
        <v>1600</v>
      </c>
      <c r="D897" s="7">
        <v>436</v>
      </c>
      <c r="E897" s="7">
        <v>256.89999999999998</v>
      </c>
      <c r="F897" s="7">
        <v>21.33</v>
      </c>
      <c r="G897" s="7">
        <v>20.78</v>
      </c>
      <c r="H897" s="7"/>
      <c r="I897" s="7"/>
      <c r="J897" s="7"/>
      <c r="K897" s="7">
        <v>0.82899999999999996</v>
      </c>
      <c r="L897" s="7">
        <v>279.5</v>
      </c>
      <c r="M897" s="7">
        <v>0</v>
      </c>
      <c r="N897" s="7"/>
      <c r="O897">
        <v>546.9</v>
      </c>
      <c r="P897">
        <v>169.3</v>
      </c>
      <c r="Q897">
        <v>17.53</v>
      </c>
      <c r="S897">
        <v>16.59</v>
      </c>
      <c r="T897">
        <v>0</v>
      </c>
      <c r="U897">
        <v>105</v>
      </c>
      <c r="V897">
        <v>668.8</v>
      </c>
      <c r="W897">
        <v>27.11</v>
      </c>
      <c r="Y897">
        <v>14.1</v>
      </c>
    </row>
    <row r="898" spans="1:25" x14ac:dyDescent="0.25">
      <c r="A898">
        <v>2006</v>
      </c>
      <c r="B898">
        <v>158</v>
      </c>
      <c r="C898">
        <v>1700</v>
      </c>
      <c r="D898" s="7">
        <v>316.2</v>
      </c>
      <c r="E898" s="7">
        <v>169.8</v>
      </c>
      <c r="F898" s="7">
        <v>20.03</v>
      </c>
      <c r="G898" s="7">
        <v>19.45</v>
      </c>
      <c r="H898" s="7"/>
      <c r="I898" s="7"/>
      <c r="J898" s="7"/>
      <c r="K898" s="7">
        <v>1.7789999999999999</v>
      </c>
      <c r="L898" s="7">
        <v>83.7</v>
      </c>
      <c r="M898" s="7">
        <v>0</v>
      </c>
      <c r="N898" s="7"/>
      <c r="O898">
        <v>391.4</v>
      </c>
      <c r="P898">
        <v>126.6</v>
      </c>
      <c r="Q898">
        <v>17.73</v>
      </c>
      <c r="S898">
        <v>16.71</v>
      </c>
      <c r="T898">
        <v>0</v>
      </c>
      <c r="U898">
        <v>105.5</v>
      </c>
      <c r="V898">
        <v>667.6</v>
      </c>
      <c r="W898">
        <v>27.06</v>
      </c>
      <c r="Y898">
        <v>13.92</v>
      </c>
    </row>
    <row r="899" spans="1:25" x14ac:dyDescent="0.25">
      <c r="A899">
        <v>2006</v>
      </c>
      <c r="B899">
        <v>158</v>
      </c>
      <c r="C899">
        <v>1800</v>
      </c>
      <c r="D899" s="7">
        <v>305.39999999999998</v>
      </c>
      <c r="E899" s="7">
        <v>159.80000000000001</v>
      </c>
      <c r="F899" s="7">
        <v>18.3</v>
      </c>
      <c r="G899" s="7">
        <v>17.86</v>
      </c>
      <c r="H899" s="7"/>
      <c r="I899" s="7"/>
      <c r="J899" s="7"/>
      <c r="K899" s="7">
        <v>2.0609999999999999</v>
      </c>
      <c r="L899" s="7">
        <v>101.4</v>
      </c>
      <c r="M899" s="7">
        <v>0</v>
      </c>
      <c r="N899" s="7"/>
      <c r="O899">
        <v>374.4</v>
      </c>
      <c r="P899">
        <v>157.30000000000001</v>
      </c>
      <c r="Q899">
        <v>17.87</v>
      </c>
      <c r="S899">
        <v>16.82</v>
      </c>
      <c r="T899">
        <v>0</v>
      </c>
      <c r="U899">
        <v>104.2</v>
      </c>
      <c r="V899">
        <v>666.3</v>
      </c>
      <c r="W899">
        <v>27</v>
      </c>
      <c r="Y899">
        <v>13.8</v>
      </c>
    </row>
    <row r="900" spans="1:25" x14ac:dyDescent="0.25">
      <c r="A900">
        <v>2006</v>
      </c>
      <c r="B900">
        <v>158</v>
      </c>
      <c r="C900">
        <v>1900</v>
      </c>
      <c r="D900" s="7">
        <v>208.7</v>
      </c>
      <c r="E900" s="7">
        <v>90.3</v>
      </c>
      <c r="F900" s="7">
        <v>17.07</v>
      </c>
      <c r="G900" s="7">
        <v>16.68</v>
      </c>
      <c r="H900" s="7"/>
      <c r="I900" s="7"/>
      <c r="J900" s="7"/>
      <c r="K900" s="7">
        <v>2.1819999999999999</v>
      </c>
      <c r="L900" s="7">
        <v>100.6</v>
      </c>
      <c r="M900" s="7">
        <v>0</v>
      </c>
      <c r="N900" s="7"/>
      <c r="O900">
        <v>256.5</v>
      </c>
      <c r="P900">
        <v>134.5</v>
      </c>
      <c r="Q900">
        <v>17.899999999999999</v>
      </c>
      <c r="S900">
        <v>16.96</v>
      </c>
      <c r="T900">
        <v>0</v>
      </c>
      <c r="U900">
        <v>103.9</v>
      </c>
      <c r="V900">
        <v>666.2</v>
      </c>
      <c r="W900">
        <v>27</v>
      </c>
      <c r="Y900">
        <v>13.66</v>
      </c>
    </row>
    <row r="901" spans="1:25" x14ac:dyDescent="0.25">
      <c r="A901">
        <v>2006</v>
      </c>
      <c r="B901">
        <v>158</v>
      </c>
      <c r="C901">
        <v>2000</v>
      </c>
      <c r="D901" s="7">
        <v>92.7</v>
      </c>
      <c r="E901" s="7">
        <v>7.33</v>
      </c>
      <c r="F901" s="7">
        <v>15.63</v>
      </c>
      <c r="G901" s="7">
        <v>15.33</v>
      </c>
      <c r="H901" s="7"/>
      <c r="I901" s="7"/>
      <c r="J901" s="7"/>
      <c r="K901" s="7">
        <v>2.0209999999999999</v>
      </c>
      <c r="L901" s="7">
        <v>105.9</v>
      </c>
      <c r="M901" s="7">
        <v>0</v>
      </c>
      <c r="N901" s="7"/>
      <c r="O901">
        <v>109.4</v>
      </c>
      <c r="P901">
        <v>61.02</v>
      </c>
      <c r="Q901">
        <v>17.8</v>
      </c>
      <c r="S901">
        <v>16.98</v>
      </c>
      <c r="T901">
        <v>0</v>
      </c>
      <c r="U901">
        <v>103.2</v>
      </c>
      <c r="V901">
        <v>668.7</v>
      </c>
      <c r="W901">
        <v>27.1</v>
      </c>
      <c r="Y901">
        <v>13.54</v>
      </c>
    </row>
    <row r="902" spans="1:25" x14ac:dyDescent="0.25">
      <c r="A902">
        <v>2006</v>
      </c>
      <c r="B902">
        <v>158</v>
      </c>
      <c r="C902">
        <v>2100</v>
      </c>
      <c r="D902" s="7">
        <v>11.83</v>
      </c>
      <c r="E902" s="7">
        <v>-49.6</v>
      </c>
      <c r="F902" s="7">
        <v>13.97</v>
      </c>
      <c r="G902" s="7">
        <v>13.71</v>
      </c>
      <c r="H902" s="7"/>
      <c r="I902" s="7"/>
      <c r="J902" s="7"/>
      <c r="K902" s="7">
        <v>1.228</v>
      </c>
      <c r="L902" s="7">
        <v>100.1</v>
      </c>
      <c r="M902" s="7">
        <v>0</v>
      </c>
      <c r="N902" s="7"/>
      <c r="O902">
        <v>5.4720000000000004</v>
      </c>
      <c r="P902">
        <v>-3.81</v>
      </c>
      <c r="Q902">
        <v>17.64</v>
      </c>
      <c r="S902">
        <v>16.95</v>
      </c>
      <c r="T902">
        <v>0</v>
      </c>
      <c r="U902">
        <v>102.9</v>
      </c>
      <c r="V902">
        <v>668.6</v>
      </c>
      <c r="W902">
        <v>27.1</v>
      </c>
      <c r="Y902">
        <v>13.41</v>
      </c>
    </row>
    <row r="903" spans="1:25" x14ac:dyDescent="0.25">
      <c r="A903">
        <v>2006</v>
      </c>
      <c r="B903">
        <v>158</v>
      </c>
      <c r="C903">
        <v>2200</v>
      </c>
      <c r="D903" s="7">
        <v>-2.504</v>
      </c>
      <c r="E903" s="7">
        <v>-52.68</v>
      </c>
      <c r="F903" s="7">
        <v>12.86</v>
      </c>
      <c r="G903" s="7">
        <v>12.68</v>
      </c>
      <c r="H903" s="7"/>
      <c r="I903" s="7"/>
      <c r="J903" s="7"/>
      <c r="K903" s="7">
        <v>0.86499999999999999</v>
      </c>
      <c r="L903" s="7">
        <v>106.9</v>
      </c>
      <c r="M903" s="7">
        <v>0</v>
      </c>
      <c r="N903" s="7"/>
      <c r="O903">
        <v>-11.87</v>
      </c>
      <c r="P903">
        <v>-11.42</v>
      </c>
      <c r="Q903">
        <v>17.45</v>
      </c>
      <c r="S903">
        <v>16.89</v>
      </c>
      <c r="T903">
        <v>0</v>
      </c>
      <c r="U903">
        <v>102</v>
      </c>
      <c r="V903">
        <v>667.8</v>
      </c>
      <c r="W903">
        <v>27.07</v>
      </c>
      <c r="Y903">
        <v>13.31</v>
      </c>
    </row>
    <row r="904" spans="1:25" x14ac:dyDescent="0.25">
      <c r="A904">
        <v>2006</v>
      </c>
      <c r="B904">
        <v>158</v>
      </c>
      <c r="C904">
        <v>2300</v>
      </c>
      <c r="D904" s="7">
        <v>-2.8050000000000002</v>
      </c>
      <c r="E904" s="7">
        <v>-42.6</v>
      </c>
      <c r="F904" s="7">
        <v>12.19</v>
      </c>
      <c r="G904" s="7">
        <v>12.07</v>
      </c>
      <c r="H904" s="7"/>
      <c r="I904" s="7"/>
      <c r="J904" s="7"/>
      <c r="K904" s="7">
        <v>0.59099999999999997</v>
      </c>
      <c r="L904" s="7">
        <v>100.4</v>
      </c>
      <c r="M904" s="7">
        <v>0</v>
      </c>
      <c r="N904" s="7"/>
      <c r="O904">
        <v>-12.16</v>
      </c>
      <c r="P904">
        <v>-11.47</v>
      </c>
      <c r="Q904">
        <v>17.239999999999998</v>
      </c>
      <c r="S904">
        <v>16.82</v>
      </c>
      <c r="T904">
        <v>0</v>
      </c>
      <c r="U904">
        <v>101.4</v>
      </c>
      <c r="V904">
        <v>680.8</v>
      </c>
      <c r="W904">
        <v>27.64</v>
      </c>
      <c r="Y904">
        <v>13.23</v>
      </c>
    </row>
    <row r="905" spans="1:25" x14ac:dyDescent="0.25">
      <c r="A905">
        <v>2006</v>
      </c>
      <c r="B905">
        <v>158</v>
      </c>
      <c r="C905">
        <v>2400</v>
      </c>
      <c r="D905" s="7">
        <v>-2.423</v>
      </c>
      <c r="E905" s="7">
        <v>-32.119999999999997</v>
      </c>
      <c r="F905" s="7">
        <v>11.86</v>
      </c>
      <c r="G905" s="7">
        <v>11.8</v>
      </c>
      <c r="H905" s="7"/>
      <c r="I905" s="7"/>
      <c r="J905" s="7"/>
      <c r="K905" s="7">
        <v>0.80700000000000005</v>
      </c>
      <c r="L905" s="7">
        <v>108.4</v>
      </c>
      <c r="M905" s="7">
        <v>0</v>
      </c>
      <c r="N905" s="7"/>
      <c r="O905">
        <v>-12.17</v>
      </c>
      <c r="P905">
        <v>-11.47</v>
      </c>
      <c r="Q905">
        <v>17.010000000000002</v>
      </c>
      <c r="S905">
        <v>16.7</v>
      </c>
      <c r="T905">
        <v>0</v>
      </c>
      <c r="U905">
        <v>100.8</v>
      </c>
      <c r="V905">
        <v>710</v>
      </c>
      <c r="W905">
        <v>28.95</v>
      </c>
      <c r="Y905">
        <v>13.16</v>
      </c>
    </row>
    <row r="906" spans="1:25" x14ac:dyDescent="0.25">
      <c r="A906">
        <v>2006</v>
      </c>
      <c r="B906">
        <v>159</v>
      </c>
      <c r="C906">
        <v>100</v>
      </c>
      <c r="D906" s="7">
        <v>-2.7269999999999999</v>
      </c>
      <c r="E906" s="7">
        <v>-29.47</v>
      </c>
      <c r="F906" s="7">
        <v>11.05</v>
      </c>
      <c r="G906" s="7">
        <v>11</v>
      </c>
      <c r="H906" s="7"/>
      <c r="I906" s="7"/>
      <c r="J906" s="7"/>
      <c r="K906" s="7">
        <v>0.48099999999999998</v>
      </c>
      <c r="L906" s="7">
        <v>85.3</v>
      </c>
      <c r="M906" s="7">
        <v>0</v>
      </c>
      <c r="N906" s="7"/>
      <c r="O906">
        <v>-12.17</v>
      </c>
      <c r="P906">
        <v>-11.48</v>
      </c>
      <c r="Q906">
        <v>16.8</v>
      </c>
      <c r="S906">
        <v>16.579999999999998</v>
      </c>
      <c r="T906">
        <v>0</v>
      </c>
      <c r="U906">
        <v>100.6</v>
      </c>
      <c r="V906">
        <v>693.4</v>
      </c>
      <c r="W906">
        <v>28.2</v>
      </c>
      <c r="Y906">
        <v>13.1</v>
      </c>
    </row>
    <row r="907" spans="1:25" x14ac:dyDescent="0.25">
      <c r="A907">
        <v>2006</v>
      </c>
      <c r="B907">
        <v>159</v>
      </c>
      <c r="C907">
        <v>200</v>
      </c>
      <c r="D907" s="7">
        <v>-2.6019999999999999</v>
      </c>
      <c r="E907" s="7">
        <v>-28.24</v>
      </c>
      <c r="F907" s="7">
        <v>10.6</v>
      </c>
      <c r="G907" s="7">
        <v>10.57</v>
      </c>
      <c r="H907" s="7"/>
      <c r="I907" s="7"/>
      <c r="J907" s="7"/>
      <c r="K907" s="7">
        <v>0.35399999999999998</v>
      </c>
      <c r="L907" s="7">
        <v>115.6</v>
      </c>
      <c r="M907" s="7">
        <v>0</v>
      </c>
      <c r="N907" s="7"/>
      <c r="O907">
        <v>-12.17</v>
      </c>
      <c r="P907">
        <v>-11.47</v>
      </c>
      <c r="Q907">
        <v>16.559999999999999</v>
      </c>
      <c r="S907">
        <v>16.41</v>
      </c>
      <c r="T907">
        <v>0</v>
      </c>
      <c r="U907">
        <v>100.3</v>
      </c>
      <c r="V907">
        <v>682.2</v>
      </c>
      <c r="W907">
        <v>27.7</v>
      </c>
      <c r="Y907">
        <v>13.04</v>
      </c>
    </row>
    <row r="908" spans="1:25" x14ac:dyDescent="0.25">
      <c r="A908">
        <v>2006</v>
      </c>
      <c r="B908">
        <v>159</v>
      </c>
      <c r="C908">
        <v>300</v>
      </c>
      <c r="D908" s="7">
        <v>-2.605</v>
      </c>
      <c r="E908" s="7">
        <v>-29.2</v>
      </c>
      <c r="F908" s="7">
        <v>8.52</v>
      </c>
      <c r="G908" s="7">
        <v>8.4499999999999993</v>
      </c>
      <c r="H908" s="7"/>
      <c r="I908" s="7"/>
      <c r="J908" s="7"/>
      <c r="K908" s="7">
        <v>8.6999999999999994E-2</v>
      </c>
      <c r="L908" s="7">
        <v>236.6</v>
      </c>
      <c r="M908" s="7">
        <v>0</v>
      </c>
      <c r="N908" s="7"/>
      <c r="O908">
        <v>-12.17</v>
      </c>
      <c r="P908">
        <v>-11.48</v>
      </c>
      <c r="Q908">
        <v>16.329999999999998</v>
      </c>
      <c r="S908">
        <v>16.260000000000002</v>
      </c>
      <c r="T908">
        <v>0</v>
      </c>
      <c r="U908">
        <v>100.9</v>
      </c>
      <c r="V908">
        <v>673.3</v>
      </c>
      <c r="W908">
        <v>27.31</v>
      </c>
      <c r="Y908">
        <v>12.99</v>
      </c>
    </row>
    <row r="909" spans="1:25" x14ac:dyDescent="0.25">
      <c r="A909">
        <v>2006</v>
      </c>
      <c r="B909">
        <v>159</v>
      </c>
      <c r="C909">
        <v>400</v>
      </c>
      <c r="D909" s="7">
        <v>-1.133</v>
      </c>
      <c r="E909" s="7">
        <v>-28.33</v>
      </c>
      <c r="F909" s="7">
        <v>7.66</v>
      </c>
      <c r="G909" s="7">
        <v>7.64</v>
      </c>
      <c r="H909" s="7"/>
      <c r="I909" s="7"/>
      <c r="J909" s="7"/>
      <c r="K909" s="7">
        <v>7.0000000000000007E-2</v>
      </c>
      <c r="L909" s="7">
        <v>309.2</v>
      </c>
      <c r="M909" s="7">
        <v>0</v>
      </c>
      <c r="N909" s="7"/>
      <c r="O909">
        <v>-10.84</v>
      </c>
      <c r="P909">
        <v>-10.98</v>
      </c>
      <c r="Q909">
        <v>16.079999999999998</v>
      </c>
      <c r="S909">
        <v>16.12</v>
      </c>
      <c r="T909">
        <v>0</v>
      </c>
      <c r="U909">
        <v>100.3</v>
      </c>
      <c r="V909">
        <v>670.3</v>
      </c>
      <c r="W909">
        <v>27.18</v>
      </c>
      <c r="Y909">
        <v>12.95</v>
      </c>
    </row>
    <row r="910" spans="1:25" x14ac:dyDescent="0.25">
      <c r="A910">
        <v>2006</v>
      </c>
      <c r="B910">
        <v>159</v>
      </c>
      <c r="C910">
        <v>500</v>
      </c>
      <c r="D910" s="7">
        <v>18.11</v>
      </c>
      <c r="E910" s="7">
        <v>-12.69</v>
      </c>
      <c r="F910" s="7">
        <v>7.66</v>
      </c>
      <c r="G910" s="7">
        <v>7.63</v>
      </c>
      <c r="H910" s="7"/>
      <c r="I910" s="7"/>
      <c r="J910" s="7"/>
      <c r="K910" s="7">
        <v>0.108</v>
      </c>
      <c r="L910" s="7">
        <v>298.10000000000002</v>
      </c>
      <c r="M910" s="7">
        <v>0</v>
      </c>
      <c r="N910" s="7"/>
      <c r="O910">
        <v>13</v>
      </c>
      <c r="P910">
        <v>-2.6709999999999998</v>
      </c>
      <c r="Q910">
        <v>15.81</v>
      </c>
      <c r="S910">
        <v>15.94</v>
      </c>
      <c r="T910">
        <v>0</v>
      </c>
      <c r="U910">
        <v>100.4</v>
      </c>
      <c r="V910">
        <v>669.3</v>
      </c>
      <c r="W910">
        <v>27.13</v>
      </c>
      <c r="Y910">
        <v>12.92</v>
      </c>
    </row>
    <row r="911" spans="1:25" x14ac:dyDescent="0.25">
      <c r="A911">
        <v>2006</v>
      </c>
      <c r="B911">
        <v>159</v>
      </c>
      <c r="C911">
        <v>600</v>
      </c>
      <c r="D911" s="7">
        <v>63.15</v>
      </c>
      <c r="E911" s="7">
        <v>26.45</v>
      </c>
      <c r="F911" s="7">
        <v>9.4700000000000006</v>
      </c>
      <c r="G911" s="7">
        <v>9.4700000000000006</v>
      </c>
      <c r="H911" s="7"/>
      <c r="I911" s="7"/>
      <c r="J911" s="7"/>
      <c r="K911" s="7">
        <v>0.24299999999999999</v>
      </c>
      <c r="L911" s="7">
        <v>300.2</v>
      </c>
      <c r="M911" s="7">
        <v>0</v>
      </c>
      <c r="N911" s="7"/>
      <c r="O911">
        <v>74</v>
      </c>
      <c r="P911">
        <v>19.89</v>
      </c>
      <c r="Q911">
        <v>15.57</v>
      </c>
      <c r="S911">
        <v>15.8</v>
      </c>
      <c r="T911">
        <v>0</v>
      </c>
      <c r="U911">
        <v>100</v>
      </c>
      <c r="V911">
        <v>668.3</v>
      </c>
      <c r="W911">
        <v>27.09</v>
      </c>
      <c r="Y911">
        <v>13.12</v>
      </c>
    </row>
    <row r="912" spans="1:25" x14ac:dyDescent="0.25">
      <c r="A912">
        <v>2006</v>
      </c>
      <c r="B912">
        <v>159</v>
      </c>
      <c r="C912">
        <v>700</v>
      </c>
      <c r="D912" s="7">
        <v>128.1</v>
      </c>
      <c r="E912" s="7">
        <v>78</v>
      </c>
      <c r="F912" s="7">
        <v>11.2</v>
      </c>
      <c r="G912" s="7">
        <v>11.05</v>
      </c>
      <c r="H912" s="7"/>
      <c r="I912" s="7"/>
      <c r="J912" s="7"/>
      <c r="K912" s="7">
        <v>0.76500000000000001</v>
      </c>
      <c r="L912" s="7">
        <v>312.5</v>
      </c>
      <c r="M912" s="7">
        <v>0</v>
      </c>
      <c r="N912" s="7"/>
      <c r="O912">
        <v>156</v>
      </c>
      <c r="P912">
        <v>43.35</v>
      </c>
      <c r="Q912">
        <v>15.44</v>
      </c>
      <c r="S912">
        <v>15.7</v>
      </c>
      <c r="T912">
        <v>0</v>
      </c>
      <c r="U912">
        <v>101.8</v>
      </c>
      <c r="V912">
        <v>667</v>
      </c>
      <c r="W912">
        <v>27.03</v>
      </c>
      <c r="Y912">
        <v>13.61</v>
      </c>
    </row>
    <row r="913" spans="1:25" x14ac:dyDescent="0.25">
      <c r="A913">
        <v>2006</v>
      </c>
      <c r="B913">
        <v>159</v>
      </c>
      <c r="C913">
        <v>800</v>
      </c>
      <c r="D913" s="7">
        <v>249.2</v>
      </c>
      <c r="E913" s="7">
        <v>157.9</v>
      </c>
      <c r="F913" s="7">
        <v>12.65</v>
      </c>
      <c r="G913" s="7">
        <v>12.42</v>
      </c>
      <c r="H913" s="7"/>
      <c r="I913" s="7"/>
      <c r="J913" s="7"/>
      <c r="K913" s="7">
        <v>0.60399999999999998</v>
      </c>
      <c r="L913" s="7">
        <v>324.89999999999998</v>
      </c>
      <c r="M913" s="7">
        <v>0</v>
      </c>
      <c r="N913" s="7"/>
      <c r="O913">
        <v>311.3</v>
      </c>
      <c r="P913">
        <v>91.7</v>
      </c>
      <c r="Q913">
        <v>15.39</v>
      </c>
      <c r="S913">
        <v>15.57</v>
      </c>
      <c r="T913">
        <v>0</v>
      </c>
      <c r="U913">
        <v>102.6</v>
      </c>
      <c r="V913">
        <v>666.1</v>
      </c>
      <c r="W913">
        <v>26.99</v>
      </c>
      <c r="Y913">
        <v>13.89</v>
      </c>
    </row>
    <row r="914" spans="1:25" x14ac:dyDescent="0.25">
      <c r="A914">
        <v>2006</v>
      </c>
      <c r="B914">
        <v>159</v>
      </c>
      <c r="C914">
        <v>900</v>
      </c>
      <c r="D914" s="7">
        <v>353.7</v>
      </c>
      <c r="E914" s="7">
        <v>226.4</v>
      </c>
      <c r="F914" s="7">
        <v>13.84</v>
      </c>
      <c r="G914" s="7">
        <v>13.79</v>
      </c>
      <c r="H914" s="7">
        <f>AVERAGE(G914:G937)</f>
        <v>17.467916666666671</v>
      </c>
      <c r="I914" s="7">
        <f>MIN(G914:G937)</f>
        <v>11.47</v>
      </c>
      <c r="J914" s="7">
        <f>MAX(G914:G937)</f>
        <v>24.75</v>
      </c>
      <c r="K914" s="7">
        <v>0.69399999999999995</v>
      </c>
      <c r="L914" s="7">
        <v>319.5</v>
      </c>
      <c r="M914" s="7">
        <v>0</v>
      </c>
      <c r="N914" s="7">
        <f>SUM(M914:M937)</f>
        <v>0</v>
      </c>
      <c r="O914">
        <v>450.1</v>
      </c>
      <c r="P914">
        <v>133.1</v>
      </c>
      <c r="Q914">
        <v>15.45</v>
      </c>
      <c r="S914">
        <v>15.49</v>
      </c>
      <c r="T914">
        <v>0</v>
      </c>
      <c r="U914">
        <v>100.5</v>
      </c>
      <c r="V914">
        <v>665.7</v>
      </c>
      <c r="W914">
        <v>26.97</v>
      </c>
      <c r="Y914">
        <v>14.08</v>
      </c>
    </row>
    <row r="915" spans="1:25" x14ac:dyDescent="0.25">
      <c r="A915">
        <v>2006</v>
      </c>
      <c r="B915">
        <v>159</v>
      </c>
      <c r="C915">
        <v>1000</v>
      </c>
      <c r="D915" s="7">
        <v>680.1</v>
      </c>
      <c r="E915" s="7">
        <v>444.2</v>
      </c>
      <c r="F915" s="7">
        <v>17.29</v>
      </c>
      <c r="G915" s="7">
        <v>18.28</v>
      </c>
      <c r="H915" s="7"/>
      <c r="I915" s="7"/>
      <c r="J915" s="7"/>
      <c r="K915" s="7">
        <v>0.73799999999999999</v>
      </c>
      <c r="L915" s="7">
        <v>318.60000000000002</v>
      </c>
      <c r="M915" s="7">
        <v>0</v>
      </c>
      <c r="N915" s="7"/>
      <c r="O915">
        <v>876</v>
      </c>
      <c r="P915">
        <v>228.8</v>
      </c>
      <c r="Q915">
        <v>15.68</v>
      </c>
      <c r="S915">
        <v>15.55</v>
      </c>
      <c r="T915">
        <v>0</v>
      </c>
      <c r="U915">
        <v>90.8</v>
      </c>
      <c r="V915">
        <v>664.5</v>
      </c>
      <c r="W915">
        <v>26.92</v>
      </c>
      <c r="Y915">
        <v>14.69</v>
      </c>
    </row>
    <row r="916" spans="1:25" x14ac:dyDescent="0.25">
      <c r="A916">
        <v>2006</v>
      </c>
      <c r="B916">
        <v>159</v>
      </c>
      <c r="C916">
        <v>1100</v>
      </c>
      <c r="D916" s="7">
        <v>677.9</v>
      </c>
      <c r="E916" s="7">
        <v>425.1</v>
      </c>
      <c r="F916" s="7">
        <v>21.14</v>
      </c>
      <c r="G916" s="7">
        <v>21.03</v>
      </c>
      <c r="H916" s="7"/>
      <c r="I916" s="7"/>
      <c r="J916" s="7"/>
      <c r="K916" s="7">
        <v>1.0720000000000001</v>
      </c>
      <c r="L916" s="7">
        <v>311.10000000000002</v>
      </c>
      <c r="M916" s="7">
        <v>0</v>
      </c>
      <c r="N916" s="7"/>
      <c r="O916">
        <v>853</v>
      </c>
      <c r="P916">
        <v>215</v>
      </c>
      <c r="Q916">
        <v>16</v>
      </c>
      <c r="S916">
        <v>15.58</v>
      </c>
      <c r="T916">
        <v>0</v>
      </c>
      <c r="U916">
        <v>101</v>
      </c>
      <c r="V916">
        <v>664</v>
      </c>
      <c r="W916">
        <v>26.9</v>
      </c>
      <c r="Y916">
        <v>14.47</v>
      </c>
    </row>
    <row r="917" spans="1:25" x14ac:dyDescent="0.25">
      <c r="A917">
        <v>2006</v>
      </c>
      <c r="B917">
        <v>159</v>
      </c>
      <c r="C917">
        <v>1200</v>
      </c>
      <c r="D917" s="7">
        <v>774</v>
      </c>
      <c r="E917" s="7">
        <v>468.5</v>
      </c>
      <c r="F917" s="7">
        <v>22.26</v>
      </c>
      <c r="G917" s="7">
        <v>22.05</v>
      </c>
      <c r="H917" s="7"/>
      <c r="I917" s="7"/>
      <c r="J917" s="7"/>
      <c r="K917" s="7">
        <v>1.113</v>
      </c>
      <c r="L917" s="7">
        <v>292.89999999999998</v>
      </c>
      <c r="M917" s="7">
        <v>0</v>
      </c>
      <c r="N917" s="7"/>
      <c r="O917">
        <v>964</v>
      </c>
      <c r="P917">
        <v>220</v>
      </c>
      <c r="Q917">
        <v>16.38</v>
      </c>
      <c r="S917">
        <v>15.72</v>
      </c>
      <c r="T917">
        <v>0</v>
      </c>
      <c r="U917">
        <v>101.9</v>
      </c>
      <c r="V917">
        <v>661.1</v>
      </c>
      <c r="W917">
        <v>26.77</v>
      </c>
      <c r="Y917">
        <v>13.98</v>
      </c>
    </row>
    <row r="918" spans="1:25" x14ac:dyDescent="0.25">
      <c r="A918">
        <v>2006</v>
      </c>
      <c r="B918">
        <v>159</v>
      </c>
      <c r="C918">
        <v>1300</v>
      </c>
      <c r="D918" s="7">
        <v>837</v>
      </c>
      <c r="E918" s="7">
        <v>495</v>
      </c>
      <c r="F918" s="7">
        <v>23.34</v>
      </c>
      <c r="G918" s="7">
        <v>23.17</v>
      </c>
      <c r="H918" s="7"/>
      <c r="I918" s="7"/>
      <c r="J918" s="7"/>
      <c r="K918" s="7">
        <v>1.4079999999999999</v>
      </c>
      <c r="L918" s="7">
        <v>327.60000000000002</v>
      </c>
      <c r="M918" s="7">
        <v>0</v>
      </c>
      <c r="N918" s="7"/>
      <c r="O918">
        <v>1031</v>
      </c>
      <c r="P918">
        <v>234</v>
      </c>
      <c r="Q918">
        <v>16.77</v>
      </c>
      <c r="S918">
        <v>15.98</v>
      </c>
      <c r="T918">
        <v>0</v>
      </c>
      <c r="U918">
        <v>101.4</v>
      </c>
      <c r="V918">
        <v>658.3</v>
      </c>
      <c r="W918">
        <v>26.65</v>
      </c>
      <c r="Y918">
        <v>14.03</v>
      </c>
    </row>
    <row r="919" spans="1:25" x14ac:dyDescent="0.25">
      <c r="A919">
        <v>2006</v>
      </c>
      <c r="B919">
        <v>159</v>
      </c>
      <c r="C919">
        <v>1400</v>
      </c>
      <c r="D919" s="7">
        <v>839</v>
      </c>
      <c r="E919" s="7">
        <v>480.7</v>
      </c>
      <c r="F919" s="7">
        <v>24.57</v>
      </c>
      <c r="G919" s="7">
        <v>24.2</v>
      </c>
      <c r="H919" s="7"/>
      <c r="I919" s="7"/>
      <c r="J919" s="7"/>
      <c r="K919" s="7">
        <v>1.1619999999999999</v>
      </c>
      <c r="L919" s="7">
        <v>285.60000000000002</v>
      </c>
      <c r="M919" s="7">
        <v>0</v>
      </c>
      <c r="N919" s="7"/>
      <c r="O919">
        <v>1002</v>
      </c>
      <c r="P919">
        <v>239</v>
      </c>
      <c r="Q919">
        <v>17.2</v>
      </c>
      <c r="S919">
        <v>16.34</v>
      </c>
      <c r="T919">
        <v>0</v>
      </c>
      <c r="U919">
        <v>103.1</v>
      </c>
      <c r="V919">
        <v>655.9</v>
      </c>
      <c r="W919">
        <v>26.54</v>
      </c>
      <c r="Y919">
        <v>14.33</v>
      </c>
    </row>
    <row r="920" spans="1:25" x14ac:dyDescent="0.25">
      <c r="A920">
        <v>2006</v>
      </c>
      <c r="B920">
        <v>159</v>
      </c>
      <c r="C920">
        <v>1500</v>
      </c>
      <c r="D920" s="7">
        <v>775</v>
      </c>
      <c r="E920" s="7">
        <v>449.2</v>
      </c>
      <c r="F920" s="7">
        <v>25.42</v>
      </c>
      <c r="G920" s="7">
        <v>24.75</v>
      </c>
      <c r="H920" s="7"/>
      <c r="I920" s="7"/>
      <c r="J920" s="7"/>
      <c r="K920" s="7">
        <v>1.272</v>
      </c>
      <c r="L920" s="7">
        <v>261.89999999999998</v>
      </c>
      <c r="M920" s="7">
        <v>0</v>
      </c>
      <c r="N920" s="7"/>
      <c r="O920">
        <v>943</v>
      </c>
      <c r="P920">
        <v>230.2</v>
      </c>
      <c r="Q920">
        <v>17.579999999999998</v>
      </c>
      <c r="S920">
        <v>16.690000000000001</v>
      </c>
      <c r="T920">
        <v>0</v>
      </c>
      <c r="U920">
        <v>105.6</v>
      </c>
      <c r="V920">
        <v>657.2</v>
      </c>
      <c r="W920">
        <v>26.6</v>
      </c>
      <c r="Y920">
        <v>14.18</v>
      </c>
    </row>
    <row r="921" spans="1:25" x14ac:dyDescent="0.25">
      <c r="A921">
        <v>2006</v>
      </c>
      <c r="B921">
        <v>159</v>
      </c>
      <c r="C921">
        <v>1600</v>
      </c>
      <c r="D921" s="7">
        <v>673.1</v>
      </c>
      <c r="E921" s="7">
        <v>385.1</v>
      </c>
      <c r="F921" s="7">
        <v>25.2</v>
      </c>
      <c r="G921" s="7">
        <v>24.27</v>
      </c>
      <c r="H921" s="7"/>
      <c r="I921" s="7"/>
      <c r="J921" s="7"/>
      <c r="K921" s="7">
        <v>1.8819999999999999</v>
      </c>
      <c r="L921" s="7">
        <v>99.6</v>
      </c>
      <c r="M921" s="7">
        <v>0</v>
      </c>
      <c r="N921" s="7"/>
      <c r="O921">
        <v>820</v>
      </c>
      <c r="P921">
        <v>245.6</v>
      </c>
      <c r="Q921">
        <v>17.87</v>
      </c>
      <c r="S921">
        <v>17.03</v>
      </c>
      <c r="T921">
        <v>0</v>
      </c>
      <c r="U921">
        <v>107.8</v>
      </c>
      <c r="V921">
        <v>651</v>
      </c>
      <c r="W921">
        <v>26.33</v>
      </c>
      <c r="Y921">
        <v>14.24</v>
      </c>
    </row>
    <row r="922" spans="1:25" x14ac:dyDescent="0.25">
      <c r="A922">
        <v>2006</v>
      </c>
      <c r="B922">
        <v>159</v>
      </c>
      <c r="C922">
        <v>1700</v>
      </c>
      <c r="D922" s="7">
        <v>512.5</v>
      </c>
      <c r="E922" s="7">
        <v>281.2</v>
      </c>
      <c r="F922" s="7">
        <v>23.28</v>
      </c>
      <c r="G922" s="7">
        <v>22.63</v>
      </c>
      <c r="H922" s="7"/>
      <c r="I922" s="7"/>
      <c r="J922" s="7"/>
      <c r="K922" s="7">
        <v>2.879</v>
      </c>
      <c r="L922" s="7">
        <v>112</v>
      </c>
      <c r="M922" s="7">
        <v>0</v>
      </c>
      <c r="N922" s="7"/>
      <c r="O922">
        <v>620.1</v>
      </c>
      <c r="P922">
        <v>235</v>
      </c>
      <c r="Q922">
        <v>18.12</v>
      </c>
      <c r="S922">
        <v>17.36</v>
      </c>
      <c r="T922">
        <v>0</v>
      </c>
      <c r="U922">
        <v>105.7</v>
      </c>
      <c r="V922">
        <v>648.9</v>
      </c>
      <c r="W922">
        <v>26.24</v>
      </c>
      <c r="Y922">
        <v>13.98</v>
      </c>
    </row>
    <row r="923" spans="1:25" x14ac:dyDescent="0.25">
      <c r="A923">
        <v>2006</v>
      </c>
      <c r="B923">
        <v>159</v>
      </c>
      <c r="C923">
        <v>1800</v>
      </c>
      <c r="D923" s="7">
        <v>368.5</v>
      </c>
      <c r="E923" s="7">
        <v>190.1</v>
      </c>
      <c r="F923" s="7">
        <v>21.68</v>
      </c>
      <c r="G923" s="7">
        <v>21.3</v>
      </c>
      <c r="H923" s="7"/>
      <c r="I923" s="7"/>
      <c r="J923" s="7"/>
      <c r="K923" s="7">
        <v>3.2919999999999998</v>
      </c>
      <c r="L923" s="7">
        <v>108.8</v>
      </c>
      <c r="M923" s="7">
        <v>0</v>
      </c>
      <c r="N923" s="7"/>
      <c r="O923">
        <v>448</v>
      </c>
      <c r="P923">
        <v>204.7</v>
      </c>
      <c r="Q923">
        <v>18.27</v>
      </c>
      <c r="S923">
        <v>17.600000000000001</v>
      </c>
      <c r="T923">
        <v>0</v>
      </c>
      <c r="U923">
        <v>103.4</v>
      </c>
      <c r="V923">
        <v>647.6</v>
      </c>
      <c r="W923">
        <v>26.18</v>
      </c>
      <c r="Y923">
        <v>13.74</v>
      </c>
    </row>
    <row r="924" spans="1:25" x14ac:dyDescent="0.25">
      <c r="A924">
        <v>2006</v>
      </c>
      <c r="B924">
        <v>159</v>
      </c>
      <c r="C924">
        <v>1900</v>
      </c>
      <c r="D924" s="7">
        <v>226</v>
      </c>
      <c r="E924" s="7">
        <v>98.3</v>
      </c>
      <c r="F924" s="7">
        <v>21.07</v>
      </c>
      <c r="G924" s="7">
        <v>20.69</v>
      </c>
      <c r="H924" s="7"/>
      <c r="I924" s="7"/>
      <c r="J924" s="7"/>
      <c r="K924" s="7">
        <v>2.4580000000000002</v>
      </c>
      <c r="L924" s="7">
        <v>115.7</v>
      </c>
      <c r="M924" s="7">
        <v>0</v>
      </c>
      <c r="N924" s="7"/>
      <c r="O924">
        <v>282.8</v>
      </c>
      <c r="P924">
        <v>160.6</v>
      </c>
      <c r="Q924">
        <v>18.260000000000002</v>
      </c>
      <c r="S924">
        <v>17.77</v>
      </c>
      <c r="T924">
        <v>0</v>
      </c>
      <c r="U924">
        <v>103.4</v>
      </c>
      <c r="V924">
        <v>646.4</v>
      </c>
      <c r="W924">
        <v>26.13</v>
      </c>
      <c r="Y924">
        <v>13.61</v>
      </c>
    </row>
    <row r="925" spans="1:25" x14ac:dyDescent="0.25">
      <c r="A925">
        <v>2006</v>
      </c>
      <c r="B925">
        <v>159</v>
      </c>
      <c r="C925">
        <v>2000</v>
      </c>
      <c r="D925" s="7">
        <v>102.6</v>
      </c>
      <c r="E925" s="7">
        <v>11.55</v>
      </c>
      <c r="F925" s="7">
        <v>19.809999999999999</v>
      </c>
      <c r="G925" s="7">
        <v>19.350000000000001</v>
      </c>
      <c r="H925" s="7"/>
      <c r="I925" s="7"/>
      <c r="J925" s="7"/>
      <c r="K925" s="7">
        <v>2.02</v>
      </c>
      <c r="L925" s="7">
        <v>111.2</v>
      </c>
      <c r="M925" s="7">
        <v>0</v>
      </c>
      <c r="N925" s="7"/>
      <c r="O925">
        <v>126.1</v>
      </c>
      <c r="P925">
        <v>94.1</v>
      </c>
      <c r="Q925">
        <v>18.149999999999999</v>
      </c>
      <c r="S925">
        <v>17.79</v>
      </c>
      <c r="T925">
        <v>0</v>
      </c>
      <c r="U925">
        <v>104.3</v>
      </c>
      <c r="V925">
        <v>645.6</v>
      </c>
      <c r="W925">
        <v>26.09</v>
      </c>
      <c r="Y925">
        <v>13.5</v>
      </c>
    </row>
    <row r="926" spans="1:25" x14ac:dyDescent="0.25">
      <c r="A926">
        <v>2006</v>
      </c>
      <c r="B926">
        <v>159</v>
      </c>
      <c r="C926">
        <v>2100</v>
      </c>
      <c r="D926" s="7">
        <v>16.66</v>
      </c>
      <c r="E926" s="7">
        <v>-53.27</v>
      </c>
      <c r="F926" s="7">
        <v>17.420000000000002</v>
      </c>
      <c r="G926" s="7">
        <v>17.16</v>
      </c>
      <c r="H926" s="7"/>
      <c r="I926" s="7"/>
      <c r="J926" s="7"/>
      <c r="K926" s="7">
        <v>1.476</v>
      </c>
      <c r="L926" s="7">
        <v>114.9</v>
      </c>
      <c r="M926" s="7">
        <v>0</v>
      </c>
      <c r="N926" s="7"/>
      <c r="O926">
        <v>12.83</v>
      </c>
      <c r="P926">
        <v>8.25</v>
      </c>
      <c r="Q926">
        <v>18.02</v>
      </c>
      <c r="S926">
        <v>17.75</v>
      </c>
      <c r="T926">
        <v>0</v>
      </c>
      <c r="U926">
        <v>102.5</v>
      </c>
      <c r="V926">
        <v>644.6</v>
      </c>
      <c r="W926">
        <v>26.05</v>
      </c>
      <c r="Y926">
        <v>13.36</v>
      </c>
    </row>
    <row r="927" spans="1:25" x14ac:dyDescent="0.25">
      <c r="A927">
        <v>2006</v>
      </c>
      <c r="B927">
        <v>159</v>
      </c>
      <c r="C927">
        <v>2200</v>
      </c>
      <c r="D927" s="7">
        <v>-3.1110000000000002</v>
      </c>
      <c r="E927" s="7">
        <v>-63.79</v>
      </c>
      <c r="F927" s="7">
        <v>15.35</v>
      </c>
      <c r="G927" s="7">
        <v>15.35</v>
      </c>
      <c r="H927" s="7"/>
      <c r="I927" s="7"/>
      <c r="J927" s="7"/>
      <c r="K927" s="7">
        <v>0.73299999999999998</v>
      </c>
      <c r="L927" s="7">
        <v>131</v>
      </c>
      <c r="M927" s="7">
        <v>0</v>
      </c>
      <c r="N927" s="7"/>
      <c r="O927">
        <v>-11.33</v>
      </c>
      <c r="P927">
        <v>-11.23</v>
      </c>
      <c r="Q927">
        <v>17.86</v>
      </c>
      <c r="S927">
        <v>17.670000000000002</v>
      </c>
      <c r="T927">
        <v>0</v>
      </c>
      <c r="U927">
        <v>100.1</v>
      </c>
      <c r="V927">
        <v>646.1</v>
      </c>
      <c r="W927">
        <v>26.11</v>
      </c>
      <c r="Y927">
        <v>13.26</v>
      </c>
    </row>
    <row r="928" spans="1:25" x14ac:dyDescent="0.25">
      <c r="A928">
        <v>2006</v>
      </c>
      <c r="B928">
        <v>159</v>
      </c>
      <c r="C928">
        <v>2300</v>
      </c>
      <c r="D928" s="7">
        <v>-3.2930000000000001</v>
      </c>
      <c r="E928" s="7">
        <v>-58.26</v>
      </c>
      <c r="F928" s="7">
        <v>14.29</v>
      </c>
      <c r="G928" s="7">
        <v>14.34</v>
      </c>
      <c r="H928" s="7"/>
      <c r="I928" s="7"/>
      <c r="J928" s="7"/>
      <c r="K928" s="7">
        <v>1.1080000000000001</v>
      </c>
      <c r="L928" s="7">
        <v>118.1</v>
      </c>
      <c r="M928" s="7">
        <v>0</v>
      </c>
      <c r="N928" s="7"/>
      <c r="O928">
        <v>-12.16</v>
      </c>
      <c r="P928">
        <v>-11.47</v>
      </c>
      <c r="Q928">
        <v>17.66</v>
      </c>
      <c r="S928">
        <v>17.57</v>
      </c>
      <c r="T928">
        <v>0</v>
      </c>
      <c r="U928">
        <v>99.5</v>
      </c>
      <c r="V928">
        <v>646.1</v>
      </c>
      <c r="W928">
        <v>26.11</v>
      </c>
      <c r="Y928">
        <v>13.18</v>
      </c>
    </row>
    <row r="929" spans="1:25" x14ac:dyDescent="0.25">
      <c r="A929">
        <v>2006</v>
      </c>
      <c r="B929">
        <v>159</v>
      </c>
      <c r="C929">
        <v>2400</v>
      </c>
      <c r="D929" s="7">
        <v>-2.8610000000000002</v>
      </c>
      <c r="E929" s="7">
        <v>-55.58</v>
      </c>
      <c r="F929" s="7">
        <v>13.59</v>
      </c>
      <c r="G929" s="7">
        <v>13.75</v>
      </c>
      <c r="H929" s="7"/>
      <c r="I929" s="7"/>
      <c r="J929" s="7"/>
      <c r="K929" s="7">
        <v>1.913</v>
      </c>
      <c r="L929" s="7">
        <v>107.3</v>
      </c>
      <c r="M929" s="7">
        <v>0</v>
      </c>
      <c r="N929" s="7"/>
      <c r="O929">
        <v>-12.16</v>
      </c>
      <c r="P929">
        <v>-11.47</v>
      </c>
      <c r="Q929">
        <v>17.440000000000001</v>
      </c>
      <c r="S929">
        <v>17.45</v>
      </c>
      <c r="T929">
        <v>0</v>
      </c>
      <c r="U929">
        <v>98.3</v>
      </c>
      <c r="V929">
        <v>646.20000000000005</v>
      </c>
      <c r="W929">
        <v>26.12</v>
      </c>
      <c r="Y929">
        <v>13.12</v>
      </c>
    </row>
    <row r="930" spans="1:25" x14ac:dyDescent="0.25">
      <c r="A930">
        <v>2006</v>
      </c>
      <c r="B930">
        <v>160</v>
      </c>
      <c r="C930">
        <v>100</v>
      </c>
      <c r="D930" s="7">
        <v>-2.9980000000000002</v>
      </c>
      <c r="E930" s="7">
        <v>-54.29</v>
      </c>
      <c r="F930" s="7">
        <v>13.02</v>
      </c>
      <c r="G930" s="7">
        <v>13.07</v>
      </c>
      <c r="H930" s="7"/>
      <c r="I930" s="7"/>
      <c r="J930" s="7"/>
      <c r="K930" s="7">
        <v>1.5840000000000001</v>
      </c>
      <c r="L930" s="7">
        <v>98.1</v>
      </c>
      <c r="M930" s="7">
        <v>0</v>
      </c>
      <c r="N930" s="7"/>
      <c r="O930">
        <v>-12.17</v>
      </c>
      <c r="P930">
        <v>-11.47</v>
      </c>
      <c r="Q930">
        <v>17.23</v>
      </c>
      <c r="S930">
        <v>17.309999999999999</v>
      </c>
      <c r="T930">
        <v>0</v>
      </c>
      <c r="U930">
        <v>99.5</v>
      </c>
      <c r="V930">
        <v>652.5</v>
      </c>
      <c r="W930">
        <v>26.39</v>
      </c>
      <c r="Y930">
        <v>13.05</v>
      </c>
    </row>
    <row r="931" spans="1:25" x14ac:dyDescent="0.25">
      <c r="A931">
        <v>2006</v>
      </c>
      <c r="B931">
        <v>160</v>
      </c>
      <c r="C931">
        <v>200</v>
      </c>
      <c r="D931" s="7">
        <v>-3.07</v>
      </c>
      <c r="E931" s="7">
        <v>-53.85</v>
      </c>
      <c r="F931" s="7">
        <v>12.26</v>
      </c>
      <c r="G931" s="7">
        <v>12.29</v>
      </c>
      <c r="H931" s="7"/>
      <c r="I931" s="7"/>
      <c r="J931" s="7"/>
      <c r="K931" s="7">
        <v>1.351</v>
      </c>
      <c r="L931" s="7">
        <v>103.6</v>
      </c>
      <c r="M931" s="7">
        <v>0</v>
      </c>
      <c r="N931" s="7"/>
      <c r="O931">
        <v>-12.17</v>
      </c>
      <c r="P931">
        <v>-11.47</v>
      </c>
      <c r="Q931">
        <v>17.010000000000002</v>
      </c>
      <c r="S931">
        <v>17.149999999999999</v>
      </c>
      <c r="T931">
        <v>0</v>
      </c>
      <c r="U931">
        <v>99.6</v>
      </c>
      <c r="V931">
        <v>652.9</v>
      </c>
      <c r="W931">
        <v>26.41</v>
      </c>
      <c r="Y931">
        <v>13</v>
      </c>
    </row>
    <row r="932" spans="1:25" x14ac:dyDescent="0.25">
      <c r="A932">
        <v>2006</v>
      </c>
      <c r="B932">
        <v>160</v>
      </c>
      <c r="C932">
        <v>300</v>
      </c>
      <c r="D932" s="7">
        <v>-3.0009999999999999</v>
      </c>
      <c r="E932" s="7">
        <v>-53.71</v>
      </c>
      <c r="F932" s="7">
        <v>11.8</v>
      </c>
      <c r="G932" s="7">
        <v>11.83</v>
      </c>
      <c r="H932" s="7"/>
      <c r="I932" s="7"/>
      <c r="J932" s="7"/>
      <c r="K932" s="7">
        <v>1.089</v>
      </c>
      <c r="L932" s="7">
        <v>94.9</v>
      </c>
      <c r="M932" s="7">
        <v>0</v>
      </c>
      <c r="N932" s="7"/>
      <c r="O932">
        <v>-12.17</v>
      </c>
      <c r="P932">
        <v>-11.47</v>
      </c>
      <c r="Q932">
        <v>16.809999999999999</v>
      </c>
      <c r="S932">
        <v>16.98</v>
      </c>
      <c r="T932">
        <v>0</v>
      </c>
      <c r="U932">
        <v>99.7</v>
      </c>
      <c r="V932">
        <v>650.79999999999995</v>
      </c>
      <c r="W932">
        <v>26.32</v>
      </c>
      <c r="Y932">
        <v>12.96</v>
      </c>
    </row>
    <row r="933" spans="1:25" x14ac:dyDescent="0.25">
      <c r="A933">
        <v>2006</v>
      </c>
      <c r="B933">
        <v>160</v>
      </c>
      <c r="C933">
        <v>400</v>
      </c>
      <c r="D933" s="7">
        <v>-1.2170000000000001</v>
      </c>
      <c r="E933" s="7">
        <v>-50.39</v>
      </c>
      <c r="F933" s="7">
        <v>11.72</v>
      </c>
      <c r="G933" s="7">
        <v>11.8</v>
      </c>
      <c r="H933" s="7"/>
      <c r="I933" s="7"/>
      <c r="J933" s="7"/>
      <c r="K933" s="7">
        <v>0.97099999999999997</v>
      </c>
      <c r="L933" s="7">
        <v>99.8</v>
      </c>
      <c r="M933" s="7">
        <v>0</v>
      </c>
      <c r="N933" s="7"/>
      <c r="O933">
        <v>-9.56</v>
      </c>
      <c r="P933">
        <v>-10.52</v>
      </c>
      <c r="Q933">
        <v>16.600000000000001</v>
      </c>
      <c r="S933">
        <v>16.809999999999999</v>
      </c>
      <c r="T933">
        <v>0</v>
      </c>
      <c r="U933">
        <v>99.1</v>
      </c>
      <c r="V933">
        <v>649.70000000000005</v>
      </c>
      <c r="W933">
        <v>26.27</v>
      </c>
      <c r="Y933">
        <v>12.93</v>
      </c>
    </row>
    <row r="934" spans="1:25" x14ac:dyDescent="0.25">
      <c r="A934">
        <v>2006</v>
      </c>
      <c r="B934">
        <v>160</v>
      </c>
      <c r="C934">
        <v>500</v>
      </c>
      <c r="D934" s="7">
        <v>21.32</v>
      </c>
      <c r="E934" s="7">
        <v>-25.87</v>
      </c>
      <c r="F934" s="7">
        <v>11.57</v>
      </c>
      <c r="G934" s="7">
        <v>11.47</v>
      </c>
      <c r="H934" s="7"/>
      <c r="I934" s="7"/>
      <c r="J934" s="7"/>
      <c r="K934" s="7">
        <v>1.266</v>
      </c>
      <c r="L934" s="7">
        <v>103.5</v>
      </c>
      <c r="M934" s="7">
        <v>0</v>
      </c>
      <c r="N934" s="7"/>
      <c r="O934">
        <v>16.649999999999999</v>
      </c>
      <c r="P934">
        <v>-0.75800000000000001</v>
      </c>
      <c r="Q934">
        <v>16.39</v>
      </c>
      <c r="S934">
        <v>16.63</v>
      </c>
      <c r="T934">
        <v>0</v>
      </c>
      <c r="U934">
        <v>101.2</v>
      </c>
      <c r="V934">
        <v>648.20000000000005</v>
      </c>
      <c r="W934">
        <v>26.21</v>
      </c>
      <c r="Y934">
        <v>12.92</v>
      </c>
    </row>
    <row r="935" spans="1:25" x14ac:dyDescent="0.25">
      <c r="A935">
        <v>2006</v>
      </c>
      <c r="B935">
        <v>160</v>
      </c>
      <c r="C935">
        <v>600</v>
      </c>
      <c r="D935" s="7">
        <v>104.5</v>
      </c>
      <c r="E935" s="7">
        <v>40.56</v>
      </c>
      <c r="F935" s="7">
        <v>12.18</v>
      </c>
      <c r="G935" s="7">
        <v>12.04</v>
      </c>
      <c r="H935" s="7"/>
      <c r="I935" s="7"/>
      <c r="J935" s="7"/>
      <c r="K935" s="7">
        <v>1.492</v>
      </c>
      <c r="L935" s="7">
        <v>113.4</v>
      </c>
      <c r="M935" s="7">
        <v>0</v>
      </c>
      <c r="N935" s="7"/>
      <c r="O935">
        <v>122.6</v>
      </c>
      <c r="P935">
        <v>41.47</v>
      </c>
      <c r="Q935">
        <v>16.23</v>
      </c>
      <c r="S935">
        <v>16.489999999999998</v>
      </c>
      <c r="T935">
        <v>0</v>
      </c>
      <c r="U935">
        <v>101.6</v>
      </c>
      <c r="V935">
        <v>646.70000000000005</v>
      </c>
      <c r="W935">
        <v>26.14</v>
      </c>
      <c r="Y935">
        <v>13.24</v>
      </c>
    </row>
    <row r="936" spans="1:25" x14ac:dyDescent="0.25">
      <c r="A936">
        <v>2006</v>
      </c>
      <c r="B936">
        <v>160</v>
      </c>
      <c r="C936">
        <v>700</v>
      </c>
      <c r="D936" s="7">
        <v>233</v>
      </c>
      <c r="E936" s="7">
        <v>152.6</v>
      </c>
      <c r="F936" s="7">
        <v>13.88</v>
      </c>
      <c r="G936" s="7">
        <v>14.3</v>
      </c>
      <c r="H936" s="7"/>
      <c r="I936" s="7"/>
      <c r="J936" s="7"/>
      <c r="K936" s="7">
        <v>1.8220000000000001</v>
      </c>
      <c r="L936" s="7">
        <v>103.4</v>
      </c>
      <c r="M936" s="7">
        <v>0</v>
      </c>
      <c r="N936" s="7"/>
      <c r="O936">
        <v>326.89999999999998</v>
      </c>
      <c r="P936">
        <v>121.4</v>
      </c>
      <c r="Q936">
        <v>16.16</v>
      </c>
      <c r="S936">
        <v>16.420000000000002</v>
      </c>
      <c r="T936">
        <v>0</v>
      </c>
      <c r="U936">
        <v>95.7</v>
      </c>
      <c r="V936">
        <v>645.4</v>
      </c>
      <c r="W936">
        <v>26.08</v>
      </c>
      <c r="Y936">
        <v>13.85</v>
      </c>
    </row>
    <row r="937" spans="1:25" x14ac:dyDescent="0.25">
      <c r="A937">
        <v>2006</v>
      </c>
      <c r="B937">
        <v>160</v>
      </c>
      <c r="C937">
        <v>800</v>
      </c>
      <c r="D937" s="7">
        <v>360.8</v>
      </c>
      <c r="E937" s="7">
        <v>235.8</v>
      </c>
      <c r="F937" s="7">
        <v>16.05</v>
      </c>
      <c r="G937" s="7">
        <v>16.32</v>
      </c>
      <c r="H937" s="7"/>
      <c r="I937" s="7"/>
      <c r="J937" s="7"/>
      <c r="K937" s="7">
        <v>2.4649999999999999</v>
      </c>
      <c r="L937" s="7">
        <v>101.7</v>
      </c>
      <c r="M937" s="7">
        <v>0</v>
      </c>
      <c r="N937" s="7"/>
      <c r="O937">
        <v>485.2</v>
      </c>
      <c r="P937">
        <v>161.5</v>
      </c>
      <c r="Q937">
        <v>16.18</v>
      </c>
      <c r="S937">
        <v>16.309999999999999</v>
      </c>
      <c r="T937">
        <v>0</v>
      </c>
      <c r="U937">
        <v>97.3</v>
      </c>
      <c r="V937">
        <v>643.79999999999995</v>
      </c>
      <c r="W937">
        <v>26.01</v>
      </c>
      <c r="Y937">
        <v>14.2</v>
      </c>
    </row>
    <row r="938" spans="1:25" x14ac:dyDescent="0.25">
      <c r="A938">
        <v>2006</v>
      </c>
      <c r="B938">
        <v>160</v>
      </c>
      <c r="C938">
        <v>900</v>
      </c>
      <c r="D938" s="7">
        <v>508.5</v>
      </c>
      <c r="E938" s="7">
        <v>327.2</v>
      </c>
      <c r="F938" s="7">
        <v>18.7</v>
      </c>
      <c r="G938" s="7">
        <v>18.55</v>
      </c>
      <c r="H938" s="7">
        <f>AVERAGE(G938:G961)</f>
        <v>19.203333333333337</v>
      </c>
      <c r="I938" s="7">
        <f>MIN(G938:G961)</f>
        <v>14.79</v>
      </c>
      <c r="J938" s="7">
        <f>MAX(G938:G961)</f>
        <v>23.19</v>
      </c>
      <c r="K938" s="7">
        <v>2.5859999999999999</v>
      </c>
      <c r="L938" s="7">
        <v>104.8</v>
      </c>
      <c r="M938" s="7">
        <v>0</v>
      </c>
      <c r="N938" s="7">
        <f>SUM(M938:M961)</f>
        <v>0</v>
      </c>
      <c r="O938">
        <v>654.9</v>
      </c>
      <c r="P938">
        <v>196.2</v>
      </c>
      <c r="Q938">
        <v>16.309999999999999</v>
      </c>
      <c r="S938">
        <v>16.260000000000002</v>
      </c>
      <c r="T938">
        <v>0</v>
      </c>
      <c r="U938">
        <v>101.4</v>
      </c>
      <c r="V938">
        <v>642.29999999999995</v>
      </c>
      <c r="W938">
        <v>25.95</v>
      </c>
      <c r="Y938">
        <v>14.52</v>
      </c>
    </row>
    <row r="939" spans="1:25" x14ac:dyDescent="0.25">
      <c r="A939">
        <v>2006</v>
      </c>
      <c r="B939">
        <v>160</v>
      </c>
      <c r="C939">
        <v>1000</v>
      </c>
      <c r="D939" s="7">
        <v>638.5</v>
      </c>
      <c r="E939" s="7">
        <v>399.2</v>
      </c>
      <c r="F939" s="7">
        <v>21</v>
      </c>
      <c r="G939" s="7">
        <v>20.8</v>
      </c>
      <c r="H939" s="7"/>
      <c r="I939" s="7"/>
      <c r="J939" s="7"/>
      <c r="K939" s="7">
        <v>2.6859999999999999</v>
      </c>
      <c r="L939" s="7">
        <v>111.8</v>
      </c>
      <c r="M939" s="7">
        <v>0</v>
      </c>
      <c r="N939" s="7"/>
      <c r="O939">
        <v>816</v>
      </c>
      <c r="P939">
        <v>216.9</v>
      </c>
      <c r="Q939">
        <v>16.55</v>
      </c>
      <c r="S939">
        <v>16.25</v>
      </c>
      <c r="T939">
        <v>0</v>
      </c>
      <c r="U939">
        <v>101.8</v>
      </c>
      <c r="V939">
        <v>640.29999999999995</v>
      </c>
      <c r="W939">
        <v>25.86</v>
      </c>
      <c r="Y939">
        <v>14.61</v>
      </c>
    </row>
    <row r="940" spans="1:25" x14ac:dyDescent="0.25">
      <c r="A940">
        <v>2006</v>
      </c>
      <c r="B940">
        <v>160</v>
      </c>
      <c r="C940">
        <v>1100</v>
      </c>
      <c r="D940" s="7">
        <v>738</v>
      </c>
      <c r="E940" s="7">
        <v>449.3</v>
      </c>
      <c r="F940" s="7">
        <v>22.97</v>
      </c>
      <c r="G940" s="7">
        <v>22.89</v>
      </c>
      <c r="H940" s="7"/>
      <c r="I940" s="7"/>
      <c r="J940" s="7"/>
      <c r="K940" s="7">
        <v>2.8210000000000002</v>
      </c>
      <c r="L940" s="7">
        <v>122.5</v>
      </c>
      <c r="M940" s="7">
        <v>0</v>
      </c>
      <c r="N940" s="7"/>
      <c r="O940">
        <v>930</v>
      </c>
      <c r="P940">
        <v>240.1</v>
      </c>
      <c r="Q940">
        <v>16.87</v>
      </c>
      <c r="S940">
        <v>16.329999999999998</v>
      </c>
      <c r="T940">
        <v>0</v>
      </c>
      <c r="U940">
        <v>100.7</v>
      </c>
      <c r="V940">
        <v>637.70000000000005</v>
      </c>
      <c r="W940">
        <v>25.74</v>
      </c>
      <c r="Y940">
        <v>14.46</v>
      </c>
    </row>
    <row r="941" spans="1:25" x14ac:dyDescent="0.25">
      <c r="A941">
        <v>2006</v>
      </c>
      <c r="B941">
        <v>160</v>
      </c>
      <c r="C941">
        <v>1200</v>
      </c>
      <c r="D941" s="7">
        <v>810</v>
      </c>
      <c r="E941" s="7">
        <v>475.6</v>
      </c>
      <c r="F941" s="7">
        <v>23.01</v>
      </c>
      <c r="G941" s="7">
        <v>22.8</v>
      </c>
      <c r="H941" s="7"/>
      <c r="I941" s="7"/>
      <c r="J941" s="7"/>
      <c r="K941" s="7">
        <v>3.16</v>
      </c>
      <c r="L941" s="7">
        <v>133.9</v>
      </c>
      <c r="M941" s="7">
        <v>0</v>
      </c>
      <c r="N941" s="7"/>
      <c r="O941">
        <v>1010</v>
      </c>
      <c r="P941">
        <v>246.8</v>
      </c>
      <c r="Q941">
        <v>17.22</v>
      </c>
      <c r="S941">
        <v>16.47</v>
      </c>
      <c r="T941">
        <v>0</v>
      </c>
      <c r="U941">
        <v>101.8</v>
      </c>
      <c r="V941">
        <v>634.1</v>
      </c>
      <c r="W941">
        <v>25.59</v>
      </c>
      <c r="Y941">
        <v>14.11</v>
      </c>
    </row>
    <row r="942" spans="1:25" x14ac:dyDescent="0.25">
      <c r="A942">
        <v>2006</v>
      </c>
      <c r="B942">
        <v>160</v>
      </c>
      <c r="C942">
        <v>1300</v>
      </c>
      <c r="D942" s="7">
        <v>834</v>
      </c>
      <c r="E942" s="7">
        <v>477</v>
      </c>
      <c r="F942" s="7">
        <v>23.08</v>
      </c>
      <c r="G942" s="7">
        <v>22.85</v>
      </c>
      <c r="H942" s="7"/>
      <c r="I942" s="7"/>
      <c r="J942" s="7"/>
      <c r="K942" s="7">
        <v>3.371</v>
      </c>
      <c r="L942" s="7">
        <v>131.30000000000001</v>
      </c>
      <c r="M942" s="7">
        <v>0</v>
      </c>
      <c r="N942" s="7"/>
      <c r="O942">
        <v>1031</v>
      </c>
      <c r="P942">
        <v>251.1</v>
      </c>
      <c r="Q942">
        <v>17.47</v>
      </c>
      <c r="S942">
        <v>16.670000000000002</v>
      </c>
      <c r="T942">
        <v>0</v>
      </c>
      <c r="U942">
        <v>102</v>
      </c>
      <c r="V942">
        <v>630.70000000000005</v>
      </c>
      <c r="W942">
        <v>25.44</v>
      </c>
      <c r="Y942">
        <v>14.14</v>
      </c>
    </row>
    <row r="943" spans="1:25" x14ac:dyDescent="0.25">
      <c r="A943">
        <v>2006</v>
      </c>
      <c r="B943">
        <v>160</v>
      </c>
      <c r="C943">
        <v>1400</v>
      </c>
      <c r="D943" s="7">
        <v>822</v>
      </c>
      <c r="E943" s="7">
        <v>456.3</v>
      </c>
      <c r="F943" s="7">
        <v>23.24</v>
      </c>
      <c r="G943" s="7">
        <v>22.96</v>
      </c>
      <c r="H943" s="7"/>
      <c r="I943" s="7"/>
      <c r="J943" s="7"/>
      <c r="K943" s="7">
        <v>3.5939999999999999</v>
      </c>
      <c r="L943" s="7">
        <v>132.30000000000001</v>
      </c>
      <c r="M943" s="7">
        <v>0</v>
      </c>
      <c r="N943" s="7"/>
      <c r="O943">
        <v>981</v>
      </c>
      <c r="P943">
        <v>243.5</v>
      </c>
      <c r="Q943">
        <v>17.7</v>
      </c>
      <c r="S943">
        <v>16.93</v>
      </c>
      <c r="T943">
        <v>0</v>
      </c>
      <c r="U943">
        <v>102.4</v>
      </c>
      <c r="V943">
        <v>627.20000000000005</v>
      </c>
      <c r="W943">
        <v>25.28</v>
      </c>
      <c r="Y943">
        <v>14.33</v>
      </c>
    </row>
    <row r="944" spans="1:25" x14ac:dyDescent="0.25">
      <c r="A944">
        <v>2006</v>
      </c>
      <c r="B944">
        <v>160</v>
      </c>
      <c r="C944">
        <v>1500</v>
      </c>
      <c r="D944" s="7">
        <v>759</v>
      </c>
      <c r="E944" s="7">
        <v>428.1</v>
      </c>
      <c r="F944" s="7">
        <v>23.51</v>
      </c>
      <c r="G944" s="7">
        <v>23.19</v>
      </c>
      <c r="H944" s="7"/>
      <c r="I944" s="7"/>
      <c r="J944" s="7"/>
      <c r="K944" s="7">
        <v>3.871</v>
      </c>
      <c r="L944" s="7">
        <v>123.7</v>
      </c>
      <c r="M944" s="7">
        <v>0</v>
      </c>
      <c r="N944" s="7"/>
      <c r="O944">
        <v>923</v>
      </c>
      <c r="P944">
        <v>229.3</v>
      </c>
      <c r="Q944">
        <v>17.920000000000002</v>
      </c>
      <c r="S944">
        <v>17.21</v>
      </c>
      <c r="T944">
        <v>0</v>
      </c>
      <c r="U944">
        <v>102.7</v>
      </c>
      <c r="V944">
        <v>625.20000000000005</v>
      </c>
      <c r="W944">
        <v>25.19</v>
      </c>
      <c r="Y944">
        <v>14.18</v>
      </c>
    </row>
    <row r="945" spans="1:25" x14ac:dyDescent="0.25">
      <c r="A945">
        <v>2006</v>
      </c>
      <c r="B945">
        <v>160</v>
      </c>
      <c r="C945">
        <v>1600</v>
      </c>
      <c r="D945" s="7">
        <v>663.6</v>
      </c>
      <c r="E945" s="7">
        <v>370.7</v>
      </c>
      <c r="F945" s="7">
        <v>23.16</v>
      </c>
      <c r="G945" s="7">
        <v>22.89</v>
      </c>
      <c r="H945" s="7"/>
      <c r="I945" s="7"/>
      <c r="J945" s="7"/>
      <c r="K945" s="7">
        <v>4.0389999999999997</v>
      </c>
      <c r="L945" s="7">
        <v>120</v>
      </c>
      <c r="M945" s="7">
        <v>0</v>
      </c>
      <c r="N945" s="7"/>
      <c r="O945">
        <v>805</v>
      </c>
      <c r="P945">
        <v>237.9</v>
      </c>
      <c r="Q945">
        <v>18.059999999999999</v>
      </c>
      <c r="S945">
        <v>17.46</v>
      </c>
      <c r="T945">
        <v>0</v>
      </c>
      <c r="U945">
        <v>102.3</v>
      </c>
      <c r="V945">
        <v>623.20000000000005</v>
      </c>
      <c r="W945">
        <v>25.11</v>
      </c>
      <c r="Y945">
        <v>14.23</v>
      </c>
    </row>
    <row r="946" spans="1:25" x14ac:dyDescent="0.25">
      <c r="A946">
        <v>2006</v>
      </c>
      <c r="B946">
        <v>160</v>
      </c>
      <c r="C946">
        <v>1700</v>
      </c>
      <c r="D946" s="7">
        <v>536.9</v>
      </c>
      <c r="E946" s="7">
        <v>292.7</v>
      </c>
      <c r="F946" s="7">
        <v>22.91</v>
      </c>
      <c r="G946" s="7">
        <v>22.59</v>
      </c>
      <c r="H946" s="7"/>
      <c r="I946" s="7"/>
      <c r="J946" s="7"/>
      <c r="K946" s="7">
        <v>3.6640000000000001</v>
      </c>
      <c r="L946" s="7">
        <v>120.6</v>
      </c>
      <c r="M946" s="7">
        <v>0</v>
      </c>
      <c r="N946" s="7"/>
      <c r="O946">
        <v>651.70000000000005</v>
      </c>
      <c r="P946">
        <v>246.7</v>
      </c>
      <c r="Q946">
        <v>18.16</v>
      </c>
      <c r="S946">
        <v>17.68</v>
      </c>
      <c r="T946">
        <v>0</v>
      </c>
      <c r="U946">
        <v>102.7</v>
      </c>
      <c r="V946">
        <v>621.70000000000005</v>
      </c>
      <c r="W946">
        <v>25.04</v>
      </c>
      <c r="Y946">
        <v>14</v>
      </c>
    </row>
    <row r="947" spans="1:25" x14ac:dyDescent="0.25">
      <c r="A947">
        <v>2006</v>
      </c>
      <c r="B947">
        <v>160</v>
      </c>
      <c r="C947">
        <v>1800</v>
      </c>
      <c r="D947" s="7">
        <v>386.2</v>
      </c>
      <c r="E947" s="7">
        <v>199.4</v>
      </c>
      <c r="F947" s="7">
        <v>22.48</v>
      </c>
      <c r="G947" s="7">
        <v>22.12</v>
      </c>
      <c r="H947" s="7"/>
      <c r="I947" s="7"/>
      <c r="J947" s="7"/>
      <c r="K947" s="7">
        <v>3.0470000000000002</v>
      </c>
      <c r="L947" s="7">
        <v>118.5</v>
      </c>
      <c r="M947" s="7">
        <v>0</v>
      </c>
      <c r="N947" s="7"/>
      <c r="O947">
        <v>475.5</v>
      </c>
      <c r="P947">
        <v>219</v>
      </c>
      <c r="Q947">
        <v>18.239999999999998</v>
      </c>
      <c r="S947">
        <v>17.84</v>
      </c>
      <c r="T947">
        <v>0</v>
      </c>
      <c r="U947">
        <v>103.1</v>
      </c>
      <c r="V947">
        <v>620.70000000000005</v>
      </c>
      <c r="W947">
        <v>25</v>
      </c>
      <c r="Y947">
        <v>13.75</v>
      </c>
    </row>
    <row r="948" spans="1:25" x14ac:dyDescent="0.25">
      <c r="A948">
        <v>2006</v>
      </c>
      <c r="B948">
        <v>160</v>
      </c>
      <c r="C948">
        <v>1900</v>
      </c>
      <c r="D948" s="7">
        <v>239.2</v>
      </c>
      <c r="E948" s="7">
        <v>106.1</v>
      </c>
      <c r="F948" s="7">
        <v>21.99</v>
      </c>
      <c r="G948" s="7">
        <v>21.63</v>
      </c>
      <c r="H948" s="7"/>
      <c r="I948" s="7"/>
      <c r="J948" s="7"/>
      <c r="K948" s="7">
        <v>2.3929999999999998</v>
      </c>
      <c r="L948" s="7">
        <v>117.2</v>
      </c>
      <c r="M948" s="7">
        <v>0</v>
      </c>
      <c r="N948" s="7"/>
      <c r="O948">
        <v>305.10000000000002</v>
      </c>
      <c r="P948">
        <v>175</v>
      </c>
      <c r="Q948">
        <v>18.25</v>
      </c>
      <c r="S948">
        <v>17.96</v>
      </c>
      <c r="T948">
        <v>0</v>
      </c>
      <c r="U948">
        <v>103.2</v>
      </c>
      <c r="V948">
        <v>619.1</v>
      </c>
      <c r="W948">
        <v>24.93</v>
      </c>
      <c r="Y948">
        <v>13.62</v>
      </c>
    </row>
    <row r="949" spans="1:25" x14ac:dyDescent="0.25">
      <c r="A949">
        <v>2006</v>
      </c>
      <c r="B949">
        <v>160</v>
      </c>
      <c r="C949">
        <v>2000</v>
      </c>
      <c r="D949" s="7">
        <v>107.4</v>
      </c>
      <c r="E949" s="7">
        <v>13.73</v>
      </c>
      <c r="F949" s="7">
        <v>20.97</v>
      </c>
      <c r="G949" s="7">
        <v>20.74</v>
      </c>
      <c r="H949" s="7"/>
      <c r="I949" s="7"/>
      <c r="J949" s="7"/>
      <c r="K949" s="7">
        <v>2.23</v>
      </c>
      <c r="L949" s="7">
        <v>113.2</v>
      </c>
      <c r="M949" s="7">
        <v>0</v>
      </c>
      <c r="N949" s="7"/>
      <c r="O949">
        <v>135.4</v>
      </c>
      <c r="P949">
        <v>102.4</v>
      </c>
      <c r="Q949">
        <v>18.149999999999999</v>
      </c>
      <c r="S949">
        <v>17.91</v>
      </c>
      <c r="T949">
        <v>0</v>
      </c>
      <c r="U949">
        <v>102</v>
      </c>
      <c r="V949">
        <v>620.20000000000005</v>
      </c>
      <c r="W949">
        <v>24.97</v>
      </c>
      <c r="Y949">
        <v>13.51</v>
      </c>
    </row>
    <row r="950" spans="1:25" x14ac:dyDescent="0.25">
      <c r="A950">
        <v>2006</v>
      </c>
      <c r="B950">
        <v>160</v>
      </c>
      <c r="C950">
        <v>2100</v>
      </c>
      <c r="D950" s="7">
        <v>16.850000000000001</v>
      </c>
      <c r="E950" s="7">
        <v>-51.46</v>
      </c>
      <c r="F950" s="7">
        <v>19.309999999999999</v>
      </c>
      <c r="G950" s="7">
        <v>19.27</v>
      </c>
      <c r="H950" s="7"/>
      <c r="I950" s="7"/>
      <c r="J950" s="7"/>
      <c r="K950" s="7">
        <v>2.8679999999999999</v>
      </c>
      <c r="L950" s="7">
        <v>111.3</v>
      </c>
      <c r="M950" s="7">
        <v>0</v>
      </c>
      <c r="N950" s="7"/>
      <c r="O950">
        <v>12.37</v>
      </c>
      <c r="P950">
        <v>7.39</v>
      </c>
      <c r="Q950">
        <v>18.05</v>
      </c>
      <c r="S950">
        <v>17.88</v>
      </c>
      <c r="T950">
        <v>0</v>
      </c>
      <c r="U950">
        <v>100.4</v>
      </c>
      <c r="V950">
        <v>619</v>
      </c>
      <c r="W950">
        <v>24.92</v>
      </c>
      <c r="Y950">
        <v>13.37</v>
      </c>
    </row>
    <row r="951" spans="1:25" x14ac:dyDescent="0.25">
      <c r="A951">
        <v>2006</v>
      </c>
      <c r="B951">
        <v>160</v>
      </c>
      <c r="C951">
        <v>2200</v>
      </c>
      <c r="D951" s="7">
        <v>-2.42</v>
      </c>
      <c r="E951" s="7">
        <v>-58.97</v>
      </c>
      <c r="F951" s="7">
        <v>17.809999999999999</v>
      </c>
      <c r="G951" s="7">
        <v>17.8</v>
      </c>
      <c r="H951" s="7"/>
      <c r="I951" s="7"/>
      <c r="J951" s="7"/>
      <c r="K951" s="7">
        <v>2.6190000000000002</v>
      </c>
      <c r="L951" s="7">
        <v>105.3</v>
      </c>
      <c r="M951" s="7">
        <v>0</v>
      </c>
      <c r="N951" s="7"/>
      <c r="O951">
        <v>-11.59</v>
      </c>
      <c r="P951">
        <v>-11.44</v>
      </c>
      <c r="Q951">
        <v>17.89</v>
      </c>
      <c r="S951">
        <v>17.809999999999999</v>
      </c>
      <c r="T951">
        <v>0</v>
      </c>
      <c r="U951">
        <v>100.1</v>
      </c>
      <c r="V951">
        <v>618.79999999999995</v>
      </c>
      <c r="W951">
        <v>24.91</v>
      </c>
      <c r="Y951">
        <v>13.27</v>
      </c>
    </row>
    <row r="952" spans="1:25" x14ac:dyDescent="0.25">
      <c r="A952">
        <v>2006</v>
      </c>
      <c r="B952">
        <v>160</v>
      </c>
      <c r="C952">
        <v>2300</v>
      </c>
      <c r="D952" s="7">
        <v>-2.8239999999999998</v>
      </c>
      <c r="E952" s="7">
        <v>-54.74</v>
      </c>
      <c r="F952" s="7">
        <v>16.739999999999998</v>
      </c>
      <c r="G952" s="7">
        <v>16.79</v>
      </c>
      <c r="H952" s="7"/>
      <c r="I952" s="7"/>
      <c r="J952" s="7"/>
      <c r="K952" s="7">
        <v>3.077</v>
      </c>
      <c r="L952" s="7">
        <v>108.5</v>
      </c>
      <c r="M952" s="7">
        <v>0</v>
      </c>
      <c r="N952" s="7"/>
      <c r="O952">
        <v>-12.23</v>
      </c>
      <c r="P952">
        <v>-11.56</v>
      </c>
      <c r="Q952">
        <v>17.71</v>
      </c>
      <c r="S952">
        <v>17.7</v>
      </c>
      <c r="T952">
        <v>0</v>
      </c>
      <c r="U952">
        <v>99.5</v>
      </c>
      <c r="V952">
        <v>622.29999999999995</v>
      </c>
      <c r="W952">
        <v>25.07</v>
      </c>
      <c r="Y952">
        <v>13.19</v>
      </c>
    </row>
    <row r="953" spans="1:25" x14ac:dyDescent="0.25">
      <c r="A953">
        <v>2006</v>
      </c>
      <c r="B953">
        <v>160</v>
      </c>
      <c r="C953">
        <v>2400</v>
      </c>
      <c r="D953" s="7">
        <v>-2.8210000000000002</v>
      </c>
      <c r="E953" s="7">
        <v>-52.39</v>
      </c>
      <c r="F953" s="7">
        <v>15.85</v>
      </c>
      <c r="G953" s="7">
        <v>15.94</v>
      </c>
      <c r="H953" s="7"/>
      <c r="I953" s="7"/>
      <c r="J953" s="7"/>
      <c r="K953" s="7">
        <v>2.3420000000000001</v>
      </c>
      <c r="L953" s="7">
        <v>111.8</v>
      </c>
      <c r="M953" s="7">
        <v>0</v>
      </c>
      <c r="N953" s="7"/>
      <c r="O953">
        <v>-12.16</v>
      </c>
      <c r="P953">
        <v>-11.48</v>
      </c>
      <c r="Q953">
        <v>17.52</v>
      </c>
      <c r="S953">
        <v>17.579999999999998</v>
      </c>
      <c r="T953">
        <v>0</v>
      </c>
      <c r="U953">
        <v>99.1</v>
      </c>
      <c r="V953">
        <v>625</v>
      </c>
      <c r="W953">
        <v>25.19</v>
      </c>
      <c r="Y953">
        <v>13.12</v>
      </c>
    </row>
    <row r="954" spans="1:25" x14ac:dyDescent="0.25">
      <c r="A954">
        <v>2006</v>
      </c>
      <c r="B954">
        <v>161</v>
      </c>
      <c r="C954">
        <v>100</v>
      </c>
      <c r="D954" s="7">
        <v>-2.863</v>
      </c>
      <c r="E954" s="7">
        <v>-49.04</v>
      </c>
      <c r="F954" s="7">
        <v>15.98</v>
      </c>
      <c r="G954" s="7">
        <v>16.16</v>
      </c>
      <c r="H954" s="7"/>
      <c r="I954" s="7"/>
      <c r="J954" s="7"/>
      <c r="K954" s="7">
        <v>2.4689999999999999</v>
      </c>
      <c r="L954" s="7">
        <v>107.3</v>
      </c>
      <c r="M954" s="7">
        <v>0</v>
      </c>
      <c r="N954" s="7"/>
      <c r="O954">
        <v>-12.17</v>
      </c>
      <c r="P954">
        <v>-11.47</v>
      </c>
      <c r="Q954">
        <v>17.34</v>
      </c>
      <c r="S954">
        <v>17.45</v>
      </c>
      <c r="T954">
        <v>0</v>
      </c>
      <c r="U954">
        <v>98.3</v>
      </c>
      <c r="V954">
        <v>627.29999999999995</v>
      </c>
      <c r="W954">
        <v>25.29</v>
      </c>
      <c r="Y954">
        <v>13.06</v>
      </c>
    </row>
    <row r="955" spans="1:25" x14ac:dyDescent="0.25">
      <c r="A955">
        <v>2006</v>
      </c>
      <c r="B955">
        <v>161</v>
      </c>
      <c r="C955">
        <v>200</v>
      </c>
      <c r="D955" s="7">
        <v>-2.7320000000000002</v>
      </c>
      <c r="E955" s="7">
        <v>-48.69</v>
      </c>
      <c r="F955" s="7">
        <v>16.03</v>
      </c>
      <c r="G955" s="7">
        <v>16.190000000000001</v>
      </c>
      <c r="H955" s="7"/>
      <c r="I955" s="7"/>
      <c r="J955" s="7"/>
      <c r="K955" s="7">
        <v>2.726</v>
      </c>
      <c r="L955" s="7">
        <v>109</v>
      </c>
      <c r="M955" s="7">
        <v>0</v>
      </c>
      <c r="N955" s="7"/>
      <c r="O955">
        <v>-12.17</v>
      </c>
      <c r="P955">
        <v>-11.47</v>
      </c>
      <c r="Q955">
        <v>17.16</v>
      </c>
      <c r="S955">
        <v>17.3</v>
      </c>
      <c r="T955">
        <v>0</v>
      </c>
      <c r="U955">
        <v>98.3</v>
      </c>
      <c r="V955">
        <v>624.79999999999995</v>
      </c>
      <c r="W955">
        <v>25.18</v>
      </c>
      <c r="Y955">
        <v>13.01</v>
      </c>
    </row>
    <row r="956" spans="1:25" x14ac:dyDescent="0.25">
      <c r="A956">
        <v>2006</v>
      </c>
      <c r="B956">
        <v>161</v>
      </c>
      <c r="C956">
        <v>300</v>
      </c>
      <c r="D956" s="7">
        <v>-2.6629999999999998</v>
      </c>
      <c r="E956" s="7">
        <v>-53.21</v>
      </c>
      <c r="F956" s="7">
        <v>15.33</v>
      </c>
      <c r="G956" s="7">
        <v>15.47</v>
      </c>
      <c r="H956" s="7"/>
      <c r="I956" s="7"/>
      <c r="J956" s="7"/>
      <c r="K956" s="7">
        <v>3.5859999999999999</v>
      </c>
      <c r="L956" s="7">
        <v>110.1</v>
      </c>
      <c r="M956" s="7">
        <v>0</v>
      </c>
      <c r="N956" s="7"/>
      <c r="O956">
        <v>-12.17</v>
      </c>
      <c r="P956">
        <v>-11.47</v>
      </c>
      <c r="Q956">
        <v>17.010000000000002</v>
      </c>
      <c r="S956">
        <v>17.149999999999999</v>
      </c>
      <c r="T956">
        <v>0</v>
      </c>
      <c r="U956">
        <v>98.5</v>
      </c>
      <c r="V956">
        <v>624</v>
      </c>
      <c r="W956">
        <v>25.14</v>
      </c>
      <c r="Y956">
        <v>12.97</v>
      </c>
    </row>
    <row r="957" spans="1:25" x14ac:dyDescent="0.25">
      <c r="A957">
        <v>2006</v>
      </c>
      <c r="B957">
        <v>161</v>
      </c>
      <c r="C957">
        <v>400</v>
      </c>
      <c r="D957" s="7">
        <v>1.575</v>
      </c>
      <c r="E957" s="7">
        <v>-47.7</v>
      </c>
      <c r="F957" s="7">
        <v>14.66</v>
      </c>
      <c r="G957" s="7">
        <v>14.79</v>
      </c>
      <c r="H957" s="7"/>
      <c r="I957" s="7"/>
      <c r="J957" s="7"/>
      <c r="K957" s="7">
        <v>3.1709999999999998</v>
      </c>
      <c r="L957" s="7">
        <v>105.4</v>
      </c>
      <c r="M957" s="7">
        <v>0</v>
      </c>
      <c r="N957" s="7"/>
      <c r="O957">
        <v>-5.3010000000000002</v>
      </c>
      <c r="P957">
        <v>-8.8800000000000008</v>
      </c>
      <c r="Q957">
        <v>16.87</v>
      </c>
      <c r="S957">
        <v>17.010000000000002</v>
      </c>
      <c r="T957">
        <v>0</v>
      </c>
      <c r="U957">
        <v>98.6</v>
      </c>
      <c r="V957">
        <v>621.79999999999995</v>
      </c>
      <c r="W957">
        <v>25.05</v>
      </c>
      <c r="Y957">
        <v>12.94</v>
      </c>
    </row>
    <row r="958" spans="1:25" x14ac:dyDescent="0.25">
      <c r="A958">
        <v>2006</v>
      </c>
      <c r="B958">
        <v>161</v>
      </c>
      <c r="C958">
        <v>500</v>
      </c>
      <c r="D958" s="7">
        <v>30.9</v>
      </c>
      <c r="E958" s="7">
        <v>-26.55</v>
      </c>
      <c r="F958" s="7">
        <v>14.84</v>
      </c>
      <c r="G958" s="7">
        <v>15.04</v>
      </c>
      <c r="H958" s="7"/>
      <c r="I958" s="7"/>
      <c r="J958" s="7"/>
      <c r="K958" s="7">
        <v>3.3769999999999998</v>
      </c>
      <c r="L958" s="7">
        <v>108.3</v>
      </c>
      <c r="M958" s="7">
        <v>0</v>
      </c>
      <c r="N958" s="7"/>
      <c r="O958">
        <v>32.700000000000003</v>
      </c>
      <c r="P958">
        <v>6.0979999999999999</v>
      </c>
      <c r="Q958">
        <v>16.71</v>
      </c>
      <c r="S958">
        <v>16.87</v>
      </c>
      <c r="T958">
        <v>0</v>
      </c>
      <c r="U958">
        <v>97.9</v>
      </c>
      <c r="V958">
        <v>621.29999999999995</v>
      </c>
      <c r="W958">
        <v>25.02</v>
      </c>
      <c r="Y958">
        <v>12.93</v>
      </c>
    </row>
    <row r="959" spans="1:25" x14ac:dyDescent="0.25">
      <c r="A959">
        <v>2006</v>
      </c>
      <c r="B959">
        <v>161</v>
      </c>
      <c r="C959">
        <v>600</v>
      </c>
      <c r="D959" s="7">
        <v>131.1</v>
      </c>
      <c r="E959" s="7">
        <v>49.61</v>
      </c>
      <c r="F959" s="7">
        <v>15.56</v>
      </c>
      <c r="G959" s="7">
        <v>15.71</v>
      </c>
      <c r="H959" s="7"/>
      <c r="I959" s="7"/>
      <c r="J959" s="7"/>
      <c r="K959" s="7">
        <v>3.3769999999999998</v>
      </c>
      <c r="L959" s="7">
        <v>110.5</v>
      </c>
      <c r="M959" s="7">
        <v>0</v>
      </c>
      <c r="N959" s="7"/>
      <c r="O959">
        <v>168</v>
      </c>
      <c r="P959">
        <v>63.04</v>
      </c>
      <c r="Q959">
        <v>16.59</v>
      </c>
      <c r="S959">
        <v>16.77</v>
      </c>
      <c r="T959">
        <v>0</v>
      </c>
      <c r="U959">
        <v>98.5</v>
      </c>
      <c r="V959">
        <v>620.20000000000005</v>
      </c>
      <c r="W959">
        <v>24.98</v>
      </c>
      <c r="Y959">
        <v>13.29</v>
      </c>
    </row>
    <row r="960" spans="1:25" x14ac:dyDescent="0.25">
      <c r="A960">
        <v>2006</v>
      </c>
      <c r="B960">
        <v>161</v>
      </c>
      <c r="C960">
        <v>700</v>
      </c>
      <c r="D960" s="7">
        <v>204.6</v>
      </c>
      <c r="E960" s="7">
        <v>119.3</v>
      </c>
      <c r="F960" s="7">
        <v>16.3</v>
      </c>
      <c r="G960" s="7">
        <v>16.37</v>
      </c>
      <c r="H960" s="7"/>
      <c r="I960" s="7"/>
      <c r="J960" s="7"/>
      <c r="K960" s="7">
        <v>4.9649999999999999</v>
      </c>
      <c r="L960" s="7">
        <v>109</v>
      </c>
      <c r="M960" s="7">
        <v>0</v>
      </c>
      <c r="N960" s="7"/>
      <c r="O960">
        <v>280.89999999999998</v>
      </c>
      <c r="P960">
        <v>102.4</v>
      </c>
      <c r="Q960">
        <v>16.54</v>
      </c>
      <c r="S960">
        <v>16.68</v>
      </c>
      <c r="T960">
        <v>0</v>
      </c>
      <c r="U960">
        <v>99.3</v>
      </c>
      <c r="V960">
        <v>618.1</v>
      </c>
      <c r="W960">
        <v>24.88</v>
      </c>
      <c r="Y960">
        <v>13.83</v>
      </c>
    </row>
    <row r="961" spans="1:25" x14ac:dyDescent="0.25">
      <c r="A961">
        <v>2006</v>
      </c>
      <c r="B961">
        <v>161</v>
      </c>
      <c r="C961">
        <v>800</v>
      </c>
      <c r="D961" s="7">
        <v>373.2</v>
      </c>
      <c r="E961" s="7">
        <v>235.9</v>
      </c>
      <c r="F961" s="7">
        <v>17.29</v>
      </c>
      <c r="G961" s="7">
        <v>17.34</v>
      </c>
      <c r="H961" s="7"/>
      <c r="I961" s="7"/>
      <c r="J961" s="7"/>
      <c r="K961" s="7">
        <v>4.7640000000000002</v>
      </c>
      <c r="L961" s="7">
        <v>115</v>
      </c>
      <c r="M961" s="7">
        <v>0</v>
      </c>
      <c r="N961" s="7"/>
      <c r="O961">
        <v>501.4</v>
      </c>
      <c r="P961">
        <v>161</v>
      </c>
      <c r="Q961">
        <v>16.489999999999998</v>
      </c>
      <c r="S961">
        <v>16.57</v>
      </c>
      <c r="T961">
        <v>0</v>
      </c>
      <c r="U961">
        <v>99.5</v>
      </c>
      <c r="V961">
        <v>616.5</v>
      </c>
      <c r="W961">
        <v>24.81</v>
      </c>
      <c r="Y961">
        <v>14.17</v>
      </c>
    </row>
    <row r="962" spans="1:25" x14ac:dyDescent="0.25">
      <c r="A962">
        <v>2006</v>
      </c>
      <c r="B962">
        <v>161</v>
      </c>
      <c r="C962">
        <v>900</v>
      </c>
      <c r="D962" s="7">
        <v>528.70000000000005</v>
      </c>
      <c r="E962" s="7">
        <v>336</v>
      </c>
      <c r="F962" s="7">
        <v>18.34</v>
      </c>
      <c r="G962" s="7">
        <v>18.309999999999999</v>
      </c>
      <c r="H962" s="7">
        <f>AVERAGE(G962:G985)</f>
        <v>17.760000000000002</v>
      </c>
      <c r="I962" s="7">
        <f>MIN(G962:G985)</f>
        <v>14.89</v>
      </c>
      <c r="J962" s="7">
        <f>MAX(G962:G985)</f>
        <v>21.19</v>
      </c>
      <c r="K962" s="7">
        <v>4.8949999999999996</v>
      </c>
      <c r="L962" s="7">
        <v>115.6</v>
      </c>
      <c r="M962" s="7">
        <v>0</v>
      </c>
      <c r="N962" s="7">
        <f>SUM(M962:M985)</f>
        <v>0.60000000000000009</v>
      </c>
      <c r="O962">
        <v>681.5</v>
      </c>
      <c r="P962">
        <v>208.5</v>
      </c>
      <c r="Q962">
        <v>16.57</v>
      </c>
      <c r="S962">
        <v>16.54</v>
      </c>
      <c r="T962">
        <v>0</v>
      </c>
      <c r="U962">
        <v>100.3</v>
      </c>
      <c r="V962">
        <v>614.29999999999995</v>
      </c>
      <c r="W962">
        <v>24.71</v>
      </c>
      <c r="Y962">
        <v>14.54</v>
      </c>
    </row>
    <row r="963" spans="1:25" x14ac:dyDescent="0.25">
      <c r="A963">
        <v>2006</v>
      </c>
      <c r="B963">
        <v>161</v>
      </c>
      <c r="C963">
        <v>1000</v>
      </c>
      <c r="D963" s="7">
        <v>659.4</v>
      </c>
      <c r="E963" s="7">
        <v>411.5</v>
      </c>
      <c r="F963" s="7">
        <v>19.54</v>
      </c>
      <c r="G963" s="7">
        <v>19.47</v>
      </c>
      <c r="H963" s="7"/>
      <c r="I963" s="7"/>
      <c r="J963" s="7"/>
      <c r="K963" s="7">
        <v>4.24</v>
      </c>
      <c r="L963" s="7">
        <v>126.5</v>
      </c>
      <c r="M963" s="7">
        <v>0</v>
      </c>
      <c r="N963" s="7"/>
      <c r="O963">
        <v>850</v>
      </c>
      <c r="P963">
        <v>238.9</v>
      </c>
      <c r="Q963">
        <v>16.73</v>
      </c>
      <c r="S963">
        <v>16.52</v>
      </c>
      <c r="T963">
        <v>0</v>
      </c>
      <c r="U963">
        <v>100.7</v>
      </c>
      <c r="V963">
        <v>612.4</v>
      </c>
      <c r="W963">
        <v>24.63</v>
      </c>
      <c r="Y963">
        <v>14.6</v>
      </c>
    </row>
    <row r="964" spans="1:25" x14ac:dyDescent="0.25">
      <c r="A964">
        <v>2006</v>
      </c>
      <c r="B964">
        <v>161</v>
      </c>
      <c r="C964">
        <v>1100</v>
      </c>
      <c r="D964" s="7">
        <v>378.7</v>
      </c>
      <c r="E964" s="7">
        <v>212.2</v>
      </c>
      <c r="F964" s="7">
        <v>18.89</v>
      </c>
      <c r="G964" s="7">
        <v>18.760000000000002</v>
      </c>
      <c r="H964" s="7"/>
      <c r="I964" s="7"/>
      <c r="J964" s="7"/>
      <c r="K964" s="7">
        <v>3.9430000000000001</v>
      </c>
      <c r="L964" s="7">
        <v>125.5</v>
      </c>
      <c r="M964" s="7">
        <v>0</v>
      </c>
      <c r="N964" s="7"/>
      <c r="O964">
        <v>484.7</v>
      </c>
      <c r="P964">
        <v>135.9</v>
      </c>
      <c r="Q964">
        <v>16.93</v>
      </c>
      <c r="S964">
        <v>16.5</v>
      </c>
      <c r="T964">
        <v>0</v>
      </c>
      <c r="U964">
        <v>101.2</v>
      </c>
      <c r="V964">
        <v>610.79999999999995</v>
      </c>
      <c r="W964">
        <v>24.56</v>
      </c>
      <c r="Y964">
        <v>14.09</v>
      </c>
    </row>
    <row r="965" spans="1:25" x14ac:dyDescent="0.25">
      <c r="A965">
        <v>2006</v>
      </c>
      <c r="B965">
        <v>161</v>
      </c>
      <c r="C965">
        <v>1200</v>
      </c>
      <c r="D965" s="7">
        <v>251.2</v>
      </c>
      <c r="E965" s="7">
        <v>131.9</v>
      </c>
      <c r="F965" s="7">
        <v>18.41</v>
      </c>
      <c r="G965" s="7">
        <v>18.39</v>
      </c>
      <c r="H965" s="7"/>
      <c r="I965" s="7"/>
      <c r="J965" s="7"/>
      <c r="K965" s="7">
        <v>3.6160000000000001</v>
      </c>
      <c r="L965" s="7">
        <v>133.5</v>
      </c>
      <c r="M965" s="7">
        <v>0</v>
      </c>
      <c r="N965" s="7"/>
      <c r="O965">
        <v>325.7</v>
      </c>
      <c r="P965">
        <v>95.2</v>
      </c>
      <c r="Q965">
        <v>17.11</v>
      </c>
      <c r="S965">
        <v>16.579999999999998</v>
      </c>
      <c r="T965">
        <v>0</v>
      </c>
      <c r="U965">
        <v>100.2</v>
      </c>
      <c r="V965">
        <v>609.6</v>
      </c>
      <c r="W965">
        <v>24.51</v>
      </c>
      <c r="Y965">
        <v>13.92</v>
      </c>
    </row>
    <row r="966" spans="1:25" x14ac:dyDescent="0.25">
      <c r="A966">
        <v>2006</v>
      </c>
      <c r="B966">
        <v>161</v>
      </c>
      <c r="C966">
        <v>1300</v>
      </c>
      <c r="D966" s="7">
        <v>537.5</v>
      </c>
      <c r="E966" s="7">
        <v>312.2</v>
      </c>
      <c r="F966" s="7">
        <v>19.62</v>
      </c>
      <c r="G966" s="7">
        <v>19.66</v>
      </c>
      <c r="H966" s="7"/>
      <c r="I966" s="7"/>
      <c r="J966" s="7"/>
      <c r="K966" s="7">
        <v>3.7970000000000002</v>
      </c>
      <c r="L966" s="7">
        <v>118.3</v>
      </c>
      <c r="M966" s="7">
        <v>0</v>
      </c>
      <c r="N966" s="7"/>
      <c r="O966">
        <v>662.7</v>
      </c>
      <c r="P966">
        <v>174.1</v>
      </c>
      <c r="Q966">
        <v>17.170000000000002</v>
      </c>
      <c r="S966">
        <v>16.73</v>
      </c>
      <c r="T966">
        <v>0</v>
      </c>
      <c r="U966">
        <v>99.6</v>
      </c>
      <c r="V966">
        <v>608.70000000000005</v>
      </c>
      <c r="W966">
        <v>24.47</v>
      </c>
      <c r="Y966">
        <v>14.2</v>
      </c>
    </row>
    <row r="967" spans="1:25" x14ac:dyDescent="0.25">
      <c r="A967">
        <v>2006</v>
      </c>
      <c r="B967">
        <v>161</v>
      </c>
      <c r="C967">
        <v>1400</v>
      </c>
      <c r="D967" s="7">
        <v>391.3</v>
      </c>
      <c r="E967" s="7">
        <v>210.5</v>
      </c>
      <c r="F967" s="7">
        <v>21.22</v>
      </c>
      <c r="G967" s="7">
        <v>21.19</v>
      </c>
      <c r="H967" s="7"/>
      <c r="I967" s="7"/>
      <c r="J967" s="7"/>
      <c r="K967" s="7">
        <v>3.7429999999999999</v>
      </c>
      <c r="L967" s="7">
        <v>118.1</v>
      </c>
      <c r="M967" s="7">
        <v>0</v>
      </c>
      <c r="N967" s="7"/>
      <c r="O967">
        <v>464.1</v>
      </c>
      <c r="P967">
        <v>123</v>
      </c>
      <c r="Q967">
        <v>17.29</v>
      </c>
      <c r="S967">
        <v>16.88</v>
      </c>
      <c r="T967">
        <v>0</v>
      </c>
      <c r="U967">
        <v>100.2</v>
      </c>
      <c r="V967">
        <v>606.29999999999995</v>
      </c>
      <c r="W967">
        <v>24.36</v>
      </c>
      <c r="Y967">
        <v>14.11</v>
      </c>
    </row>
    <row r="968" spans="1:25" x14ac:dyDescent="0.25">
      <c r="A968">
        <v>2006</v>
      </c>
      <c r="B968">
        <v>161</v>
      </c>
      <c r="C968">
        <v>1500</v>
      </c>
      <c r="D968" s="7">
        <v>319.8</v>
      </c>
      <c r="E968" s="7">
        <v>174</v>
      </c>
      <c r="F968" s="7">
        <v>21.13</v>
      </c>
      <c r="G968" s="7">
        <v>21.05</v>
      </c>
      <c r="H968" s="7"/>
      <c r="I968" s="7"/>
      <c r="J968" s="7"/>
      <c r="K968" s="7">
        <v>4.306</v>
      </c>
      <c r="L968" s="7">
        <v>111.9</v>
      </c>
      <c r="M968" s="7">
        <v>0</v>
      </c>
      <c r="N968" s="7"/>
      <c r="O968">
        <v>398.3</v>
      </c>
      <c r="P968">
        <v>116.7</v>
      </c>
      <c r="Q968">
        <v>17.350000000000001</v>
      </c>
      <c r="S968">
        <v>16.899999999999999</v>
      </c>
      <c r="T968">
        <v>0</v>
      </c>
      <c r="U968">
        <v>100.7</v>
      </c>
      <c r="V968">
        <v>603.9</v>
      </c>
      <c r="W968">
        <v>24.25</v>
      </c>
      <c r="Y968">
        <v>14.02</v>
      </c>
    </row>
    <row r="969" spans="1:25" x14ac:dyDescent="0.25">
      <c r="A969">
        <v>2006</v>
      </c>
      <c r="B969">
        <v>161</v>
      </c>
      <c r="C969">
        <v>1600</v>
      </c>
      <c r="D969" s="7">
        <v>225.1</v>
      </c>
      <c r="E969" s="7">
        <v>115.7</v>
      </c>
      <c r="F969" s="7">
        <v>20.2</v>
      </c>
      <c r="G969" s="7">
        <v>20.149999999999999</v>
      </c>
      <c r="H969" s="7"/>
      <c r="I969" s="7"/>
      <c r="J969" s="7"/>
      <c r="K969" s="7">
        <v>3.1669999999999998</v>
      </c>
      <c r="L969" s="7">
        <v>107.5</v>
      </c>
      <c r="M969" s="7">
        <v>0</v>
      </c>
      <c r="N969" s="7"/>
      <c r="O969">
        <v>284.2</v>
      </c>
      <c r="P969">
        <v>83</v>
      </c>
      <c r="Q969">
        <v>17.440000000000001</v>
      </c>
      <c r="S969">
        <v>17</v>
      </c>
      <c r="T969">
        <v>0</v>
      </c>
      <c r="U969">
        <v>100.5</v>
      </c>
      <c r="V969">
        <v>602.4</v>
      </c>
      <c r="W969">
        <v>24.19</v>
      </c>
      <c r="Y969">
        <v>13.91</v>
      </c>
    </row>
    <row r="970" spans="1:25" x14ac:dyDescent="0.25">
      <c r="A970">
        <v>2006</v>
      </c>
      <c r="B970">
        <v>161</v>
      </c>
      <c r="C970">
        <v>1700</v>
      </c>
      <c r="D970" s="7">
        <v>95.2</v>
      </c>
      <c r="E970" s="7">
        <v>34.31</v>
      </c>
      <c r="F970" s="7">
        <v>19.87</v>
      </c>
      <c r="G970" s="7">
        <v>19.78</v>
      </c>
      <c r="H970" s="7"/>
      <c r="I970" s="7"/>
      <c r="J970" s="7"/>
      <c r="K970" s="7">
        <v>2.1629999999999998</v>
      </c>
      <c r="L970" s="7">
        <v>122.4</v>
      </c>
      <c r="M970" s="7">
        <v>0</v>
      </c>
      <c r="N970" s="7"/>
      <c r="O970">
        <v>123.1</v>
      </c>
      <c r="P970">
        <v>30.53</v>
      </c>
      <c r="Q970">
        <v>17.510000000000002</v>
      </c>
      <c r="S970">
        <v>17.09</v>
      </c>
      <c r="T970">
        <v>0</v>
      </c>
      <c r="U970">
        <v>100.9</v>
      </c>
      <c r="V970">
        <v>601.5</v>
      </c>
      <c r="W970">
        <v>24.15</v>
      </c>
      <c r="Y970">
        <v>13.72</v>
      </c>
    </row>
    <row r="971" spans="1:25" x14ac:dyDescent="0.25">
      <c r="A971">
        <v>2006</v>
      </c>
      <c r="B971">
        <v>161</v>
      </c>
      <c r="C971">
        <v>1800</v>
      </c>
      <c r="D971" s="7">
        <v>104.7</v>
      </c>
      <c r="E971" s="7">
        <v>46.31</v>
      </c>
      <c r="F971" s="7">
        <v>19.79</v>
      </c>
      <c r="G971" s="7">
        <v>19.86</v>
      </c>
      <c r="H971" s="7"/>
      <c r="I971" s="7"/>
      <c r="J971" s="7"/>
      <c r="K971" s="7">
        <v>2.0470000000000002</v>
      </c>
      <c r="L971" s="7">
        <v>124.2</v>
      </c>
      <c r="M971" s="7">
        <v>0.2</v>
      </c>
      <c r="N971" s="7"/>
      <c r="O971">
        <v>132.9</v>
      </c>
      <c r="P971">
        <v>36.76</v>
      </c>
      <c r="Q971">
        <v>17.5</v>
      </c>
      <c r="S971">
        <v>17.11</v>
      </c>
      <c r="T971">
        <v>0</v>
      </c>
      <c r="U971">
        <v>99.4</v>
      </c>
      <c r="V971">
        <v>601.5</v>
      </c>
      <c r="W971">
        <v>24.15</v>
      </c>
      <c r="Y971">
        <v>13.76</v>
      </c>
    </row>
    <row r="972" spans="1:25" x14ac:dyDescent="0.25">
      <c r="A972">
        <v>2006</v>
      </c>
      <c r="B972">
        <v>161</v>
      </c>
      <c r="C972">
        <v>1900</v>
      </c>
      <c r="D972" s="7">
        <v>39.04</v>
      </c>
      <c r="E972" s="7">
        <v>3.0470000000000002</v>
      </c>
      <c r="F972" s="7">
        <v>18.55</v>
      </c>
      <c r="G972" s="7">
        <v>18.54</v>
      </c>
      <c r="H972" s="7"/>
      <c r="I972" s="7"/>
      <c r="J972" s="7"/>
      <c r="K972" s="7">
        <v>2.1539999999999999</v>
      </c>
      <c r="L972" s="7">
        <v>111.8</v>
      </c>
      <c r="M972" s="7">
        <v>0.4</v>
      </c>
      <c r="N972" s="7"/>
      <c r="O972">
        <v>44.74</v>
      </c>
      <c r="P972">
        <v>3.7839999999999998</v>
      </c>
      <c r="Q972">
        <v>17.48</v>
      </c>
      <c r="S972">
        <v>17.11</v>
      </c>
      <c r="T972">
        <v>0</v>
      </c>
      <c r="U972">
        <v>100.1</v>
      </c>
      <c r="V972">
        <v>602.79999999999995</v>
      </c>
      <c r="W972">
        <v>24.21</v>
      </c>
      <c r="Y972">
        <v>13.6</v>
      </c>
    </row>
    <row r="973" spans="1:25" x14ac:dyDescent="0.25">
      <c r="A973">
        <v>2006</v>
      </c>
      <c r="B973">
        <v>161</v>
      </c>
      <c r="C973">
        <v>2000</v>
      </c>
      <c r="D973" s="7">
        <v>10.59</v>
      </c>
      <c r="E973" s="7">
        <v>-11.67</v>
      </c>
      <c r="F973" s="7">
        <v>16.64</v>
      </c>
      <c r="G973" s="7">
        <v>16.59</v>
      </c>
      <c r="H973" s="7"/>
      <c r="I973" s="7"/>
      <c r="J973" s="7"/>
      <c r="K973" s="7">
        <v>1.1950000000000001</v>
      </c>
      <c r="L973" s="7">
        <v>62.24</v>
      </c>
      <c r="M973" s="7">
        <v>0</v>
      </c>
      <c r="N973" s="7"/>
      <c r="O973">
        <v>5.3019999999999996</v>
      </c>
      <c r="P973">
        <v>-6.4640000000000004</v>
      </c>
      <c r="Q973">
        <v>17.46</v>
      </c>
      <c r="S973">
        <v>17.12</v>
      </c>
      <c r="T973">
        <v>0</v>
      </c>
      <c r="U973">
        <v>100.5</v>
      </c>
      <c r="V973">
        <v>603.79999999999995</v>
      </c>
      <c r="W973">
        <v>24.25</v>
      </c>
      <c r="Y973">
        <v>13.46</v>
      </c>
    </row>
    <row r="974" spans="1:25" x14ac:dyDescent="0.25">
      <c r="A974">
        <v>2006</v>
      </c>
      <c r="B974">
        <v>161</v>
      </c>
      <c r="C974">
        <v>2100</v>
      </c>
      <c r="D974" s="7">
        <v>2.25</v>
      </c>
      <c r="E974" s="7">
        <v>-16.53</v>
      </c>
      <c r="F974" s="7">
        <v>16.09</v>
      </c>
      <c r="G974" s="7">
        <v>16.28</v>
      </c>
      <c r="H974" s="7"/>
      <c r="I974" s="7"/>
      <c r="J974" s="7"/>
      <c r="K974" s="7">
        <v>1.099</v>
      </c>
      <c r="L974" s="7">
        <v>83.5</v>
      </c>
      <c r="M974" s="7">
        <v>0</v>
      </c>
      <c r="N974" s="7"/>
      <c r="O974">
        <v>-7.14</v>
      </c>
      <c r="P974">
        <v>-10.01</v>
      </c>
      <c r="Q974">
        <v>17.39</v>
      </c>
      <c r="S974">
        <v>17.100000000000001</v>
      </c>
      <c r="T974">
        <v>0</v>
      </c>
      <c r="U974">
        <v>98.1</v>
      </c>
      <c r="V974">
        <v>612.29999999999995</v>
      </c>
      <c r="W974">
        <v>24.63</v>
      </c>
      <c r="Y974">
        <v>13.35</v>
      </c>
    </row>
    <row r="975" spans="1:25" x14ac:dyDescent="0.25">
      <c r="A975">
        <v>2006</v>
      </c>
      <c r="B975">
        <v>161</v>
      </c>
      <c r="C975">
        <v>2200</v>
      </c>
      <c r="D975" s="7">
        <v>-1.1679999999999999</v>
      </c>
      <c r="E975" s="7">
        <v>-19.079999999999998</v>
      </c>
      <c r="F975" s="7">
        <v>17.21</v>
      </c>
      <c r="G975" s="7">
        <v>17.43</v>
      </c>
      <c r="H975" s="7"/>
      <c r="I975" s="7"/>
      <c r="J975" s="7"/>
      <c r="K975" s="7">
        <v>1.4019999999999999</v>
      </c>
      <c r="L975" s="7">
        <v>115.7</v>
      </c>
      <c r="M975" s="7">
        <v>0</v>
      </c>
      <c r="N975" s="7"/>
      <c r="O975">
        <v>-12.04</v>
      </c>
      <c r="P975">
        <v>-11.47</v>
      </c>
      <c r="Q975">
        <v>17.329999999999998</v>
      </c>
      <c r="S975">
        <v>17.079999999999998</v>
      </c>
      <c r="T975">
        <v>0</v>
      </c>
      <c r="U975">
        <v>97.9</v>
      </c>
      <c r="V975">
        <v>608.1</v>
      </c>
      <c r="W975">
        <v>24.44</v>
      </c>
      <c r="Y975">
        <v>13.27</v>
      </c>
    </row>
    <row r="976" spans="1:25" x14ac:dyDescent="0.25">
      <c r="A976">
        <v>2006</v>
      </c>
      <c r="B976">
        <v>161</v>
      </c>
      <c r="C976">
        <v>2300</v>
      </c>
      <c r="D976" s="7">
        <v>-1.4850000000000001</v>
      </c>
      <c r="E976" s="7">
        <v>-22.23</v>
      </c>
      <c r="F976" s="7">
        <v>17.18</v>
      </c>
      <c r="G976" s="7">
        <v>17.350000000000001</v>
      </c>
      <c r="H976" s="7"/>
      <c r="I976" s="7"/>
      <c r="J976" s="7"/>
      <c r="K976" s="7">
        <v>2.2040000000000002</v>
      </c>
      <c r="L976" s="7">
        <v>141.80000000000001</v>
      </c>
      <c r="M976" s="7">
        <v>0</v>
      </c>
      <c r="N976" s="7"/>
      <c r="O976">
        <v>-12.16</v>
      </c>
      <c r="P976">
        <v>-11.47</v>
      </c>
      <c r="Q976">
        <v>17.25</v>
      </c>
      <c r="S976">
        <v>17.04</v>
      </c>
      <c r="T976">
        <v>0</v>
      </c>
      <c r="U976">
        <v>98.4</v>
      </c>
      <c r="V976">
        <v>606.79999999999995</v>
      </c>
      <c r="W976">
        <v>24.38</v>
      </c>
      <c r="Y976">
        <v>13.19</v>
      </c>
    </row>
    <row r="977" spans="1:25" x14ac:dyDescent="0.25">
      <c r="A977">
        <v>2006</v>
      </c>
      <c r="B977">
        <v>161</v>
      </c>
      <c r="C977">
        <v>2400</v>
      </c>
      <c r="D977" s="7">
        <v>-1.639</v>
      </c>
      <c r="E977" s="7">
        <v>-27.08</v>
      </c>
      <c r="F977" s="7">
        <v>16.84</v>
      </c>
      <c r="G977" s="7">
        <v>17.010000000000002</v>
      </c>
      <c r="H977" s="7"/>
      <c r="I977" s="7"/>
      <c r="J977" s="7"/>
      <c r="K977" s="7">
        <v>2.72</v>
      </c>
      <c r="L977" s="7">
        <v>121.7</v>
      </c>
      <c r="M977" s="7">
        <v>0</v>
      </c>
      <c r="N977" s="7"/>
      <c r="O977">
        <v>-12.17</v>
      </c>
      <c r="P977">
        <v>-11.47</v>
      </c>
      <c r="Q977">
        <v>17.149999999999999</v>
      </c>
      <c r="S977">
        <v>16.96</v>
      </c>
      <c r="T977">
        <v>0</v>
      </c>
      <c r="U977">
        <v>98.4</v>
      </c>
      <c r="V977">
        <v>609.4</v>
      </c>
      <c r="W977">
        <v>24.5</v>
      </c>
      <c r="Y977">
        <v>13.13</v>
      </c>
    </row>
    <row r="978" spans="1:25" x14ac:dyDescent="0.25">
      <c r="A978">
        <v>2006</v>
      </c>
      <c r="B978">
        <v>162</v>
      </c>
      <c r="C978">
        <v>100</v>
      </c>
      <c r="D978" s="7">
        <v>-2.19</v>
      </c>
      <c r="E978" s="7">
        <v>-34.130000000000003</v>
      </c>
      <c r="F978" s="7">
        <v>16.45</v>
      </c>
      <c r="G978" s="7">
        <v>16.61</v>
      </c>
      <c r="H978" s="7"/>
      <c r="I978" s="7"/>
      <c r="J978" s="7"/>
      <c r="K978" s="7">
        <v>2.4359999999999999</v>
      </c>
      <c r="L978" s="7">
        <v>135</v>
      </c>
      <c r="M978" s="7">
        <v>0</v>
      </c>
      <c r="N978" s="7"/>
      <c r="O978">
        <v>-12.17</v>
      </c>
      <c r="P978">
        <v>-11.47</v>
      </c>
      <c r="Q978">
        <v>17.03</v>
      </c>
      <c r="S978">
        <v>16.86</v>
      </c>
      <c r="T978">
        <v>0</v>
      </c>
      <c r="U978">
        <v>98.5</v>
      </c>
      <c r="V978">
        <v>614.1</v>
      </c>
      <c r="W978">
        <v>24.71</v>
      </c>
      <c r="Y978">
        <v>13.07</v>
      </c>
    </row>
    <row r="979" spans="1:25" x14ac:dyDescent="0.25">
      <c r="A979">
        <v>2006</v>
      </c>
      <c r="B979">
        <v>162</v>
      </c>
      <c r="C979">
        <v>200</v>
      </c>
      <c r="D979" s="7">
        <v>-0.95499999999999996</v>
      </c>
      <c r="E979" s="7">
        <v>-14.01</v>
      </c>
      <c r="F979" s="7">
        <v>15.91</v>
      </c>
      <c r="G979" s="7">
        <v>15.92</v>
      </c>
      <c r="H979" s="7"/>
      <c r="I979" s="7"/>
      <c r="J979" s="7"/>
      <c r="K979" s="7">
        <v>1.9670000000000001</v>
      </c>
      <c r="L979" s="7">
        <v>162.5</v>
      </c>
      <c r="M979" s="7">
        <v>0</v>
      </c>
      <c r="N979" s="7"/>
      <c r="O979">
        <v>-12.16</v>
      </c>
      <c r="P979">
        <v>-11.47</v>
      </c>
      <c r="Q979">
        <v>16.91</v>
      </c>
      <c r="S979">
        <v>16.760000000000002</v>
      </c>
      <c r="T979">
        <v>0</v>
      </c>
      <c r="U979">
        <v>99.8</v>
      </c>
      <c r="V979">
        <v>598.1</v>
      </c>
      <c r="W979">
        <v>24</v>
      </c>
      <c r="Y979">
        <v>13.02</v>
      </c>
    </row>
    <row r="980" spans="1:25" x14ac:dyDescent="0.25">
      <c r="A980">
        <v>2006</v>
      </c>
      <c r="B980">
        <v>162</v>
      </c>
      <c r="C980">
        <v>300</v>
      </c>
      <c r="D980" s="7">
        <v>-0.92800000000000005</v>
      </c>
      <c r="E980" s="7">
        <v>-13.46</v>
      </c>
      <c r="F980" s="7">
        <v>15.58</v>
      </c>
      <c r="G980" s="7">
        <v>15.59</v>
      </c>
      <c r="H980" s="7"/>
      <c r="I980" s="7"/>
      <c r="J980" s="7"/>
      <c r="K980" s="7">
        <v>1.7549999999999999</v>
      </c>
      <c r="L980" s="7">
        <v>162.19999999999999</v>
      </c>
      <c r="M980" s="7">
        <v>0</v>
      </c>
      <c r="N980" s="7"/>
      <c r="O980">
        <v>-12.16</v>
      </c>
      <c r="P980">
        <v>-11.47</v>
      </c>
      <c r="Q980">
        <v>16.79</v>
      </c>
      <c r="S980">
        <v>16.66</v>
      </c>
      <c r="T980">
        <v>0</v>
      </c>
      <c r="U980">
        <v>99.9</v>
      </c>
      <c r="V980">
        <v>601.5</v>
      </c>
      <c r="W980">
        <v>24.15</v>
      </c>
      <c r="Y980">
        <v>12.98</v>
      </c>
    </row>
    <row r="981" spans="1:25" x14ac:dyDescent="0.25">
      <c r="A981">
        <v>2006</v>
      </c>
      <c r="B981">
        <v>162</v>
      </c>
      <c r="C981">
        <v>400</v>
      </c>
      <c r="D981" s="7">
        <v>-0.80800000000000005</v>
      </c>
      <c r="E981" s="7">
        <v>-31.38</v>
      </c>
      <c r="F981" s="7">
        <v>15.17</v>
      </c>
      <c r="G981" s="7">
        <v>15.24</v>
      </c>
      <c r="H981" s="7"/>
      <c r="I981" s="7"/>
      <c r="J981" s="7"/>
      <c r="K981" s="7">
        <v>1.7250000000000001</v>
      </c>
      <c r="L981" s="7">
        <v>161.69999999999999</v>
      </c>
      <c r="M981" s="7">
        <v>0</v>
      </c>
      <c r="N981" s="7"/>
      <c r="O981">
        <v>-10.98</v>
      </c>
      <c r="P981">
        <v>-11.14</v>
      </c>
      <c r="Q981">
        <v>16.73</v>
      </c>
      <c r="S981">
        <v>16.579999999999998</v>
      </c>
      <c r="T981">
        <v>0</v>
      </c>
      <c r="U981">
        <v>99.3</v>
      </c>
      <c r="V981">
        <v>604.79999999999995</v>
      </c>
      <c r="W981">
        <v>24.3</v>
      </c>
      <c r="Y981">
        <v>12.95</v>
      </c>
    </row>
    <row r="982" spans="1:25" x14ac:dyDescent="0.25">
      <c r="A982">
        <v>2006</v>
      </c>
      <c r="B982">
        <v>162</v>
      </c>
      <c r="C982">
        <v>500</v>
      </c>
      <c r="D982" s="7">
        <v>25.33</v>
      </c>
      <c r="E982" s="7">
        <v>2.3969999999999998</v>
      </c>
      <c r="F982" s="7">
        <v>15.07</v>
      </c>
      <c r="G982" s="7">
        <v>15.1</v>
      </c>
      <c r="H982" s="7"/>
      <c r="I982" s="7"/>
      <c r="J982" s="7"/>
      <c r="K982" s="7">
        <v>2.1040000000000001</v>
      </c>
      <c r="L982" s="7">
        <v>158.1</v>
      </c>
      <c r="M982" s="7">
        <v>0</v>
      </c>
      <c r="N982" s="7"/>
      <c r="O982">
        <v>24.54</v>
      </c>
      <c r="P982">
        <v>0.17699999999999999</v>
      </c>
      <c r="Q982">
        <v>16.649999999999999</v>
      </c>
      <c r="S982">
        <v>16.5</v>
      </c>
      <c r="T982">
        <v>0</v>
      </c>
      <c r="U982">
        <v>99.8</v>
      </c>
      <c r="V982">
        <v>595.4</v>
      </c>
      <c r="W982">
        <v>23.88</v>
      </c>
      <c r="Y982">
        <v>12.94</v>
      </c>
    </row>
    <row r="983" spans="1:25" x14ac:dyDescent="0.25">
      <c r="A983">
        <v>2006</v>
      </c>
      <c r="B983">
        <v>162</v>
      </c>
      <c r="C983">
        <v>600</v>
      </c>
      <c r="D983" s="7">
        <v>83</v>
      </c>
      <c r="E983" s="7">
        <v>33.71</v>
      </c>
      <c r="F983" s="7">
        <v>14.82</v>
      </c>
      <c r="G983" s="7">
        <v>14.89</v>
      </c>
      <c r="H983" s="7"/>
      <c r="I983" s="7"/>
      <c r="J983" s="7"/>
      <c r="K983" s="7">
        <v>1.6439999999999999</v>
      </c>
      <c r="L983" s="7">
        <v>167.8</v>
      </c>
      <c r="M983" s="7">
        <v>0</v>
      </c>
      <c r="N983" s="7"/>
      <c r="O983">
        <v>101.4</v>
      </c>
      <c r="P983">
        <v>30.81</v>
      </c>
      <c r="Q983">
        <v>16.579999999999998</v>
      </c>
      <c r="S983">
        <v>16.43</v>
      </c>
      <c r="T983">
        <v>0</v>
      </c>
      <c r="U983">
        <v>99.2</v>
      </c>
      <c r="V983">
        <v>596.70000000000005</v>
      </c>
      <c r="W983">
        <v>23.94</v>
      </c>
      <c r="Y983">
        <v>13.14</v>
      </c>
    </row>
    <row r="984" spans="1:25" x14ac:dyDescent="0.25">
      <c r="A984">
        <v>2006</v>
      </c>
      <c r="B984">
        <v>162</v>
      </c>
      <c r="C984">
        <v>700</v>
      </c>
      <c r="D984" s="7">
        <v>294.10000000000002</v>
      </c>
      <c r="E984" s="7">
        <v>202.2</v>
      </c>
      <c r="F984" s="7">
        <v>15.73</v>
      </c>
      <c r="G984" s="7">
        <v>16.13</v>
      </c>
      <c r="H984" s="7"/>
      <c r="I984" s="7"/>
      <c r="J984" s="7"/>
      <c r="K984" s="7">
        <v>2.093</v>
      </c>
      <c r="L984" s="7">
        <v>187.7</v>
      </c>
      <c r="M984" s="7">
        <v>0</v>
      </c>
      <c r="N984" s="7"/>
      <c r="O984">
        <v>420.2</v>
      </c>
      <c r="P984">
        <v>158.4</v>
      </c>
      <c r="Q984">
        <v>16.579999999999998</v>
      </c>
      <c r="S984">
        <v>16.43</v>
      </c>
      <c r="T984">
        <v>0</v>
      </c>
      <c r="U984">
        <v>96</v>
      </c>
      <c r="V984">
        <v>598.20000000000005</v>
      </c>
      <c r="W984">
        <v>24</v>
      </c>
      <c r="Y984">
        <v>13.93</v>
      </c>
    </row>
    <row r="985" spans="1:25" x14ac:dyDescent="0.25">
      <c r="A985">
        <v>2006</v>
      </c>
      <c r="B985">
        <v>162</v>
      </c>
      <c r="C985">
        <v>800</v>
      </c>
      <c r="D985" s="7">
        <v>423</v>
      </c>
      <c r="E985" s="7">
        <v>282.39999999999998</v>
      </c>
      <c r="F985" s="7">
        <v>16.93</v>
      </c>
      <c r="G985" s="7">
        <v>16.940000000000001</v>
      </c>
      <c r="H985" s="7"/>
      <c r="I985" s="7"/>
      <c r="J985" s="7"/>
      <c r="K985" s="7">
        <v>2.706</v>
      </c>
      <c r="L985" s="7">
        <v>204.5</v>
      </c>
      <c r="M985" s="7">
        <v>0</v>
      </c>
      <c r="N985" s="7"/>
      <c r="O985">
        <v>574.20000000000005</v>
      </c>
      <c r="P985">
        <v>190.2</v>
      </c>
      <c r="Q985">
        <v>16.68</v>
      </c>
      <c r="S985">
        <v>16.399999999999999</v>
      </c>
      <c r="T985">
        <v>0</v>
      </c>
      <c r="U985">
        <v>99.9</v>
      </c>
      <c r="V985">
        <v>599.20000000000005</v>
      </c>
      <c r="W985">
        <v>24.05</v>
      </c>
      <c r="Y985">
        <v>14.35</v>
      </c>
    </row>
    <row r="986" spans="1:25" x14ac:dyDescent="0.25">
      <c r="A986">
        <v>2006</v>
      </c>
      <c r="B986">
        <v>162</v>
      </c>
      <c r="C986">
        <v>900</v>
      </c>
      <c r="D986" s="7">
        <v>583.9</v>
      </c>
      <c r="E986" s="7">
        <v>371.9</v>
      </c>
      <c r="F986" s="7">
        <v>17.8</v>
      </c>
      <c r="G986" s="7">
        <v>17.8</v>
      </c>
      <c r="H986" s="7">
        <f>AVERAGE(G986:G1009)</f>
        <v>16.21875</v>
      </c>
      <c r="I986" s="7">
        <f>MIN(G986:G1009)</f>
        <v>11.92</v>
      </c>
      <c r="J986" s="7">
        <f>MAX(G986:G1009)</f>
        <v>20.36</v>
      </c>
      <c r="K986" s="7">
        <v>2.516</v>
      </c>
      <c r="L986" s="7">
        <v>181.5</v>
      </c>
      <c r="M986" s="7">
        <v>0</v>
      </c>
      <c r="N986" s="7">
        <f>SUM(M986:M1009)</f>
        <v>0.8</v>
      </c>
      <c r="O986">
        <v>749</v>
      </c>
      <c r="P986">
        <v>219.4</v>
      </c>
      <c r="Q986">
        <v>16.899999999999999</v>
      </c>
      <c r="S986">
        <v>16.39</v>
      </c>
      <c r="T986">
        <v>0</v>
      </c>
      <c r="U986">
        <v>100</v>
      </c>
      <c r="V986">
        <v>595.1</v>
      </c>
      <c r="W986">
        <v>23.87</v>
      </c>
      <c r="Y986">
        <v>14.68</v>
      </c>
    </row>
    <row r="987" spans="1:25" x14ac:dyDescent="0.25">
      <c r="A987">
        <v>2006</v>
      </c>
      <c r="B987">
        <v>162</v>
      </c>
      <c r="C987">
        <v>1000</v>
      </c>
      <c r="D987" s="7">
        <v>695.9</v>
      </c>
      <c r="E987" s="7">
        <v>423.8</v>
      </c>
      <c r="F987" s="7">
        <v>18.62</v>
      </c>
      <c r="G987" s="7">
        <v>18.440000000000001</v>
      </c>
      <c r="H987" s="7"/>
      <c r="I987" s="7"/>
      <c r="J987" s="7"/>
      <c r="K987" s="7">
        <v>2.8730000000000002</v>
      </c>
      <c r="L987" s="7">
        <v>179.8</v>
      </c>
      <c r="M987" s="7">
        <v>0</v>
      </c>
      <c r="N987" s="7"/>
      <c r="O987">
        <v>889</v>
      </c>
      <c r="P987">
        <v>228.1</v>
      </c>
      <c r="Q987">
        <v>17.22</v>
      </c>
      <c r="S987">
        <v>16.46</v>
      </c>
      <c r="T987">
        <v>0</v>
      </c>
      <c r="U987">
        <v>101.7</v>
      </c>
      <c r="V987">
        <v>596</v>
      </c>
      <c r="W987">
        <v>23.91</v>
      </c>
      <c r="Y987">
        <v>14.63</v>
      </c>
    </row>
    <row r="988" spans="1:25" x14ac:dyDescent="0.25">
      <c r="A988">
        <v>2006</v>
      </c>
      <c r="B988">
        <v>162</v>
      </c>
      <c r="C988">
        <v>1100</v>
      </c>
      <c r="D988" s="7">
        <v>805</v>
      </c>
      <c r="E988" s="7">
        <v>477.2</v>
      </c>
      <c r="F988" s="7">
        <v>19.62</v>
      </c>
      <c r="G988" s="7">
        <v>19.47</v>
      </c>
      <c r="H988" s="7"/>
      <c r="I988" s="7"/>
      <c r="J988" s="7"/>
      <c r="K988" s="7">
        <v>2.903</v>
      </c>
      <c r="L988" s="7">
        <v>168.8</v>
      </c>
      <c r="M988" s="7">
        <v>0</v>
      </c>
      <c r="N988" s="7"/>
      <c r="O988">
        <v>1017</v>
      </c>
      <c r="P988">
        <v>256.7</v>
      </c>
      <c r="Q988">
        <v>17.53</v>
      </c>
      <c r="S988">
        <v>16.59</v>
      </c>
      <c r="T988">
        <v>0</v>
      </c>
      <c r="U988">
        <v>101.4</v>
      </c>
      <c r="V988">
        <v>595.5</v>
      </c>
      <c r="W988">
        <v>23.88</v>
      </c>
      <c r="Y988">
        <v>14.41</v>
      </c>
    </row>
    <row r="989" spans="1:25" x14ac:dyDescent="0.25">
      <c r="A989">
        <v>2006</v>
      </c>
      <c r="B989">
        <v>162</v>
      </c>
      <c r="C989">
        <v>1200</v>
      </c>
      <c r="D989" s="7">
        <v>833</v>
      </c>
      <c r="E989" s="7">
        <v>485</v>
      </c>
      <c r="F989" s="7">
        <v>19.850000000000001</v>
      </c>
      <c r="G989" s="7">
        <v>19.600000000000001</v>
      </c>
      <c r="H989" s="7"/>
      <c r="I989" s="7"/>
      <c r="J989" s="7"/>
      <c r="K989" s="7">
        <v>2.9319999999999999</v>
      </c>
      <c r="L989" s="7">
        <v>174.7</v>
      </c>
      <c r="M989" s="7">
        <v>0</v>
      </c>
      <c r="N989" s="7"/>
      <c r="O989">
        <v>1042</v>
      </c>
      <c r="P989">
        <v>250.7</v>
      </c>
      <c r="Q989">
        <v>17.760000000000002</v>
      </c>
      <c r="S989">
        <v>16.77</v>
      </c>
      <c r="T989">
        <v>0</v>
      </c>
      <c r="U989">
        <v>102.4</v>
      </c>
      <c r="V989">
        <v>589.9</v>
      </c>
      <c r="W989">
        <v>23.63</v>
      </c>
      <c r="Y989">
        <v>14.06</v>
      </c>
    </row>
    <row r="990" spans="1:25" x14ac:dyDescent="0.25">
      <c r="A990">
        <v>2006</v>
      </c>
      <c r="B990">
        <v>162</v>
      </c>
      <c r="C990">
        <v>1300</v>
      </c>
      <c r="D990" s="7">
        <v>864</v>
      </c>
      <c r="E990" s="7">
        <v>492.7</v>
      </c>
      <c r="F990" s="7">
        <v>20.21</v>
      </c>
      <c r="G990" s="7">
        <v>19.95</v>
      </c>
      <c r="H990" s="7"/>
      <c r="I990" s="7"/>
      <c r="J990" s="7"/>
      <c r="K990" s="7">
        <v>3.22</v>
      </c>
      <c r="L990" s="7">
        <v>169.6</v>
      </c>
      <c r="M990" s="7">
        <v>0</v>
      </c>
      <c r="N990" s="7"/>
      <c r="O990">
        <v>1062</v>
      </c>
      <c r="P990">
        <v>257.89999999999998</v>
      </c>
      <c r="Q990">
        <v>17.98</v>
      </c>
      <c r="S990">
        <v>17.03</v>
      </c>
      <c r="T990">
        <v>0</v>
      </c>
      <c r="U990">
        <v>102.4</v>
      </c>
      <c r="V990">
        <v>586.5</v>
      </c>
      <c r="W990">
        <v>23.48</v>
      </c>
      <c r="Y990">
        <v>14.05</v>
      </c>
    </row>
    <row r="991" spans="1:25" x14ac:dyDescent="0.25">
      <c r="A991">
        <v>2006</v>
      </c>
      <c r="B991">
        <v>162</v>
      </c>
      <c r="C991">
        <v>1400</v>
      </c>
      <c r="D991" s="7">
        <v>823</v>
      </c>
      <c r="E991" s="7">
        <v>454.3</v>
      </c>
      <c r="F991" s="7">
        <v>20.66</v>
      </c>
      <c r="G991" s="7">
        <v>20.36</v>
      </c>
      <c r="H991" s="7"/>
      <c r="I991" s="7"/>
      <c r="J991" s="7"/>
      <c r="K991" s="7">
        <v>3.0230000000000001</v>
      </c>
      <c r="L991" s="7">
        <v>172.9</v>
      </c>
      <c r="M991" s="7">
        <v>0</v>
      </c>
      <c r="N991" s="7"/>
      <c r="O991">
        <v>986</v>
      </c>
      <c r="P991">
        <v>247.7</v>
      </c>
      <c r="Q991">
        <v>18.2</v>
      </c>
      <c r="S991">
        <v>17.36</v>
      </c>
      <c r="T991">
        <v>0</v>
      </c>
      <c r="U991">
        <v>102.7</v>
      </c>
      <c r="V991">
        <v>585.4</v>
      </c>
      <c r="W991">
        <v>23.43</v>
      </c>
      <c r="Y991">
        <v>14.32</v>
      </c>
    </row>
    <row r="992" spans="1:25" x14ac:dyDescent="0.25">
      <c r="A992">
        <v>2006</v>
      </c>
      <c r="B992">
        <v>162</v>
      </c>
      <c r="C992">
        <v>1500</v>
      </c>
      <c r="D992" s="7">
        <v>785</v>
      </c>
      <c r="E992" s="7">
        <v>441.2</v>
      </c>
      <c r="F992" s="7">
        <v>20.66</v>
      </c>
      <c r="G992" s="7">
        <v>20.3</v>
      </c>
      <c r="H992" s="7"/>
      <c r="I992" s="7"/>
      <c r="J992" s="7"/>
      <c r="K992" s="7">
        <v>3.0870000000000002</v>
      </c>
      <c r="L992" s="7">
        <v>160.80000000000001</v>
      </c>
      <c r="M992" s="7">
        <v>0</v>
      </c>
      <c r="N992" s="7"/>
      <c r="O992">
        <v>948</v>
      </c>
      <c r="P992">
        <v>237.3</v>
      </c>
      <c r="Q992">
        <v>18.309999999999999</v>
      </c>
      <c r="S992">
        <v>17.600000000000001</v>
      </c>
      <c r="T992">
        <v>0</v>
      </c>
      <c r="U992">
        <v>103.3</v>
      </c>
      <c r="V992">
        <v>585</v>
      </c>
      <c r="W992">
        <v>23.41</v>
      </c>
      <c r="Y992">
        <v>14.16</v>
      </c>
    </row>
    <row r="993" spans="1:25" x14ac:dyDescent="0.25">
      <c r="A993">
        <v>2006</v>
      </c>
      <c r="B993">
        <v>162</v>
      </c>
      <c r="C993">
        <v>1600</v>
      </c>
      <c r="D993" s="7">
        <v>681.7</v>
      </c>
      <c r="E993" s="7">
        <v>380.6</v>
      </c>
      <c r="F993" s="7">
        <v>20.55</v>
      </c>
      <c r="G993" s="7">
        <v>20.170000000000002</v>
      </c>
      <c r="H993" s="7"/>
      <c r="I993" s="7"/>
      <c r="J993" s="7"/>
      <c r="K993" s="7">
        <v>3.0150000000000001</v>
      </c>
      <c r="L993" s="7">
        <v>172</v>
      </c>
      <c r="M993" s="7">
        <v>0</v>
      </c>
      <c r="N993" s="7"/>
      <c r="O993">
        <v>822</v>
      </c>
      <c r="P993">
        <v>247.6</v>
      </c>
      <c r="Q993">
        <v>18.440000000000001</v>
      </c>
      <c r="S993">
        <v>17.899999999999999</v>
      </c>
      <c r="T993">
        <v>0</v>
      </c>
      <c r="U993">
        <v>103.5</v>
      </c>
      <c r="V993">
        <v>582.6</v>
      </c>
      <c r="W993">
        <v>23.31</v>
      </c>
      <c r="Y993">
        <v>14.24</v>
      </c>
    </row>
    <row r="994" spans="1:25" x14ac:dyDescent="0.25">
      <c r="A994">
        <v>2006</v>
      </c>
      <c r="B994">
        <v>162</v>
      </c>
      <c r="C994">
        <v>1700</v>
      </c>
      <c r="D994" s="7">
        <v>556.20000000000005</v>
      </c>
      <c r="E994" s="7">
        <v>306.89999999999998</v>
      </c>
      <c r="F994" s="7">
        <v>20.41</v>
      </c>
      <c r="G994" s="7">
        <v>20</v>
      </c>
      <c r="H994" s="7"/>
      <c r="I994" s="7"/>
      <c r="J994" s="7"/>
      <c r="K994" s="7">
        <v>2.802</v>
      </c>
      <c r="L994" s="7">
        <v>169.5</v>
      </c>
      <c r="M994" s="7">
        <v>0</v>
      </c>
      <c r="N994" s="7"/>
      <c r="O994">
        <v>673.1</v>
      </c>
      <c r="P994">
        <v>261.5</v>
      </c>
      <c r="Q994">
        <v>18.5</v>
      </c>
      <c r="S994">
        <v>18.079999999999998</v>
      </c>
      <c r="T994">
        <v>0</v>
      </c>
      <c r="U994">
        <v>103.8</v>
      </c>
      <c r="V994">
        <v>581.5</v>
      </c>
      <c r="W994">
        <v>23.26</v>
      </c>
      <c r="Y994">
        <v>14.02</v>
      </c>
    </row>
    <row r="995" spans="1:25" x14ac:dyDescent="0.25">
      <c r="A995">
        <v>2006</v>
      </c>
      <c r="B995">
        <v>162</v>
      </c>
      <c r="C995">
        <v>1800</v>
      </c>
      <c r="D995" s="7">
        <v>393.9</v>
      </c>
      <c r="E995" s="7">
        <v>205.4</v>
      </c>
      <c r="F995" s="7">
        <v>19.53</v>
      </c>
      <c r="G995" s="7">
        <v>19.09</v>
      </c>
      <c r="H995" s="7"/>
      <c r="I995" s="7"/>
      <c r="J995" s="7"/>
      <c r="K995" s="7">
        <v>2.645</v>
      </c>
      <c r="L995" s="7">
        <v>165.1</v>
      </c>
      <c r="M995" s="7">
        <v>0</v>
      </c>
      <c r="N995" s="7"/>
      <c r="O995">
        <v>481.7</v>
      </c>
      <c r="P995">
        <v>227.8</v>
      </c>
      <c r="Q995">
        <v>18.579999999999998</v>
      </c>
      <c r="S995">
        <v>18.239999999999998</v>
      </c>
      <c r="T995">
        <v>0</v>
      </c>
      <c r="U995">
        <v>104.2</v>
      </c>
      <c r="V995">
        <v>579.6</v>
      </c>
      <c r="W995">
        <v>23.18</v>
      </c>
      <c r="Y995">
        <v>13.75</v>
      </c>
    </row>
    <row r="996" spans="1:25" x14ac:dyDescent="0.25">
      <c r="A996">
        <v>2006</v>
      </c>
      <c r="B996">
        <v>162</v>
      </c>
      <c r="C996">
        <v>1900</v>
      </c>
      <c r="D996" s="7">
        <v>220.5</v>
      </c>
      <c r="E996" s="7">
        <v>88.8</v>
      </c>
      <c r="F996" s="7">
        <v>18.170000000000002</v>
      </c>
      <c r="G996" s="7">
        <v>17.739999999999998</v>
      </c>
      <c r="H996" s="7"/>
      <c r="I996" s="7"/>
      <c r="J996" s="7"/>
      <c r="K996" s="7">
        <v>2.2909999999999999</v>
      </c>
      <c r="L996" s="7">
        <v>154.30000000000001</v>
      </c>
      <c r="M996" s="7">
        <v>0</v>
      </c>
      <c r="N996" s="7"/>
      <c r="O996">
        <v>272.89999999999998</v>
      </c>
      <c r="P996">
        <v>154.69999999999999</v>
      </c>
      <c r="Q996">
        <v>18.5</v>
      </c>
      <c r="S996">
        <v>18.260000000000002</v>
      </c>
      <c r="T996">
        <v>0</v>
      </c>
      <c r="U996">
        <v>104.2</v>
      </c>
      <c r="V996">
        <v>579.9</v>
      </c>
      <c r="W996">
        <v>23.19</v>
      </c>
      <c r="Y996">
        <v>13.61</v>
      </c>
    </row>
    <row r="997" spans="1:25" x14ac:dyDescent="0.25">
      <c r="A997">
        <v>2006</v>
      </c>
      <c r="B997">
        <v>162</v>
      </c>
      <c r="C997">
        <v>2000</v>
      </c>
      <c r="D997" s="7">
        <v>61.56</v>
      </c>
      <c r="E997" s="7">
        <v>-26.61</v>
      </c>
      <c r="F997" s="7">
        <v>15.8</v>
      </c>
      <c r="G997" s="7">
        <v>15.56</v>
      </c>
      <c r="H997" s="7"/>
      <c r="I997" s="7"/>
      <c r="J997" s="7"/>
      <c r="K997" s="7">
        <v>1.9630000000000001</v>
      </c>
      <c r="L997" s="7">
        <v>154.5</v>
      </c>
      <c r="M997" s="7">
        <v>0</v>
      </c>
      <c r="N997" s="7"/>
      <c r="O997">
        <v>67.260000000000005</v>
      </c>
      <c r="P997">
        <v>34.36</v>
      </c>
      <c r="Q997">
        <v>18.37</v>
      </c>
      <c r="S997">
        <v>18.22</v>
      </c>
      <c r="T997">
        <v>0</v>
      </c>
      <c r="U997">
        <v>102.4</v>
      </c>
      <c r="V997">
        <v>576.70000000000005</v>
      </c>
      <c r="W997">
        <v>23.05</v>
      </c>
      <c r="Y997">
        <v>13.46</v>
      </c>
    </row>
    <row r="998" spans="1:25" x14ac:dyDescent="0.25">
      <c r="A998">
        <v>2006</v>
      </c>
      <c r="B998">
        <v>162</v>
      </c>
      <c r="C998">
        <v>2100</v>
      </c>
      <c r="D998" s="7">
        <v>17.3</v>
      </c>
      <c r="E998" s="7">
        <v>-52.62</v>
      </c>
      <c r="F998" s="7">
        <v>14.31</v>
      </c>
      <c r="G998" s="7">
        <v>14.32</v>
      </c>
      <c r="H998" s="7"/>
      <c r="I998" s="7"/>
      <c r="J998" s="7"/>
      <c r="K998" s="7">
        <v>1.702</v>
      </c>
      <c r="L998" s="7">
        <v>168</v>
      </c>
      <c r="M998" s="7">
        <v>0</v>
      </c>
      <c r="N998" s="7"/>
      <c r="O998">
        <v>14.39</v>
      </c>
      <c r="P998">
        <v>-0.45700000000000002</v>
      </c>
      <c r="Q998">
        <v>18.190000000000001</v>
      </c>
      <c r="S998">
        <v>18.14</v>
      </c>
      <c r="T998">
        <v>0</v>
      </c>
      <c r="U998">
        <v>99.9</v>
      </c>
      <c r="V998">
        <v>576.9</v>
      </c>
      <c r="W998">
        <v>23.05</v>
      </c>
      <c r="Y998">
        <v>13.34</v>
      </c>
    </row>
    <row r="999" spans="1:25" x14ac:dyDescent="0.25">
      <c r="A999">
        <v>2006</v>
      </c>
      <c r="B999">
        <v>162</v>
      </c>
      <c r="C999">
        <v>2200</v>
      </c>
      <c r="D999" s="7">
        <v>-2.7320000000000002</v>
      </c>
      <c r="E999" s="7">
        <v>-66.92</v>
      </c>
      <c r="F999" s="7">
        <v>13.4</v>
      </c>
      <c r="G999" s="7">
        <v>13.47</v>
      </c>
      <c r="H999" s="7"/>
      <c r="I999" s="7"/>
      <c r="J999" s="7"/>
      <c r="K999" s="7">
        <v>1.367</v>
      </c>
      <c r="L999" s="7">
        <v>161.19999999999999</v>
      </c>
      <c r="M999" s="7">
        <v>0</v>
      </c>
      <c r="N999" s="7"/>
      <c r="O999">
        <v>-11.26</v>
      </c>
      <c r="P999">
        <v>-11.19</v>
      </c>
      <c r="Q999">
        <v>17.989999999999998</v>
      </c>
      <c r="S999">
        <v>18.04</v>
      </c>
      <c r="T999">
        <v>0</v>
      </c>
      <c r="U999">
        <v>99.2</v>
      </c>
      <c r="V999">
        <v>577.20000000000005</v>
      </c>
      <c r="W999">
        <v>23.07</v>
      </c>
      <c r="Y999">
        <v>13.26</v>
      </c>
    </row>
    <row r="1000" spans="1:25" x14ac:dyDescent="0.25">
      <c r="A1000">
        <v>2006</v>
      </c>
      <c r="B1000">
        <v>162</v>
      </c>
      <c r="C1000">
        <v>2300</v>
      </c>
      <c r="D1000" s="7">
        <v>-3.1179999999999999</v>
      </c>
      <c r="E1000" s="7">
        <v>-58.38</v>
      </c>
      <c r="F1000" s="7">
        <v>13.08</v>
      </c>
      <c r="G1000" s="7">
        <v>13.27</v>
      </c>
      <c r="H1000" s="7"/>
      <c r="I1000" s="7"/>
      <c r="J1000" s="7"/>
      <c r="K1000" s="7">
        <v>1.3560000000000001</v>
      </c>
      <c r="L1000" s="7">
        <v>165.7</v>
      </c>
      <c r="M1000" s="7">
        <v>0</v>
      </c>
      <c r="N1000" s="7"/>
      <c r="O1000">
        <v>-12.16</v>
      </c>
      <c r="P1000">
        <v>-11.47</v>
      </c>
      <c r="Q1000">
        <v>17.77</v>
      </c>
      <c r="S1000">
        <v>17.91</v>
      </c>
      <c r="T1000">
        <v>0</v>
      </c>
      <c r="U1000">
        <v>98</v>
      </c>
      <c r="V1000">
        <v>580</v>
      </c>
      <c r="W1000">
        <v>23.19</v>
      </c>
      <c r="Y1000">
        <v>13.18</v>
      </c>
    </row>
    <row r="1001" spans="1:25" x14ac:dyDescent="0.25">
      <c r="A1001">
        <v>2006</v>
      </c>
      <c r="B1001">
        <v>162</v>
      </c>
      <c r="C1001">
        <v>2400</v>
      </c>
      <c r="D1001" s="7">
        <v>-1.288</v>
      </c>
      <c r="E1001" s="7">
        <v>-23.42</v>
      </c>
      <c r="F1001" s="7">
        <v>13.41</v>
      </c>
      <c r="G1001" s="7">
        <v>13.55</v>
      </c>
      <c r="H1001" s="7"/>
      <c r="I1001" s="7"/>
      <c r="J1001" s="7"/>
      <c r="K1001" s="7">
        <v>1.4379999999999999</v>
      </c>
      <c r="L1001" s="7">
        <v>128.69999999999999</v>
      </c>
      <c r="M1001" s="7">
        <v>0</v>
      </c>
      <c r="N1001" s="7"/>
      <c r="O1001">
        <v>-12.17</v>
      </c>
      <c r="P1001">
        <v>-11.48</v>
      </c>
      <c r="Q1001">
        <v>17.54</v>
      </c>
      <c r="S1001">
        <v>17.760000000000002</v>
      </c>
      <c r="T1001">
        <v>0</v>
      </c>
      <c r="U1001">
        <v>98.5</v>
      </c>
      <c r="V1001">
        <v>581.1</v>
      </c>
      <c r="W1001">
        <v>23.24</v>
      </c>
      <c r="Y1001">
        <v>13.12</v>
      </c>
    </row>
    <row r="1002" spans="1:25" x14ac:dyDescent="0.25">
      <c r="A1002">
        <v>2006</v>
      </c>
      <c r="B1002">
        <v>163</v>
      </c>
      <c r="C1002">
        <v>100</v>
      </c>
      <c r="D1002" s="7">
        <v>-1.423</v>
      </c>
      <c r="E1002" s="7">
        <v>-19.43</v>
      </c>
      <c r="F1002" s="7">
        <v>14.02</v>
      </c>
      <c r="G1002" s="7">
        <v>14.18</v>
      </c>
      <c r="H1002" s="7"/>
      <c r="I1002" s="7"/>
      <c r="J1002" s="7"/>
      <c r="K1002" s="7">
        <v>1.5369999999999999</v>
      </c>
      <c r="L1002" s="7">
        <v>144.1</v>
      </c>
      <c r="M1002" s="7">
        <v>0</v>
      </c>
      <c r="N1002" s="7"/>
      <c r="O1002">
        <v>-12.17</v>
      </c>
      <c r="P1002">
        <v>-11.47</v>
      </c>
      <c r="Q1002">
        <v>17.350000000000001</v>
      </c>
      <c r="S1002">
        <v>17.62</v>
      </c>
      <c r="T1002">
        <v>0</v>
      </c>
      <c r="U1002">
        <v>98.3</v>
      </c>
      <c r="V1002">
        <v>580.20000000000005</v>
      </c>
      <c r="W1002">
        <v>23.2</v>
      </c>
      <c r="Y1002">
        <v>13.06</v>
      </c>
    </row>
    <row r="1003" spans="1:25" x14ac:dyDescent="0.25">
      <c r="A1003">
        <v>2006</v>
      </c>
      <c r="B1003">
        <v>163</v>
      </c>
      <c r="C1003">
        <v>200</v>
      </c>
      <c r="D1003" s="7">
        <v>-2.7189999999999999</v>
      </c>
      <c r="E1003" s="7">
        <v>-20.89</v>
      </c>
      <c r="F1003" s="7">
        <v>12.87</v>
      </c>
      <c r="G1003" s="7">
        <v>12.82</v>
      </c>
      <c r="H1003" s="7"/>
      <c r="I1003" s="7"/>
      <c r="J1003" s="7"/>
      <c r="K1003" s="7">
        <v>2.1120000000000001</v>
      </c>
      <c r="L1003" s="7">
        <v>123.5</v>
      </c>
      <c r="M1003" s="7">
        <v>0.2</v>
      </c>
      <c r="N1003" s="7"/>
      <c r="O1003">
        <v>-12.17</v>
      </c>
      <c r="P1003">
        <v>-11.47</v>
      </c>
      <c r="Q1003">
        <v>17.170000000000002</v>
      </c>
      <c r="S1003">
        <v>17.440000000000001</v>
      </c>
      <c r="T1003">
        <v>0</v>
      </c>
      <c r="U1003">
        <v>100.5</v>
      </c>
      <c r="V1003">
        <v>580.6</v>
      </c>
      <c r="W1003">
        <v>23.22</v>
      </c>
      <c r="Y1003">
        <v>13</v>
      </c>
    </row>
    <row r="1004" spans="1:25" x14ac:dyDescent="0.25">
      <c r="A1004">
        <v>2006</v>
      </c>
      <c r="B1004">
        <v>163</v>
      </c>
      <c r="C1004">
        <v>300</v>
      </c>
      <c r="D1004" s="7">
        <v>-1.2390000000000001</v>
      </c>
      <c r="E1004" s="7">
        <v>-14.3</v>
      </c>
      <c r="F1004" s="7">
        <v>12.3</v>
      </c>
      <c r="G1004" s="7">
        <v>12.12</v>
      </c>
      <c r="H1004" s="7"/>
      <c r="I1004" s="7"/>
      <c r="J1004" s="7"/>
      <c r="K1004" s="7">
        <v>1.2370000000000001</v>
      </c>
      <c r="L1004" s="7">
        <v>117.6</v>
      </c>
      <c r="M1004" s="7">
        <v>0.4</v>
      </c>
      <c r="N1004" s="7"/>
      <c r="O1004">
        <v>-12.17</v>
      </c>
      <c r="P1004">
        <v>-11.47</v>
      </c>
      <c r="Q1004">
        <v>17</v>
      </c>
      <c r="S1004">
        <v>17.28</v>
      </c>
      <c r="T1004">
        <v>0</v>
      </c>
      <c r="U1004">
        <v>102</v>
      </c>
      <c r="V1004">
        <v>580.5</v>
      </c>
      <c r="W1004">
        <v>23.22</v>
      </c>
      <c r="Y1004">
        <v>12.96</v>
      </c>
    </row>
    <row r="1005" spans="1:25" x14ac:dyDescent="0.25">
      <c r="A1005">
        <v>2006</v>
      </c>
      <c r="B1005">
        <v>163</v>
      </c>
      <c r="C1005">
        <v>400</v>
      </c>
      <c r="D1005" s="7">
        <v>-0.92400000000000004</v>
      </c>
      <c r="E1005" s="7">
        <v>-13.33</v>
      </c>
      <c r="F1005" s="7">
        <v>12.05</v>
      </c>
      <c r="G1005" s="7">
        <v>11.92</v>
      </c>
      <c r="H1005" s="7"/>
      <c r="I1005" s="7"/>
      <c r="J1005" s="7"/>
      <c r="K1005" s="7">
        <v>1.986</v>
      </c>
      <c r="L1005" s="7">
        <v>112</v>
      </c>
      <c r="M1005" s="7">
        <v>0.2</v>
      </c>
      <c r="N1005" s="7"/>
      <c r="O1005">
        <v>-11.89</v>
      </c>
      <c r="P1005">
        <v>-11.44</v>
      </c>
      <c r="Q1005">
        <v>16.850000000000001</v>
      </c>
      <c r="S1005">
        <v>17.13</v>
      </c>
      <c r="T1005">
        <v>0</v>
      </c>
      <c r="U1005">
        <v>101.5</v>
      </c>
      <c r="V1005">
        <v>578.6</v>
      </c>
      <c r="W1005">
        <v>23.13</v>
      </c>
      <c r="Y1005">
        <v>12.93</v>
      </c>
    </row>
    <row r="1006" spans="1:25" x14ac:dyDescent="0.25">
      <c r="A1006">
        <v>2006</v>
      </c>
      <c r="B1006">
        <v>163</v>
      </c>
      <c r="C1006">
        <v>500</v>
      </c>
      <c r="D1006" s="7">
        <v>0.98</v>
      </c>
      <c r="E1006" s="7">
        <v>-9.2899999999999991</v>
      </c>
      <c r="F1006" s="7">
        <v>12.39</v>
      </c>
      <c r="G1006" s="7">
        <v>12.38</v>
      </c>
      <c r="H1006" s="7"/>
      <c r="I1006" s="7"/>
      <c r="J1006" s="7"/>
      <c r="K1006" s="7">
        <v>1.619</v>
      </c>
      <c r="L1006" s="7">
        <v>109.8</v>
      </c>
      <c r="M1006" s="7">
        <v>0</v>
      </c>
      <c r="N1006" s="7"/>
      <c r="O1006">
        <v>-10.36</v>
      </c>
      <c r="P1006">
        <v>-10.97</v>
      </c>
      <c r="Q1006">
        <v>16.7</v>
      </c>
      <c r="S1006">
        <v>16.98</v>
      </c>
      <c r="T1006">
        <v>0</v>
      </c>
      <c r="U1006">
        <v>100.1</v>
      </c>
      <c r="V1006">
        <v>577.29999999999995</v>
      </c>
      <c r="W1006">
        <v>23.07</v>
      </c>
      <c r="Y1006">
        <v>12.91</v>
      </c>
    </row>
    <row r="1007" spans="1:25" x14ac:dyDescent="0.25">
      <c r="A1007">
        <v>2006</v>
      </c>
      <c r="B1007">
        <v>163</v>
      </c>
      <c r="C1007">
        <v>600</v>
      </c>
      <c r="D1007" s="7">
        <v>32.32</v>
      </c>
      <c r="E1007" s="7">
        <v>9.2799999999999994</v>
      </c>
      <c r="F1007" s="7">
        <v>13.07</v>
      </c>
      <c r="G1007" s="7">
        <v>13.15</v>
      </c>
      <c r="H1007" s="7"/>
      <c r="I1007" s="7"/>
      <c r="J1007" s="7"/>
      <c r="K1007" s="7">
        <v>1.5760000000000001</v>
      </c>
      <c r="L1007" s="7">
        <v>129.9</v>
      </c>
      <c r="M1007" s="7">
        <v>0</v>
      </c>
      <c r="N1007" s="7"/>
      <c r="O1007">
        <v>28.57</v>
      </c>
      <c r="P1007">
        <v>0.39100000000000001</v>
      </c>
      <c r="Q1007">
        <v>16.59</v>
      </c>
      <c r="S1007">
        <v>16.86</v>
      </c>
      <c r="T1007">
        <v>0</v>
      </c>
      <c r="U1007">
        <v>99.1</v>
      </c>
      <c r="V1007">
        <v>576.4</v>
      </c>
      <c r="W1007">
        <v>23.03</v>
      </c>
      <c r="Y1007">
        <v>12.93</v>
      </c>
    </row>
    <row r="1008" spans="1:25" x14ac:dyDescent="0.25">
      <c r="A1008">
        <v>2006</v>
      </c>
      <c r="B1008">
        <v>163</v>
      </c>
      <c r="C1008">
        <v>700</v>
      </c>
      <c r="D1008" s="7">
        <v>165.3</v>
      </c>
      <c r="E1008" s="7">
        <v>85.5</v>
      </c>
      <c r="F1008" s="7">
        <v>13.51</v>
      </c>
      <c r="G1008" s="7">
        <v>13.82</v>
      </c>
      <c r="H1008" s="7"/>
      <c r="I1008" s="7"/>
      <c r="J1008" s="7"/>
      <c r="K1008" s="7">
        <v>1.992</v>
      </c>
      <c r="L1008" s="7">
        <v>150.9</v>
      </c>
      <c r="M1008" s="7">
        <v>0</v>
      </c>
      <c r="N1008" s="7"/>
      <c r="O1008">
        <v>216.4</v>
      </c>
      <c r="P1008">
        <v>70.3</v>
      </c>
      <c r="Q1008">
        <v>16.52</v>
      </c>
      <c r="S1008">
        <v>16.78</v>
      </c>
      <c r="T1008">
        <v>0</v>
      </c>
      <c r="U1008">
        <v>96.7</v>
      </c>
      <c r="V1008">
        <v>575.9</v>
      </c>
      <c r="W1008">
        <v>23.01</v>
      </c>
      <c r="Y1008">
        <v>13.49</v>
      </c>
    </row>
    <row r="1009" spans="1:25" x14ac:dyDescent="0.25">
      <c r="A1009">
        <v>2006</v>
      </c>
      <c r="B1009">
        <v>163</v>
      </c>
      <c r="C1009">
        <v>800</v>
      </c>
      <c r="D1009" s="7">
        <v>379.9</v>
      </c>
      <c r="E1009" s="7">
        <v>235.7</v>
      </c>
      <c r="F1009" s="7">
        <v>15.15</v>
      </c>
      <c r="G1009" s="7">
        <v>15.77</v>
      </c>
      <c r="H1009" s="7"/>
      <c r="I1009" s="7"/>
      <c r="J1009" s="7"/>
      <c r="K1009" s="7">
        <v>2.0529999999999999</v>
      </c>
      <c r="L1009" s="7">
        <v>165.3</v>
      </c>
      <c r="M1009" s="7">
        <v>0</v>
      </c>
      <c r="N1009" s="7"/>
      <c r="O1009">
        <v>507.6</v>
      </c>
      <c r="P1009">
        <v>167</v>
      </c>
      <c r="Q1009">
        <v>16.55</v>
      </c>
      <c r="S1009">
        <v>16.73</v>
      </c>
      <c r="T1009">
        <v>0</v>
      </c>
      <c r="U1009">
        <v>93.7</v>
      </c>
      <c r="V1009">
        <v>575.5</v>
      </c>
      <c r="W1009">
        <v>22.99</v>
      </c>
      <c r="Y1009">
        <v>14.25</v>
      </c>
    </row>
    <row r="1010" spans="1:25" x14ac:dyDescent="0.25">
      <c r="A1010">
        <v>2006</v>
      </c>
      <c r="B1010">
        <v>163</v>
      </c>
      <c r="C1010">
        <v>900</v>
      </c>
      <c r="D1010" s="7">
        <v>401.8</v>
      </c>
      <c r="E1010" s="7">
        <v>234.9</v>
      </c>
      <c r="F1010" s="7">
        <v>16.23</v>
      </c>
      <c r="G1010" s="7">
        <v>16.22</v>
      </c>
      <c r="H1010" s="7">
        <f>AVERAGE(G1010:G1033)</f>
        <v>15.767499999999997</v>
      </c>
      <c r="I1010" s="7">
        <f>MIN(G1010:G1033)</f>
        <v>10.89</v>
      </c>
      <c r="J1010" s="7">
        <f>MAX(G1010:G1033)</f>
        <v>20.52</v>
      </c>
      <c r="K1010" s="7">
        <v>2.867</v>
      </c>
      <c r="L1010" s="7">
        <v>171.6</v>
      </c>
      <c r="M1010" s="7">
        <v>0</v>
      </c>
      <c r="N1010" s="7">
        <f>SUM(M1010:M1033)</f>
        <v>0</v>
      </c>
      <c r="O1010">
        <v>509.6</v>
      </c>
      <c r="P1010">
        <v>148.69999999999999</v>
      </c>
      <c r="Q1010">
        <v>16.64</v>
      </c>
      <c r="S1010">
        <v>16.62</v>
      </c>
      <c r="T1010">
        <v>0</v>
      </c>
      <c r="U1010">
        <v>100.2</v>
      </c>
      <c r="V1010">
        <v>574.70000000000005</v>
      </c>
      <c r="W1010">
        <v>22.95</v>
      </c>
      <c r="Y1010">
        <v>14.31</v>
      </c>
    </row>
    <row r="1011" spans="1:25" x14ac:dyDescent="0.25">
      <c r="A1011">
        <v>2006</v>
      </c>
      <c r="B1011">
        <v>163</v>
      </c>
      <c r="C1011">
        <v>1000</v>
      </c>
      <c r="D1011" s="7">
        <v>660.4</v>
      </c>
      <c r="E1011" s="7">
        <v>410.6</v>
      </c>
      <c r="F1011" s="7">
        <v>17.97</v>
      </c>
      <c r="G1011" s="7">
        <v>17.95</v>
      </c>
      <c r="H1011" s="7"/>
      <c r="I1011" s="7"/>
      <c r="J1011" s="7"/>
      <c r="K1011" s="7">
        <v>3.1629999999999998</v>
      </c>
      <c r="L1011" s="7">
        <v>183.7</v>
      </c>
      <c r="M1011" s="7">
        <v>0</v>
      </c>
      <c r="N1011" s="7"/>
      <c r="O1011">
        <v>847</v>
      </c>
      <c r="P1011">
        <v>227.5</v>
      </c>
      <c r="Q1011">
        <v>16.88</v>
      </c>
      <c r="S1011">
        <v>16.670000000000002</v>
      </c>
      <c r="T1011">
        <v>0</v>
      </c>
      <c r="U1011">
        <v>100.2</v>
      </c>
      <c r="V1011">
        <v>573.70000000000005</v>
      </c>
      <c r="W1011">
        <v>22.91</v>
      </c>
      <c r="Y1011">
        <v>14.58</v>
      </c>
    </row>
    <row r="1012" spans="1:25" x14ac:dyDescent="0.25">
      <c r="A1012">
        <v>2006</v>
      </c>
      <c r="B1012">
        <v>163</v>
      </c>
      <c r="C1012">
        <v>1100</v>
      </c>
      <c r="D1012" s="7">
        <v>750</v>
      </c>
      <c r="E1012" s="7">
        <v>453.7</v>
      </c>
      <c r="F1012" s="7">
        <v>19.3</v>
      </c>
      <c r="G1012" s="7">
        <v>19.32</v>
      </c>
      <c r="H1012" s="7"/>
      <c r="I1012" s="7"/>
      <c r="J1012" s="7"/>
      <c r="K1012" s="7">
        <v>3.3109999999999999</v>
      </c>
      <c r="L1012" s="7">
        <v>194</v>
      </c>
      <c r="M1012" s="7">
        <v>0</v>
      </c>
      <c r="N1012" s="7"/>
      <c r="O1012">
        <v>938</v>
      </c>
      <c r="P1012">
        <v>245.3</v>
      </c>
      <c r="Q1012">
        <v>17.190000000000001</v>
      </c>
      <c r="S1012">
        <v>16.75</v>
      </c>
      <c r="T1012">
        <v>0</v>
      </c>
      <c r="U1012">
        <v>99.8</v>
      </c>
      <c r="V1012">
        <v>572.70000000000005</v>
      </c>
      <c r="W1012">
        <v>22.86</v>
      </c>
      <c r="Y1012">
        <v>14.41</v>
      </c>
    </row>
    <row r="1013" spans="1:25" x14ac:dyDescent="0.25">
      <c r="A1013">
        <v>2006</v>
      </c>
      <c r="B1013">
        <v>163</v>
      </c>
      <c r="C1013">
        <v>1200</v>
      </c>
      <c r="D1013" s="7">
        <v>770</v>
      </c>
      <c r="E1013" s="7">
        <v>453.8</v>
      </c>
      <c r="F1013" s="7">
        <v>20.2</v>
      </c>
      <c r="G1013" s="7">
        <v>20.059999999999999</v>
      </c>
      <c r="H1013" s="7"/>
      <c r="I1013" s="7"/>
      <c r="J1013" s="7"/>
      <c r="K1013" s="7">
        <v>2.9889999999999999</v>
      </c>
      <c r="L1013" s="7">
        <v>187.6</v>
      </c>
      <c r="M1013" s="7">
        <v>0</v>
      </c>
      <c r="N1013" s="7"/>
      <c r="O1013">
        <v>950</v>
      </c>
      <c r="P1013">
        <v>227.7</v>
      </c>
      <c r="Q1013">
        <v>17.510000000000002</v>
      </c>
      <c r="S1013">
        <v>16.88</v>
      </c>
      <c r="T1013">
        <v>0</v>
      </c>
      <c r="U1013">
        <v>101.3</v>
      </c>
      <c r="V1013">
        <v>571.20000000000005</v>
      </c>
      <c r="W1013">
        <v>22.8</v>
      </c>
      <c r="Y1013">
        <v>14.03</v>
      </c>
    </row>
    <row r="1014" spans="1:25" x14ac:dyDescent="0.25">
      <c r="A1014">
        <v>2006</v>
      </c>
      <c r="B1014">
        <v>163</v>
      </c>
      <c r="C1014">
        <v>1300</v>
      </c>
      <c r="D1014" s="7">
        <v>738</v>
      </c>
      <c r="E1014" s="7">
        <v>425.3</v>
      </c>
      <c r="F1014" s="7">
        <v>20.56</v>
      </c>
      <c r="G1014" s="7">
        <v>20.52</v>
      </c>
      <c r="H1014" s="7"/>
      <c r="I1014" s="7"/>
      <c r="J1014" s="7"/>
      <c r="K1014" s="7">
        <v>3.7360000000000002</v>
      </c>
      <c r="L1014" s="7">
        <v>211.8</v>
      </c>
      <c r="M1014" s="7">
        <v>0</v>
      </c>
      <c r="N1014" s="7"/>
      <c r="O1014">
        <v>914</v>
      </c>
      <c r="P1014">
        <v>230</v>
      </c>
      <c r="Q1014">
        <v>17.79</v>
      </c>
      <c r="S1014">
        <v>17.079999999999998</v>
      </c>
      <c r="T1014">
        <v>0</v>
      </c>
      <c r="U1014">
        <v>100.4</v>
      </c>
      <c r="V1014">
        <v>567.9</v>
      </c>
      <c r="W1014">
        <v>22.65</v>
      </c>
      <c r="Y1014">
        <v>14.12</v>
      </c>
    </row>
    <row r="1015" spans="1:25" x14ac:dyDescent="0.25">
      <c r="A1015">
        <v>2006</v>
      </c>
      <c r="B1015">
        <v>163</v>
      </c>
      <c r="C1015">
        <v>1400</v>
      </c>
      <c r="D1015" s="7">
        <v>504.9</v>
      </c>
      <c r="E1015" s="7">
        <v>276.7</v>
      </c>
      <c r="F1015" s="7">
        <v>20.12</v>
      </c>
      <c r="G1015" s="7">
        <v>20.02</v>
      </c>
      <c r="H1015" s="7"/>
      <c r="I1015" s="7"/>
      <c r="J1015" s="7"/>
      <c r="K1015" s="7">
        <v>3.94</v>
      </c>
      <c r="L1015" s="7">
        <v>223.6</v>
      </c>
      <c r="M1015" s="7">
        <v>0</v>
      </c>
      <c r="N1015" s="7"/>
      <c r="O1015">
        <v>614.5</v>
      </c>
      <c r="P1015">
        <v>168.9</v>
      </c>
      <c r="Q1015">
        <v>18.07</v>
      </c>
      <c r="S1015">
        <v>17.32</v>
      </c>
      <c r="T1015">
        <v>0</v>
      </c>
      <c r="U1015">
        <v>100.9</v>
      </c>
      <c r="V1015">
        <v>566.70000000000005</v>
      </c>
      <c r="W1015">
        <v>22.59</v>
      </c>
      <c r="Y1015">
        <v>14.13</v>
      </c>
    </row>
    <row r="1016" spans="1:25" x14ac:dyDescent="0.25">
      <c r="A1016">
        <v>2006</v>
      </c>
      <c r="B1016">
        <v>163</v>
      </c>
      <c r="C1016">
        <v>1500</v>
      </c>
      <c r="D1016" s="7">
        <v>378.8</v>
      </c>
      <c r="E1016" s="7">
        <v>199.4</v>
      </c>
      <c r="F1016" s="7">
        <v>19.579999999999998</v>
      </c>
      <c r="G1016" s="7">
        <v>19.53</v>
      </c>
      <c r="H1016" s="7"/>
      <c r="I1016" s="7"/>
      <c r="J1016" s="7"/>
      <c r="K1016" s="7">
        <v>3.85</v>
      </c>
      <c r="L1016" s="7">
        <v>219.7</v>
      </c>
      <c r="M1016" s="7">
        <v>0</v>
      </c>
      <c r="N1016" s="7"/>
      <c r="O1016">
        <v>464.9</v>
      </c>
      <c r="P1016">
        <v>134.4</v>
      </c>
      <c r="Q1016">
        <v>18.28</v>
      </c>
      <c r="S1016">
        <v>17.559999999999999</v>
      </c>
      <c r="T1016">
        <v>0</v>
      </c>
      <c r="U1016">
        <v>100.4</v>
      </c>
      <c r="V1016">
        <v>567.1</v>
      </c>
      <c r="W1016">
        <v>22.62</v>
      </c>
      <c r="Y1016">
        <v>14.02</v>
      </c>
    </row>
    <row r="1017" spans="1:25" x14ac:dyDescent="0.25">
      <c r="A1017">
        <v>2006</v>
      </c>
      <c r="B1017">
        <v>163</v>
      </c>
      <c r="C1017">
        <v>1600</v>
      </c>
      <c r="D1017" s="7">
        <v>308.3</v>
      </c>
      <c r="E1017" s="7">
        <v>160.5</v>
      </c>
      <c r="F1017" s="7">
        <v>19.2</v>
      </c>
      <c r="G1017" s="7">
        <v>19.170000000000002</v>
      </c>
      <c r="H1017" s="7"/>
      <c r="I1017" s="7"/>
      <c r="J1017" s="7"/>
      <c r="K1017" s="7">
        <v>3.5089999999999999</v>
      </c>
      <c r="L1017" s="7">
        <v>224.1</v>
      </c>
      <c r="M1017" s="7">
        <v>0</v>
      </c>
      <c r="N1017" s="7"/>
      <c r="O1017">
        <v>380.6</v>
      </c>
      <c r="P1017">
        <v>119.2</v>
      </c>
      <c r="Q1017">
        <v>18.399999999999999</v>
      </c>
      <c r="S1017">
        <v>17.75</v>
      </c>
      <c r="T1017">
        <v>0</v>
      </c>
      <c r="U1017">
        <v>100.3</v>
      </c>
      <c r="V1017">
        <v>567.1</v>
      </c>
      <c r="W1017">
        <v>22.61</v>
      </c>
      <c r="Y1017">
        <v>13.94</v>
      </c>
    </row>
    <row r="1018" spans="1:25" x14ac:dyDescent="0.25">
      <c r="A1018">
        <v>2006</v>
      </c>
      <c r="B1018">
        <v>163</v>
      </c>
      <c r="C1018">
        <v>1700</v>
      </c>
      <c r="D1018" s="7">
        <v>216.2</v>
      </c>
      <c r="E1018" s="7">
        <v>105.5</v>
      </c>
      <c r="F1018" s="7">
        <v>18.670000000000002</v>
      </c>
      <c r="G1018" s="7">
        <v>18.62</v>
      </c>
      <c r="H1018" s="7"/>
      <c r="I1018" s="7"/>
      <c r="J1018" s="7"/>
      <c r="K1018" s="7">
        <v>3.6930000000000001</v>
      </c>
      <c r="L1018" s="7">
        <v>233.9</v>
      </c>
      <c r="M1018" s="7">
        <v>0</v>
      </c>
      <c r="N1018" s="7"/>
      <c r="O1018">
        <v>265.8</v>
      </c>
      <c r="P1018">
        <v>83.8</v>
      </c>
      <c r="Q1018">
        <v>18.47</v>
      </c>
      <c r="S1018">
        <v>17.899999999999999</v>
      </c>
      <c r="T1018">
        <v>0</v>
      </c>
      <c r="U1018">
        <v>100.5</v>
      </c>
      <c r="V1018">
        <v>564.29999999999995</v>
      </c>
      <c r="W1018">
        <v>22.49</v>
      </c>
      <c r="Y1018">
        <v>13.85</v>
      </c>
    </row>
    <row r="1019" spans="1:25" x14ac:dyDescent="0.25">
      <c r="A1019">
        <v>2006</v>
      </c>
      <c r="B1019">
        <v>163</v>
      </c>
      <c r="C1019">
        <v>1800</v>
      </c>
      <c r="D1019" s="7">
        <v>207.5</v>
      </c>
      <c r="E1019" s="7">
        <v>95.2</v>
      </c>
      <c r="F1019" s="7">
        <v>18.13</v>
      </c>
      <c r="G1019" s="7">
        <v>18.12</v>
      </c>
      <c r="H1019" s="7"/>
      <c r="I1019" s="7"/>
      <c r="J1019" s="7"/>
      <c r="K1019" s="7">
        <v>3.4630000000000001</v>
      </c>
      <c r="L1019" s="7">
        <v>239.4</v>
      </c>
      <c r="M1019" s="7">
        <v>0</v>
      </c>
      <c r="N1019" s="7"/>
      <c r="O1019">
        <v>250.2</v>
      </c>
      <c r="P1019">
        <v>87.8</v>
      </c>
      <c r="Q1019">
        <v>18.53</v>
      </c>
      <c r="S1019">
        <v>18.02</v>
      </c>
      <c r="T1019">
        <v>0</v>
      </c>
      <c r="U1019">
        <v>100.1</v>
      </c>
      <c r="V1019">
        <v>563.6</v>
      </c>
      <c r="W1019">
        <v>22.46</v>
      </c>
      <c r="Y1019">
        <v>13.8</v>
      </c>
    </row>
    <row r="1020" spans="1:25" x14ac:dyDescent="0.25">
      <c r="A1020">
        <v>2006</v>
      </c>
      <c r="B1020">
        <v>163</v>
      </c>
      <c r="C1020">
        <v>1900</v>
      </c>
      <c r="D1020" s="7">
        <v>138.69999999999999</v>
      </c>
      <c r="E1020" s="7">
        <v>49.23</v>
      </c>
      <c r="F1020" s="7">
        <v>17.29</v>
      </c>
      <c r="G1020" s="7">
        <v>17.329999999999998</v>
      </c>
      <c r="H1020" s="7"/>
      <c r="I1020" s="7"/>
      <c r="J1020" s="7"/>
      <c r="K1020" s="7">
        <v>3.4329999999999998</v>
      </c>
      <c r="L1020" s="7">
        <v>240.4</v>
      </c>
      <c r="M1020" s="7">
        <v>0</v>
      </c>
      <c r="N1020" s="7"/>
      <c r="O1020">
        <v>163.9</v>
      </c>
      <c r="P1020">
        <v>70.7</v>
      </c>
      <c r="Q1020">
        <v>18.5</v>
      </c>
      <c r="S1020">
        <v>18.03</v>
      </c>
      <c r="T1020">
        <v>0</v>
      </c>
      <c r="U1020">
        <v>99.6</v>
      </c>
      <c r="V1020">
        <v>560.9</v>
      </c>
      <c r="W1020">
        <v>22.34</v>
      </c>
      <c r="Y1020">
        <v>13.69</v>
      </c>
    </row>
    <row r="1021" spans="1:25" x14ac:dyDescent="0.25">
      <c r="A1021">
        <v>2006</v>
      </c>
      <c r="B1021">
        <v>163</v>
      </c>
      <c r="C1021">
        <v>2000</v>
      </c>
      <c r="D1021" s="7">
        <v>43.5</v>
      </c>
      <c r="E1021" s="7">
        <v>-3.649</v>
      </c>
      <c r="F1021" s="7">
        <v>16.489999999999998</v>
      </c>
      <c r="G1021" s="7">
        <v>16.57</v>
      </c>
      <c r="H1021" s="7"/>
      <c r="I1021" s="7"/>
      <c r="J1021" s="7"/>
      <c r="K1021" s="7">
        <v>3.6320000000000001</v>
      </c>
      <c r="L1021" s="7">
        <v>247.2</v>
      </c>
      <c r="M1021" s="7">
        <v>0</v>
      </c>
      <c r="N1021" s="7"/>
      <c r="O1021">
        <v>45.72</v>
      </c>
      <c r="P1021">
        <v>7.3</v>
      </c>
      <c r="Q1021">
        <v>18.420000000000002</v>
      </c>
      <c r="S1021">
        <v>18.04</v>
      </c>
      <c r="T1021">
        <v>0</v>
      </c>
      <c r="U1021">
        <v>99.2</v>
      </c>
      <c r="V1021">
        <v>559.79999999999995</v>
      </c>
      <c r="W1021">
        <v>22.28</v>
      </c>
      <c r="Y1021">
        <v>13.53</v>
      </c>
    </row>
    <row r="1022" spans="1:25" x14ac:dyDescent="0.25">
      <c r="A1022">
        <v>2006</v>
      </c>
      <c r="B1022">
        <v>163</v>
      </c>
      <c r="C1022">
        <v>2100</v>
      </c>
      <c r="D1022" s="7">
        <v>14.64</v>
      </c>
      <c r="E1022" s="7">
        <v>-42.24</v>
      </c>
      <c r="F1022" s="7">
        <v>14.81</v>
      </c>
      <c r="G1022" s="7">
        <v>14.88</v>
      </c>
      <c r="H1022" s="7"/>
      <c r="I1022" s="7"/>
      <c r="J1022" s="7"/>
      <c r="K1022" s="7">
        <v>2.2360000000000002</v>
      </c>
      <c r="L1022" s="7">
        <v>231.3</v>
      </c>
      <c r="M1022" s="7">
        <v>0</v>
      </c>
      <c r="N1022" s="7"/>
      <c r="O1022">
        <v>7.95</v>
      </c>
      <c r="P1022">
        <v>-4.4020000000000001</v>
      </c>
      <c r="Q1022">
        <v>18.27</v>
      </c>
      <c r="S1022">
        <v>17.98</v>
      </c>
      <c r="T1022">
        <v>0</v>
      </c>
      <c r="U1022">
        <v>99.2</v>
      </c>
      <c r="V1022">
        <v>559.79999999999995</v>
      </c>
      <c r="W1022">
        <v>22.28</v>
      </c>
      <c r="Y1022">
        <v>13.41</v>
      </c>
    </row>
    <row r="1023" spans="1:25" x14ac:dyDescent="0.25">
      <c r="A1023">
        <v>2006</v>
      </c>
      <c r="B1023">
        <v>163</v>
      </c>
      <c r="C1023">
        <v>2200</v>
      </c>
      <c r="D1023" s="7">
        <v>-1.466</v>
      </c>
      <c r="E1023" s="7">
        <v>-41.74</v>
      </c>
      <c r="F1023" s="7">
        <v>14.06</v>
      </c>
      <c r="G1023" s="7">
        <v>14.17</v>
      </c>
      <c r="H1023" s="7"/>
      <c r="I1023" s="7"/>
      <c r="J1023" s="7"/>
      <c r="K1023" s="7">
        <v>2.472</v>
      </c>
      <c r="L1023" s="7">
        <v>248.6</v>
      </c>
      <c r="M1023" s="7">
        <v>0</v>
      </c>
      <c r="N1023" s="7"/>
      <c r="O1023">
        <v>-11.37</v>
      </c>
      <c r="P1023">
        <v>-11.24</v>
      </c>
      <c r="Q1023">
        <v>18.07</v>
      </c>
      <c r="S1023">
        <v>17.899999999999999</v>
      </c>
      <c r="T1023">
        <v>0</v>
      </c>
      <c r="U1023">
        <v>98.9</v>
      </c>
      <c r="V1023">
        <v>564.4</v>
      </c>
      <c r="W1023">
        <v>22.49</v>
      </c>
      <c r="Y1023">
        <v>13.31</v>
      </c>
    </row>
    <row r="1024" spans="1:25" x14ac:dyDescent="0.25">
      <c r="A1024">
        <v>2006</v>
      </c>
      <c r="B1024">
        <v>163</v>
      </c>
      <c r="C1024">
        <v>2300</v>
      </c>
      <c r="D1024" s="7">
        <v>-1.6339999999999999</v>
      </c>
      <c r="E1024" s="7">
        <v>-30.36</v>
      </c>
      <c r="F1024" s="7">
        <v>13.54</v>
      </c>
      <c r="G1024" s="7">
        <v>13.63</v>
      </c>
      <c r="H1024" s="7"/>
      <c r="I1024" s="7"/>
      <c r="J1024" s="7"/>
      <c r="K1024" s="7">
        <v>1.95</v>
      </c>
      <c r="L1024" s="7">
        <v>238.2</v>
      </c>
      <c r="M1024" s="7">
        <v>0</v>
      </c>
      <c r="N1024" s="7"/>
      <c r="O1024">
        <v>-12.17</v>
      </c>
      <c r="P1024">
        <v>-11.47</v>
      </c>
      <c r="Q1024">
        <v>17.850000000000001</v>
      </c>
      <c r="S1024">
        <v>17.8</v>
      </c>
      <c r="T1024">
        <v>0</v>
      </c>
      <c r="U1024">
        <v>99.1</v>
      </c>
      <c r="V1024">
        <v>561.9</v>
      </c>
      <c r="W1024">
        <v>22.38</v>
      </c>
      <c r="Y1024">
        <v>13.24</v>
      </c>
    </row>
    <row r="1025" spans="1:25" x14ac:dyDescent="0.25">
      <c r="A1025">
        <v>2006</v>
      </c>
      <c r="B1025">
        <v>163</v>
      </c>
      <c r="C1025">
        <v>2400</v>
      </c>
      <c r="D1025" s="7">
        <v>-1.639</v>
      </c>
      <c r="E1025" s="7">
        <v>-31.94</v>
      </c>
      <c r="F1025" s="7">
        <v>13.35</v>
      </c>
      <c r="G1025" s="7">
        <v>13.42</v>
      </c>
      <c r="H1025" s="7"/>
      <c r="I1025" s="7"/>
      <c r="J1025" s="7"/>
      <c r="K1025" s="7">
        <v>2.0859999999999999</v>
      </c>
      <c r="L1025" s="7">
        <v>239.6</v>
      </c>
      <c r="M1025" s="7">
        <v>0</v>
      </c>
      <c r="N1025" s="7"/>
      <c r="O1025">
        <v>-12.17</v>
      </c>
      <c r="P1025">
        <v>-11.47</v>
      </c>
      <c r="Q1025">
        <v>17.62</v>
      </c>
      <c r="S1025">
        <v>17.66</v>
      </c>
      <c r="T1025">
        <v>0</v>
      </c>
      <c r="U1025">
        <v>99.3</v>
      </c>
      <c r="V1025">
        <v>570.9</v>
      </c>
      <c r="W1025">
        <v>22.78</v>
      </c>
      <c r="Y1025">
        <v>13.17</v>
      </c>
    </row>
    <row r="1026" spans="1:25" x14ac:dyDescent="0.25">
      <c r="A1026">
        <v>2006</v>
      </c>
      <c r="B1026">
        <v>164</v>
      </c>
      <c r="C1026">
        <v>100</v>
      </c>
      <c r="D1026" s="7">
        <v>-1.415</v>
      </c>
      <c r="E1026" s="7">
        <v>-29.74</v>
      </c>
      <c r="F1026" s="7">
        <v>12.95</v>
      </c>
      <c r="G1026" s="7">
        <v>13.03</v>
      </c>
      <c r="H1026" s="7"/>
      <c r="I1026" s="7"/>
      <c r="J1026" s="7"/>
      <c r="K1026" s="7">
        <v>2.19</v>
      </c>
      <c r="L1026" s="7">
        <v>236.7</v>
      </c>
      <c r="M1026" s="7">
        <v>0</v>
      </c>
      <c r="N1026" s="7"/>
      <c r="O1026">
        <v>-12.17</v>
      </c>
      <c r="P1026">
        <v>-11.47</v>
      </c>
      <c r="Q1026">
        <v>17.43</v>
      </c>
      <c r="S1026">
        <v>17.53</v>
      </c>
      <c r="T1026">
        <v>0</v>
      </c>
      <c r="U1026">
        <v>99</v>
      </c>
      <c r="V1026">
        <v>583.6</v>
      </c>
      <c r="W1026">
        <v>23.35</v>
      </c>
      <c r="Y1026">
        <v>13.1</v>
      </c>
    </row>
    <row r="1027" spans="1:25" x14ac:dyDescent="0.25">
      <c r="A1027">
        <v>2006</v>
      </c>
      <c r="B1027">
        <v>164</v>
      </c>
      <c r="C1027">
        <v>200</v>
      </c>
      <c r="D1027" s="7">
        <v>-1.22</v>
      </c>
      <c r="E1027" s="7">
        <v>-22.11</v>
      </c>
      <c r="F1027" s="7">
        <v>12.7</v>
      </c>
      <c r="G1027" s="7">
        <v>12.81</v>
      </c>
      <c r="H1027" s="7"/>
      <c r="I1027" s="7"/>
      <c r="J1027" s="7"/>
      <c r="K1027" s="7">
        <v>2.2229999999999999</v>
      </c>
      <c r="L1027" s="7">
        <v>241.3</v>
      </c>
      <c r="M1027" s="7">
        <v>0</v>
      </c>
      <c r="N1027" s="7"/>
      <c r="O1027">
        <v>-12.17</v>
      </c>
      <c r="P1027">
        <v>-11.48</v>
      </c>
      <c r="Q1027">
        <v>17.23</v>
      </c>
      <c r="S1027">
        <v>17.36</v>
      </c>
      <c r="T1027">
        <v>0</v>
      </c>
      <c r="U1027">
        <v>98.8</v>
      </c>
      <c r="V1027">
        <v>572.70000000000005</v>
      </c>
      <c r="W1027">
        <v>22.87</v>
      </c>
      <c r="Y1027">
        <v>13.04</v>
      </c>
    </row>
    <row r="1028" spans="1:25" x14ac:dyDescent="0.25">
      <c r="A1028">
        <v>2006</v>
      </c>
      <c r="B1028">
        <v>164</v>
      </c>
      <c r="C1028">
        <v>300</v>
      </c>
      <c r="D1028" s="7">
        <v>-1.4490000000000001</v>
      </c>
      <c r="E1028" s="7">
        <v>-27.11</v>
      </c>
      <c r="F1028" s="7">
        <v>12.5</v>
      </c>
      <c r="G1028" s="7">
        <v>12.59</v>
      </c>
      <c r="H1028" s="7"/>
      <c r="I1028" s="7"/>
      <c r="J1028" s="7"/>
      <c r="K1028" s="7">
        <v>1.6339999999999999</v>
      </c>
      <c r="L1028" s="7">
        <v>251.7</v>
      </c>
      <c r="M1028" s="7">
        <v>0</v>
      </c>
      <c r="N1028" s="7"/>
      <c r="O1028">
        <v>-12.17</v>
      </c>
      <c r="P1028">
        <v>-11.48</v>
      </c>
      <c r="Q1028">
        <v>17.059999999999999</v>
      </c>
      <c r="S1028">
        <v>17.23</v>
      </c>
      <c r="T1028">
        <v>0</v>
      </c>
      <c r="U1028">
        <v>99</v>
      </c>
      <c r="V1028">
        <v>563.79999999999995</v>
      </c>
      <c r="W1028">
        <v>22.47</v>
      </c>
      <c r="Y1028">
        <v>12.99</v>
      </c>
    </row>
    <row r="1029" spans="1:25" x14ac:dyDescent="0.25">
      <c r="A1029">
        <v>2006</v>
      </c>
      <c r="B1029">
        <v>164</v>
      </c>
      <c r="C1029">
        <v>400</v>
      </c>
      <c r="D1029" s="7">
        <v>-0.254</v>
      </c>
      <c r="E1029" s="7">
        <v>-40.68</v>
      </c>
      <c r="F1029" s="7">
        <v>11.81</v>
      </c>
      <c r="G1029" s="7">
        <v>11.88</v>
      </c>
      <c r="H1029" s="7"/>
      <c r="I1029" s="7"/>
      <c r="J1029" s="7"/>
      <c r="K1029" s="7">
        <v>1.4610000000000001</v>
      </c>
      <c r="L1029" s="7">
        <v>260.10000000000002</v>
      </c>
      <c r="M1029" s="7">
        <v>0</v>
      </c>
      <c r="N1029" s="7"/>
      <c r="O1029">
        <v>-9.36</v>
      </c>
      <c r="P1029">
        <v>-10.51</v>
      </c>
      <c r="Q1029">
        <v>16.93</v>
      </c>
      <c r="S1029">
        <v>17.09</v>
      </c>
      <c r="T1029">
        <v>0</v>
      </c>
      <c r="U1029">
        <v>99.2</v>
      </c>
      <c r="V1029">
        <v>568.29999999999995</v>
      </c>
      <c r="W1029">
        <v>22.67</v>
      </c>
      <c r="Y1029">
        <v>12.96</v>
      </c>
    </row>
    <row r="1030" spans="1:25" x14ac:dyDescent="0.25">
      <c r="A1030">
        <v>2006</v>
      </c>
      <c r="B1030">
        <v>164</v>
      </c>
      <c r="C1030">
        <v>500</v>
      </c>
      <c r="D1030" s="7">
        <v>23.15</v>
      </c>
      <c r="E1030" s="7">
        <v>-38.69</v>
      </c>
      <c r="F1030" s="7">
        <v>10.67</v>
      </c>
      <c r="G1030" s="7">
        <v>10.89</v>
      </c>
      <c r="H1030" s="7"/>
      <c r="I1030" s="7"/>
      <c r="J1030" s="7"/>
      <c r="K1030" s="7">
        <v>1.6679999999999999</v>
      </c>
      <c r="L1030" s="7">
        <v>256</v>
      </c>
      <c r="M1030" s="7">
        <v>0</v>
      </c>
      <c r="N1030" s="7"/>
      <c r="O1030">
        <v>19.920000000000002</v>
      </c>
      <c r="P1030">
        <v>1.149</v>
      </c>
      <c r="Q1030">
        <v>16.73</v>
      </c>
      <c r="S1030">
        <v>16.940000000000001</v>
      </c>
      <c r="T1030">
        <v>0</v>
      </c>
      <c r="U1030">
        <v>97.5</v>
      </c>
      <c r="V1030">
        <v>561.79999999999995</v>
      </c>
      <c r="W1030">
        <v>22.38</v>
      </c>
      <c r="Y1030">
        <v>12.94</v>
      </c>
    </row>
    <row r="1031" spans="1:25" x14ac:dyDescent="0.25">
      <c r="A1031">
        <v>2006</v>
      </c>
      <c r="B1031">
        <v>164</v>
      </c>
      <c r="C1031">
        <v>600</v>
      </c>
      <c r="D1031" s="7">
        <v>82.1</v>
      </c>
      <c r="E1031" s="7">
        <v>21.36</v>
      </c>
      <c r="F1031" s="7">
        <v>11.32</v>
      </c>
      <c r="G1031" s="7">
        <v>11.45</v>
      </c>
      <c r="H1031" s="7"/>
      <c r="I1031" s="7"/>
      <c r="J1031" s="7"/>
      <c r="K1031" s="7">
        <v>1.649</v>
      </c>
      <c r="L1031" s="7">
        <v>254.8</v>
      </c>
      <c r="M1031" s="7">
        <v>0</v>
      </c>
      <c r="N1031" s="7"/>
      <c r="O1031">
        <v>96</v>
      </c>
      <c r="P1031">
        <v>26.55</v>
      </c>
      <c r="Q1031">
        <v>16.54</v>
      </c>
      <c r="S1031">
        <v>16.8</v>
      </c>
      <c r="T1031">
        <v>0</v>
      </c>
      <c r="U1031">
        <v>98.5</v>
      </c>
      <c r="V1031">
        <v>557.70000000000005</v>
      </c>
      <c r="W1031">
        <v>22.19</v>
      </c>
      <c r="Y1031">
        <v>13.17</v>
      </c>
    </row>
    <row r="1032" spans="1:25" x14ac:dyDescent="0.25">
      <c r="A1032">
        <v>2006</v>
      </c>
      <c r="B1032">
        <v>164</v>
      </c>
      <c r="C1032">
        <v>700</v>
      </c>
      <c r="D1032" s="7">
        <v>190.4</v>
      </c>
      <c r="E1032" s="7">
        <v>100.1</v>
      </c>
      <c r="F1032" s="7">
        <v>12.49</v>
      </c>
      <c r="G1032" s="7">
        <v>12.59</v>
      </c>
      <c r="H1032" s="7"/>
      <c r="I1032" s="7"/>
      <c r="J1032" s="7"/>
      <c r="K1032" s="7">
        <v>2.0920000000000001</v>
      </c>
      <c r="L1032" s="7">
        <v>267.7</v>
      </c>
      <c r="M1032" s="7">
        <v>0</v>
      </c>
      <c r="N1032" s="7"/>
      <c r="O1032">
        <v>241.8</v>
      </c>
      <c r="P1032">
        <v>72.8</v>
      </c>
      <c r="Q1032">
        <v>16.48</v>
      </c>
      <c r="S1032">
        <v>16.71</v>
      </c>
      <c r="T1032">
        <v>0</v>
      </c>
      <c r="U1032">
        <v>98.9</v>
      </c>
      <c r="V1032">
        <v>555.1</v>
      </c>
      <c r="W1032">
        <v>22.07</v>
      </c>
      <c r="Y1032">
        <v>13.74</v>
      </c>
    </row>
    <row r="1033" spans="1:25" x14ac:dyDescent="0.25">
      <c r="A1033">
        <v>2006</v>
      </c>
      <c r="B1033">
        <v>164</v>
      </c>
      <c r="C1033">
        <v>800</v>
      </c>
      <c r="D1033" s="7">
        <v>359.3</v>
      </c>
      <c r="E1033" s="7">
        <v>220.5</v>
      </c>
      <c r="F1033" s="7">
        <v>13.51</v>
      </c>
      <c r="G1033" s="7">
        <v>13.65</v>
      </c>
      <c r="H1033" s="7"/>
      <c r="I1033" s="7"/>
      <c r="J1033" s="7"/>
      <c r="K1033" s="7">
        <v>2.8370000000000002</v>
      </c>
      <c r="L1033" s="7">
        <v>291.10000000000002</v>
      </c>
      <c r="M1033" s="7">
        <v>0</v>
      </c>
      <c r="N1033" s="7"/>
      <c r="O1033">
        <v>468.8</v>
      </c>
      <c r="P1033">
        <v>150.19999999999999</v>
      </c>
      <c r="Q1033">
        <v>16.47</v>
      </c>
      <c r="S1033">
        <v>16.64</v>
      </c>
      <c r="T1033">
        <v>0</v>
      </c>
      <c r="U1033">
        <v>98.4</v>
      </c>
      <c r="V1033">
        <v>554.9</v>
      </c>
      <c r="W1033">
        <v>22.06</v>
      </c>
      <c r="Y1033">
        <v>14.13</v>
      </c>
    </row>
    <row r="1034" spans="1:25" x14ac:dyDescent="0.25">
      <c r="A1034">
        <v>2006</v>
      </c>
      <c r="B1034">
        <v>164</v>
      </c>
      <c r="C1034">
        <v>900</v>
      </c>
      <c r="D1034" s="7">
        <v>575.70000000000005</v>
      </c>
      <c r="E1034" s="7">
        <v>368.3</v>
      </c>
      <c r="F1034" s="7">
        <v>14.49</v>
      </c>
      <c r="G1034" s="7">
        <v>14.56</v>
      </c>
      <c r="H1034" s="7">
        <f>AVERAGE(G1034:G1057)</f>
        <v>12.981083333333332</v>
      </c>
      <c r="I1034" s="7">
        <f>MIN(G1034:G1057)</f>
        <v>5.1890000000000001</v>
      </c>
      <c r="J1034" s="7">
        <f>MAX(G1034:G1057)</f>
        <v>16.97</v>
      </c>
      <c r="K1034" s="7">
        <v>2.9729999999999999</v>
      </c>
      <c r="L1034" s="7">
        <v>283.5</v>
      </c>
      <c r="M1034" s="7">
        <v>0</v>
      </c>
      <c r="N1034" s="7">
        <f>SUM(M1034:M1057)</f>
        <v>0</v>
      </c>
      <c r="O1034">
        <v>743</v>
      </c>
      <c r="P1034">
        <v>221.2</v>
      </c>
      <c r="Q1034">
        <v>16.61</v>
      </c>
      <c r="S1034">
        <v>16.61</v>
      </c>
      <c r="T1034">
        <v>0</v>
      </c>
      <c r="U1034">
        <v>99.3</v>
      </c>
      <c r="V1034">
        <v>553.4</v>
      </c>
      <c r="W1034">
        <v>22</v>
      </c>
      <c r="Y1034">
        <v>14.63</v>
      </c>
    </row>
    <row r="1035" spans="1:25" x14ac:dyDescent="0.25">
      <c r="A1035">
        <v>2006</v>
      </c>
      <c r="B1035">
        <v>164</v>
      </c>
      <c r="C1035">
        <v>1000</v>
      </c>
      <c r="D1035" s="7">
        <v>551.5</v>
      </c>
      <c r="E1035" s="7">
        <v>338.3</v>
      </c>
      <c r="F1035" s="7">
        <v>15.28</v>
      </c>
      <c r="G1035" s="7">
        <v>15.18</v>
      </c>
      <c r="H1035" s="7"/>
      <c r="I1035" s="7"/>
      <c r="J1035" s="7"/>
      <c r="K1035" s="7">
        <v>2.5739999999999998</v>
      </c>
      <c r="L1035" s="7">
        <v>285.7</v>
      </c>
      <c r="M1035" s="7">
        <v>0</v>
      </c>
      <c r="N1035" s="7"/>
      <c r="O1035">
        <v>704</v>
      </c>
      <c r="P1035">
        <v>197.3</v>
      </c>
      <c r="Q1035">
        <v>16.84</v>
      </c>
      <c r="S1035">
        <v>16.59</v>
      </c>
      <c r="T1035">
        <v>0</v>
      </c>
      <c r="U1035">
        <v>101</v>
      </c>
      <c r="V1035">
        <v>551.70000000000005</v>
      </c>
      <c r="W1035">
        <v>21.92</v>
      </c>
      <c r="Y1035">
        <v>14.49</v>
      </c>
    </row>
    <row r="1036" spans="1:25" x14ac:dyDescent="0.25">
      <c r="A1036">
        <v>2006</v>
      </c>
      <c r="B1036">
        <v>164</v>
      </c>
      <c r="C1036">
        <v>1100</v>
      </c>
      <c r="D1036" s="7">
        <v>631</v>
      </c>
      <c r="E1036" s="7">
        <v>381.6</v>
      </c>
      <c r="F1036" s="7">
        <v>15.81</v>
      </c>
      <c r="G1036" s="7">
        <v>15.76</v>
      </c>
      <c r="H1036" s="7"/>
      <c r="I1036" s="7"/>
      <c r="J1036" s="7"/>
      <c r="K1036" s="7">
        <v>2.6339999999999999</v>
      </c>
      <c r="L1036" s="7">
        <v>317</v>
      </c>
      <c r="M1036" s="7">
        <v>0</v>
      </c>
      <c r="N1036" s="7"/>
      <c r="O1036">
        <v>806</v>
      </c>
      <c r="P1036">
        <v>230.1</v>
      </c>
      <c r="Q1036">
        <v>17.11</v>
      </c>
      <c r="S1036">
        <v>16.64</v>
      </c>
      <c r="T1036">
        <v>0</v>
      </c>
      <c r="U1036">
        <v>100.6</v>
      </c>
      <c r="V1036">
        <v>550.20000000000005</v>
      </c>
      <c r="W1036">
        <v>21.85</v>
      </c>
      <c r="Y1036">
        <v>14.4</v>
      </c>
    </row>
    <row r="1037" spans="1:25" x14ac:dyDescent="0.25">
      <c r="A1037">
        <v>2006</v>
      </c>
      <c r="B1037">
        <v>164</v>
      </c>
      <c r="C1037">
        <v>1200</v>
      </c>
      <c r="D1037" s="7">
        <v>532.4</v>
      </c>
      <c r="E1037" s="7">
        <v>304.89999999999998</v>
      </c>
      <c r="F1037" s="7">
        <v>15.77</v>
      </c>
      <c r="G1037" s="7">
        <v>15.7</v>
      </c>
      <c r="H1037" s="7"/>
      <c r="I1037" s="7"/>
      <c r="J1037" s="7"/>
      <c r="K1037" s="7">
        <v>2.536</v>
      </c>
      <c r="L1037" s="7">
        <v>0</v>
      </c>
      <c r="M1037" s="7">
        <v>0</v>
      </c>
      <c r="N1037" s="7"/>
      <c r="O1037">
        <v>682.6</v>
      </c>
      <c r="P1037">
        <v>203.1</v>
      </c>
      <c r="Q1037">
        <v>17.350000000000001</v>
      </c>
      <c r="S1037">
        <v>16.78</v>
      </c>
      <c r="T1037">
        <v>0</v>
      </c>
      <c r="U1037">
        <v>100.8</v>
      </c>
      <c r="V1037">
        <v>549.5</v>
      </c>
      <c r="W1037">
        <v>21.82</v>
      </c>
      <c r="Y1037">
        <v>14.22</v>
      </c>
    </row>
    <row r="1038" spans="1:25" x14ac:dyDescent="0.25">
      <c r="A1038">
        <v>2006</v>
      </c>
      <c r="B1038">
        <v>164</v>
      </c>
      <c r="C1038">
        <v>1300</v>
      </c>
      <c r="D1038" s="7">
        <v>469.4</v>
      </c>
      <c r="E1038" s="7">
        <v>265.60000000000002</v>
      </c>
      <c r="F1038" s="7">
        <v>16.18</v>
      </c>
      <c r="G1038" s="7">
        <v>16.03</v>
      </c>
      <c r="H1038" s="7"/>
      <c r="I1038" s="7"/>
      <c r="J1038" s="7"/>
      <c r="K1038" s="7">
        <v>2.032</v>
      </c>
      <c r="L1038" s="7">
        <v>0</v>
      </c>
      <c r="M1038" s="7">
        <v>0</v>
      </c>
      <c r="N1038" s="7"/>
      <c r="O1038">
        <v>605.79999999999995</v>
      </c>
      <c r="P1038">
        <v>182.2</v>
      </c>
      <c r="Q1038">
        <v>17.55</v>
      </c>
      <c r="S1038">
        <v>16.96</v>
      </c>
      <c r="T1038">
        <v>0</v>
      </c>
      <c r="U1038">
        <v>101.4</v>
      </c>
      <c r="V1038">
        <v>547.29999999999995</v>
      </c>
      <c r="W1038">
        <v>21.72</v>
      </c>
      <c r="Y1038">
        <v>14.15</v>
      </c>
    </row>
    <row r="1039" spans="1:25" x14ac:dyDescent="0.25">
      <c r="A1039">
        <v>2006</v>
      </c>
      <c r="B1039">
        <v>164</v>
      </c>
      <c r="C1039">
        <v>1400</v>
      </c>
      <c r="D1039" s="7">
        <v>483.4</v>
      </c>
      <c r="E1039" s="7">
        <v>276.89999999999998</v>
      </c>
      <c r="F1039" s="7">
        <v>16.899999999999999</v>
      </c>
      <c r="G1039" s="7">
        <v>16.71</v>
      </c>
      <c r="H1039" s="7"/>
      <c r="I1039" s="7"/>
      <c r="J1039" s="7"/>
      <c r="K1039" s="7">
        <v>1.839</v>
      </c>
      <c r="L1039" s="7">
        <v>0</v>
      </c>
      <c r="M1039" s="7">
        <v>0</v>
      </c>
      <c r="N1039" s="7"/>
      <c r="O1039">
        <v>618.5</v>
      </c>
      <c r="P1039">
        <v>184.5</v>
      </c>
      <c r="Q1039">
        <v>17.760000000000002</v>
      </c>
      <c r="S1039">
        <v>17.190000000000001</v>
      </c>
      <c r="T1039">
        <v>0</v>
      </c>
      <c r="U1039">
        <v>101.9</v>
      </c>
      <c r="V1039">
        <v>545.5</v>
      </c>
      <c r="W1039">
        <v>21.64</v>
      </c>
      <c r="Y1039">
        <v>14.17</v>
      </c>
    </row>
    <row r="1040" spans="1:25" x14ac:dyDescent="0.25">
      <c r="A1040">
        <v>2006</v>
      </c>
      <c r="B1040">
        <v>164</v>
      </c>
      <c r="C1040">
        <v>1500</v>
      </c>
      <c r="D1040" s="7">
        <v>439.1</v>
      </c>
      <c r="E1040" s="7">
        <v>240.3</v>
      </c>
      <c r="F1040" s="7">
        <v>16.89</v>
      </c>
      <c r="G1040" s="7">
        <v>16.760000000000002</v>
      </c>
      <c r="H1040" s="7"/>
      <c r="I1040" s="7"/>
      <c r="J1040" s="7"/>
      <c r="K1040" s="7">
        <v>1.962</v>
      </c>
      <c r="L1040" s="7">
        <v>0</v>
      </c>
      <c r="M1040" s="7">
        <v>0</v>
      </c>
      <c r="N1040" s="7"/>
      <c r="O1040">
        <v>543.9</v>
      </c>
      <c r="P1040">
        <v>162.80000000000001</v>
      </c>
      <c r="Q1040">
        <v>17.940000000000001</v>
      </c>
      <c r="S1040">
        <v>17.350000000000001</v>
      </c>
      <c r="T1040">
        <v>0</v>
      </c>
      <c r="U1040">
        <v>101.3</v>
      </c>
      <c r="V1040">
        <v>544.4</v>
      </c>
      <c r="W1040">
        <v>21.59</v>
      </c>
      <c r="Y1040">
        <v>14.11</v>
      </c>
    </row>
    <row r="1041" spans="1:25" x14ac:dyDescent="0.25">
      <c r="A1041">
        <v>2006</v>
      </c>
      <c r="B1041">
        <v>164</v>
      </c>
      <c r="C1041">
        <v>1600</v>
      </c>
      <c r="D1041" s="7">
        <v>416.9</v>
      </c>
      <c r="E1041" s="7">
        <v>224.7</v>
      </c>
      <c r="F1041" s="7">
        <v>17.079999999999998</v>
      </c>
      <c r="G1041" s="7">
        <v>16.97</v>
      </c>
      <c r="H1041" s="7"/>
      <c r="I1041" s="7"/>
      <c r="J1041" s="7"/>
      <c r="K1041" s="7">
        <v>2.3730000000000002</v>
      </c>
      <c r="L1041" s="7">
        <v>0</v>
      </c>
      <c r="M1041" s="7">
        <v>0</v>
      </c>
      <c r="N1041" s="7"/>
      <c r="O1041">
        <v>514.6</v>
      </c>
      <c r="P1041">
        <v>161.1</v>
      </c>
      <c r="Q1041">
        <v>18.07</v>
      </c>
      <c r="S1041">
        <v>17.5</v>
      </c>
      <c r="T1041">
        <v>0</v>
      </c>
      <c r="U1041">
        <v>101.2</v>
      </c>
      <c r="V1041">
        <v>542.5</v>
      </c>
      <c r="W1041">
        <v>21.5</v>
      </c>
      <c r="Y1041">
        <v>14.08</v>
      </c>
    </row>
    <row r="1042" spans="1:25" x14ac:dyDescent="0.25">
      <c r="A1042">
        <v>2006</v>
      </c>
      <c r="B1042">
        <v>164</v>
      </c>
      <c r="C1042">
        <v>1700</v>
      </c>
      <c r="D1042" s="7">
        <v>434.5</v>
      </c>
      <c r="E1042" s="7">
        <v>238.6</v>
      </c>
      <c r="F1042" s="7">
        <v>17.14</v>
      </c>
      <c r="G1042" s="7">
        <v>16.940000000000001</v>
      </c>
      <c r="H1042" s="7"/>
      <c r="I1042" s="7"/>
      <c r="J1042" s="7"/>
      <c r="K1042" s="7">
        <v>2.242</v>
      </c>
      <c r="L1042" s="7">
        <v>0</v>
      </c>
      <c r="M1042" s="7">
        <v>0</v>
      </c>
      <c r="N1042" s="7"/>
      <c r="O1042">
        <v>536.70000000000005</v>
      </c>
      <c r="P1042">
        <v>200.5</v>
      </c>
      <c r="Q1042">
        <v>18.21</v>
      </c>
      <c r="S1042">
        <v>17.66</v>
      </c>
      <c r="T1042">
        <v>0</v>
      </c>
      <c r="U1042">
        <v>102</v>
      </c>
      <c r="V1042">
        <v>540</v>
      </c>
      <c r="W1042">
        <v>21.39</v>
      </c>
      <c r="Y1042">
        <v>14.03</v>
      </c>
    </row>
    <row r="1043" spans="1:25" x14ac:dyDescent="0.25">
      <c r="A1043">
        <v>2006</v>
      </c>
      <c r="B1043">
        <v>164</v>
      </c>
      <c r="C1043">
        <v>1800</v>
      </c>
      <c r="D1043" s="7">
        <v>208.7</v>
      </c>
      <c r="E1043" s="7">
        <v>90.5</v>
      </c>
      <c r="F1043" s="7">
        <v>16.12</v>
      </c>
      <c r="G1043" s="7">
        <v>15.71</v>
      </c>
      <c r="H1043" s="7"/>
      <c r="I1043" s="7"/>
      <c r="J1043" s="7"/>
      <c r="K1043" s="7">
        <v>1.5569999999999999</v>
      </c>
      <c r="L1043" s="7">
        <v>0</v>
      </c>
      <c r="M1043" s="7">
        <v>0</v>
      </c>
      <c r="N1043" s="7"/>
      <c r="O1043">
        <v>258.89999999999998</v>
      </c>
      <c r="P1043">
        <v>91</v>
      </c>
      <c r="Q1043">
        <v>18.25</v>
      </c>
      <c r="S1043">
        <v>17.739999999999998</v>
      </c>
      <c r="T1043">
        <v>0</v>
      </c>
      <c r="U1043">
        <v>104.2</v>
      </c>
      <c r="V1043">
        <v>539</v>
      </c>
      <c r="W1043">
        <v>21.34</v>
      </c>
      <c r="Y1043">
        <v>13.8</v>
      </c>
    </row>
    <row r="1044" spans="1:25" x14ac:dyDescent="0.25">
      <c r="A1044">
        <v>2006</v>
      </c>
      <c r="B1044">
        <v>164</v>
      </c>
      <c r="C1044">
        <v>1900</v>
      </c>
      <c r="D1044" s="7">
        <v>119.8</v>
      </c>
      <c r="E1044" s="7">
        <v>36.619999999999997</v>
      </c>
      <c r="F1044" s="7">
        <v>14.95</v>
      </c>
      <c r="G1044" s="7">
        <v>14.69</v>
      </c>
      <c r="H1044" s="7"/>
      <c r="I1044" s="7"/>
      <c r="J1044" s="7"/>
      <c r="K1044" s="7">
        <v>1.978</v>
      </c>
      <c r="L1044" s="7">
        <v>1.9430000000000001</v>
      </c>
      <c r="M1044" s="7">
        <v>0</v>
      </c>
      <c r="N1044" s="7"/>
      <c r="O1044">
        <v>142.1</v>
      </c>
      <c r="P1044">
        <v>41.32</v>
      </c>
      <c r="Q1044">
        <v>18.170000000000002</v>
      </c>
      <c r="S1044">
        <v>17.78</v>
      </c>
      <c r="T1044">
        <v>0</v>
      </c>
      <c r="U1044">
        <v>102.7</v>
      </c>
      <c r="V1044">
        <v>537.70000000000005</v>
      </c>
      <c r="W1044">
        <v>21.28</v>
      </c>
      <c r="Y1044">
        <v>13.7</v>
      </c>
    </row>
    <row r="1045" spans="1:25" x14ac:dyDescent="0.25">
      <c r="A1045">
        <v>2006</v>
      </c>
      <c r="B1045">
        <v>164</v>
      </c>
      <c r="C1045">
        <v>2000</v>
      </c>
      <c r="D1045" s="7">
        <v>27.53</v>
      </c>
      <c r="E1045" s="7">
        <v>-12.36</v>
      </c>
      <c r="F1045" s="7">
        <v>13.64</v>
      </c>
      <c r="G1045" s="7">
        <v>13.5</v>
      </c>
      <c r="H1045" s="7"/>
      <c r="I1045" s="7"/>
      <c r="J1045" s="7"/>
      <c r="K1045" s="7">
        <v>1.7709999999999999</v>
      </c>
      <c r="L1045" s="7">
        <v>93.5</v>
      </c>
      <c r="M1045" s="7">
        <v>0</v>
      </c>
      <c r="N1045" s="7"/>
      <c r="O1045">
        <v>26.72</v>
      </c>
      <c r="P1045">
        <v>0.92500000000000004</v>
      </c>
      <c r="Q1045">
        <v>18.010000000000002</v>
      </c>
      <c r="S1045">
        <v>17.760000000000002</v>
      </c>
      <c r="T1045">
        <v>0</v>
      </c>
      <c r="U1045">
        <v>101.5</v>
      </c>
      <c r="V1045">
        <v>537.6</v>
      </c>
      <c r="W1045">
        <v>21.28</v>
      </c>
      <c r="Y1045">
        <v>13.54</v>
      </c>
    </row>
    <row r="1046" spans="1:25" x14ac:dyDescent="0.25">
      <c r="A1046">
        <v>2006</v>
      </c>
      <c r="B1046">
        <v>164</v>
      </c>
      <c r="C1046">
        <v>2100</v>
      </c>
      <c r="D1046" s="7">
        <v>5.32</v>
      </c>
      <c r="E1046" s="7">
        <v>-23.72</v>
      </c>
      <c r="F1046" s="7">
        <v>12.73</v>
      </c>
      <c r="G1046" s="7">
        <v>12.6</v>
      </c>
      <c r="H1046" s="7"/>
      <c r="I1046" s="7"/>
      <c r="J1046" s="7"/>
      <c r="K1046" s="7">
        <v>1.3029999999999999</v>
      </c>
      <c r="L1046" s="7">
        <v>94.7</v>
      </c>
      <c r="M1046" s="7">
        <v>0</v>
      </c>
      <c r="N1046" s="7"/>
      <c r="O1046">
        <v>-2.7890000000000001</v>
      </c>
      <c r="P1046">
        <v>-8.57</v>
      </c>
      <c r="Q1046">
        <v>17.82</v>
      </c>
      <c r="S1046">
        <v>17.71</v>
      </c>
      <c r="T1046">
        <v>0</v>
      </c>
      <c r="U1046">
        <v>101.5</v>
      </c>
      <c r="V1046">
        <v>539</v>
      </c>
      <c r="W1046">
        <v>21.34</v>
      </c>
      <c r="Y1046">
        <v>13.42</v>
      </c>
    </row>
    <row r="1047" spans="1:25" x14ac:dyDescent="0.25">
      <c r="A1047">
        <v>2006</v>
      </c>
      <c r="B1047">
        <v>164</v>
      </c>
      <c r="C1047">
        <v>2200</v>
      </c>
      <c r="D1047" s="7">
        <v>-1.083</v>
      </c>
      <c r="E1047" s="7">
        <v>-26.76</v>
      </c>
      <c r="F1047" s="7">
        <v>12.26</v>
      </c>
      <c r="G1047" s="7">
        <v>12.23</v>
      </c>
      <c r="H1047" s="7"/>
      <c r="I1047" s="7"/>
      <c r="J1047" s="7"/>
      <c r="K1047" s="7">
        <v>0.57399999999999995</v>
      </c>
      <c r="L1047" s="7">
        <v>97.8</v>
      </c>
      <c r="M1047" s="7">
        <v>0</v>
      </c>
      <c r="N1047" s="7"/>
      <c r="O1047">
        <v>-11.82</v>
      </c>
      <c r="P1047">
        <v>-11.44</v>
      </c>
      <c r="Q1047">
        <v>17.600000000000001</v>
      </c>
      <c r="S1047">
        <v>17.62</v>
      </c>
      <c r="T1047">
        <v>0</v>
      </c>
      <c r="U1047">
        <v>100.4</v>
      </c>
      <c r="V1047">
        <v>541.1</v>
      </c>
      <c r="W1047">
        <v>21.44</v>
      </c>
      <c r="Y1047">
        <v>13.32</v>
      </c>
    </row>
    <row r="1048" spans="1:25" x14ac:dyDescent="0.25">
      <c r="A1048">
        <v>2006</v>
      </c>
      <c r="B1048">
        <v>164</v>
      </c>
      <c r="C1048">
        <v>2300</v>
      </c>
      <c r="D1048" s="7">
        <v>-1.369</v>
      </c>
      <c r="E1048" s="7">
        <v>-25.42</v>
      </c>
      <c r="F1048" s="7">
        <v>12.12</v>
      </c>
      <c r="G1048" s="7">
        <v>11.96</v>
      </c>
      <c r="H1048" s="7"/>
      <c r="I1048" s="7"/>
      <c r="J1048" s="7"/>
      <c r="K1048" s="7">
        <v>0.29399999999999998</v>
      </c>
      <c r="L1048" s="7">
        <v>101.5</v>
      </c>
      <c r="M1048" s="7">
        <v>0</v>
      </c>
      <c r="N1048" s="7"/>
      <c r="O1048">
        <v>-12.17</v>
      </c>
      <c r="P1048">
        <v>-11.47</v>
      </c>
      <c r="Q1048">
        <v>17.41</v>
      </c>
      <c r="S1048">
        <v>17.52</v>
      </c>
      <c r="T1048">
        <v>0</v>
      </c>
      <c r="U1048">
        <v>101.8</v>
      </c>
      <c r="V1048">
        <v>544.20000000000005</v>
      </c>
      <c r="W1048">
        <v>21.58</v>
      </c>
      <c r="Y1048">
        <v>13.25</v>
      </c>
    </row>
    <row r="1049" spans="1:25" x14ac:dyDescent="0.25">
      <c r="A1049">
        <v>2006</v>
      </c>
      <c r="B1049">
        <v>164</v>
      </c>
      <c r="C1049">
        <v>2400</v>
      </c>
      <c r="D1049" s="7">
        <v>-2.15</v>
      </c>
      <c r="E1049" s="7">
        <v>-34.17</v>
      </c>
      <c r="F1049" s="7">
        <v>11.13</v>
      </c>
      <c r="G1049" s="7">
        <v>10.98</v>
      </c>
      <c r="H1049" s="7"/>
      <c r="I1049" s="7"/>
      <c r="J1049" s="7"/>
      <c r="K1049" s="7">
        <v>0.14299999999999999</v>
      </c>
      <c r="L1049" s="7">
        <v>128.19999999999999</v>
      </c>
      <c r="M1049" s="7">
        <v>0</v>
      </c>
      <c r="N1049" s="7"/>
      <c r="O1049">
        <v>-12.17</v>
      </c>
      <c r="P1049">
        <v>-11.47</v>
      </c>
      <c r="Q1049">
        <v>17.21</v>
      </c>
      <c r="S1049">
        <v>17.37</v>
      </c>
      <c r="T1049">
        <v>0</v>
      </c>
      <c r="U1049">
        <v>101.8</v>
      </c>
      <c r="V1049">
        <v>542.4</v>
      </c>
      <c r="W1049">
        <v>21.5</v>
      </c>
      <c r="Y1049">
        <v>13.18</v>
      </c>
    </row>
    <row r="1050" spans="1:25" x14ac:dyDescent="0.25">
      <c r="A1050">
        <v>2006</v>
      </c>
      <c r="B1050">
        <v>165</v>
      </c>
      <c r="C1050">
        <v>100</v>
      </c>
      <c r="D1050" s="7">
        <v>-1.42</v>
      </c>
      <c r="E1050" s="7">
        <v>-26.68</v>
      </c>
      <c r="F1050" s="7">
        <v>10.57</v>
      </c>
      <c r="G1050" s="7">
        <v>10.56</v>
      </c>
      <c r="H1050" s="7"/>
      <c r="I1050" s="7"/>
      <c r="J1050" s="7"/>
      <c r="K1050" s="7">
        <v>0.26400000000000001</v>
      </c>
      <c r="L1050" s="7">
        <v>243.5</v>
      </c>
      <c r="M1050" s="7">
        <v>0</v>
      </c>
      <c r="N1050" s="7"/>
      <c r="O1050">
        <v>-12.17</v>
      </c>
      <c r="P1050">
        <v>-11.47</v>
      </c>
      <c r="Q1050">
        <v>17.04</v>
      </c>
      <c r="S1050">
        <v>17.260000000000002</v>
      </c>
      <c r="T1050">
        <v>0</v>
      </c>
      <c r="U1050">
        <v>100.2</v>
      </c>
      <c r="V1050">
        <v>538</v>
      </c>
      <c r="W1050">
        <v>21.3</v>
      </c>
      <c r="Y1050">
        <v>13.12</v>
      </c>
    </row>
    <row r="1051" spans="1:25" x14ac:dyDescent="0.25">
      <c r="A1051">
        <v>2006</v>
      </c>
      <c r="B1051">
        <v>165</v>
      </c>
      <c r="C1051">
        <v>200</v>
      </c>
      <c r="D1051" s="7">
        <v>-1.0780000000000001</v>
      </c>
      <c r="E1051" s="7">
        <v>-24.88</v>
      </c>
      <c r="F1051" s="7">
        <v>10.83</v>
      </c>
      <c r="G1051" s="7">
        <v>10.92</v>
      </c>
      <c r="H1051" s="7"/>
      <c r="I1051" s="7"/>
      <c r="J1051" s="7"/>
      <c r="K1051" s="7">
        <v>0.47399999999999998</v>
      </c>
      <c r="L1051" s="7">
        <v>286.5</v>
      </c>
      <c r="M1051" s="7">
        <v>0</v>
      </c>
      <c r="N1051" s="7"/>
      <c r="O1051">
        <v>-12.17</v>
      </c>
      <c r="P1051">
        <v>-11.47</v>
      </c>
      <c r="Q1051">
        <v>16.84</v>
      </c>
      <c r="S1051">
        <v>17.11</v>
      </c>
      <c r="T1051">
        <v>0</v>
      </c>
      <c r="U1051">
        <v>98.9</v>
      </c>
      <c r="V1051">
        <v>534.79999999999995</v>
      </c>
      <c r="W1051">
        <v>21.15</v>
      </c>
      <c r="Y1051">
        <v>13.06</v>
      </c>
    </row>
    <row r="1052" spans="1:25" x14ac:dyDescent="0.25">
      <c r="A1052">
        <v>2006</v>
      </c>
      <c r="B1052">
        <v>165</v>
      </c>
      <c r="C1052">
        <v>300</v>
      </c>
      <c r="D1052" s="7">
        <v>-3.9350000000000001</v>
      </c>
      <c r="E1052" s="7">
        <v>-59</v>
      </c>
      <c r="F1052" s="7">
        <v>8.75</v>
      </c>
      <c r="G1052" s="7">
        <v>8.58</v>
      </c>
      <c r="H1052" s="7"/>
      <c r="I1052" s="7"/>
      <c r="J1052" s="7"/>
      <c r="K1052" s="7">
        <v>0.30399999999999999</v>
      </c>
      <c r="L1052" s="7">
        <v>299.7</v>
      </c>
      <c r="M1052" s="7">
        <v>0</v>
      </c>
      <c r="N1052" s="7"/>
      <c r="O1052">
        <v>-12.17</v>
      </c>
      <c r="P1052">
        <v>-11.48</v>
      </c>
      <c r="Q1052">
        <v>16.64</v>
      </c>
      <c r="S1052">
        <v>16.940000000000001</v>
      </c>
      <c r="T1052">
        <v>0</v>
      </c>
      <c r="U1052">
        <v>102.3</v>
      </c>
      <c r="V1052">
        <v>539.4</v>
      </c>
      <c r="W1052">
        <v>21.36</v>
      </c>
      <c r="Y1052">
        <v>13</v>
      </c>
    </row>
    <row r="1053" spans="1:25" x14ac:dyDescent="0.25">
      <c r="A1053">
        <v>2006</v>
      </c>
      <c r="B1053">
        <v>165</v>
      </c>
      <c r="C1053">
        <v>400</v>
      </c>
      <c r="D1053" s="7">
        <v>-1.272</v>
      </c>
      <c r="E1053" s="7">
        <v>-42.74</v>
      </c>
      <c r="F1053" s="7">
        <v>6.5709999999999997</v>
      </c>
      <c r="G1053" s="7">
        <v>6.3170000000000002</v>
      </c>
      <c r="H1053" s="7"/>
      <c r="I1053" s="7"/>
      <c r="J1053" s="7"/>
      <c r="K1053" s="7">
        <v>0.21299999999999999</v>
      </c>
      <c r="L1053" s="7">
        <v>194.7</v>
      </c>
      <c r="M1053" s="7">
        <v>0</v>
      </c>
      <c r="N1053" s="7"/>
      <c r="O1053">
        <v>-9.19</v>
      </c>
      <c r="P1053">
        <v>-10.35</v>
      </c>
      <c r="Q1053">
        <v>16.440000000000001</v>
      </c>
      <c r="S1053">
        <v>16.8</v>
      </c>
      <c r="T1053">
        <v>0</v>
      </c>
      <c r="U1053">
        <v>103.6</v>
      </c>
      <c r="V1053">
        <v>538.5</v>
      </c>
      <c r="W1053">
        <v>21.32</v>
      </c>
      <c r="Y1053">
        <v>12.96</v>
      </c>
    </row>
    <row r="1054" spans="1:25" x14ac:dyDescent="0.25">
      <c r="A1054">
        <v>2006</v>
      </c>
      <c r="B1054">
        <v>165</v>
      </c>
      <c r="C1054">
        <v>500</v>
      </c>
      <c r="D1054" s="7">
        <v>21.21</v>
      </c>
      <c r="E1054" s="7">
        <v>-24.2</v>
      </c>
      <c r="F1054" s="7">
        <v>5.3529999999999998</v>
      </c>
      <c r="G1054" s="7">
        <v>5.1890000000000001</v>
      </c>
      <c r="H1054" s="7"/>
      <c r="I1054" s="7"/>
      <c r="J1054" s="7"/>
      <c r="K1054" s="7">
        <v>0.107</v>
      </c>
      <c r="L1054" s="7">
        <v>287.7</v>
      </c>
      <c r="M1054" s="7">
        <v>0</v>
      </c>
      <c r="N1054" s="7"/>
      <c r="O1054">
        <v>10.95</v>
      </c>
      <c r="P1054">
        <v>-1.7689999999999999</v>
      </c>
      <c r="Q1054">
        <v>16.149999999999999</v>
      </c>
      <c r="S1054">
        <v>16.62</v>
      </c>
      <c r="T1054">
        <v>0</v>
      </c>
      <c r="U1054">
        <v>102.4</v>
      </c>
      <c r="V1054">
        <v>537.79999999999995</v>
      </c>
      <c r="W1054">
        <v>21.29</v>
      </c>
      <c r="Y1054">
        <v>12.92</v>
      </c>
    </row>
    <row r="1055" spans="1:25" x14ac:dyDescent="0.25">
      <c r="A1055">
        <v>2006</v>
      </c>
      <c r="B1055">
        <v>165</v>
      </c>
      <c r="C1055">
        <v>600</v>
      </c>
      <c r="D1055" s="7">
        <v>132.9</v>
      </c>
      <c r="E1055" s="7">
        <v>59.91</v>
      </c>
      <c r="F1055" s="7">
        <v>8.74</v>
      </c>
      <c r="G1055" s="7">
        <v>8.9499999999999993</v>
      </c>
      <c r="H1055" s="7"/>
      <c r="I1055" s="7"/>
      <c r="J1055" s="7"/>
      <c r="K1055" s="7">
        <v>0.92900000000000005</v>
      </c>
      <c r="L1055" s="7">
        <v>319.3</v>
      </c>
      <c r="M1055" s="7">
        <v>0</v>
      </c>
      <c r="N1055" s="7"/>
      <c r="O1055">
        <v>158.6</v>
      </c>
      <c r="P1055">
        <v>67.790000000000006</v>
      </c>
      <c r="Q1055">
        <v>15.92</v>
      </c>
      <c r="S1055">
        <v>16.5</v>
      </c>
      <c r="T1055">
        <v>0</v>
      </c>
      <c r="U1055">
        <v>97.5</v>
      </c>
      <c r="V1055">
        <v>534.6</v>
      </c>
      <c r="W1055">
        <v>21.14</v>
      </c>
      <c r="Y1055">
        <v>13.13</v>
      </c>
    </row>
    <row r="1056" spans="1:25" x14ac:dyDescent="0.25">
      <c r="A1056">
        <v>2006</v>
      </c>
      <c r="B1056">
        <v>165</v>
      </c>
      <c r="C1056">
        <v>700</v>
      </c>
      <c r="D1056" s="7">
        <v>264</v>
      </c>
      <c r="E1056" s="7">
        <v>183.2</v>
      </c>
      <c r="F1056" s="7">
        <v>11.37</v>
      </c>
      <c r="G1056" s="7">
        <v>11.73</v>
      </c>
      <c r="H1056" s="7"/>
      <c r="I1056" s="7"/>
      <c r="J1056" s="7"/>
      <c r="K1056" s="7">
        <v>1.986</v>
      </c>
      <c r="L1056" s="7">
        <v>347.1</v>
      </c>
      <c r="M1056" s="7">
        <v>0</v>
      </c>
      <c r="N1056" s="7"/>
      <c r="O1056">
        <v>385.1</v>
      </c>
      <c r="P1056">
        <v>153</v>
      </c>
      <c r="Q1056">
        <v>15.81</v>
      </c>
      <c r="S1056">
        <v>16.43</v>
      </c>
      <c r="T1056">
        <v>0</v>
      </c>
      <c r="U1056">
        <v>95.8</v>
      </c>
      <c r="V1056">
        <v>532.9</v>
      </c>
      <c r="W1056">
        <v>21.06</v>
      </c>
      <c r="Y1056">
        <v>13.87</v>
      </c>
    </row>
    <row r="1057" spans="1:25" x14ac:dyDescent="0.25">
      <c r="A1057">
        <v>2006</v>
      </c>
      <c r="B1057">
        <v>165</v>
      </c>
      <c r="C1057">
        <v>800</v>
      </c>
      <c r="D1057" s="7">
        <v>387.7</v>
      </c>
      <c r="E1057" s="7">
        <v>261.5</v>
      </c>
      <c r="F1057" s="7">
        <v>13.01</v>
      </c>
      <c r="G1057" s="7">
        <v>13.02</v>
      </c>
      <c r="H1057" s="7"/>
      <c r="I1057" s="7"/>
      <c r="J1057" s="7"/>
      <c r="K1057" s="7">
        <v>2.23</v>
      </c>
      <c r="L1057" s="7">
        <v>0</v>
      </c>
      <c r="M1057" s="7">
        <v>0</v>
      </c>
      <c r="N1057" s="7"/>
      <c r="O1057">
        <v>527.70000000000005</v>
      </c>
      <c r="P1057">
        <v>178.6</v>
      </c>
      <c r="Q1057">
        <v>15.84</v>
      </c>
      <c r="S1057">
        <v>16.28</v>
      </c>
      <c r="T1057">
        <v>0</v>
      </c>
      <c r="U1057">
        <v>99.8</v>
      </c>
      <c r="V1057">
        <v>532.4</v>
      </c>
      <c r="W1057">
        <v>21.04</v>
      </c>
      <c r="Y1057">
        <v>14.28</v>
      </c>
    </row>
    <row r="1058" spans="1:25" x14ac:dyDescent="0.25">
      <c r="A1058">
        <v>2006</v>
      </c>
      <c r="B1058">
        <v>165</v>
      </c>
      <c r="C1058">
        <v>900</v>
      </c>
      <c r="D1058" s="7">
        <v>407.3</v>
      </c>
      <c r="E1058" s="7">
        <v>259.3</v>
      </c>
      <c r="F1058" s="7">
        <v>13.88</v>
      </c>
      <c r="G1058" s="7">
        <v>13.85</v>
      </c>
      <c r="H1058" s="7">
        <f>AVERAGE(G1058:G1081)</f>
        <v>11.989208333333332</v>
      </c>
      <c r="I1058" s="7">
        <f>MIN(G1058:G1081)</f>
        <v>3.492</v>
      </c>
      <c r="J1058" s="7">
        <f>MAX(G1058:G1081)</f>
        <v>17.68</v>
      </c>
      <c r="K1058" s="7">
        <v>1.919</v>
      </c>
      <c r="L1058" s="7">
        <v>0</v>
      </c>
      <c r="M1058" s="7">
        <v>0</v>
      </c>
      <c r="N1058" s="7">
        <f>SUM(M1058:M1081)</f>
        <v>0</v>
      </c>
      <c r="O1058">
        <v>518.20000000000005</v>
      </c>
      <c r="P1058">
        <v>159.6</v>
      </c>
      <c r="Q1058">
        <v>16.03</v>
      </c>
      <c r="S1058">
        <v>16.2</v>
      </c>
      <c r="T1058">
        <v>0</v>
      </c>
      <c r="U1058">
        <v>100.3</v>
      </c>
      <c r="V1058">
        <v>531.1</v>
      </c>
      <c r="W1058">
        <v>20.98</v>
      </c>
      <c r="Y1058">
        <v>14.31</v>
      </c>
    </row>
    <row r="1059" spans="1:25" x14ac:dyDescent="0.25">
      <c r="A1059">
        <v>2006</v>
      </c>
      <c r="B1059">
        <v>165</v>
      </c>
      <c r="C1059">
        <v>1000</v>
      </c>
      <c r="D1059" s="7">
        <v>462.6</v>
      </c>
      <c r="E1059" s="7">
        <v>289.10000000000002</v>
      </c>
      <c r="F1059" s="7">
        <v>15.17</v>
      </c>
      <c r="G1059" s="7">
        <v>15.02</v>
      </c>
      <c r="H1059" s="7"/>
      <c r="I1059" s="7"/>
      <c r="J1059" s="7"/>
      <c r="K1059" s="7">
        <v>1.431</v>
      </c>
      <c r="L1059" s="7">
        <v>348.3</v>
      </c>
      <c r="M1059" s="7">
        <v>0</v>
      </c>
      <c r="N1059" s="7"/>
      <c r="O1059">
        <v>593.6</v>
      </c>
      <c r="P1059">
        <v>170.1</v>
      </c>
      <c r="Q1059">
        <v>16.3</v>
      </c>
      <c r="S1059">
        <v>16.23</v>
      </c>
      <c r="T1059">
        <v>0</v>
      </c>
      <c r="U1059">
        <v>101.6</v>
      </c>
      <c r="V1059">
        <v>530.5</v>
      </c>
      <c r="W1059">
        <v>20.95</v>
      </c>
      <c r="Y1059">
        <v>14.26</v>
      </c>
    </row>
    <row r="1060" spans="1:25" x14ac:dyDescent="0.25">
      <c r="A1060">
        <v>2006</v>
      </c>
      <c r="B1060">
        <v>165</v>
      </c>
      <c r="C1060">
        <v>1100</v>
      </c>
      <c r="D1060" s="7">
        <v>319.3</v>
      </c>
      <c r="E1060" s="7">
        <v>183.9</v>
      </c>
      <c r="F1060" s="7">
        <v>14.85</v>
      </c>
      <c r="G1060" s="7">
        <v>14.75</v>
      </c>
      <c r="H1060" s="7"/>
      <c r="I1060" s="7"/>
      <c r="J1060" s="7"/>
      <c r="K1060" s="7">
        <v>1.4870000000000001</v>
      </c>
      <c r="L1060" s="7">
        <v>350</v>
      </c>
      <c r="M1060" s="7">
        <v>0</v>
      </c>
      <c r="N1060" s="7"/>
      <c r="O1060">
        <v>411.1</v>
      </c>
      <c r="P1060">
        <v>125.4</v>
      </c>
      <c r="Q1060">
        <v>16.52</v>
      </c>
      <c r="S1060">
        <v>16.27</v>
      </c>
      <c r="T1060">
        <v>0</v>
      </c>
      <c r="U1060">
        <v>101.1</v>
      </c>
      <c r="V1060">
        <v>529.20000000000005</v>
      </c>
      <c r="W1060">
        <v>20.89</v>
      </c>
      <c r="Y1060">
        <v>14</v>
      </c>
    </row>
    <row r="1061" spans="1:25" x14ac:dyDescent="0.25">
      <c r="A1061">
        <v>2006</v>
      </c>
      <c r="B1061">
        <v>165</v>
      </c>
      <c r="C1061">
        <v>1200</v>
      </c>
      <c r="D1061" s="7">
        <v>409.8</v>
      </c>
      <c r="E1061" s="7">
        <v>249</v>
      </c>
      <c r="F1061" s="7">
        <v>15.79</v>
      </c>
      <c r="G1061" s="7">
        <v>15.6</v>
      </c>
      <c r="H1061" s="7"/>
      <c r="I1061" s="7"/>
      <c r="J1061" s="7"/>
      <c r="K1061" s="7">
        <v>1.0569999999999999</v>
      </c>
      <c r="L1061" s="7">
        <v>0</v>
      </c>
      <c r="M1061" s="7">
        <v>0</v>
      </c>
      <c r="N1061" s="7"/>
      <c r="O1061">
        <v>536.5</v>
      </c>
      <c r="P1061">
        <v>158.80000000000001</v>
      </c>
      <c r="Q1061">
        <v>16.71</v>
      </c>
      <c r="S1061">
        <v>16.399999999999999</v>
      </c>
      <c r="T1061">
        <v>0</v>
      </c>
      <c r="U1061">
        <v>102</v>
      </c>
      <c r="V1061">
        <v>526.79999999999995</v>
      </c>
      <c r="W1061">
        <v>20.78</v>
      </c>
      <c r="Y1061">
        <v>14.13</v>
      </c>
    </row>
    <row r="1062" spans="1:25" x14ac:dyDescent="0.25">
      <c r="A1062">
        <v>2006</v>
      </c>
      <c r="B1062">
        <v>165</v>
      </c>
      <c r="C1062">
        <v>1300</v>
      </c>
      <c r="D1062" s="7">
        <v>465.5</v>
      </c>
      <c r="E1062" s="7">
        <v>280.10000000000002</v>
      </c>
      <c r="F1062" s="7">
        <v>16.829999999999998</v>
      </c>
      <c r="G1062" s="7">
        <v>16.53</v>
      </c>
      <c r="H1062" s="7"/>
      <c r="I1062" s="7"/>
      <c r="J1062" s="7"/>
      <c r="K1062" s="7">
        <v>1.3009999999999999</v>
      </c>
      <c r="L1062" s="7">
        <v>332</v>
      </c>
      <c r="M1062" s="7">
        <v>0</v>
      </c>
      <c r="N1062" s="7"/>
      <c r="O1062">
        <v>604.79999999999995</v>
      </c>
      <c r="P1062">
        <v>174.6</v>
      </c>
      <c r="Q1062">
        <v>16.91</v>
      </c>
      <c r="S1062">
        <v>16.579999999999998</v>
      </c>
      <c r="T1062">
        <v>0</v>
      </c>
      <c r="U1062">
        <v>103</v>
      </c>
      <c r="V1062">
        <v>525.29999999999995</v>
      </c>
      <c r="W1062">
        <v>20.71</v>
      </c>
      <c r="Y1062">
        <v>14.14</v>
      </c>
    </row>
    <row r="1063" spans="1:25" x14ac:dyDescent="0.25">
      <c r="A1063">
        <v>2006</v>
      </c>
      <c r="B1063">
        <v>165</v>
      </c>
      <c r="C1063">
        <v>1400</v>
      </c>
      <c r="D1063" s="7">
        <v>413</v>
      </c>
      <c r="E1063" s="7">
        <v>236</v>
      </c>
      <c r="F1063" s="7">
        <v>16.77</v>
      </c>
      <c r="G1063" s="7">
        <v>16.579999999999998</v>
      </c>
      <c r="H1063" s="7"/>
      <c r="I1063" s="7"/>
      <c r="J1063" s="7"/>
      <c r="K1063" s="7">
        <v>1.45</v>
      </c>
      <c r="L1063" s="7">
        <v>315.89999999999998</v>
      </c>
      <c r="M1063" s="7">
        <v>0</v>
      </c>
      <c r="N1063" s="7"/>
      <c r="O1063">
        <v>521.9</v>
      </c>
      <c r="P1063">
        <v>153.69999999999999</v>
      </c>
      <c r="Q1063">
        <v>17.09</v>
      </c>
      <c r="S1063">
        <v>16.66</v>
      </c>
      <c r="T1063">
        <v>0</v>
      </c>
      <c r="U1063">
        <v>101.9</v>
      </c>
      <c r="V1063">
        <v>524</v>
      </c>
      <c r="W1063">
        <v>20.65</v>
      </c>
      <c r="Y1063">
        <v>14.07</v>
      </c>
    </row>
    <row r="1064" spans="1:25" x14ac:dyDescent="0.25">
      <c r="A1064">
        <v>2006</v>
      </c>
      <c r="B1064">
        <v>165</v>
      </c>
      <c r="C1064">
        <v>1500</v>
      </c>
      <c r="D1064" s="7">
        <v>407.7</v>
      </c>
      <c r="E1064" s="7">
        <v>230</v>
      </c>
      <c r="F1064" s="7">
        <v>17.920000000000002</v>
      </c>
      <c r="G1064" s="7">
        <v>17.600000000000001</v>
      </c>
      <c r="H1064" s="7"/>
      <c r="I1064" s="7"/>
      <c r="J1064" s="7"/>
      <c r="K1064" s="7">
        <v>0.92400000000000004</v>
      </c>
      <c r="L1064" s="7">
        <v>0</v>
      </c>
      <c r="M1064" s="7">
        <v>0</v>
      </c>
      <c r="N1064" s="7"/>
      <c r="O1064">
        <v>513.79999999999995</v>
      </c>
      <c r="P1064">
        <v>151.69999999999999</v>
      </c>
      <c r="Q1064">
        <v>17.29</v>
      </c>
      <c r="S1064">
        <v>16.84</v>
      </c>
      <c r="T1064">
        <v>0</v>
      </c>
      <c r="U1064">
        <v>103.1</v>
      </c>
      <c r="V1064">
        <v>521.29999999999995</v>
      </c>
      <c r="W1064">
        <v>20.53</v>
      </c>
      <c r="Y1064">
        <v>14.07</v>
      </c>
    </row>
    <row r="1065" spans="1:25" x14ac:dyDescent="0.25">
      <c r="A1065">
        <v>2006</v>
      </c>
      <c r="B1065">
        <v>165</v>
      </c>
      <c r="C1065">
        <v>1600</v>
      </c>
      <c r="D1065" s="7">
        <v>397.5</v>
      </c>
      <c r="E1065" s="7">
        <v>225.1</v>
      </c>
      <c r="F1065" s="7">
        <v>17.96</v>
      </c>
      <c r="G1065" s="7">
        <v>17.68</v>
      </c>
      <c r="H1065" s="7"/>
      <c r="I1065" s="7"/>
      <c r="J1065" s="7"/>
      <c r="K1065" s="7">
        <v>1.405</v>
      </c>
      <c r="L1065" s="7">
        <v>0</v>
      </c>
      <c r="M1065" s="7">
        <v>0</v>
      </c>
      <c r="N1065" s="7"/>
      <c r="O1065">
        <v>497.1</v>
      </c>
      <c r="P1065">
        <v>149.6</v>
      </c>
      <c r="Q1065">
        <v>17.45</v>
      </c>
      <c r="S1065">
        <v>16.989999999999998</v>
      </c>
      <c r="T1065">
        <v>0</v>
      </c>
      <c r="U1065">
        <v>102.7</v>
      </c>
      <c r="V1065">
        <v>520.20000000000005</v>
      </c>
      <c r="W1065">
        <v>20.48</v>
      </c>
      <c r="Y1065">
        <v>14.08</v>
      </c>
    </row>
    <row r="1066" spans="1:25" x14ac:dyDescent="0.25">
      <c r="A1066">
        <v>2006</v>
      </c>
      <c r="B1066">
        <v>165</v>
      </c>
      <c r="C1066">
        <v>1700</v>
      </c>
      <c r="D1066" s="7">
        <v>244.3</v>
      </c>
      <c r="E1066" s="7">
        <v>126.9</v>
      </c>
      <c r="F1066" s="7">
        <v>17.46</v>
      </c>
      <c r="G1066" s="7">
        <v>17.29</v>
      </c>
      <c r="H1066" s="7"/>
      <c r="I1066" s="7"/>
      <c r="J1066" s="7"/>
      <c r="K1066" s="7">
        <v>1.1240000000000001</v>
      </c>
      <c r="L1066" s="7">
        <v>0</v>
      </c>
      <c r="M1066" s="7">
        <v>0</v>
      </c>
      <c r="N1066" s="7"/>
      <c r="O1066">
        <v>308.89999999999998</v>
      </c>
      <c r="P1066">
        <v>98.5</v>
      </c>
      <c r="Q1066">
        <v>17.579999999999998</v>
      </c>
      <c r="S1066">
        <v>17.09</v>
      </c>
      <c r="T1066">
        <v>0</v>
      </c>
      <c r="U1066">
        <v>101.7</v>
      </c>
      <c r="V1066">
        <v>519.1</v>
      </c>
      <c r="W1066">
        <v>20.43</v>
      </c>
      <c r="Y1066">
        <v>13.88</v>
      </c>
    </row>
    <row r="1067" spans="1:25" x14ac:dyDescent="0.25">
      <c r="A1067">
        <v>2006</v>
      </c>
      <c r="B1067">
        <v>165</v>
      </c>
      <c r="C1067">
        <v>1800</v>
      </c>
      <c r="D1067" s="7">
        <v>148.5</v>
      </c>
      <c r="E1067" s="7">
        <v>54.31</v>
      </c>
      <c r="F1067" s="7">
        <v>17.440000000000001</v>
      </c>
      <c r="G1067" s="7">
        <v>17.13</v>
      </c>
      <c r="H1067" s="7"/>
      <c r="I1067" s="7"/>
      <c r="J1067" s="7"/>
      <c r="K1067" s="7">
        <v>1.099</v>
      </c>
      <c r="L1067" s="7">
        <v>0</v>
      </c>
      <c r="M1067" s="7">
        <v>0</v>
      </c>
      <c r="N1067" s="7"/>
      <c r="O1067">
        <v>176.6</v>
      </c>
      <c r="P1067">
        <v>57.42</v>
      </c>
      <c r="Q1067">
        <v>17.7</v>
      </c>
      <c r="S1067">
        <v>17.21</v>
      </c>
      <c r="T1067">
        <v>0</v>
      </c>
      <c r="U1067">
        <v>103.1</v>
      </c>
      <c r="V1067">
        <v>517.79999999999995</v>
      </c>
      <c r="W1067">
        <v>20.37</v>
      </c>
      <c r="Y1067">
        <v>13.75</v>
      </c>
    </row>
    <row r="1068" spans="1:25" x14ac:dyDescent="0.25">
      <c r="A1068">
        <v>2006</v>
      </c>
      <c r="B1068">
        <v>165</v>
      </c>
      <c r="C1068">
        <v>1900</v>
      </c>
      <c r="D1068" s="7">
        <v>98.6</v>
      </c>
      <c r="E1068" s="7">
        <v>17.68</v>
      </c>
      <c r="F1068" s="7">
        <v>16.64</v>
      </c>
      <c r="G1068" s="7">
        <v>16.43</v>
      </c>
      <c r="H1068" s="7"/>
      <c r="I1068" s="7"/>
      <c r="J1068" s="7"/>
      <c r="K1068" s="7">
        <v>1.4019999999999999</v>
      </c>
      <c r="L1068" s="7">
        <v>16.48</v>
      </c>
      <c r="M1068" s="7">
        <v>0</v>
      </c>
      <c r="N1068" s="7"/>
      <c r="O1068">
        <v>108</v>
      </c>
      <c r="P1068">
        <v>32.32</v>
      </c>
      <c r="Q1068">
        <v>17.66</v>
      </c>
      <c r="S1068">
        <v>17.239999999999998</v>
      </c>
      <c r="T1068">
        <v>0</v>
      </c>
      <c r="U1068">
        <v>102.1</v>
      </c>
      <c r="V1068">
        <v>516.1</v>
      </c>
      <c r="W1068">
        <v>20.29</v>
      </c>
      <c r="Y1068">
        <v>13.63</v>
      </c>
    </row>
    <row r="1069" spans="1:25" x14ac:dyDescent="0.25">
      <c r="A1069">
        <v>2006</v>
      </c>
      <c r="B1069">
        <v>165</v>
      </c>
      <c r="C1069">
        <v>2000</v>
      </c>
      <c r="D1069" s="7">
        <v>65.14</v>
      </c>
      <c r="E1069" s="7">
        <v>-18.59</v>
      </c>
      <c r="F1069" s="7">
        <v>15.19</v>
      </c>
      <c r="G1069" s="7">
        <v>14.91</v>
      </c>
      <c r="H1069" s="7"/>
      <c r="I1069" s="7"/>
      <c r="J1069" s="7"/>
      <c r="K1069" s="7">
        <v>0.92400000000000004</v>
      </c>
      <c r="L1069" s="7">
        <v>113.5</v>
      </c>
      <c r="M1069" s="7">
        <v>0</v>
      </c>
      <c r="N1069" s="7"/>
      <c r="O1069">
        <v>71</v>
      </c>
      <c r="P1069">
        <v>46.41</v>
      </c>
      <c r="Q1069">
        <v>17.57</v>
      </c>
      <c r="S1069">
        <v>17.260000000000002</v>
      </c>
      <c r="T1069">
        <v>0</v>
      </c>
      <c r="U1069">
        <v>103</v>
      </c>
      <c r="V1069">
        <v>517.20000000000005</v>
      </c>
      <c r="W1069">
        <v>20.34</v>
      </c>
      <c r="Y1069">
        <v>13.5</v>
      </c>
    </row>
    <row r="1070" spans="1:25" x14ac:dyDescent="0.25">
      <c r="A1070">
        <v>2006</v>
      </c>
      <c r="B1070">
        <v>165</v>
      </c>
      <c r="C1070">
        <v>2100</v>
      </c>
      <c r="D1070" s="7">
        <v>14.59</v>
      </c>
      <c r="E1070" s="7">
        <v>-51.58</v>
      </c>
      <c r="F1070" s="7">
        <v>13.21</v>
      </c>
      <c r="G1070" s="7">
        <v>12.57</v>
      </c>
      <c r="H1070" s="7"/>
      <c r="I1070" s="7"/>
      <c r="J1070" s="7"/>
      <c r="K1070" s="7">
        <v>0.20399999999999999</v>
      </c>
      <c r="L1070" s="7">
        <v>171.9</v>
      </c>
      <c r="M1070" s="7">
        <v>0</v>
      </c>
      <c r="N1070" s="7"/>
      <c r="O1070">
        <v>12.19</v>
      </c>
      <c r="P1070">
        <v>8.16</v>
      </c>
      <c r="Q1070">
        <v>17.41</v>
      </c>
      <c r="S1070">
        <v>17.21</v>
      </c>
      <c r="T1070">
        <v>0</v>
      </c>
      <c r="U1070">
        <v>107.3</v>
      </c>
      <c r="V1070">
        <v>519.1</v>
      </c>
      <c r="W1070">
        <v>20.43</v>
      </c>
      <c r="Y1070">
        <v>13.39</v>
      </c>
    </row>
    <row r="1071" spans="1:25" x14ac:dyDescent="0.25">
      <c r="A1071">
        <v>2006</v>
      </c>
      <c r="B1071">
        <v>165</v>
      </c>
      <c r="C1071">
        <v>2200</v>
      </c>
      <c r="D1071" s="7">
        <v>-3.7069999999999999</v>
      </c>
      <c r="E1071" s="7">
        <v>-57.83</v>
      </c>
      <c r="F1071" s="7">
        <v>9.1</v>
      </c>
      <c r="G1071" s="7">
        <v>8.8000000000000007</v>
      </c>
      <c r="H1071" s="7"/>
      <c r="I1071" s="7"/>
      <c r="J1071" s="7"/>
      <c r="K1071" s="7">
        <v>0.127</v>
      </c>
      <c r="L1071" s="7">
        <v>157.9</v>
      </c>
      <c r="M1071" s="7">
        <v>0</v>
      </c>
      <c r="N1071" s="7"/>
      <c r="O1071">
        <v>-11.52</v>
      </c>
      <c r="P1071">
        <v>-11.28</v>
      </c>
      <c r="Q1071">
        <v>17.170000000000002</v>
      </c>
      <c r="S1071">
        <v>17.11</v>
      </c>
      <c r="T1071">
        <v>0</v>
      </c>
      <c r="U1071">
        <v>104</v>
      </c>
      <c r="V1071">
        <v>520.5</v>
      </c>
      <c r="W1071">
        <v>20.49</v>
      </c>
      <c r="Y1071">
        <v>13.3</v>
      </c>
    </row>
    <row r="1072" spans="1:25" x14ac:dyDescent="0.25">
      <c r="A1072">
        <v>2006</v>
      </c>
      <c r="B1072">
        <v>165</v>
      </c>
      <c r="C1072">
        <v>2300</v>
      </c>
      <c r="D1072" s="7">
        <v>-3.456</v>
      </c>
      <c r="E1072" s="7">
        <v>-44.73</v>
      </c>
      <c r="F1072" s="7">
        <v>7.54</v>
      </c>
      <c r="G1072" s="7">
        <v>7.38</v>
      </c>
      <c r="H1072" s="7"/>
      <c r="I1072" s="7"/>
      <c r="J1072" s="7"/>
      <c r="K1072" s="7">
        <v>0.21</v>
      </c>
      <c r="L1072" s="7">
        <v>160.1</v>
      </c>
      <c r="M1072" s="7">
        <v>0</v>
      </c>
      <c r="N1072" s="7"/>
      <c r="O1072">
        <v>-12.17</v>
      </c>
      <c r="P1072">
        <v>-11.47</v>
      </c>
      <c r="Q1072">
        <v>16.89</v>
      </c>
      <c r="S1072">
        <v>16.989999999999998</v>
      </c>
      <c r="T1072">
        <v>0</v>
      </c>
      <c r="U1072">
        <v>102.2</v>
      </c>
      <c r="V1072">
        <v>514.6</v>
      </c>
      <c r="W1072">
        <v>20.22</v>
      </c>
      <c r="Y1072">
        <v>13.22</v>
      </c>
    </row>
    <row r="1073" spans="1:25" x14ac:dyDescent="0.25">
      <c r="A1073">
        <v>2006</v>
      </c>
      <c r="B1073">
        <v>165</v>
      </c>
      <c r="C1073">
        <v>2400</v>
      </c>
      <c r="D1073" s="7">
        <v>-2.9729999999999999</v>
      </c>
      <c r="E1073" s="7">
        <v>-38.5</v>
      </c>
      <c r="F1073" s="7">
        <v>6.3280000000000003</v>
      </c>
      <c r="G1073" s="7">
        <v>6.1909999999999998</v>
      </c>
      <c r="H1073" s="7"/>
      <c r="I1073" s="7"/>
      <c r="J1073" s="7"/>
      <c r="K1073" s="7">
        <v>0.17100000000000001</v>
      </c>
      <c r="L1073" s="7">
        <v>174.5</v>
      </c>
      <c r="M1073" s="7">
        <v>0</v>
      </c>
      <c r="N1073" s="7"/>
      <c r="O1073">
        <v>-12.17</v>
      </c>
      <c r="P1073">
        <v>-11.48</v>
      </c>
      <c r="Q1073">
        <v>16.579999999999998</v>
      </c>
      <c r="S1073">
        <v>16.84</v>
      </c>
      <c r="T1073">
        <v>0</v>
      </c>
      <c r="U1073">
        <v>101.9</v>
      </c>
      <c r="V1073">
        <v>518.20000000000005</v>
      </c>
      <c r="W1073">
        <v>20.39</v>
      </c>
      <c r="Y1073">
        <v>13.15</v>
      </c>
    </row>
    <row r="1074" spans="1:25" x14ac:dyDescent="0.25">
      <c r="A1074">
        <v>2006</v>
      </c>
      <c r="B1074">
        <v>166</v>
      </c>
      <c r="C1074">
        <v>100</v>
      </c>
      <c r="D1074" s="7">
        <v>-2.88</v>
      </c>
      <c r="E1074" s="7">
        <v>-35.65</v>
      </c>
      <c r="F1074" s="7">
        <v>5.415</v>
      </c>
      <c r="G1074" s="7">
        <v>5.3330000000000002</v>
      </c>
      <c r="H1074" s="7"/>
      <c r="I1074" s="7"/>
      <c r="J1074" s="7"/>
      <c r="K1074" s="7">
        <v>0.187</v>
      </c>
      <c r="L1074" s="7">
        <v>205.8</v>
      </c>
      <c r="M1074" s="7">
        <v>0</v>
      </c>
      <c r="N1074" s="7"/>
      <c r="O1074">
        <v>-12.17</v>
      </c>
      <c r="P1074">
        <v>-11.48</v>
      </c>
      <c r="Q1074">
        <v>16.25</v>
      </c>
      <c r="S1074">
        <v>16.64</v>
      </c>
      <c r="T1074">
        <v>0</v>
      </c>
      <c r="U1074">
        <v>101.2</v>
      </c>
      <c r="V1074">
        <v>524.70000000000005</v>
      </c>
      <c r="W1074">
        <v>20.69</v>
      </c>
      <c r="Y1074">
        <v>13.09</v>
      </c>
    </row>
    <row r="1075" spans="1:25" x14ac:dyDescent="0.25">
      <c r="A1075">
        <v>2006</v>
      </c>
      <c r="B1075">
        <v>166</v>
      </c>
      <c r="C1075">
        <v>200</v>
      </c>
      <c r="D1075" s="7">
        <v>-2.8959999999999999</v>
      </c>
      <c r="E1075" s="7">
        <v>-34.619999999999997</v>
      </c>
      <c r="F1075" s="7">
        <v>4.6680000000000001</v>
      </c>
      <c r="G1075" s="7">
        <v>4.6159999999999997</v>
      </c>
      <c r="H1075" s="7"/>
      <c r="I1075" s="7"/>
      <c r="J1075" s="7"/>
      <c r="K1075" s="7">
        <v>7.4999999999999997E-2</v>
      </c>
      <c r="L1075" s="7">
        <v>128.1</v>
      </c>
      <c r="M1075" s="7">
        <v>0</v>
      </c>
      <c r="N1075" s="7"/>
      <c r="O1075">
        <v>-12.17</v>
      </c>
      <c r="P1075">
        <v>-11.48</v>
      </c>
      <c r="Q1075">
        <v>15.96</v>
      </c>
      <c r="S1075">
        <v>16.45</v>
      </c>
      <c r="T1075">
        <v>0</v>
      </c>
      <c r="U1075">
        <v>100.8</v>
      </c>
      <c r="V1075">
        <v>520.9</v>
      </c>
      <c r="W1075">
        <v>20.51</v>
      </c>
      <c r="Y1075">
        <v>13.03</v>
      </c>
    </row>
    <row r="1076" spans="1:25" x14ac:dyDescent="0.25">
      <c r="A1076">
        <v>2006</v>
      </c>
      <c r="B1076">
        <v>166</v>
      </c>
      <c r="C1076">
        <v>300</v>
      </c>
      <c r="D1076" s="7">
        <v>-2.5640000000000001</v>
      </c>
      <c r="E1076" s="7">
        <v>-34.22</v>
      </c>
      <c r="F1076" s="7">
        <v>3.9460000000000002</v>
      </c>
      <c r="G1076" s="7">
        <v>3.895</v>
      </c>
      <c r="H1076" s="7"/>
      <c r="I1076" s="7"/>
      <c r="J1076" s="7"/>
      <c r="K1076" s="7">
        <v>2.9000000000000001E-2</v>
      </c>
      <c r="L1076" s="7">
        <v>172.5</v>
      </c>
      <c r="M1076" s="7">
        <v>0</v>
      </c>
      <c r="N1076" s="7"/>
      <c r="O1076">
        <v>-12.18</v>
      </c>
      <c r="P1076">
        <v>-11.48</v>
      </c>
      <c r="Q1076">
        <v>15.65</v>
      </c>
      <c r="S1076">
        <v>16.239999999999998</v>
      </c>
      <c r="T1076">
        <v>0</v>
      </c>
      <c r="U1076">
        <v>100.8</v>
      </c>
      <c r="V1076">
        <v>517.20000000000005</v>
      </c>
      <c r="W1076">
        <v>20.34</v>
      </c>
      <c r="Y1076">
        <v>12.98</v>
      </c>
    </row>
    <row r="1077" spans="1:25" x14ac:dyDescent="0.25">
      <c r="A1077">
        <v>2006</v>
      </c>
      <c r="B1077">
        <v>166</v>
      </c>
      <c r="C1077">
        <v>400</v>
      </c>
      <c r="D1077" s="7">
        <v>-9.9000000000000005E-2</v>
      </c>
      <c r="E1077" s="7">
        <v>-30.73</v>
      </c>
      <c r="F1077" s="7">
        <v>3.4990000000000001</v>
      </c>
      <c r="G1077" s="7">
        <v>3.492</v>
      </c>
      <c r="H1077" s="7"/>
      <c r="I1077" s="7"/>
      <c r="J1077" s="7"/>
      <c r="K1077" s="7">
        <v>6.7000000000000004E-2</v>
      </c>
      <c r="L1077" s="7">
        <v>180.9</v>
      </c>
      <c r="M1077" s="7">
        <v>0</v>
      </c>
      <c r="N1077" s="7"/>
      <c r="O1077">
        <v>-8.6999999999999993</v>
      </c>
      <c r="P1077">
        <v>-10.06</v>
      </c>
      <c r="Q1077">
        <v>15.33</v>
      </c>
      <c r="S1077">
        <v>16.010000000000002</v>
      </c>
      <c r="T1077">
        <v>0</v>
      </c>
      <c r="U1077">
        <v>100.1</v>
      </c>
      <c r="V1077">
        <v>517.1</v>
      </c>
      <c r="W1077">
        <v>20.34</v>
      </c>
      <c r="Y1077">
        <v>12.93</v>
      </c>
    </row>
    <row r="1078" spans="1:25" x14ac:dyDescent="0.25">
      <c r="A1078">
        <v>2006</v>
      </c>
      <c r="B1078">
        <v>166</v>
      </c>
      <c r="C1078">
        <v>500</v>
      </c>
      <c r="D1078" s="7">
        <v>21.81</v>
      </c>
      <c r="E1078" s="7">
        <v>-12.37</v>
      </c>
      <c r="F1078" s="7">
        <v>4.4029999999999996</v>
      </c>
      <c r="G1078" s="7">
        <v>4.5439999999999996</v>
      </c>
      <c r="H1078" s="7"/>
      <c r="I1078" s="7"/>
      <c r="J1078" s="7"/>
      <c r="K1078" s="7">
        <v>0.121</v>
      </c>
      <c r="L1078" s="7">
        <v>287.60000000000002</v>
      </c>
      <c r="M1078" s="7">
        <v>0</v>
      </c>
      <c r="N1078" s="7"/>
      <c r="O1078">
        <v>15.75</v>
      </c>
      <c r="P1078">
        <v>-9.1999999999999998E-2</v>
      </c>
      <c r="Q1078">
        <v>15.09</v>
      </c>
      <c r="S1078">
        <v>15.84</v>
      </c>
      <c r="T1078">
        <v>0</v>
      </c>
      <c r="U1078">
        <v>98</v>
      </c>
      <c r="V1078">
        <v>515.70000000000005</v>
      </c>
      <c r="W1078">
        <v>20.27</v>
      </c>
      <c r="Y1078">
        <v>12.9</v>
      </c>
    </row>
    <row r="1079" spans="1:25" x14ac:dyDescent="0.25">
      <c r="A1079">
        <v>2006</v>
      </c>
      <c r="B1079">
        <v>166</v>
      </c>
      <c r="C1079">
        <v>600</v>
      </c>
      <c r="D1079" s="7">
        <v>104.3</v>
      </c>
      <c r="E1079" s="7">
        <v>74.400000000000006</v>
      </c>
      <c r="F1079" s="7">
        <v>9.51</v>
      </c>
      <c r="G1079" s="7">
        <v>9.7200000000000006</v>
      </c>
      <c r="H1079" s="7"/>
      <c r="I1079" s="7"/>
      <c r="J1079" s="7"/>
      <c r="K1079" s="7">
        <v>0.65900000000000003</v>
      </c>
      <c r="L1079" s="7">
        <v>189.4</v>
      </c>
      <c r="M1079" s="7">
        <v>0</v>
      </c>
      <c r="N1079" s="7"/>
      <c r="O1079">
        <v>163.80000000000001</v>
      </c>
      <c r="P1079">
        <v>66.02</v>
      </c>
      <c r="Q1079">
        <v>14.88</v>
      </c>
      <c r="S1079">
        <v>15.72</v>
      </c>
      <c r="T1079">
        <v>0</v>
      </c>
      <c r="U1079">
        <v>97.5</v>
      </c>
      <c r="V1079">
        <v>515.20000000000005</v>
      </c>
      <c r="W1079">
        <v>20.25</v>
      </c>
      <c r="Y1079">
        <v>13.18</v>
      </c>
    </row>
    <row r="1080" spans="1:25" x14ac:dyDescent="0.25">
      <c r="A1080">
        <v>2006</v>
      </c>
      <c r="B1080">
        <v>166</v>
      </c>
      <c r="C1080">
        <v>700</v>
      </c>
      <c r="D1080" s="7">
        <v>225</v>
      </c>
      <c r="E1080" s="7">
        <v>166.8</v>
      </c>
      <c r="F1080" s="7">
        <v>12.24</v>
      </c>
      <c r="G1080" s="7">
        <v>12.76</v>
      </c>
      <c r="H1080" s="7"/>
      <c r="I1080" s="7"/>
      <c r="J1080" s="7"/>
      <c r="K1080" s="7">
        <v>1.282</v>
      </c>
      <c r="L1080" s="7">
        <v>227.3</v>
      </c>
      <c r="M1080" s="7">
        <v>0</v>
      </c>
      <c r="N1080" s="7"/>
      <c r="O1080">
        <v>322.8</v>
      </c>
      <c r="P1080">
        <v>128</v>
      </c>
      <c r="Q1080">
        <v>14.83</v>
      </c>
      <c r="S1080">
        <v>15.64</v>
      </c>
      <c r="T1080">
        <v>0</v>
      </c>
      <c r="U1080">
        <v>94.2</v>
      </c>
      <c r="V1080">
        <v>514.6</v>
      </c>
      <c r="W1080">
        <v>20.22</v>
      </c>
      <c r="Y1080">
        <v>13.82</v>
      </c>
    </row>
    <row r="1081" spans="1:25" x14ac:dyDescent="0.25">
      <c r="A1081">
        <v>2006</v>
      </c>
      <c r="B1081">
        <v>166</v>
      </c>
      <c r="C1081">
        <v>800</v>
      </c>
      <c r="D1081" s="7">
        <v>416.8</v>
      </c>
      <c r="E1081" s="7">
        <v>285.60000000000002</v>
      </c>
      <c r="F1081" s="7">
        <v>14.68</v>
      </c>
      <c r="G1081" s="7">
        <v>15.07</v>
      </c>
      <c r="H1081" s="7"/>
      <c r="I1081" s="7"/>
      <c r="J1081" s="7"/>
      <c r="K1081" s="7">
        <v>1.2210000000000001</v>
      </c>
      <c r="L1081" s="7">
        <v>234.8</v>
      </c>
      <c r="M1081" s="7">
        <v>0</v>
      </c>
      <c r="N1081" s="7"/>
      <c r="O1081">
        <v>565.5</v>
      </c>
      <c r="P1081">
        <v>194.9</v>
      </c>
      <c r="Q1081">
        <v>14.94</v>
      </c>
      <c r="S1081">
        <v>15.55</v>
      </c>
      <c r="T1081">
        <v>0</v>
      </c>
      <c r="U1081">
        <v>95.9</v>
      </c>
      <c r="V1081">
        <v>515.70000000000005</v>
      </c>
      <c r="W1081">
        <v>20.27</v>
      </c>
      <c r="Y1081">
        <v>14.32</v>
      </c>
    </row>
    <row r="1082" spans="1:25" x14ac:dyDescent="0.25">
      <c r="A1082">
        <v>2006</v>
      </c>
      <c r="B1082">
        <v>166</v>
      </c>
      <c r="C1082">
        <v>900</v>
      </c>
      <c r="D1082" s="7">
        <v>467</v>
      </c>
      <c r="E1082" s="7">
        <v>298.2</v>
      </c>
      <c r="F1082" s="7">
        <v>16.98</v>
      </c>
      <c r="G1082" s="7">
        <v>16.87</v>
      </c>
      <c r="H1082" s="7">
        <f>AVERAGE(G1082:G1105)</f>
        <v>16.274999999999999</v>
      </c>
      <c r="I1082" s="7">
        <f>MIN(G1082:G1105)</f>
        <v>12.65</v>
      </c>
      <c r="J1082" s="7">
        <f>MAX(G1082:G1105)</f>
        <v>19.600000000000001</v>
      </c>
      <c r="K1082" s="7">
        <v>1.248</v>
      </c>
      <c r="L1082" s="7">
        <v>270.8</v>
      </c>
      <c r="M1082" s="7">
        <v>0</v>
      </c>
      <c r="N1082" s="7">
        <f>SUM(M1082:M1105)</f>
        <v>0.4</v>
      </c>
      <c r="O1082">
        <v>601.70000000000005</v>
      </c>
      <c r="P1082">
        <v>181.5</v>
      </c>
      <c r="Q1082">
        <v>15.19</v>
      </c>
      <c r="S1082">
        <v>15.49</v>
      </c>
      <c r="T1082">
        <v>0</v>
      </c>
      <c r="U1082">
        <v>101</v>
      </c>
      <c r="V1082">
        <v>514.6</v>
      </c>
      <c r="W1082">
        <v>20.22</v>
      </c>
      <c r="Y1082">
        <v>14.38</v>
      </c>
    </row>
    <row r="1083" spans="1:25" x14ac:dyDescent="0.25">
      <c r="A1083">
        <v>2006</v>
      </c>
      <c r="B1083">
        <v>166</v>
      </c>
      <c r="C1083">
        <v>1000</v>
      </c>
      <c r="D1083" s="7">
        <v>413.2</v>
      </c>
      <c r="E1083" s="7">
        <v>249.5</v>
      </c>
      <c r="F1083" s="7">
        <v>17.239999999999998</v>
      </c>
      <c r="G1083" s="7">
        <v>17.170000000000002</v>
      </c>
      <c r="H1083" s="7"/>
      <c r="I1083" s="7"/>
      <c r="J1083" s="7"/>
      <c r="K1083" s="7">
        <v>1.6910000000000001</v>
      </c>
      <c r="L1083" s="7">
        <v>287.2</v>
      </c>
      <c r="M1083" s="7">
        <v>0</v>
      </c>
      <c r="N1083" s="7"/>
      <c r="O1083">
        <v>527.4</v>
      </c>
      <c r="P1083">
        <v>156.6</v>
      </c>
      <c r="Q1083">
        <v>15.56</v>
      </c>
      <c r="S1083">
        <v>15.52</v>
      </c>
      <c r="T1083">
        <v>0</v>
      </c>
      <c r="U1083">
        <v>100.7</v>
      </c>
      <c r="V1083">
        <v>513.6</v>
      </c>
      <c r="W1083">
        <v>20.170000000000002</v>
      </c>
      <c r="Y1083">
        <v>14.24</v>
      </c>
    </row>
    <row r="1084" spans="1:25" x14ac:dyDescent="0.25">
      <c r="A1084">
        <v>2006</v>
      </c>
      <c r="B1084">
        <v>166</v>
      </c>
      <c r="C1084">
        <v>1100</v>
      </c>
      <c r="D1084" s="7">
        <v>416.2</v>
      </c>
      <c r="E1084" s="7">
        <v>245</v>
      </c>
      <c r="F1084" s="7">
        <v>17.71</v>
      </c>
      <c r="G1084" s="7">
        <v>17.59</v>
      </c>
      <c r="H1084" s="7"/>
      <c r="I1084" s="7"/>
      <c r="J1084" s="7"/>
      <c r="K1084" s="7">
        <v>1.4330000000000001</v>
      </c>
      <c r="L1084" s="7">
        <v>268.60000000000002</v>
      </c>
      <c r="M1084" s="7">
        <v>0</v>
      </c>
      <c r="N1084" s="7"/>
      <c r="O1084">
        <v>540.70000000000005</v>
      </c>
      <c r="P1084">
        <v>160.69999999999999</v>
      </c>
      <c r="Q1084">
        <v>15.89</v>
      </c>
      <c r="S1084">
        <v>15.63</v>
      </c>
      <c r="T1084">
        <v>0</v>
      </c>
      <c r="U1084">
        <v>101.1</v>
      </c>
      <c r="V1084">
        <v>512.79999999999995</v>
      </c>
      <c r="W1084">
        <v>20.14</v>
      </c>
      <c r="Y1084">
        <v>14.17</v>
      </c>
    </row>
    <row r="1085" spans="1:25" x14ac:dyDescent="0.25">
      <c r="A1085">
        <v>2006</v>
      </c>
      <c r="B1085">
        <v>166</v>
      </c>
      <c r="C1085">
        <v>1200</v>
      </c>
      <c r="D1085" s="7">
        <v>430.3</v>
      </c>
      <c r="E1085" s="7">
        <v>247.9</v>
      </c>
      <c r="F1085" s="7">
        <v>18.21</v>
      </c>
      <c r="G1085" s="7">
        <v>18.16</v>
      </c>
      <c r="H1085" s="7"/>
      <c r="I1085" s="7"/>
      <c r="J1085" s="7"/>
      <c r="K1085" s="7">
        <v>1.6160000000000001</v>
      </c>
      <c r="L1085" s="7">
        <v>262.10000000000002</v>
      </c>
      <c r="M1085" s="7">
        <v>0</v>
      </c>
      <c r="N1085" s="7"/>
      <c r="O1085">
        <v>556.29999999999995</v>
      </c>
      <c r="P1085">
        <v>166</v>
      </c>
      <c r="Q1085">
        <v>16.21</v>
      </c>
      <c r="S1085">
        <v>15.81</v>
      </c>
      <c r="T1085">
        <v>0</v>
      </c>
      <c r="U1085">
        <v>100.5</v>
      </c>
      <c r="V1085">
        <v>511.9</v>
      </c>
      <c r="W1085">
        <v>20.100000000000001</v>
      </c>
      <c r="Y1085">
        <v>14.17</v>
      </c>
    </row>
    <row r="1086" spans="1:25" x14ac:dyDescent="0.25">
      <c r="A1086">
        <v>2006</v>
      </c>
      <c r="B1086">
        <v>166</v>
      </c>
      <c r="C1086">
        <v>1300</v>
      </c>
      <c r="D1086" s="7">
        <v>415.1</v>
      </c>
      <c r="E1086" s="7">
        <v>240.7</v>
      </c>
      <c r="F1086" s="7">
        <v>18.809999999999999</v>
      </c>
      <c r="G1086" s="7">
        <v>18.63</v>
      </c>
      <c r="H1086" s="7"/>
      <c r="I1086" s="7"/>
      <c r="J1086" s="7"/>
      <c r="K1086" s="7">
        <v>1.43</v>
      </c>
      <c r="L1086" s="7">
        <v>266.10000000000002</v>
      </c>
      <c r="M1086" s="7">
        <v>0</v>
      </c>
      <c r="N1086" s="7"/>
      <c r="O1086">
        <v>542.79999999999995</v>
      </c>
      <c r="P1086">
        <v>167.5</v>
      </c>
      <c r="Q1086">
        <v>16.52</v>
      </c>
      <c r="S1086">
        <v>16.02</v>
      </c>
      <c r="T1086">
        <v>0</v>
      </c>
      <c r="U1086">
        <v>101.7</v>
      </c>
      <c r="V1086">
        <v>510.7</v>
      </c>
      <c r="W1086">
        <v>20.04</v>
      </c>
      <c r="Y1086">
        <v>14.13</v>
      </c>
    </row>
    <row r="1087" spans="1:25" x14ac:dyDescent="0.25">
      <c r="A1087">
        <v>2006</v>
      </c>
      <c r="B1087">
        <v>166</v>
      </c>
      <c r="C1087">
        <v>1400</v>
      </c>
      <c r="D1087" s="7">
        <v>425.3</v>
      </c>
      <c r="E1087" s="7">
        <v>246.2</v>
      </c>
      <c r="F1087" s="7">
        <v>19.75</v>
      </c>
      <c r="G1087" s="7">
        <v>19.53</v>
      </c>
      <c r="H1087" s="7"/>
      <c r="I1087" s="7"/>
      <c r="J1087" s="7"/>
      <c r="K1087" s="7">
        <v>1.4450000000000001</v>
      </c>
      <c r="L1087" s="7">
        <v>249.6</v>
      </c>
      <c r="M1087" s="7">
        <v>0</v>
      </c>
      <c r="N1087" s="7"/>
      <c r="O1087">
        <v>542.20000000000005</v>
      </c>
      <c r="P1087">
        <v>167.8</v>
      </c>
      <c r="Q1087">
        <v>16.82</v>
      </c>
      <c r="S1087">
        <v>16.239999999999998</v>
      </c>
      <c r="T1087">
        <v>0</v>
      </c>
      <c r="U1087">
        <v>102</v>
      </c>
      <c r="V1087">
        <v>508.9</v>
      </c>
      <c r="W1087">
        <v>19.96</v>
      </c>
      <c r="Y1087">
        <v>14.12</v>
      </c>
    </row>
    <row r="1088" spans="1:25" x14ac:dyDescent="0.25">
      <c r="A1088">
        <v>2006</v>
      </c>
      <c r="B1088">
        <v>166</v>
      </c>
      <c r="C1088">
        <v>1500</v>
      </c>
      <c r="D1088" s="7">
        <v>410.1</v>
      </c>
      <c r="E1088" s="7">
        <v>236.8</v>
      </c>
      <c r="F1088" s="7">
        <v>19.72</v>
      </c>
      <c r="G1088" s="7">
        <v>19.600000000000001</v>
      </c>
      <c r="H1088" s="7"/>
      <c r="I1088" s="7"/>
      <c r="J1088" s="7"/>
      <c r="K1088" s="7">
        <v>1.885</v>
      </c>
      <c r="L1088" s="7">
        <v>277.7</v>
      </c>
      <c r="M1088" s="7">
        <v>0</v>
      </c>
      <c r="N1088" s="7"/>
      <c r="O1088">
        <v>525.70000000000005</v>
      </c>
      <c r="P1088">
        <v>165.5</v>
      </c>
      <c r="Q1088">
        <v>17.03</v>
      </c>
      <c r="S1088">
        <v>16.37</v>
      </c>
      <c r="T1088">
        <v>0</v>
      </c>
      <c r="U1088">
        <v>101.1</v>
      </c>
      <c r="V1088">
        <v>508.3</v>
      </c>
      <c r="W1088">
        <v>19.93</v>
      </c>
      <c r="Y1088">
        <v>14.1</v>
      </c>
    </row>
    <row r="1089" spans="1:25" x14ac:dyDescent="0.25">
      <c r="A1089">
        <v>2006</v>
      </c>
      <c r="B1089">
        <v>166</v>
      </c>
      <c r="C1089">
        <v>1600</v>
      </c>
      <c r="D1089" s="7">
        <v>360.5</v>
      </c>
      <c r="E1089" s="7">
        <v>206.6</v>
      </c>
      <c r="F1089" s="7">
        <v>19.579999999999998</v>
      </c>
      <c r="G1089" s="7">
        <v>19.43</v>
      </c>
      <c r="H1089" s="7"/>
      <c r="I1089" s="7"/>
      <c r="J1089" s="7"/>
      <c r="K1089" s="7">
        <v>1.988</v>
      </c>
      <c r="L1089" s="7">
        <v>283.10000000000002</v>
      </c>
      <c r="M1089" s="7">
        <v>0</v>
      </c>
      <c r="N1089" s="7"/>
      <c r="O1089">
        <v>451.7</v>
      </c>
      <c r="P1089">
        <v>141.5</v>
      </c>
      <c r="Q1089">
        <v>17.28</v>
      </c>
      <c r="S1089">
        <v>16.54</v>
      </c>
      <c r="T1089">
        <v>0</v>
      </c>
      <c r="U1089">
        <v>101.3</v>
      </c>
      <c r="V1089">
        <v>507.4</v>
      </c>
      <c r="W1089">
        <v>19.89</v>
      </c>
      <c r="Y1089">
        <v>14.04</v>
      </c>
    </row>
    <row r="1090" spans="1:25" x14ac:dyDescent="0.25">
      <c r="A1090">
        <v>2006</v>
      </c>
      <c r="B1090">
        <v>166</v>
      </c>
      <c r="C1090">
        <v>1700</v>
      </c>
      <c r="D1090" s="7">
        <v>197.1</v>
      </c>
      <c r="E1090" s="7">
        <v>101.9</v>
      </c>
      <c r="F1090" s="7">
        <v>18.739999999999998</v>
      </c>
      <c r="G1090" s="7">
        <v>18.66</v>
      </c>
      <c r="H1090" s="7"/>
      <c r="I1090" s="7"/>
      <c r="J1090" s="7"/>
      <c r="K1090" s="7">
        <v>1.84</v>
      </c>
      <c r="L1090" s="7">
        <v>281.8</v>
      </c>
      <c r="M1090" s="7">
        <v>0</v>
      </c>
      <c r="N1090" s="7"/>
      <c r="O1090">
        <v>249.2</v>
      </c>
      <c r="P1090">
        <v>76.2</v>
      </c>
      <c r="Q1090">
        <v>17.53</v>
      </c>
      <c r="S1090">
        <v>16.739999999999998</v>
      </c>
      <c r="T1090">
        <v>0</v>
      </c>
      <c r="U1090">
        <v>100.7</v>
      </c>
      <c r="V1090">
        <v>506.6</v>
      </c>
      <c r="W1090">
        <v>19.850000000000001</v>
      </c>
      <c r="Y1090">
        <v>13.84</v>
      </c>
    </row>
    <row r="1091" spans="1:25" x14ac:dyDescent="0.25">
      <c r="A1091">
        <v>2006</v>
      </c>
      <c r="B1091">
        <v>166</v>
      </c>
      <c r="C1091">
        <v>1800</v>
      </c>
      <c r="D1091" s="7">
        <v>125.3</v>
      </c>
      <c r="E1091" s="7">
        <v>59.24</v>
      </c>
      <c r="F1091" s="7">
        <v>18.329999999999998</v>
      </c>
      <c r="G1091" s="7">
        <v>18.29</v>
      </c>
      <c r="H1091" s="7"/>
      <c r="I1091" s="7"/>
      <c r="J1091" s="7"/>
      <c r="K1091" s="7">
        <v>1.3069999999999999</v>
      </c>
      <c r="L1091" s="7">
        <v>306.10000000000002</v>
      </c>
      <c r="M1091" s="7">
        <v>0</v>
      </c>
      <c r="N1091" s="7"/>
      <c r="O1091">
        <v>160</v>
      </c>
      <c r="P1091">
        <v>47.06</v>
      </c>
      <c r="Q1091">
        <v>17.64</v>
      </c>
      <c r="S1091">
        <v>16.86</v>
      </c>
      <c r="T1091">
        <v>0</v>
      </c>
      <c r="U1091">
        <v>100.4</v>
      </c>
      <c r="V1091">
        <v>503.9</v>
      </c>
      <c r="W1091">
        <v>19.72</v>
      </c>
      <c r="Y1091">
        <v>13.73</v>
      </c>
    </row>
    <row r="1092" spans="1:25" x14ac:dyDescent="0.25">
      <c r="A1092">
        <v>2006</v>
      </c>
      <c r="B1092">
        <v>166</v>
      </c>
      <c r="C1092">
        <v>1900</v>
      </c>
      <c r="D1092" s="7">
        <v>91.2</v>
      </c>
      <c r="E1092" s="7">
        <v>37.869999999999997</v>
      </c>
      <c r="F1092" s="7">
        <v>18.100000000000001</v>
      </c>
      <c r="G1092" s="7">
        <v>18.07</v>
      </c>
      <c r="H1092" s="7"/>
      <c r="I1092" s="7"/>
      <c r="J1092" s="7"/>
      <c r="K1092" s="7">
        <v>1.3340000000000001</v>
      </c>
      <c r="L1092" s="7">
        <v>355.4</v>
      </c>
      <c r="M1092" s="7">
        <v>0</v>
      </c>
      <c r="N1092" s="7"/>
      <c r="O1092">
        <v>108.3</v>
      </c>
      <c r="P1092">
        <v>26.53</v>
      </c>
      <c r="Q1092">
        <v>17.72</v>
      </c>
      <c r="S1092">
        <v>17.010000000000002</v>
      </c>
      <c r="T1092">
        <v>0</v>
      </c>
      <c r="U1092">
        <v>100.3</v>
      </c>
      <c r="V1092">
        <v>502.5</v>
      </c>
      <c r="W1092">
        <v>19.66</v>
      </c>
      <c r="Y1092">
        <v>13.66</v>
      </c>
    </row>
    <row r="1093" spans="1:25" x14ac:dyDescent="0.25">
      <c r="A1093">
        <v>2006</v>
      </c>
      <c r="B1093">
        <v>166</v>
      </c>
      <c r="C1093">
        <v>2000</v>
      </c>
      <c r="D1093" s="7">
        <v>28.66</v>
      </c>
      <c r="E1093" s="7">
        <v>-1.194</v>
      </c>
      <c r="F1093" s="7">
        <v>17.11</v>
      </c>
      <c r="G1093" s="7">
        <v>17.05</v>
      </c>
      <c r="H1093" s="7"/>
      <c r="I1093" s="7"/>
      <c r="J1093" s="7"/>
      <c r="K1093" s="7">
        <v>1.0720000000000001</v>
      </c>
      <c r="L1093" s="7">
        <v>279.8</v>
      </c>
      <c r="M1093" s="7">
        <v>0</v>
      </c>
      <c r="N1093" s="7"/>
      <c r="O1093">
        <v>30.29</v>
      </c>
      <c r="P1093">
        <v>2.4119999999999999</v>
      </c>
      <c r="Q1093">
        <v>17.690000000000001</v>
      </c>
      <c r="S1093">
        <v>17.04</v>
      </c>
      <c r="T1093">
        <v>0</v>
      </c>
      <c r="U1093">
        <v>100.6</v>
      </c>
      <c r="V1093">
        <v>502.2</v>
      </c>
      <c r="W1093">
        <v>19.649999999999999</v>
      </c>
      <c r="Y1093">
        <v>13.48</v>
      </c>
    </row>
    <row r="1094" spans="1:25" x14ac:dyDescent="0.25">
      <c r="A1094">
        <v>2006</v>
      </c>
      <c r="B1094">
        <v>166</v>
      </c>
      <c r="C1094">
        <v>2100</v>
      </c>
      <c r="D1094" s="7">
        <v>11.21</v>
      </c>
      <c r="E1094" s="7">
        <v>-9.73</v>
      </c>
      <c r="F1094" s="7">
        <v>16.43</v>
      </c>
      <c r="G1094" s="7">
        <v>16.36</v>
      </c>
      <c r="H1094" s="7"/>
      <c r="I1094" s="7"/>
      <c r="J1094" s="7"/>
      <c r="K1094" s="7">
        <v>0.60099999999999998</v>
      </c>
      <c r="L1094" s="7">
        <v>264.5</v>
      </c>
      <c r="M1094" s="7">
        <v>0</v>
      </c>
      <c r="N1094" s="7"/>
      <c r="O1094">
        <v>4.0519999999999996</v>
      </c>
      <c r="P1094">
        <v>-6.3920000000000003</v>
      </c>
      <c r="Q1094">
        <v>17.649999999999999</v>
      </c>
      <c r="S1094">
        <v>17.079999999999998</v>
      </c>
      <c r="T1094">
        <v>0</v>
      </c>
      <c r="U1094">
        <v>100.7</v>
      </c>
      <c r="V1094">
        <v>501.8</v>
      </c>
      <c r="W1094">
        <v>19.63</v>
      </c>
      <c r="Y1094">
        <v>13.36</v>
      </c>
    </row>
    <row r="1095" spans="1:25" x14ac:dyDescent="0.25">
      <c r="A1095">
        <v>2006</v>
      </c>
      <c r="B1095">
        <v>166</v>
      </c>
      <c r="C1095">
        <v>2200</v>
      </c>
      <c r="D1095" s="7">
        <v>-1.78</v>
      </c>
      <c r="E1095" s="7">
        <v>-28.34</v>
      </c>
      <c r="F1095" s="7">
        <v>15.21</v>
      </c>
      <c r="G1095" s="7">
        <v>15.06</v>
      </c>
      <c r="H1095" s="7"/>
      <c r="I1095" s="7"/>
      <c r="J1095" s="7"/>
      <c r="K1095" s="7">
        <v>9.0999999999999998E-2</v>
      </c>
      <c r="L1095" s="7">
        <v>241.4</v>
      </c>
      <c r="M1095" s="7">
        <v>0</v>
      </c>
      <c r="N1095" s="7"/>
      <c r="O1095">
        <v>-11.9</v>
      </c>
      <c r="P1095">
        <v>-11.58</v>
      </c>
      <c r="Q1095">
        <v>17.54</v>
      </c>
      <c r="S1095">
        <v>17.079999999999998</v>
      </c>
      <c r="T1095">
        <v>0</v>
      </c>
      <c r="U1095">
        <v>101.5</v>
      </c>
      <c r="V1095">
        <v>502.6</v>
      </c>
      <c r="W1095">
        <v>19.66</v>
      </c>
      <c r="Y1095">
        <v>13.27</v>
      </c>
    </row>
    <row r="1096" spans="1:25" x14ac:dyDescent="0.25">
      <c r="A1096">
        <v>2006</v>
      </c>
      <c r="B1096">
        <v>166</v>
      </c>
      <c r="C1096">
        <v>2300</v>
      </c>
      <c r="D1096" s="7">
        <v>-2.3279999999999998</v>
      </c>
      <c r="E1096" s="7">
        <v>-30.95</v>
      </c>
      <c r="F1096" s="7">
        <v>13.94</v>
      </c>
      <c r="G1096" s="7">
        <v>13.74</v>
      </c>
      <c r="H1096" s="7"/>
      <c r="I1096" s="7"/>
      <c r="J1096" s="7"/>
      <c r="K1096" s="7">
        <v>0.11700000000000001</v>
      </c>
      <c r="L1096" s="7">
        <v>205</v>
      </c>
      <c r="M1096" s="7">
        <v>0</v>
      </c>
      <c r="N1096" s="7"/>
      <c r="O1096">
        <v>-12.24</v>
      </c>
      <c r="P1096">
        <v>-11.58</v>
      </c>
      <c r="Q1096">
        <v>17.399999999999999</v>
      </c>
      <c r="S1096">
        <v>17.03</v>
      </c>
      <c r="T1096">
        <v>0</v>
      </c>
      <c r="U1096">
        <v>102.2</v>
      </c>
      <c r="V1096">
        <v>504.4</v>
      </c>
      <c r="W1096">
        <v>19.75</v>
      </c>
      <c r="Y1096">
        <v>13.19</v>
      </c>
    </row>
    <row r="1097" spans="1:25" x14ac:dyDescent="0.25">
      <c r="A1097">
        <v>2006</v>
      </c>
      <c r="B1097">
        <v>166</v>
      </c>
      <c r="C1097">
        <v>2400</v>
      </c>
      <c r="D1097" s="7">
        <v>-1.726</v>
      </c>
      <c r="E1097" s="7">
        <v>-24.39</v>
      </c>
      <c r="F1097" s="7">
        <v>12.81</v>
      </c>
      <c r="G1097" s="7">
        <v>12.65</v>
      </c>
      <c r="H1097" s="7"/>
      <c r="I1097" s="7"/>
      <c r="J1097" s="7"/>
      <c r="K1097" s="7">
        <v>6.5000000000000002E-2</v>
      </c>
      <c r="L1097" s="7">
        <v>281.60000000000002</v>
      </c>
      <c r="M1097" s="7">
        <v>0</v>
      </c>
      <c r="N1097" s="7"/>
      <c r="O1097">
        <v>-12.17</v>
      </c>
      <c r="P1097">
        <v>-11.48</v>
      </c>
      <c r="Q1097">
        <v>17.23</v>
      </c>
      <c r="S1097">
        <v>16.97</v>
      </c>
      <c r="T1097">
        <v>0</v>
      </c>
      <c r="U1097">
        <v>101.7</v>
      </c>
      <c r="V1097">
        <v>505.6</v>
      </c>
      <c r="W1097">
        <v>19.8</v>
      </c>
      <c r="Y1097">
        <v>13.13</v>
      </c>
    </row>
    <row r="1098" spans="1:25" x14ac:dyDescent="0.25">
      <c r="A1098">
        <v>2006</v>
      </c>
      <c r="B1098">
        <v>167</v>
      </c>
      <c r="C1098">
        <v>100</v>
      </c>
      <c r="D1098" s="7">
        <v>-0.124</v>
      </c>
      <c r="E1098" s="7">
        <v>-12.3</v>
      </c>
      <c r="F1098" s="7">
        <v>13.75</v>
      </c>
      <c r="G1098" s="7">
        <v>13.83</v>
      </c>
      <c r="H1098" s="7"/>
      <c r="I1098" s="7"/>
      <c r="J1098" s="7"/>
      <c r="K1098" s="7">
        <v>0.187</v>
      </c>
      <c r="L1098" s="7">
        <v>282</v>
      </c>
      <c r="M1098" s="7">
        <v>0</v>
      </c>
      <c r="N1098" s="7"/>
      <c r="O1098">
        <v>-12.17</v>
      </c>
      <c r="P1098">
        <v>-11.47</v>
      </c>
      <c r="Q1098">
        <v>17.05</v>
      </c>
      <c r="S1098">
        <v>16.899999999999999</v>
      </c>
      <c r="T1098">
        <v>0</v>
      </c>
      <c r="U1098">
        <v>99.1</v>
      </c>
      <c r="V1098">
        <v>509.4</v>
      </c>
      <c r="W1098">
        <v>19.98</v>
      </c>
      <c r="Y1098">
        <v>13.07</v>
      </c>
    </row>
    <row r="1099" spans="1:25" x14ac:dyDescent="0.25">
      <c r="A1099">
        <v>2006</v>
      </c>
      <c r="B1099">
        <v>167</v>
      </c>
      <c r="C1099">
        <v>200</v>
      </c>
      <c r="D1099" s="7">
        <v>-0.54800000000000004</v>
      </c>
      <c r="E1099" s="7">
        <v>-12.16</v>
      </c>
      <c r="F1099" s="7">
        <v>14.16</v>
      </c>
      <c r="G1099" s="7">
        <v>14.36</v>
      </c>
      <c r="H1099" s="7"/>
      <c r="I1099" s="7"/>
      <c r="J1099" s="7"/>
      <c r="K1099" s="7">
        <v>0.39500000000000002</v>
      </c>
      <c r="L1099" s="7">
        <v>284.3</v>
      </c>
      <c r="M1099" s="7">
        <v>0</v>
      </c>
      <c r="N1099" s="7"/>
      <c r="O1099">
        <v>-12.16</v>
      </c>
      <c r="P1099">
        <v>-11.47</v>
      </c>
      <c r="Q1099">
        <v>16.899999999999999</v>
      </c>
      <c r="S1099">
        <v>16.8</v>
      </c>
      <c r="T1099">
        <v>0</v>
      </c>
      <c r="U1099">
        <v>97.9</v>
      </c>
      <c r="V1099">
        <v>512.5</v>
      </c>
      <c r="W1099">
        <v>20.13</v>
      </c>
      <c r="Y1099">
        <v>13.01</v>
      </c>
    </row>
    <row r="1100" spans="1:25" x14ac:dyDescent="0.25">
      <c r="A1100">
        <v>2006</v>
      </c>
      <c r="B1100">
        <v>167</v>
      </c>
      <c r="C1100">
        <v>300</v>
      </c>
      <c r="D1100" s="7">
        <v>-0.66900000000000004</v>
      </c>
      <c r="E1100" s="7">
        <v>-11.66</v>
      </c>
      <c r="F1100" s="7">
        <v>14.26</v>
      </c>
      <c r="G1100" s="7">
        <v>14.46</v>
      </c>
      <c r="H1100" s="7"/>
      <c r="I1100" s="7"/>
      <c r="J1100" s="7"/>
      <c r="K1100" s="7">
        <v>0.70799999999999996</v>
      </c>
      <c r="L1100" s="7">
        <v>250.5</v>
      </c>
      <c r="M1100" s="7">
        <v>0</v>
      </c>
      <c r="N1100" s="7"/>
      <c r="O1100">
        <v>-12.17</v>
      </c>
      <c r="P1100">
        <v>-11.47</v>
      </c>
      <c r="Q1100">
        <v>16.78</v>
      </c>
      <c r="S1100">
        <v>16.7</v>
      </c>
      <c r="T1100">
        <v>0</v>
      </c>
      <c r="U1100">
        <v>97.9</v>
      </c>
      <c r="V1100">
        <v>504.6</v>
      </c>
      <c r="W1100">
        <v>19.760000000000002</v>
      </c>
      <c r="Y1100">
        <v>12.97</v>
      </c>
    </row>
    <row r="1101" spans="1:25" x14ac:dyDescent="0.25">
      <c r="A1101">
        <v>2006</v>
      </c>
      <c r="B1101">
        <v>167</v>
      </c>
      <c r="C1101">
        <v>400</v>
      </c>
      <c r="D1101" s="7">
        <v>-0.22600000000000001</v>
      </c>
      <c r="E1101" s="7">
        <v>-17.3</v>
      </c>
      <c r="F1101" s="7">
        <v>13.98</v>
      </c>
      <c r="G1101" s="7">
        <v>14.04</v>
      </c>
      <c r="H1101" s="7"/>
      <c r="I1101" s="7"/>
      <c r="J1101" s="7"/>
      <c r="K1101" s="7">
        <v>0.754</v>
      </c>
      <c r="L1101" s="7">
        <v>258.60000000000002</v>
      </c>
      <c r="M1101" s="7">
        <v>0</v>
      </c>
      <c r="N1101" s="7"/>
      <c r="O1101">
        <v>-10.39</v>
      </c>
      <c r="P1101">
        <v>-10.98</v>
      </c>
      <c r="Q1101">
        <v>16.68</v>
      </c>
      <c r="S1101">
        <v>16.600000000000001</v>
      </c>
      <c r="T1101">
        <v>0</v>
      </c>
      <c r="U1101">
        <v>99.4</v>
      </c>
      <c r="V1101">
        <v>507.4</v>
      </c>
      <c r="W1101">
        <v>19.88</v>
      </c>
      <c r="Y1101">
        <v>12.94</v>
      </c>
    </row>
    <row r="1102" spans="1:25" x14ac:dyDescent="0.25">
      <c r="A1102">
        <v>2006</v>
      </c>
      <c r="B1102">
        <v>167</v>
      </c>
      <c r="C1102">
        <v>500</v>
      </c>
      <c r="D1102" s="7">
        <v>14.34</v>
      </c>
      <c r="E1102" s="7">
        <v>-5.3029999999999999</v>
      </c>
      <c r="F1102" s="7">
        <v>14.07</v>
      </c>
      <c r="G1102" s="7">
        <v>14.13</v>
      </c>
      <c r="H1102" s="7"/>
      <c r="I1102" s="7"/>
      <c r="J1102" s="7"/>
      <c r="K1102" s="7">
        <v>1.034</v>
      </c>
      <c r="L1102" s="7">
        <v>259.39999999999998</v>
      </c>
      <c r="M1102" s="7">
        <v>0</v>
      </c>
      <c r="N1102" s="7"/>
      <c r="O1102">
        <v>10.49</v>
      </c>
      <c r="P1102">
        <v>-4.6379999999999999</v>
      </c>
      <c r="Q1102">
        <v>16.59</v>
      </c>
      <c r="S1102">
        <v>16.510000000000002</v>
      </c>
      <c r="T1102">
        <v>0</v>
      </c>
      <c r="U1102">
        <v>99.4</v>
      </c>
      <c r="V1102">
        <v>508</v>
      </c>
      <c r="W1102">
        <v>19.920000000000002</v>
      </c>
      <c r="Y1102">
        <v>12.93</v>
      </c>
    </row>
    <row r="1103" spans="1:25" x14ac:dyDescent="0.25">
      <c r="A1103">
        <v>2006</v>
      </c>
      <c r="B1103">
        <v>167</v>
      </c>
      <c r="C1103">
        <v>600</v>
      </c>
      <c r="D1103" s="7">
        <v>47.03</v>
      </c>
      <c r="E1103" s="7">
        <v>13.56</v>
      </c>
      <c r="F1103" s="7">
        <v>14.08</v>
      </c>
      <c r="G1103" s="7">
        <v>14.19</v>
      </c>
      <c r="H1103" s="7"/>
      <c r="I1103" s="7"/>
      <c r="J1103" s="7"/>
      <c r="K1103" s="7">
        <v>1.288</v>
      </c>
      <c r="L1103" s="7">
        <v>266.10000000000002</v>
      </c>
      <c r="M1103" s="7">
        <v>0</v>
      </c>
      <c r="N1103" s="7"/>
      <c r="O1103">
        <v>55.81</v>
      </c>
      <c r="P1103">
        <v>9.66</v>
      </c>
      <c r="Q1103">
        <v>16.52</v>
      </c>
      <c r="S1103">
        <v>16.45</v>
      </c>
      <c r="T1103">
        <v>0</v>
      </c>
      <c r="U1103">
        <v>98.9</v>
      </c>
      <c r="V1103">
        <v>507.1</v>
      </c>
      <c r="W1103">
        <v>19.87</v>
      </c>
      <c r="Y1103">
        <v>12.99</v>
      </c>
    </row>
    <row r="1104" spans="1:25" x14ac:dyDescent="0.25">
      <c r="A1104">
        <v>2006</v>
      </c>
      <c r="B1104">
        <v>167</v>
      </c>
      <c r="C1104">
        <v>700</v>
      </c>
      <c r="D1104" s="7">
        <v>79</v>
      </c>
      <c r="E1104" s="7">
        <v>33.67</v>
      </c>
      <c r="F1104" s="7">
        <v>14.02</v>
      </c>
      <c r="G1104" s="7">
        <v>14.27</v>
      </c>
      <c r="H1104" s="7"/>
      <c r="I1104" s="7"/>
      <c r="J1104" s="7"/>
      <c r="K1104" s="7">
        <v>1.456</v>
      </c>
      <c r="L1104" s="7">
        <v>291.39999999999998</v>
      </c>
      <c r="M1104" s="7">
        <v>0.2</v>
      </c>
      <c r="N1104" s="7"/>
      <c r="O1104">
        <v>103.8</v>
      </c>
      <c r="P1104">
        <v>20.309999999999999</v>
      </c>
      <c r="Q1104">
        <v>16.46</v>
      </c>
      <c r="S1104">
        <v>16.39</v>
      </c>
      <c r="T1104">
        <v>0</v>
      </c>
      <c r="U1104">
        <v>97.4</v>
      </c>
      <c r="V1104">
        <v>507</v>
      </c>
      <c r="W1104">
        <v>19.87</v>
      </c>
      <c r="Y1104">
        <v>13.4</v>
      </c>
    </row>
    <row r="1105" spans="1:25" x14ac:dyDescent="0.25">
      <c r="A1105">
        <v>2006</v>
      </c>
      <c r="B1105">
        <v>167</v>
      </c>
      <c r="C1105">
        <v>800</v>
      </c>
      <c r="D1105" s="7">
        <v>124.9</v>
      </c>
      <c r="E1105" s="7">
        <v>64.2</v>
      </c>
      <c r="F1105" s="7">
        <v>14.41</v>
      </c>
      <c r="G1105" s="7">
        <v>14.46</v>
      </c>
      <c r="H1105" s="7"/>
      <c r="I1105" s="7"/>
      <c r="J1105" s="7"/>
      <c r="K1105" s="7">
        <v>1.276</v>
      </c>
      <c r="L1105" s="7">
        <v>277.39999999999998</v>
      </c>
      <c r="M1105" s="7">
        <v>0.2</v>
      </c>
      <c r="N1105" s="7"/>
      <c r="O1105">
        <v>166.3</v>
      </c>
      <c r="P1105">
        <v>34.54</v>
      </c>
      <c r="Q1105">
        <v>16.440000000000001</v>
      </c>
      <c r="S1105">
        <v>16.29</v>
      </c>
      <c r="T1105">
        <v>0</v>
      </c>
      <c r="U1105">
        <v>99.5</v>
      </c>
      <c r="V1105">
        <v>506.3</v>
      </c>
      <c r="W1105">
        <v>19.829999999999998</v>
      </c>
      <c r="Y1105">
        <v>13.65</v>
      </c>
    </row>
    <row r="1106" spans="1:25" x14ac:dyDescent="0.25">
      <c r="A1106">
        <v>2006</v>
      </c>
      <c r="B1106">
        <v>167</v>
      </c>
      <c r="C1106">
        <v>900</v>
      </c>
      <c r="D1106" s="7">
        <v>183.5</v>
      </c>
      <c r="E1106" s="7">
        <v>105.3</v>
      </c>
      <c r="F1106" s="7">
        <v>15</v>
      </c>
      <c r="G1106" s="7">
        <v>15.12</v>
      </c>
      <c r="H1106" s="7">
        <f>AVERAGE(G1106:G1129)</f>
        <v>15.114583333333334</v>
      </c>
      <c r="I1106" s="7">
        <f>MIN(G1106:G1129)</f>
        <v>12.84</v>
      </c>
      <c r="J1106" s="7">
        <f>MAX(G1106:G1129)</f>
        <v>17.18</v>
      </c>
      <c r="K1106" s="7">
        <v>1.3859999999999999</v>
      </c>
      <c r="L1106" s="7">
        <v>257.3</v>
      </c>
      <c r="M1106" s="7">
        <v>0</v>
      </c>
      <c r="N1106" s="7">
        <f>SUM(M1106:M1129)</f>
        <v>1.4</v>
      </c>
      <c r="O1106">
        <v>240.3</v>
      </c>
      <c r="P1106">
        <v>55.36</v>
      </c>
      <c r="Q1106">
        <v>16.489999999999998</v>
      </c>
      <c r="S1106">
        <v>16.28</v>
      </c>
      <c r="T1106">
        <v>0</v>
      </c>
      <c r="U1106">
        <v>98.7</v>
      </c>
      <c r="V1106">
        <v>505.2</v>
      </c>
      <c r="W1106">
        <v>19.78</v>
      </c>
      <c r="Y1106">
        <v>13.8</v>
      </c>
    </row>
    <row r="1107" spans="1:25" x14ac:dyDescent="0.25">
      <c r="A1107">
        <v>2006</v>
      </c>
      <c r="B1107">
        <v>167</v>
      </c>
      <c r="C1107">
        <v>1000</v>
      </c>
      <c r="D1107" s="7">
        <v>176.8</v>
      </c>
      <c r="E1107" s="7">
        <v>100</v>
      </c>
      <c r="F1107" s="7">
        <v>14.82</v>
      </c>
      <c r="G1107" s="7">
        <v>14.95</v>
      </c>
      <c r="H1107" s="7"/>
      <c r="I1107" s="7"/>
      <c r="J1107" s="7"/>
      <c r="K1107" s="7">
        <v>1.544</v>
      </c>
      <c r="L1107" s="7">
        <v>253.5</v>
      </c>
      <c r="M1107" s="7">
        <v>0.4</v>
      </c>
      <c r="N1107" s="7"/>
      <c r="O1107">
        <v>237.2</v>
      </c>
      <c r="P1107">
        <v>55.66</v>
      </c>
      <c r="Q1107">
        <v>16.559999999999999</v>
      </c>
      <c r="S1107">
        <v>16.260000000000002</v>
      </c>
      <c r="T1107">
        <v>0</v>
      </c>
      <c r="U1107">
        <v>98.6</v>
      </c>
      <c r="V1107">
        <v>504.4</v>
      </c>
      <c r="W1107">
        <v>19.75</v>
      </c>
      <c r="Y1107">
        <v>13.82</v>
      </c>
    </row>
    <row r="1108" spans="1:25" x14ac:dyDescent="0.25">
      <c r="A1108">
        <v>2006</v>
      </c>
      <c r="B1108">
        <v>167</v>
      </c>
      <c r="C1108">
        <v>1100</v>
      </c>
      <c r="D1108" s="7">
        <v>145.6</v>
      </c>
      <c r="E1108" s="7">
        <v>85.1</v>
      </c>
      <c r="F1108" s="7">
        <v>13.44</v>
      </c>
      <c r="G1108" s="7">
        <v>13.14</v>
      </c>
      <c r="H1108" s="7"/>
      <c r="I1108" s="7"/>
      <c r="J1108" s="7"/>
      <c r="K1108" s="7">
        <v>1.6040000000000001</v>
      </c>
      <c r="L1108" s="7">
        <v>310.89999999999998</v>
      </c>
      <c r="M1108" s="7">
        <v>0.4</v>
      </c>
      <c r="N1108" s="7"/>
      <c r="O1108">
        <v>192.5</v>
      </c>
      <c r="P1108">
        <v>43.36</v>
      </c>
      <c r="Q1108">
        <v>16.649999999999999</v>
      </c>
      <c r="S1108">
        <v>16.22</v>
      </c>
      <c r="T1108">
        <v>0</v>
      </c>
      <c r="U1108">
        <v>103.3</v>
      </c>
      <c r="V1108">
        <v>504.3</v>
      </c>
      <c r="W1108">
        <v>19.739999999999998</v>
      </c>
      <c r="Y1108">
        <v>13.77</v>
      </c>
    </row>
    <row r="1109" spans="1:25" x14ac:dyDescent="0.25">
      <c r="A1109">
        <v>2006</v>
      </c>
      <c r="B1109">
        <v>167</v>
      </c>
      <c r="C1109">
        <v>1200</v>
      </c>
      <c r="D1109" s="7">
        <v>261.10000000000002</v>
      </c>
      <c r="E1109" s="7">
        <v>159.80000000000001</v>
      </c>
      <c r="F1109" s="7">
        <v>13.4</v>
      </c>
      <c r="G1109" s="7">
        <v>13.2</v>
      </c>
      <c r="H1109" s="7"/>
      <c r="I1109" s="7"/>
      <c r="J1109" s="7"/>
      <c r="K1109" s="7">
        <v>1.4970000000000001</v>
      </c>
      <c r="L1109" s="7">
        <v>313.60000000000002</v>
      </c>
      <c r="M1109" s="7">
        <v>0.2</v>
      </c>
      <c r="N1109" s="7"/>
      <c r="O1109">
        <v>348.7</v>
      </c>
      <c r="P1109">
        <v>91.9</v>
      </c>
      <c r="Q1109">
        <v>16.690000000000001</v>
      </c>
      <c r="S1109">
        <v>16.23</v>
      </c>
      <c r="T1109">
        <v>0</v>
      </c>
      <c r="U1109">
        <v>102.2</v>
      </c>
      <c r="V1109">
        <v>504.6</v>
      </c>
      <c r="W1109">
        <v>19.760000000000002</v>
      </c>
      <c r="Y1109">
        <v>13.89</v>
      </c>
    </row>
    <row r="1110" spans="1:25" x14ac:dyDescent="0.25">
      <c r="A1110">
        <v>2006</v>
      </c>
      <c r="B1110">
        <v>167</v>
      </c>
      <c r="C1110">
        <v>1300</v>
      </c>
      <c r="D1110" s="7">
        <v>410.8</v>
      </c>
      <c r="E1110" s="7">
        <v>256.2</v>
      </c>
      <c r="F1110" s="7">
        <v>15.14</v>
      </c>
      <c r="G1110" s="7">
        <v>15.22</v>
      </c>
      <c r="H1110" s="7"/>
      <c r="I1110" s="7"/>
      <c r="J1110" s="7"/>
      <c r="K1110" s="7">
        <v>1.206</v>
      </c>
      <c r="L1110" s="7">
        <v>272.3</v>
      </c>
      <c r="M1110" s="7">
        <v>0.2</v>
      </c>
      <c r="N1110" s="7"/>
      <c r="O1110">
        <v>542.5</v>
      </c>
      <c r="P1110">
        <v>153.30000000000001</v>
      </c>
      <c r="Q1110">
        <v>16.79</v>
      </c>
      <c r="S1110">
        <v>16.34</v>
      </c>
      <c r="T1110">
        <v>0</v>
      </c>
      <c r="U1110">
        <v>99.2</v>
      </c>
      <c r="V1110">
        <v>504.8</v>
      </c>
      <c r="W1110">
        <v>19.77</v>
      </c>
      <c r="Y1110">
        <v>14.13</v>
      </c>
    </row>
    <row r="1111" spans="1:25" x14ac:dyDescent="0.25">
      <c r="A1111">
        <v>2006</v>
      </c>
      <c r="B1111">
        <v>167</v>
      </c>
      <c r="C1111">
        <v>1400</v>
      </c>
      <c r="D1111" s="7">
        <v>306.8</v>
      </c>
      <c r="E1111" s="7">
        <v>175.6</v>
      </c>
      <c r="F1111" s="7">
        <v>16.010000000000002</v>
      </c>
      <c r="G1111" s="7">
        <v>16.3</v>
      </c>
      <c r="H1111" s="7"/>
      <c r="I1111" s="7"/>
      <c r="J1111" s="7"/>
      <c r="K1111" s="7">
        <v>1.51</v>
      </c>
      <c r="L1111" s="7">
        <v>260.89999999999998</v>
      </c>
      <c r="M1111" s="7">
        <v>0</v>
      </c>
      <c r="N1111" s="7"/>
      <c r="O1111">
        <v>396.6</v>
      </c>
      <c r="P1111">
        <v>130.5</v>
      </c>
      <c r="Q1111">
        <v>16.940000000000001</v>
      </c>
      <c r="S1111">
        <v>16.38</v>
      </c>
      <c r="T1111">
        <v>0</v>
      </c>
      <c r="U1111">
        <v>97.1</v>
      </c>
      <c r="V1111">
        <v>503</v>
      </c>
      <c r="W1111">
        <v>19.68</v>
      </c>
      <c r="Y1111">
        <v>14</v>
      </c>
    </row>
    <row r="1112" spans="1:25" x14ac:dyDescent="0.25">
      <c r="A1112">
        <v>2006</v>
      </c>
      <c r="B1112">
        <v>167</v>
      </c>
      <c r="C1112">
        <v>1500</v>
      </c>
      <c r="D1112" s="7">
        <v>242.2</v>
      </c>
      <c r="E1112" s="7">
        <v>131.6</v>
      </c>
      <c r="F1112" s="7">
        <v>16.3</v>
      </c>
      <c r="G1112" s="7">
        <v>16.440000000000001</v>
      </c>
      <c r="H1112" s="7"/>
      <c r="I1112" s="7"/>
      <c r="J1112" s="7"/>
      <c r="K1112" s="7">
        <v>1.91</v>
      </c>
      <c r="L1112" s="7">
        <v>281.39999999999998</v>
      </c>
      <c r="M1112" s="7">
        <v>0</v>
      </c>
      <c r="N1112" s="7"/>
      <c r="O1112">
        <v>315.2</v>
      </c>
      <c r="P1112">
        <v>107.9</v>
      </c>
      <c r="Q1112">
        <v>17.100000000000001</v>
      </c>
      <c r="S1112">
        <v>16.41</v>
      </c>
      <c r="T1112">
        <v>0</v>
      </c>
      <c r="U1112">
        <v>98.6</v>
      </c>
      <c r="V1112">
        <v>502.4</v>
      </c>
      <c r="W1112">
        <v>19.66</v>
      </c>
      <c r="Y1112">
        <v>13.92</v>
      </c>
    </row>
    <row r="1113" spans="1:25" x14ac:dyDescent="0.25">
      <c r="A1113">
        <v>2006</v>
      </c>
      <c r="B1113">
        <v>167</v>
      </c>
      <c r="C1113">
        <v>1600</v>
      </c>
      <c r="D1113" s="7">
        <v>222</v>
      </c>
      <c r="E1113" s="7">
        <v>119.3</v>
      </c>
      <c r="F1113" s="7">
        <v>16.940000000000001</v>
      </c>
      <c r="G1113" s="7">
        <v>17.010000000000002</v>
      </c>
      <c r="H1113" s="7"/>
      <c r="I1113" s="7"/>
      <c r="J1113" s="7"/>
      <c r="K1113" s="7">
        <v>1.6930000000000001</v>
      </c>
      <c r="L1113" s="7">
        <v>283.39999999999998</v>
      </c>
      <c r="M1113" s="7">
        <v>0</v>
      </c>
      <c r="N1113" s="7"/>
      <c r="O1113">
        <v>279.3</v>
      </c>
      <c r="P1113">
        <v>91.8</v>
      </c>
      <c r="Q1113">
        <v>17.260000000000002</v>
      </c>
      <c r="S1113">
        <v>16.5</v>
      </c>
      <c r="T1113">
        <v>0</v>
      </c>
      <c r="U1113">
        <v>99.3</v>
      </c>
      <c r="V1113">
        <v>501.5</v>
      </c>
      <c r="W1113">
        <v>19.61</v>
      </c>
      <c r="Y1113">
        <v>13.89</v>
      </c>
    </row>
    <row r="1114" spans="1:25" x14ac:dyDescent="0.25">
      <c r="A1114">
        <v>2006</v>
      </c>
      <c r="B1114">
        <v>167</v>
      </c>
      <c r="C1114">
        <v>1700</v>
      </c>
      <c r="D1114" s="7">
        <v>116.9</v>
      </c>
      <c r="E1114" s="7">
        <v>56.24</v>
      </c>
      <c r="F1114" s="7">
        <v>16.64</v>
      </c>
      <c r="G1114" s="7">
        <v>16.62</v>
      </c>
      <c r="H1114" s="7"/>
      <c r="I1114" s="7"/>
      <c r="J1114" s="7"/>
      <c r="K1114" s="7">
        <v>1.3939999999999999</v>
      </c>
      <c r="L1114" s="7">
        <v>334.8</v>
      </c>
      <c r="M1114" s="7">
        <v>0</v>
      </c>
      <c r="N1114" s="7"/>
      <c r="O1114">
        <v>142.9</v>
      </c>
      <c r="P1114">
        <v>41.55</v>
      </c>
      <c r="Q1114">
        <v>17.39</v>
      </c>
      <c r="S1114">
        <v>16.57</v>
      </c>
      <c r="T1114">
        <v>0</v>
      </c>
      <c r="U1114">
        <v>100.2</v>
      </c>
      <c r="V1114">
        <v>501.2</v>
      </c>
      <c r="W1114">
        <v>19.600000000000001</v>
      </c>
      <c r="Y1114">
        <v>13.75</v>
      </c>
    </row>
    <row r="1115" spans="1:25" x14ac:dyDescent="0.25">
      <c r="A1115">
        <v>2006</v>
      </c>
      <c r="B1115">
        <v>167</v>
      </c>
      <c r="C1115">
        <v>1800</v>
      </c>
      <c r="D1115" s="7">
        <v>81.400000000000006</v>
      </c>
      <c r="E1115" s="7">
        <v>35.44</v>
      </c>
      <c r="F1115" s="7">
        <v>16.510000000000002</v>
      </c>
      <c r="G1115" s="7">
        <v>16.48</v>
      </c>
      <c r="H1115" s="7"/>
      <c r="I1115" s="7"/>
      <c r="J1115" s="7"/>
      <c r="K1115" s="7">
        <v>1.0029999999999999</v>
      </c>
      <c r="L1115" s="7">
        <v>0</v>
      </c>
      <c r="M1115" s="7">
        <v>0.2</v>
      </c>
      <c r="N1115" s="7"/>
      <c r="O1115">
        <v>98.2</v>
      </c>
      <c r="P1115">
        <v>25.32</v>
      </c>
      <c r="Q1115">
        <v>17.45</v>
      </c>
      <c r="S1115">
        <v>16.649999999999999</v>
      </c>
      <c r="T1115">
        <v>0</v>
      </c>
      <c r="U1115">
        <v>100.3</v>
      </c>
      <c r="V1115">
        <v>501.1</v>
      </c>
      <c r="W1115">
        <v>19.59</v>
      </c>
      <c r="Y1115">
        <v>13.62</v>
      </c>
    </row>
    <row r="1116" spans="1:25" x14ac:dyDescent="0.25">
      <c r="A1116">
        <v>2006</v>
      </c>
      <c r="B1116">
        <v>167</v>
      </c>
      <c r="C1116">
        <v>1900</v>
      </c>
      <c r="D1116" s="7">
        <v>34.86</v>
      </c>
      <c r="E1116" s="7">
        <v>8.18</v>
      </c>
      <c r="F1116" s="7">
        <v>16.36</v>
      </c>
      <c r="G1116" s="7">
        <v>16.29</v>
      </c>
      <c r="H1116" s="7"/>
      <c r="I1116" s="7"/>
      <c r="J1116" s="7"/>
      <c r="K1116" s="7">
        <v>0.73</v>
      </c>
      <c r="L1116" s="7">
        <v>0</v>
      </c>
      <c r="M1116" s="7">
        <v>0</v>
      </c>
      <c r="N1116" s="7"/>
      <c r="O1116">
        <v>36.590000000000003</v>
      </c>
      <c r="P1116">
        <v>4.3959999999999999</v>
      </c>
      <c r="Q1116">
        <v>17.45</v>
      </c>
      <c r="S1116">
        <v>16.690000000000001</v>
      </c>
      <c r="T1116">
        <v>0</v>
      </c>
      <c r="U1116">
        <v>100.7</v>
      </c>
      <c r="V1116">
        <v>501.9</v>
      </c>
      <c r="W1116">
        <v>19.63</v>
      </c>
      <c r="Y1116">
        <v>13.56</v>
      </c>
    </row>
    <row r="1117" spans="1:25" x14ac:dyDescent="0.25">
      <c r="A1117">
        <v>2006</v>
      </c>
      <c r="B1117">
        <v>167</v>
      </c>
      <c r="C1117">
        <v>2000</v>
      </c>
      <c r="D1117" s="7">
        <v>8.07</v>
      </c>
      <c r="E1117" s="7">
        <v>-6.7460000000000004</v>
      </c>
      <c r="F1117" s="7">
        <v>16.149999999999999</v>
      </c>
      <c r="G1117" s="7">
        <v>16.11</v>
      </c>
      <c r="H1117" s="7"/>
      <c r="I1117" s="7"/>
      <c r="J1117" s="7"/>
      <c r="K1117" s="7">
        <v>0.35499999999999998</v>
      </c>
      <c r="L1117" s="7">
        <v>0</v>
      </c>
      <c r="M1117" s="7">
        <v>0</v>
      </c>
      <c r="N1117" s="7"/>
      <c r="O1117">
        <v>0.83099999999999996</v>
      </c>
      <c r="P1117">
        <v>-7.45</v>
      </c>
      <c r="Q1117">
        <v>17.45</v>
      </c>
      <c r="S1117">
        <v>16.739999999999998</v>
      </c>
      <c r="T1117">
        <v>0</v>
      </c>
      <c r="U1117">
        <v>100.4</v>
      </c>
      <c r="V1117">
        <v>504.1</v>
      </c>
      <c r="W1117">
        <v>19.73</v>
      </c>
      <c r="Y1117">
        <v>13.43</v>
      </c>
    </row>
    <row r="1118" spans="1:25" x14ac:dyDescent="0.25">
      <c r="A1118">
        <v>2006</v>
      </c>
      <c r="B1118">
        <v>167</v>
      </c>
      <c r="C1118">
        <v>2100</v>
      </c>
      <c r="D1118" s="7">
        <v>3.0720000000000001</v>
      </c>
      <c r="E1118" s="7">
        <v>-8.9</v>
      </c>
      <c r="F1118" s="7">
        <v>16.04</v>
      </c>
      <c r="G1118" s="7">
        <v>15.93</v>
      </c>
      <c r="H1118" s="7"/>
      <c r="I1118" s="7"/>
      <c r="J1118" s="7"/>
      <c r="K1118" s="7">
        <v>0.20499999999999999</v>
      </c>
      <c r="L1118" s="7">
        <v>0</v>
      </c>
      <c r="M1118" s="7">
        <v>0</v>
      </c>
      <c r="N1118" s="7"/>
      <c r="O1118">
        <v>-5.6239999999999997</v>
      </c>
      <c r="P1118">
        <v>-9.5500000000000007</v>
      </c>
      <c r="Q1118">
        <v>17.39</v>
      </c>
      <c r="S1118">
        <v>16.72</v>
      </c>
      <c r="T1118">
        <v>0</v>
      </c>
      <c r="U1118">
        <v>101.2</v>
      </c>
      <c r="V1118">
        <v>505.3</v>
      </c>
      <c r="W1118">
        <v>19.79</v>
      </c>
      <c r="Y1118">
        <v>13.33</v>
      </c>
    </row>
    <row r="1119" spans="1:25" x14ac:dyDescent="0.25">
      <c r="A1119">
        <v>2006</v>
      </c>
      <c r="B1119">
        <v>167</v>
      </c>
      <c r="C1119">
        <v>2200</v>
      </c>
      <c r="D1119" s="7">
        <v>-0.60599999999999998</v>
      </c>
      <c r="E1119" s="7">
        <v>-11.27</v>
      </c>
      <c r="F1119" s="7">
        <v>15.74</v>
      </c>
      <c r="G1119" s="7">
        <v>15.61</v>
      </c>
      <c r="H1119" s="7"/>
      <c r="I1119" s="7"/>
      <c r="J1119" s="7"/>
      <c r="K1119" s="7">
        <v>0.22800000000000001</v>
      </c>
      <c r="L1119" s="7">
        <v>346.1</v>
      </c>
      <c r="M1119" s="7">
        <v>0</v>
      </c>
      <c r="N1119" s="7"/>
      <c r="O1119">
        <v>-11.99</v>
      </c>
      <c r="P1119">
        <v>-11.49</v>
      </c>
      <c r="Q1119">
        <v>17.350000000000001</v>
      </c>
      <c r="S1119">
        <v>16.75</v>
      </c>
      <c r="T1119">
        <v>0</v>
      </c>
      <c r="U1119">
        <v>101.4</v>
      </c>
      <c r="V1119">
        <v>507.8</v>
      </c>
      <c r="W1119">
        <v>19.91</v>
      </c>
      <c r="Y1119">
        <v>13.25</v>
      </c>
    </row>
    <row r="1120" spans="1:25" x14ac:dyDescent="0.25">
      <c r="A1120">
        <v>2006</v>
      </c>
      <c r="B1120">
        <v>167</v>
      </c>
      <c r="C1120">
        <v>2300</v>
      </c>
      <c r="D1120" s="7">
        <v>-0.90100000000000002</v>
      </c>
      <c r="E1120" s="7">
        <v>-13.63</v>
      </c>
      <c r="F1120" s="7">
        <v>15.37</v>
      </c>
      <c r="G1120" s="7">
        <v>15.27</v>
      </c>
      <c r="H1120" s="7"/>
      <c r="I1120" s="7"/>
      <c r="J1120" s="7"/>
      <c r="K1120" s="7">
        <v>0.20200000000000001</v>
      </c>
      <c r="L1120" s="7">
        <v>200.6</v>
      </c>
      <c r="M1120" s="7">
        <v>0</v>
      </c>
      <c r="N1120" s="7"/>
      <c r="O1120">
        <v>-12.17</v>
      </c>
      <c r="P1120">
        <v>-11.48</v>
      </c>
      <c r="Q1120">
        <v>17.260000000000002</v>
      </c>
      <c r="S1120">
        <v>16.71</v>
      </c>
      <c r="T1120">
        <v>0</v>
      </c>
      <c r="U1120">
        <v>101.1</v>
      </c>
      <c r="V1120">
        <v>511.2</v>
      </c>
      <c r="W1120">
        <v>20.059999999999999</v>
      </c>
      <c r="Y1120">
        <v>13.18</v>
      </c>
    </row>
    <row r="1121" spans="1:25" x14ac:dyDescent="0.25">
      <c r="A1121">
        <v>2006</v>
      </c>
      <c r="B1121">
        <v>167</v>
      </c>
      <c r="C1121">
        <v>2400</v>
      </c>
      <c r="D1121" s="7">
        <v>-1.6339999999999999</v>
      </c>
      <c r="E1121" s="7">
        <v>-18.78</v>
      </c>
      <c r="F1121" s="7">
        <v>14.61</v>
      </c>
      <c r="G1121" s="7">
        <v>14.51</v>
      </c>
      <c r="H1121" s="7"/>
      <c r="I1121" s="7"/>
      <c r="J1121" s="7"/>
      <c r="K1121" s="7">
        <v>9.4E-2</v>
      </c>
      <c r="L1121" s="7">
        <v>125.1</v>
      </c>
      <c r="M1121" s="7">
        <v>0</v>
      </c>
      <c r="N1121" s="7"/>
      <c r="O1121">
        <v>-12.17</v>
      </c>
      <c r="P1121">
        <v>-11.47</v>
      </c>
      <c r="Q1121">
        <v>17.149999999999999</v>
      </c>
      <c r="S1121">
        <v>16.649999999999999</v>
      </c>
      <c r="T1121">
        <v>0</v>
      </c>
      <c r="U1121">
        <v>101.1</v>
      </c>
      <c r="V1121">
        <v>520.70000000000005</v>
      </c>
      <c r="W1121">
        <v>20.5</v>
      </c>
      <c r="Y1121">
        <v>13.12</v>
      </c>
    </row>
    <row r="1122" spans="1:25" x14ac:dyDescent="0.25">
      <c r="A1122">
        <v>2006</v>
      </c>
      <c r="B1122">
        <v>168</v>
      </c>
      <c r="C1122">
        <v>100</v>
      </c>
      <c r="D1122" s="7">
        <v>-1.145</v>
      </c>
      <c r="E1122" s="7">
        <v>-15.83</v>
      </c>
      <c r="F1122" s="7">
        <v>14.42</v>
      </c>
      <c r="G1122" s="7">
        <v>14.32</v>
      </c>
      <c r="H1122" s="7"/>
      <c r="I1122" s="7"/>
      <c r="J1122" s="7"/>
      <c r="K1122" s="7">
        <v>0.215</v>
      </c>
      <c r="L1122" s="7">
        <v>156.5</v>
      </c>
      <c r="M1122" s="7">
        <v>0</v>
      </c>
      <c r="N1122" s="7"/>
      <c r="O1122">
        <v>-12.16</v>
      </c>
      <c r="P1122">
        <v>-11.47</v>
      </c>
      <c r="Q1122">
        <v>17.07</v>
      </c>
      <c r="S1122">
        <v>16.61</v>
      </c>
      <c r="T1122">
        <v>0</v>
      </c>
      <c r="U1122">
        <v>101.1</v>
      </c>
      <c r="V1122">
        <v>515.20000000000005</v>
      </c>
      <c r="W1122">
        <v>20.25</v>
      </c>
      <c r="Y1122">
        <v>13.06</v>
      </c>
    </row>
    <row r="1123" spans="1:25" x14ac:dyDescent="0.25">
      <c r="A1123">
        <v>2006</v>
      </c>
      <c r="B1123">
        <v>168</v>
      </c>
      <c r="C1123">
        <v>200</v>
      </c>
      <c r="D1123" s="7">
        <v>-1.1479999999999999</v>
      </c>
      <c r="E1123" s="7">
        <v>-16.829999999999998</v>
      </c>
      <c r="F1123" s="7">
        <v>14.25</v>
      </c>
      <c r="G1123" s="7">
        <v>14.17</v>
      </c>
      <c r="H1123" s="7"/>
      <c r="I1123" s="7"/>
      <c r="J1123" s="7"/>
      <c r="K1123" s="7">
        <v>0.14099999999999999</v>
      </c>
      <c r="L1123" s="7">
        <v>139.9</v>
      </c>
      <c r="M1123" s="7">
        <v>0</v>
      </c>
      <c r="N1123" s="7"/>
      <c r="O1123">
        <v>-12.16</v>
      </c>
      <c r="P1123">
        <v>-11.47</v>
      </c>
      <c r="Q1123">
        <v>16.95</v>
      </c>
      <c r="S1123">
        <v>16.53</v>
      </c>
      <c r="T1123">
        <v>0</v>
      </c>
      <c r="U1123">
        <v>100.9</v>
      </c>
      <c r="V1123">
        <v>508.9</v>
      </c>
      <c r="W1123">
        <v>19.95</v>
      </c>
      <c r="Y1123">
        <v>13.01</v>
      </c>
    </row>
    <row r="1124" spans="1:25" x14ac:dyDescent="0.25">
      <c r="A1124">
        <v>2006</v>
      </c>
      <c r="B1124">
        <v>168</v>
      </c>
      <c r="C1124">
        <v>300</v>
      </c>
      <c r="D1124" s="7">
        <v>-1.3939999999999999</v>
      </c>
      <c r="E1124" s="7">
        <v>-18.62</v>
      </c>
      <c r="F1124" s="7">
        <v>13.71</v>
      </c>
      <c r="G1124" s="7">
        <v>13.64</v>
      </c>
      <c r="H1124" s="7"/>
      <c r="I1124" s="7"/>
      <c r="J1124" s="7"/>
      <c r="K1124" s="7">
        <v>0.153</v>
      </c>
      <c r="L1124" s="7">
        <v>138.5</v>
      </c>
      <c r="M1124" s="7">
        <v>0</v>
      </c>
      <c r="N1124" s="7"/>
      <c r="O1124">
        <v>-12.16</v>
      </c>
      <c r="P1124">
        <v>-11.47</v>
      </c>
      <c r="Q1124">
        <v>16.829999999999998</v>
      </c>
      <c r="S1124">
        <v>16.46</v>
      </c>
      <c r="T1124">
        <v>0</v>
      </c>
      <c r="U1124">
        <v>100.8</v>
      </c>
      <c r="V1124">
        <v>503.2</v>
      </c>
      <c r="W1124">
        <v>19.690000000000001</v>
      </c>
      <c r="Y1124">
        <v>12.97</v>
      </c>
    </row>
    <row r="1125" spans="1:25" x14ac:dyDescent="0.25">
      <c r="A1125">
        <v>2006</v>
      </c>
      <c r="B1125">
        <v>168</v>
      </c>
      <c r="C1125">
        <v>400</v>
      </c>
      <c r="D1125" s="7">
        <v>1.345</v>
      </c>
      <c r="E1125" s="7">
        <v>-16.18</v>
      </c>
      <c r="F1125" s="7">
        <v>13.12</v>
      </c>
      <c r="G1125" s="7">
        <v>13.07</v>
      </c>
      <c r="H1125" s="7"/>
      <c r="I1125" s="7"/>
      <c r="J1125" s="7"/>
      <c r="K1125" s="7">
        <v>0.09</v>
      </c>
      <c r="L1125" s="7">
        <v>137.5</v>
      </c>
      <c r="M1125" s="7">
        <v>0</v>
      </c>
      <c r="N1125" s="7"/>
      <c r="O1125">
        <v>-7.82</v>
      </c>
      <c r="P1125">
        <v>-10.15</v>
      </c>
      <c r="Q1125">
        <v>16.73</v>
      </c>
      <c r="S1125">
        <v>16.399999999999999</v>
      </c>
      <c r="T1125">
        <v>0</v>
      </c>
      <c r="U1125">
        <v>100.6</v>
      </c>
      <c r="V1125">
        <v>508.8</v>
      </c>
      <c r="W1125">
        <v>19.95</v>
      </c>
      <c r="Y1125">
        <v>12.94</v>
      </c>
    </row>
    <row r="1126" spans="1:25" x14ac:dyDescent="0.25">
      <c r="A1126">
        <v>2006</v>
      </c>
      <c r="B1126">
        <v>168</v>
      </c>
      <c r="C1126">
        <v>500</v>
      </c>
      <c r="D1126" s="7">
        <v>30.86</v>
      </c>
      <c r="E1126" s="7">
        <v>-0.38600000000000001</v>
      </c>
      <c r="F1126" s="7">
        <v>12.88</v>
      </c>
      <c r="G1126" s="7">
        <v>12.84</v>
      </c>
      <c r="H1126" s="7"/>
      <c r="I1126" s="7"/>
      <c r="J1126" s="7"/>
      <c r="K1126" s="7">
        <v>0.20100000000000001</v>
      </c>
      <c r="L1126" s="7">
        <v>176.8</v>
      </c>
      <c r="M1126" s="7">
        <v>0</v>
      </c>
      <c r="N1126" s="7"/>
      <c r="O1126">
        <v>32.44</v>
      </c>
      <c r="P1126">
        <v>3.9780000000000002</v>
      </c>
      <c r="Q1126">
        <v>16.600000000000001</v>
      </c>
      <c r="S1126">
        <v>16.309999999999999</v>
      </c>
      <c r="T1126">
        <v>0</v>
      </c>
      <c r="U1126">
        <v>100.5</v>
      </c>
      <c r="V1126">
        <v>508.4</v>
      </c>
      <c r="W1126">
        <v>19.93</v>
      </c>
      <c r="Y1126">
        <v>12.94</v>
      </c>
    </row>
    <row r="1127" spans="1:25" x14ac:dyDescent="0.25">
      <c r="A1127">
        <v>2006</v>
      </c>
      <c r="B1127">
        <v>168</v>
      </c>
      <c r="C1127">
        <v>600</v>
      </c>
      <c r="D1127" s="7">
        <v>91.7</v>
      </c>
      <c r="E1127" s="7">
        <v>40.82</v>
      </c>
      <c r="F1127" s="7">
        <v>13.99</v>
      </c>
      <c r="G1127" s="7">
        <v>14.13</v>
      </c>
      <c r="H1127" s="7"/>
      <c r="I1127" s="7"/>
      <c r="J1127" s="7"/>
      <c r="K1127" s="7">
        <v>0.40699999999999997</v>
      </c>
      <c r="L1127" s="7">
        <v>10.18</v>
      </c>
      <c r="M1127" s="7">
        <v>0</v>
      </c>
      <c r="N1127" s="7"/>
      <c r="O1127">
        <v>114</v>
      </c>
      <c r="P1127">
        <v>33.71</v>
      </c>
      <c r="Q1127">
        <v>16.510000000000002</v>
      </c>
      <c r="S1127">
        <v>16.260000000000002</v>
      </c>
      <c r="T1127">
        <v>0</v>
      </c>
      <c r="U1127">
        <v>98.5</v>
      </c>
      <c r="V1127">
        <v>509.2</v>
      </c>
      <c r="W1127">
        <v>19.97</v>
      </c>
      <c r="Y1127">
        <v>13.24</v>
      </c>
    </row>
    <row r="1128" spans="1:25" x14ac:dyDescent="0.25">
      <c r="A1128">
        <v>2006</v>
      </c>
      <c r="B1128">
        <v>168</v>
      </c>
      <c r="C1128">
        <v>700</v>
      </c>
      <c r="D1128" s="7">
        <v>169.2</v>
      </c>
      <c r="E1128" s="7">
        <v>88.4</v>
      </c>
      <c r="F1128" s="7">
        <v>14.78</v>
      </c>
      <c r="G1128" s="7">
        <v>15.2</v>
      </c>
      <c r="H1128" s="7"/>
      <c r="I1128" s="7"/>
      <c r="J1128" s="7"/>
      <c r="K1128" s="7">
        <v>0.81200000000000006</v>
      </c>
      <c r="L1128" s="7">
        <v>319.10000000000002</v>
      </c>
      <c r="M1128" s="7">
        <v>0</v>
      </c>
      <c r="N1128" s="7"/>
      <c r="O1128">
        <v>219.7</v>
      </c>
      <c r="P1128">
        <v>72.400000000000006</v>
      </c>
      <c r="Q1128">
        <v>16.45</v>
      </c>
      <c r="S1128">
        <v>16.21</v>
      </c>
      <c r="T1128">
        <v>0</v>
      </c>
      <c r="U1128">
        <v>95.7</v>
      </c>
      <c r="V1128">
        <v>509.8</v>
      </c>
      <c r="W1128">
        <v>20</v>
      </c>
      <c r="Y1128">
        <v>13.7</v>
      </c>
    </row>
    <row r="1129" spans="1:25" x14ac:dyDescent="0.25">
      <c r="A1129">
        <v>2006</v>
      </c>
      <c r="B1129">
        <v>168</v>
      </c>
      <c r="C1129">
        <v>800</v>
      </c>
      <c r="D1129" s="7">
        <v>279</v>
      </c>
      <c r="E1129" s="7">
        <v>160.80000000000001</v>
      </c>
      <c r="F1129" s="7">
        <v>16.41</v>
      </c>
      <c r="G1129" s="7">
        <v>17.18</v>
      </c>
      <c r="H1129" s="7"/>
      <c r="I1129" s="7"/>
      <c r="J1129" s="7"/>
      <c r="K1129" s="7">
        <v>0.96199999999999997</v>
      </c>
      <c r="L1129" s="7">
        <v>268.60000000000002</v>
      </c>
      <c r="M1129" s="7">
        <v>0</v>
      </c>
      <c r="N1129" s="7"/>
      <c r="O1129">
        <v>369.5</v>
      </c>
      <c r="P1129">
        <v>118.4</v>
      </c>
      <c r="Q1129">
        <v>16.510000000000002</v>
      </c>
      <c r="S1129">
        <v>16.22</v>
      </c>
      <c r="T1129">
        <v>0</v>
      </c>
      <c r="U1129">
        <v>92.6</v>
      </c>
      <c r="V1129">
        <v>508.8</v>
      </c>
      <c r="W1129">
        <v>19.95</v>
      </c>
      <c r="Y1129">
        <v>14.01</v>
      </c>
    </row>
    <row r="1130" spans="1:25" x14ac:dyDescent="0.25">
      <c r="A1130">
        <v>2006</v>
      </c>
      <c r="B1130">
        <v>168</v>
      </c>
      <c r="C1130">
        <v>900</v>
      </c>
      <c r="D1130" s="7">
        <v>241.7</v>
      </c>
      <c r="E1130" s="7">
        <v>130.80000000000001</v>
      </c>
      <c r="F1130" s="7">
        <v>18.100000000000001</v>
      </c>
      <c r="G1130" s="7">
        <v>17.920000000000002</v>
      </c>
      <c r="H1130" s="7">
        <f>AVERAGE(G1130:G1153)</f>
        <v>16.64</v>
      </c>
      <c r="I1130" s="7">
        <f>MIN(G1130:G1153)</f>
        <v>13.92</v>
      </c>
      <c r="J1130" s="7">
        <f>MAX(G1130:G1153)</f>
        <v>20.5</v>
      </c>
      <c r="K1130" s="7">
        <v>0.51100000000000001</v>
      </c>
      <c r="L1130" s="7">
        <v>271.3</v>
      </c>
      <c r="M1130" s="7">
        <v>0</v>
      </c>
      <c r="N1130" s="7">
        <f>SUM(M1130:M1153)</f>
        <v>0.2</v>
      </c>
      <c r="O1130">
        <v>330.5</v>
      </c>
      <c r="P1130">
        <v>102.3</v>
      </c>
      <c r="Q1130">
        <v>16.61</v>
      </c>
      <c r="S1130">
        <v>16.16</v>
      </c>
      <c r="T1130">
        <v>0</v>
      </c>
      <c r="U1130">
        <v>101.7</v>
      </c>
      <c r="V1130">
        <v>507.6</v>
      </c>
      <c r="W1130">
        <v>19.899999999999999</v>
      </c>
      <c r="Y1130">
        <v>13.97</v>
      </c>
    </row>
    <row r="1131" spans="1:25" x14ac:dyDescent="0.25">
      <c r="A1131">
        <v>2006</v>
      </c>
      <c r="B1131">
        <v>168</v>
      </c>
      <c r="C1131">
        <v>1000</v>
      </c>
      <c r="D1131" s="7">
        <v>310</v>
      </c>
      <c r="E1131" s="7">
        <v>174.4</v>
      </c>
      <c r="F1131" s="7">
        <v>18.63</v>
      </c>
      <c r="G1131" s="7">
        <v>18.32</v>
      </c>
      <c r="H1131" s="7"/>
      <c r="I1131" s="7"/>
      <c r="J1131" s="7"/>
      <c r="K1131" s="7">
        <v>0.82599999999999996</v>
      </c>
      <c r="L1131" s="7">
        <v>147.6</v>
      </c>
      <c r="M1131" s="7">
        <v>0</v>
      </c>
      <c r="N1131" s="7"/>
      <c r="O1131">
        <v>402.2</v>
      </c>
      <c r="P1131">
        <v>121.2</v>
      </c>
      <c r="Q1131">
        <v>16.77</v>
      </c>
      <c r="S1131">
        <v>16.18</v>
      </c>
      <c r="T1131">
        <v>0</v>
      </c>
      <c r="U1131">
        <v>102.9</v>
      </c>
      <c r="V1131">
        <v>507.3</v>
      </c>
      <c r="W1131">
        <v>19.88</v>
      </c>
      <c r="Y1131">
        <v>14.03</v>
      </c>
    </row>
    <row r="1132" spans="1:25" x14ac:dyDescent="0.25">
      <c r="A1132">
        <v>2006</v>
      </c>
      <c r="B1132">
        <v>168</v>
      </c>
      <c r="C1132">
        <v>1100</v>
      </c>
      <c r="D1132" s="7">
        <v>453.6</v>
      </c>
      <c r="E1132" s="7">
        <v>277.3</v>
      </c>
      <c r="F1132" s="7">
        <v>20.49</v>
      </c>
      <c r="G1132" s="7">
        <v>20.11</v>
      </c>
      <c r="H1132" s="7"/>
      <c r="I1132" s="7"/>
      <c r="J1132" s="7"/>
      <c r="K1132" s="7">
        <v>1.0389999999999999</v>
      </c>
      <c r="L1132" s="7">
        <v>194.6</v>
      </c>
      <c r="M1132" s="7">
        <v>0</v>
      </c>
      <c r="N1132" s="7"/>
      <c r="O1132">
        <v>593.79999999999995</v>
      </c>
      <c r="P1132">
        <v>181.3</v>
      </c>
      <c r="Q1132">
        <v>16.97</v>
      </c>
      <c r="S1132">
        <v>16.309999999999999</v>
      </c>
      <c r="T1132">
        <v>0</v>
      </c>
      <c r="U1132">
        <v>103.5</v>
      </c>
      <c r="V1132">
        <v>506.5</v>
      </c>
      <c r="W1132">
        <v>19.84</v>
      </c>
      <c r="Y1132">
        <v>14.3</v>
      </c>
    </row>
    <row r="1133" spans="1:25" x14ac:dyDescent="0.25">
      <c r="A1133">
        <v>2006</v>
      </c>
      <c r="B1133">
        <v>168</v>
      </c>
      <c r="C1133">
        <v>1200</v>
      </c>
      <c r="D1133" s="7">
        <v>359</v>
      </c>
      <c r="E1133" s="7">
        <v>211.5</v>
      </c>
      <c r="F1133" s="7">
        <v>20.23</v>
      </c>
      <c r="G1133" s="7">
        <v>20.100000000000001</v>
      </c>
      <c r="H1133" s="7"/>
      <c r="I1133" s="7"/>
      <c r="J1133" s="7"/>
      <c r="K1133" s="7">
        <v>1.3520000000000001</v>
      </c>
      <c r="L1133" s="7">
        <v>268.5</v>
      </c>
      <c r="M1133" s="7">
        <v>0.2</v>
      </c>
      <c r="N1133" s="7"/>
      <c r="O1133">
        <v>459</v>
      </c>
      <c r="P1133">
        <v>140.9</v>
      </c>
      <c r="Q1133">
        <v>17.21</v>
      </c>
      <c r="S1133">
        <v>16.38</v>
      </c>
      <c r="T1133">
        <v>0</v>
      </c>
      <c r="U1133">
        <v>101.2</v>
      </c>
      <c r="V1133">
        <v>505.5</v>
      </c>
      <c r="W1133">
        <v>19.8</v>
      </c>
      <c r="Y1133">
        <v>14.08</v>
      </c>
    </row>
    <row r="1134" spans="1:25" x14ac:dyDescent="0.25">
      <c r="A1134">
        <v>2006</v>
      </c>
      <c r="B1134">
        <v>168</v>
      </c>
      <c r="C1134">
        <v>1300</v>
      </c>
      <c r="D1134" s="7">
        <v>509.5</v>
      </c>
      <c r="E1134" s="7">
        <v>305.5</v>
      </c>
      <c r="F1134" s="7">
        <v>20.64</v>
      </c>
      <c r="G1134" s="7">
        <v>20.5</v>
      </c>
      <c r="H1134" s="7"/>
      <c r="I1134" s="7"/>
      <c r="J1134" s="7"/>
      <c r="K1134" s="7">
        <v>2.0939999999999999</v>
      </c>
      <c r="L1134" s="7">
        <v>260.60000000000002</v>
      </c>
      <c r="M1134" s="7">
        <v>0</v>
      </c>
      <c r="N1134" s="7"/>
      <c r="O1134">
        <v>652.5</v>
      </c>
      <c r="P1134">
        <v>192.8</v>
      </c>
      <c r="Q1134">
        <v>17.46</v>
      </c>
      <c r="S1134">
        <v>16.54</v>
      </c>
      <c r="T1134">
        <v>0</v>
      </c>
      <c r="U1134">
        <v>101.3</v>
      </c>
      <c r="V1134">
        <v>502.7</v>
      </c>
      <c r="W1134">
        <v>19.670000000000002</v>
      </c>
      <c r="Y1134">
        <v>14.23</v>
      </c>
    </row>
    <row r="1135" spans="1:25" x14ac:dyDescent="0.25">
      <c r="A1135">
        <v>2006</v>
      </c>
      <c r="B1135">
        <v>168</v>
      </c>
      <c r="C1135">
        <v>1400</v>
      </c>
      <c r="D1135" s="7">
        <v>269.89999999999998</v>
      </c>
      <c r="E1135" s="7">
        <v>148.6</v>
      </c>
      <c r="F1135" s="7">
        <v>18.2</v>
      </c>
      <c r="G1135" s="7">
        <v>18.09</v>
      </c>
      <c r="H1135" s="7"/>
      <c r="I1135" s="7"/>
      <c r="J1135" s="7"/>
      <c r="K1135" s="7">
        <v>2.3149999999999999</v>
      </c>
      <c r="L1135" s="7">
        <v>296.7</v>
      </c>
      <c r="M1135" s="7">
        <v>0</v>
      </c>
      <c r="N1135" s="7"/>
      <c r="O1135">
        <v>357.3</v>
      </c>
      <c r="P1135">
        <v>103.2</v>
      </c>
      <c r="Q1135">
        <v>17.68</v>
      </c>
      <c r="S1135">
        <v>16.579999999999998</v>
      </c>
      <c r="T1135">
        <v>0</v>
      </c>
      <c r="U1135">
        <v>101.1</v>
      </c>
      <c r="V1135">
        <v>500.8</v>
      </c>
      <c r="W1135">
        <v>19.579999999999998</v>
      </c>
      <c r="Y1135">
        <v>13.96</v>
      </c>
    </row>
    <row r="1136" spans="1:25" x14ac:dyDescent="0.25">
      <c r="A1136">
        <v>2006</v>
      </c>
      <c r="B1136">
        <v>168</v>
      </c>
      <c r="C1136">
        <v>1500</v>
      </c>
      <c r="D1136" s="7">
        <v>254.3</v>
      </c>
      <c r="E1136" s="7">
        <v>140.69999999999999</v>
      </c>
      <c r="F1136" s="7">
        <v>18.190000000000001</v>
      </c>
      <c r="G1136" s="7">
        <v>18.239999999999998</v>
      </c>
      <c r="H1136" s="7"/>
      <c r="I1136" s="7"/>
      <c r="J1136" s="7"/>
      <c r="K1136" s="7">
        <v>1.6519999999999999</v>
      </c>
      <c r="L1136" s="7">
        <v>257.8</v>
      </c>
      <c r="M1136" s="7">
        <v>0</v>
      </c>
      <c r="N1136" s="7"/>
      <c r="O1136">
        <v>332.9</v>
      </c>
      <c r="P1136">
        <v>104</v>
      </c>
      <c r="Q1136">
        <v>17.899999999999999</v>
      </c>
      <c r="S1136">
        <v>16.760000000000002</v>
      </c>
      <c r="T1136">
        <v>0</v>
      </c>
      <c r="U1136">
        <v>99.5</v>
      </c>
      <c r="V1136">
        <v>500.1</v>
      </c>
      <c r="W1136">
        <v>19.55</v>
      </c>
      <c r="Y1136">
        <v>13.9</v>
      </c>
    </row>
    <row r="1137" spans="1:25" x14ac:dyDescent="0.25">
      <c r="A1137">
        <v>2006</v>
      </c>
      <c r="B1137">
        <v>168</v>
      </c>
      <c r="C1137">
        <v>1600</v>
      </c>
      <c r="D1137" s="7">
        <v>400.9</v>
      </c>
      <c r="E1137" s="7">
        <v>233.7</v>
      </c>
      <c r="F1137" s="7">
        <v>19.77</v>
      </c>
      <c r="G1137" s="7">
        <v>19.71</v>
      </c>
      <c r="H1137" s="7"/>
      <c r="I1137" s="7"/>
      <c r="J1137" s="7"/>
      <c r="K1137" s="7">
        <v>1.891</v>
      </c>
      <c r="L1137" s="7">
        <v>247.6</v>
      </c>
      <c r="M1137" s="7">
        <v>0</v>
      </c>
      <c r="N1137" s="7"/>
      <c r="O1137">
        <v>503.4</v>
      </c>
      <c r="P1137">
        <v>162.80000000000001</v>
      </c>
      <c r="Q1137">
        <v>18.079999999999998</v>
      </c>
      <c r="S1137">
        <v>16.989999999999998</v>
      </c>
      <c r="T1137">
        <v>0</v>
      </c>
      <c r="U1137">
        <v>100.5</v>
      </c>
      <c r="V1137">
        <v>499.6</v>
      </c>
      <c r="W1137">
        <v>19.52</v>
      </c>
      <c r="Y1137">
        <v>14.12</v>
      </c>
    </row>
    <row r="1138" spans="1:25" x14ac:dyDescent="0.25">
      <c r="A1138">
        <v>2006</v>
      </c>
      <c r="B1138">
        <v>168</v>
      </c>
      <c r="C1138">
        <v>1700</v>
      </c>
      <c r="D1138" s="7">
        <v>304.89999999999998</v>
      </c>
      <c r="E1138" s="7">
        <v>163.4</v>
      </c>
      <c r="F1138" s="7">
        <v>19.07</v>
      </c>
      <c r="G1138" s="7">
        <v>19.059999999999999</v>
      </c>
      <c r="H1138" s="7"/>
      <c r="I1138" s="7"/>
      <c r="J1138" s="7"/>
      <c r="K1138" s="7">
        <v>2.375</v>
      </c>
      <c r="L1138" s="7">
        <v>233.7</v>
      </c>
      <c r="M1138" s="7">
        <v>0</v>
      </c>
      <c r="N1138" s="7"/>
      <c r="O1138">
        <v>373</v>
      </c>
      <c r="P1138">
        <v>124.7</v>
      </c>
      <c r="Q1138">
        <v>18.239999999999998</v>
      </c>
      <c r="S1138">
        <v>17.09</v>
      </c>
      <c r="T1138">
        <v>0</v>
      </c>
      <c r="U1138">
        <v>100.1</v>
      </c>
      <c r="V1138">
        <v>498.7</v>
      </c>
      <c r="W1138">
        <v>19.48</v>
      </c>
      <c r="Y1138">
        <v>13.98</v>
      </c>
    </row>
    <row r="1139" spans="1:25" x14ac:dyDescent="0.25">
      <c r="A1139">
        <v>2006</v>
      </c>
      <c r="B1139">
        <v>168</v>
      </c>
      <c r="C1139">
        <v>1800</v>
      </c>
      <c r="D1139" s="7">
        <v>191.5</v>
      </c>
      <c r="E1139" s="7">
        <v>85.8</v>
      </c>
      <c r="F1139" s="7">
        <v>18.41</v>
      </c>
      <c r="G1139" s="7">
        <v>18.420000000000002</v>
      </c>
      <c r="H1139" s="7"/>
      <c r="I1139" s="7"/>
      <c r="J1139" s="7"/>
      <c r="K1139" s="7">
        <v>2.2240000000000002</v>
      </c>
      <c r="L1139" s="7">
        <v>245.6</v>
      </c>
      <c r="M1139" s="7">
        <v>0</v>
      </c>
      <c r="N1139" s="7"/>
      <c r="O1139">
        <v>239.5</v>
      </c>
      <c r="P1139">
        <v>74.3</v>
      </c>
      <c r="Q1139">
        <v>18.329999999999998</v>
      </c>
      <c r="S1139">
        <v>17.170000000000002</v>
      </c>
      <c r="T1139">
        <v>0</v>
      </c>
      <c r="U1139">
        <v>100</v>
      </c>
      <c r="V1139">
        <v>498.3</v>
      </c>
      <c r="W1139">
        <v>19.46</v>
      </c>
      <c r="Y1139">
        <v>13.82</v>
      </c>
    </row>
    <row r="1140" spans="1:25" x14ac:dyDescent="0.25">
      <c r="A1140">
        <v>2006</v>
      </c>
      <c r="B1140">
        <v>168</v>
      </c>
      <c r="C1140">
        <v>1900</v>
      </c>
      <c r="D1140" s="7">
        <v>84.5</v>
      </c>
      <c r="E1140" s="7">
        <v>26.4</v>
      </c>
      <c r="F1140" s="7">
        <v>18</v>
      </c>
      <c r="G1140" s="7">
        <v>18.02</v>
      </c>
      <c r="H1140" s="7"/>
      <c r="I1140" s="7"/>
      <c r="J1140" s="7"/>
      <c r="K1140" s="7">
        <v>1.5760000000000001</v>
      </c>
      <c r="L1140" s="7">
        <v>239.3</v>
      </c>
      <c r="M1140" s="7">
        <v>0</v>
      </c>
      <c r="N1140" s="7"/>
      <c r="O1140">
        <v>102.5</v>
      </c>
      <c r="P1140">
        <v>25.55</v>
      </c>
      <c r="Q1140">
        <v>18.399999999999999</v>
      </c>
      <c r="S1140">
        <v>17.25</v>
      </c>
      <c r="T1140">
        <v>0</v>
      </c>
      <c r="U1140">
        <v>99.8</v>
      </c>
      <c r="V1140">
        <v>498.8</v>
      </c>
      <c r="W1140">
        <v>19.489999999999998</v>
      </c>
      <c r="Y1140">
        <v>13.66</v>
      </c>
    </row>
    <row r="1141" spans="1:25" x14ac:dyDescent="0.25">
      <c r="A1141">
        <v>2006</v>
      </c>
      <c r="B1141">
        <v>168</v>
      </c>
      <c r="C1141">
        <v>2000</v>
      </c>
      <c r="D1141" s="7">
        <v>27.41</v>
      </c>
      <c r="E1141" s="7">
        <v>-5.9379999999999997</v>
      </c>
      <c r="F1141" s="7">
        <v>17.45</v>
      </c>
      <c r="G1141" s="7">
        <v>17.440000000000001</v>
      </c>
      <c r="H1141" s="7"/>
      <c r="I1141" s="7"/>
      <c r="J1141" s="7"/>
      <c r="K1141" s="7">
        <v>0.91600000000000004</v>
      </c>
      <c r="L1141" s="7">
        <v>244.2</v>
      </c>
      <c r="M1141" s="7">
        <v>0</v>
      </c>
      <c r="N1141" s="7"/>
      <c r="O1141">
        <v>27.73</v>
      </c>
      <c r="P1141">
        <v>0.80300000000000005</v>
      </c>
      <c r="Q1141">
        <v>18.350000000000001</v>
      </c>
      <c r="S1141">
        <v>17.28</v>
      </c>
      <c r="T1141">
        <v>0</v>
      </c>
      <c r="U1141">
        <v>100.1</v>
      </c>
      <c r="V1141">
        <v>498.7</v>
      </c>
      <c r="W1141">
        <v>19.48</v>
      </c>
      <c r="Y1141">
        <v>13.48</v>
      </c>
    </row>
    <row r="1142" spans="1:25" x14ac:dyDescent="0.25">
      <c r="A1142">
        <v>2006</v>
      </c>
      <c r="B1142">
        <v>168</v>
      </c>
      <c r="C1142">
        <v>2100</v>
      </c>
      <c r="D1142" s="7">
        <v>3.51</v>
      </c>
      <c r="E1142" s="7">
        <v>-20.83</v>
      </c>
      <c r="F1142" s="7">
        <v>16.3</v>
      </c>
      <c r="G1142" s="7">
        <v>16.43</v>
      </c>
      <c r="H1142" s="7"/>
      <c r="I1142" s="7"/>
      <c r="J1142" s="7"/>
      <c r="K1142" s="7">
        <v>1.4330000000000001</v>
      </c>
      <c r="L1142" s="7">
        <v>269.60000000000002</v>
      </c>
      <c r="M1142" s="7">
        <v>0</v>
      </c>
      <c r="N1142" s="7"/>
      <c r="O1142">
        <v>-5.2809999999999997</v>
      </c>
      <c r="P1142">
        <v>-9.57</v>
      </c>
      <c r="Q1142">
        <v>18.27</v>
      </c>
      <c r="S1142">
        <v>17.3</v>
      </c>
      <c r="T1142">
        <v>0</v>
      </c>
      <c r="U1142">
        <v>98.7</v>
      </c>
      <c r="V1142">
        <v>500.3</v>
      </c>
      <c r="W1142">
        <v>19.559999999999999</v>
      </c>
      <c r="Y1142">
        <v>13.36</v>
      </c>
    </row>
    <row r="1143" spans="1:25" x14ac:dyDescent="0.25">
      <c r="A1143">
        <v>2006</v>
      </c>
      <c r="B1143">
        <v>168</v>
      </c>
      <c r="C1143">
        <v>2200</v>
      </c>
      <c r="D1143" s="7">
        <v>-2.1059999999999999</v>
      </c>
      <c r="E1143" s="7">
        <v>-23.76</v>
      </c>
      <c r="F1143" s="7">
        <v>15.46</v>
      </c>
      <c r="G1143" s="7">
        <v>15.45</v>
      </c>
      <c r="H1143" s="7"/>
      <c r="I1143" s="7"/>
      <c r="J1143" s="7"/>
      <c r="K1143" s="7">
        <v>1.02</v>
      </c>
      <c r="L1143" s="7">
        <v>263.8</v>
      </c>
      <c r="M1143" s="7">
        <v>0</v>
      </c>
      <c r="N1143" s="7"/>
      <c r="O1143">
        <v>-12.15</v>
      </c>
      <c r="P1143">
        <v>-11.58</v>
      </c>
      <c r="Q1143">
        <v>18.11</v>
      </c>
      <c r="S1143">
        <v>17.260000000000002</v>
      </c>
      <c r="T1143">
        <v>0</v>
      </c>
      <c r="U1143">
        <v>100.2</v>
      </c>
      <c r="V1143">
        <v>506.2</v>
      </c>
      <c r="W1143">
        <v>19.829999999999998</v>
      </c>
      <c r="Y1143">
        <v>13.27</v>
      </c>
    </row>
    <row r="1144" spans="1:25" x14ac:dyDescent="0.25">
      <c r="A1144">
        <v>2006</v>
      </c>
      <c r="B1144">
        <v>168</v>
      </c>
      <c r="C1144">
        <v>2300</v>
      </c>
      <c r="D1144" s="7">
        <v>-2.726</v>
      </c>
      <c r="E1144" s="7">
        <v>-19.39</v>
      </c>
      <c r="F1144" s="7">
        <v>14.46</v>
      </c>
      <c r="G1144" s="7">
        <v>14.33</v>
      </c>
      <c r="H1144" s="7"/>
      <c r="I1144" s="7"/>
      <c r="J1144" s="7"/>
      <c r="K1144" s="7">
        <v>0.70199999999999996</v>
      </c>
      <c r="L1144" s="7">
        <v>229.6</v>
      </c>
      <c r="M1144" s="7">
        <v>0</v>
      </c>
      <c r="N1144" s="7"/>
      <c r="O1144">
        <v>-12.22</v>
      </c>
      <c r="P1144">
        <v>-11.52</v>
      </c>
      <c r="Q1144">
        <v>17.940000000000001</v>
      </c>
      <c r="S1144">
        <v>17.21</v>
      </c>
      <c r="T1144">
        <v>0</v>
      </c>
      <c r="U1144">
        <v>101.4</v>
      </c>
      <c r="V1144">
        <v>525.29999999999995</v>
      </c>
      <c r="W1144">
        <v>20.71</v>
      </c>
      <c r="Y1144">
        <v>13.2</v>
      </c>
    </row>
    <row r="1145" spans="1:25" x14ac:dyDescent="0.25">
      <c r="A1145">
        <v>2006</v>
      </c>
      <c r="B1145">
        <v>168</v>
      </c>
      <c r="C1145">
        <v>2400</v>
      </c>
      <c r="D1145" s="7">
        <v>-1.494</v>
      </c>
      <c r="E1145" s="7">
        <v>-14.29</v>
      </c>
      <c r="F1145" s="7">
        <v>14.05</v>
      </c>
      <c r="G1145" s="7">
        <v>13.92</v>
      </c>
      <c r="H1145" s="7"/>
      <c r="I1145" s="7"/>
      <c r="J1145" s="7"/>
      <c r="K1145" s="7">
        <v>0.83799999999999997</v>
      </c>
      <c r="L1145" s="7">
        <v>207.3</v>
      </c>
      <c r="M1145" s="7">
        <v>0</v>
      </c>
      <c r="N1145" s="7"/>
      <c r="O1145">
        <v>-12.17</v>
      </c>
      <c r="P1145">
        <v>-11.47</v>
      </c>
      <c r="Q1145">
        <v>17.760000000000002</v>
      </c>
      <c r="S1145">
        <v>17.14</v>
      </c>
      <c r="T1145">
        <v>0</v>
      </c>
      <c r="U1145">
        <v>101.5</v>
      </c>
      <c r="V1145">
        <v>528.6</v>
      </c>
      <c r="W1145">
        <v>20.87</v>
      </c>
      <c r="Y1145">
        <v>13.13</v>
      </c>
    </row>
    <row r="1146" spans="1:25" x14ac:dyDescent="0.25">
      <c r="A1146">
        <v>2006</v>
      </c>
      <c r="B1146">
        <v>169</v>
      </c>
      <c r="C1146">
        <v>100</v>
      </c>
      <c r="D1146" s="7">
        <v>-1.145</v>
      </c>
      <c r="E1146" s="7">
        <v>-12.5</v>
      </c>
      <c r="F1146" s="7">
        <v>14.02</v>
      </c>
      <c r="G1146" s="7">
        <v>14.01</v>
      </c>
      <c r="H1146" s="7"/>
      <c r="I1146" s="7"/>
      <c r="J1146" s="7"/>
      <c r="K1146" s="7">
        <v>0.79</v>
      </c>
      <c r="L1146" s="7">
        <v>218.9</v>
      </c>
      <c r="M1146" s="7">
        <v>0</v>
      </c>
      <c r="N1146" s="7"/>
      <c r="O1146">
        <v>-12.17</v>
      </c>
      <c r="P1146">
        <v>-11.47</v>
      </c>
      <c r="Q1146">
        <v>17.600000000000001</v>
      </c>
      <c r="S1146">
        <v>17.059999999999999</v>
      </c>
      <c r="T1146">
        <v>0</v>
      </c>
      <c r="U1146">
        <v>100.1</v>
      </c>
      <c r="V1146">
        <v>521</v>
      </c>
      <c r="W1146">
        <v>20.52</v>
      </c>
      <c r="Y1146">
        <v>13.07</v>
      </c>
    </row>
    <row r="1147" spans="1:25" x14ac:dyDescent="0.25">
      <c r="A1147">
        <v>2006</v>
      </c>
      <c r="B1147">
        <v>169</v>
      </c>
      <c r="C1147">
        <v>200</v>
      </c>
      <c r="D1147" s="7">
        <v>-1.145</v>
      </c>
      <c r="E1147" s="7">
        <v>-10.65</v>
      </c>
      <c r="F1147" s="7">
        <v>14.14</v>
      </c>
      <c r="G1147" s="7">
        <v>14.14</v>
      </c>
      <c r="H1147" s="7"/>
      <c r="I1147" s="7"/>
      <c r="J1147" s="7"/>
      <c r="K1147" s="7">
        <v>1.036</v>
      </c>
      <c r="L1147" s="7">
        <v>236.8</v>
      </c>
      <c r="M1147" s="7">
        <v>0</v>
      </c>
      <c r="N1147" s="7"/>
      <c r="O1147">
        <v>-12.17</v>
      </c>
      <c r="P1147">
        <v>-11.47</v>
      </c>
      <c r="Q1147">
        <v>17.45</v>
      </c>
      <c r="S1147">
        <v>16.95</v>
      </c>
      <c r="T1147">
        <v>0</v>
      </c>
      <c r="U1147">
        <v>100.1</v>
      </c>
      <c r="V1147">
        <v>517.9</v>
      </c>
      <c r="W1147">
        <v>20.37</v>
      </c>
      <c r="Y1147">
        <v>13.02</v>
      </c>
    </row>
    <row r="1148" spans="1:25" x14ac:dyDescent="0.25">
      <c r="A1148">
        <v>2006</v>
      </c>
      <c r="B1148">
        <v>169</v>
      </c>
      <c r="C1148">
        <v>300</v>
      </c>
      <c r="D1148" s="7">
        <v>-1.145</v>
      </c>
      <c r="E1148" s="7">
        <v>-9.5299999999999994</v>
      </c>
      <c r="F1148" s="7">
        <v>13.9</v>
      </c>
      <c r="G1148" s="7">
        <v>13.92</v>
      </c>
      <c r="H1148" s="7"/>
      <c r="I1148" s="7"/>
      <c r="J1148" s="7"/>
      <c r="K1148" s="7">
        <v>0.91500000000000004</v>
      </c>
      <c r="L1148" s="7">
        <v>199.2</v>
      </c>
      <c r="M1148" s="7">
        <v>0</v>
      </c>
      <c r="N1148" s="7"/>
      <c r="O1148">
        <v>-12.16</v>
      </c>
      <c r="P1148">
        <v>-11.47</v>
      </c>
      <c r="Q1148">
        <v>17.309999999999999</v>
      </c>
      <c r="S1148">
        <v>16.86</v>
      </c>
      <c r="T1148">
        <v>0</v>
      </c>
      <c r="U1148">
        <v>99.8</v>
      </c>
      <c r="V1148">
        <v>520.4</v>
      </c>
      <c r="W1148">
        <v>20.49</v>
      </c>
      <c r="Y1148">
        <v>12.97</v>
      </c>
    </row>
    <row r="1149" spans="1:25" x14ac:dyDescent="0.25">
      <c r="A1149">
        <v>2006</v>
      </c>
      <c r="B1149">
        <v>169</v>
      </c>
      <c r="C1149">
        <v>400</v>
      </c>
      <c r="D1149" s="7">
        <v>-0.48799999999999999</v>
      </c>
      <c r="E1149" s="7">
        <v>-9.19</v>
      </c>
      <c r="F1149" s="7">
        <v>13.95</v>
      </c>
      <c r="G1149" s="7">
        <v>13.95</v>
      </c>
      <c r="H1149" s="7"/>
      <c r="I1149" s="7"/>
      <c r="J1149" s="7"/>
      <c r="K1149" s="7">
        <v>1.3069999999999999</v>
      </c>
      <c r="L1149" s="7">
        <v>210.9</v>
      </c>
      <c r="M1149" s="7">
        <v>0</v>
      </c>
      <c r="N1149" s="7"/>
      <c r="O1149">
        <v>-11.64</v>
      </c>
      <c r="P1149">
        <v>-11.39</v>
      </c>
      <c r="Q1149">
        <v>17.22</v>
      </c>
      <c r="S1149">
        <v>16.79</v>
      </c>
      <c r="T1149">
        <v>0</v>
      </c>
      <c r="U1149">
        <v>100.1</v>
      </c>
      <c r="V1149">
        <v>515.9</v>
      </c>
      <c r="W1149">
        <v>20.28</v>
      </c>
      <c r="Y1149">
        <v>12.94</v>
      </c>
    </row>
    <row r="1150" spans="1:25" x14ac:dyDescent="0.25">
      <c r="A1150">
        <v>2006</v>
      </c>
      <c r="B1150">
        <v>169</v>
      </c>
      <c r="C1150">
        <v>500</v>
      </c>
      <c r="D1150" s="7">
        <v>8.6300000000000008</v>
      </c>
      <c r="E1150" s="7">
        <v>-1.2290000000000001</v>
      </c>
      <c r="F1150" s="7">
        <v>14.18</v>
      </c>
      <c r="G1150" s="7">
        <v>14.21</v>
      </c>
      <c r="H1150" s="7"/>
      <c r="I1150" s="7"/>
      <c r="J1150" s="7"/>
      <c r="K1150" s="7">
        <v>1.216</v>
      </c>
      <c r="L1150" s="7">
        <v>212.4</v>
      </c>
      <c r="M1150" s="7">
        <v>0</v>
      </c>
      <c r="N1150" s="7"/>
      <c r="O1150">
        <v>1.7350000000000001</v>
      </c>
      <c r="P1150">
        <v>-7.62</v>
      </c>
      <c r="Q1150">
        <v>17.13</v>
      </c>
      <c r="S1150">
        <v>16.72</v>
      </c>
      <c r="T1150">
        <v>0</v>
      </c>
      <c r="U1150">
        <v>99.6</v>
      </c>
      <c r="V1150">
        <v>513.20000000000005</v>
      </c>
      <c r="W1150">
        <v>20.16</v>
      </c>
      <c r="Y1150">
        <v>12.92</v>
      </c>
    </row>
    <row r="1151" spans="1:25" x14ac:dyDescent="0.25">
      <c r="A1151">
        <v>2006</v>
      </c>
      <c r="B1151">
        <v>169</v>
      </c>
      <c r="C1151">
        <v>600</v>
      </c>
      <c r="D1151" s="7">
        <v>31.54</v>
      </c>
      <c r="E1151" s="7">
        <v>12.17</v>
      </c>
      <c r="F1151" s="7">
        <v>14.33</v>
      </c>
      <c r="G1151" s="7">
        <v>14.41</v>
      </c>
      <c r="H1151" s="7"/>
      <c r="I1151" s="7"/>
      <c r="J1151" s="7"/>
      <c r="K1151" s="7">
        <v>1.46</v>
      </c>
      <c r="L1151" s="7">
        <v>219.7</v>
      </c>
      <c r="M1151" s="7">
        <v>0</v>
      </c>
      <c r="N1151" s="7"/>
      <c r="O1151">
        <v>34.14</v>
      </c>
      <c r="P1151">
        <v>2.0640000000000001</v>
      </c>
      <c r="Q1151">
        <v>17.05</v>
      </c>
      <c r="S1151">
        <v>16.64</v>
      </c>
      <c r="T1151">
        <v>0</v>
      </c>
      <c r="U1151">
        <v>99.2</v>
      </c>
      <c r="V1151">
        <v>511.8</v>
      </c>
      <c r="W1151">
        <v>20.09</v>
      </c>
      <c r="Y1151">
        <v>12.92</v>
      </c>
    </row>
    <row r="1152" spans="1:25" x14ac:dyDescent="0.25">
      <c r="A1152">
        <v>2006</v>
      </c>
      <c r="B1152">
        <v>169</v>
      </c>
      <c r="C1152">
        <v>700</v>
      </c>
      <c r="D1152" s="7">
        <v>45</v>
      </c>
      <c r="E1152" s="7">
        <v>17.64</v>
      </c>
      <c r="F1152" s="7">
        <v>14.34</v>
      </c>
      <c r="G1152" s="7">
        <v>14.52</v>
      </c>
      <c r="H1152" s="7"/>
      <c r="I1152" s="7"/>
      <c r="J1152" s="7"/>
      <c r="K1152" s="7">
        <v>1.522</v>
      </c>
      <c r="L1152" s="7">
        <v>212.7</v>
      </c>
      <c r="M1152" s="7">
        <v>0</v>
      </c>
      <c r="N1152" s="7"/>
      <c r="O1152">
        <v>53.94</v>
      </c>
      <c r="P1152">
        <v>7.42</v>
      </c>
      <c r="Q1152">
        <v>16.96</v>
      </c>
      <c r="S1152">
        <v>16.559999999999999</v>
      </c>
      <c r="T1152">
        <v>0</v>
      </c>
      <c r="U1152">
        <v>98.1</v>
      </c>
      <c r="V1152">
        <v>510.1</v>
      </c>
      <c r="W1152">
        <v>20.010000000000002</v>
      </c>
      <c r="Y1152">
        <v>13.06</v>
      </c>
    </row>
    <row r="1153" spans="1:25" x14ac:dyDescent="0.25">
      <c r="A1153">
        <v>2006</v>
      </c>
      <c r="B1153">
        <v>169</v>
      </c>
      <c r="C1153">
        <v>800</v>
      </c>
      <c r="D1153" s="7">
        <v>39.340000000000003</v>
      </c>
      <c r="E1153" s="7">
        <v>16.04</v>
      </c>
      <c r="F1153" s="7">
        <v>13.98</v>
      </c>
      <c r="G1153" s="7">
        <v>14.14</v>
      </c>
      <c r="H1153" s="7"/>
      <c r="I1153" s="7"/>
      <c r="J1153" s="7"/>
      <c r="K1153" s="7">
        <v>1.54</v>
      </c>
      <c r="L1153" s="7">
        <v>207.4</v>
      </c>
      <c r="M1153" s="7">
        <v>0</v>
      </c>
      <c r="N1153" s="7"/>
      <c r="O1153">
        <v>45.55</v>
      </c>
      <c r="P1153">
        <v>5.367</v>
      </c>
      <c r="Q1153">
        <v>16.91</v>
      </c>
      <c r="S1153">
        <v>16.48</v>
      </c>
      <c r="T1153">
        <v>0</v>
      </c>
      <c r="U1153">
        <v>98.3</v>
      </c>
      <c r="V1153">
        <v>509.7</v>
      </c>
      <c r="W1153">
        <v>19.989999999999998</v>
      </c>
      <c r="Y1153">
        <v>13.14</v>
      </c>
    </row>
    <row r="1154" spans="1:25" x14ac:dyDescent="0.25">
      <c r="A1154">
        <v>2006</v>
      </c>
      <c r="B1154">
        <v>169</v>
      </c>
      <c r="C1154">
        <v>900</v>
      </c>
      <c r="D1154" s="7">
        <v>84.6</v>
      </c>
      <c r="E1154" s="7">
        <v>45.03</v>
      </c>
      <c r="F1154" s="7">
        <v>14</v>
      </c>
      <c r="G1154" s="7">
        <v>14.1</v>
      </c>
      <c r="H1154" s="7">
        <f>AVERAGE(G1154:G1177)</f>
        <v>14.067500000000001</v>
      </c>
      <c r="I1154" s="7">
        <f>MIN(G1154:G1177)</f>
        <v>12.03</v>
      </c>
      <c r="J1154" s="7">
        <f>MAX(G1154:G1177)</f>
        <v>16.75</v>
      </c>
      <c r="K1154" s="7">
        <v>1.478</v>
      </c>
      <c r="L1154" s="7">
        <v>192.8</v>
      </c>
      <c r="M1154" s="7">
        <v>0</v>
      </c>
      <c r="N1154" s="7">
        <f>SUM(M1154:M1177)</f>
        <v>0</v>
      </c>
      <c r="O1154">
        <v>108.8</v>
      </c>
      <c r="P1154">
        <v>24.42</v>
      </c>
      <c r="Q1154">
        <v>16.86</v>
      </c>
      <c r="S1154">
        <v>16.43</v>
      </c>
      <c r="T1154">
        <v>0</v>
      </c>
      <c r="U1154">
        <v>99</v>
      </c>
      <c r="V1154">
        <v>568.20000000000005</v>
      </c>
      <c r="W1154">
        <v>22.66</v>
      </c>
      <c r="Y1154">
        <v>13.4</v>
      </c>
    </row>
    <row r="1155" spans="1:25" x14ac:dyDescent="0.25">
      <c r="A1155">
        <v>2006</v>
      </c>
      <c r="B1155">
        <v>169</v>
      </c>
      <c r="C1155">
        <v>1000</v>
      </c>
      <c r="D1155" s="7">
        <v>246.4</v>
      </c>
      <c r="E1155" s="7">
        <v>150.4</v>
      </c>
      <c r="F1155" s="7">
        <v>14.71</v>
      </c>
      <c r="G1155" s="7">
        <v>14.95</v>
      </c>
      <c r="H1155" s="7"/>
      <c r="I1155" s="7"/>
      <c r="J1155" s="7"/>
      <c r="K1155" s="7">
        <v>1.91</v>
      </c>
      <c r="L1155" s="7">
        <v>192.6</v>
      </c>
      <c r="M1155" s="7">
        <v>0</v>
      </c>
      <c r="N1155" s="7"/>
      <c r="O1155">
        <v>314.60000000000002</v>
      </c>
      <c r="P1155">
        <v>84.8</v>
      </c>
      <c r="Q1155">
        <v>16.829999999999998</v>
      </c>
      <c r="S1155">
        <v>16.39</v>
      </c>
      <c r="T1155">
        <v>0</v>
      </c>
      <c r="U1155">
        <v>97.6</v>
      </c>
      <c r="V1155">
        <v>546.20000000000005</v>
      </c>
      <c r="W1155">
        <v>21.67</v>
      </c>
      <c r="Y1155">
        <v>13.83</v>
      </c>
    </row>
    <row r="1156" spans="1:25" x14ac:dyDescent="0.25">
      <c r="A1156">
        <v>2006</v>
      </c>
      <c r="B1156">
        <v>169</v>
      </c>
      <c r="C1156">
        <v>1100</v>
      </c>
      <c r="D1156" s="7">
        <v>182.1</v>
      </c>
      <c r="E1156" s="7">
        <v>105.8</v>
      </c>
      <c r="F1156" s="7">
        <v>15.03</v>
      </c>
      <c r="G1156" s="7">
        <v>15.46</v>
      </c>
      <c r="H1156" s="7"/>
      <c r="I1156" s="7"/>
      <c r="J1156" s="7"/>
      <c r="K1156" s="7">
        <v>2.13</v>
      </c>
      <c r="L1156" s="7">
        <v>195.4</v>
      </c>
      <c r="M1156" s="7">
        <v>0</v>
      </c>
      <c r="N1156" s="7"/>
      <c r="O1156">
        <v>232</v>
      </c>
      <c r="P1156">
        <v>64.760000000000005</v>
      </c>
      <c r="Q1156">
        <v>16.87</v>
      </c>
      <c r="S1156">
        <v>16.38</v>
      </c>
      <c r="T1156">
        <v>0</v>
      </c>
      <c r="U1156">
        <v>95.6</v>
      </c>
      <c r="V1156">
        <v>542.20000000000005</v>
      </c>
      <c r="W1156">
        <v>21.49</v>
      </c>
      <c r="Y1156">
        <v>13.85</v>
      </c>
    </row>
    <row r="1157" spans="1:25" x14ac:dyDescent="0.25">
      <c r="A1157">
        <v>2006</v>
      </c>
      <c r="B1157">
        <v>169</v>
      </c>
      <c r="C1157">
        <v>1200</v>
      </c>
      <c r="D1157" s="7">
        <v>129.69999999999999</v>
      </c>
      <c r="E1157" s="7">
        <v>74.400000000000006</v>
      </c>
      <c r="F1157" s="7">
        <v>14.94</v>
      </c>
      <c r="G1157" s="7">
        <v>15.07</v>
      </c>
      <c r="H1157" s="7"/>
      <c r="I1157" s="7"/>
      <c r="J1157" s="7"/>
      <c r="K1157" s="7">
        <v>1.86</v>
      </c>
      <c r="L1157" s="7">
        <v>194.1</v>
      </c>
      <c r="M1157" s="7">
        <v>0</v>
      </c>
      <c r="N1157" s="7"/>
      <c r="O1157">
        <v>168.8</v>
      </c>
      <c r="P1157">
        <v>42.92</v>
      </c>
      <c r="Q1157">
        <v>16.940000000000001</v>
      </c>
      <c r="S1157">
        <v>16.32</v>
      </c>
      <c r="T1157">
        <v>0</v>
      </c>
      <c r="U1157">
        <v>98.6</v>
      </c>
      <c r="V1157">
        <v>539.70000000000005</v>
      </c>
      <c r="W1157">
        <v>21.37</v>
      </c>
      <c r="Y1157">
        <v>13.78</v>
      </c>
    </row>
    <row r="1158" spans="1:25" x14ac:dyDescent="0.25">
      <c r="A1158">
        <v>2006</v>
      </c>
      <c r="B1158">
        <v>169</v>
      </c>
      <c r="C1158">
        <v>1300</v>
      </c>
      <c r="D1158" s="7">
        <v>183</v>
      </c>
      <c r="E1158" s="7">
        <v>106.1</v>
      </c>
      <c r="F1158" s="7">
        <v>14.71</v>
      </c>
      <c r="G1158" s="7">
        <v>14.92</v>
      </c>
      <c r="H1158" s="7"/>
      <c r="I1158" s="7"/>
      <c r="J1158" s="7"/>
      <c r="K1158" s="7">
        <v>2.2480000000000002</v>
      </c>
      <c r="L1158" s="7">
        <v>171.2</v>
      </c>
      <c r="M1158" s="7">
        <v>0</v>
      </c>
      <c r="N1158" s="7"/>
      <c r="O1158">
        <v>246.9</v>
      </c>
      <c r="P1158">
        <v>64.849999999999994</v>
      </c>
      <c r="Q1158">
        <v>17.059999999999999</v>
      </c>
      <c r="S1158">
        <v>16.32</v>
      </c>
      <c r="T1158">
        <v>0</v>
      </c>
      <c r="U1158">
        <v>97.8</v>
      </c>
      <c r="V1158">
        <v>676.3</v>
      </c>
      <c r="W1158">
        <v>27.45</v>
      </c>
      <c r="Y1158">
        <v>13.82</v>
      </c>
    </row>
    <row r="1159" spans="1:25" x14ac:dyDescent="0.25">
      <c r="A1159">
        <v>2006</v>
      </c>
      <c r="B1159">
        <v>169</v>
      </c>
      <c r="C1159">
        <v>1400</v>
      </c>
      <c r="D1159" s="7">
        <v>177.6</v>
      </c>
      <c r="E1159" s="7">
        <v>101.7</v>
      </c>
      <c r="F1159" s="7">
        <v>14.78</v>
      </c>
      <c r="G1159" s="7">
        <v>15.03</v>
      </c>
      <c r="H1159" s="7"/>
      <c r="I1159" s="7"/>
      <c r="J1159" s="7"/>
      <c r="K1159" s="7">
        <v>1.9950000000000001</v>
      </c>
      <c r="L1159" s="7">
        <v>180.6</v>
      </c>
      <c r="M1159" s="7">
        <v>0</v>
      </c>
      <c r="N1159" s="7"/>
      <c r="O1159">
        <v>235.5</v>
      </c>
      <c r="P1159">
        <v>61.57</v>
      </c>
      <c r="Q1159">
        <v>17.05</v>
      </c>
      <c r="S1159">
        <v>16.350000000000001</v>
      </c>
      <c r="T1159">
        <v>0</v>
      </c>
      <c r="U1159">
        <v>97.5</v>
      </c>
      <c r="V1159">
        <v>702</v>
      </c>
      <c r="W1159">
        <v>28.58</v>
      </c>
      <c r="Y1159">
        <v>13.84</v>
      </c>
    </row>
    <row r="1160" spans="1:25" x14ac:dyDescent="0.25">
      <c r="A1160">
        <v>2006</v>
      </c>
      <c r="B1160">
        <v>169</v>
      </c>
      <c r="C1160">
        <v>1500</v>
      </c>
      <c r="D1160" s="7">
        <v>347.5</v>
      </c>
      <c r="E1160" s="7">
        <v>210.5</v>
      </c>
      <c r="F1160" s="7">
        <v>15.79</v>
      </c>
      <c r="G1160" s="7">
        <v>16.13</v>
      </c>
      <c r="H1160" s="7"/>
      <c r="I1160" s="7"/>
      <c r="J1160" s="7"/>
      <c r="K1160" s="7">
        <v>2.177</v>
      </c>
      <c r="L1160" s="7">
        <v>174</v>
      </c>
      <c r="M1160" s="7">
        <v>0</v>
      </c>
      <c r="N1160" s="7"/>
      <c r="O1160">
        <v>438.9</v>
      </c>
      <c r="P1160">
        <v>130.19999999999999</v>
      </c>
      <c r="Q1160">
        <v>17.09</v>
      </c>
      <c r="S1160">
        <v>16.420000000000002</v>
      </c>
      <c r="T1160">
        <v>0</v>
      </c>
      <c r="U1160">
        <v>96.5</v>
      </c>
      <c r="V1160">
        <v>668.2</v>
      </c>
      <c r="W1160">
        <v>27.08</v>
      </c>
      <c r="Y1160">
        <v>14.01</v>
      </c>
    </row>
    <row r="1161" spans="1:25" x14ac:dyDescent="0.25">
      <c r="A1161">
        <v>2006</v>
      </c>
      <c r="B1161">
        <v>169</v>
      </c>
      <c r="C1161">
        <v>1600</v>
      </c>
      <c r="D1161" s="7">
        <v>256.3</v>
      </c>
      <c r="E1161" s="7">
        <v>143.9</v>
      </c>
      <c r="F1161" s="7">
        <v>16.510000000000002</v>
      </c>
      <c r="G1161" s="7">
        <v>16.75</v>
      </c>
      <c r="H1161" s="7"/>
      <c r="I1161" s="7"/>
      <c r="J1161" s="7"/>
      <c r="K1161" s="7">
        <v>2.2719999999999998</v>
      </c>
      <c r="L1161" s="7">
        <v>174</v>
      </c>
      <c r="M1161" s="7">
        <v>0</v>
      </c>
      <c r="N1161" s="7"/>
      <c r="O1161">
        <v>314</v>
      </c>
      <c r="P1161">
        <v>103.7</v>
      </c>
      <c r="Q1161">
        <v>17.13</v>
      </c>
      <c r="S1161">
        <v>16.41</v>
      </c>
      <c r="T1161">
        <v>0</v>
      </c>
      <c r="U1161">
        <v>97.5</v>
      </c>
      <c r="V1161">
        <v>644.9</v>
      </c>
      <c r="W1161">
        <v>26.06</v>
      </c>
      <c r="Y1161">
        <v>13.93</v>
      </c>
    </row>
    <row r="1162" spans="1:25" x14ac:dyDescent="0.25">
      <c r="A1162">
        <v>2006</v>
      </c>
      <c r="B1162">
        <v>169</v>
      </c>
      <c r="C1162">
        <v>1700</v>
      </c>
      <c r="D1162" s="7">
        <v>142.4</v>
      </c>
      <c r="E1162" s="7">
        <v>78.8</v>
      </c>
      <c r="F1162" s="7">
        <v>16.37</v>
      </c>
      <c r="G1162" s="7">
        <v>16.399999999999999</v>
      </c>
      <c r="H1162" s="7"/>
      <c r="I1162" s="7"/>
      <c r="J1162" s="7"/>
      <c r="K1162" s="7">
        <v>2.3929999999999998</v>
      </c>
      <c r="L1162" s="7">
        <v>176.5</v>
      </c>
      <c r="M1162" s="7">
        <v>0</v>
      </c>
      <c r="N1162" s="7"/>
      <c r="O1162">
        <v>179</v>
      </c>
      <c r="P1162">
        <v>54.22</v>
      </c>
      <c r="Q1162">
        <v>17.2</v>
      </c>
      <c r="S1162">
        <v>16.41</v>
      </c>
      <c r="T1162">
        <v>0</v>
      </c>
      <c r="U1162">
        <v>99.7</v>
      </c>
      <c r="V1162">
        <v>631.1</v>
      </c>
      <c r="W1162">
        <v>25.45</v>
      </c>
      <c r="Y1162">
        <v>13.79</v>
      </c>
    </row>
    <row r="1163" spans="1:25" x14ac:dyDescent="0.25">
      <c r="A1163">
        <v>2006</v>
      </c>
      <c r="B1163">
        <v>169</v>
      </c>
      <c r="C1163">
        <v>1800</v>
      </c>
      <c r="D1163" s="7">
        <v>141.69999999999999</v>
      </c>
      <c r="E1163" s="7">
        <v>77.3</v>
      </c>
      <c r="F1163" s="7">
        <v>15.92</v>
      </c>
      <c r="G1163" s="7">
        <v>15.94</v>
      </c>
      <c r="H1163" s="7"/>
      <c r="I1163" s="7"/>
      <c r="J1163" s="7"/>
      <c r="K1163" s="7">
        <v>2.4510000000000001</v>
      </c>
      <c r="L1163" s="7">
        <v>167.4</v>
      </c>
      <c r="M1163" s="7">
        <v>0</v>
      </c>
      <c r="N1163" s="7"/>
      <c r="O1163">
        <v>173.7</v>
      </c>
      <c r="P1163">
        <v>47.85</v>
      </c>
      <c r="Q1163">
        <v>17.260000000000002</v>
      </c>
      <c r="S1163">
        <v>16.46</v>
      </c>
      <c r="T1163">
        <v>0</v>
      </c>
      <c r="U1163">
        <v>99.7</v>
      </c>
      <c r="V1163">
        <v>624.5</v>
      </c>
      <c r="W1163">
        <v>25.16</v>
      </c>
      <c r="Y1163">
        <v>13.75</v>
      </c>
    </row>
    <row r="1164" spans="1:25" x14ac:dyDescent="0.25">
      <c r="A1164">
        <v>2006</v>
      </c>
      <c r="B1164">
        <v>169</v>
      </c>
      <c r="C1164">
        <v>1900</v>
      </c>
      <c r="D1164" s="7">
        <v>54.5</v>
      </c>
      <c r="E1164" s="7">
        <v>22.02</v>
      </c>
      <c r="F1164" s="7">
        <v>15.48</v>
      </c>
      <c r="G1164" s="7">
        <v>15.51</v>
      </c>
      <c r="H1164" s="7"/>
      <c r="I1164" s="7"/>
      <c r="J1164" s="7"/>
      <c r="K1164" s="7">
        <v>1.8759999999999999</v>
      </c>
      <c r="L1164" s="7">
        <v>174.2</v>
      </c>
      <c r="M1164" s="7">
        <v>0</v>
      </c>
      <c r="N1164" s="7"/>
      <c r="O1164">
        <v>57.72</v>
      </c>
      <c r="P1164">
        <v>10.34</v>
      </c>
      <c r="Q1164">
        <v>17.29</v>
      </c>
      <c r="S1164">
        <v>16.489999999999998</v>
      </c>
      <c r="T1164">
        <v>0</v>
      </c>
      <c r="U1164">
        <v>99.7</v>
      </c>
      <c r="V1164">
        <v>619.79999999999995</v>
      </c>
      <c r="W1164">
        <v>24.96</v>
      </c>
      <c r="Y1164">
        <v>13.62</v>
      </c>
    </row>
    <row r="1165" spans="1:25" x14ac:dyDescent="0.25">
      <c r="A1165">
        <v>2006</v>
      </c>
      <c r="B1165">
        <v>169</v>
      </c>
      <c r="C1165">
        <v>2000</v>
      </c>
      <c r="D1165" s="7">
        <v>33.24</v>
      </c>
      <c r="E1165" s="7">
        <v>7.99</v>
      </c>
      <c r="F1165" s="7">
        <v>15.15</v>
      </c>
      <c r="G1165" s="7">
        <v>15.09</v>
      </c>
      <c r="H1165" s="7"/>
      <c r="I1165" s="7"/>
      <c r="J1165" s="7"/>
      <c r="K1165" s="7">
        <v>2.222</v>
      </c>
      <c r="L1165" s="7">
        <v>180.6</v>
      </c>
      <c r="M1165" s="7">
        <v>0</v>
      </c>
      <c r="N1165" s="7"/>
      <c r="O1165">
        <v>34.42</v>
      </c>
      <c r="P1165">
        <v>2.5779999999999998</v>
      </c>
      <c r="Q1165">
        <v>17.27</v>
      </c>
      <c r="S1165">
        <v>16.5</v>
      </c>
      <c r="T1165">
        <v>0</v>
      </c>
      <c r="U1165">
        <v>100.6</v>
      </c>
      <c r="V1165">
        <v>617.20000000000005</v>
      </c>
      <c r="W1165">
        <v>24.84</v>
      </c>
      <c r="Y1165">
        <v>13.48</v>
      </c>
    </row>
    <row r="1166" spans="1:25" x14ac:dyDescent="0.25">
      <c r="A1166">
        <v>2006</v>
      </c>
      <c r="B1166">
        <v>169</v>
      </c>
      <c r="C1166">
        <v>2100</v>
      </c>
      <c r="D1166" s="7">
        <v>5.8259999999999996</v>
      </c>
      <c r="E1166" s="7">
        <v>-10.23</v>
      </c>
      <c r="F1166" s="7">
        <v>13.2</v>
      </c>
      <c r="G1166" s="7">
        <v>13.15</v>
      </c>
      <c r="H1166" s="7"/>
      <c r="I1166" s="7"/>
      <c r="J1166" s="7"/>
      <c r="K1166" s="7">
        <v>2.996</v>
      </c>
      <c r="L1166" s="7">
        <v>243.7</v>
      </c>
      <c r="M1166" s="7">
        <v>0</v>
      </c>
      <c r="N1166" s="7"/>
      <c r="O1166">
        <v>-3.1030000000000002</v>
      </c>
      <c r="P1166">
        <v>-9.15</v>
      </c>
      <c r="Q1166">
        <v>17.2</v>
      </c>
      <c r="S1166">
        <v>16.47</v>
      </c>
      <c r="T1166">
        <v>0</v>
      </c>
      <c r="U1166">
        <v>100.5</v>
      </c>
      <c r="V1166">
        <v>628.5</v>
      </c>
      <c r="W1166">
        <v>25.34</v>
      </c>
      <c r="Y1166">
        <v>13.38</v>
      </c>
    </row>
    <row r="1167" spans="1:25" x14ac:dyDescent="0.25">
      <c r="A1167">
        <v>2006</v>
      </c>
      <c r="B1167">
        <v>169</v>
      </c>
      <c r="C1167">
        <v>2200</v>
      </c>
      <c r="D1167" s="7">
        <v>-1.337</v>
      </c>
      <c r="E1167" s="7">
        <v>-17.420000000000002</v>
      </c>
      <c r="F1167" s="7">
        <v>12.66</v>
      </c>
      <c r="G1167" s="7">
        <v>12.68</v>
      </c>
      <c r="H1167" s="7"/>
      <c r="I1167" s="7"/>
      <c r="J1167" s="7"/>
      <c r="K1167" s="7">
        <v>1.954</v>
      </c>
      <c r="L1167" s="7">
        <v>236.8</v>
      </c>
      <c r="M1167" s="7">
        <v>0</v>
      </c>
      <c r="N1167" s="7"/>
      <c r="O1167">
        <v>-11.89</v>
      </c>
      <c r="P1167">
        <v>-11.47</v>
      </c>
      <c r="Q1167">
        <v>17.12</v>
      </c>
      <c r="S1167">
        <v>16.45</v>
      </c>
      <c r="T1167">
        <v>0</v>
      </c>
      <c r="U1167">
        <v>99.7</v>
      </c>
      <c r="V1167">
        <v>614.79999999999995</v>
      </c>
      <c r="W1167">
        <v>24.74</v>
      </c>
      <c r="Y1167">
        <v>13.3</v>
      </c>
    </row>
    <row r="1168" spans="1:25" x14ac:dyDescent="0.25">
      <c r="A1168">
        <v>2006</v>
      </c>
      <c r="B1168">
        <v>169</v>
      </c>
      <c r="C1168">
        <v>2300</v>
      </c>
      <c r="D1168" s="7">
        <v>-1.2210000000000001</v>
      </c>
      <c r="E1168" s="7">
        <v>-11.31</v>
      </c>
      <c r="F1168" s="7">
        <v>12.7</v>
      </c>
      <c r="G1168" s="7">
        <v>12.68</v>
      </c>
      <c r="H1168" s="7"/>
      <c r="I1168" s="7"/>
      <c r="J1168" s="7"/>
      <c r="K1168" s="7">
        <v>1.7210000000000001</v>
      </c>
      <c r="L1168" s="7">
        <v>220.5</v>
      </c>
      <c r="M1168" s="7">
        <v>0</v>
      </c>
      <c r="N1168" s="7"/>
      <c r="O1168">
        <v>-12.17</v>
      </c>
      <c r="P1168">
        <v>-11.47</v>
      </c>
      <c r="Q1168">
        <v>17.010000000000002</v>
      </c>
      <c r="S1168">
        <v>16.41</v>
      </c>
      <c r="T1168">
        <v>0</v>
      </c>
      <c r="U1168">
        <v>100.2</v>
      </c>
      <c r="V1168">
        <v>614</v>
      </c>
      <c r="W1168">
        <v>24.7</v>
      </c>
      <c r="Y1168">
        <v>13.22</v>
      </c>
    </row>
    <row r="1169" spans="1:25" x14ac:dyDescent="0.25">
      <c r="A1169">
        <v>2006</v>
      </c>
      <c r="B1169">
        <v>169</v>
      </c>
      <c r="C1169">
        <v>2400</v>
      </c>
      <c r="D1169" s="7">
        <v>-1.512</v>
      </c>
      <c r="E1169" s="7">
        <v>-15.8</v>
      </c>
      <c r="F1169" s="7">
        <v>12.7</v>
      </c>
      <c r="G1169" s="7">
        <v>12.73</v>
      </c>
      <c r="H1169" s="7"/>
      <c r="I1169" s="7"/>
      <c r="J1169" s="7"/>
      <c r="K1169" s="7">
        <v>1.728</v>
      </c>
      <c r="L1169" s="7">
        <v>226.4</v>
      </c>
      <c r="M1169" s="7">
        <v>0</v>
      </c>
      <c r="N1169" s="7"/>
      <c r="O1169">
        <v>-12.17</v>
      </c>
      <c r="P1169">
        <v>-11.47</v>
      </c>
      <c r="Q1169">
        <v>16.899999999999999</v>
      </c>
      <c r="S1169">
        <v>16.37</v>
      </c>
      <c r="T1169">
        <v>0</v>
      </c>
      <c r="U1169">
        <v>99.7</v>
      </c>
      <c r="V1169">
        <v>615.70000000000005</v>
      </c>
      <c r="W1169">
        <v>24.78</v>
      </c>
      <c r="Y1169">
        <v>13.15</v>
      </c>
    </row>
    <row r="1170" spans="1:25" x14ac:dyDescent="0.25">
      <c r="A1170">
        <v>2006</v>
      </c>
      <c r="B1170">
        <v>170</v>
      </c>
      <c r="C1170">
        <v>100</v>
      </c>
      <c r="D1170" s="7">
        <v>-1.508</v>
      </c>
      <c r="E1170" s="7">
        <v>-15.72</v>
      </c>
      <c r="F1170" s="7">
        <v>12.65</v>
      </c>
      <c r="G1170" s="7">
        <v>12.74</v>
      </c>
      <c r="H1170" s="7"/>
      <c r="I1170" s="7"/>
      <c r="J1170" s="7"/>
      <c r="K1170" s="7">
        <v>1.669</v>
      </c>
      <c r="L1170" s="7">
        <v>234</v>
      </c>
      <c r="M1170" s="7">
        <v>0</v>
      </c>
      <c r="N1170" s="7"/>
      <c r="O1170">
        <v>-12.17</v>
      </c>
      <c r="P1170">
        <v>-11.48</v>
      </c>
      <c r="Q1170">
        <v>16.79</v>
      </c>
      <c r="S1170">
        <v>16.3</v>
      </c>
      <c r="T1170">
        <v>0</v>
      </c>
      <c r="U1170">
        <v>99</v>
      </c>
      <c r="V1170">
        <v>612.9</v>
      </c>
      <c r="W1170">
        <v>24.65</v>
      </c>
      <c r="Y1170">
        <v>13.09</v>
      </c>
    </row>
    <row r="1171" spans="1:25" x14ac:dyDescent="0.25">
      <c r="A1171">
        <v>2006</v>
      </c>
      <c r="B1171">
        <v>170</v>
      </c>
      <c r="C1171">
        <v>200</v>
      </c>
      <c r="D1171" s="7">
        <v>-1.629</v>
      </c>
      <c r="E1171" s="7">
        <v>-20.18</v>
      </c>
      <c r="F1171" s="7">
        <v>12.45</v>
      </c>
      <c r="G1171" s="7">
        <v>12.61</v>
      </c>
      <c r="H1171" s="7"/>
      <c r="I1171" s="7"/>
      <c r="J1171" s="7"/>
      <c r="K1171" s="7">
        <v>1.625</v>
      </c>
      <c r="L1171" s="7">
        <v>235.6</v>
      </c>
      <c r="M1171" s="7">
        <v>0</v>
      </c>
      <c r="N1171" s="7"/>
      <c r="O1171">
        <v>-12.17</v>
      </c>
      <c r="P1171">
        <v>-11.47</v>
      </c>
      <c r="Q1171">
        <v>16.66</v>
      </c>
      <c r="S1171">
        <v>16.21</v>
      </c>
      <c r="T1171">
        <v>0</v>
      </c>
      <c r="U1171">
        <v>98.3</v>
      </c>
      <c r="V1171">
        <v>606</v>
      </c>
      <c r="W1171">
        <v>24.35</v>
      </c>
      <c r="Y1171">
        <v>13.03</v>
      </c>
    </row>
    <row r="1172" spans="1:25" x14ac:dyDescent="0.25">
      <c r="A1172">
        <v>2006</v>
      </c>
      <c r="B1172">
        <v>170</v>
      </c>
      <c r="C1172">
        <v>300</v>
      </c>
      <c r="D1172" s="7">
        <v>-1.6910000000000001</v>
      </c>
      <c r="E1172" s="7">
        <v>-18.77</v>
      </c>
      <c r="F1172" s="7">
        <v>11.95</v>
      </c>
      <c r="G1172" s="7">
        <v>12.03</v>
      </c>
      <c r="H1172" s="7"/>
      <c r="I1172" s="7"/>
      <c r="J1172" s="7"/>
      <c r="K1172" s="7">
        <v>1.714</v>
      </c>
      <c r="L1172" s="7">
        <v>227.4</v>
      </c>
      <c r="M1172" s="7">
        <v>0</v>
      </c>
      <c r="N1172" s="7"/>
      <c r="O1172">
        <v>-12.17</v>
      </c>
      <c r="P1172">
        <v>-11.47</v>
      </c>
      <c r="Q1172">
        <v>16.53</v>
      </c>
      <c r="S1172">
        <v>16.11</v>
      </c>
      <c r="T1172">
        <v>0</v>
      </c>
      <c r="U1172">
        <v>99.1</v>
      </c>
      <c r="V1172">
        <v>603.5</v>
      </c>
      <c r="W1172">
        <v>24.24</v>
      </c>
      <c r="Y1172">
        <v>12.98</v>
      </c>
    </row>
    <row r="1173" spans="1:25" x14ac:dyDescent="0.25">
      <c r="A1173">
        <v>2006</v>
      </c>
      <c r="B1173">
        <v>170</v>
      </c>
      <c r="C1173">
        <v>400</v>
      </c>
      <c r="D1173" s="7">
        <v>6.4000000000000001E-2</v>
      </c>
      <c r="E1173" s="7">
        <v>-8.68</v>
      </c>
      <c r="F1173" s="7">
        <v>12.05</v>
      </c>
      <c r="G1173" s="7">
        <v>12.19</v>
      </c>
      <c r="H1173" s="7"/>
      <c r="I1173" s="7"/>
      <c r="J1173" s="7"/>
      <c r="K1173" s="7">
        <v>1.768</v>
      </c>
      <c r="L1173" s="7">
        <v>246.2</v>
      </c>
      <c r="M1173" s="7">
        <v>0</v>
      </c>
      <c r="N1173" s="7"/>
      <c r="O1173">
        <v>-10.87</v>
      </c>
      <c r="P1173">
        <v>-11.09</v>
      </c>
      <c r="Q1173">
        <v>16.39</v>
      </c>
      <c r="S1173">
        <v>16.010000000000002</v>
      </c>
      <c r="T1173">
        <v>0</v>
      </c>
      <c r="U1173">
        <v>98.5</v>
      </c>
      <c r="V1173">
        <v>601.4</v>
      </c>
      <c r="W1173">
        <v>24.15</v>
      </c>
      <c r="Y1173">
        <v>12.95</v>
      </c>
    </row>
    <row r="1174" spans="1:25" x14ac:dyDescent="0.25">
      <c r="A1174">
        <v>2006</v>
      </c>
      <c r="B1174">
        <v>170</v>
      </c>
      <c r="C1174">
        <v>500</v>
      </c>
      <c r="D1174" s="7">
        <v>19.64</v>
      </c>
      <c r="E1174" s="7">
        <v>4.5419999999999998</v>
      </c>
      <c r="F1174" s="7">
        <v>12.33</v>
      </c>
      <c r="G1174" s="7">
        <v>12.44</v>
      </c>
      <c r="H1174" s="7"/>
      <c r="I1174" s="7"/>
      <c r="J1174" s="7"/>
      <c r="K1174" s="7">
        <v>1.804</v>
      </c>
      <c r="L1174" s="7">
        <v>258.3</v>
      </c>
      <c r="M1174" s="7">
        <v>0</v>
      </c>
      <c r="N1174" s="7"/>
      <c r="O1174">
        <v>18.899999999999999</v>
      </c>
      <c r="P1174">
        <v>-0.97399999999999998</v>
      </c>
      <c r="Q1174">
        <v>16.28</v>
      </c>
      <c r="S1174">
        <v>15.94</v>
      </c>
      <c r="T1174">
        <v>0</v>
      </c>
      <c r="U1174">
        <v>98.8</v>
      </c>
      <c r="V1174">
        <v>599.70000000000005</v>
      </c>
      <c r="W1174">
        <v>24.07</v>
      </c>
      <c r="Y1174">
        <v>12.93</v>
      </c>
    </row>
    <row r="1175" spans="1:25" x14ac:dyDescent="0.25">
      <c r="A1175">
        <v>2006</v>
      </c>
      <c r="B1175">
        <v>170</v>
      </c>
      <c r="C1175">
        <v>600</v>
      </c>
      <c r="D1175" s="7">
        <v>26.86</v>
      </c>
      <c r="E1175" s="7">
        <v>9.0500000000000007</v>
      </c>
      <c r="F1175" s="7">
        <v>12.52</v>
      </c>
      <c r="G1175" s="7">
        <v>12.6</v>
      </c>
      <c r="H1175" s="7"/>
      <c r="I1175" s="7"/>
      <c r="J1175" s="7"/>
      <c r="K1175" s="7">
        <v>1.7689999999999999</v>
      </c>
      <c r="L1175" s="7">
        <v>271.2</v>
      </c>
      <c r="M1175" s="7">
        <v>0</v>
      </c>
      <c r="N1175" s="7"/>
      <c r="O1175">
        <v>25.77</v>
      </c>
      <c r="P1175">
        <v>0.91500000000000004</v>
      </c>
      <c r="Q1175">
        <v>16.190000000000001</v>
      </c>
      <c r="S1175">
        <v>15.85</v>
      </c>
      <c r="T1175">
        <v>0</v>
      </c>
      <c r="U1175">
        <v>99.1</v>
      </c>
      <c r="V1175">
        <v>598</v>
      </c>
      <c r="W1175">
        <v>23.99</v>
      </c>
      <c r="Y1175">
        <v>12.93</v>
      </c>
    </row>
    <row r="1176" spans="1:25" x14ac:dyDescent="0.25">
      <c r="A1176">
        <v>2006</v>
      </c>
      <c r="B1176">
        <v>170</v>
      </c>
      <c r="C1176">
        <v>700</v>
      </c>
      <c r="D1176" s="7">
        <v>71.5</v>
      </c>
      <c r="E1176" s="7">
        <v>37.76</v>
      </c>
      <c r="F1176" s="7">
        <v>12.71</v>
      </c>
      <c r="G1176" s="7">
        <v>12.86</v>
      </c>
      <c r="H1176" s="7"/>
      <c r="I1176" s="7"/>
      <c r="J1176" s="7"/>
      <c r="K1176" s="7">
        <v>2.169</v>
      </c>
      <c r="L1176" s="7">
        <v>278.7</v>
      </c>
      <c r="M1176" s="7">
        <v>0</v>
      </c>
      <c r="N1176" s="7"/>
      <c r="O1176">
        <v>82.8</v>
      </c>
      <c r="P1176">
        <v>17.309999999999999</v>
      </c>
      <c r="Q1176">
        <v>16.149999999999999</v>
      </c>
      <c r="S1176">
        <v>15.8</v>
      </c>
      <c r="T1176">
        <v>0</v>
      </c>
      <c r="U1176">
        <v>98.4</v>
      </c>
      <c r="V1176">
        <v>596.29999999999995</v>
      </c>
      <c r="W1176">
        <v>23.92</v>
      </c>
      <c r="Y1176">
        <v>13.16</v>
      </c>
    </row>
    <row r="1177" spans="1:25" x14ac:dyDescent="0.25">
      <c r="A1177">
        <v>2006</v>
      </c>
      <c r="B1177">
        <v>170</v>
      </c>
      <c r="C1177">
        <v>800</v>
      </c>
      <c r="D1177" s="7">
        <v>206.7</v>
      </c>
      <c r="E1177" s="7">
        <v>127.6</v>
      </c>
      <c r="F1177" s="7">
        <v>13.23</v>
      </c>
      <c r="G1177" s="7">
        <v>13.56</v>
      </c>
      <c r="H1177" s="7"/>
      <c r="I1177" s="7"/>
      <c r="J1177" s="7"/>
      <c r="K1177" s="7">
        <v>2.2770000000000001</v>
      </c>
      <c r="L1177" s="7">
        <v>272.89999999999998</v>
      </c>
      <c r="M1177" s="7">
        <v>0</v>
      </c>
      <c r="N1177" s="7"/>
      <c r="O1177">
        <v>262.3</v>
      </c>
      <c r="P1177">
        <v>77.2</v>
      </c>
      <c r="Q1177">
        <v>16.12</v>
      </c>
      <c r="S1177">
        <v>15.76</v>
      </c>
      <c r="T1177">
        <v>0</v>
      </c>
      <c r="U1177">
        <v>96.5</v>
      </c>
      <c r="V1177">
        <v>595</v>
      </c>
      <c r="W1177">
        <v>23.86</v>
      </c>
      <c r="Y1177">
        <v>13.78</v>
      </c>
    </row>
    <row r="1178" spans="1:25" x14ac:dyDescent="0.25">
      <c r="A1178">
        <v>2006</v>
      </c>
      <c r="B1178">
        <v>170</v>
      </c>
      <c r="C1178">
        <v>900</v>
      </c>
      <c r="D1178" s="7">
        <v>213.5</v>
      </c>
      <c r="E1178" s="7">
        <v>128.69999999999999</v>
      </c>
      <c r="F1178" s="7">
        <v>14.02</v>
      </c>
      <c r="G1178" s="7">
        <v>14.56</v>
      </c>
      <c r="H1178" s="7">
        <f>AVERAGE(G1178:G1201)</f>
        <v>13.307083333333331</v>
      </c>
      <c r="I1178" s="7">
        <f>MIN(G1178:G1201)</f>
        <v>9.94</v>
      </c>
      <c r="J1178" s="7">
        <f>MAX(G1178:G1201)</f>
        <v>15.62</v>
      </c>
      <c r="K1178" s="7">
        <v>2.415</v>
      </c>
      <c r="L1178" s="7">
        <v>281</v>
      </c>
      <c r="M1178" s="7">
        <v>0</v>
      </c>
      <c r="N1178" s="7">
        <f>SUM(M1178:M1201)</f>
        <v>0</v>
      </c>
      <c r="O1178">
        <v>271.7</v>
      </c>
      <c r="P1178">
        <v>80.900000000000006</v>
      </c>
      <c r="Q1178">
        <v>16.16</v>
      </c>
      <c r="S1178">
        <v>15.72</v>
      </c>
      <c r="T1178">
        <v>0</v>
      </c>
      <c r="U1178">
        <v>94.3</v>
      </c>
      <c r="V1178">
        <v>594.1</v>
      </c>
      <c r="W1178">
        <v>23.82</v>
      </c>
      <c r="Y1178">
        <v>13.92</v>
      </c>
    </row>
    <row r="1179" spans="1:25" x14ac:dyDescent="0.25">
      <c r="A1179">
        <v>2006</v>
      </c>
      <c r="B1179">
        <v>170</v>
      </c>
      <c r="C1179">
        <v>1000</v>
      </c>
      <c r="D1179" s="7">
        <v>237.6</v>
      </c>
      <c r="E1179" s="7">
        <v>142.9</v>
      </c>
      <c r="F1179" s="7">
        <v>14.86</v>
      </c>
      <c r="G1179" s="7">
        <v>15.15</v>
      </c>
      <c r="H1179" s="7"/>
      <c r="I1179" s="7"/>
      <c r="J1179" s="7"/>
      <c r="K1179" s="7">
        <v>2.2010000000000001</v>
      </c>
      <c r="L1179" s="7">
        <v>272.7</v>
      </c>
      <c r="M1179" s="7">
        <v>0</v>
      </c>
      <c r="N1179" s="7"/>
      <c r="O1179">
        <v>305.10000000000002</v>
      </c>
      <c r="P1179">
        <v>90.1</v>
      </c>
      <c r="Q1179">
        <v>16.25</v>
      </c>
      <c r="S1179">
        <v>15.7</v>
      </c>
      <c r="T1179">
        <v>0</v>
      </c>
      <c r="U1179">
        <v>96.9</v>
      </c>
      <c r="V1179">
        <v>592.70000000000005</v>
      </c>
      <c r="W1179">
        <v>23.76</v>
      </c>
      <c r="Y1179">
        <v>13.9</v>
      </c>
    </row>
    <row r="1180" spans="1:25" x14ac:dyDescent="0.25">
      <c r="A1180">
        <v>2006</v>
      </c>
      <c r="B1180">
        <v>170</v>
      </c>
      <c r="C1180">
        <v>1100</v>
      </c>
      <c r="D1180" s="7">
        <v>261.39999999999998</v>
      </c>
      <c r="E1180" s="7">
        <v>155.6</v>
      </c>
      <c r="F1180" s="7">
        <v>15.53</v>
      </c>
      <c r="G1180" s="7">
        <v>15.6</v>
      </c>
      <c r="H1180" s="7"/>
      <c r="I1180" s="7"/>
      <c r="J1180" s="7"/>
      <c r="K1180" s="7">
        <v>2.2970000000000002</v>
      </c>
      <c r="L1180" s="7">
        <v>282.10000000000002</v>
      </c>
      <c r="M1180" s="7">
        <v>0</v>
      </c>
      <c r="N1180" s="7"/>
      <c r="O1180">
        <v>340.5</v>
      </c>
      <c r="P1180">
        <v>102.1</v>
      </c>
      <c r="Q1180">
        <v>16.37</v>
      </c>
      <c r="S1180">
        <v>15.72</v>
      </c>
      <c r="T1180">
        <v>0</v>
      </c>
      <c r="U1180">
        <v>99.4</v>
      </c>
      <c r="V1180">
        <v>591.4</v>
      </c>
      <c r="W1180">
        <v>23.7</v>
      </c>
      <c r="Y1180">
        <v>13.94</v>
      </c>
    </row>
    <row r="1181" spans="1:25" x14ac:dyDescent="0.25">
      <c r="A1181">
        <v>2006</v>
      </c>
      <c r="B1181">
        <v>170</v>
      </c>
      <c r="C1181">
        <v>1200</v>
      </c>
      <c r="D1181" s="7">
        <v>249.2</v>
      </c>
      <c r="E1181" s="7">
        <v>149.19999999999999</v>
      </c>
      <c r="F1181" s="7">
        <v>15.05</v>
      </c>
      <c r="G1181" s="7">
        <v>15</v>
      </c>
      <c r="H1181" s="7"/>
      <c r="I1181" s="7"/>
      <c r="J1181" s="7"/>
      <c r="K1181" s="7">
        <v>3.1829999999999998</v>
      </c>
      <c r="L1181" s="7">
        <v>302.10000000000002</v>
      </c>
      <c r="M1181" s="7">
        <v>0</v>
      </c>
      <c r="N1181" s="7"/>
      <c r="O1181">
        <v>319.3</v>
      </c>
      <c r="P1181">
        <v>86.7</v>
      </c>
      <c r="Q1181">
        <v>16.52</v>
      </c>
      <c r="S1181">
        <v>15.76</v>
      </c>
      <c r="T1181">
        <v>0</v>
      </c>
      <c r="U1181">
        <v>100.6</v>
      </c>
      <c r="V1181">
        <v>589.70000000000005</v>
      </c>
      <c r="W1181">
        <v>23.63</v>
      </c>
      <c r="Y1181">
        <v>13.97</v>
      </c>
    </row>
    <row r="1182" spans="1:25" x14ac:dyDescent="0.25">
      <c r="A1182">
        <v>2006</v>
      </c>
      <c r="B1182">
        <v>170</v>
      </c>
      <c r="C1182">
        <v>1300</v>
      </c>
      <c r="D1182" s="7">
        <v>196.7</v>
      </c>
      <c r="E1182" s="7">
        <v>113</v>
      </c>
      <c r="F1182" s="7">
        <v>14.22</v>
      </c>
      <c r="G1182" s="7">
        <v>14.32</v>
      </c>
      <c r="H1182" s="7"/>
      <c r="I1182" s="7"/>
      <c r="J1182" s="7"/>
      <c r="K1182" s="7">
        <v>3.0630000000000002</v>
      </c>
      <c r="L1182" s="7">
        <v>349.1</v>
      </c>
      <c r="M1182" s="7">
        <v>0</v>
      </c>
      <c r="N1182" s="7"/>
      <c r="O1182">
        <v>262.2</v>
      </c>
      <c r="P1182">
        <v>74.3</v>
      </c>
      <c r="Q1182">
        <v>16.649999999999999</v>
      </c>
      <c r="S1182">
        <v>15.79</v>
      </c>
      <c r="T1182">
        <v>0</v>
      </c>
      <c r="U1182">
        <v>98.9</v>
      </c>
      <c r="V1182">
        <v>588.1</v>
      </c>
      <c r="W1182">
        <v>23.55</v>
      </c>
      <c r="Y1182">
        <v>13.84</v>
      </c>
    </row>
    <row r="1183" spans="1:25" x14ac:dyDescent="0.25">
      <c r="A1183">
        <v>2006</v>
      </c>
      <c r="B1183">
        <v>170</v>
      </c>
      <c r="C1183">
        <v>1400</v>
      </c>
      <c r="D1183" s="7">
        <v>449.1</v>
      </c>
      <c r="E1183" s="7">
        <v>283.60000000000002</v>
      </c>
      <c r="F1183" s="7">
        <v>14.65</v>
      </c>
      <c r="G1183" s="7">
        <v>14.93</v>
      </c>
      <c r="H1183" s="7"/>
      <c r="I1183" s="7"/>
      <c r="J1183" s="7"/>
      <c r="K1183" s="7">
        <v>3.2570000000000001</v>
      </c>
      <c r="L1183" s="7">
        <v>0</v>
      </c>
      <c r="M1183" s="7">
        <v>0</v>
      </c>
      <c r="N1183" s="7"/>
      <c r="O1183">
        <v>572.70000000000005</v>
      </c>
      <c r="P1183">
        <v>155.4</v>
      </c>
      <c r="Q1183">
        <v>16.77</v>
      </c>
      <c r="S1183">
        <v>15.91</v>
      </c>
      <c r="T1183">
        <v>0</v>
      </c>
      <c r="U1183">
        <v>97.2</v>
      </c>
      <c r="V1183">
        <v>586.9</v>
      </c>
      <c r="W1183">
        <v>23.5</v>
      </c>
      <c r="Y1183">
        <v>14.23</v>
      </c>
    </row>
    <row r="1184" spans="1:25" x14ac:dyDescent="0.25">
      <c r="A1184">
        <v>2006</v>
      </c>
      <c r="B1184">
        <v>170</v>
      </c>
      <c r="C1184">
        <v>1500</v>
      </c>
      <c r="D1184" s="7">
        <v>368</v>
      </c>
      <c r="E1184" s="7">
        <v>220.3</v>
      </c>
      <c r="F1184" s="7">
        <v>15.59</v>
      </c>
      <c r="G1184" s="7">
        <v>15.62</v>
      </c>
      <c r="H1184" s="7"/>
      <c r="I1184" s="7"/>
      <c r="J1184" s="7"/>
      <c r="K1184" s="7">
        <v>3.089</v>
      </c>
      <c r="L1184" s="7">
        <v>0</v>
      </c>
      <c r="M1184" s="7">
        <v>0</v>
      </c>
      <c r="N1184" s="7"/>
      <c r="O1184">
        <v>463.4</v>
      </c>
      <c r="P1184">
        <v>139.69999999999999</v>
      </c>
      <c r="Q1184">
        <v>16.91</v>
      </c>
      <c r="S1184">
        <v>16.03</v>
      </c>
      <c r="T1184">
        <v>0</v>
      </c>
      <c r="U1184">
        <v>99.6</v>
      </c>
      <c r="V1184">
        <v>585.70000000000005</v>
      </c>
      <c r="W1184">
        <v>23.45</v>
      </c>
      <c r="Y1184">
        <v>14.14</v>
      </c>
    </row>
    <row r="1185" spans="1:25" x14ac:dyDescent="0.25">
      <c r="A1185">
        <v>2006</v>
      </c>
      <c r="B1185">
        <v>170</v>
      </c>
      <c r="C1185">
        <v>1600</v>
      </c>
      <c r="D1185" s="7">
        <v>293.8</v>
      </c>
      <c r="E1185" s="7">
        <v>169.7</v>
      </c>
      <c r="F1185" s="7">
        <v>14.8</v>
      </c>
      <c r="G1185" s="7">
        <v>14.86</v>
      </c>
      <c r="H1185" s="7"/>
      <c r="I1185" s="7"/>
      <c r="J1185" s="7"/>
      <c r="K1185" s="7">
        <v>3.2210000000000001</v>
      </c>
      <c r="L1185" s="7">
        <v>0</v>
      </c>
      <c r="M1185" s="7">
        <v>0</v>
      </c>
      <c r="N1185" s="7"/>
      <c r="O1185">
        <v>373.8</v>
      </c>
      <c r="P1185">
        <v>115.7</v>
      </c>
      <c r="Q1185">
        <v>17.03</v>
      </c>
      <c r="S1185">
        <v>16.09</v>
      </c>
      <c r="T1185">
        <v>0</v>
      </c>
      <c r="U1185">
        <v>99.4</v>
      </c>
      <c r="V1185">
        <v>583.70000000000005</v>
      </c>
      <c r="W1185">
        <v>23.36</v>
      </c>
      <c r="Y1185">
        <v>13.97</v>
      </c>
    </row>
    <row r="1186" spans="1:25" x14ac:dyDescent="0.25">
      <c r="A1186">
        <v>2006</v>
      </c>
      <c r="B1186">
        <v>170</v>
      </c>
      <c r="C1186">
        <v>1700</v>
      </c>
      <c r="D1186" s="7">
        <v>400.1</v>
      </c>
      <c r="E1186" s="7">
        <v>231.7</v>
      </c>
      <c r="F1186" s="7">
        <v>15.44</v>
      </c>
      <c r="G1186" s="7">
        <v>15.47</v>
      </c>
      <c r="H1186" s="7"/>
      <c r="I1186" s="7"/>
      <c r="J1186" s="7"/>
      <c r="K1186" s="7">
        <v>3.1440000000000001</v>
      </c>
      <c r="L1186" s="7">
        <v>0</v>
      </c>
      <c r="M1186" s="7">
        <v>0</v>
      </c>
      <c r="N1186" s="7"/>
      <c r="O1186">
        <v>494.5</v>
      </c>
      <c r="P1186">
        <v>175.2</v>
      </c>
      <c r="Q1186">
        <v>17.14</v>
      </c>
      <c r="S1186">
        <v>16.23</v>
      </c>
      <c r="T1186">
        <v>0</v>
      </c>
      <c r="U1186">
        <v>99.7</v>
      </c>
      <c r="V1186">
        <v>582.29999999999995</v>
      </c>
      <c r="W1186">
        <v>23.29</v>
      </c>
      <c r="Y1186">
        <v>14.03</v>
      </c>
    </row>
    <row r="1187" spans="1:25" x14ac:dyDescent="0.25">
      <c r="A1187">
        <v>2006</v>
      </c>
      <c r="B1187">
        <v>170</v>
      </c>
      <c r="C1187">
        <v>1800</v>
      </c>
      <c r="D1187" s="7">
        <v>386.8</v>
      </c>
      <c r="E1187" s="7">
        <v>211</v>
      </c>
      <c r="F1187" s="7">
        <v>15.64</v>
      </c>
      <c r="G1187" s="7">
        <v>15.62</v>
      </c>
      <c r="H1187" s="7"/>
      <c r="I1187" s="7"/>
      <c r="J1187" s="7"/>
      <c r="K1187" s="7">
        <v>3.0209999999999999</v>
      </c>
      <c r="L1187" s="7">
        <v>0</v>
      </c>
      <c r="M1187" s="7">
        <v>0</v>
      </c>
      <c r="N1187" s="7"/>
      <c r="O1187">
        <v>473.4</v>
      </c>
      <c r="P1187">
        <v>213.3</v>
      </c>
      <c r="Q1187">
        <v>17.23</v>
      </c>
      <c r="S1187">
        <v>16.36</v>
      </c>
      <c r="T1187">
        <v>0</v>
      </c>
      <c r="U1187">
        <v>100.3</v>
      </c>
      <c r="V1187">
        <v>580.9</v>
      </c>
      <c r="W1187">
        <v>23.23</v>
      </c>
      <c r="Y1187">
        <v>13.84</v>
      </c>
    </row>
    <row r="1188" spans="1:25" x14ac:dyDescent="0.25">
      <c r="A1188">
        <v>2006</v>
      </c>
      <c r="B1188">
        <v>170</v>
      </c>
      <c r="C1188">
        <v>1900</v>
      </c>
      <c r="D1188" s="7">
        <v>198.6</v>
      </c>
      <c r="E1188" s="7">
        <v>87.4</v>
      </c>
      <c r="F1188" s="7">
        <v>14.77</v>
      </c>
      <c r="G1188" s="7">
        <v>14.72</v>
      </c>
      <c r="H1188" s="7"/>
      <c r="I1188" s="7"/>
      <c r="J1188" s="7"/>
      <c r="K1188" s="7">
        <v>2.4820000000000002</v>
      </c>
      <c r="L1188" s="7">
        <v>354.8</v>
      </c>
      <c r="M1188" s="7">
        <v>0</v>
      </c>
      <c r="N1188" s="7"/>
      <c r="O1188">
        <v>238.5</v>
      </c>
      <c r="P1188">
        <v>115.7</v>
      </c>
      <c r="Q1188">
        <v>17.25</v>
      </c>
      <c r="S1188">
        <v>16.38</v>
      </c>
      <c r="T1188">
        <v>0</v>
      </c>
      <c r="U1188">
        <v>100.5</v>
      </c>
      <c r="V1188">
        <v>580.1</v>
      </c>
      <c r="W1188">
        <v>23.19</v>
      </c>
      <c r="Y1188">
        <v>13.69</v>
      </c>
    </row>
    <row r="1189" spans="1:25" x14ac:dyDescent="0.25">
      <c r="A1189">
        <v>2006</v>
      </c>
      <c r="B1189">
        <v>170</v>
      </c>
      <c r="C1189">
        <v>2000</v>
      </c>
      <c r="D1189" s="7">
        <v>65.88</v>
      </c>
      <c r="E1189" s="7">
        <v>1.6759999999999999</v>
      </c>
      <c r="F1189" s="7">
        <v>13.67</v>
      </c>
      <c r="G1189" s="7">
        <v>13.7</v>
      </c>
      <c r="H1189" s="7"/>
      <c r="I1189" s="7"/>
      <c r="J1189" s="7"/>
      <c r="K1189" s="7">
        <v>1.9019999999999999</v>
      </c>
      <c r="L1189" s="7">
        <v>0</v>
      </c>
      <c r="M1189" s="7">
        <v>0</v>
      </c>
      <c r="N1189" s="7"/>
      <c r="O1189">
        <v>69.459999999999994</v>
      </c>
      <c r="P1189">
        <v>21.43</v>
      </c>
      <c r="Q1189">
        <v>17.2</v>
      </c>
      <c r="S1189">
        <v>16.39</v>
      </c>
      <c r="T1189">
        <v>0</v>
      </c>
      <c r="U1189">
        <v>99.6</v>
      </c>
      <c r="V1189">
        <v>582.20000000000005</v>
      </c>
      <c r="W1189">
        <v>23.29</v>
      </c>
      <c r="Y1189">
        <v>13.56</v>
      </c>
    </row>
    <row r="1190" spans="1:25" x14ac:dyDescent="0.25">
      <c r="A1190">
        <v>2006</v>
      </c>
      <c r="B1190">
        <v>170</v>
      </c>
      <c r="C1190">
        <v>2100</v>
      </c>
      <c r="D1190" s="7">
        <v>12.23</v>
      </c>
      <c r="E1190" s="7">
        <v>-18.8</v>
      </c>
      <c r="F1190" s="7">
        <v>13.01</v>
      </c>
      <c r="G1190" s="7">
        <v>13.08</v>
      </c>
      <c r="H1190" s="7"/>
      <c r="I1190" s="7"/>
      <c r="J1190" s="7"/>
      <c r="K1190" s="7">
        <v>1.3240000000000001</v>
      </c>
      <c r="L1190" s="7">
        <v>335.3</v>
      </c>
      <c r="M1190" s="7">
        <v>0</v>
      </c>
      <c r="N1190" s="7"/>
      <c r="O1190">
        <v>4.3739999999999997</v>
      </c>
      <c r="P1190">
        <v>-5.98</v>
      </c>
      <c r="Q1190">
        <v>17.13</v>
      </c>
      <c r="S1190">
        <v>16.399999999999999</v>
      </c>
      <c r="T1190">
        <v>0</v>
      </c>
      <c r="U1190">
        <v>99.2</v>
      </c>
      <c r="V1190">
        <v>586</v>
      </c>
      <c r="W1190">
        <v>23.46</v>
      </c>
      <c r="Y1190">
        <v>13.44</v>
      </c>
    </row>
    <row r="1191" spans="1:25" x14ac:dyDescent="0.25">
      <c r="A1191">
        <v>2006</v>
      </c>
      <c r="B1191">
        <v>170</v>
      </c>
      <c r="C1191">
        <v>2200</v>
      </c>
      <c r="D1191" s="7">
        <v>-0.69799999999999995</v>
      </c>
      <c r="E1191" s="7">
        <v>-17.73</v>
      </c>
      <c r="F1191" s="7">
        <v>12.77</v>
      </c>
      <c r="G1191" s="7">
        <v>12.81</v>
      </c>
      <c r="H1191" s="7"/>
      <c r="I1191" s="7"/>
      <c r="J1191" s="7"/>
      <c r="K1191" s="7">
        <v>0.70399999999999996</v>
      </c>
      <c r="L1191" s="7">
        <v>266.89999999999998</v>
      </c>
      <c r="M1191" s="7">
        <v>0</v>
      </c>
      <c r="N1191" s="7"/>
      <c r="O1191">
        <v>-11.78</v>
      </c>
      <c r="P1191">
        <v>-11.42</v>
      </c>
      <c r="Q1191">
        <v>17.03</v>
      </c>
      <c r="S1191">
        <v>16.39</v>
      </c>
      <c r="T1191">
        <v>0</v>
      </c>
      <c r="U1191">
        <v>99.5</v>
      </c>
      <c r="V1191">
        <v>585.29999999999995</v>
      </c>
      <c r="W1191">
        <v>23.43</v>
      </c>
      <c r="Y1191">
        <v>13.35</v>
      </c>
    </row>
    <row r="1192" spans="1:25" x14ac:dyDescent="0.25">
      <c r="A1192">
        <v>2006</v>
      </c>
      <c r="B1192">
        <v>170</v>
      </c>
      <c r="C1192">
        <v>2300</v>
      </c>
      <c r="D1192" s="7">
        <v>-1.145</v>
      </c>
      <c r="E1192" s="7">
        <v>-17.39</v>
      </c>
      <c r="F1192" s="7">
        <v>12.47</v>
      </c>
      <c r="G1192" s="7">
        <v>12.43</v>
      </c>
      <c r="H1192" s="7"/>
      <c r="I1192" s="7"/>
      <c r="J1192" s="7"/>
      <c r="K1192" s="7">
        <v>0.39</v>
      </c>
      <c r="L1192" s="7">
        <v>243.5</v>
      </c>
      <c r="M1192" s="7">
        <v>0</v>
      </c>
      <c r="N1192" s="7"/>
      <c r="O1192">
        <v>-12.17</v>
      </c>
      <c r="P1192">
        <v>-11.47</v>
      </c>
      <c r="Q1192">
        <v>16.89</v>
      </c>
      <c r="S1192">
        <v>16.329999999999998</v>
      </c>
      <c r="T1192">
        <v>0</v>
      </c>
      <c r="U1192">
        <v>100.5</v>
      </c>
      <c r="V1192">
        <v>585.4</v>
      </c>
      <c r="W1192">
        <v>23.43</v>
      </c>
      <c r="Y1192">
        <v>13.27</v>
      </c>
    </row>
    <row r="1193" spans="1:25" x14ac:dyDescent="0.25">
      <c r="A1193">
        <v>2006</v>
      </c>
      <c r="B1193">
        <v>170</v>
      </c>
      <c r="C1193">
        <v>2400</v>
      </c>
      <c r="D1193" s="7">
        <v>-1.919</v>
      </c>
      <c r="E1193" s="7">
        <v>-33.89</v>
      </c>
      <c r="F1193" s="7">
        <v>11.8</v>
      </c>
      <c r="G1193" s="7">
        <v>11.84</v>
      </c>
      <c r="H1193" s="7"/>
      <c r="I1193" s="7"/>
      <c r="J1193" s="7"/>
      <c r="K1193" s="7">
        <v>0.58799999999999997</v>
      </c>
      <c r="L1193" s="7">
        <v>234.7</v>
      </c>
      <c r="M1193" s="7">
        <v>0</v>
      </c>
      <c r="N1193" s="7"/>
      <c r="O1193">
        <v>-12.17</v>
      </c>
      <c r="P1193">
        <v>-11.47</v>
      </c>
      <c r="Q1193">
        <v>16.760000000000002</v>
      </c>
      <c r="S1193">
        <v>16.27</v>
      </c>
      <c r="T1193">
        <v>0</v>
      </c>
      <c r="U1193">
        <v>99.5</v>
      </c>
      <c r="V1193">
        <v>585.79999999999995</v>
      </c>
      <c r="W1193">
        <v>23.45</v>
      </c>
      <c r="Y1193">
        <v>13.2</v>
      </c>
    </row>
    <row r="1194" spans="1:25" x14ac:dyDescent="0.25">
      <c r="A1194">
        <v>2006</v>
      </c>
      <c r="B1194">
        <v>171</v>
      </c>
      <c r="C1194">
        <v>100</v>
      </c>
      <c r="D1194" s="7">
        <v>-3.4159999999999999</v>
      </c>
      <c r="E1194" s="7">
        <v>-51.63</v>
      </c>
      <c r="F1194" s="7">
        <v>10.039999999999999</v>
      </c>
      <c r="G1194" s="7">
        <v>9.94</v>
      </c>
      <c r="H1194" s="7"/>
      <c r="I1194" s="7"/>
      <c r="J1194" s="7"/>
      <c r="K1194" s="7">
        <v>0.66200000000000003</v>
      </c>
      <c r="L1194" s="7">
        <v>233.4</v>
      </c>
      <c r="M1194" s="7">
        <v>0</v>
      </c>
      <c r="N1194" s="7"/>
      <c r="O1194">
        <v>-12.17</v>
      </c>
      <c r="P1194">
        <v>-11.47</v>
      </c>
      <c r="Q1194">
        <v>16.59</v>
      </c>
      <c r="S1194">
        <v>16.16</v>
      </c>
      <c r="T1194">
        <v>0</v>
      </c>
      <c r="U1194">
        <v>101.1</v>
      </c>
      <c r="V1194">
        <v>582.70000000000005</v>
      </c>
      <c r="W1194">
        <v>23.31</v>
      </c>
      <c r="Y1194">
        <v>13.13</v>
      </c>
    </row>
    <row r="1195" spans="1:25" x14ac:dyDescent="0.25">
      <c r="A1195">
        <v>2006</v>
      </c>
      <c r="B1195">
        <v>171</v>
      </c>
      <c r="C1195">
        <v>200</v>
      </c>
      <c r="D1195" s="7">
        <v>-1.6060000000000001</v>
      </c>
      <c r="E1195" s="7">
        <v>-23</v>
      </c>
      <c r="F1195" s="7">
        <v>10.52</v>
      </c>
      <c r="G1195" s="7">
        <v>10.56</v>
      </c>
      <c r="H1195" s="7"/>
      <c r="I1195" s="7"/>
      <c r="J1195" s="7"/>
      <c r="K1195" s="7">
        <v>1.105</v>
      </c>
      <c r="L1195" s="7">
        <v>213.8</v>
      </c>
      <c r="M1195" s="7">
        <v>0</v>
      </c>
      <c r="N1195" s="7"/>
      <c r="O1195">
        <v>-12.17</v>
      </c>
      <c r="P1195">
        <v>-11.47</v>
      </c>
      <c r="Q1195">
        <v>16.39</v>
      </c>
      <c r="S1195">
        <v>16.07</v>
      </c>
      <c r="T1195">
        <v>0</v>
      </c>
      <c r="U1195">
        <v>99.6</v>
      </c>
      <c r="V1195">
        <v>582</v>
      </c>
      <c r="W1195">
        <v>23.28</v>
      </c>
      <c r="Y1195">
        <v>13.07</v>
      </c>
    </row>
    <row r="1196" spans="1:25" x14ac:dyDescent="0.25">
      <c r="A1196">
        <v>2006</v>
      </c>
      <c r="B1196">
        <v>171</v>
      </c>
      <c r="C1196">
        <v>300</v>
      </c>
      <c r="D1196" s="7">
        <v>-1.4430000000000001</v>
      </c>
      <c r="E1196" s="7">
        <v>-23.4</v>
      </c>
      <c r="F1196" s="7">
        <v>10.64</v>
      </c>
      <c r="G1196" s="7">
        <v>10.82</v>
      </c>
      <c r="H1196" s="7"/>
      <c r="I1196" s="7"/>
      <c r="J1196" s="7"/>
      <c r="K1196" s="7">
        <v>0.753</v>
      </c>
      <c r="L1196" s="7">
        <v>198.2</v>
      </c>
      <c r="M1196" s="7">
        <v>0</v>
      </c>
      <c r="N1196" s="7"/>
      <c r="O1196">
        <v>-12.17</v>
      </c>
      <c r="P1196">
        <v>-11.48</v>
      </c>
      <c r="Q1196">
        <v>16.21</v>
      </c>
      <c r="S1196">
        <v>15.99</v>
      </c>
      <c r="T1196">
        <v>0</v>
      </c>
      <c r="U1196">
        <v>97.8</v>
      </c>
      <c r="V1196">
        <v>581.4</v>
      </c>
      <c r="W1196">
        <v>23.25</v>
      </c>
      <c r="Y1196">
        <v>13.01</v>
      </c>
    </row>
    <row r="1197" spans="1:25" x14ac:dyDescent="0.25">
      <c r="A1197">
        <v>2006</v>
      </c>
      <c r="B1197">
        <v>171</v>
      </c>
      <c r="C1197">
        <v>400</v>
      </c>
      <c r="D1197" s="7">
        <v>-0.498</v>
      </c>
      <c r="E1197" s="7">
        <v>-36.07</v>
      </c>
      <c r="F1197" s="7">
        <v>10.45</v>
      </c>
      <c r="G1197" s="7">
        <v>10.64</v>
      </c>
      <c r="H1197" s="7"/>
      <c r="I1197" s="7"/>
      <c r="J1197" s="7"/>
      <c r="K1197" s="7">
        <v>0.69099999999999995</v>
      </c>
      <c r="L1197" s="7">
        <v>174.3</v>
      </c>
      <c r="M1197" s="7">
        <v>0</v>
      </c>
      <c r="N1197" s="7"/>
      <c r="O1197">
        <v>-9.66</v>
      </c>
      <c r="P1197">
        <v>-10.67</v>
      </c>
      <c r="Q1197">
        <v>16.04</v>
      </c>
      <c r="S1197">
        <v>15.86</v>
      </c>
      <c r="T1197">
        <v>0</v>
      </c>
      <c r="U1197">
        <v>97.8</v>
      </c>
      <c r="V1197">
        <v>580</v>
      </c>
      <c r="W1197">
        <v>23.19</v>
      </c>
      <c r="Y1197">
        <v>12.97</v>
      </c>
    </row>
    <row r="1198" spans="1:25" x14ac:dyDescent="0.25">
      <c r="A1198">
        <v>2006</v>
      </c>
      <c r="B1198">
        <v>171</v>
      </c>
      <c r="C1198">
        <v>500</v>
      </c>
      <c r="D1198" s="7">
        <v>22.92</v>
      </c>
      <c r="E1198" s="7">
        <v>-11.83</v>
      </c>
      <c r="F1198" s="7">
        <v>10.73</v>
      </c>
      <c r="G1198" s="7">
        <v>10.96</v>
      </c>
      <c r="H1198" s="7"/>
      <c r="I1198" s="7"/>
      <c r="J1198" s="7"/>
      <c r="K1198" s="7">
        <v>0.91600000000000004</v>
      </c>
      <c r="L1198" s="7">
        <v>164.7</v>
      </c>
      <c r="M1198" s="7">
        <v>0</v>
      </c>
      <c r="N1198" s="7"/>
      <c r="O1198">
        <v>18.78</v>
      </c>
      <c r="P1198">
        <v>-0.873</v>
      </c>
      <c r="Q1198">
        <v>15.87</v>
      </c>
      <c r="S1198">
        <v>15.74</v>
      </c>
      <c r="T1198">
        <v>0</v>
      </c>
      <c r="U1198">
        <v>97.3</v>
      </c>
      <c r="V1198">
        <v>578.5</v>
      </c>
      <c r="W1198">
        <v>23.13</v>
      </c>
      <c r="Y1198">
        <v>12.94</v>
      </c>
    </row>
    <row r="1199" spans="1:25" x14ac:dyDescent="0.25">
      <c r="A1199">
        <v>2006</v>
      </c>
      <c r="B1199">
        <v>171</v>
      </c>
      <c r="C1199">
        <v>600</v>
      </c>
      <c r="D1199" s="7">
        <v>70.7</v>
      </c>
      <c r="E1199" s="7">
        <v>26.07</v>
      </c>
      <c r="F1199" s="7">
        <v>11.38</v>
      </c>
      <c r="G1199" s="7">
        <v>11.59</v>
      </c>
      <c r="H1199" s="7"/>
      <c r="I1199" s="7"/>
      <c r="J1199" s="7"/>
      <c r="K1199" s="7">
        <v>1.4019999999999999</v>
      </c>
      <c r="L1199" s="7">
        <v>189.2</v>
      </c>
      <c r="M1199" s="7">
        <v>0</v>
      </c>
      <c r="N1199" s="7"/>
      <c r="O1199">
        <v>80.7</v>
      </c>
      <c r="P1199">
        <v>18.54</v>
      </c>
      <c r="Q1199">
        <v>15.76</v>
      </c>
      <c r="S1199">
        <v>15.65</v>
      </c>
      <c r="T1199">
        <v>0</v>
      </c>
      <c r="U1199">
        <v>97.6</v>
      </c>
      <c r="V1199">
        <v>577.29999999999995</v>
      </c>
      <c r="W1199">
        <v>23.07</v>
      </c>
      <c r="Y1199">
        <v>13.19</v>
      </c>
    </row>
    <row r="1200" spans="1:25" x14ac:dyDescent="0.25">
      <c r="A1200">
        <v>2006</v>
      </c>
      <c r="B1200">
        <v>171</v>
      </c>
      <c r="C1200">
        <v>700</v>
      </c>
      <c r="D1200" s="7">
        <v>118</v>
      </c>
      <c r="E1200" s="7">
        <v>60.4</v>
      </c>
      <c r="F1200" s="7">
        <v>11.83</v>
      </c>
      <c r="G1200" s="7">
        <v>12.09</v>
      </c>
      <c r="H1200" s="7"/>
      <c r="I1200" s="7"/>
      <c r="J1200" s="7"/>
      <c r="K1200" s="7">
        <v>2.2770000000000001</v>
      </c>
      <c r="L1200" s="7">
        <v>216.6</v>
      </c>
      <c r="M1200" s="7">
        <v>0</v>
      </c>
      <c r="N1200" s="7"/>
      <c r="O1200">
        <v>140.1</v>
      </c>
      <c r="P1200">
        <v>35.47</v>
      </c>
      <c r="Q1200">
        <v>15.64</v>
      </c>
      <c r="S1200">
        <v>15.53</v>
      </c>
      <c r="T1200">
        <v>0</v>
      </c>
      <c r="U1200">
        <v>97.1</v>
      </c>
      <c r="V1200">
        <v>576.4</v>
      </c>
      <c r="W1200">
        <v>23.03</v>
      </c>
      <c r="Y1200">
        <v>13.56</v>
      </c>
    </row>
    <row r="1201" spans="1:25" x14ac:dyDescent="0.25">
      <c r="A1201">
        <v>2006</v>
      </c>
      <c r="B1201">
        <v>171</v>
      </c>
      <c r="C1201">
        <v>800</v>
      </c>
      <c r="D1201" s="7">
        <v>297.7</v>
      </c>
      <c r="E1201" s="7">
        <v>180.2</v>
      </c>
      <c r="F1201" s="7">
        <v>12.91</v>
      </c>
      <c r="G1201" s="7">
        <v>13.06</v>
      </c>
      <c r="H1201" s="7"/>
      <c r="I1201" s="7"/>
      <c r="J1201" s="7"/>
      <c r="K1201" s="7">
        <v>2.629</v>
      </c>
      <c r="L1201" s="7">
        <v>212.2</v>
      </c>
      <c r="M1201" s="7">
        <v>0</v>
      </c>
      <c r="N1201" s="7"/>
      <c r="O1201">
        <v>379.7</v>
      </c>
      <c r="P1201">
        <v>113.3</v>
      </c>
      <c r="Q1201">
        <v>15.66</v>
      </c>
      <c r="S1201">
        <v>15.5</v>
      </c>
      <c r="T1201">
        <v>0</v>
      </c>
      <c r="U1201">
        <v>98.4</v>
      </c>
      <c r="V1201">
        <v>577.4</v>
      </c>
      <c r="W1201">
        <v>23.08</v>
      </c>
      <c r="Y1201">
        <v>13.97</v>
      </c>
    </row>
    <row r="1202" spans="1:25" x14ac:dyDescent="0.25">
      <c r="A1202">
        <v>2006</v>
      </c>
      <c r="B1202">
        <v>171</v>
      </c>
      <c r="C1202">
        <v>900</v>
      </c>
      <c r="D1202" s="7">
        <v>440.5</v>
      </c>
      <c r="E1202" s="7">
        <v>268</v>
      </c>
      <c r="F1202" s="7">
        <v>14.13</v>
      </c>
      <c r="G1202" s="7">
        <v>14.13</v>
      </c>
      <c r="H1202" s="7">
        <f>AVERAGE(G1202:G1225)</f>
        <v>11.89625</v>
      </c>
      <c r="I1202" s="7">
        <f>MIN(G1202:G1225)</f>
        <v>9.42</v>
      </c>
      <c r="J1202" s="7">
        <f>MAX(G1202:G1225)</f>
        <v>14.82</v>
      </c>
      <c r="K1202" s="7">
        <v>3.2</v>
      </c>
      <c r="L1202" s="7">
        <v>192.4</v>
      </c>
      <c r="M1202" s="7">
        <v>0</v>
      </c>
      <c r="N1202" s="7">
        <f>SUM(M1202:M1225)</f>
        <v>0</v>
      </c>
      <c r="O1202">
        <v>566.6</v>
      </c>
      <c r="P1202">
        <v>176.1</v>
      </c>
      <c r="Q1202">
        <v>15.75</v>
      </c>
      <c r="S1202">
        <v>15.47</v>
      </c>
      <c r="T1202">
        <v>0</v>
      </c>
      <c r="U1202">
        <v>100</v>
      </c>
      <c r="V1202">
        <v>574</v>
      </c>
      <c r="W1202">
        <v>22.92</v>
      </c>
      <c r="Y1202">
        <v>14.36</v>
      </c>
    </row>
    <row r="1203" spans="1:25" x14ac:dyDescent="0.25">
      <c r="A1203">
        <v>2006</v>
      </c>
      <c r="B1203">
        <v>171</v>
      </c>
      <c r="C1203">
        <v>1000</v>
      </c>
      <c r="D1203" s="7">
        <v>204.2</v>
      </c>
      <c r="E1203" s="7">
        <v>109.2</v>
      </c>
      <c r="F1203" s="7">
        <v>13.32</v>
      </c>
      <c r="G1203" s="7">
        <v>13.27</v>
      </c>
      <c r="H1203" s="7"/>
      <c r="I1203" s="7"/>
      <c r="J1203" s="7"/>
      <c r="K1203" s="7">
        <v>3.0110000000000001</v>
      </c>
      <c r="L1203" s="7">
        <v>199.3</v>
      </c>
      <c r="M1203" s="7">
        <v>0</v>
      </c>
      <c r="N1203" s="7"/>
      <c r="O1203">
        <v>272.89999999999998</v>
      </c>
      <c r="P1203">
        <v>76.900000000000006</v>
      </c>
      <c r="Q1203">
        <v>15.87</v>
      </c>
      <c r="S1203">
        <v>15.38</v>
      </c>
      <c r="T1203">
        <v>0</v>
      </c>
      <c r="U1203">
        <v>100.6</v>
      </c>
      <c r="V1203">
        <v>572.1</v>
      </c>
      <c r="W1203">
        <v>22.84</v>
      </c>
      <c r="Y1203">
        <v>13.91</v>
      </c>
    </row>
    <row r="1204" spans="1:25" x14ac:dyDescent="0.25">
      <c r="A1204">
        <v>2006</v>
      </c>
      <c r="B1204">
        <v>171</v>
      </c>
      <c r="C1204">
        <v>1100</v>
      </c>
      <c r="D1204" s="7">
        <v>195.5</v>
      </c>
      <c r="E1204" s="7">
        <v>108.2</v>
      </c>
      <c r="F1204" s="7">
        <v>12.18</v>
      </c>
      <c r="G1204" s="7">
        <v>12.2</v>
      </c>
      <c r="H1204" s="7"/>
      <c r="I1204" s="7"/>
      <c r="J1204" s="7"/>
      <c r="K1204" s="7">
        <v>2.63</v>
      </c>
      <c r="L1204" s="7">
        <v>184.1</v>
      </c>
      <c r="M1204" s="7">
        <v>0</v>
      </c>
      <c r="N1204" s="7"/>
      <c r="O1204">
        <v>265.5</v>
      </c>
      <c r="P1204">
        <v>71.8</v>
      </c>
      <c r="Q1204">
        <v>15.99</v>
      </c>
      <c r="S1204">
        <v>15.38</v>
      </c>
      <c r="T1204">
        <v>0</v>
      </c>
      <c r="U1204">
        <v>99.8</v>
      </c>
      <c r="V1204">
        <v>571.5</v>
      </c>
      <c r="W1204">
        <v>22.81</v>
      </c>
      <c r="Y1204">
        <v>13.84</v>
      </c>
    </row>
    <row r="1205" spans="1:25" x14ac:dyDescent="0.25">
      <c r="A1205">
        <v>2006</v>
      </c>
      <c r="B1205">
        <v>171</v>
      </c>
      <c r="C1205">
        <v>1200</v>
      </c>
      <c r="D1205" s="7">
        <v>185.6</v>
      </c>
      <c r="E1205" s="7">
        <v>105.2</v>
      </c>
      <c r="F1205" s="7">
        <v>12.42</v>
      </c>
      <c r="G1205" s="7">
        <v>12.5</v>
      </c>
      <c r="H1205" s="7"/>
      <c r="I1205" s="7"/>
      <c r="J1205" s="7"/>
      <c r="K1205" s="7">
        <v>3.093</v>
      </c>
      <c r="L1205" s="7">
        <v>179.7</v>
      </c>
      <c r="M1205" s="7">
        <v>0</v>
      </c>
      <c r="N1205" s="7"/>
      <c r="O1205">
        <v>247.3</v>
      </c>
      <c r="P1205">
        <v>61.35</v>
      </c>
      <c r="Q1205">
        <v>16.059999999999999</v>
      </c>
      <c r="S1205">
        <v>15.44</v>
      </c>
      <c r="T1205">
        <v>0</v>
      </c>
      <c r="U1205">
        <v>99.1</v>
      </c>
      <c r="V1205">
        <v>571.5</v>
      </c>
      <c r="W1205">
        <v>22.81</v>
      </c>
      <c r="Y1205">
        <v>13.83</v>
      </c>
    </row>
    <row r="1206" spans="1:25" x14ac:dyDescent="0.25">
      <c r="A1206">
        <v>2006</v>
      </c>
      <c r="B1206">
        <v>171</v>
      </c>
      <c r="C1206">
        <v>1300</v>
      </c>
      <c r="D1206" s="7">
        <v>138.4</v>
      </c>
      <c r="E1206" s="7">
        <v>77.7</v>
      </c>
      <c r="F1206" s="7">
        <v>12.68</v>
      </c>
      <c r="G1206" s="7">
        <v>12.72</v>
      </c>
      <c r="H1206" s="7"/>
      <c r="I1206" s="7"/>
      <c r="J1206" s="7"/>
      <c r="K1206" s="7">
        <v>3.0680000000000001</v>
      </c>
      <c r="L1206" s="7">
        <v>180.3</v>
      </c>
      <c r="M1206" s="7">
        <v>0</v>
      </c>
      <c r="N1206" s="7"/>
      <c r="O1206">
        <v>176.9</v>
      </c>
      <c r="P1206">
        <v>41.01</v>
      </c>
      <c r="Q1206">
        <v>16.079999999999998</v>
      </c>
      <c r="S1206">
        <v>15.46</v>
      </c>
      <c r="T1206">
        <v>0</v>
      </c>
      <c r="U1206">
        <v>99.6</v>
      </c>
      <c r="V1206">
        <v>571.9</v>
      </c>
      <c r="W1206">
        <v>22.83</v>
      </c>
      <c r="Y1206">
        <v>13.76</v>
      </c>
    </row>
    <row r="1207" spans="1:25" x14ac:dyDescent="0.25">
      <c r="A1207">
        <v>2006</v>
      </c>
      <c r="B1207">
        <v>171</v>
      </c>
      <c r="C1207">
        <v>1400</v>
      </c>
      <c r="D1207" s="7">
        <v>95</v>
      </c>
      <c r="E1207" s="7">
        <v>52.44</v>
      </c>
      <c r="F1207" s="7">
        <v>13.06</v>
      </c>
      <c r="G1207" s="7">
        <v>13.04</v>
      </c>
      <c r="H1207" s="7"/>
      <c r="I1207" s="7"/>
      <c r="J1207" s="7"/>
      <c r="K1207" s="7">
        <v>2.9159999999999999</v>
      </c>
      <c r="L1207" s="7">
        <v>180.5</v>
      </c>
      <c r="M1207" s="7">
        <v>0</v>
      </c>
      <c r="N1207" s="7"/>
      <c r="O1207">
        <v>120.8</v>
      </c>
      <c r="P1207">
        <v>27.71</v>
      </c>
      <c r="Q1207">
        <v>16.100000000000001</v>
      </c>
      <c r="S1207">
        <v>15.49</v>
      </c>
      <c r="T1207">
        <v>0</v>
      </c>
      <c r="U1207">
        <v>100.3</v>
      </c>
      <c r="V1207">
        <v>580.70000000000005</v>
      </c>
      <c r="W1207">
        <v>23.22</v>
      </c>
      <c r="Y1207">
        <v>13.67</v>
      </c>
    </row>
    <row r="1208" spans="1:25" x14ac:dyDescent="0.25">
      <c r="A1208">
        <v>2006</v>
      </c>
      <c r="B1208">
        <v>171</v>
      </c>
      <c r="C1208">
        <v>1500</v>
      </c>
      <c r="D1208" s="7">
        <v>97.9</v>
      </c>
      <c r="E1208" s="7">
        <v>54.53</v>
      </c>
      <c r="F1208" s="7">
        <v>13.89</v>
      </c>
      <c r="G1208" s="7">
        <v>14.03</v>
      </c>
      <c r="H1208" s="7"/>
      <c r="I1208" s="7"/>
      <c r="J1208" s="7"/>
      <c r="K1208" s="7">
        <v>3.54</v>
      </c>
      <c r="L1208" s="7">
        <v>201.5</v>
      </c>
      <c r="M1208" s="7">
        <v>0</v>
      </c>
      <c r="N1208" s="7"/>
      <c r="O1208">
        <v>125.7</v>
      </c>
      <c r="P1208">
        <v>28.63</v>
      </c>
      <c r="Q1208">
        <v>16.11</v>
      </c>
      <c r="S1208">
        <v>15.5</v>
      </c>
      <c r="T1208">
        <v>0</v>
      </c>
      <c r="U1208">
        <v>98.6</v>
      </c>
      <c r="V1208">
        <v>573.1</v>
      </c>
      <c r="W1208">
        <v>22.88</v>
      </c>
      <c r="Y1208">
        <v>13.66</v>
      </c>
    </row>
    <row r="1209" spans="1:25" x14ac:dyDescent="0.25">
      <c r="A1209">
        <v>2006</v>
      </c>
      <c r="B1209">
        <v>171</v>
      </c>
      <c r="C1209">
        <v>1600</v>
      </c>
      <c r="D1209" s="7">
        <v>123.5</v>
      </c>
      <c r="E1209" s="7">
        <v>70.900000000000006</v>
      </c>
      <c r="F1209" s="7">
        <v>14.64</v>
      </c>
      <c r="G1209" s="7">
        <v>14.82</v>
      </c>
      <c r="H1209" s="7"/>
      <c r="I1209" s="7"/>
      <c r="J1209" s="7"/>
      <c r="K1209" s="7">
        <v>3.2810000000000001</v>
      </c>
      <c r="L1209" s="7">
        <v>215.2</v>
      </c>
      <c r="M1209" s="7">
        <v>0</v>
      </c>
      <c r="N1209" s="7"/>
      <c r="O1209">
        <v>158.19999999999999</v>
      </c>
      <c r="P1209">
        <v>38.29</v>
      </c>
      <c r="Q1209">
        <v>16.079999999999998</v>
      </c>
      <c r="S1209">
        <v>15.52</v>
      </c>
      <c r="T1209">
        <v>0</v>
      </c>
      <c r="U1209">
        <v>98.1</v>
      </c>
      <c r="V1209">
        <v>574</v>
      </c>
      <c r="W1209">
        <v>22.93</v>
      </c>
      <c r="Y1209">
        <v>13.75</v>
      </c>
    </row>
    <row r="1210" spans="1:25" x14ac:dyDescent="0.25">
      <c r="A1210">
        <v>2006</v>
      </c>
      <c r="B1210">
        <v>171</v>
      </c>
      <c r="C1210">
        <v>1700</v>
      </c>
      <c r="D1210" s="7">
        <v>248.5</v>
      </c>
      <c r="E1210" s="7">
        <v>153.19999999999999</v>
      </c>
      <c r="F1210" s="7">
        <v>14.23</v>
      </c>
      <c r="G1210" s="7">
        <v>14.4</v>
      </c>
      <c r="H1210" s="7"/>
      <c r="I1210" s="7"/>
      <c r="J1210" s="7"/>
      <c r="K1210" s="7">
        <v>3.831</v>
      </c>
      <c r="L1210" s="7">
        <v>254.8</v>
      </c>
      <c r="M1210" s="7">
        <v>0</v>
      </c>
      <c r="N1210" s="7"/>
      <c r="O1210">
        <v>314.7</v>
      </c>
      <c r="P1210">
        <v>95.1</v>
      </c>
      <c r="Q1210">
        <v>16.09</v>
      </c>
      <c r="S1210">
        <v>15.52</v>
      </c>
      <c r="T1210">
        <v>0</v>
      </c>
      <c r="U1210">
        <v>98.2</v>
      </c>
      <c r="V1210">
        <v>673.2</v>
      </c>
      <c r="W1210">
        <v>27.39</v>
      </c>
      <c r="Y1210">
        <v>13.82</v>
      </c>
    </row>
    <row r="1211" spans="1:25" x14ac:dyDescent="0.25">
      <c r="A1211">
        <v>2006</v>
      </c>
      <c r="B1211">
        <v>171</v>
      </c>
      <c r="C1211">
        <v>1800</v>
      </c>
      <c r="D1211" s="7">
        <v>149.5</v>
      </c>
      <c r="E1211" s="7">
        <v>80.7</v>
      </c>
      <c r="F1211" s="7">
        <v>12.99</v>
      </c>
      <c r="G1211" s="7">
        <v>13.38</v>
      </c>
      <c r="H1211" s="7"/>
      <c r="I1211" s="7"/>
      <c r="J1211" s="7"/>
      <c r="K1211" s="7">
        <v>4.2880000000000003</v>
      </c>
      <c r="L1211" s="7">
        <v>283.10000000000002</v>
      </c>
      <c r="M1211" s="7">
        <v>0</v>
      </c>
      <c r="N1211" s="7"/>
      <c r="O1211">
        <v>189.7</v>
      </c>
      <c r="P1211">
        <v>59.96</v>
      </c>
      <c r="Q1211">
        <v>16.12</v>
      </c>
      <c r="S1211">
        <v>15.51</v>
      </c>
      <c r="T1211">
        <v>0</v>
      </c>
      <c r="U1211">
        <v>95.8</v>
      </c>
      <c r="V1211">
        <v>725</v>
      </c>
      <c r="W1211">
        <v>29.63</v>
      </c>
      <c r="Y1211">
        <v>13.79</v>
      </c>
    </row>
    <row r="1212" spans="1:25" x14ac:dyDescent="0.25">
      <c r="A1212">
        <v>2006</v>
      </c>
      <c r="B1212">
        <v>171</v>
      </c>
      <c r="C1212">
        <v>1900</v>
      </c>
      <c r="D1212" s="7">
        <v>206.9</v>
      </c>
      <c r="E1212" s="7">
        <v>97.3</v>
      </c>
      <c r="F1212" s="7">
        <v>13.13</v>
      </c>
      <c r="G1212" s="7">
        <v>13.6</v>
      </c>
      <c r="H1212" s="7"/>
      <c r="I1212" s="7"/>
      <c r="J1212" s="7"/>
      <c r="K1212" s="7">
        <v>4.7220000000000004</v>
      </c>
      <c r="L1212" s="7">
        <v>290.89999999999998</v>
      </c>
      <c r="M1212" s="7">
        <v>0</v>
      </c>
      <c r="N1212" s="7"/>
      <c r="O1212">
        <v>257.3</v>
      </c>
      <c r="P1212">
        <v>135.1</v>
      </c>
      <c r="Q1212">
        <v>16.13</v>
      </c>
      <c r="S1212">
        <v>15.5</v>
      </c>
      <c r="T1212">
        <v>0</v>
      </c>
      <c r="U1212">
        <v>95</v>
      </c>
      <c r="V1212">
        <v>707</v>
      </c>
      <c r="W1212">
        <v>28.79</v>
      </c>
      <c r="Y1212">
        <v>13.73</v>
      </c>
    </row>
    <row r="1213" spans="1:25" x14ac:dyDescent="0.25">
      <c r="A1213">
        <v>2006</v>
      </c>
      <c r="B1213">
        <v>171</v>
      </c>
      <c r="C1213">
        <v>2000</v>
      </c>
      <c r="D1213" s="7">
        <v>104.6</v>
      </c>
      <c r="E1213" s="7">
        <v>40.99</v>
      </c>
      <c r="F1213" s="7">
        <v>13.02</v>
      </c>
      <c r="G1213" s="7">
        <v>13.13</v>
      </c>
      <c r="H1213" s="7"/>
      <c r="I1213" s="7"/>
      <c r="J1213" s="7"/>
      <c r="K1213" s="7">
        <v>4.3460000000000001</v>
      </c>
      <c r="L1213" s="7">
        <v>292.7</v>
      </c>
      <c r="M1213" s="7">
        <v>0</v>
      </c>
      <c r="N1213" s="7"/>
      <c r="O1213">
        <v>133.4</v>
      </c>
      <c r="P1213">
        <v>79.8</v>
      </c>
      <c r="Q1213">
        <v>16.11</v>
      </c>
      <c r="S1213">
        <v>15.5</v>
      </c>
      <c r="T1213">
        <v>0</v>
      </c>
      <c r="U1213">
        <v>98.7</v>
      </c>
      <c r="V1213">
        <v>704</v>
      </c>
      <c r="W1213">
        <v>28.69</v>
      </c>
      <c r="Y1213">
        <v>13.62</v>
      </c>
    </row>
    <row r="1214" spans="1:25" x14ac:dyDescent="0.25">
      <c r="A1214">
        <v>2006</v>
      </c>
      <c r="B1214">
        <v>171</v>
      </c>
      <c r="C1214">
        <v>2100</v>
      </c>
      <c r="D1214" s="7">
        <v>22.8</v>
      </c>
      <c r="E1214" s="7">
        <v>-20.239999999999998</v>
      </c>
      <c r="F1214" s="7">
        <v>11.81</v>
      </c>
      <c r="G1214" s="7">
        <v>11.92</v>
      </c>
      <c r="H1214" s="7"/>
      <c r="I1214" s="7"/>
      <c r="J1214" s="7"/>
      <c r="K1214" s="7">
        <v>3.87</v>
      </c>
      <c r="L1214" s="7">
        <v>290.89999999999998</v>
      </c>
      <c r="M1214" s="7">
        <v>0</v>
      </c>
      <c r="N1214" s="7"/>
      <c r="O1214">
        <v>20.69</v>
      </c>
      <c r="P1214">
        <v>5.2050000000000001</v>
      </c>
      <c r="Q1214">
        <v>16.05</v>
      </c>
      <c r="S1214">
        <v>15.47</v>
      </c>
      <c r="T1214">
        <v>0</v>
      </c>
      <c r="U1214">
        <v>98.7</v>
      </c>
      <c r="V1214">
        <v>694.4</v>
      </c>
      <c r="W1214">
        <v>28.24</v>
      </c>
      <c r="Y1214">
        <v>13.5</v>
      </c>
    </row>
    <row r="1215" spans="1:25" x14ac:dyDescent="0.25">
      <c r="A1215">
        <v>2006</v>
      </c>
      <c r="B1215">
        <v>171</v>
      </c>
      <c r="C1215">
        <v>2200</v>
      </c>
      <c r="D1215" s="7">
        <v>-0.77600000000000002</v>
      </c>
      <c r="E1215" s="7">
        <v>-23.79</v>
      </c>
      <c r="F1215" s="7">
        <v>11.18</v>
      </c>
      <c r="G1215" s="7">
        <v>11.26</v>
      </c>
      <c r="H1215" s="7"/>
      <c r="I1215" s="7"/>
      <c r="J1215" s="7"/>
      <c r="K1215" s="7">
        <v>3.113</v>
      </c>
      <c r="L1215" s="7">
        <v>279.3</v>
      </c>
      <c r="M1215" s="7">
        <v>0</v>
      </c>
      <c r="N1215" s="7"/>
      <c r="O1215">
        <v>-11.42</v>
      </c>
      <c r="P1215">
        <v>-11.28</v>
      </c>
      <c r="Q1215">
        <v>15.95</v>
      </c>
      <c r="S1215">
        <v>15.45</v>
      </c>
      <c r="T1215">
        <v>0</v>
      </c>
      <c r="U1215">
        <v>99.1</v>
      </c>
      <c r="V1215">
        <v>685.3</v>
      </c>
      <c r="W1215">
        <v>27.84</v>
      </c>
      <c r="Y1215">
        <v>13.41</v>
      </c>
    </row>
    <row r="1216" spans="1:25" x14ac:dyDescent="0.25">
      <c r="A1216">
        <v>2006</v>
      </c>
      <c r="B1216">
        <v>171</v>
      </c>
      <c r="C1216">
        <v>2300</v>
      </c>
      <c r="D1216" s="7">
        <v>-2.0419999999999998</v>
      </c>
      <c r="E1216" s="7">
        <v>-26.71</v>
      </c>
      <c r="F1216" s="7">
        <v>10.210000000000001</v>
      </c>
      <c r="G1216" s="7">
        <v>10.3</v>
      </c>
      <c r="H1216" s="7"/>
      <c r="I1216" s="7"/>
      <c r="J1216" s="7"/>
      <c r="K1216" s="7">
        <v>2.6030000000000002</v>
      </c>
      <c r="L1216" s="7">
        <v>255.7</v>
      </c>
      <c r="M1216" s="7">
        <v>0</v>
      </c>
      <c r="N1216" s="7"/>
      <c r="O1216">
        <v>-12.17</v>
      </c>
      <c r="P1216">
        <v>-11.48</v>
      </c>
      <c r="Q1216">
        <v>15.8</v>
      </c>
      <c r="S1216">
        <v>15.37</v>
      </c>
      <c r="T1216">
        <v>0</v>
      </c>
      <c r="U1216">
        <v>99</v>
      </c>
      <c r="V1216">
        <v>683</v>
      </c>
      <c r="W1216">
        <v>27.73</v>
      </c>
      <c r="Y1216">
        <v>13.32</v>
      </c>
    </row>
    <row r="1217" spans="1:25" x14ac:dyDescent="0.25">
      <c r="A1217">
        <v>2006</v>
      </c>
      <c r="B1217">
        <v>171</v>
      </c>
      <c r="C1217">
        <v>2400</v>
      </c>
      <c r="D1217" s="7">
        <v>-1.349</v>
      </c>
      <c r="E1217" s="7">
        <v>-24.12</v>
      </c>
      <c r="F1217" s="7">
        <v>10.050000000000001</v>
      </c>
      <c r="G1217" s="7">
        <v>10.3</v>
      </c>
      <c r="H1217" s="7"/>
      <c r="I1217" s="7"/>
      <c r="J1217" s="7"/>
      <c r="K1217" s="7">
        <v>3.0840000000000001</v>
      </c>
      <c r="L1217" s="7">
        <v>254.7</v>
      </c>
      <c r="M1217" s="7">
        <v>0</v>
      </c>
      <c r="N1217" s="7"/>
      <c r="O1217">
        <v>-12.18</v>
      </c>
      <c r="P1217">
        <v>-11.48</v>
      </c>
      <c r="Q1217">
        <v>15.67</v>
      </c>
      <c r="S1217">
        <v>15.31</v>
      </c>
      <c r="T1217">
        <v>0</v>
      </c>
      <c r="U1217">
        <v>97</v>
      </c>
      <c r="V1217">
        <v>679.9</v>
      </c>
      <c r="W1217">
        <v>27.6</v>
      </c>
      <c r="Y1217">
        <v>13.25</v>
      </c>
    </row>
    <row r="1218" spans="1:25" x14ac:dyDescent="0.25">
      <c r="A1218">
        <v>2006</v>
      </c>
      <c r="B1218">
        <v>172</v>
      </c>
      <c r="C1218">
        <v>100</v>
      </c>
      <c r="D1218" s="7">
        <v>-1.4239999999999999</v>
      </c>
      <c r="E1218" s="7">
        <v>-29.63</v>
      </c>
      <c r="F1218" s="7">
        <v>9.84</v>
      </c>
      <c r="G1218" s="7">
        <v>9.99</v>
      </c>
      <c r="H1218" s="7"/>
      <c r="I1218" s="7"/>
      <c r="J1218" s="7"/>
      <c r="K1218" s="7">
        <v>3.073</v>
      </c>
      <c r="L1218" s="7">
        <v>253.6</v>
      </c>
      <c r="M1218" s="7">
        <v>0</v>
      </c>
      <c r="N1218" s="7"/>
      <c r="O1218">
        <v>-12.17</v>
      </c>
      <c r="P1218">
        <v>-11.49</v>
      </c>
      <c r="Q1218">
        <v>15.55</v>
      </c>
      <c r="S1218">
        <v>15.24</v>
      </c>
      <c r="T1218">
        <v>0</v>
      </c>
      <c r="U1218">
        <v>98.2</v>
      </c>
      <c r="V1218">
        <v>676.4</v>
      </c>
      <c r="W1218">
        <v>27.45</v>
      </c>
      <c r="Y1218">
        <v>13.18</v>
      </c>
    </row>
    <row r="1219" spans="1:25" x14ac:dyDescent="0.25">
      <c r="A1219">
        <v>2006</v>
      </c>
      <c r="B1219">
        <v>172</v>
      </c>
      <c r="C1219">
        <v>200</v>
      </c>
      <c r="D1219" s="7">
        <v>-1.3939999999999999</v>
      </c>
      <c r="E1219" s="7">
        <v>-24.38</v>
      </c>
      <c r="F1219" s="7">
        <v>9.76</v>
      </c>
      <c r="G1219" s="7">
        <v>9.94</v>
      </c>
      <c r="H1219" s="7"/>
      <c r="I1219" s="7"/>
      <c r="J1219" s="7"/>
      <c r="K1219" s="7">
        <v>3.4279999999999999</v>
      </c>
      <c r="L1219" s="7">
        <v>262.89999999999998</v>
      </c>
      <c r="M1219" s="7">
        <v>0</v>
      </c>
      <c r="N1219" s="7"/>
      <c r="O1219">
        <v>-12.18</v>
      </c>
      <c r="P1219">
        <v>-11.48</v>
      </c>
      <c r="Q1219">
        <v>15.4</v>
      </c>
      <c r="S1219">
        <v>15.15</v>
      </c>
      <c r="T1219">
        <v>0</v>
      </c>
      <c r="U1219">
        <v>97.7</v>
      </c>
      <c r="V1219">
        <v>672.8</v>
      </c>
      <c r="W1219">
        <v>27.29</v>
      </c>
      <c r="Y1219">
        <v>13.12</v>
      </c>
    </row>
    <row r="1220" spans="1:25" x14ac:dyDescent="0.25">
      <c r="A1220">
        <v>2006</v>
      </c>
      <c r="B1220">
        <v>172</v>
      </c>
      <c r="C1220">
        <v>300</v>
      </c>
      <c r="D1220" s="7">
        <v>-1.347</v>
      </c>
      <c r="E1220" s="7">
        <v>-22.67</v>
      </c>
      <c r="F1220" s="7">
        <v>9.5399999999999991</v>
      </c>
      <c r="G1220" s="7">
        <v>9.69</v>
      </c>
      <c r="H1220" s="7"/>
      <c r="I1220" s="7"/>
      <c r="J1220" s="7"/>
      <c r="K1220" s="7">
        <v>3.4369999999999998</v>
      </c>
      <c r="L1220" s="7">
        <v>267.2</v>
      </c>
      <c r="M1220" s="7">
        <v>0</v>
      </c>
      <c r="N1220" s="7"/>
      <c r="O1220">
        <v>-12.18</v>
      </c>
      <c r="P1220">
        <v>-11.49</v>
      </c>
      <c r="Q1220">
        <v>15.25</v>
      </c>
      <c r="S1220">
        <v>15.03</v>
      </c>
      <c r="T1220">
        <v>0</v>
      </c>
      <c r="U1220">
        <v>98.1</v>
      </c>
      <c r="V1220">
        <v>669.5</v>
      </c>
      <c r="W1220">
        <v>27.14</v>
      </c>
      <c r="Y1220">
        <v>13.06</v>
      </c>
    </row>
    <row r="1221" spans="1:25" x14ac:dyDescent="0.25">
      <c r="A1221">
        <v>2006</v>
      </c>
      <c r="B1221">
        <v>172</v>
      </c>
      <c r="C1221">
        <v>400</v>
      </c>
      <c r="D1221" s="7">
        <v>0.10299999999999999</v>
      </c>
      <c r="E1221" s="7">
        <v>-26.83</v>
      </c>
      <c r="F1221" s="7">
        <v>9.27</v>
      </c>
      <c r="G1221" s="7">
        <v>9.42</v>
      </c>
      <c r="H1221" s="7"/>
      <c r="I1221" s="7"/>
      <c r="J1221" s="7"/>
      <c r="K1221" s="7">
        <v>3.3839999999999999</v>
      </c>
      <c r="L1221" s="7">
        <v>262.5</v>
      </c>
      <c r="M1221" s="7">
        <v>0</v>
      </c>
      <c r="N1221" s="7"/>
      <c r="O1221">
        <v>-9.82</v>
      </c>
      <c r="P1221">
        <v>-10.7</v>
      </c>
      <c r="Q1221">
        <v>15.07</v>
      </c>
      <c r="S1221">
        <v>14.91</v>
      </c>
      <c r="T1221">
        <v>0</v>
      </c>
      <c r="U1221">
        <v>98.1</v>
      </c>
      <c r="V1221">
        <v>666.8</v>
      </c>
      <c r="W1221">
        <v>27.02</v>
      </c>
      <c r="Y1221">
        <v>13</v>
      </c>
    </row>
    <row r="1222" spans="1:25" x14ac:dyDescent="0.25">
      <c r="A1222">
        <v>2006</v>
      </c>
      <c r="B1222">
        <v>172</v>
      </c>
      <c r="C1222">
        <v>500</v>
      </c>
      <c r="D1222" s="7">
        <v>24.99</v>
      </c>
      <c r="E1222" s="7">
        <v>-8.98</v>
      </c>
      <c r="F1222" s="7">
        <v>9.51</v>
      </c>
      <c r="G1222" s="7">
        <v>9.67</v>
      </c>
      <c r="H1222" s="7"/>
      <c r="I1222" s="7"/>
      <c r="J1222" s="7"/>
      <c r="K1222" s="7">
        <v>4.2370000000000001</v>
      </c>
      <c r="L1222" s="7">
        <v>265.3</v>
      </c>
      <c r="M1222" s="7">
        <v>0</v>
      </c>
      <c r="N1222" s="7"/>
      <c r="O1222">
        <v>23.56</v>
      </c>
      <c r="P1222">
        <v>1.18</v>
      </c>
      <c r="Q1222">
        <v>14.92</v>
      </c>
      <c r="S1222">
        <v>14.8</v>
      </c>
      <c r="T1222">
        <v>0</v>
      </c>
      <c r="U1222">
        <v>98</v>
      </c>
      <c r="V1222">
        <v>663.7</v>
      </c>
      <c r="W1222">
        <v>26.89</v>
      </c>
      <c r="Y1222">
        <v>12.96</v>
      </c>
    </row>
    <row r="1223" spans="1:25" x14ac:dyDescent="0.25">
      <c r="A1223">
        <v>2006</v>
      </c>
      <c r="B1223">
        <v>172</v>
      </c>
      <c r="C1223">
        <v>600</v>
      </c>
      <c r="D1223" s="7">
        <v>67.930000000000007</v>
      </c>
      <c r="E1223" s="7">
        <v>20</v>
      </c>
      <c r="F1223" s="7">
        <v>9.91</v>
      </c>
      <c r="G1223" s="7">
        <v>10.07</v>
      </c>
      <c r="H1223" s="7"/>
      <c r="I1223" s="7"/>
      <c r="J1223" s="7"/>
      <c r="K1223" s="7">
        <v>4.101</v>
      </c>
      <c r="L1223" s="7">
        <v>266.8</v>
      </c>
      <c r="M1223" s="7">
        <v>0</v>
      </c>
      <c r="N1223" s="7"/>
      <c r="O1223">
        <v>80.2</v>
      </c>
      <c r="P1223">
        <v>21.39</v>
      </c>
      <c r="Q1223">
        <v>14.79</v>
      </c>
      <c r="S1223">
        <v>14.71</v>
      </c>
      <c r="T1223">
        <v>0</v>
      </c>
      <c r="U1223">
        <v>98.1</v>
      </c>
      <c r="V1223">
        <v>662.5</v>
      </c>
      <c r="W1223">
        <v>26.83</v>
      </c>
      <c r="Y1223">
        <v>13.18</v>
      </c>
    </row>
    <row r="1224" spans="1:25" x14ac:dyDescent="0.25">
      <c r="A1224">
        <v>2006</v>
      </c>
      <c r="B1224">
        <v>172</v>
      </c>
      <c r="C1224">
        <v>700</v>
      </c>
      <c r="D1224" s="7">
        <v>183.5</v>
      </c>
      <c r="E1224" s="7">
        <v>109</v>
      </c>
      <c r="F1224" s="7">
        <v>10.31</v>
      </c>
      <c r="G1224" s="7">
        <v>10.44</v>
      </c>
      <c r="H1224" s="7"/>
      <c r="I1224" s="7"/>
      <c r="J1224" s="7"/>
      <c r="K1224" s="7">
        <v>4.0919999999999996</v>
      </c>
      <c r="L1224" s="7">
        <v>262</v>
      </c>
      <c r="M1224" s="7">
        <v>0</v>
      </c>
      <c r="N1224" s="7"/>
      <c r="O1224">
        <v>241.1</v>
      </c>
      <c r="P1224">
        <v>76.900000000000006</v>
      </c>
      <c r="Q1224">
        <v>14.69</v>
      </c>
      <c r="S1224">
        <v>14.63</v>
      </c>
      <c r="T1224">
        <v>0</v>
      </c>
      <c r="U1224">
        <v>98.4</v>
      </c>
      <c r="V1224">
        <v>659.2</v>
      </c>
      <c r="W1224">
        <v>26.69</v>
      </c>
      <c r="Y1224">
        <v>13.64</v>
      </c>
    </row>
    <row r="1225" spans="1:25" x14ac:dyDescent="0.25">
      <c r="A1225">
        <v>2006</v>
      </c>
      <c r="B1225">
        <v>172</v>
      </c>
      <c r="C1225">
        <v>800</v>
      </c>
      <c r="D1225" s="7">
        <v>262.10000000000002</v>
      </c>
      <c r="E1225" s="7">
        <v>162.1</v>
      </c>
      <c r="F1225" s="7">
        <v>11.21</v>
      </c>
      <c r="G1225" s="7">
        <v>11.29</v>
      </c>
      <c r="H1225" s="7"/>
      <c r="I1225" s="7"/>
      <c r="J1225" s="7"/>
      <c r="K1225" s="7">
        <v>4.4080000000000004</v>
      </c>
      <c r="L1225" s="7">
        <v>259.89999999999998</v>
      </c>
      <c r="M1225" s="7">
        <v>0</v>
      </c>
      <c r="N1225" s="7"/>
      <c r="O1225">
        <v>342.9</v>
      </c>
      <c r="P1225">
        <v>103.5</v>
      </c>
      <c r="Q1225">
        <v>14.66</v>
      </c>
      <c r="S1225">
        <v>14.57</v>
      </c>
      <c r="T1225">
        <v>0</v>
      </c>
      <c r="U1225">
        <v>99</v>
      </c>
      <c r="V1225">
        <v>656.9</v>
      </c>
      <c r="W1225">
        <v>26.59</v>
      </c>
      <c r="Y1225">
        <v>14.01</v>
      </c>
    </row>
    <row r="1226" spans="1:25" x14ac:dyDescent="0.25">
      <c r="A1226">
        <v>2006</v>
      </c>
      <c r="B1226">
        <v>172</v>
      </c>
      <c r="C1226">
        <v>900</v>
      </c>
      <c r="D1226" s="7">
        <v>305.3</v>
      </c>
      <c r="E1226" s="7">
        <v>183.8</v>
      </c>
      <c r="F1226" s="7">
        <v>11.34</v>
      </c>
      <c r="G1226" s="7">
        <v>11.46</v>
      </c>
      <c r="H1226" s="7">
        <f>AVERAGE(G1226:G1249)</f>
        <v>11.272500000000001</v>
      </c>
      <c r="I1226" s="7">
        <f>MIN(G1226:G1249)</f>
        <v>9.74</v>
      </c>
      <c r="J1226" s="7">
        <f>MAX(G1226:G1249)</f>
        <v>14.15</v>
      </c>
      <c r="K1226" s="7">
        <v>4.7699999999999996</v>
      </c>
      <c r="L1226" s="7">
        <v>270.60000000000002</v>
      </c>
      <c r="M1226" s="7">
        <v>0</v>
      </c>
      <c r="N1226" s="7">
        <f>SUM(M1226:M1249)</f>
        <v>15.200000000000001</v>
      </c>
      <c r="O1226">
        <v>398.1</v>
      </c>
      <c r="P1226">
        <v>115.9</v>
      </c>
      <c r="Q1226">
        <v>14.68</v>
      </c>
      <c r="S1226">
        <v>14.47</v>
      </c>
      <c r="T1226">
        <v>0</v>
      </c>
      <c r="U1226">
        <v>98.6</v>
      </c>
      <c r="V1226">
        <v>653.4</v>
      </c>
      <c r="W1226">
        <v>26.44</v>
      </c>
      <c r="Y1226">
        <v>14.09</v>
      </c>
    </row>
    <row r="1227" spans="1:25" x14ac:dyDescent="0.25">
      <c r="A1227">
        <v>2006</v>
      </c>
      <c r="B1227">
        <v>172</v>
      </c>
      <c r="C1227">
        <v>1000</v>
      </c>
      <c r="D1227" s="7">
        <v>320.60000000000002</v>
      </c>
      <c r="E1227" s="7">
        <v>190.1</v>
      </c>
      <c r="F1227" s="7">
        <v>12.03</v>
      </c>
      <c r="G1227" s="7">
        <v>12.08</v>
      </c>
      <c r="H1227" s="7"/>
      <c r="I1227" s="7"/>
      <c r="J1227" s="7"/>
      <c r="K1227" s="7">
        <v>3.6829999999999998</v>
      </c>
      <c r="L1227" s="7">
        <v>280.8</v>
      </c>
      <c r="M1227" s="7">
        <v>13.8</v>
      </c>
      <c r="N1227" s="7"/>
      <c r="O1227">
        <v>416.9</v>
      </c>
      <c r="P1227">
        <v>116.4</v>
      </c>
      <c r="Q1227">
        <v>14.76</v>
      </c>
      <c r="S1227">
        <v>14.46</v>
      </c>
      <c r="T1227">
        <v>0</v>
      </c>
      <c r="U1227">
        <v>99.4</v>
      </c>
      <c r="V1227">
        <v>650</v>
      </c>
      <c r="W1227">
        <v>26.28</v>
      </c>
      <c r="Y1227">
        <v>14.09</v>
      </c>
    </row>
    <row r="1228" spans="1:25" x14ac:dyDescent="0.25">
      <c r="A1228">
        <v>2006</v>
      </c>
      <c r="B1228">
        <v>172</v>
      </c>
      <c r="C1228">
        <v>1100</v>
      </c>
      <c r="D1228" s="7">
        <v>389.4</v>
      </c>
      <c r="E1228" s="7">
        <v>239.7</v>
      </c>
      <c r="F1228" s="7">
        <v>11.51</v>
      </c>
      <c r="G1228" s="7">
        <v>11.68</v>
      </c>
      <c r="H1228" s="7"/>
      <c r="I1228" s="7"/>
      <c r="J1228" s="7"/>
      <c r="K1228" s="7">
        <v>4.6109999999999998</v>
      </c>
      <c r="L1228" s="7">
        <v>279.89999999999998</v>
      </c>
      <c r="M1228" s="7">
        <v>0</v>
      </c>
      <c r="N1228" s="7"/>
      <c r="O1228">
        <v>507.4</v>
      </c>
      <c r="P1228">
        <v>132.4</v>
      </c>
      <c r="Q1228">
        <v>14.87</v>
      </c>
      <c r="S1228">
        <v>14.47</v>
      </c>
      <c r="T1228">
        <v>0</v>
      </c>
      <c r="U1228">
        <v>98.1</v>
      </c>
      <c r="V1228">
        <v>647.20000000000005</v>
      </c>
      <c r="W1228">
        <v>26.16</v>
      </c>
      <c r="Y1228">
        <v>14.14</v>
      </c>
    </row>
    <row r="1229" spans="1:25" x14ac:dyDescent="0.25">
      <c r="A1229">
        <v>2006</v>
      </c>
      <c r="B1229">
        <v>172</v>
      </c>
      <c r="C1229">
        <v>1200</v>
      </c>
      <c r="D1229" s="7">
        <v>610.6</v>
      </c>
      <c r="E1229" s="7">
        <v>384.8</v>
      </c>
      <c r="F1229" s="7">
        <v>11.43</v>
      </c>
      <c r="G1229" s="7">
        <v>11.53</v>
      </c>
      <c r="H1229" s="7"/>
      <c r="I1229" s="7"/>
      <c r="J1229" s="7"/>
      <c r="K1229" s="7">
        <v>5.0460000000000003</v>
      </c>
      <c r="L1229" s="7">
        <v>273.89999999999998</v>
      </c>
      <c r="M1229" s="7">
        <v>1.4</v>
      </c>
      <c r="N1229" s="7"/>
      <c r="O1229">
        <v>771</v>
      </c>
      <c r="P1229">
        <v>175.3</v>
      </c>
      <c r="Q1229">
        <v>14.98</v>
      </c>
      <c r="S1229">
        <v>14.52</v>
      </c>
      <c r="T1229">
        <v>0</v>
      </c>
      <c r="U1229">
        <v>98.9</v>
      </c>
      <c r="V1229">
        <v>648.79999999999995</v>
      </c>
      <c r="W1229">
        <v>26.23</v>
      </c>
      <c r="Y1229">
        <v>14.07</v>
      </c>
    </row>
    <row r="1230" spans="1:25" x14ac:dyDescent="0.25">
      <c r="A1230">
        <v>2006</v>
      </c>
      <c r="B1230">
        <v>172</v>
      </c>
      <c r="C1230">
        <v>1300</v>
      </c>
      <c r="D1230" s="7">
        <v>708</v>
      </c>
      <c r="E1230" s="7">
        <v>431.3</v>
      </c>
      <c r="F1230" s="7">
        <v>13.33</v>
      </c>
      <c r="G1230" s="7">
        <v>13.42</v>
      </c>
      <c r="H1230" s="7"/>
      <c r="I1230" s="7"/>
      <c r="J1230" s="7"/>
      <c r="K1230" s="7">
        <v>5.7450000000000001</v>
      </c>
      <c r="L1230" s="7">
        <v>274.10000000000002</v>
      </c>
      <c r="M1230" s="7">
        <v>0</v>
      </c>
      <c r="N1230" s="7"/>
      <c r="O1230">
        <v>885</v>
      </c>
      <c r="P1230">
        <v>221.4</v>
      </c>
      <c r="Q1230">
        <v>15.13</v>
      </c>
      <c r="S1230">
        <v>14.65</v>
      </c>
      <c r="T1230">
        <v>0</v>
      </c>
      <c r="U1230">
        <v>99</v>
      </c>
      <c r="V1230">
        <v>654.79999999999995</v>
      </c>
      <c r="W1230">
        <v>26.5</v>
      </c>
      <c r="Y1230">
        <v>14.21</v>
      </c>
    </row>
    <row r="1231" spans="1:25" x14ac:dyDescent="0.25">
      <c r="A1231">
        <v>2006</v>
      </c>
      <c r="B1231">
        <v>172</v>
      </c>
      <c r="C1231">
        <v>1400</v>
      </c>
      <c r="D1231" s="7">
        <v>583.4</v>
      </c>
      <c r="E1231" s="7">
        <v>345.1</v>
      </c>
      <c r="F1231" s="7">
        <v>14.08</v>
      </c>
      <c r="G1231" s="7">
        <v>14.15</v>
      </c>
      <c r="H1231" s="7"/>
      <c r="I1231" s="7"/>
      <c r="J1231" s="7"/>
      <c r="K1231" s="7">
        <v>6.4749999999999996</v>
      </c>
      <c r="L1231" s="7">
        <v>286.60000000000002</v>
      </c>
      <c r="M1231" s="7">
        <v>0</v>
      </c>
      <c r="N1231" s="7"/>
      <c r="O1231">
        <v>732</v>
      </c>
      <c r="P1231">
        <v>203</v>
      </c>
      <c r="Q1231">
        <v>15.33</v>
      </c>
      <c r="S1231">
        <v>14.77</v>
      </c>
      <c r="T1231">
        <v>0</v>
      </c>
      <c r="U1231">
        <v>99.3</v>
      </c>
      <c r="V1231">
        <v>654.4</v>
      </c>
      <c r="W1231">
        <v>26.48</v>
      </c>
      <c r="Y1231">
        <v>14.35</v>
      </c>
    </row>
    <row r="1232" spans="1:25" x14ac:dyDescent="0.25">
      <c r="A1232">
        <v>2006</v>
      </c>
      <c r="B1232">
        <v>172</v>
      </c>
      <c r="C1232">
        <v>1500</v>
      </c>
      <c r="D1232" s="7">
        <v>418.9</v>
      </c>
      <c r="E1232" s="7">
        <v>243.4</v>
      </c>
      <c r="F1232" s="7">
        <v>13.42</v>
      </c>
      <c r="G1232" s="7">
        <v>13.46</v>
      </c>
      <c r="H1232" s="7"/>
      <c r="I1232" s="7"/>
      <c r="J1232" s="7"/>
      <c r="K1232" s="7">
        <v>6.5149999999999997</v>
      </c>
      <c r="L1232" s="7">
        <v>277.5</v>
      </c>
      <c r="M1232" s="7">
        <v>0</v>
      </c>
      <c r="N1232" s="7"/>
      <c r="O1232">
        <v>524.6</v>
      </c>
      <c r="P1232">
        <v>155</v>
      </c>
      <c r="Q1232">
        <v>15.5</v>
      </c>
      <c r="S1232">
        <v>14.89</v>
      </c>
      <c r="T1232">
        <v>0</v>
      </c>
      <c r="U1232">
        <v>99.5</v>
      </c>
      <c r="V1232">
        <v>652.4</v>
      </c>
      <c r="W1232">
        <v>26.39</v>
      </c>
      <c r="Y1232">
        <v>14.16</v>
      </c>
    </row>
    <row r="1233" spans="1:25" x14ac:dyDescent="0.25">
      <c r="A1233">
        <v>2006</v>
      </c>
      <c r="B1233">
        <v>172</v>
      </c>
      <c r="C1233">
        <v>1600</v>
      </c>
      <c r="D1233" s="7">
        <v>225.3</v>
      </c>
      <c r="E1233" s="7">
        <v>124.1</v>
      </c>
      <c r="F1233" s="7">
        <v>12.53</v>
      </c>
      <c r="G1233" s="7">
        <v>12.57</v>
      </c>
      <c r="H1233" s="7"/>
      <c r="I1233" s="7"/>
      <c r="J1233" s="7"/>
      <c r="K1233" s="7">
        <v>6.74</v>
      </c>
      <c r="L1233" s="7">
        <v>277.2</v>
      </c>
      <c r="M1233" s="7">
        <v>0</v>
      </c>
      <c r="N1233" s="7"/>
      <c r="O1233">
        <v>283.8</v>
      </c>
      <c r="P1233">
        <v>79.599999999999994</v>
      </c>
      <c r="Q1233">
        <v>15.65</v>
      </c>
      <c r="S1233">
        <v>15.03</v>
      </c>
      <c r="T1233">
        <v>0</v>
      </c>
      <c r="U1233">
        <v>99.5</v>
      </c>
      <c r="V1233">
        <v>649.5</v>
      </c>
      <c r="W1233">
        <v>26.26</v>
      </c>
      <c r="Y1233">
        <v>13.93</v>
      </c>
    </row>
    <row r="1234" spans="1:25" x14ac:dyDescent="0.25">
      <c r="A1234">
        <v>2006</v>
      </c>
      <c r="B1234">
        <v>172</v>
      </c>
      <c r="C1234">
        <v>1700</v>
      </c>
      <c r="D1234" s="7">
        <v>172.5</v>
      </c>
      <c r="E1234" s="7">
        <v>92.9</v>
      </c>
      <c r="F1234" s="7">
        <v>11.83</v>
      </c>
      <c r="G1234" s="7">
        <v>11.78</v>
      </c>
      <c r="H1234" s="7"/>
      <c r="I1234" s="7"/>
      <c r="J1234" s="7"/>
      <c r="K1234" s="7">
        <v>6.3330000000000002</v>
      </c>
      <c r="L1234" s="7">
        <v>274</v>
      </c>
      <c r="M1234" s="7">
        <v>0</v>
      </c>
      <c r="N1234" s="7"/>
      <c r="O1234">
        <v>210.3</v>
      </c>
      <c r="P1234">
        <v>58.26</v>
      </c>
      <c r="Q1234">
        <v>15.72</v>
      </c>
      <c r="S1234">
        <v>15.15</v>
      </c>
      <c r="T1234">
        <v>0</v>
      </c>
      <c r="U1234">
        <v>100.6</v>
      </c>
      <c r="V1234">
        <v>650</v>
      </c>
      <c r="W1234">
        <v>26.29</v>
      </c>
      <c r="Y1234">
        <v>13.81</v>
      </c>
    </row>
    <row r="1235" spans="1:25" x14ac:dyDescent="0.25">
      <c r="A1235">
        <v>2006</v>
      </c>
      <c r="B1235">
        <v>172</v>
      </c>
      <c r="C1235">
        <v>1800</v>
      </c>
      <c r="D1235" s="7">
        <v>192.8</v>
      </c>
      <c r="E1235" s="7">
        <v>105.6</v>
      </c>
      <c r="F1235" s="7">
        <v>11.84</v>
      </c>
      <c r="G1235" s="7">
        <v>11.84</v>
      </c>
      <c r="H1235" s="7"/>
      <c r="I1235" s="7"/>
      <c r="J1235" s="7"/>
      <c r="K1235" s="7">
        <v>5.7629999999999999</v>
      </c>
      <c r="L1235" s="7">
        <v>283.10000000000002</v>
      </c>
      <c r="M1235" s="7">
        <v>0</v>
      </c>
      <c r="N1235" s="7"/>
      <c r="O1235">
        <v>235</v>
      </c>
      <c r="P1235">
        <v>72.099999999999994</v>
      </c>
      <c r="Q1235">
        <v>15.73</v>
      </c>
      <c r="S1235">
        <v>15.25</v>
      </c>
      <c r="T1235">
        <v>0</v>
      </c>
      <c r="U1235">
        <v>100</v>
      </c>
      <c r="V1235">
        <v>650.79999999999995</v>
      </c>
      <c r="W1235">
        <v>26.32</v>
      </c>
      <c r="Y1235">
        <v>13.8</v>
      </c>
    </row>
    <row r="1236" spans="1:25" x14ac:dyDescent="0.25">
      <c r="A1236">
        <v>2006</v>
      </c>
      <c r="B1236">
        <v>172</v>
      </c>
      <c r="C1236">
        <v>1900</v>
      </c>
      <c r="D1236" s="7">
        <v>158</v>
      </c>
      <c r="E1236" s="7">
        <v>66.7</v>
      </c>
      <c r="F1236" s="7">
        <v>11.94</v>
      </c>
      <c r="G1236" s="7">
        <v>12.23</v>
      </c>
      <c r="H1236" s="7"/>
      <c r="I1236" s="7"/>
      <c r="J1236" s="7"/>
      <c r="K1236" s="7">
        <v>6.4749999999999996</v>
      </c>
      <c r="L1236" s="7">
        <v>294.60000000000002</v>
      </c>
      <c r="M1236" s="7">
        <v>0</v>
      </c>
      <c r="N1236" s="7"/>
      <c r="O1236">
        <v>183.8</v>
      </c>
      <c r="P1236">
        <v>82.6</v>
      </c>
      <c r="Q1236">
        <v>15.71</v>
      </c>
      <c r="S1236">
        <v>15.31</v>
      </c>
      <c r="T1236">
        <v>0</v>
      </c>
      <c r="U1236">
        <v>96.8</v>
      </c>
      <c r="V1236">
        <v>656</v>
      </c>
      <c r="W1236">
        <v>26.55</v>
      </c>
      <c r="Y1236">
        <v>13.71</v>
      </c>
    </row>
    <row r="1237" spans="1:25" x14ac:dyDescent="0.25">
      <c r="A1237">
        <v>2006</v>
      </c>
      <c r="B1237">
        <v>172</v>
      </c>
      <c r="C1237">
        <v>2000</v>
      </c>
      <c r="D1237" s="7">
        <v>81.599999999999994</v>
      </c>
      <c r="E1237" s="7">
        <v>24.23</v>
      </c>
      <c r="F1237" s="7">
        <v>11.75</v>
      </c>
      <c r="G1237" s="7">
        <v>11.94</v>
      </c>
      <c r="H1237" s="7"/>
      <c r="I1237" s="7"/>
      <c r="J1237" s="7"/>
      <c r="K1237" s="7">
        <v>5.4660000000000002</v>
      </c>
      <c r="L1237" s="7">
        <v>290.10000000000002</v>
      </c>
      <c r="M1237" s="7">
        <v>0</v>
      </c>
      <c r="N1237" s="7"/>
      <c r="O1237">
        <v>95.9</v>
      </c>
      <c r="P1237">
        <v>44.39</v>
      </c>
      <c r="Q1237">
        <v>15.65</v>
      </c>
      <c r="S1237">
        <v>15.29</v>
      </c>
      <c r="T1237">
        <v>0</v>
      </c>
      <c r="U1237">
        <v>97.9</v>
      </c>
      <c r="V1237">
        <v>651.29999999999995</v>
      </c>
      <c r="W1237">
        <v>26.34</v>
      </c>
      <c r="Y1237">
        <v>13.61</v>
      </c>
    </row>
    <row r="1238" spans="1:25" x14ac:dyDescent="0.25">
      <c r="A1238">
        <v>2006</v>
      </c>
      <c r="B1238">
        <v>172</v>
      </c>
      <c r="C1238">
        <v>2100</v>
      </c>
      <c r="D1238" s="7">
        <v>17.84</v>
      </c>
      <c r="E1238" s="7">
        <v>-14.8</v>
      </c>
      <c r="F1238" s="7">
        <v>10.78</v>
      </c>
      <c r="G1238" s="7">
        <v>10.76</v>
      </c>
      <c r="H1238" s="7"/>
      <c r="I1238" s="7"/>
      <c r="J1238" s="7"/>
      <c r="K1238" s="7">
        <v>4.218</v>
      </c>
      <c r="L1238" s="7">
        <v>280</v>
      </c>
      <c r="M1238" s="7">
        <v>0</v>
      </c>
      <c r="N1238" s="7"/>
      <c r="O1238">
        <v>14.95</v>
      </c>
      <c r="P1238">
        <v>1.37</v>
      </c>
      <c r="Q1238">
        <v>15.57</v>
      </c>
      <c r="S1238">
        <v>15.27</v>
      </c>
      <c r="T1238">
        <v>0</v>
      </c>
      <c r="U1238">
        <v>100.2</v>
      </c>
      <c r="V1238">
        <v>659.8</v>
      </c>
      <c r="W1238">
        <v>26.71</v>
      </c>
      <c r="Y1238">
        <v>13.51</v>
      </c>
    </row>
    <row r="1239" spans="1:25" x14ac:dyDescent="0.25">
      <c r="A1239">
        <v>2006</v>
      </c>
      <c r="B1239">
        <v>172</v>
      </c>
      <c r="C1239">
        <v>2200</v>
      </c>
      <c r="D1239" s="7">
        <v>-0.108</v>
      </c>
      <c r="E1239" s="7">
        <v>-18.41</v>
      </c>
      <c r="F1239" s="7">
        <v>10.42</v>
      </c>
      <c r="G1239" s="7">
        <v>10.59</v>
      </c>
      <c r="H1239" s="7"/>
      <c r="I1239" s="7"/>
      <c r="J1239" s="7"/>
      <c r="K1239" s="7">
        <v>4.42</v>
      </c>
      <c r="L1239" s="7">
        <v>281.60000000000002</v>
      </c>
      <c r="M1239" s="7">
        <v>0</v>
      </c>
      <c r="N1239" s="7"/>
      <c r="O1239">
        <v>-11.15</v>
      </c>
      <c r="P1239">
        <v>-11.19</v>
      </c>
      <c r="Q1239">
        <v>15.44</v>
      </c>
      <c r="S1239">
        <v>15.2</v>
      </c>
      <c r="T1239">
        <v>0</v>
      </c>
      <c r="U1239">
        <v>98</v>
      </c>
      <c r="V1239">
        <v>651.1</v>
      </c>
      <c r="W1239">
        <v>26.33</v>
      </c>
      <c r="Y1239">
        <v>13.41</v>
      </c>
    </row>
    <row r="1240" spans="1:25" x14ac:dyDescent="0.25">
      <c r="A1240">
        <v>2006</v>
      </c>
      <c r="B1240">
        <v>172</v>
      </c>
      <c r="C1240">
        <v>2300</v>
      </c>
      <c r="D1240" s="7">
        <v>-0.58199999999999996</v>
      </c>
      <c r="E1240" s="7">
        <v>-10.97</v>
      </c>
      <c r="F1240" s="7">
        <v>10.42</v>
      </c>
      <c r="G1240" s="7">
        <v>10.52</v>
      </c>
      <c r="H1240" s="7"/>
      <c r="I1240" s="7"/>
      <c r="J1240" s="7"/>
      <c r="K1240" s="7">
        <v>4.8460000000000001</v>
      </c>
      <c r="L1240" s="7">
        <v>289.89999999999998</v>
      </c>
      <c r="M1240" s="7">
        <v>0</v>
      </c>
      <c r="N1240" s="7"/>
      <c r="O1240">
        <v>-12.19</v>
      </c>
      <c r="P1240">
        <v>-11.49</v>
      </c>
      <c r="Q1240">
        <v>15.34</v>
      </c>
      <c r="S1240">
        <v>15.17</v>
      </c>
      <c r="T1240">
        <v>0</v>
      </c>
      <c r="U1240">
        <v>98.8</v>
      </c>
      <c r="V1240">
        <v>648</v>
      </c>
      <c r="W1240">
        <v>26.19</v>
      </c>
      <c r="Y1240">
        <v>13.33</v>
      </c>
    </row>
    <row r="1241" spans="1:25" x14ac:dyDescent="0.25">
      <c r="A1241">
        <v>2006</v>
      </c>
      <c r="B1241">
        <v>172</v>
      </c>
      <c r="C1241">
        <v>2400</v>
      </c>
      <c r="D1241" s="7">
        <v>-1.35</v>
      </c>
      <c r="E1241" s="7">
        <v>-15.74</v>
      </c>
      <c r="F1241" s="7">
        <v>10.09</v>
      </c>
      <c r="G1241" s="7">
        <v>10.24</v>
      </c>
      <c r="H1241" s="7"/>
      <c r="I1241" s="7"/>
      <c r="J1241" s="7"/>
      <c r="K1241" s="7">
        <v>4.2789999999999999</v>
      </c>
      <c r="L1241" s="7">
        <v>286.8</v>
      </c>
      <c r="M1241" s="7">
        <v>0</v>
      </c>
      <c r="N1241" s="7"/>
      <c r="O1241">
        <v>-12.18</v>
      </c>
      <c r="P1241">
        <v>-11.48</v>
      </c>
      <c r="Q1241">
        <v>15.22</v>
      </c>
      <c r="S1241">
        <v>15.09</v>
      </c>
      <c r="T1241">
        <v>0</v>
      </c>
      <c r="U1241">
        <v>98.2</v>
      </c>
      <c r="V1241">
        <v>646.6</v>
      </c>
      <c r="W1241">
        <v>26.14</v>
      </c>
      <c r="Y1241">
        <v>13.26</v>
      </c>
    </row>
    <row r="1242" spans="1:25" x14ac:dyDescent="0.25">
      <c r="A1242">
        <v>2006</v>
      </c>
      <c r="B1242">
        <v>173</v>
      </c>
      <c r="C1242">
        <v>100</v>
      </c>
      <c r="D1242" s="7">
        <v>-0.94</v>
      </c>
      <c r="E1242" s="7">
        <v>-12.9</v>
      </c>
      <c r="F1242" s="7">
        <v>10.130000000000001</v>
      </c>
      <c r="G1242" s="7">
        <v>10.37</v>
      </c>
      <c r="H1242" s="7"/>
      <c r="I1242" s="7"/>
      <c r="J1242" s="7"/>
      <c r="K1242" s="7">
        <v>5.032</v>
      </c>
      <c r="L1242" s="7">
        <v>292.8</v>
      </c>
      <c r="M1242" s="7">
        <v>0</v>
      </c>
      <c r="N1242" s="7"/>
      <c r="O1242">
        <v>-12.18</v>
      </c>
      <c r="P1242">
        <v>-11.48</v>
      </c>
      <c r="Q1242">
        <v>15.12</v>
      </c>
      <c r="S1242">
        <v>15.03</v>
      </c>
      <c r="T1242">
        <v>0</v>
      </c>
      <c r="U1242">
        <v>97.2</v>
      </c>
      <c r="V1242">
        <v>643.70000000000005</v>
      </c>
      <c r="W1242">
        <v>26.01</v>
      </c>
      <c r="Y1242">
        <v>13.19</v>
      </c>
    </row>
    <row r="1243" spans="1:25" x14ac:dyDescent="0.25">
      <c r="A1243">
        <v>2006</v>
      </c>
      <c r="B1243">
        <v>173</v>
      </c>
      <c r="C1243">
        <v>200</v>
      </c>
      <c r="D1243" s="7">
        <v>-0.89900000000000002</v>
      </c>
      <c r="E1243" s="7">
        <v>-16.59</v>
      </c>
      <c r="F1243" s="7">
        <v>9.91</v>
      </c>
      <c r="G1243" s="7">
        <v>10.09</v>
      </c>
      <c r="H1243" s="7"/>
      <c r="I1243" s="7"/>
      <c r="J1243" s="7"/>
      <c r="K1243" s="7">
        <v>4.5739999999999998</v>
      </c>
      <c r="L1243" s="7">
        <v>288.89999999999998</v>
      </c>
      <c r="M1243" s="7">
        <v>0</v>
      </c>
      <c r="N1243" s="7"/>
      <c r="O1243">
        <v>-12.18</v>
      </c>
      <c r="P1243">
        <v>-11.48</v>
      </c>
      <c r="Q1243">
        <v>14.99</v>
      </c>
      <c r="S1243">
        <v>14.93</v>
      </c>
      <c r="T1243">
        <v>0</v>
      </c>
      <c r="U1243">
        <v>97.9</v>
      </c>
      <c r="V1243">
        <v>641.29999999999995</v>
      </c>
      <c r="W1243">
        <v>25.9</v>
      </c>
      <c r="Y1243">
        <v>13.13</v>
      </c>
    </row>
    <row r="1244" spans="1:25" x14ac:dyDescent="0.25">
      <c r="A1244">
        <v>2006</v>
      </c>
      <c r="B1244">
        <v>173</v>
      </c>
      <c r="C1244">
        <v>300</v>
      </c>
      <c r="D1244" s="7">
        <v>-0.96399999999999997</v>
      </c>
      <c r="E1244" s="7">
        <v>-22.4</v>
      </c>
      <c r="F1244" s="7">
        <v>9.69</v>
      </c>
      <c r="G1244" s="7">
        <v>9.86</v>
      </c>
      <c r="H1244" s="7"/>
      <c r="I1244" s="7"/>
      <c r="J1244" s="7"/>
      <c r="K1244" s="7">
        <v>5.1459999999999999</v>
      </c>
      <c r="L1244" s="7">
        <v>292.2</v>
      </c>
      <c r="M1244" s="7">
        <v>0</v>
      </c>
      <c r="N1244" s="7"/>
      <c r="O1244">
        <v>-12.19</v>
      </c>
      <c r="P1244">
        <v>-11.48</v>
      </c>
      <c r="Q1244">
        <v>14.85</v>
      </c>
      <c r="S1244">
        <v>14.82</v>
      </c>
      <c r="T1244">
        <v>0</v>
      </c>
      <c r="U1244">
        <v>98</v>
      </c>
      <c r="V1244">
        <v>639.5</v>
      </c>
      <c r="W1244">
        <v>25.83</v>
      </c>
      <c r="Y1244">
        <v>13.07</v>
      </c>
    </row>
    <row r="1245" spans="1:25" x14ac:dyDescent="0.25">
      <c r="A1245">
        <v>2006</v>
      </c>
      <c r="B1245">
        <v>173</v>
      </c>
      <c r="C1245">
        <v>400</v>
      </c>
      <c r="D1245" s="7">
        <v>-0.14299999999999999</v>
      </c>
      <c r="E1245" s="7">
        <v>-12.9</v>
      </c>
      <c r="F1245" s="7">
        <v>9.58</v>
      </c>
      <c r="G1245" s="7">
        <v>9.74</v>
      </c>
      <c r="H1245" s="7"/>
      <c r="I1245" s="7"/>
      <c r="J1245" s="7"/>
      <c r="K1245" s="7">
        <v>5.1929999999999996</v>
      </c>
      <c r="L1245" s="7">
        <v>286.7</v>
      </c>
      <c r="M1245" s="7">
        <v>0</v>
      </c>
      <c r="N1245" s="7"/>
      <c r="O1245">
        <v>-11.69</v>
      </c>
      <c r="P1245">
        <v>-11.35</v>
      </c>
      <c r="Q1245">
        <v>14.72</v>
      </c>
      <c r="S1245">
        <v>14.71</v>
      </c>
      <c r="T1245">
        <v>0</v>
      </c>
      <c r="U1245">
        <v>98</v>
      </c>
      <c r="V1245">
        <v>638</v>
      </c>
      <c r="W1245">
        <v>25.76</v>
      </c>
      <c r="Y1245">
        <v>13.01</v>
      </c>
    </row>
    <row r="1246" spans="1:25" x14ac:dyDescent="0.25">
      <c r="A1246">
        <v>2006</v>
      </c>
      <c r="B1246">
        <v>173</v>
      </c>
      <c r="C1246">
        <v>500</v>
      </c>
      <c r="D1246" s="7">
        <v>9.64</v>
      </c>
      <c r="E1246" s="7">
        <v>-4.7329999999999997</v>
      </c>
      <c r="F1246" s="7">
        <v>9.58</v>
      </c>
      <c r="G1246" s="7">
        <v>9.75</v>
      </c>
      <c r="H1246" s="7"/>
      <c r="I1246" s="7"/>
      <c r="J1246" s="7"/>
      <c r="K1246" s="7">
        <v>4.524</v>
      </c>
      <c r="L1246" s="7">
        <v>283.39999999999998</v>
      </c>
      <c r="M1246" s="7">
        <v>0</v>
      </c>
      <c r="N1246" s="7"/>
      <c r="O1246">
        <v>1.6719999999999999</v>
      </c>
      <c r="P1246">
        <v>-6.7910000000000004</v>
      </c>
      <c r="Q1246">
        <v>14.59</v>
      </c>
      <c r="S1246">
        <v>14.61</v>
      </c>
      <c r="T1246">
        <v>0</v>
      </c>
      <c r="U1246">
        <v>97.9</v>
      </c>
      <c r="V1246">
        <v>636.70000000000005</v>
      </c>
      <c r="W1246">
        <v>25.7</v>
      </c>
      <c r="Y1246">
        <v>12.96</v>
      </c>
    </row>
    <row r="1247" spans="1:25" x14ac:dyDescent="0.25">
      <c r="A1247">
        <v>2006</v>
      </c>
      <c r="B1247">
        <v>173</v>
      </c>
      <c r="C1247">
        <v>600</v>
      </c>
      <c r="D1247" s="7">
        <v>31.73</v>
      </c>
      <c r="E1247" s="7">
        <v>10.48</v>
      </c>
      <c r="F1247" s="7">
        <v>9.75</v>
      </c>
      <c r="G1247" s="7">
        <v>9.86</v>
      </c>
      <c r="H1247" s="7"/>
      <c r="I1247" s="7"/>
      <c r="J1247" s="7"/>
      <c r="K1247" s="7">
        <v>4.4640000000000004</v>
      </c>
      <c r="L1247" s="7">
        <v>277.8</v>
      </c>
      <c r="M1247" s="7">
        <v>0</v>
      </c>
      <c r="N1247" s="7"/>
      <c r="O1247">
        <v>34.65</v>
      </c>
      <c r="P1247">
        <v>4.0350000000000001</v>
      </c>
      <c r="Q1247">
        <v>14.48</v>
      </c>
      <c r="S1247">
        <v>14.52</v>
      </c>
      <c r="T1247">
        <v>0</v>
      </c>
      <c r="U1247">
        <v>98.7</v>
      </c>
      <c r="V1247">
        <v>635.4</v>
      </c>
      <c r="W1247">
        <v>25.65</v>
      </c>
      <c r="Y1247">
        <v>12.96</v>
      </c>
    </row>
    <row r="1248" spans="1:25" x14ac:dyDescent="0.25">
      <c r="A1248">
        <v>2006</v>
      </c>
      <c r="B1248">
        <v>173</v>
      </c>
      <c r="C1248">
        <v>700</v>
      </c>
      <c r="D1248" s="7">
        <v>46.38</v>
      </c>
      <c r="E1248" s="7">
        <v>21.43</v>
      </c>
      <c r="F1248" s="7">
        <v>10.029999999999999</v>
      </c>
      <c r="G1248" s="7">
        <v>10.08</v>
      </c>
      <c r="H1248" s="7"/>
      <c r="I1248" s="7"/>
      <c r="J1248" s="7"/>
      <c r="K1248" s="7">
        <v>4.7539999999999996</v>
      </c>
      <c r="L1248" s="7">
        <v>280</v>
      </c>
      <c r="M1248" s="7">
        <v>0</v>
      </c>
      <c r="N1248" s="7"/>
      <c r="O1248">
        <v>54.74</v>
      </c>
      <c r="P1248">
        <v>9.51</v>
      </c>
      <c r="Q1248">
        <v>14.38</v>
      </c>
      <c r="S1248">
        <v>14.43</v>
      </c>
      <c r="T1248">
        <v>0</v>
      </c>
      <c r="U1248">
        <v>99.4</v>
      </c>
      <c r="V1248">
        <v>634.4</v>
      </c>
      <c r="W1248">
        <v>25.6</v>
      </c>
      <c r="Y1248">
        <v>13.12</v>
      </c>
    </row>
    <row r="1249" spans="1:25" x14ac:dyDescent="0.25">
      <c r="A1249">
        <v>2006</v>
      </c>
      <c r="B1249">
        <v>173</v>
      </c>
      <c r="C1249">
        <v>800</v>
      </c>
      <c r="D1249" s="7">
        <v>61.58</v>
      </c>
      <c r="E1249" s="7">
        <v>31.68</v>
      </c>
      <c r="F1249" s="7">
        <v>10.47</v>
      </c>
      <c r="G1249" s="7">
        <v>10.54</v>
      </c>
      <c r="H1249" s="7"/>
      <c r="I1249" s="7"/>
      <c r="J1249" s="7"/>
      <c r="K1249" s="7">
        <v>4.907</v>
      </c>
      <c r="L1249" s="7">
        <v>282.3</v>
      </c>
      <c r="M1249" s="7">
        <v>0</v>
      </c>
      <c r="N1249" s="7"/>
      <c r="O1249">
        <v>72.8</v>
      </c>
      <c r="P1249">
        <v>15</v>
      </c>
      <c r="Q1249">
        <v>14.35</v>
      </c>
      <c r="S1249">
        <v>14.36</v>
      </c>
      <c r="T1249">
        <v>0</v>
      </c>
      <c r="U1249">
        <v>99.2</v>
      </c>
      <c r="V1249">
        <v>631.5</v>
      </c>
      <c r="W1249">
        <v>25.47</v>
      </c>
      <c r="Y1249">
        <v>13.37</v>
      </c>
    </row>
    <row r="1250" spans="1:25" x14ac:dyDescent="0.25">
      <c r="A1250">
        <v>2006</v>
      </c>
      <c r="B1250">
        <v>173</v>
      </c>
      <c r="C1250">
        <v>900</v>
      </c>
      <c r="D1250" s="7">
        <v>78.5</v>
      </c>
      <c r="E1250" s="7">
        <v>42.39</v>
      </c>
      <c r="F1250" s="7">
        <v>10.68</v>
      </c>
      <c r="G1250" s="7">
        <v>10.71</v>
      </c>
      <c r="H1250" s="7">
        <f>AVERAGE(G1250:G1273)</f>
        <v>11.115833333333335</v>
      </c>
      <c r="I1250" s="7">
        <f>MIN(G1250:G1273)</f>
        <v>8.8699999999999992</v>
      </c>
      <c r="J1250" s="7">
        <f>MAX(G1250:G1273)</f>
        <v>13.26</v>
      </c>
      <c r="K1250" s="7">
        <v>4.4859999999999998</v>
      </c>
      <c r="L1250" s="7">
        <v>280.7</v>
      </c>
      <c r="M1250" s="7">
        <v>0</v>
      </c>
      <c r="N1250" s="7">
        <f>SUM(M1250:M1273)</f>
        <v>1</v>
      </c>
      <c r="O1250">
        <v>97.8</v>
      </c>
      <c r="P1250">
        <v>22.67</v>
      </c>
      <c r="Q1250">
        <v>14.3</v>
      </c>
      <c r="S1250">
        <v>14.29</v>
      </c>
      <c r="T1250">
        <v>0</v>
      </c>
      <c r="U1250">
        <v>99.6</v>
      </c>
      <c r="V1250">
        <v>629.79999999999995</v>
      </c>
      <c r="W1250">
        <v>25.4</v>
      </c>
      <c r="Y1250">
        <v>13.51</v>
      </c>
    </row>
    <row r="1251" spans="1:25" x14ac:dyDescent="0.25">
      <c r="A1251">
        <v>2006</v>
      </c>
      <c r="B1251">
        <v>173</v>
      </c>
      <c r="C1251">
        <v>1000</v>
      </c>
      <c r="D1251" s="7">
        <v>252.1</v>
      </c>
      <c r="E1251" s="7">
        <v>154.69999999999999</v>
      </c>
      <c r="F1251" s="7">
        <v>11.65</v>
      </c>
      <c r="G1251" s="7">
        <v>11.88</v>
      </c>
      <c r="H1251" s="7"/>
      <c r="I1251" s="7"/>
      <c r="J1251" s="7"/>
      <c r="K1251" s="7">
        <v>5.2249999999999996</v>
      </c>
      <c r="L1251" s="7">
        <v>290.8</v>
      </c>
      <c r="M1251" s="7">
        <v>0</v>
      </c>
      <c r="N1251" s="7"/>
      <c r="O1251">
        <v>327.5</v>
      </c>
      <c r="P1251">
        <v>94.7</v>
      </c>
      <c r="Q1251">
        <v>14.27</v>
      </c>
      <c r="S1251">
        <v>14.24</v>
      </c>
      <c r="T1251">
        <v>0</v>
      </c>
      <c r="U1251">
        <v>97.5</v>
      </c>
      <c r="V1251">
        <v>629</v>
      </c>
      <c r="W1251">
        <v>25.36</v>
      </c>
      <c r="Y1251">
        <v>13.87</v>
      </c>
    </row>
    <row r="1252" spans="1:25" x14ac:dyDescent="0.25">
      <c r="A1252">
        <v>2006</v>
      </c>
      <c r="B1252">
        <v>173</v>
      </c>
      <c r="C1252">
        <v>1100</v>
      </c>
      <c r="D1252" s="7">
        <v>161.5</v>
      </c>
      <c r="E1252" s="7">
        <v>93.1</v>
      </c>
      <c r="F1252" s="7">
        <v>12.06</v>
      </c>
      <c r="G1252" s="7">
        <v>12.23</v>
      </c>
      <c r="H1252" s="7"/>
      <c r="I1252" s="7"/>
      <c r="J1252" s="7"/>
      <c r="K1252" s="7">
        <v>5.1989999999999998</v>
      </c>
      <c r="L1252" s="7">
        <v>294.60000000000002</v>
      </c>
      <c r="M1252" s="7">
        <v>0</v>
      </c>
      <c r="N1252" s="7"/>
      <c r="O1252">
        <v>210.6</v>
      </c>
      <c r="P1252">
        <v>58.74</v>
      </c>
      <c r="Q1252">
        <v>14.32</v>
      </c>
      <c r="S1252">
        <v>14.19</v>
      </c>
      <c r="T1252">
        <v>0</v>
      </c>
      <c r="U1252">
        <v>98</v>
      </c>
      <c r="V1252">
        <v>627.5</v>
      </c>
      <c r="W1252">
        <v>25.3</v>
      </c>
      <c r="Y1252">
        <v>13.82</v>
      </c>
    </row>
    <row r="1253" spans="1:25" x14ac:dyDescent="0.25">
      <c r="A1253">
        <v>2006</v>
      </c>
      <c r="B1253">
        <v>173</v>
      </c>
      <c r="C1253">
        <v>1200</v>
      </c>
      <c r="D1253" s="7">
        <v>217.6</v>
      </c>
      <c r="E1253" s="7">
        <v>127.7</v>
      </c>
      <c r="F1253" s="7">
        <v>12.42</v>
      </c>
      <c r="G1253" s="7">
        <v>12.58</v>
      </c>
      <c r="H1253" s="7"/>
      <c r="I1253" s="7"/>
      <c r="J1253" s="7"/>
      <c r="K1253" s="7">
        <v>5.0819999999999999</v>
      </c>
      <c r="L1253" s="7">
        <v>297.3</v>
      </c>
      <c r="M1253" s="7">
        <v>0</v>
      </c>
      <c r="N1253" s="7"/>
      <c r="O1253">
        <v>285.7</v>
      </c>
      <c r="P1253">
        <v>82.2</v>
      </c>
      <c r="Q1253">
        <v>14.39</v>
      </c>
      <c r="S1253">
        <v>14.16</v>
      </c>
      <c r="T1253">
        <v>0</v>
      </c>
      <c r="U1253">
        <v>98.2</v>
      </c>
      <c r="V1253">
        <v>626</v>
      </c>
      <c r="W1253">
        <v>25.23</v>
      </c>
      <c r="Y1253">
        <v>13.87</v>
      </c>
    </row>
    <row r="1254" spans="1:25" x14ac:dyDescent="0.25">
      <c r="A1254">
        <v>2006</v>
      </c>
      <c r="B1254">
        <v>173</v>
      </c>
      <c r="C1254">
        <v>1300</v>
      </c>
      <c r="D1254" s="7">
        <v>231</v>
      </c>
      <c r="E1254" s="7">
        <v>133</v>
      </c>
      <c r="F1254" s="7">
        <v>12.71</v>
      </c>
      <c r="G1254" s="7">
        <v>12.89</v>
      </c>
      <c r="H1254" s="7"/>
      <c r="I1254" s="7"/>
      <c r="J1254" s="7"/>
      <c r="K1254" s="7">
        <v>4.7039999999999997</v>
      </c>
      <c r="L1254" s="7">
        <v>300.3</v>
      </c>
      <c r="M1254" s="7">
        <v>0</v>
      </c>
      <c r="N1254" s="7"/>
      <c r="O1254">
        <v>300.8</v>
      </c>
      <c r="P1254">
        <v>87.3</v>
      </c>
      <c r="Q1254">
        <v>14.49</v>
      </c>
      <c r="S1254">
        <v>14.2</v>
      </c>
      <c r="T1254">
        <v>0</v>
      </c>
      <c r="U1254">
        <v>98</v>
      </c>
      <c r="V1254">
        <v>625</v>
      </c>
      <c r="W1254">
        <v>25.19</v>
      </c>
      <c r="Y1254">
        <v>13.87</v>
      </c>
    </row>
    <row r="1255" spans="1:25" x14ac:dyDescent="0.25">
      <c r="A1255">
        <v>2006</v>
      </c>
      <c r="B1255">
        <v>173</v>
      </c>
      <c r="C1255">
        <v>1400</v>
      </c>
      <c r="D1255" s="7">
        <v>226.7</v>
      </c>
      <c r="E1255" s="7">
        <v>130.4</v>
      </c>
      <c r="F1255" s="7">
        <v>12.95</v>
      </c>
      <c r="G1255" s="7">
        <v>13.07</v>
      </c>
      <c r="H1255" s="7"/>
      <c r="I1255" s="7"/>
      <c r="J1255" s="7"/>
      <c r="K1255" s="7">
        <v>4.6559999999999997</v>
      </c>
      <c r="L1255" s="7">
        <v>304.8</v>
      </c>
      <c r="M1255" s="7">
        <v>0</v>
      </c>
      <c r="N1255" s="7"/>
      <c r="O1255">
        <v>298.2</v>
      </c>
      <c r="P1255">
        <v>88</v>
      </c>
      <c r="Q1255">
        <v>14.59</v>
      </c>
      <c r="S1255">
        <v>14.21</v>
      </c>
      <c r="T1255">
        <v>0</v>
      </c>
      <c r="U1255">
        <v>98.7</v>
      </c>
      <c r="V1255">
        <v>623.6</v>
      </c>
      <c r="W1255">
        <v>25.12</v>
      </c>
      <c r="Y1255">
        <v>13.89</v>
      </c>
    </row>
    <row r="1256" spans="1:25" x14ac:dyDescent="0.25">
      <c r="A1256">
        <v>2006</v>
      </c>
      <c r="B1256">
        <v>173</v>
      </c>
      <c r="C1256">
        <v>1500</v>
      </c>
      <c r="D1256" s="7">
        <v>268.89999999999998</v>
      </c>
      <c r="E1256" s="7">
        <v>156.5</v>
      </c>
      <c r="F1256" s="7">
        <v>13.16</v>
      </c>
      <c r="G1256" s="7">
        <v>13.26</v>
      </c>
      <c r="H1256" s="7"/>
      <c r="I1256" s="7"/>
      <c r="J1256" s="7"/>
      <c r="K1256" s="7">
        <v>4.6420000000000003</v>
      </c>
      <c r="L1256" s="7">
        <v>0</v>
      </c>
      <c r="M1256" s="7">
        <v>0</v>
      </c>
      <c r="N1256" s="7"/>
      <c r="O1256">
        <v>347.5</v>
      </c>
      <c r="P1256">
        <v>103.8</v>
      </c>
      <c r="Q1256">
        <v>14.71</v>
      </c>
      <c r="S1256">
        <v>14.27</v>
      </c>
      <c r="T1256">
        <v>0</v>
      </c>
      <c r="U1256">
        <v>98.9</v>
      </c>
      <c r="V1256">
        <v>622.70000000000005</v>
      </c>
      <c r="W1256">
        <v>25.09</v>
      </c>
      <c r="Y1256">
        <v>13.93</v>
      </c>
    </row>
    <row r="1257" spans="1:25" x14ac:dyDescent="0.25">
      <c r="A1257">
        <v>2006</v>
      </c>
      <c r="B1257">
        <v>173</v>
      </c>
      <c r="C1257">
        <v>1600</v>
      </c>
      <c r="D1257" s="7">
        <v>150.19999999999999</v>
      </c>
      <c r="E1257" s="7">
        <v>82.5</v>
      </c>
      <c r="F1257" s="7">
        <v>12.71</v>
      </c>
      <c r="G1257" s="7">
        <v>12.64</v>
      </c>
      <c r="H1257" s="7"/>
      <c r="I1257" s="7"/>
      <c r="J1257" s="7"/>
      <c r="K1257" s="7">
        <v>4.0709999999999997</v>
      </c>
      <c r="L1257" s="7">
        <v>0</v>
      </c>
      <c r="M1257" s="7">
        <v>0.4</v>
      </c>
      <c r="N1257" s="7"/>
      <c r="O1257">
        <v>195.9</v>
      </c>
      <c r="P1257">
        <v>51.92</v>
      </c>
      <c r="Q1257">
        <v>14.84</v>
      </c>
      <c r="S1257">
        <v>14.31</v>
      </c>
      <c r="T1257">
        <v>0</v>
      </c>
      <c r="U1257">
        <v>100.9</v>
      </c>
      <c r="V1257">
        <v>622.1</v>
      </c>
      <c r="W1257">
        <v>25.06</v>
      </c>
      <c r="Y1257">
        <v>13.81</v>
      </c>
    </row>
    <row r="1258" spans="1:25" x14ac:dyDescent="0.25">
      <c r="A1258">
        <v>2006</v>
      </c>
      <c r="B1258">
        <v>173</v>
      </c>
      <c r="C1258">
        <v>1700</v>
      </c>
      <c r="D1258" s="7">
        <v>134.4</v>
      </c>
      <c r="E1258" s="7">
        <v>72.5</v>
      </c>
      <c r="F1258" s="7">
        <v>12.2</v>
      </c>
      <c r="G1258" s="7">
        <v>12.36</v>
      </c>
      <c r="H1258" s="7"/>
      <c r="I1258" s="7"/>
      <c r="J1258" s="7"/>
      <c r="K1258" s="7">
        <v>3.7690000000000001</v>
      </c>
      <c r="L1258" s="7">
        <v>0</v>
      </c>
      <c r="M1258" s="7">
        <v>0</v>
      </c>
      <c r="N1258" s="7"/>
      <c r="O1258">
        <v>172.3</v>
      </c>
      <c r="P1258">
        <v>45.93</v>
      </c>
      <c r="Q1258">
        <v>14.92</v>
      </c>
      <c r="S1258">
        <v>14.35</v>
      </c>
      <c r="T1258">
        <v>0</v>
      </c>
      <c r="U1258">
        <v>98.2</v>
      </c>
      <c r="V1258">
        <v>621.6</v>
      </c>
      <c r="W1258">
        <v>25.03</v>
      </c>
      <c r="Y1258">
        <v>13.74</v>
      </c>
    </row>
    <row r="1259" spans="1:25" x14ac:dyDescent="0.25">
      <c r="A1259">
        <v>2006</v>
      </c>
      <c r="B1259">
        <v>173</v>
      </c>
      <c r="C1259">
        <v>1800</v>
      </c>
      <c r="D1259" s="7">
        <v>90</v>
      </c>
      <c r="E1259" s="7">
        <v>41.92</v>
      </c>
      <c r="F1259" s="7">
        <v>12.11</v>
      </c>
      <c r="G1259" s="7">
        <v>12.2</v>
      </c>
      <c r="H1259" s="7"/>
      <c r="I1259" s="7"/>
      <c r="J1259" s="7"/>
      <c r="K1259" s="7">
        <v>3.5019999999999998</v>
      </c>
      <c r="L1259" s="7">
        <v>0</v>
      </c>
      <c r="M1259" s="7">
        <v>0</v>
      </c>
      <c r="N1259" s="7"/>
      <c r="O1259">
        <v>109.2</v>
      </c>
      <c r="P1259">
        <v>27.63</v>
      </c>
      <c r="Q1259">
        <v>15</v>
      </c>
      <c r="S1259">
        <v>14.43</v>
      </c>
      <c r="T1259">
        <v>0</v>
      </c>
      <c r="U1259">
        <v>98.9</v>
      </c>
      <c r="V1259">
        <v>622</v>
      </c>
      <c r="W1259">
        <v>25.05</v>
      </c>
      <c r="Y1259">
        <v>13.68</v>
      </c>
    </row>
    <row r="1260" spans="1:25" x14ac:dyDescent="0.25">
      <c r="A1260">
        <v>2006</v>
      </c>
      <c r="B1260">
        <v>173</v>
      </c>
      <c r="C1260">
        <v>1900</v>
      </c>
      <c r="D1260" s="7">
        <v>63.1</v>
      </c>
      <c r="E1260" s="7">
        <v>26.94</v>
      </c>
      <c r="F1260" s="7">
        <v>11.99</v>
      </c>
      <c r="G1260" s="7">
        <v>12.16</v>
      </c>
      <c r="H1260" s="7"/>
      <c r="I1260" s="7"/>
      <c r="J1260" s="7"/>
      <c r="K1260" s="7">
        <v>3.105</v>
      </c>
      <c r="L1260" s="7">
        <v>0</v>
      </c>
      <c r="M1260" s="7">
        <v>0</v>
      </c>
      <c r="N1260" s="7"/>
      <c r="O1260">
        <v>71.900000000000006</v>
      </c>
      <c r="P1260">
        <v>14.89</v>
      </c>
      <c r="Q1260">
        <v>15</v>
      </c>
      <c r="S1260">
        <v>14.47</v>
      </c>
      <c r="T1260">
        <v>0</v>
      </c>
      <c r="U1260">
        <v>98.1</v>
      </c>
      <c r="V1260">
        <v>622.5</v>
      </c>
      <c r="W1260">
        <v>25.08</v>
      </c>
      <c r="Y1260">
        <v>13.59</v>
      </c>
    </row>
    <row r="1261" spans="1:25" x14ac:dyDescent="0.25">
      <c r="A1261">
        <v>2006</v>
      </c>
      <c r="B1261">
        <v>173</v>
      </c>
      <c r="C1261">
        <v>2000</v>
      </c>
      <c r="D1261" s="7">
        <v>6.2460000000000004</v>
      </c>
      <c r="E1261" s="7">
        <v>-6.7919999999999998</v>
      </c>
      <c r="F1261" s="7">
        <v>11.42</v>
      </c>
      <c r="G1261" s="7">
        <v>11.33</v>
      </c>
      <c r="H1261" s="7"/>
      <c r="I1261" s="7"/>
      <c r="J1261" s="7"/>
      <c r="K1261" s="7">
        <v>2.4060000000000001</v>
      </c>
      <c r="L1261" s="7">
        <v>0</v>
      </c>
      <c r="M1261" s="7">
        <v>0.4</v>
      </c>
      <c r="N1261" s="7"/>
      <c r="O1261">
        <v>-0.79400000000000004</v>
      </c>
      <c r="P1261">
        <v>-8.2899999999999991</v>
      </c>
      <c r="Q1261">
        <v>15.01</v>
      </c>
      <c r="S1261">
        <v>14.5</v>
      </c>
      <c r="T1261">
        <v>0</v>
      </c>
      <c r="U1261">
        <v>101</v>
      </c>
      <c r="V1261">
        <v>622.9</v>
      </c>
      <c r="W1261">
        <v>25.09</v>
      </c>
      <c r="Y1261">
        <v>13.49</v>
      </c>
    </row>
    <row r="1262" spans="1:25" x14ac:dyDescent="0.25">
      <c r="A1262">
        <v>2006</v>
      </c>
      <c r="B1262">
        <v>173</v>
      </c>
      <c r="C1262">
        <v>2100</v>
      </c>
      <c r="D1262" s="7">
        <v>2.42</v>
      </c>
      <c r="E1262" s="7">
        <v>-7.59</v>
      </c>
      <c r="F1262" s="7">
        <v>10.81</v>
      </c>
      <c r="G1262" s="7">
        <v>10.67</v>
      </c>
      <c r="H1262" s="7"/>
      <c r="I1262" s="7"/>
      <c r="J1262" s="7"/>
      <c r="K1262" s="7">
        <v>1.8640000000000001</v>
      </c>
      <c r="L1262" s="7">
        <v>0</v>
      </c>
      <c r="M1262" s="7">
        <v>0.2</v>
      </c>
      <c r="N1262" s="7"/>
      <c r="O1262">
        <v>-7.19</v>
      </c>
      <c r="P1262">
        <v>-10.09</v>
      </c>
      <c r="Q1262">
        <v>14.98</v>
      </c>
      <c r="S1262">
        <v>14.5</v>
      </c>
      <c r="T1262">
        <v>0</v>
      </c>
      <c r="U1262">
        <v>101.7</v>
      </c>
      <c r="V1262">
        <v>625.4</v>
      </c>
      <c r="W1262">
        <v>25.21</v>
      </c>
      <c r="Y1262">
        <v>13.4</v>
      </c>
    </row>
    <row r="1263" spans="1:25" x14ac:dyDescent="0.25">
      <c r="A1263">
        <v>2006</v>
      </c>
      <c r="B1263">
        <v>173</v>
      </c>
      <c r="C1263">
        <v>2200</v>
      </c>
      <c r="D1263" s="7">
        <v>-0.77800000000000002</v>
      </c>
      <c r="E1263" s="7">
        <v>-13.06</v>
      </c>
      <c r="F1263" s="7">
        <v>10.3</v>
      </c>
      <c r="G1263" s="7">
        <v>10.27</v>
      </c>
      <c r="H1263" s="7"/>
      <c r="I1263" s="7"/>
      <c r="J1263" s="7"/>
      <c r="K1263" s="7">
        <v>1.996</v>
      </c>
      <c r="L1263" s="7">
        <v>0</v>
      </c>
      <c r="M1263" s="7">
        <v>0</v>
      </c>
      <c r="N1263" s="7"/>
      <c r="O1263">
        <v>-11.75</v>
      </c>
      <c r="P1263">
        <v>-11.42</v>
      </c>
      <c r="Q1263">
        <v>14.91</v>
      </c>
      <c r="S1263">
        <v>14.49</v>
      </c>
      <c r="T1263">
        <v>0</v>
      </c>
      <c r="U1263">
        <v>100.3</v>
      </c>
      <c r="V1263">
        <v>624.20000000000005</v>
      </c>
      <c r="W1263">
        <v>25.15</v>
      </c>
      <c r="Y1263">
        <v>13.32</v>
      </c>
    </row>
    <row r="1264" spans="1:25" x14ac:dyDescent="0.25">
      <c r="A1264">
        <v>2006</v>
      </c>
      <c r="B1264">
        <v>173</v>
      </c>
      <c r="C1264">
        <v>2300</v>
      </c>
      <c r="D1264" s="7">
        <v>-1.4410000000000001</v>
      </c>
      <c r="E1264" s="7">
        <v>-25.2</v>
      </c>
      <c r="F1264" s="7">
        <v>9.8699999999999992</v>
      </c>
      <c r="G1264" s="7">
        <v>9.9499999999999993</v>
      </c>
      <c r="H1264" s="7"/>
      <c r="I1264" s="7"/>
      <c r="J1264" s="7"/>
      <c r="K1264" s="7">
        <v>1.6120000000000001</v>
      </c>
      <c r="L1264" s="7">
        <v>0</v>
      </c>
      <c r="M1264" s="7">
        <v>0</v>
      </c>
      <c r="N1264" s="7"/>
      <c r="O1264">
        <v>-12.17</v>
      </c>
      <c r="P1264">
        <v>-11.48</v>
      </c>
      <c r="Q1264">
        <v>14.85</v>
      </c>
      <c r="S1264">
        <v>14.47</v>
      </c>
      <c r="T1264">
        <v>0</v>
      </c>
      <c r="U1264">
        <v>99</v>
      </c>
      <c r="V1264">
        <v>623.6</v>
      </c>
      <c r="W1264">
        <v>25.13</v>
      </c>
      <c r="Y1264">
        <v>13.25</v>
      </c>
    </row>
    <row r="1265" spans="1:25" x14ac:dyDescent="0.25">
      <c r="A1265">
        <v>2006</v>
      </c>
      <c r="B1265">
        <v>173</v>
      </c>
      <c r="C1265">
        <v>2400</v>
      </c>
      <c r="D1265" s="7">
        <v>-1.796</v>
      </c>
      <c r="E1265" s="7">
        <v>-29.08</v>
      </c>
      <c r="F1265" s="7">
        <v>9.24</v>
      </c>
      <c r="G1265" s="7">
        <v>9.3000000000000007</v>
      </c>
      <c r="H1265" s="7"/>
      <c r="I1265" s="7"/>
      <c r="J1265" s="7"/>
      <c r="K1265" s="7">
        <v>0.91</v>
      </c>
      <c r="L1265" s="7">
        <v>294.60000000000002</v>
      </c>
      <c r="M1265" s="7">
        <v>0</v>
      </c>
      <c r="N1265" s="7"/>
      <c r="O1265">
        <v>-12.17</v>
      </c>
      <c r="P1265">
        <v>-11.48</v>
      </c>
      <c r="Q1265">
        <v>14.78</v>
      </c>
      <c r="S1265">
        <v>14.45</v>
      </c>
      <c r="T1265">
        <v>0</v>
      </c>
      <c r="U1265">
        <v>99.2</v>
      </c>
      <c r="V1265">
        <v>622.79999999999995</v>
      </c>
      <c r="W1265">
        <v>25.09</v>
      </c>
      <c r="Y1265">
        <v>13.18</v>
      </c>
    </row>
    <row r="1266" spans="1:25" x14ac:dyDescent="0.25">
      <c r="A1266">
        <v>2006</v>
      </c>
      <c r="B1266">
        <v>174</v>
      </c>
      <c r="C1266">
        <v>100</v>
      </c>
      <c r="D1266" s="7">
        <v>-2.1749999999999998</v>
      </c>
      <c r="E1266" s="7">
        <v>-31.69</v>
      </c>
      <c r="F1266" s="7">
        <v>8.7799999999999994</v>
      </c>
      <c r="G1266" s="7">
        <v>8.8699999999999992</v>
      </c>
      <c r="H1266" s="7"/>
      <c r="I1266" s="7"/>
      <c r="J1266" s="7"/>
      <c r="K1266" s="7">
        <v>1.367</v>
      </c>
      <c r="L1266" s="7">
        <v>273</v>
      </c>
      <c r="M1266" s="7">
        <v>0</v>
      </c>
      <c r="N1266" s="7"/>
      <c r="O1266">
        <v>-12.17</v>
      </c>
      <c r="P1266">
        <v>-11.48</v>
      </c>
      <c r="Q1266">
        <v>14.65</v>
      </c>
      <c r="S1266">
        <v>14.39</v>
      </c>
      <c r="T1266">
        <v>0</v>
      </c>
      <c r="U1266">
        <v>98.8</v>
      </c>
      <c r="V1266">
        <v>623.1</v>
      </c>
      <c r="W1266">
        <v>25.1</v>
      </c>
      <c r="Y1266">
        <v>13.11</v>
      </c>
    </row>
    <row r="1267" spans="1:25" x14ac:dyDescent="0.25">
      <c r="A1267">
        <v>2006</v>
      </c>
      <c r="B1267">
        <v>174</v>
      </c>
      <c r="C1267">
        <v>200</v>
      </c>
      <c r="D1267" s="7">
        <v>-1.198</v>
      </c>
      <c r="E1267" s="7">
        <v>-15.04</v>
      </c>
      <c r="F1267" s="7">
        <v>9.1999999999999993</v>
      </c>
      <c r="G1267" s="7">
        <v>9.33</v>
      </c>
      <c r="H1267" s="7"/>
      <c r="I1267" s="7"/>
      <c r="J1267" s="7"/>
      <c r="K1267" s="7">
        <v>0.91600000000000004</v>
      </c>
      <c r="L1267" s="7">
        <v>251.5</v>
      </c>
      <c r="M1267" s="7">
        <v>0</v>
      </c>
      <c r="N1267" s="7"/>
      <c r="O1267">
        <v>-12.17</v>
      </c>
      <c r="P1267">
        <v>-11.48</v>
      </c>
      <c r="Q1267">
        <v>14.51</v>
      </c>
      <c r="S1267">
        <v>14.31</v>
      </c>
      <c r="T1267">
        <v>0</v>
      </c>
      <c r="U1267">
        <v>98.4</v>
      </c>
      <c r="V1267">
        <v>622.9</v>
      </c>
      <c r="W1267">
        <v>25.09</v>
      </c>
      <c r="Y1267">
        <v>13.05</v>
      </c>
    </row>
    <row r="1268" spans="1:25" x14ac:dyDescent="0.25">
      <c r="A1268">
        <v>2006</v>
      </c>
      <c r="B1268">
        <v>174</v>
      </c>
      <c r="C1268">
        <v>300</v>
      </c>
      <c r="D1268" s="7">
        <v>-0.65700000000000003</v>
      </c>
      <c r="E1268" s="7">
        <v>-11.04</v>
      </c>
      <c r="F1268" s="7">
        <v>9.4600000000000009</v>
      </c>
      <c r="G1268" s="7">
        <v>9.57</v>
      </c>
      <c r="H1268" s="7"/>
      <c r="I1268" s="7"/>
      <c r="J1268" s="7"/>
      <c r="K1268" s="7">
        <v>0.84599999999999997</v>
      </c>
      <c r="L1268" s="7">
        <v>259.2</v>
      </c>
      <c r="M1268" s="7">
        <v>0</v>
      </c>
      <c r="N1268" s="7"/>
      <c r="O1268">
        <v>-12.17</v>
      </c>
      <c r="P1268">
        <v>-11.48</v>
      </c>
      <c r="Q1268">
        <v>14.39</v>
      </c>
      <c r="S1268">
        <v>14.26</v>
      </c>
      <c r="T1268">
        <v>0</v>
      </c>
      <c r="U1268">
        <v>98.6</v>
      </c>
      <c r="V1268">
        <v>622.29999999999995</v>
      </c>
      <c r="W1268">
        <v>25.07</v>
      </c>
      <c r="Y1268">
        <v>13</v>
      </c>
    </row>
    <row r="1269" spans="1:25" x14ac:dyDescent="0.25">
      <c r="A1269">
        <v>2006</v>
      </c>
      <c r="B1269">
        <v>174</v>
      </c>
      <c r="C1269">
        <v>400</v>
      </c>
      <c r="D1269" s="7">
        <v>-0.10299999999999999</v>
      </c>
      <c r="E1269" s="7">
        <v>-10.8</v>
      </c>
      <c r="F1269" s="7">
        <v>9.52</v>
      </c>
      <c r="G1269" s="7">
        <v>9.7100000000000009</v>
      </c>
      <c r="H1269" s="7"/>
      <c r="I1269" s="7"/>
      <c r="J1269" s="7"/>
      <c r="K1269" s="7">
        <v>1.0009999999999999</v>
      </c>
      <c r="L1269" s="7">
        <v>270.2</v>
      </c>
      <c r="M1269" s="7">
        <v>0</v>
      </c>
      <c r="N1269" s="7"/>
      <c r="O1269">
        <v>-11.28</v>
      </c>
      <c r="P1269">
        <v>-11.16</v>
      </c>
      <c r="Q1269">
        <v>14.29</v>
      </c>
      <c r="S1269">
        <v>14.18</v>
      </c>
      <c r="T1269">
        <v>0</v>
      </c>
      <c r="U1269">
        <v>97.7</v>
      </c>
      <c r="V1269">
        <v>621.29999999999995</v>
      </c>
      <c r="W1269">
        <v>25.02</v>
      </c>
      <c r="Y1269">
        <v>12.95</v>
      </c>
    </row>
    <row r="1270" spans="1:25" x14ac:dyDescent="0.25">
      <c r="A1270">
        <v>2006</v>
      </c>
      <c r="B1270">
        <v>174</v>
      </c>
      <c r="C1270">
        <v>500</v>
      </c>
      <c r="D1270" s="7">
        <v>5.9550000000000001</v>
      </c>
      <c r="E1270" s="7">
        <v>-6.6029999999999998</v>
      </c>
      <c r="F1270" s="7">
        <v>9.61</v>
      </c>
      <c r="G1270" s="7">
        <v>9.7100000000000009</v>
      </c>
      <c r="H1270" s="7"/>
      <c r="I1270" s="7"/>
      <c r="J1270" s="7"/>
      <c r="K1270" s="7">
        <v>0.627</v>
      </c>
      <c r="L1270" s="7">
        <v>256.3</v>
      </c>
      <c r="M1270" s="7">
        <v>0</v>
      </c>
      <c r="N1270" s="7"/>
      <c r="O1270">
        <v>-2.84</v>
      </c>
      <c r="P1270">
        <v>-8.11</v>
      </c>
      <c r="Q1270">
        <v>14.24</v>
      </c>
      <c r="S1270">
        <v>14.1</v>
      </c>
      <c r="T1270">
        <v>0</v>
      </c>
      <c r="U1270">
        <v>98.8</v>
      </c>
      <c r="V1270">
        <v>620.6</v>
      </c>
      <c r="W1270">
        <v>24.99</v>
      </c>
      <c r="Y1270">
        <v>12.92</v>
      </c>
    </row>
    <row r="1271" spans="1:25" x14ac:dyDescent="0.25">
      <c r="A1271">
        <v>2006</v>
      </c>
      <c r="B1271">
        <v>174</v>
      </c>
      <c r="C1271">
        <v>600</v>
      </c>
      <c r="D1271" s="7">
        <v>42.44</v>
      </c>
      <c r="E1271" s="7">
        <v>14.97</v>
      </c>
      <c r="F1271" s="7">
        <v>9.89</v>
      </c>
      <c r="G1271" s="7">
        <v>9.98</v>
      </c>
      <c r="H1271" s="7"/>
      <c r="I1271" s="7"/>
      <c r="J1271" s="7"/>
      <c r="K1271" s="7">
        <v>0.86199999999999999</v>
      </c>
      <c r="L1271" s="7">
        <v>252.9</v>
      </c>
      <c r="M1271" s="7">
        <v>0</v>
      </c>
      <c r="N1271" s="7"/>
      <c r="O1271">
        <v>46.12</v>
      </c>
      <c r="P1271">
        <v>8.6</v>
      </c>
      <c r="Q1271">
        <v>14.15</v>
      </c>
      <c r="S1271">
        <v>14.05</v>
      </c>
      <c r="T1271">
        <v>0</v>
      </c>
      <c r="U1271">
        <v>99</v>
      </c>
      <c r="V1271">
        <v>620</v>
      </c>
      <c r="W1271">
        <v>24.96</v>
      </c>
      <c r="Y1271">
        <v>12.94</v>
      </c>
    </row>
    <row r="1272" spans="1:25" x14ac:dyDescent="0.25">
      <c r="A1272">
        <v>2006</v>
      </c>
      <c r="B1272">
        <v>174</v>
      </c>
      <c r="C1272">
        <v>700</v>
      </c>
      <c r="D1272" s="7">
        <v>109.2</v>
      </c>
      <c r="E1272" s="7">
        <v>55.29</v>
      </c>
      <c r="F1272" s="7">
        <v>10.39</v>
      </c>
      <c r="G1272" s="7">
        <v>10.63</v>
      </c>
      <c r="H1272" s="7"/>
      <c r="I1272" s="7"/>
      <c r="J1272" s="7"/>
      <c r="K1272" s="7">
        <v>1.2989999999999999</v>
      </c>
      <c r="L1272" s="7">
        <v>253.7</v>
      </c>
      <c r="M1272" s="7">
        <v>0</v>
      </c>
      <c r="N1272" s="7"/>
      <c r="O1272">
        <v>132.30000000000001</v>
      </c>
      <c r="P1272">
        <v>39.130000000000003</v>
      </c>
      <c r="Q1272">
        <v>14.15</v>
      </c>
      <c r="S1272">
        <v>14.03</v>
      </c>
      <c r="T1272">
        <v>0</v>
      </c>
      <c r="U1272">
        <v>97.2</v>
      </c>
      <c r="V1272">
        <v>619.29999999999995</v>
      </c>
      <c r="W1272">
        <v>24.93</v>
      </c>
      <c r="Y1272">
        <v>13.42</v>
      </c>
    </row>
    <row r="1273" spans="1:25" x14ac:dyDescent="0.25">
      <c r="A1273">
        <v>2006</v>
      </c>
      <c r="B1273">
        <v>174</v>
      </c>
      <c r="C1273">
        <v>800</v>
      </c>
      <c r="D1273" s="7">
        <v>196.2</v>
      </c>
      <c r="E1273" s="7">
        <v>110.6</v>
      </c>
      <c r="F1273" s="7">
        <v>11.02</v>
      </c>
      <c r="G1273" s="7">
        <v>11.48</v>
      </c>
      <c r="H1273" s="7"/>
      <c r="I1273" s="7"/>
      <c r="J1273" s="7"/>
      <c r="K1273" s="7">
        <v>1.306</v>
      </c>
      <c r="L1273" s="7">
        <v>270.10000000000002</v>
      </c>
      <c r="M1273" s="7">
        <v>0</v>
      </c>
      <c r="N1273" s="7"/>
      <c r="O1273">
        <v>244.1</v>
      </c>
      <c r="P1273">
        <v>77.900000000000006</v>
      </c>
      <c r="Q1273">
        <v>14.14</v>
      </c>
      <c r="S1273">
        <v>13.98</v>
      </c>
      <c r="T1273">
        <v>0</v>
      </c>
      <c r="U1273">
        <v>94.7</v>
      </c>
      <c r="V1273">
        <v>618.9</v>
      </c>
      <c r="W1273">
        <v>24.92</v>
      </c>
      <c r="Y1273">
        <v>13.76</v>
      </c>
    </row>
    <row r="1274" spans="1:25" x14ac:dyDescent="0.25">
      <c r="A1274">
        <v>2006</v>
      </c>
      <c r="B1274">
        <v>174</v>
      </c>
      <c r="C1274">
        <v>900</v>
      </c>
      <c r="D1274" s="7">
        <v>308.5</v>
      </c>
      <c r="E1274" s="7">
        <v>184</v>
      </c>
      <c r="F1274" s="7">
        <v>12.02</v>
      </c>
      <c r="G1274" s="7">
        <v>12.71</v>
      </c>
      <c r="H1274" s="7">
        <f>AVERAGE(G1274:G1297)</f>
        <v>12.83</v>
      </c>
      <c r="I1274" s="7">
        <f>MIN(G1274:G1297)</f>
        <v>7.71</v>
      </c>
      <c r="J1274" s="7">
        <f>MAX(G1274:G1297)</f>
        <v>16.46</v>
      </c>
      <c r="K1274" s="7">
        <v>1.137</v>
      </c>
      <c r="L1274" s="7">
        <v>266.8</v>
      </c>
      <c r="M1274" s="7">
        <v>0</v>
      </c>
      <c r="N1274" s="7">
        <f>SUM(M1274:M1297)</f>
        <v>0</v>
      </c>
      <c r="O1274">
        <v>392.3</v>
      </c>
      <c r="P1274">
        <v>128.5</v>
      </c>
      <c r="Q1274">
        <v>14.22</v>
      </c>
      <c r="S1274">
        <v>13.98</v>
      </c>
      <c r="T1274">
        <v>0</v>
      </c>
      <c r="U1274">
        <v>92.3</v>
      </c>
      <c r="V1274">
        <v>616.4</v>
      </c>
      <c r="W1274">
        <v>24.81</v>
      </c>
      <c r="Y1274">
        <v>14</v>
      </c>
    </row>
    <row r="1275" spans="1:25" x14ac:dyDescent="0.25">
      <c r="A1275">
        <v>2006</v>
      </c>
      <c r="B1275">
        <v>174</v>
      </c>
      <c r="C1275">
        <v>1000</v>
      </c>
      <c r="D1275" s="7">
        <v>341.5</v>
      </c>
      <c r="E1275" s="7">
        <v>205.1</v>
      </c>
      <c r="F1275" s="7">
        <v>13.19</v>
      </c>
      <c r="G1275" s="7">
        <v>13.56</v>
      </c>
      <c r="H1275" s="7"/>
      <c r="I1275" s="7"/>
      <c r="J1275" s="7"/>
      <c r="K1275" s="7">
        <v>1.385</v>
      </c>
      <c r="L1275" s="7">
        <v>257.2</v>
      </c>
      <c r="M1275" s="7">
        <v>0</v>
      </c>
      <c r="N1275" s="7"/>
      <c r="O1275">
        <v>436</v>
      </c>
      <c r="P1275">
        <v>136.19999999999999</v>
      </c>
      <c r="Q1275">
        <v>14.35</v>
      </c>
      <c r="S1275">
        <v>14</v>
      </c>
      <c r="T1275">
        <v>0</v>
      </c>
      <c r="U1275">
        <v>96</v>
      </c>
      <c r="V1275">
        <v>617.20000000000005</v>
      </c>
      <c r="W1275">
        <v>24.84</v>
      </c>
      <c r="Y1275">
        <v>14.07</v>
      </c>
    </row>
    <row r="1276" spans="1:25" x14ac:dyDescent="0.25">
      <c r="A1276">
        <v>2006</v>
      </c>
      <c r="B1276">
        <v>174</v>
      </c>
      <c r="C1276">
        <v>1100</v>
      </c>
      <c r="D1276" s="7">
        <v>214</v>
      </c>
      <c r="E1276" s="7">
        <v>121.9</v>
      </c>
      <c r="F1276" s="7">
        <v>13.48</v>
      </c>
      <c r="G1276" s="7">
        <v>13.47</v>
      </c>
      <c r="H1276" s="7"/>
      <c r="I1276" s="7"/>
      <c r="J1276" s="7"/>
      <c r="K1276" s="7">
        <v>1.274</v>
      </c>
      <c r="L1276" s="7">
        <v>266.8</v>
      </c>
      <c r="M1276" s="7">
        <v>0</v>
      </c>
      <c r="N1276" s="7"/>
      <c r="O1276">
        <v>280.39999999999998</v>
      </c>
      <c r="P1276">
        <v>84.5</v>
      </c>
      <c r="Q1276">
        <v>14.51</v>
      </c>
      <c r="S1276">
        <v>14</v>
      </c>
      <c r="T1276">
        <v>0</v>
      </c>
      <c r="U1276">
        <v>100.1</v>
      </c>
      <c r="V1276">
        <v>616.20000000000005</v>
      </c>
      <c r="W1276">
        <v>24.8</v>
      </c>
      <c r="Y1276">
        <v>13.89</v>
      </c>
    </row>
    <row r="1277" spans="1:25" x14ac:dyDescent="0.25">
      <c r="A1277">
        <v>2006</v>
      </c>
      <c r="B1277">
        <v>174</v>
      </c>
      <c r="C1277">
        <v>1200</v>
      </c>
      <c r="D1277" s="7">
        <v>382.3</v>
      </c>
      <c r="E1277" s="7">
        <v>230.3</v>
      </c>
      <c r="F1277" s="7">
        <v>14.36</v>
      </c>
      <c r="G1277" s="7">
        <v>14.32</v>
      </c>
      <c r="H1277" s="7"/>
      <c r="I1277" s="7"/>
      <c r="J1277" s="7"/>
      <c r="K1277" s="7">
        <v>1.532</v>
      </c>
      <c r="L1277" s="7">
        <v>256.89999999999998</v>
      </c>
      <c r="M1277" s="7">
        <v>0</v>
      </c>
      <c r="N1277" s="7"/>
      <c r="O1277">
        <v>492.7</v>
      </c>
      <c r="P1277">
        <v>149.4</v>
      </c>
      <c r="Q1277">
        <v>14.71</v>
      </c>
      <c r="S1277">
        <v>14.11</v>
      </c>
      <c r="T1277">
        <v>0</v>
      </c>
      <c r="U1277">
        <v>100.4</v>
      </c>
      <c r="V1277">
        <v>615.20000000000005</v>
      </c>
      <c r="W1277">
        <v>24.76</v>
      </c>
      <c r="Y1277">
        <v>14.12</v>
      </c>
    </row>
    <row r="1278" spans="1:25" x14ac:dyDescent="0.25">
      <c r="A1278">
        <v>2006</v>
      </c>
      <c r="B1278">
        <v>174</v>
      </c>
      <c r="C1278">
        <v>1300</v>
      </c>
      <c r="D1278" s="7">
        <v>389.3</v>
      </c>
      <c r="E1278" s="7">
        <v>234.3</v>
      </c>
      <c r="F1278" s="7">
        <v>14.55</v>
      </c>
      <c r="G1278" s="7">
        <v>14.48</v>
      </c>
      <c r="H1278" s="7"/>
      <c r="I1278" s="7"/>
      <c r="J1278" s="7"/>
      <c r="K1278" s="7">
        <v>1.7809999999999999</v>
      </c>
      <c r="L1278" s="7">
        <v>278.5</v>
      </c>
      <c r="M1278" s="7">
        <v>0</v>
      </c>
      <c r="N1278" s="7"/>
      <c r="O1278">
        <v>499.3</v>
      </c>
      <c r="P1278">
        <v>146.1</v>
      </c>
      <c r="Q1278">
        <v>14.87</v>
      </c>
      <c r="S1278">
        <v>14.18</v>
      </c>
      <c r="T1278">
        <v>0</v>
      </c>
      <c r="U1278">
        <v>100.8</v>
      </c>
      <c r="V1278">
        <v>613.9</v>
      </c>
      <c r="W1278">
        <v>24.7</v>
      </c>
      <c r="Y1278">
        <v>14.15</v>
      </c>
    </row>
    <row r="1279" spans="1:25" x14ac:dyDescent="0.25">
      <c r="A1279">
        <v>2006</v>
      </c>
      <c r="B1279">
        <v>174</v>
      </c>
      <c r="C1279">
        <v>1400</v>
      </c>
      <c r="D1279" s="7">
        <v>546.29999999999995</v>
      </c>
      <c r="E1279" s="7">
        <v>331.4</v>
      </c>
      <c r="F1279" s="7">
        <v>15.49</v>
      </c>
      <c r="G1279" s="7">
        <v>15.37</v>
      </c>
      <c r="H1279" s="7"/>
      <c r="I1279" s="7"/>
      <c r="J1279" s="7"/>
      <c r="K1279" s="7">
        <v>1.631</v>
      </c>
      <c r="L1279" s="7">
        <v>313.89999999999998</v>
      </c>
      <c r="M1279" s="7">
        <v>0</v>
      </c>
      <c r="N1279" s="7"/>
      <c r="O1279">
        <v>681.6</v>
      </c>
      <c r="P1279">
        <v>198.9</v>
      </c>
      <c r="Q1279">
        <v>15.12</v>
      </c>
      <c r="S1279">
        <v>14.34</v>
      </c>
      <c r="T1279">
        <v>0</v>
      </c>
      <c r="U1279">
        <v>101.2</v>
      </c>
      <c r="V1279">
        <v>612.5</v>
      </c>
      <c r="W1279">
        <v>24.64</v>
      </c>
      <c r="Y1279">
        <v>14.32</v>
      </c>
    </row>
    <row r="1280" spans="1:25" x14ac:dyDescent="0.25">
      <c r="A1280">
        <v>2006</v>
      </c>
      <c r="B1280">
        <v>174</v>
      </c>
      <c r="C1280">
        <v>1500</v>
      </c>
      <c r="D1280" s="7">
        <v>493.7</v>
      </c>
      <c r="E1280" s="7">
        <v>292.10000000000002</v>
      </c>
      <c r="F1280" s="7">
        <v>16.13</v>
      </c>
      <c r="G1280" s="7">
        <v>16</v>
      </c>
      <c r="H1280" s="7"/>
      <c r="I1280" s="7"/>
      <c r="J1280" s="7"/>
      <c r="K1280" s="7">
        <v>1.696</v>
      </c>
      <c r="L1280" s="7">
        <v>288.2</v>
      </c>
      <c r="M1280" s="7">
        <v>0</v>
      </c>
      <c r="N1280" s="7"/>
      <c r="O1280">
        <v>617.79999999999995</v>
      </c>
      <c r="P1280">
        <v>186</v>
      </c>
      <c r="Q1280">
        <v>15.33</v>
      </c>
      <c r="S1280">
        <v>14.45</v>
      </c>
      <c r="T1280">
        <v>0</v>
      </c>
      <c r="U1280">
        <v>101.4</v>
      </c>
      <c r="V1280">
        <v>611.20000000000005</v>
      </c>
      <c r="W1280">
        <v>24.58</v>
      </c>
      <c r="Y1280">
        <v>14.25</v>
      </c>
    </row>
    <row r="1281" spans="1:25" x14ac:dyDescent="0.25">
      <c r="A1281">
        <v>2006</v>
      </c>
      <c r="B1281">
        <v>174</v>
      </c>
      <c r="C1281">
        <v>1600</v>
      </c>
      <c r="D1281" s="7">
        <v>452.7</v>
      </c>
      <c r="E1281" s="7">
        <v>260.60000000000002</v>
      </c>
      <c r="F1281" s="7">
        <v>16.57</v>
      </c>
      <c r="G1281" s="7">
        <v>16.36</v>
      </c>
      <c r="H1281" s="7"/>
      <c r="I1281" s="7"/>
      <c r="J1281" s="7"/>
      <c r="K1281" s="7">
        <v>1.621</v>
      </c>
      <c r="L1281" s="7">
        <v>294.7</v>
      </c>
      <c r="M1281" s="7">
        <v>0</v>
      </c>
      <c r="N1281" s="7"/>
      <c r="O1281">
        <v>559.9</v>
      </c>
      <c r="P1281">
        <v>174.4</v>
      </c>
      <c r="Q1281">
        <v>15.61</v>
      </c>
      <c r="S1281">
        <v>14.63</v>
      </c>
      <c r="T1281">
        <v>0</v>
      </c>
      <c r="U1281">
        <v>102.1</v>
      </c>
      <c r="V1281">
        <v>609.79999999999995</v>
      </c>
      <c r="W1281">
        <v>24.51</v>
      </c>
      <c r="Y1281">
        <v>14.17</v>
      </c>
    </row>
    <row r="1282" spans="1:25" x14ac:dyDescent="0.25">
      <c r="A1282">
        <v>2006</v>
      </c>
      <c r="B1282">
        <v>174</v>
      </c>
      <c r="C1282">
        <v>1700</v>
      </c>
      <c r="D1282" s="7">
        <v>369.1</v>
      </c>
      <c r="E1282" s="7">
        <v>207.5</v>
      </c>
      <c r="F1282" s="7">
        <v>16.62</v>
      </c>
      <c r="G1282" s="7">
        <v>16.41</v>
      </c>
      <c r="H1282" s="7"/>
      <c r="I1282" s="7"/>
      <c r="J1282" s="7"/>
      <c r="K1282" s="7">
        <v>1.385</v>
      </c>
      <c r="L1282" s="7">
        <v>324.60000000000002</v>
      </c>
      <c r="M1282" s="7">
        <v>0</v>
      </c>
      <c r="N1282" s="7"/>
      <c r="O1282">
        <v>460.2</v>
      </c>
      <c r="P1282">
        <v>162.19999999999999</v>
      </c>
      <c r="Q1282">
        <v>15.85</v>
      </c>
      <c r="S1282">
        <v>14.78</v>
      </c>
      <c r="T1282">
        <v>0</v>
      </c>
      <c r="U1282">
        <v>102.2</v>
      </c>
      <c r="V1282">
        <v>608</v>
      </c>
      <c r="W1282">
        <v>24.44</v>
      </c>
      <c r="Y1282">
        <v>14.01</v>
      </c>
    </row>
    <row r="1283" spans="1:25" x14ac:dyDescent="0.25">
      <c r="A1283">
        <v>2006</v>
      </c>
      <c r="B1283">
        <v>174</v>
      </c>
      <c r="C1283">
        <v>1800</v>
      </c>
      <c r="D1283" s="7">
        <v>212</v>
      </c>
      <c r="E1283" s="7">
        <v>101.7</v>
      </c>
      <c r="F1283" s="7">
        <v>16.52</v>
      </c>
      <c r="G1283" s="7">
        <v>16.25</v>
      </c>
      <c r="H1283" s="7"/>
      <c r="I1283" s="7"/>
      <c r="J1283" s="7"/>
      <c r="K1283" s="7">
        <v>0.86</v>
      </c>
      <c r="L1283" s="7">
        <v>0</v>
      </c>
      <c r="M1283" s="7">
        <v>0</v>
      </c>
      <c r="N1283" s="7"/>
      <c r="O1283">
        <v>260.7</v>
      </c>
      <c r="P1283">
        <v>96</v>
      </c>
      <c r="Q1283">
        <v>15.99</v>
      </c>
      <c r="S1283">
        <v>14.89</v>
      </c>
      <c r="T1283">
        <v>0</v>
      </c>
      <c r="U1283">
        <v>102.8</v>
      </c>
      <c r="V1283">
        <v>606.6</v>
      </c>
      <c r="W1283">
        <v>24.37</v>
      </c>
      <c r="Y1283">
        <v>13.82</v>
      </c>
    </row>
    <row r="1284" spans="1:25" x14ac:dyDescent="0.25">
      <c r="A1284">
        <v>2006</v>
      </c>
      <c r="B1284">
        <v>174</v>
      </c>
      <c r="C1284">
        <v>1900</v>
      </c>
      <c r="D1284" s="7">
        <v>162.30000000000001</v>
      </c>
      <c r="E1284" s="7">
        <v>68.72</v>
      </c>
      <c r="F1284" s="7">
        <v>16.78</v>
      </c>
      <c r="G1284" s="7">
        <v>16.46</v>
      </c>
      <c r="H1284" s="7"/>
      <c r="I1284" s="7"/>
      <c r="J1284" s="7"/>
      <c r="K1284" s="7">
        <v>0.48</v>
      </c>
      <c r="L1284" s="7">
        <v>0</v>
      </c>
      <c r="M1284" s="7">
        <v>0</v>
      </c>
      <c r="N1284" s="7"/>
      <c r="O1284">
        <v>204.1</v>
      </c>
      <c r="P1284">
        <v>84.8</v>
      </c>
      <c r="Q1284">
        <v>16.03</v>
      </c>
      <c r="S1284">
        <v>14.98</v>
      </c>
      <c r="T1284">
        <v>0</v>
      </c>
      <c r="U1284">
        <v>103.2</v>
      </c>
      <c r="V1284">
        <v>605.5</v>
      </c>
      <c r="W1284">
        <v>24.33</v>
      </c>
      <c r="Y1284">
        <v>13.71</v>
      </c>
    </row>
    <row r="1285" spans="1:25" x14ac:dyDescent="0.25">
      <c r="A1285">
        <v>2006</v>
      </c>
      <c r="B1285">
        <v>174</v>
      </c>
      <c r="C1285">
        <v>2000</v>
      </c>
      <c r="D1285" s="7">
        <v>56.52</v>
      </c>
      <c r="E1285" s="7">
        <v>-4.3460000000000001</v>
      </c>
      <c r="F1285" s="7">
        <v>15.02</v>
      </c>
      <c r="G1285" s="7">
        <v>14.8</v>
      </c>
      <c r="H1285" s="7"/>
      <c r="I1285" s="7"/>
      <c r="J1285" s="7"/>
      <c r="K1285" s="7">
        <v>0.96</v>
      </c>
      <c r="L1285" s="7">
        <v>222</v>
      </c>
      <c r="M1285" s="7">
        <v>0</v>
      </c>
      <c r="N1285" s="7"/>
      <c r="O1285">
        <v>59.71</v>
      </c>
      <c r="P1285">
        <v>15.39</v>
      </c>
      <c r="Q1285">
        <v>16.059999999999999</v>
      </c>
      <c r="S1285">
        <v>15.09</v>
      </c>
      <c r="T1285">
        <v>0</v>
      </c>
      <c r="U1285">
        <v>102.3</v>
      </c>
      <c r="V1285">
        <v>602.6</v>
      </c>
      <c r="W1285">
        <v>24.2</v>
      </c>
      <c r="Y1285">
        <v>13.56</v>
      </c>
    </row>
    <row r="1286" spans="1:25" x14ac:dyDescent="0.25">
      <c r="A1286">
        <v>2006</v>
      </c>
      <c r="B1286">
        <v>174</v>
      </c>
      <c r="C1286">
        <v>2100</v>
      </c>
      <c r="D1286" s="7">
        <v>11.46</v>
      </c>
      <c r="E1286" s="7">
        <v>-28.71</v>
      </c>
      <c r="F1286" s="7">
        <v>13.07</v>
      </c>
      <c r="G1286" s="7">
        <v>13.07</v>
      </c>
      <c r="H1286" s="7"/>
      <c r="I1286" s="7"/>
      <c r="J1286" s="7"/>
      <c r="K1286" s="7">
        <v>0.99099999999999999</v>
      </c>
      <c r="L1286" s="7">
        <v>199</v>
      </c>
      <c r="M1286" s="7">
        <v>0</v>
      </c>
      <c r="N1286" s="7"/>
      <c r="O1286">
        <v>3.2090000000000001</v>
      </c>
      <c r="P1286">
        <v>-5.1740000000000004</v>
      </c>
      <c r="Q1286">
        <v>16</v>
      </c>
      <c r="S1286">
        <v>15.1</v>
      </c>
      <c r="T1286">
        <v>0</v>
      </c>
      <c r="U1286">
        <v>100</v>
      </c>
      <c r="V1286">
        <v>604.29999999999995</v>
      </c>
      <c r="W1286">
        <v>24.27</v>
      </c>
      <c r="Y1286">
        <v>13.42</v>
      </c>
    </row>
    <row r="1287" spans="1:25" x14ac:dyDescent="0.25">
      <c r="A1287">
        <v>2006</v>
      </c>
      <c r="B1287">
        <v>174</v>
      </c>
      <c r="C1287">
        <v>2200</v>
      </c>
      <c r="D1287" s="7">
        <v>-1.2450000000000001</v>
      </c>
      <c r="E1287" s="7">
        <v>-31.33</v>
      </c>
      <c r="F1287" s="7">
        <v>12.45</v>
      </c>
      <c r="G1287" s="7">
        <v>12.47</v>
      </c>
      <c r="H1287" s="7"/>
      <c r="I1287" s="7"/>
      <c r="J1287" s="7"/>
      <c r="K1287" s="7">
        <v>1.0429999999999999</v>
      </c>
      <c r="L1287" s="7">
        <v>201.5</v>
      </c>
      <c r="M1287" s="7">
        <v>0</v>
      </c>
      <c r="N1287" s="7"/>
      <c r="O1287">
        <v>-11.63</v>
      </c>
      <c r="P1287">
        <v>-11.46</v>
      </c>
      <c r="Q1287">
        <v>15.9</v>
      </c>
      <c r="S1287">
        <v>15.12</v>
      </c>
      <c r="T1287">
        <v>0</v>
      </c>
      <c r="U1287">
        <v>99.7</v>
      </c>
      <c r="V1287">
        <v>608.1</v>
      </c>
      <c r="W1287">
        <v>24.44</v>
      </c>
      <c r="Y1287">
        <v>13.32</v>
      </c>
    </row>
    <row r="1288" spans="1:25" x14ac:dyDescent="0.25">
      <c r="A1288">
        <v>2006</v>
      </c>
      <c r="B1288">
        <v>174</v>
      </c>
      <c r="C1288">
        <v>2300</v>
      </c>
      <c r="D1288" s="7">
        <v>-2.9670000000000001</v>
      </c>
      <c r="E1288" s="7">
        <v>-50.51</v>
      </c>
      <c r="F1288" s="7">
        <v>11.3</v>
      </c>
      <c r="G1288" s="7">
        <v>11.11</v>
      </c>
      <c r="H1288" s="7"/>
      <c r="I1288" s="7"/>
      <c r="J1288" s="7"/>
      <c r="K1288" s="7">
        <v>1.05</v>
      </c>
      <c r="L1288" s="7">
        <v>230.7</v>
      </c>
      <c r="M1288" s="7">
        <v>0</v>
      </c>
      <c r="N1288" s="7"/>
      <c r="O1288">
        <v>-12.16</v>
      </c>
      <c r="P1288">
        <v>-11.47</v>
      </c>
      <c r="Q1288">
        <v>15.76</v>
      </c>
      <c r="S1288">
        <v>15.1</v>
      </c>
      <c r="T1288">
        <v>0</v>
      </c>
      <c r="U1288">
        <v>102.2</v>
      </c>
      <c r="V1288">
        <v>606.4</v>
      </c>
      <c r="W1288">
        <v>24.37</v>
      </c>
      <c r="Y1288">
        <v>13.25</v>
      </c>
    </row>
    <row r="1289" spans="1:25" x14ac:dyDescent="0.25">
      <c r="A1289">
        <v>2006</v>
      </c>
      <c r="B1289">
        <v>174</v>
      </c>
      <c r="C1289">
        <v>2400</v>
      </c>
      <c r="D1289" s="7">
        <v>-3.153</v>
      </c>
      <c r="E1289" s="7">
        <v>-51.21</v>
      </c>
      <c r="F1289" s="7">
        <v>10.15</v>
      </c>
      <c r="G1289" s="7">
        <v>9.93</v>
      </c>
      <c r="H1289" s="7"/>
      <c r="I1289" s="7"/>
      <c r="J1289" s="7"/>
      <c r="K1289" s="7">
        <v>0.75700000000000001</v>
      </c>
      <c r="L1289" s="7">
        <v>260.8</v>
      </c>
      <c r="M1289" s="7">
        <v>0</v>
      </c>
      <c r="N1289" s="7"/>
      <c r="O1289">
        <v>-12.17</v>
      </c>
      <c r="P1289">
        <v>-11.47</v>
      </c>
      <c r="Q1289">
        <v>15.59</v>
      </c>
      <c r="S1289">
        <v>15.05</v>
      </c>
      <c r="T1289">
        <v>0</v>
      </c>
      <c r="U1289">
        <v>102.8</v>
      </c>
      <c r="V1289">
        <v>624.4</v>
      </c>
      <c r="W1289">
        <v>25.16</v>
      </c>
      <c r="Y1289">
        <v>13.17</v>
      </c>
    </row>
    <row r="1290" spans="1:25" x14ac:dyDescent="0.25">
      <c r="A1290">
        <v>2006</v>
      </c>
      <c r="B1290">
        <v>175</v>
      </c>
      <c r="C1290">
        <v>100</v>
      </c>
      <c r="D1290" s="7">
        <v>-2.8039999999999998</v>
      </c>
      <c r="E1290" s="7">
        <v>-30.44</v>
      </c>
      <c r="F1290" s="7">
        <v>7.96</v>
      </c>
      <c r="G1290" s="7">
        <v>7.71</v>
      </c>
      <c r="H1290" s="7"/>
      <c r="I1290" s="7"/>
      <c r="J1290" s="7"/>
      <c r="K1290" s="7">
        <v>0.28100000000000003</v>
      </c>
      <c r="L1290" s="7">
        <v>235.2</v>
      </c>
      <c r="M1290" s="7">
        <v>0</v>
      </c>
      <c r="N1290" s="7"/>
      <c r="O1290">
        <v>-12.17</v>
      </c>
      <c r="P1290">
        <v>-11.48</v>
      </c>
      <c r="Q1290">
        <v>15.37</v>
      </c>
      <c r="S1290">
        <v>14.97</v>
      </c>
      <c r="T1290">
        <v>0</v>
      </c>
      <c r="U1290">
        <v>103.3</v>
      </c>
      <c r="V1290">
        <v>615.9</v>
      </c>
      <c r="W1290">
        <v>24.79</v>
      </c>
      <c r="Y1290">
        <v>13.11</v>
      </c>
    </row>
    <row r="1291" spans="1:25" x14ac:dyDescent="0.25">
      <c r="A1291">
        <v>2006</v>
      </c>
      <c r="B1291">
        <v>175</v>
      </c>
      <c r="C1291">
        <v>200</v>
      </c>
      <c r="D1291" s="7">
        <v>-0.58899999999999997</v>
      </c>
      <c r="E1291" s="7">
        <v>-13.4</v>
      </c>
      <c r="F1291" s="7">
        <v>8.85</v>
      </c>
      <c r="G1291" s="7">
        <v>8.7200000000000006</v>
      </c>
      <c r="H1291" s="7"/>
      <c r="I1291" s="7"/>
      <c r="J1291" s="7"/>
      <c r="K1291" s="7">
        <v>0.14099999999999999</v>
      </c>
      <c r="L1291" s="7">
        <v>180.6</v>
      </c>
      <c r="M1291" s="7">
        <v>0</v>
      </c>
      <c r="N1291" s="7"/>
      <c r="O1291">
        <v>-12.17</v>
      </c>
      <c r="P1291">
        <v>-11.48</v>
      </c>
      <c r="Q1291">
        <v>15.18</v>
      </c>
      <c r="S1291">
        <v>14.92</v>
      </c>
      <c r="T1291">
        <v>0</v>
      </c>
      <c r="U1291">
        <v>101.7</v>
      </c>
      <c r="V1291">
        <v>607.29999999999995</v>
      </c>
      <c r="W1291">
        <v>24.4</v>
      </c>
      <c r="Y1291">
        <v>13.05</v>
      </c>
    </row>
    <row r="1292" spans="1:25" x14ac:dyDescent="0.25">
      <c r="A1292">
        <v>2006</v>
      </c>
      <c r="B1292">
        <v>175</v>
      </c>
      <c r="C1292">
        <v>300</v>
      </c>
      <c r="D1292" s="7">
        <v>-0.57299999999999995</v>
      </c>
      <c r="E1292" s="7">
        <v>-12.33</v>
      </c>
      <c r="F1292" s="7">
        <v>9.93</v>
      </c>
      <c r="G1292" s="7">
        <v>9.82</v>
      </c>
      <c r="H1292" s="7"/>
      <c r="I1292" s="7"/>
      <c r="J1292" s="7"/>
      <c r="K1292" s="7">
        <v>0.105</v>
      </c>
      <c r="L1292" s="7">
        <v>283.8</v>
      </c>
      <c r="M1292" s="7">
        <v>0</v>
      </c>
      <c r="N1292" s="7"/>
      <c r="O1292">
        <v>-12.17</v>
      </c>
      <c r="P1292">
        <v>-11.48</v>
      </c>
      <c r="Q1292">
        <v>15</v>
      </c>
      <c r="S1292">
        <v>14.83</v>
      </c>
      <c r="T1292">
        <v>0</v>
      </c>
      <c r="U1292">
        <v>101.3</v>
      </c>
      <c r="V1292">
        <v>607.6</v>
      </c>
      <c r="W1292">
        <v>24.42</v>
      </c>
      <c r="Y1292">
        <v>12.99</v>
      </c>
    </row>
    <row r="1293" spans="1:25" x14ac:dyDescent="0.25">
      <c r="A1293">
        <v>2006</v>
      </c>
      <c r="B1293">
        <v>175</v>
      </c>
      <c r="C1293">
        <v>400</v>
      </c>
      <c r="D1293" s="7">
        <v>-0.29399999999999998</v>
      </c>
      <c r="E1293" s="7">
        <v>-11.96</v>
      </c>
      <c r="F1293" s="7">
        <v>10.25</v>
      </c>
      <c r="G1293" s="7">
        <v>10.18</v>
      </c>
      <c r="H1293" s="7"/>
      <c r="I1293" s="7"/>
      <c r="J1293" s="7"/>
      <c r="K1293" s="7">
        <v>0.17100000000000001</v>
      </c>
      <c r="L1293" s="7">
        <v>233.4</v>
      </c>
      <c r="M1293" s="7">
        <v>0</v>
      </c>
      <c r="N1293" s="7"/>
      <c r="O1293">
        <v>-11.69</v>
      </c>
      <c r="P1293">
        <v>-11.35</v>
      </c>
      <c r="Q1293">
        <v>14.87</v>
      </c>
      <c r="S1293">
        <v>14.73</v>
      </c>
      <c r="T1293">
        <v>0</v>
      </c>
      <c r="U1293">
        <v>100.9</v>
      </c>
      <c r="V1293">
        <v>608.5</v>
      </c>
      <c r="W1293">
        <v>24.46</v>
      </c>
      <c r="Y1293">
        <v>12.95</v>
      </c>
    </row>
    <row r="1294" spans="1:25" x14ac:dyDescent="0.25">
      <c r="A1294">
        <v>2006</v>
      </c>
      <c r="B1294">
        <v>175</v>
      </c>
      <c r="C1294">
        <v>500</v>
      </c>
      <c r="D1294" s="7">
        <v>8.73</v>
      </c>
      <c r="E1294" s="7">
        <v>-6.2960000000000003</v>
      </c>
      <c r="F1294" s="7">
        <v>10.41</v>
      </c>
      <c r="G1294" s="7">
        <v>10.39</v>
      </c>
      <c r="H1294" s="7"/>
      <c r="I1294" s="7"/>
      <c r="J1294" s="7"/>
      <c r="K1294" s="7">
        <v>0.44700000000000001</v>
      </c>
      <c r="L1294" s="7">
        <v>233</v>
      </c>
      <c r="M1294" s="7">
        <v>0</v>
      </c>
      <c r="N1294" s="7"/>
      <c r="O1294">
        <v>0.64800000000000002</v>
      </c>
      <c r="P1294">
        <v>-7.48</v>
      </c>
      <c r="Q1294">
        <v>14.77</v>
      </c>
      <c r="S1294">
        <v>14.64</v>
      </c>
      <c r="T1294">
        <v>0</v>
      </c>
      <c r="U1294">
        <v>100.2</v>
      </c>
      <c r="V1294">
        <v>607</v>
      </c>
      <c r="W1294">
        <v>24.39</v>
      </c>
      <c r="Y1294">
        <v>12.92</v>
      </c>
    </row>
    <row r="1295" spans="1:25" x14ac:dyDescent="0.25">
      <c r="A1295">
        <v>2006</v>
      </c>
      <c r="B1295">
        <v>175</v>
      </c>
      <c r="C1295">
        <v>600</v>
      </c>
      <c r="D1295" s="7">
        <v>41.81</v>
      </c>
      <c r="E1295" s="7">
        <v>11.92</v>
      </c>
      <c r="F1295" s="7">
        <v>10.77</v>
      </c>
      <c r="G1295" s="7">
        <v>10.8</v>
      </c>
      <c r="H1295" s="7"/>
      <c r="I1295" s="7"/>
      <c r="J1295" s="7"/>
      <c r="K1295" s="7">
        <v>0.63700000000000001</v>
      </c>
      <c r="L1295" s="7">
        <v>236.5</v>
      </c>
      <c r="M1295" s="7">
        <v>0</v>
      </c>
      <c r="N1295" s="7"/>
      <c r="O1295">
        <v>44.58</v>
      </c>
      <c r="P1295">
        <v>6.4539999999999997</v>
      </c>
      <c r="Q1295">
        <v>14.66</v>
      </c>
      <c r="S1295">
        <v>14.52</v>
      </c>
      <c r="T1295">
        <v>0</v>
      </c>
      <c r="U1295">
        <v>99.6</v>
      </c>
      <c r="V1295">
        <v>608.70000000000005</v>
      </c>
      <c r="W1295">
        <v>24.47</v>
      </c>
      <c r="Y1295">
        <v>12.95</v>
      </c>
    </row>
    <row r="1296" spans="1:25" x14ac:dyDescent="0.25">
      <c r="A1296">
        <v>2006</v>
      </c>
      <c r="B1296">
        <v>175</v>
      </c>
      <c r="C1296">
        <v>700</v>
      </c>
      <c r="D1296" s="7">
        <v>104.2</v>
      </c>
      <c r="E1296" s="7">
        <v>49.17</v>
      </c>
      <c r="F1296" s="7">
        <v>11.14</v>
      </c>
      <c r="G1296" s="7">
        <v>11.51</v>
      </c>
      <c r="H1296" s="7"/>
      <c r="I1296" s="7"/>
      <c r="J1296" s="7"/>
      <c r="K1296" s="7">
        <v>0.84099999999999997</v>
      </c>
      <c r="L1296" s="7">
        <v>280.5</v>
      </c>
      <c r="M1296" s="7">
        <v>0</v>
      </c>
      <c r="N1296" s="7"/>
      <c r="O1296">
        <v>126.8</v>
      </c>
      <c r="P1296">
        <v>32.71</v>
      </c>
      <c r="Q1296">
        <v>14.62</v>
      </c>
      <c r="S1296">
        <v>14.46</v>
      </c>
      <c r="T1296">
        <v>0</v>
      </c>
      <c r="U1296">
        <v>95.7</v>
      </c>
      <c r="V1296">
        <v>603.1</v>
      </c>
      <c r="W1296">
        <v>24.22</v>
      </c>
      <c r="Y1296">
        <v>13.43</v>
      </c>
    </row>
    <row r="1297" spans="1:25" x14ac:dyDescent="0.25">
      <c r="A1297">
        <v>2006</v>
      </c>
      <c r="B1297">
        <v>175</v>
      </c>
      <c r="C1297">
        <v>800</v>
      </c>
      <c r="D1297" s="7">
        <v>158.6</v>
      </c>
      <c r="E1297" s="7">
        <v>86.7</v>
      </c>
      <c r="F1297" s="7">
        <v>11.55</v>
      </c>
      <c r="G1297" s="7">
        <v>12.02</v>
      </c>
      <c r="H1297" s="7"/>
      <c r="I1297" s="7"/>
      <c r="J1297" s="7"/>
      <c r="K1297" s="7">
        <v>1.1830000000000001</v>
      </c>
      <c r="L1297" s="7">
        <v>316.39999999999998</v>
      </c>
      <c r="M1297" s="7">
        <v>0</v>
      </c>
      <c r="N1297" s="7"/>
      <c r="O1297">
        <v>198.8</v>
      </c>
      <c r="P1297">
        <v>55.26</v>
      </c>
      <c r="Q1297">
        <v>14.59</v>
      </c>
      <c r="S1297">
        <v>14.42</v>
      </c>
      <c r="T1297">
        <v>0</v>
      </c>
      <c r="U1297">
        <v>94.7</v>
      </c>
      <c r="V1297">
        <v>601.29999999999995</v>
      </c>
      <c r="W1297">
        <v>24.14</v>
      </c>
      <c r="Y1297">
        <v>13.7</v>
      </c>
    </row>
    <row r="1298" spans="1:25" x14ac:dyDescent="0.25">
      <c r="A1298">
        <v>2006</v>
      </c>
      <c r="B1298">
        <v>175</v>
      </c>
      <c r="C1298">
        <v>900</v>
      </c>
      <c r="D1298" s="7">
        <v>267.39999999999998</v>
      </c>
      <c r="E1298" s="7">
        <v>163</v>
      </c>
      <c r="F1298" s="7">
        <v>12.8</v>
      </c>
      <c r="G1298" s="7">
        <v>13.21</v>
      </c>
      <c r="H1298" s="7">
        <f>AVERAGE(G1298:G1321)</f>
        <v>11.473500000000001</v>
      </c>
      <c r="I1298" s="7">
        <f>MIN(G1298:G1321)</f>
        <v>4.2450000000000001</v>
      </c>
      <c r="J1298" s="7">
        <f>MAX(G1298:G1321)</f>
        <v>17.43</v>
      </c>
      <c r="K1298" s="7">
        <v>0.82199999999999995</v>
      </c>
      <c r="L1298" s="7">
        <v>300.39999999999998</v>
      </c>
      <c r="M1298" s="7">
        <v>0</v>
      </c>
      <c r="N1298" s="7">
        <f>SUM(M1298:M1321)</f>
        <v>0</v>
      </c>
      <c r="O1298">
        <v>345.8</v>
      </c>
      <c r="P1298">
        <v>102.1</v>
      </c>
      <c r="Q1298">
        <v>14.65</v>
      </c>
      <c r="S1298">
        <v>14.4</v>
      </c>
      <c r="T1298">
        <v>0</v>
      </c>
      <c r="U1298">
        <v>95.5</v>
      </c>
      <c r="V1298">
        <v>600.79999999999995</v>
      </c>
      <c r="W1298">
        <v>24.12</v>
      </c>
      <c r="Y1298">
        <v>13.95</v>
      </c>
    </row>
    <row r="1299" spans="1:25" x14ac:dyDescent="0.25">
      <c r="A1299">
        <v>2006</v>
      </c>
      <c r="B1299">
        <v>175</v>
      </c>
      <c r="C1299">
        <v>1000</v>
      </c>
      <c r="D1299" s="7">
        <v>356.9</v>
      </c>
      <c r="E1299" s="7">
        <v>221.5</v>
      </c>
      <c r="F1299" s="7">
        <v>14.14</v>
      </c>
      <c r="G1299" s="7">
        <v>14.11</v>
      </c>
      <c r="H1299" s="7"/>
      <c r="I1299" s="7"/>
      <c r="J1299" s="7"/>
      <c r="K1299" s="7">
        <v>0.96199999999999997</v>
      </c>
      <c r="L1299" s="7">
        <v>306.7</v>
      </c>
      <c r="M1299" s="7">
        <v>0</v>
      </c>
      <c r="N1299" s="7"/>
      <c r="O1299">
        <v>459.3</v>
      </c>
      <c r="P1299">
        <v>134.4</v>
      </c>
      <c r="Q1299">
        <v>14.73</v>
      </c>
      <c r="S1299">
        <v>14.39</v>
      </c>
      <c r="T1299">
        <v>0</v>
      </c>
      <c r="U1299">
        <v>100.3</v>
      </c>
      <c r="V1299">
        <v>600</v>
      </c>
      <c r="W1299">
        <v>24.08</v>
      </c>
      <c r="Y1299">
        <v>14.1</v>
      </c>
    </row>
    <row r="1300" spans="1:25" x14ac:dyDescent="0.25">
      <c r="A1300">
        <v>2006</v>
      </c>
      <c r="B1300">
        <v>175</v>
      </c>
      <c r="C1300">
        <v>1100</v>
      </c>
      <c r="D1300" s="7">
        <v>604.1</v>
      </c>
      <c r="E1300" s="7">
        <v>396.2</v>
      </c>
      <c r="F1300" s="7">
        <v>16.420000000000002</v>
      </c>
      <c r="G1300" s="7">
        <v>16.23</v>
      </c>
      <c r="H1300" s="7"/>
      <c r="I1300" s="7"/>
      <c r="J1300" s="7"/>
      <c r="K1300" s="7">
        <v>1.032</v>
      </c>
      <c r="L1300" s="7">
        <v>304.2</v>
      </c>
      <c r="M1300" s="7">
        <v>0</v>
      </c>
      <c r="N1300" s="7"/>
      <c r="O1300">
        <v>768</v>
      </c>
      <c r="P1300">
        <v>213</v>
      </c>
      <c r="Q1300">
        <v>14.9</v>
      </c>
      <c r="S1300">
        <v>14.46</v>
      </c>
      <c r="T1300">
        <v>0</v>
      </c>
      <c r="U1300">
        <v>101.9</v>
      </c>
      <c r="V1300">
        <v>598.9</v>
      </c>
      <c r="W1300">
        <v>24.03</v>
      </c>
      <c r="Y1300">
        <v>14.49</v>
      </c>
    </row>
    <row r="1301" spans="1:25" x14ac:dyDescent="0.25">
      <c r="A1301">
        <v>2006</v>
      </c>
      <c r="B1301">
        <v>175</v>
      </c>
      <c r="C1301">
        <v>1200</v>
      </c>
      <c r="D1301" s="7">
        <v>337.8</v>
      </c>
      <c r="E1301" s="7">
        <v>202.4</v>
      </c>
      <c r="F1301" s="7">
        <v>15.91</v>
      </c>
      <c r="G1301" s="7">
        <v>15.66</v>
      </c>
      <c r="H1301" s="7"/>
      <c r="I1301" s="7"/>
      <c r="J1301" s="7"/>
      <c r="K1301" s="7">
        <v>1.27</v>
      </c>
      <c r="L1301" s="7">
        <v>272.7</v>
      </c>
      <c r="M1301" s="7">
        <v>0</v>
      </c>
      <c r="N1301" s="7"/>
      <c r="O1301">
        <v>440.7</v>
      </c>
      <c r="P1301">
        <v>137.19999999999999</v>
      </c>
      <c r="Q1301">
        <v>15.08</v>
      </c>
      <c r="S1301">
        <v>14.5</v>
      </c>
      <c r="T1301">
        <v>0</v>
      </c>
      <c r="U1301">
        <v>102.6</v>
      </c>
      <c r="V1301">
        <v>598.6</v>
      </c>
      <c r="W1301">
        <v>24.02</v>
      </c>
      <c r="Y1301">
        <v>14.12</v>
      </c>
    </row>
    <row r="1302" spans="1:25" x14ac:dyDescent="0.25">
      <c r="A1302">
        <v>2006</v>
      </c>
      <c r="B1302">
        <v>175</v>
      </c>
      <c r="C1302">
        <v>1300</v>
      </c>
      <c r="D1302" s="7">
        <v>411.7</v>
      </c>
      <c r="E1302" s="7">
        <v>246.8</v>
      </c>
      <c r="F1302" s="7">
        <v>15.89</v>
      </c>
      <c r="G1302" s="7">
        <v>15.75</v>
      </c>
      <c r="H1302" s="7"/>
      <c r="I1302" s="7"/>
      <c r="J1302" s="7"/>
      <c r="K1302" s="7">
        <v>1.4970000000000001</v>
      </c>
      <c r="L1302" s="7">
        <v>350.9</v>
      </c>
      <c r="M1302" s="7">
        <v>0</v>
      </c>
      <c r="N1302" s="7"/>
      <c r="O1302">
        <v>525.70000000000005</v>
      </c>
      <c r="P1302">
        <v>160.30000000000001</v>
      </c>
      <c r="Q1302">
        <v>15.27</v>
      </c>
      <c r="S1302">
        <v>14.6</v>
      </c>
      <c r="T1302">
        <v>0</v>
      </c>
      <c r="U1302">
        <v>101.4</v>
      </c>
      <c r="V1302">
        <v>601.29999999999995</v>
      </c>
      <c r="W1302">
        <v>24.14</v>
      </c>
      <c r="Y1302">
        <v>14.15</v>
      </c>
    </row>
    <row r="1303" spans="1:25" x14ac:dyDescent="0.25">
      <c r="A1303">
        <v>2006</v>
      </c>
      <c r="B1303">
        <v>175</v>
      </c>
      <c r="C1303">
        <v>1400</v>
      </c>
      <c r="D1303" s="7">
        <v>594.29999999999995</v>
      </c>
      <c r="E1303" s="7">
        <v>363.3</v>
      </c>
      <c r="F1303" s="7">
        <v>17.22</v>
      </c>
      <c r="G1303" s="7">
        <v>16.989999999999998</v>
      </c>
      <c r="H1303" s="7"/>
      <c r="I1303" s="7"/>
      <c r="J1303" s="7"/>
      <c r="K1303" s="7">
        <v>1.369</v>
      </c>
      <c r="L1303" s="7">
        <v>0</v>
      </c>
      <c r="M1303" s="7">
        <v>0</v>
      </c>
      <c r="N1303" s="7"/>
      <c r="O1303">
        <v>734</v>
      </c>
      <c r="P1303">
        <v>215.2</v>
      </c>
      <c r="Q1303">
        <v>15.51</v>
      </c>
      <c r="S1303">
        <v>14.8</v>
      </c>
      <c r="T1303">
        <v>0</v>
      </c>
      <c r="U1303">
        <v>102.3</v>
      </c>
      <c r="V1303">
        <v>599.79999999999995</v>
      </c>
      <c r="W1303">
        <v>24.07</v>
      </c>
      <c r="Y1303">
        <v>14.4</v>
      </c>
    </row>
    <row r="1304" spans="1:25" x14ac:dyDescent="0.25">
      <c r="A1304">
        <v>2006</v>
      </c>
      <c r="B1304">
        <v>175</v>
      </c>
      <c r="C1304">
        <v>1500</v>
      </c>
      <c r="D1304" s="7">
        <v>495.6</v>
      </c>
      <c r="E1304" s="7">
        <v>297.39999999999998</v>
      </c>
      <c r="F1304" s="7">
        <v>17.77</v>
      </c>
      <c r="G1304" s="7">
        <v>17.43</v>
      </c>
      <c r="H1304" s="7"/>
      <c r="I1304" s="7"/>
      <c r="J1304" s="7"/>
      <c r="K1304" s="7">
        <v>1.431</v>
      </c>
      <c r="L1304" s="7">
        <v>350.9</v>
      </c>
      <c r="M1304" s="7">
        <v>0</v>
      </c>
      <c r="N1304" s="7"/>
      <c r="O1304">
        <v>620.79999999999995</v>
      </c>
      <c r="P1304">
        <v>179.6</v>
      </c>
      <c r="Q1304">
        <v>15.72</v>
      </c>
      <c r="S1304">
        <v>14.95</v>
      </c>
      <c r="T1304">
        <v>0</v>
      </c>
      <c r="U1304">
        <v>103.4</v>
      </c>
      <c r="V1304">
        <v>597.4</v>
      </c>
      <c r="W1304">
        <v>23.97</v>
      </c>
      <c r="Y1304">
        <v>14.21</v>
      </c>
    </row>
    <row r="1305" spans="1:25" x14ac:dyDescent="0.25">
      <c r="A1305">
        <v>2006</v>
      </c>
      <c r="B1305">
        <v>175</v>
      </c>
      <c r="C1305">
        <v>1600</v>
      </c>
      <c r="D1305" s="7">
        <v>339.9</v>
      </c>
      <c r="E1305" s="7">
        <v>194.3</v>
      </c>
      <c r="F1305" s="7">
        <v>16.649999999999999</v>
      </c>
      <c r="G1305" s="7">
        <v>16.399999999999999</v>
      </c>
      <c r="H1305" s="7"/>
      <c r="I1305" s="7"/>
      <c r="J1305" s="7"/>
      <c r="K1305" s="7">
        <v>1.6859999999999999</v>
      </c>
      <c r="L1305" s="7">
        <v>348.6</v>
      </c>
      <c r="M1305" s="7">
        <v>0</v>
      </c>
      <c r="N1305" s="7"/>
      <c r="O1305">
        <v>426.3</v>
      </c>
      <c r="P1305">
        <v>130</v>
      </c>
      <c r="Q1305">
        <v>15.93</v>
      </c>
      <c r="S1305">
        <v>15.05</v>
      </c>
      <c r="T1305">
        <v>0</v>
      </c>
      <c r="U1305">
        <v>102.5</v>
      </c>
      <c r="V1305">
        <v>592</v>
      </c>
      <c r="W1305">
        <v>23.73</v>
      </c>
      <c r="Y1305">
        <v>14.06</v>
      </c>
    </row>
    <row r="1306" spans="1:25" x14ac:dyDescent="0.25">
      <c r="A1306">
        <v>2006</v>
      </c>
      <c r="B1306">
        <v>175</v>
      </c>
      <c r="C1306">
        <v>1700</v>
      </c>
      <c r="D1306" s="7">
        <v>344</v>
      </c>
      <c r="E1306" s="7">
        <v>183.6</v>
      </c>
      <c r="F1306" s="7">
        <v>16.95</v>
      </c>
      <c r="G1306" s="7">
        <v>16.34</v>
      </c>
      <c r="H1306" s="7"/>
      <c r="I1306" s="7"/>
      <c r="J1306" s="7"/>
      <c r="K1306" s="7">
        <v>1.5640000000000001</v>
      </c>
      <c r="L1306" s="7">
        <v>0</v>
      </c>
      <c r="M1306" s="7">
        <v>0</v>
      </c>
      <c r="N1306" s="7"/>
      <c r="O1306">
        <v>413.5</v>
      </c>
      <c r="P1306">
        <v>149.4</v>
      </c>
      <c r="Q1306">
        <v>16.14</v>
      </c>
      <c r="S1306">
        <v>15.26</v>
      </c>
      <c r="T1306">
        <v>0</v>
      </c>
      <c r="U1306">
        <v>106.1</v>
      </c>
      <c r="V1306">
        <v>589.79999999999995</v>
      </c>
      <c r="W1306">
        <v>23.63</v>
      </c>
      <c r="Y1306">
        <v>13.98</v>
      </c>
    </row>
    <row r="1307" spans="1:25" x14ac:dyDescent="0.25">
      <c r="A1307">
        <v>2006</v>
      </c>
      <c r="B1307">
        <v>175</v>
      </c>
      <c r="C1307">
        <v>1800</v>
      </c>
      <c r="D1307" s="7">
        <v>208.3</v>
      </c>
      <c r="E1307" s="7">
        <v>94.9</v>
      </c>
      <c r="F1307" s="7">
        <v>16.100000000000001</v>
      </c>
      <c r="G1307" s="7">
        <v>15.73</v>
      </c>
      <c r="H1307" s="7"/>
      <c r="I1307" s="7"/>
      <c r="J1307" s="7"/>
      <c r="K1307" s="7">
        <v>1.33</v>
      </c>
      <c r="L1307" s="7">
        <v>91.9</v>
      </c>
      <c r="M1307" s="7">
        <v>0</v>
      </c>
      <c r="N1307" s="7"/>
      <c r="O1307">
        <v>249.8</v>
      </c>
      <c r="P1307">
        <v>92.1</v>
      </c>
      <c r="Q1307">
        <v>16.18</v>
      </c>
      <c r="S1307">
        <v>15.35</v>
      </c>
      <c r="T1307">
        <v>0</v>
      </c>
      <c r="U1307">
        <v>103.9</v>
      </c>
      <c r="V1307">
        <v>587.9</v>
      </c>
      <c r="W1307">
        <v>23.54</v>
      </c>
      <c r="Y1307">
        <v>13.79</v>
      </c>
    </row>
    <row r="1308" spans="1:25" x14ac:dyDescent="0.25">
      <c r="A1308">
        <v>2006</v>
      </c>
      <c r="B1308">
        <v>175</v>
      </c>
      <c r="C1308">
        <v>1900</v>
      </c>
      <c r="D1308" s="7">
        <v>74.599999999999994</v>
      </c>
      <c r="E1308" s="7">
        <v>23.17</v>
      </c>
      <c r="F1308" s="7">
        <v>14.65</v>
      </c>
      <c r="G1308" s="7">
        <v>14.44</v>
      </c>
      <c r="H1308" s="7"/>
      <c r="I1308" s="7"/>
      <c r="J1308" s="7"/>
      <c r="K1308" s="7">
        <v>1.948</v>
      </c>
      <c r="L1308" s="7">
        <v>91</v>
      </c>
      <c r="M1308" s="7">
        <v>0</v>
      </c>
      <c r="N1308" s="7"/>
      <c r="O1308">
        <v>89</v>
      </c>
      <c r="P1308">
        <v>23.11</v>
      </c>
      <c r="Q1308">
        <v>16.21</v>
      </c>
      <c r="S1308">
        <v>15.42</v>
      </c>
      <c r="T1308">
        <v>0</v>
      </c>
      <c r="U1308">
        <v>102.2</v>
      </c>
      <c r="V1308">
        <v>586.4</v>
      </c>
      <c r="W1308">
        <v>23.48</v>
      </c>
      <c r="Y1308">
        <v>13.66</v>
      </c>
    </row>
    <row r="1309" spans="1:25" x14ac:dyDescent="0.25">
      <c r="A1309">
        <v>2006</v>
      </c>
      <c r="B1309">
        <v>175</v>
      </c>
      <c r="C1309">
        <v>2000</v>
      </c>
      <c r="D1309" s="7">
        <v>47.9</v>
      </c>
      <c r="E1309" s="7">
        <v>5.8319999999999999</v>
      </c>
      <c r="F1309" s="7">
        <v>13.67</v>
      </c>
      <c r="G1309" s="7">
        <v>13.59</v>
      </c>
      <c r="H1309" s="7"/>
      <c r="I1309" s="7"/>
      <c r="J1309" s="7"/>
      <c r="K1309" s="7">
        <v>1.665</v>
      </c>
      <c r="L1309" s="7">
        <v>93.5</v>
      </c>
      <c r="M1309" s="7">
        <v>0</v>
      </c>
      <c r="N1309" s="7"/>
      <c r="O1309">
        <v>51.33</v>
      </c>
      <c r="P1309">
        <v>9.27</v>
      </c>
      <c r="Q1309">
        <v>16.16</v>
      </c>
      <c r="S1309">
        <v>15.46</v>
      </c>
      <c r="T1309">
        <v>0</v>
      </c>
      <c r="U1309">
        <v>100.9</v>
      </c>
      <c r="V1309">
        <v>585.4</v>
      </c>
      <c r="W1309">
        <v>23.43</v>
      </c>
      <c r="Y1309">
        <v>13.54</v>
      </c>
    </row>
    <row r="1310" spans="1:25" x14ac:dyDescent="0.25">
      <c r="A1310">
        <v>2006</v>
      </c>
      <c r="B1310">
        <v>175</v>
      </c>
      <c r="C1310">
        <v>2100</v>
      </c>
      <c r="D1310" s="7">
        <v>18.760000000000002</v>
      </c>
      <c r="E1310" s="7">
        <v>-14.88</v>
      </c>
      <c r="F1310" s="7">
        <v>12.74</v>
      </c>
      <c r="G1310" s="7">
        <v>12.86</v>
      </c>
      <c r="H1310" s="7"/>
      <c r="I1310" s="7"/>
      <c r="J1310" s="7"/>
      <c r="K1310" s="7">
        <v>1.107</v>
      </c>
      <c r="L1310" s="7">
        <v>87.7</v>
      </c>
      <c r="M1310" s="7">
        <v>0</v>
      </c>
      <c r="N1310" s="7"/>
      <c r="O1310">
        <v>17.39</v>
      </c>
      <c r="P1310">
        <v>1.61</v>
      </c>
      <c r="Q1310">
        <v>16.07</v>
      </c>
      <c r="S1310">
        <v>15.47</v>
      </c>
      <c r="T1310">
        <v>0</v>
      </c>
      <c r="U1310">
        <v>98.8</v>
      </c>
      <c r="V1310">
        <v>585.5</v>
      </c>
      <c r="W1310">
        <v>23.44</v>
      </c>
      <c r="Y1310">
        <v>13.42</v>
      </c>
    </row>
    <row r="1311" spans="1:25" x14ac:dyDescent="0.25">
      <c r="A1311">
        <v>2006</v>
      </c>
      <c r="B1311">
        <v>175</v>
      </c>
      <c r="C1311">
        <v>2200</v>
      </c>
      <c r="D1311" s="7">
        <v>-2.5369999999999999</v>
      </c>
      <c r="E1311" s="7">
        <v>-56.69</v>
      </c>
      <c r="F1311" s="7">
        <v>10.34</v>
      </c>
      <c r="G1311" s="7">
        <v>10.02</v>
      </c>
      <c r="H1311" s="7"/>
      <c r="I1311" s="7"/>
      <c r="J1311" s="7"/>
      <c r="K1311" s="7">
        <v>0.379</v>
      </c>
      <c r="L1311" s="7">
        <v>103.6</v>
      </c>
      <c r="M1311" s="7">
        <v>0</v>
      </c>
      <c r="N1311" s="7"/>
      <c r="O1311">
        <v>-10.050000000000001</v>
      </c>
      <c r="P1311">
        <v>-10.67</v>
      </c>
      <c r="Q1311">
        <v>15.94</v>
      </c>
      <c r="S1311">
        <v>15.42</v>
      </c>
      <c r="T1311">
        <v>0</v>
      </c>
      <c r="U1311">
        <v>104</v>
      </c>
      <c r="V1311">
        <v>585.6</v>
      </c>
      <c r="W1311">
        <v>23.44</v>
      </c>
      <c r="Y1311">
        <v>13.33</v>
      </c>
    </row>
    <row r="1312" spans="1:25" x14ac:dyDescent="0.25">
      <c r="A1312">
        <v>2006</v>
      </c>
      <c r="B1312">
        <v>175</v>
      </c>
      <c r="C1312">
        <v>2300</v>
      </c>
      <c r="D1312" s="7">
        <v>-3.9009999999999998</v>
      </c>
      <c r="E1312" s="7">
        <v>-52.14</v>
      </c>
      <c r="F1312" s="7">
        <v>7.33</v>
      </c>
      <c r="G1312" s="7">
        <v>6.9290000000000003</v>
      </c>
      <c r="H1312" s="7"/>
      <c r="I1312" s="7"/>
      <c r="J1312" s="7"/>
      <c r="K1312" s="7">
        <v>0.13700000000000001</v>
      </c>
      <c r="L1312" s="7">
        <v>284.89999999999998</v>
      </c>
      <c r="M1312" s="7">
        <v>0</v>
      </c>
      <c r="N1312" s="7"/>
      <c r="O1312">
        <v>-12.17</v>
      </c>
      <c r="P1312">
        <v>-11.47</v>
      </c>
      <c r="Q1312">
        <v>15.76</v>
      </c>
      <c r="S1312">
        <v>15.35</v>
      </c>
      <c r="T1312">
        <v>0</v>
      </c>
      <c r="U1312">
        <v>105.6</v>
      </c>
      <c r="V1312">
        <v>596.20000000000005</v>
      </c>
      <c r="W1312">
        <v>23.91</v>
      </c>
      <c r="Y1312">
        <v>13.25</v>
      </c>
    </row>
    <row r="1313" spans="1:25" x14ac:dyDescent="0.25">
      <c r="A1313">
        <v>2006</v>
      </c>
      <c r="B1313">
        <v>175</v>
      </c>
      <c r="C1313">
        <v>2400</v>
      </c>
      <c r="D1313" s="7">
        <v>-3.0670000000000002</v>
      </c>
      <c r="E1313" s="7">
        <v>-40.74</v>
      </c>
      <c r="F1313" s="7">
        <v>5.7720000000000002</v>
      </c>
      <c r="G1313" s="7">
        <v>5.54</v>
      </c>
      <c r="H1313" s="7"/>
      <c r="I1313" s="7"/>
      <c r="J1313" s="7"/>
      <c r="K1313" s="7">
        <v>9.9000000000000005E-2</v>
      </c>
      <c r="L1313" s="7">
        <v>249.1</v>
      </c>
      <c r="M1313" s="7">
        <v>0</v>
      </c>
      <c r="N1313" s="7"/>
      <c r="O1313">
        <v>-12.17</v>
      </c>
      <c r="P1313">
        <v>-11.48</v>
      </c>
      <c r="Q1313">
        <v>15.52</v>
      </c>
      <c r="S1313">
        <v>15.29</v>
      </c>
      <c r="T1313">
        <v>0</v>
      </c>
      <c r="U1313">
        <v>103.4</v>
      </c>
      <c r="V1313">
        <v>603.6</v>
      </c>
      <c r="W1313">
        <v>24.24</v>
      </c>
      <c r="Y1313">
        <v>13.18</v>
      </c>
    </row>
    <row r="1314" spans="1:25" x14ac:dyDescent="0.25">
      <c r="A1314">
        <v>2006</v>
      </c>
      <c r="B1314">
        <v>176</v>
      </c>
      <c r="C1314">
        <v>100</v>
      </c>
      <c r="D1314" s="7">
        <v>-1.974</v>
      </c>
      <c r="E1314" s="7">
        <v>-29.78</v>
      </c>
      <c r="F1314" s="7">
        <v>5.5979999999999999</v>
      </c>
      <c r="G1314" s="7">
        <v>5.4480000000000004</v>
      </c>
      <c r="H1314" s="7"/>
      <c r="I1314" s="7"/>
      <c r="J1314" s="7"/>
      <c r="K1314" s="7">
        <v>0.186</v>
      </c>
      <c r="L1314" s="7">
        <v>249.1</v>
      </c>
      <c r="M1314" s="7">
        <v>0</v>
      </c>
      <c r="N1314" s="7"/>
      <c r="O1314">
        <v>-12.17</v>
      </c>
      <c r="P1314">
        <v>-11.48</v>
      </c>
      <c r="Q1314">
        <v>15.24</v>
      </c>
      <c r="S1314">
        <v>15.17</v>
      </c>
      <c r="T1314">
        <v>0</v>
      </c>
      <c r="U1314">
        <v>102.2</v>
      </c>
      <c r="V1314">
        <v>579.79999999999995</v>
      </c>
      <c r="W1314">
        <v>23.18</v>
      </c>
      <c r="Y1314">
        <v>13.12</v>
      </c>
    </row>
    <row r="1315" spans="1:25" x14ac:dyDescent="0.25">
      <c r="A1315">
        <v>2006</v>
      </c>
      <c r="B1315">
        <v>176</v>
      </c>
      <c r="C1315">
        <v>200</v>
      </c>
      <c r="D1315" s="7">
        <v>-2.6019999999999999</v>
      </c>
      <c r="E1315" s="7">
        <v>-31.99</v>
      </c>
      <c r="F1315" s="7">
        <v>5.4260000000000002</v>
      </c>
      <c r="G1315" s="7">
        <v>5.3419999999999996</v>
      </c>
      <c r="H1315" s="7"/>
      <c r="I1315" s="7"/>
      <c r="J1315" s="7"/>
      <c r="K1315" s="7">
        <v>0.26700000000000002</v>
      </c>
      <c r="L1315" s="7">
        <v>248.4</v>
      </c>
      <c r="M1315" s="7">
        <v>0</v>
      </c>
      <c r="N1315" s="7"/>
      <c r="O1315">
        <v>-12.18</v>
      </c>
      <c r="P1315">
        <v>-11.48</v>
      </c>
      <c r="Q1315">
        <v>15</v>
      </c>
      <c r="S1315">
        <v>15.06</v>
      </c>
      <c r="T1315">
        <v>0</v>
      </c>
      <c r="U1315">
        <v>101.2</v>
      </c>
      <c r="V1315">
        <v>585.9</v>
      </c>
      <c r="W1315">
        <v>23.46</v>
      </c>
      <c r="Y1315">
        <v>13.05</v>
      </c>
    </row>
    <row r="1316" spans="1:25" x14ac:dyDescent="0.25">
      <c r="A1316">
        <v>2006</v>
      </c>
      <c r="B1316">
        <v>176</v>
      </c>
      <c r="C1316">
        <v>300</v>
      </c>
      <c r="D1316" s="7">
        <v>-2.5289999999999999</v>
      </c>
      <c r="E1316" s="7">
        <v>-30.69</v>
      </c>
      <c r="F1316" s="7">
        <v>4.5999999999999996</v>
      </c>
      <c r="G1316" s="7">
        <v>4.5670000000000002</v>
      </c>
      <c r="H1316" s="7"/>
      <c r="I1316" s="7"/>
      <c r="J1316" s="7"/>
      <c r="K1316" s="7">
        <v>0.20499999999999999</v>
      </c>
      <c r="L1316" s="7">
        <v>248.2</v>
      </c>
      <c r="M1316" s="7">
        <v>0</v>
      </c>
      <c r="N1316" s="7"/>
      <c r="O1316">
        <v>-12.18</v>
      </c>
      <c r="P1316">
        <v>-11.48</v>
      </c>
      <c r="Q1316">
        <v>14.73</v>
      </c>
      <c r="S1316">
        <v>14.89</v>
      </c>
      <c r="T1316">
        <v>0</v>
      </c>
      <c r="U1316">
        <v>100.5</v>
      </c>
      <c r="V1316">
        <v>587.29999999999995</v>
      </c>
      <c r="W1316">
        <v>23.52</v>
      </c>
      <c r="Y1316">
        <v>13</v>
      </c>
    </row>
    <row r="1317" spans="1:25" x14ac:dyDescent="0.25">
      <c r="A1317">
        <v>2006</v>
      </c>
      <c r="B1317">
        <v>176</v>
      </c>
      <c r="C1317">
        <v>400</v>
      </c>
      <c r="D1317" s="7">
        <v>-4.9000000000000002E-2</v>
      </c>
      <c r="E1317" s="7">
        <v>-25.71</v>
      </c>
      <c r="F1317" s="7">
        <v>4.2910000000000004</v>
      </c>
      <c r="G1317" s="7">
        <v>4.2450000000000001</v>
      </c>
      <c r="H1317" s="7"/>
      <c r="I1317" s="7"/>
      <c r="J1317" s="7"/>
      <c r="K1317" s="7">
        <v>0.26100000000000001</v>
      </c>
      <c r="L1317" s="7">
        <v>232.9</v>
      </c>
      <c r="M1317" s="7">
        <v>0</v>
      </c>
      <c r="N1317" s="7"/>
      <c r="O1317">
        <v>-8.49</v>
      </c>
      <c r="P1317">
        <v>-10.01</v>
      </c>
      <c r="Q1317">
        <v>14.45</v>
      </c>
      <c r="S1317">
        <v>14.7</v>
      </c>
      <c r="T1317">
        <v>0</v>
      </c>
      <c r="U1317">
        <v>100.7</v>
      </c>
      <c r="V1317">
        <v>585.29999999999995</v>
      </c>
      <c r="W1317">
        <v>23.43</v>
      </c>
      <c r="Y1317">
        <v>12.95</v>
      </c>
    </row>
    <row r="1318" spans="1:25" x14ac:dyDescent="0.25">
      <c r="A1318">
        <v>2006</v>
      </c>
      <c r="B1318">
        <v>176</v>
      </c>
      <c r="C1318">
        <v>500</v>
      </c>
      <c r="D1318" s="7">
        <v>19.62</v>
      </c>
      <c r="E1318" s="7">
        <v>-14.58</v>
      </c>
      <c r="F1318" s="7">
        <v>4.399</v>
      </c>
      <c r="G1318" s="7">
        <v>4.4029999999999996</v>
      </c>
      <c r="H1318" s="7"/>
      <c r="I1318" s="7"/>
      <c r="J1318" s="7"/>
      <c r="K1318" s="7">
        <v>0.19900000000000001</v>
      </c>
      <c r="L1318" s="7">
        <v>226.4</v>
      </c>
      <c r="M1318" s="7">
        <v>0</v>
      </c>
      <c r="N1318" s="7"/>
      <c r="O1318">
        <v>9.27</v>
      </c>
      <c r="P1318">
        <v>-2.5089999999999999</v>
      </c>
      <c r="Q1318">
        <v>14.2</v>
      </c>
      <c r="S1318">
        <v>14.55</v>
      </c>
      <c r="T1318">
        <v>0</v>
      </c>
      <c r="U1318">
        <v>100</v>
      </c>
      <c r="V1318">
        <v>583.20000000000005</v>
      </c>
      <c r="W1318">
        <v>23.34</v>
      </c>
      <c r="Y1318">
        <v>12.91</v>
      </c>
    </row>
    <row r="1319" spans="1:25" x14ac:dyDescent="0.25">
      <c r="A1319">
        <v>2006</v>
      </c>
      <c r="B1319">
        <v>176</v>
      </c>
      <c r="C1319">
        <v>600</v>
      </c>
      <c r="D1319" s="7">
        <v>110.2</v>
      </c>
      <c r="E1319" s="7">
        <v>55.52</v>
      </c>
      <c r="F1319" s="7">
        <v>7.05</v>
      </c>
      <c r="G1319" s="7">
        <v>7.26</v>
      </c>
      <c r="H1319" s="7"/>
      <c r="I1319" s="7"/>
      <c r="J1319" s="7"/>
      <c r="K1319" s="7">
        <v>0.36099999999999999</v>
      </c>
      <c r="L1319" s="7">
        <v>261.89999999999998</v>
      </c>
      <c r="M1319" s="7">
        <v>0</v>
      </c>
      <c r="N1319" s="7"/>
      <c r="O1319">
        <v>131.5</v>
      </c>
      <c r="P1319">
        <v>52.63</v>
      </c>
      <c r="Q1319">
        <v>14.01</v>
      </c>
      <c r="S1319">
        <v>14.44</v>
      </c>
      <c r="T1319">
        <v>0</v>
      </c>
      <c r="U1319">
        <v>97.2</v>
      </c>
      <c r="V1319">
        <v>582.70000000000005</v>
      </c>
      <c r="W1319">
        <v>23.32</v>
      </c>
      <c r="Y1319">
        <v>13.15</v>
      </c>
    </row>
    <row r="1320" spans="1:25" x14ac:dyDescent="0.25">
      <c r="A1320">
        <v>2006</v>
      </c>
      <c r="B1320">
        <v>176</v>
      </c>
      <c r="C1320">
        <v>700</v>
      </c>
      <c r="D1320" s="7">
        <v>221.7</v>
      </c>
      <c r="E1320" s="7">
        <v>164.9</v>
      </c>
      <c r="F1320" s="7">
        <v>9.6</v>
      </c>
      <c r="G1320" s="7">
        <v>10</v>
      </c>
      <c r="H1320" s="7"/>
      <c r="I1320" s="7"/>
      <c r="J1320" s="7"/>
      <c r="K1320" s="7">
        <v>1.1100000000000001</v>
      </c>
      <c r="L1320" s="7">
        <v>313.8</v>
      </c>
      <c r="M1320" s="7">
        <v>0</v>
      </c>
      <c r="N1320" s="7"/>
      <c r="O1320">
        <v>309.2</v>
      </c>
      <c r="P1320">
        <v>118.6</v>
      </c>
      <c r="Q1320">
        <v>13.93</v>
      </c>
      <c r="S1320">
        <v>14.38</v>
      </c>
      <c r="T1320">
        <v>0</v>
      </c>
      <c r="U1320">
        <v>95.1</v>
      </c>
      <c r="V1320">
        <v>582.4</v>
      </c>
      <c r="W1320">
        <v>23.3</v>
      </c>
      <c r="Y1320">
        <v>13.81</v>
      </c>
    </row>
    <row r="1321" spans="1:25" x14ac:dyDescent="0.25">
      <c r="A1321">
        <v>2006</v>
      </c>
      <c r="B1321">
        <v>176</v>
      </c>
      <c r="C1321">
        <v>800</v>
      </c>
      <c r="D1321" s="7">
        <v>400.1</v>
      </c>
      <c r="E1321" s="7">
        <v>286.39999999999998</v>
      </c>
      <c r="F1321" s="7">
        <v>12.26</v>
      </c>
      <c r="G1321" s="7">
        <v>12.87</v>
      </c>
      <c r="H1321" s="7"/>
      <c r="I1321" s="7"/>
      <c r="J1321" s="7"/>
      <c r="K1321" s="7">
        <v>1.401</v>
      </c>
      <c r="L1321" s="7">
        <v>325</v>
      </c>
      <c r="M1321" s="7">
        <v>0</v>
      </c>
      <c r="N1321" s="7"/>
      <c r="O1321">
        <v>548.4</v>
      </c>
      <c r="P1321">
        <v>181.5</v>
      </c>
      <c r="Q1321">
        <v>13.95</v>
      </c>
      <c r="S1321">
        <v>14.29</v>
      </c>
      <c r="T1321">
        <v>0</v>
      </c>
      <c r="U1321">
        <v>93.3</v>
      </c>
      <c r="V1321">
        <v>581.6</v>
      </c>
      <c r="W1321">
        <v>23.26</v>
      </c>
      <c r="Y1321">
        <v>14.36</v>
      </c>
    </row>
    <row r="1322" spans="1:25" x14ac:dyDescent="0.25">
      <c r="A1322">
        <v>2006</v>
      </c>
      <c r="B1322">
        <v>176</v>
      </c>
      <c r="C1322">
        <v>900</v>
      </c>
      <c r="D1322" s="7">
        <v>552.70000000000005</v>
      </c>
      <c r="E1322" s="7">
        <v>377.6</v>
      </c>
      <c r="F1322" s="7">
        <v>15.61</v>
      </c>
      <c r="G1322" s="7">
        <v>15.63</v>
      </c>
      <c r="H1322" s="7">
        <f>AVERAGE(G1322:G1345)</f>
        <v>13.886250000000002</v>
      </c>
      <c r="I1322" s="7">
        <f>MIN(G1322:G1345)</f>
        <v>8.6199999999999992</v>
      </c>
      <c r="J1322" s="7">
        <f>MAX(G1322:G1345)</f>
        <v>18.48</v>
      </c>
      <c r="K1322" s="7">
        <v>1.33</v>
      </c>
      <c r="L1322" s="7">
        <v>29.96</v>
      </c>
      <c r="M1322" s="7">
        <v>0</v>
      </c>
      <c r="N1322" s="7">
        <f>SUM(M1322:M1345)</f>
        <v>0</v>
      </c>
      <c r="O1322">
        <v>712</v>
      </c>
      <c r="P1322">
        <v>205.6</v>
      </c>
      <c r="Q1322">
        <v>14.1</v>
      </c>
      <c r="S1322">
        <v>14.24</v>
      </c>
      <c r="T1322">
        <v>0</v>
      </c>
      <c r="U1322">
        <v>99.7</v>
      </c>
      <c r="V1322">
        <v>579.4</v>
      </c>
      <c r="W1322">
        <v>23.17</v>
      </c>
      <c r="Y1322">
        <v>14.72</v>
      </c>
    </row>
    <row r="1323" spans="1:25" x14ac:dyDescent="0.25">
      <c r="A1323">
        <v>2006</v>
      </c>
      <c r="B1323">
        <v>176</v>
      </c>
      <c r="C1323">
        <v>1000</v>
      </c>
      <c r="D1323" s="7">
        <v>636.1</v>
      </c>
      <c r="E1323" s="7">
        <v>413.7</v>
      </c>
      <c r="F1323" s="7">
        <v>17.329999999999998</v>
      </c>
      <c r="G1323" s="7">
        <v>17.03</v>
      </c>
      <c r="H1323" s="7"/>
      <c r="I1323" s="7"/>
      <c r="J1323" s="7"/>
      <c r="K1323" s="7">
        <v>1.6419999999999999</v>
      </c>
      <c r="L1323" s="7">
        <v>60.48</v>
      </c>
      <c r="M1323" s="7">
        <v>0</v>
      </c>
      <c r="N1323" s="7"/>
      <c r="O1323">
        <v>808</v>
      </c>
      <c r="P1323">
        <v>210.2</v>
      </c>
      <c r="Q1323">
        <v>14.35</v>
      </c>
      <c r="S1323">
        <v>14.23</v>
      </c>
      <c r="T1323">
        <v>0</v>
      </c>
      <c r="U1323">
        <v>103</v>
      </c>
      <c r="V1323">
        <v>578.29999999999995</v>
      </c>
      <c r="W1323">
        <v>23.12</v>
      </c>
      <c r="Y1323">
        <v>14.66</v>
      </c>
    </row>
    <row r="1324" spans="1:25" x14ac:dyDescent="0.25">
      <c r="A1324">
        <v>2006</v>
      </c>
      <c r="B1324">
        <v>176</v>
      </c>
      <c r="C1324">
        <v>1100</v>
      </c>
      <c r="D1324" s="7">
        <v>801</v>
      </c>
      <c r="E1324" s="7">
        <v>505.9</v>
      </c>
      <c r="F1324" s="7">
        <v>18.39</v>
      </c>
      <c r="G1324" s="7">
        <v>18.100000000000001</v>
      </c>
      <c r="H1324" s="7"/>
      <c r="I1324" s="7"/>
      <c r="J1324" s="7"/>
      <c r="K1324" s="7">
        <v>2.1139999999999999</v>
      </c>
      <c r="L1324" s="7">
        <v>72</v>
      </c>
      <c r="M1324" s="7">
        <v>0</v>
      </c>
      <c r="N1324" s="7"/>
      <c r="O1324">
        <v>1012</v>
      </c>
      <c r="P1324">
        <v>266</v>
      </c>
      <c r="Q1324">
        <v>14.6</v>
      </c>
      <c r="S1324">
        <v>14.31</v>
      </c>
      <c r="T1324">
        <v>0</v>
      </c>
      <c r="U1324">
        <v>102.9</v>
      </c>
      <c r="V1324">
        <v>576.6</v>
      </c>
      <c r="W1324">
        <v>23.04</v>
      </c>
      <c r="Y1324">
        <v>14.58</v>
      </c>
    </row>
    <row r="1325" spans="1:25" x14ac:dyDescent="0.25">
      <c r="A1325">
        <v>2006</v>
      </c>
      <c r="B1325">
        <v>176</v>
      </c>
      <c r="C1325">
        <v>1200</v>
      </c>
      <c r="D1325" s="7">
        <v>865</v>
      </c>
      <c r="E1325" s="7">
        <v>535.5</v>
      </c>
      <c r="F1325" s="7">
        <v>18.440000000000001</v>
      </c>
      <c r="G1325" s="7">
        <v>18.079999999999998</v>
      </c>
      <c r="H1325" s="7"/>
      <c r="I1325" s="7"/>
      <c r="J1325" s="7"/>
      <c r="K1325" s="7">
        <v>1.9970000000000001</v>
      </c>
      <c r="L1325" s="7">
        <v>57.15</v>
      </c>
      <c r="M1325" s="7">
        <v>0</v>
      </c>
      <c r="N1325" s="7"/>
      <c r="O1325">
        <v>1076</v>
      </c>
      <c r="P1325">
        <v>252.5</v>
      </c>
      <c r="Q1325">
        <v>14.97</v>
      </c>
      <c r="S1325">
        <v>14.54</v>
      </c>
      <c r="T1325">
        <v>0</v>
      </c>
      <c r="U1325">
        <v>103.5</v>
      </c>
      <c r="V1325">
        <v>573.79999999999995</v>
      </c>
      <c r="W1325">
        <v>22.91</v>
      </c>
      <c r="Y1325">
        <v>14.05</v>
      </c>
    </row>
    <row r="1326" spans="1:25" x14ac:dyDescent="0.25">
      <c r="A1326">
        <v>2006</v>
      </c>
      <c r="B1326">
        <v>176</v>
      </c>
      <c r="C1326">
        <v>1300</v>
      </c>
      <c r="D1326" s="7">
        <v>856</v>
      </c>
      <c r="E1326" s="7">
        <v>521.1</v>
      </c>
      <c r="F1326" s="7">
        <v>18.87</v>
      </c>
      <c r="G1326" s="7">
        <v>18.48</v>
      </c>
      <c r="H1326" s="7"/>
      <c r="I1326" s="7"/>
      <c r="J1326" s="7"/>
      <c r="K1326" s="7">
        <v>1.964</v>
      </c>
      <c r="L1326" s="7">
        <v>52.05</v>
      </c>
      <c r="M1326" s="7">
        <v>0</v>
      </c>
      <c r="N1326" s="7"/>
      <c r="O1326">
        <v>1060</v>
      </c>
      <c r="P1326">
        <v>257.7</v>
      </c>
      <c r="Q1326">
        <v>15.31</v>
      </c>
      <c r="S1326">
        <v>14.79</v>
      </c>
      <c r="T1326">
        <v>0</v>
      </c>
      <c r="U1326">
        <v>103.7</v>
      </c>
      <c r="V1326">
        <v>571</v>
      </c>
      <c r="W1326">
        <v>22.79</v>
      </c>
      <c r="Y1326">
        <v>14.04</v>
      </c>
    </row>
    <row r="1327" spans="1:25" x14ac:dyDescent="0.25">
      <c r="A1327">
        <v>2006</v>
      </c>
      <c r="B1327">
        <v>176</v>
      </c>
      <c r="C1327">
        <v>1400</v>
      </c>
      <c r="D1327" s="7">
        <v>513.9</v>
      </c>
      <c r="E1327" s="7">
        <v>297.89999999999998</v>
      </c>
      <c r="F1327" s="7">
        <v>18.420000000000002</v>
      </c>
      <c r="G1327" s="7">
        <v>17.98</v>
      </c>
      <c r="H1327" s="7"/>
      <c r="I1327" s="7"/>
      <c r="J1327" s="7"/>
      <c r="K1327" s="7">
        <v>1.9159999999999999</v>
      </c>
      <c r="L1327" s="7">
        <v>65.84</v>
      </c>
      <c r="M1327" s="7">
        <v>0</v>
      </c>
      <c r="N1327" s="7"/>
      <c r="O1327">
        <v>646.79999999999995</v>
      </c>
      <c r="P1327">
        <v>185.6</v>
      </c>
      <c r="Q1327">
        <v>15.65</v>
      </c>
      <c r="S1327">
        <v>15.05</v>
      </c>
      <c r="T1327">
        <v>0</v>
      </c>
      <c r="U1327">
        <v>104.4</v>
      </c>
      <c r="V1327">
        <v>567.70000000000005</v>
      </c>
      <c r="W1327">
        <v>22.64</v>
      </c>
      <c r="Y1327">
        <v>14.18</v>
      </c>
    </row>
    <row r="1328" spans="1:25" x14ac:dyDescent="0.25">
      <c r="A1328">
        <v>2006</v>
      </c>
      <c r="B1328">
        <v>176</v>
      </c>
      <c r="C1328">
        <v>1500</v>
      </c>
      <c r="D1328" s="7">
        <v>570</v>
      </c>
      <c r="E1328" s="7">
        <v>332.1</v>
      </c>
      <c r="F1328" s="7">
        <v>17.97</v>
      </c>
      <c r="G1328" s="7">
        <v>17.600000000000001</v>
      </c>
      <c r="H1328" s="7"/>
      <c r="I1328" s="7"/>
      <c r="J1328" s="7"/>
      <c r="K1328" s="7">
        <v>2.2650000000000001</v>
      </c>
      <c r="L1328" s="7">
        <v>79.5</v>
      </c>
      <c r="M1328" s="7">
        <v>0</v>
      </c>
      <c r="N1328" s="7"/>
      <c r="O1328">
        <v>715</v>
      </c>
      <c r="P1328">
        <v>215.9</v>
      </c>
      <c r="Q1328">
        <v>15.9</v>
      </c>
      <c r="S1328">
        <v>15.31</v>
      </c>
      <c r="T1328">
        <v>0</v>
      </c>
      <c r="U1328">
        <v>103.6</v>
      </c>
      <c r="V1328">
        <v>565.9</v>
      </c>
      <c r="W1328">
        <v>22.56</v>
      </c>
      <c r="Y1328">
        <v>14.23</v>
      </c>
    </row>
    <row r="1329" spans="1:25" x14ac:dyDescent="0.25">
      <c r="A1329">
        <v>2006</v>
      </c>
      <c r="B1329">
        <v>176</v>
      </c>
      <c r="C1329">
        <v>1600</v>
      </c>
      <c r="D1329" s="7">
        <v>720</v>
      </c>
      <c r="E1329" s="7">
        <v>428.4</v>
      </c>
      <c r="F1329" s="7">
        <v>18.62</v>
      </c>
      <c r="G1329" s="7">
        <v>18.100000000000001</v>
      </c>
      <c r="H1329" s="7"/>
      <c r="I1329" s="7"/>
      <c r="J1329" s="7"/>
      <c r="K1329" s="7">
        <v>2.0379999999999998</v>
      </c>
      <c r="L1329" s="7">
        <v>54.01</v>
      </c>
      <c r="M1329" s="7">
        <v>0</v>
      </c>
      <c r="N1329" s="7"/>
      <c r="O1329">
        <v>889</v>
      </c>
      <c r="P1329">
        <v>280.60000000000002</v>
      </c>
      <c r="Q1329">
        <v>16.100000000000001</v>
      </c>
      <c r="S1329">
        <v>15.6</v>
      </c>
      <c r="T1329">
        <v>0</v>
      </c>
      <c r="U1329">
        <v>105</v>
      </c>
      <c r="V1329">
        <v>563.70000000000005</v>
      </c>
      <c r="W1329">
        <v>22.46</v>
      </c>
      <c r="Y1329">
        <v>14.36</v>
      </c>
    </row>
    <row r="1330" spans="1:25" x14ac:dyDescent="0.25">
      <c r="A1330">
        <v>2006</v>
      </c>
      <c r="B1330">
        <v>176</v>
      </c>
      <c r="C1330">
        <v>1700</v>
      </c>
      <c r="D1330" s="7">
        <v>478.6</v>
      </c>
      <c r="E1330" s="7">
        <v>272.89999999999998</v>
      </c>
      <c r="F1330" s="7">
        <v>18.22</v>
      </c>
      <c r="G1330" s="7">
        <v>17.690000000000001</v>
      </c>
      <c r="H1330" s="7"/>
      <c r="I1330" s="7"/>
      <c r="J1330" s="7"/>
      <c r="K1330" s="7">
        <v>1.9770000000000001</v>
      </c>
      <c r="L1330" s="7">
        <v>23.68</v>
      </c>
      <c r="M1330" s="7">
        <v>0</v>
      </c>
      <c r="N1330" s="7"/>
      <c r="O1330">
        <v>599.70000000000005</v>
      </c>
      <c r="P1330">
        <v>215.5</v>
      </c>
      <c r="Q1330">
        <v>16.329999999999998</v>
      </c>
      <c r="S1330">
        <v>15.82</v>
      </c>
      <c r="T1330">
        <v>0</v>
      </c>
      <c r="U1330">
        <v>105.2</v>
      </c>
      <c r="V1330">
        <v>561.20000000000005</v>
      </c>
      <c r="W1330">
        <v>22.35</v>
      </c>
      <c r="Y1330">
        <v>14.09</v>
      </c>
    </row>
    <row r="1331" spans="1:25" x14ac:dyDescent="0.25">
      <c r="A1331">
        <v>2006</v>
      </c>
      <c r="B1331">
        <v>176</v>
      </c>
      <c r="C1331">
        <v>1800</v>
      </c>
      <c r="D1331" s="7">
        <v>225.6</v>
      </c>
      <c r="E1331" s="7">
        <v>104</v>
      </c>
      <c r="F1331" s="7">
        <v>16.61</v>
      </c>
      <c r="G1331" s="7">
        <v>16.28</v>
      </c>
      <c r="H1331" s="7"/>
      <c r="I1331" s="7"/>
      <c r="J1331" s="7"/>
      <c r="K1331" s="7">
        <v>2.3929999999999998</v>
      </c>
      <c r="L1331" s="7">
        <v>91.4</v>
      </c>
      <c r="M1331" s="7">
        <v>0</v>
      </c>
      <c r="N1331" s="7"/>
      <c r="O1331">
        <v>279.3</v>
      </c>
      <c r="P1331">
        <v>100.9</v>
      </c>
      <c r="Q1331">
        <v>16.45</v>
      </c>
      <c r="S1331">
        <v>15.89</v>
      </c>
      <c r="T1331">
        <v>0</v>
      </c>
      <c r="U1331">
        <v>103.3</v>
      </c>
      <c r="V1331">
        <v>559.20000000000005</v>
      </c>
      <c r="W1331">
        <v>22.26</v>
      </c>
      <c r="Y1331">
        <v>13.82</v>
      </c>
    </row>
    <row r="1332" spans="1:25" x14ac:dyDescent="0.25">
      <c r="A1332">
        <v>2006</v>
      </c>
      <c r="B1332">
        <v>176</v>
      </c>
      <c r="C1332">
        <v>1900</v>
      </c>
      <c r="D1332" s="7">
        <v>94.2</v>
      </c>
      <c r="E1332" s="7">
        <v>8.36</v>
      </c>
      <c r="F1332" s="7">
        <v>14.91</v>
      </c>
      <c r="G1332" s="7">
        <v>14.75</v>
      </c>
      <c r="H1332" s="7"/>
      <c r="I1332" s="7"/>
      <c r="J1332" s="7"/>
      <c r="K1332" s="7">
        <v>1.9650000000000001</v>
      </c>
      <c r="L1332" s="7">
        <v>95.1</v>
      </c>
      <c r="M1332" s="7">
        <v>0</v>
      </c>
      <c r="N1332" s="7"/>
      <c r="O1332">
        <v>97.9</v>
      </c>
      <c r="P1332">
        <v>30.66</v>
      </c>
      <c r="Q1332">
        <v>16.5</v>
      </c>
      <c r="S1332">
        <v>15.97</v>
      </c>
      <c r="T1332">
        <v>0</v>
      </c>
      <c r="U1332">
        <v>101.7</v>
      </c>
      <c r="V1332">
        <v>557.9</v>
      </c>
      <c r="W1332">
        <v>22.2</v>
      </c>
      <c r="Y1332">
        <v>13.65</v>
      </c>
    </row>
    <row r="1333" spans="1:25" x14ac:dyDescent="0.25">
      <c r="A1333">
        <v>2006</v>
      </c>
      <c r="B1333">
        <v>176</v>
      </c>
      <c r="C1333">
        <v>2000</v>
      </c>
      <c r="D1333" s="7">
        <v>90.9</v>
      </c>
      <c r="E1333" s="7">
        <v>23.76</v>
      </c>
      <c r="F1333" s="7">
        <v>14.94</v>
      </c>
      <c r="G1333" s="7">
        <v>14.84</v>
      </c>
      <c r="H1333" s="7"/>
      <c r="I1333" s="7"/>
      <c r="J1333" s="7"/>
      <c r="K1333" s="7">
        <v>1.7989999999999999</v>
      </c>
      <c r="L1333" s="7">
        <v>102.4</v>
      </c>
      <c r="M1333" s="7">
        <v>0</v>
      </c>
      <c r="N1333" s="7"/>
      <c r="O1333">
        <v>105.4</v>
      </c>
      <c r="P1333">
        <v>33.86</v>
      </c>
      <c r="Q1333">
        <v>16.45</v>
      </c>
      <c r="S1333">
        <v>16.03</v>
      </c>
      <c r="T1333">
        <v>0</v>
      </c>
      <c r="U1333">
        <v>101</v>
      </c>
      <c r="V1333">
        <v>556.70000000000005</v>
      </c>
      <c r="W1333">
        <v>22.15</v>
      </c>
      <c r="Y1333">
        <v>13.61</v>
      </c>
    </row>
    <row r="1334" spans="1:25" x14ac:dyDescent="0.25">
      <c r="A1334">
        <v>2006</v>
      </c>
      <c r="B1334">
        <v>176</v>
      </c>
      <c r="C1334">
        <v>2100</v>
      </c>
      <c r="D1334" s="7">
        <v>20.61</v>
      </c>
      <c r="E1334" s="7">
        <v>-40.39</v>
      </c>
      <c r="F1334" s="7">
        <v>13.56</v>
      </c>
      <c r="G1334" s="7">
        <v>13.34</v>
      </c>
      <c r="H1334" s="7"/>
      <c r="I1334" s="7"/>
      <c r="J1334" s="7"/>
      <c r="K1334" s="7">
        <v>1.327</v>
      </c>
      <c r="L1334" s="7">
        <v>101.2</v>
      </c>
      <c r="M1334" s="7">
        <v>0</v>
      </c>
      <c r="N1334" s="7"/>
      <c r="O1334">
        <v>18.18</v>
      </c>
      <c r="P1334">
        <v>10.46</v>
      </c>
      <c r="Q1334">
        <v>16.37</v>
      </c>
      <c r="S1334">
        <v>16.03</v>
      </c>
      <c r="T1334">
        <v>0</v>
      </c>
      <c r="U1334">
        <v>102.4</v>
      </c>
      <c r="V1334">
        <v>555.20000000000005</v>
      </c>
      <c r="W1334">
        <v>22.08</v>
      </c>
      <c r="Y1334">
        <v>13.47</v>
      </c>
    </row>
    <row r="1335" spans="1:25" x14ac:dyDescent="0.25">
      <c r="A1335">
        <v>2006</v>
      </c>
      <c r="B1335">
        <v>176</v>
      </c>
      <c r="C1335">
        <v>2200</v>
      </c>
      <c r="D1335" s="7">
        <v>-2.222</v>
      </c>
      <c r="E1335" s="7">
        <v>-57.76</v>
      </c>
      <c r="F1335" s="7">
        <v>11.48</v>
      </c>
      <c r="G1335" s="7">
        <v>11.27</v>
      </c>
      <c r="H1335" s="7"/>
      <c r="I1335" s="7"/>
      <c r="J1335" s="7"/>
      <c r="K1335" s="7">
        <v>0.79300000000000004</v>
      </c>
      <c r="L1335" s="7">
        <v>103.1</v>
      </c>
      <c r="M1335" s="7">
        <v>0</v>
      </c>
      <c r="N1335" s="7"/>
      <c r="O1335">
        <v>-10.47</v>
      </c>
      <c r="P1335">
        <v>-10.83</v>
      </c>
      <c r="Q1335">
        <v>16.23</v>
      </c>
      <c r="S1335">
        <v>15.96</v>
      </c>
      <c r="T1335">
        <v>0</v>
      </c>
      <c r="U1335">
        <v>102.5</v>
      </c>
      <c r="V1335">
        <v>555.4</v>
      </c>
      <c r="W1335">
        <v>22.09</v>
      </c>
      <c r="Y1335">
        <v>13.37</v>
      </c>
    </row>
    <row r="1336" spans="1:25" x14ac:dyDescent="0.25">
      <c r="A1336">
        <v>2006</v>
      </c>
      <c r="B1336">
        <v>176</v>
      </c>
      <c r="C1336">
        <v>2300</v>
      </c>
      <c r="D1336" s="7">
        <v>-3.1629999999999998</v>
      </c>
      <c r="E1336" s="7">
        <v>-50.83</v>
      </c>
      <c r="F1336" s="7">
        <v>10.75</v>
      </c>
      <c r="G1336" s="7">
        <v>10.76</v>
      </c>
      <c r="H1336" s="7"/>
      <c r="I1336" s="7"/>
      <c r="J1336" s="7"/>
      <c r="K1336" s="7">
        <v>0.47599999999999998</v>
      </c>
      <c r="L1336" s="7">
        <v>116.7</v>
      </c>
      <c r="M1336" s="7">
        <v>0</v>
      </c>
      <c r="N1336" s="7"/>
      <c r="O1336">
        <v>-12.17</v>
      </c>
      <c r="P1336">
        <v>-11.47</v>
      </c>
      <c r="Q1336">
        <v>16.059999999999999</v>
      </c>
      <c r="S1336">
        <v>15.91</v>
      </c>
      <c r="T1336">
        <v>0</v>
      </c>
      <c r="U1336">
        <v>99.8</v>
      </c>
      <c r="V1336">
        <v>555.4</v>
      </c>
      <c r="W1336">
        <v>22.08</v>
      </c>
      <c r="Y1336">
        <v>13.28</v>
      </c>
    </row>
    <row r="1337" spans="1:25" x14ac:dyDescent="0.25">
      <c r="A1337">
        <v>2006</v>
      </c>
      <c r="B1337">
        <v>176</v>
      </c>
      <c r="C1337">
        <v>2400</v>
      </c>
      <c r="D1337" s="7">
        <v>-3.01</v>
      </c>
      <c r="E1337" s="7">
        <v>-44.66</v>
      </c>
      <c r="F1337" s="7">
        <v>8.8800000000000008</v>
      </c>
      <c r="G1337" s="7">
        <v>8.6199999999999992</v>
      </c>
      <c r="H1337" s="7"/>
      <c r="I1337" s="7"/>
      <c r="J1337" s="7"/>
      <c r="K1337" s="7">
        <v>0.42</v>
      </c>
      <c r="L1337" s="7">
        <v>179.7</v>
      </c>
      <c r="M1337" s="7">
        <v>0</v>
      </c>
      <c r="N1337" s="7"/>
      <c r="O1337">
        <v>-12.17</v>
      </c>
      <c r="P1337">
        <v>-11.47</v>
      </c>
      <c r="Q1337">
        <v>15.85</v>
      </c>
      <c r="S1337">
        <v>15.82</v>
      </c>
      <c r="T1337">
        <v>0</v>
      </c>
      <c r="U1337">
        <v>103.4</v>
      </c>
      <c r="V1337">
        <v>558.5</v>
      </c>
      <c r="W1337">
        <v>22.23</v>
      </c>
      <c r="Y1337">
        <v>13.21</v>
      </c>
    </row>
    <row r="1338" spans="1:25" x14ac:dyDescent="0.25">
      <c r="A1338">
        <v>2006</v>
      </c>
      <c r="B1338">
        <v>177</v>
      </c>
      <c r="C1338">
        <v>100</v>
      </c>
      <c r="D1338" s="7">
        <v>-2.6160000000000001</v>
      </c>
      <c r="E1338" s="7">
        <v>-38.29</v>
      </c>
      <c r="F1338" s="7">
        <v>8.7799999999999994</v>
      </c>
      <c r="G1338" s="7">
        <v>8.7100000000000009</v>
      </c>
      <c r="H1338" s="7"/>
      <c r="I1338" s="7"/>
      <c r="J1338" s="7"/>
      <c r="K1338" s="7">
        <v>0.308</v>
      </c>
      <c r="L1338" s="7">
        <v>160.30000000000001</v>
      </c>
      <c r="M1338" s="7">
        <v>0</v>
      </c>
      <c r="N1338" s="7"/>
      <c r="O1338">
        <v>-12.17</v>
      </c>
      <c r="P1338">
        <v>-11.47</v>
      </c>
      <c r="Q1338">
        <v>15.61</v>
      </c>
      <c r="S1338">
        <v>15.71</v>
      </c>
      <c r="T1338">
        <v>0</v>
      </c>
      <c r="U1338">
        <v>100.9</v>
      </c>
      <c r="V1338">
        <v>558.1</v>
      </c>
      <c r="W1338">
        <v>22.21</v>
      </c>
      <c r="Y1338">
        <v>13.14</v>
      </c>
    </row>
    <row r="1339" spans="1:25" x14ac:dyDescent="0.25">
      <c r="A1339">
        <v>2006</v>
      </c>
      <c r="B1339">
        <v>177</v>
      </c>
      <c r="C1339">
        <v>200</v>
      </c>
      <c r="D1339" s="7">
        <v>-2.7170000000000001</v>
      </c>
      <c r="E1339" s="7">
        <v>-35.04</v>
      </c>
      <c r="F1339" s="7">
        <v>9.64</v>
      </c>
      <c r="G1339" s="7">
        <v>9.86</v>
      </c>
      <c r="H1339" s="7"/>
      <c r="I1339" s="7"/>
      <c r="J1339" s="7"/>
      <c r="K1339" s="7">
        <v>0.63900000000000001</v>
      </c>
      <c r="L1339" s="7">
        <v>102.8</v>
      </c>
      <c r="M1339" s="7">
        <v>0</v>
      </c>
      <c r="N1339" s="7"/>
      <c r="O1339">
        <v>-12.17</v>
      </c>
      <c r="P1339">
        <v>-11.48</v>
      </c>
      <c r="Q1339">
        <v>15.41</v>
      </c>
      <c r="S1339">
        <v>15.62</v>
      </c>
      <c r="T1339">
        <v>0</v>
      </c>
      <c r="U1339">
        <v>97.3</v>
      </c>
      <c r="V1339">
        <v>556.4</v>
      </c>
      <c r="W1339">
        <v>22.13</v>
      </c>
      <c r="Y1339">
        <v>13.08</v>
      </c>
    </row>
    <row r="1340" spans="1:25" x14ac:dyDescent="0.25">
      <c r="A1340">
        <v>2006</v>
      </c>
      <c r="B1340">
        <v>177</v>
      </c>
      <c r="C1340">
        <v>300</v>
      </c>
      <c r="D1340" s="7">
        <v>-1.669</v>
      </c>
      <c r="E1340" s="7">
        <v>-21.36</v>
      </c>
      <c r="F1340" s="7">
        <v>10.07</v>
      </c>
      <c r="G1340" s="7">
        <v>10.51</v>
      </c>
      <c r="H1340" s="7"/>
      <c r="I1340" s="7"/>
      <c r="J1340" s="7"/>
      <c r="K1340" s="7">
        <v>0.67400000000000004</v>
      </c>
      <c r="L1340" s="7">
        <v>76.400000000000006</v>
      </c>
      <c r="M1340" s="7">
        <v>0</v>
      </c>
      <c r="N1340" s="7"/>
      <c r="O1340">
        <v>-12.17</v>
      </c>
      <c r="P1340">
        <v>-11.48</v>
      </c>
      <c r="Q1340">
        <v>15.21</v>
      </c>
      <c r="S1340">
        <v>15.5</v>
      </c>
      <c r="T1340">
        <v>0</v>
      </c>
      <c r="U1340">
        <v>94.7</v>
      </c>
      <c r="V1340">
        <v>555.9</v>
      </c>
      <c r="W1340">
        <v>22.11</v>
      </c>
      <c r="Y1340">
        <v>13.02</v>
      </c>
    </row>
    <row r="1341" spans="1:25" x14ac:dyDescent="0.25">
      <c r="A1341">
        <v>2006</v>
      </c>
      <c r="B1341">
        <v>177</v>
      </c>
      <c r="C1341">
        <v>400</v>
      </c>
      <c r="D1341" s="7">
        <v>-0.20200000000000001</v>
      </c>
      <c r="E1341" s="7">
        <v>-14.48</v>
      </c>
      <c r="F1341" s="7">
        <v>10.39</v>
      </c>
      <c r="G1341" s="7">
        <v>10.85</v>
      </c>
      <c r="H1341" s="7"/>
      <c r="I1341" s="7"/>
      <c r="J1341" s="7"/>
      <c r="K1341" s="7">
        <v>0.64500000000000002</v>
      </c>
      <c r="L1341" s="7">
        <v>77.900000000000006</v>
      </c>
      <c r="M1341" s="7">
        <v>0</v>
      </c>
      <c r="N1341" s="7"/>
      <c r="O1341">
        <v>-10.97</v>
      </c>
      <c r="P1341">
        <v>-11.1</v>
      </c>
      <c r="Q1341">
        <v>15.05</v>
      </c>
      <c r="S1341">
        <v>15.36</v>
      </c>
      <c r="T1341">
        <v>0</v>
      </c>
      <c r="U1341">
        <v>94.5</v>
      </c>
      <c r="V1341">
        <v>554.4</v>
      </c>
      <c r="W1341">
        <v>22.04</v>
      </c>
      <c r="Y1341">
        <v>12.97</v>
      </c>
    </row>
    <row r="1342" spans="1:25" x14ac:dyDescent="0.25">
      <c r="A1342">
        <v>2006</v>
      </c>
      <c r="B1342">
        <v>177</v>
      </c>
      <c r="C1342">
        <v>500</v>
      </c>
      <c r="D1342" s="7">
        <v>4.9669999999999996</v>
      </c>
      <c r="E1342" s="7">
        <v>-13.25</v>
      </c>
      <c r="F1342" s="7">
        <v>10.58</v>
      </c>
      <c r="G1342" s="7">
        <v>10.81</v>
      </c>
      <c r="H1342" s="7"/>
      <c r="I1342" s="7"/>
      <c r="J1342" s="7"/>
      <c r="K1342" s="7">
        <v>0.59199999999999997</v>
      </c>
      <c r="L1342" s="7">
        <v>73.3</v>
      </c>
      <c r="M1342" s="7">
        <v>0</v>
      </c>
      <c r="N1342" s="7"/>
      <c r="O1342">
        <v>-2.774</v>
      </c>
      <c r="P1342">
        <v>-8.4</v>
      </c>
      <c r="Q1342">
        <v>14.91</v>
      </c>
      <c r="S1342">
        <v>15.21</v>
      </c>
      <c r="T1342">
        <v>0</v>
      </c>
      <c r="U1342">
        <v>97.3</v>
      </c>
      <c r="V1342">
        <v>553.70000000000005</v>
      </c>
      <c r="W1342">
        <v>22.01</v>
      </c>
      <c r="Y1342">
        <v>12.94</v>
      </c>
    </row>
    <row r="1343" spans="1:25" x14ac:dyDescent="0.25">
      <c r="A1343">
        <v>2006</v>
      </c>
      <c r="B1343">
        <v>177</v>
      </c>
      <c r="C1343">
        <v>600</v>
      </c>
      <c r="D1343" s="7">
        <v>44.85</v>
      </c>
      <c r="E1343" s="7">
        <v>11.94</v>
      </c>
      <c r="F1343" s="7">
        <v>11.06</v>
      </c>
      <c r="G1343" s="7">
        <v>11.05</v>
      </c>
      <c r="H1343" s="7"/>
      <c r="I1343" s="7"/>
      <c r="J1343" s="7"/>
      <c r="K1343" s="7">
        <v>0.82399999999999995</v>
      </c>
      <c r="L1343" s="7">
        <v>59.23</v>
      </c>
      <c r="M1343" s="7">
        <v>0</v>
      </c>
      <c r="N1343" s="7"/>
      <c r="O1343">
        <v>50.14</v>
      </c>
      <c r="P1343">
        <v>8.35</v>
      </c>
      <c r="Q1343">
        <v>14.82</v>
      </c>
      <c r="S1343">
        <v>15.11</v>
      </c>
      <c r="T1343">
        <v>0</v>
      </c>
      <c r="U1343">
        <v>100.2</v>
      </c>
      <c r="V1343">
        <v>553.1</v>
      </c>
      <c r="W1343">
        <v>21.98</v>
      </c>
      <c r="Y1343">
        <v>12.96</v>
      </c>
    </row>
    <row r="1344" spans="1:25" x14ac:dyDescent="0.25">
      <c r="A1344">
        <v>2006</v>
      </c>
      <c r="B1344">
        <v>177</v>
      </c>
      <c r="C1344">
        <v>700</v>
      </c>
      <c r="D1344" s="7">
        <v>50.74</v>
      </c>
      <c r="E1344" s="7">
        <v>16.95</v>
      </c>
      <c r="F1344" s="7">
        <v>11.15</v>
      </c>
      <c r="G1344" s="7">
        <v>11.22</v>
      </c>
      <c r="H1344" s="7"/>
      <c r="I1344" s="7"/>
      <c r="J1344" s="7"/>
      <c r="K1344" s="7">
        <v>0.99</v>
      </c>
      <c r="L1344" s="7">
        <v>75.5</v>
      </c>
      <c r="M1344" s="7">
        <v>0</v>
      </c>
      <c r="N1344" s="7"/>
      <c r="O1344">
        <v>61.39</v>
      </c>
      <c r="P1344">
        <v>12.04</v>
      </c>
      <c r="Q1344">
        <v>14.74</v>
      </c>
      <c r="S1344">
        <v>15.02</v>
      </c>
      <c r="T1344">
        <v>0</v>
      </c>
      <c r="U1344">
        <v>99.2</v>
      </c>
      <c r="V1344">
        <v>551.9</v>
      </c>
      <c r="W1344">
        <v>21.93</v>
      </c>
      <c r="Y1344">
        <v>13.05</v>
      </c>
    </row>
    <row r="1345" spans="1:25" x14ac:dyDescent="0.25">
      <c r="A1345">
        <v>2006</v>
      </c>
      <c r="B1345">
        <v>177</v>
      </c>
      <c r="C1345">
        <v>800</v>
      </c>
      <c r="D1345" s="7">
        <v>94.5</v>
      </c>
      <c r="E1345" s="7">
        <v>43.24</v>
      </c>
      <c r="F1345" s="7">
        <v>11.36</v>
      </c>
      <c r="G1345" s="7">
        <v>11.71</v>
      </c>
      <c r="H1345" s="7"/>
      <c r="I1345" s="7"/>
      <c r="J1345" s="7"/>
      <c r="K1345" s="7">
        <v>1.617</v>
      </c>
      <c r="L1345" s="7">
        <v>92.6</v>
      </c>
      <c r="M1345" s="7">
        <v>0</v>
      </c>
      <c r="N1345" s="7"/>
      <c r="O1345">
        <v>117.8</v>
      </c>
      <c r="P1345">
        <v>29.76</v>
      </c>
      <c r="Q1345">
        <v>14.71</v>
      </c>
      <c r="S1345">
        <v>14.93</v>
      </c>
      <c r="T1345">
        <v>0</v>
      </c>
      <c r="U1345">
        <v>96.1</v>
      </c>
      <c r="V1345">
        <v>551.20000000000005</v>
      </c>
      <c r="W1345">
        <v>21.9</v>
      </c>
      <c r="Y1345">
        <v>13.49</v>
      </c>
    </row>
    <row r="1346" spans="1:25" x14ac:dyDescent="0.25">
      <c r="A1346">
        <v>2006</v>
      </c>
      <c r="B1346">
        <v>177</v>
      </c>
      <c r="C1346">
        <v>900</v>
      </c>
      <c r="D1346" s="7">
        <v>125.3</v>
      </c>
      <c r="E1346" s="7">
        <v>64.3</v>
      </c>
      <c r="F1346" s="7">
        <v>12.16</v>
      </c>
      <c r="G1346" s="7">
        <v>12.24</v>
      </c>
      <c r="H1346" s="7">
        <f>AVERAGE(G1346:G1369)</f>
        <v>12.971666666666664</v>
      </c>
      <c r="I1346" s="7">
        <f>MIN(G1346:G1369)</f>
        <v>9.9600000000000009</v>
      </c>
      <c r="J1346" s="7">
        <f>MAX(G1346:G1369)</f>
        <v>15.74</v>
      </c>
      <c r="K1346" s="7">
        <v>1.264</v>
      </c>
      <c r="L1346" s="7">
        <v>85.5</v>
      </c>
      <c r="M1346" s="7">
        <v>0</v>
      </c>
      <c r="N1346" s="7">
        <f>SUM(M1346:M1369)</f>
        <v>0</v>
      </c>
      <c r="O1346">
        <v>161.1</v>
      </c>
      <c r="P1346">
        <v>45.92</v>
      </c>
      <c r="Q1346">
        <v>14.68</v>
      </c>
      <c r="S1346">
        <v>14.85</v>
      </c>
      <c r="T1346">
        <v>0</v>
      </c>
      <c r="U1346">
        <v>99.1</v>
      </c>
      <c r="V1346">
        <v>550</v>
      </c>
      <c r="W1346">
        <v>21.84</v>
      </c>
      <c r="Y1346">
        <v>13.64</v>
      </c>
    </row>
    <row r="1347" spans="1:25" x14ac:dyDescent="0.25">
      <c r="A1347">
        <v>2006</v>
      </c>
      <c r="B1347">
        <v>177</v>
      </c>
      <c r="C1347">
        <v>1000</v>
      </c>
      <c r="D1347" s="7">
        <v>121.7</v>
      </c>
      <c r="E1347" s="7">
        <v>61.58</v>
      </c>
      <c r="F1347" s="7">
        <v>12.58</v>
      </c>
      <c r="G1347" s="7">
        <v>12.48</v>
      </c>
      <c r="H1347" s="7"/>
      <c r="I1347" s="7"/>
      <c r="J1347" s="7"/>
      <c r="K1347" s="7">
        <v>1.1919999999999999</v>
      </c>
      <c r="L1347" s="7">
        <v>83.3</v>
      </c>
      <c r="M1347" s="7">
        <v>0</v>
      </c>
      <c r="N1347" s="7"/>
      <c r="O1347">
        <v>159.1</v>
      </c>
      <c r="P1347">
        <v>45.89</v>
      </c>
      <c r="Q1347">
        <v>14.67</v>
      </c>
      <c r="S1347">
        <v>14.83</v>
      </c>
      <c r="T1347">
        <v>0</v>
      </c>
      <c r="U1347">
        <v>101.1</v>
      </c>
      <c r="V1347">
        <v>549.1</v>
      </c>
      <c r="W1347">
        <v>21.8</v>
      </c>
      <c r="Y1347">
        <v>13.68</v>
      </c>
    </row>
    <row r="1348" spans="1:25" x14ac:dyDescent="0.25">
      <c r="A1348">
        <v>2006</v>
      </c>
      <c r="B1348">
        <v>177</v>
      </c>
      <c r="C1348">
        <v>1100</v>
      </c>
      <c r="D1348" s="7">
        <v>207.7</v>
      </c>
      <c r="E1348" s="7">
        <v>113.5</v>
      </c>
      <c r="F1348" s="7">
        <v>12.81</v>
      </c>
      <c r="G1348" s="7">
        <v>12.74</v>
      </c>
      <c r="H1348" s="7"/>
      <c r="I1348" s="7"/>
      <c r="J1348" s="7"/>
      <c r="K1348" s="7">
        <v>1.59</v>
      </c>
      <c r="L1348" s="7">
        <v>90.2</v>
      </c>
      <c r="M1348" s="7">
        <v>0</v>
      </c>
      <c r="N1348" s="7"/>
      <c r="O1348">
        <v>273.10000000000002</v>
      </c>
      <c r="P1348">
        <v>84</v>
      </c>
      <c r="Q1348">
        <v>14.7</v>
      </c>
      <c r="S1348">
        <v>14.78</v>
      </c>
      <c r="T1348">
        <v>0</v>
      </c>
      <c r="U1348">
        <v>100.8</v>
      </c>
      <c r="V1348">
        <v>548.1</v>
      </c>
      <c r="W1348">
        <v>21.76</v>
      </c>
      <c r="Y1348">
        <v>13.79</v>
      </c>
    </row>
    <row r="1349" spans="1:25" x14ac:dyDescent="0.25">
      <c r="A1349">
        <v>2006</v>
      </c>
      <c r="B1349">
        <v>177</v>
      </c>
      <c r="C1349">
        <v>1200</v>
      </c>
      <c r="D1349" s="7">
        <v>387.3</v>
      </c>
      <c r="E1349" s="7">
        <v>231.4</v>
      </c>
      <c r="F1349" s="7">
        <v>14.15</v>
      </c>
      <c r="G1349" s="7">
        <v>13.89</v>
      </c>
      <c r="H1349" s="7"/>
      <c r="I1349" s="7"/>
      <c r="J1349" s="7"/>
      <c r="K1349" s="7">
        <v>1.784</v>
      </c>
      <c r="L1349" s="7">
        <v>90.1</v>
      </c>
      <c r="M1349" s="7">
        <v>0</v>
      </c>
      <c r="N1349" s="7"/>
      <c r="O1349">
        <v>496.1</v>
      </c>
      <c r="P1349">
        <v>153.6</v>
      </c>
      <c r="Q1349">
        <v>14.76</v>
      </c>
      <c r="S1349">
        <v>14.79</v>
      </c>
      <c r="T1349">
        <v>0</v>
      </c>
      <c r="U1349">
        <v>102.8</v>
      </c>
      <c r="V1349">
        <v>547.1</v>
      </c>
      <c r="W1349">
        <v>21.71</v>
      </c>
      <c r="Y1349">
        <v>14.06</v>
      </c>
    </row>
    <row r="1350" spans="1:25" x14ac:dyDescent="0.25">
      <c r="A1350">
        <v>2006</v>
      </c>
      <c r="B1350">
        <v>177</v>
      </c>
      <c r="C1350">
        <v>1300</v>
      </c>
      <c r="D1350" s="7">
        <v>423.9</v>
      </c>
      <c r="E1350" s="7">
        <v>254.7</v>
      </c>
      <c r="F1350" s="7">
        <v>15.17</v>
      </c>
      <c r="G1350" s="7">
        <v>14.83</v>
      </c>
      <c r="H1350" s="7"/>
      <c r="I1350" s="7"/>
      <c r="J1350" s="7"/>
      <c r="K1350" s="7">
        <v>1.8149999999999999</v>
      </c>
      <c r="L1350" s="7">
        <v>95.4</v>
      </c>
      <c r="M1350" s="7">
        <v>0</v>
      </c>
      <c r="N1350" s="7"/>
      <c r="O1350">
        <v>539.29999999999995</v>
      </c>
      <c r="P1350">
        <v>169.3</v>
      </c>
      <c r="Q1350">
        <v>14.88</v>
      </c>
      <c r="S1350">
        <v>14.79</v>
      </c>
      <c r="T1350">
        <v>0</v>
      </c>
      <c r="U1350">
        <v>103.6</v>
      </c>
      <c r="V1350">
        <v>546</v>
      </c>
      <c r="W1350">
        <v>21.66</v>
      </c>
      <c r="Y1350">
        <v>14.16</v>
      </c>
    </row>
    <row r="1351" spans="1:25" x14ac:dyDescent="0.25">
      <c r="A1351">
        <v>2006</v>
      </c>
      <c r="B1351">
        <v>177</v>
      </c>
      <c r="C1351">
        <v>1400</v>
      </c>
      <c r="D1351" s="7">
        <v>454</v>
      </c>
      <c r="E1351" s="7">
        <v>269.89999999999998</v>
      </c>
      <c r="F1351" s="7">
        <v>15.68</v>
      </c>
      <c r="G1351" s="7">
        <v>15.29</v>
      </c>
      <c r="H1351" s="7"/>
      <c r="I1351" s="7"/>
      <c r="J1351" s="7"/>
      <c r="K1351" s="7">
        <v>1.8280000000000001</v>
      </c>
      <c r="L1351" s="7">
        <v>101.4</v>
      </c>
      <c r="M1351" s="7">
        <v>0</v>
      </c>
      <c r="N1351" s="7"/>
      <c r="O1351">
        <v>571.29999999999995</v>
      </c>
      <c r="P1351">
        <v>177.6</v>
      </c>
      <c r="Q1351">
        <v>15.03</v>
      </c>
      <c r="S1351">
        <v>14.81</v>
      </c>
      <c r="T1351">
        <v>0</v>
      </c>
      <c r="U1351">
        <v>104.1</v>
      </c>
      <c r="V1351">
        <v>544.79999999999995</v>
      </c>
      <c r="W1351">
        <v>21.6</v>
      </c>
      <c r="Y1351">
        <v>14.19</v>
      </c>
    </row>
    <row r="1352" spans="1:25" x14ac:dyDescent="0.25">
      <c r="A1352">
        <v>2006</v>
      </c>
      <c r="B1352">
        <v>177</v>
      </c>
      <c r="C1352">
        <v>1500</v>
      </c>
      <c r="D1352" s="7">
        <v>421.6</v>
      </c>
      <c r="E1352" s="7">
        <v>242.5</v>
      </c>
      <c r="F1352" s="7">
        <v>16.190000000000001</v>
      </c>
      <c r="G1352" s="7">
        <v>15.66</v>
      </c>
      <c r="H1352" s="7"/>
      <c r="I1352" s="7"/>
      <c r="J1352" s="7"/>
      <c r="K1352" s="7">
        <v>1.6859999999999999</v>
      </c>
      <c r="L1352" s="7">
        <v>110.8</v>
      </c>
      <c r="M1352" s="7">
        <v>0</v>
      </c>
      <c r="N1352" s="7"/>
      <c r="O1352">
        <v>529.4</v>
      </c>
      <c r="P1352">
        <v>157.9</v>
      </c>
      <c r="Q1352">
        <v>15.24</v>
      </c>
      <c r="S1352">
        <v>14.88</v>
      </c>
      <c r="T1352">
        <v>0</v>
      </c>
      <c r="U1352">
        <v>105.5</v>
      </c>
      <c r="V1352">
        <v>543.1</v>
      </c>
      <c r="W1352">
        <v>21.53</v>
      </c>
      <c r="Y1352">
        <v>14.1</v>
      </c>
    </row>
    <row r="1353" spans="1:25" x14ac:dyDescent="0.25">
      <c r="A1353">
        <v>2006</v>
      </c>
      <c r="B1353">
        <v>177</v>
      </c>
      <c r="C1353">
        <v>1600</v>
      </c>
      <c r="D1353" s="7">
        <v>295.2</v>
      </c>
      <c r="E1353" s="7">
        <v>158.9</v>
      </c>
      <c r="F1353" s="7">
        <v>15.54</v>
      </c>
      <c r="G1353" s="7">
        <v>15.16</v>
      </c>
      <c r="H1353" s="7"/>
      <c r="I1353" s="7"/>
      <c r="J1353" s="7"/>
      <c r="K1353" s="7">
        <v>1.5840000000000001</v>
      </c>
      <c r="L1353" s="7">
        <v>118.8</v>
      </c>
      <c r="M1353" s="7">
        <v>0</v>
      </c>
      <c r="N1353" s="7"/>
      <c r="O1353">
        <v>373.2</v>
      </c>
      <c r="P1353">
        <v>115.8</v>
      </c>
      <c r="Q1353">
        <v>15.41</v>
      </c>
      <c r="S1353">
        <v>14.94</v>
      </c>
      <c r="T1353">
        <v>0</v>
      </c>
      <c r="U1353">
        <v>103.9</v>
      </c>
      <c r="V1353">
        <v>541.79999999999995</v>
      </c>
      <c r="W1353">
        <v>21.47</v>
      </c>
      <c r="Y1353">
        <v>13.93</v>
      </c>
    </row>
    <row r="1354" spans="1:25" x14ac:dyDescent="0.25">
      <c r="A1354">
        <v>2006</v>
      </c>
      <c r="B1354">
        <v>177</v>
      </c>
      <c r="C1354">
        <v>1700</v>
      </c>
      <c r="D1354" s="7">
        <v>301.2</v>
      </c>
      <c r="E1354" s="7">
        <v>161.69999999999999</v>
      </c>
      <c r="F1354" s="7">
        <v>15.96</v>
      </c>
      <c r="G1354" s="7">
        <v>15.57</v>
      </c>
      <c r="H1354" s="7"/>
      <c r="I1354" s="7"/>
      <c r="J1354" s="7"/>
      <c r="K1354" s="7">
        <v>1.37</v>
      </c>
      <c r="L1354" s="7">
        <v>112.7</v>
      </c>
      <c r="M1354" s="7">
        <v>0</v>
      </c>
      <c r="N1354" s="7"/>
      <c r="O1354">
        <v>376</v>
      </c>
      <c r="P1354">
        <v>124.5</v>
      </c>
      <c r="Q1354">
        <v>15.55</v>
      </c>
      <c r="S1354">
        <v>15.03</v>
      </c>
      <c r="T1354">
        <v>0</v>
      </c>
      <c r="U1354">
        <v>104.1</v>
      </c>
      <c r="V1354">
        <v>540.1</v>
      </c>
      <c r="W1354">
        <v>21.39</v>
      </c>
      <c r="Y1354">
        <v>13.94</v>
      </c>
    </row>
    <row r="1355" spans="1:25" x14ac:dyDescent="0.25">
      <c r="A1355">
        <v>2006</v>
      </c>
      <c r="B1355">
        <v>177</v>
      </c>
      <c r="C1355">
        <v>1800</v>
      </c>
      <c r="D1355" s="7">
        <v>261.60000000000002</v>
      </c>
      <c r="E1355" s="7">
        <v>130.80000000000001</v>
      </c>
      <c r="F1355" s="7">
        <v>16.14</v>
      </c>
      <c r="G1355" s="7">
        <v>15.74</v>
      </c>
      <c r="H1355" s="7"/>
      <c r="I1355" s="7"/>
      <c r="J1355" s="7"/>
      <c r="K1355" s="7">
        <v>1.3460000000000001</v>
      </c>
      <c r="L1355" s="7">
        <v>108.1</v>
      </c>
      <c r="M1355" s="7">
        <v>0</v>
      </c>
      <c r="N1355" s="7"/>
      <c r="O1355">
        <v>321.8</v>
      </c>
      <c r="P1355">
        <v>114.2</v>
      </c>
      <c r="Q1355">
        <v>15.66</v>
      </c>
      <c r="S1355">
        <v>15.12</v>
      </c>
      <c r="T1355">
        <v>0</v>
      </c>
      <c r="U1355">
        <v>104.1</v>
      </c>
      <c r="V1355">
        <v>538.5</v>
      </c>
      <c r="W1355">
        <v>21.32</v>
      </c>
      <c r="Y1355">
        <v>13.89</v>
      </c>
    </row>
    <row r="1356" spans="1:25" x14ac:dyDescent="0.25">
      <c r="A1356">
        <v>2006</v>
      </c>
      <c r="B1356">
        <v>177</v>
      </c>
      <c r="C1356">
        <v>1900</v>
      </c>
      <c r="D1356" s="7">
        <v>216.7</v>
      </c>
      <c r="E1356" s="7">
        <v>97.4</v>
      </c>
      <c r="F1356" s="7">
        <v>16</v>
      </c>
      <c r="G1356" s="7">
        <v>15.58</v>
      </c>
      <c r="H1356" s="7"/>
      <c r="I1356" s="7"/>
      <c r="J1356" s="7"/>
      <c r="K1356" s="7">
        <v>1.369</v>
      </c>
      <c r="L1356" s="7">
        <v>113.2</v>
      </c>
      <c r="M1356" s="7">
        <v>0</v>
      </c>
      <c r="N1356" s="7"/>
      <c r="O1356">
        <v>268.7</v>
      </c>
      <c r="P1356">
        <v>111.3</v>
      </c>
      <c r="Q1356">
        <v>15.73</v>
      </c>
      <c r="S1356">
        <v>15.19</v>
      </c>
      <c r="T1356">
        <v>0</v>
      </c>
      <c r="U1356">
        <v>104.3</v>
      </c>
      <c r="V1356">
        <v>540.70000000000005</v>
      </c>
      <c r="W1356">
        <v>21.42</v>
      </c>
      <c r="Y1356">
        <v>13.77</v>
      </c>
    </row>
    <row r="1357" spans="1:25" x14ac:dyDescent="0.25">
      <c r="A1357">
        <v>2006</v>
      </c>
      <c r="B1357">
        <v>177</v>
      </c>
      <c r="C1357">
        <v>2000</v>
      </c>
      <c r="D1357" s="7">
        <v>88</v>
      </c>
      <c r="E1357" s="7">
        <v>24.74</v>
      </c>
      <c r="F1357" s="7">
        <v>14.94</v>
      </c>
      <c r="G1357" s="7">
        <v>14.73</v>
      </c>
      <c r="H1357" s="7"/>
      <c r="I1357" s="7"/>
      <c r="J1357" s="7"/>
      <c r="K1357" s="7">
        <v>1.5009999999999999</v>
      </c>
      <c r="L1357" s="7">
        <v>108.9</v>
      </c>
      <c r="M1357" s="7">
        <v>0</v>
      </c>
      <c r="N1357" s="7"/>
      <c r="O1357">
        <v>108.5</v>
      </c>
      <c r="P1357">
        <v>35.729999999999997</v>
      </c>
      <c r="Q1357">
        <v>15.74</v>
      </c>
      <c r="S1357">
        <v>15.18</v>
      </c>
      <c r="T1357">
        <v>0</v>
      </c>
      <c r="U1357">
        <v>102.2</v>
      </c>
      <c r="V1357">
        <v>536</v>
      </c>
      <c r="W1357">
        <v>21.2</v>
      </c>
      <c r="Y1357">
        <v>13.65</v>
      </c>
    </row>
    <row r="1358" spans="1:25" x14ac:dyDescent="0.25">
      <c r="A1358">
        <v>2006</v>
      </c>
      <c r="B1358">
        <v>177</v>
      </c>
      <c r="C1358">
        <v>2100</v>
      </c>
      <c r="D1358" s="7">
        <v>23.01</v>
      </c>
      <c r="E1358" s="7">
        <v>-18.25</v>
      </c>
      <c r="F1358" s="7">
        <v>13.7</v>
      </c>
      <c r="G1358" s="7">
        <v>13.53</v>
      </c>
      <c r="H1358" s="7"/>
      <c r="I1358" s="7"/>
      <c r="J1358" s="7"/>
      <c r="K1358" s="7">
        <v>0.82099999999999995</v>
      </c>
      <c r="L1358" s="7">
        <v>137.4</v>
      </c>
      <c r="M1358" s="7">
        <v>0</v>
      </c>
      <c r="N1358" s="7"/>
      <c r="O1358">
        <v>22.4</v>
      </c>
      <c r="P1358">
        <v>-0.26600000000000001</v>
      </c>
      <c r="Q1358">
        <v>15.72</v>
      </c>
      <c r="S1358">
        <v>15.19</v>
      </c>
      <c r="T1358">
        <v>0</v>
      </c>
      <c r="U1358">
        <v>101.9</v>
      </c>
      <c r="V1358">
        <v>535</v>
      </c>
      <c r="W1358">
        <v>21.16</v>
      </c>
      <c r="Y1358">
        <v>13.5</v>
      </c>
    </row>
    <row r="1359" spans="1:25" x14ac:dyDescent="0.25">
      <c r="A1359">
        <v>2006</v>
      </c>
      <c r="B1359">
        <v>177</v>
      </c>
      <c r="C1359">
        <v>2200</v>
      </c>
      <c r="D1359" s="7">
        <v>-0.71399999999999997</v>
      </c>
      <c r="E1359" s="7">
        <v>-27.75</v>
      </c>
      <c r="F1359" s="7">
        <v>12.37</v>
      </c>
      <c r="G1359" s="7">
        <v>12.1</v>
      </c>
      <c r="H1359" s="7"/>
      <c r="I1359" s="7"/>
      <c r="J1359" s="7"/>
      <c r="K1359" s="7">
        <v>0.26900000000000002</v>
      </c>
      <c r="L1359" s="7">
        <v>184.7</v>
      </c>
      <c r="M1359" s="7">
        <v>0</v>
      </c>
      <c r="N1359" s="7"/>
      <c r="O1359">
        <v>-10.19</v>
      </c>
      <c r="P1359">
        <v>-10.88</v>
      </c>
      <c r="Q1359">
        <v>15.65</v>
      </c>
      <c r="S1359">
        <v>15.18</v>
      </c>
      <c r="T1359">
        <v>0</v>
      </c>
      <c r="U1359">
        <v>103.1</v>
      </c>
      <c r="V1359">
        <v>540.20000000000005</v>
      </c>
      <c r="W1359">
        <v>21.39</v>
      </c>
      <c r="Y1359">
        <v>13.4</v>
      </c>
    </row>
    <row r="1360" spans="1:25" x14ac:dyDescent="0.25">
      <c r="A1360">
        <v>2006</v>
      </c>
      <c r="B1360">
        <v>177</v>
      </c>
      <c r="C1360">
        <v>2300</v>
      </c>
      <c r="D1360" s="7">
        <v>-1.35</v>
      </c>
      <c r="E1360" s="7">
        <v>-21.04</v>
      </c>
      <c r="F1360" s="7">
        <v>11.72</v>
      </c>
      <c r="G1360" s="7">
        <v>11.5</v>
      </c>
      <c r="H1360" s="7"/>
      <c r="I1360" s="7"/>
      <c r="J1360" s="7"/>
      <c r="K1360" s="7">
        <v>0.29099999999999998</v>
      </c>
      <c r="L1360" s="7">
        <v>237.1</v>
      </c>
      <c r="M1360" s="7">
        <v>0</v>
      </c>
      <c r="N1360" s="7"/>
      <c r="O1360">
        <v>-12.16</v>
      </c>
      <c r="P1360">
        <v>-11.48</v>
      </c>
      <c r="Q1360">
        <v>15.54</v>
      </c>
      <c r="S1360">
        <v>15.18</v>
      </c>
      <c r="T1360">
        <v>0</v>
      </c>
      <c r="U1360">
        <v>102.7</v>
      </c>
      <c r="V1360">
        <v>542.70000000000005</v>
      </c>
      <c r="W1360">
        <v>21.51</v>
      </c>
      <c r="Y1360">
        <v>13.31</v>
      </c>
    </row>
    <row r="1361" spans="1:25" x14ac:dyDescent="0.25">
      <c r="A1361">
        <v>2006</v>
      </c>
      <c r="B1361">
        <v>177</v>
      </c>
      <c r="C1361">
        <v>2400</v>
      </c>
      <c r="D1361" s="7">
        <v>-1.3180000000000001</v>
      </c>
      <c r="E1361" s="7">
        <v>-21.95</v>
      </c>
      <c r="F1361" s="7">
        <v>11.42</v>
      </c>
      <c r="G1361" s="7">
        <v>11.29</v>
      </c>
      <c r="H1361" s="7"/>
      <c r="I1361" s="7"/>
      <c r="J1361" s="7"/>
      <c r="K1361" s="7">
        <v>0.13900000000000001</v>
      </c>
      <c r="L1361" s="7">
        <v>181.2</v>
      </c>
      <c r="M1361" s="7">
        <v>0</v>
      </c>
      <c r="N1361" s="7"/>
      <c r="O1361">
        <v>-12.17</v>
      </c>
      <c r="P1361">
        <v>-11.47</v>
      </c>
      <c r="Q1361">
        <v>15.42</v>
      </c>
      <c r="S1361">
        <v>15.14</v>
      </c>
      <c r="T1361">
        <v>0</v>
      </c>
      <c r="U1361">
        <v>101.5</v>
      </c>
      <c r="V1361">
        <v>552.9</v>
      </c>
      <c r="W1361">
        <v>21.97</v>
      </c>
      <c r="Y1361">
        <v>13.23</v>
      </c>
    </row>
    <row r="1362" spans="1:25" x14ac:dyDescent="0.25">
      <c r="A1362">
        <v>2006</v>
      </c>
      <c r="B1362">
        <v>178</v>
      </c>
      <c r="C1362">
        <v>100</v>
      </c>
      <c r="D1362" s="7">
        <v>-1.6</v>
      </c>
      <c r="E1362" s="7">
        <v>-26.35</v>
      </c>
      <c r="F1362" s="7">
        <v>11</v>
      </c>
      <c r="G1362" s="7">
        <v>10.88</v>
      </c>
      <c r="H1362" s="7"/>
      <c r="I1362" s="7"/>
      <c r="J1362" s="7"/>
      <c r="K1362" s="7">
        <v>0.11600000000000001</v>
      </c>
      <c r="L1362" s="7">
        <v>207.1</v>
      </c>
      <c r="M1362" s="7">
        <v>0</v>
      </c>
      <c r="N1362" s="7"/>
      <c r="O1362">
        <v>-12.17</v>
      </c>
      <c r="P1362">
        <v>-11.47</v>
      </c>
      <c r="Q1362">
        <v>15.32</v>
      </c>
      <c r="S1362">
        <v>15.1</v>
      </c>
      <c r="T1362">
        <v>0</v>
      </c>
      <c r="U1362">
        <v>101.4</v>
      </c>
      <c r="V1362">
        <v>544.5</v>
      </c>
      <c r="W1362">
        <v>21.59</v>
      </c>
      <c r="Y1362">
        <v>13.17</v>
      </c>
    </row>
    <row r="1363" spans="1:25" x14ac:dyDescent="0.25">
      <c r="A1363">
        <v>2006</v>
      </c>
      <c r="B1363">
        <v>178</v>
      </c>
      <c r="C1363">
        <v>200</v>
      </c>
      <c r="D1363" s="7">
        <v>-1.6919999999999999</v>
      </c>
      <c r="E1363" s="7">
        <v>-23.6</v>
      </c>
      <c r="F1363" s="7">
        <v>10.130000000000001</v>
      </c>
      <c r="G1363" s="7">
        <v>9.9600000000000009</v>
      </c>
      <c r="H1363" s="7"/>
      <c r="I1363" s="7"/>
      <c r="J1363" s="7"/>
      <c r="K1363" s="7">
        <v>0.188</v>
      </c>
      <c r="L1363" s="7">
        <v>224.1</v>
      </c>
      <c r="M1363" s="7">
        <v>0</v>
      </c>
      <c r="N1363" s="7"/>
      <c r="O1363">
        <v>-12.17</v>
      </c>
      <c r="P1363">
        <v>-11.48</v>
      </c>
      <c r="Q1363">
        <v>15.18</v>
      </c>
      <c r="S1363">
        <v>15.02</v>
      </c>
      <c r="T1363">
        <v>0</v>
      </c>
      <c r="U1363">
        <v>102.1</v>
      </c>
      <c r="V1363">
        <v>542.9</v>
      </c>
      <c r="W1363">
        <v>21.52</v>
      </c>
      <c r="Y1363">
        <v>13.1</v>
      </c>
    </row>
    <row r="1364" spans="1:25" x14ac:dyDescent="0.25">
      <c r="A1364">
        <v>2006</v>
      </c>
      <c r="B1364">
        <v>178</v>
      </c>
      <c r="C1364">
        <v>300</v>
      </c>
      <c r="D1364" s="7">
        <v>-0.97599999999999998</v>
      </c>
      <c r="E1364" s="7">
        <v>-19.850000000000001</v>
      </c>
      <c r="F1364" s="7">
        <v>10.74</v>
      </c>
      <c r="G1364" s="7">
        <v>10.67</v>
      </c>
      <c r="H1364" s="7"/>
      <c r="I1364" s="7"/>
      <c r="J1364" s="7"/>
      <c r="K1364" s="7">
        <v>0.41199999999999998</v>
      </c>
      <c r="L1364" s="7">
        <v>277.2</v>
      </c>
      <c r="M1364" s="7">
        <v>0</v>
      </c>
      <c r="N1364" s="7"/>
      <c r="O1364">
        <v>-12.17</v>
      </c>
      <c r="P1364">
        <v>-11.47</v>
      </c>
      <c r="Q1364">
        <v>15.03</v>
      </c>
      <c r="S1364">
        <v>14.94</v>
      </c>
      <c r="T1364">
        <v>0</v>
      </c>
      <c r="U1364">
        <v>100.8</v>
      </c>
      <c r="V1364">
        <v>545.20000000000005</v>
      </c>
      <c r="W1364">
        <v>21.62</v>
      </c>
      <c r="Y1364">
        <v>13.04</v>
      </c>
    </row>
    <row r="1365" spans="1:25" x14ac:dyDescent="0.25">
      <c r="A1365">
        <v>2006</v>
      </c>
      <c r="B1365">
        <v>178</v>
      </c>
      <c r="C1365">
        <v>400</v>
      </c>
      <c r="D1365" s="7">
        <v>-0.66200000000000003</v>
      </c>
      <c r="E1365" s="7">
        <v>-23.87</v>
      </c>
      <c r="F1365" s="7">
        <v>10.210000000000001</v>
      </c>
      <c r="G1365" s="7">
        <v>10.09</v>
      </c>
      <c r="H1365" s="7"/>
      <c r="I1365" s="7"/>
      <c r="J1365" s="7"/>
      <c r="K1365" s="7">
        <v>0.22</v>
      </c>
      <c r="L1365" s="7">
        <v>272.5</v>
      </c>
      <c r="M1365" s="7">
        <v>0</v>
      </c>
      <c r="N1365" s="7"/>
      <c r="O1365">
        <v>-11</v>
      </c>
      <c r="P1365">
        <v>-11.17</v>
      </c>
      <c r="Q1365">
        <v>14.93</v>
      </c>
      <c r="S1365">
        <v>14.87</v>
      </c>
      <c r="T1365">
        <v>0</v>
      </c>
      <c r="U1365">
        <v>101.5</v>
      </c>
      <c r="V1365">
        <v>542.4</v>
      </c>
      <c r="W1365">
        <v>21.5</v>
      </c>
      <c r="Y1365">
        <v>12.99</v>
      </c>
    </row>
    <row r="1366" spans="1:25" x14ac:dyDescent="0.25">
      <c r="A1366">
        <v>2006</v>
      </c>
      <c r="B1366">
        <v>178</v>
      </c>
      <c r="C1366">
        <v>500</v>
      </c>
      <c r="D1366" s="7">
        <v>13.95</v>
      </c>
      <c r="E1366" s="7">
        <v>-10.65</v>
      </c>
      <c r="F1366" s="7">
        <v>10.29</v>
      </c>
      <c r="G1366" s="7">
        <v>10.19</v>
      </c>
      <c r="H1366" s="7"/>
      <c r="I1366" s="7"/>
      <c r="J1366" s="7"/>
      <c r="K1366" s="7">
        <v>0.38400000000000001</v>
      </c>
      <c r="L1366" s="7">
        <v>261.39999999999998</v>
      </c>
      <c r="M1366" s="7">
        <v>0</v>
      </c>
      <c r="N1366" s="7"/>
      <c r="O1366">
        <v>8.24</v>
      </c>
      <c r="P1366">
        <v>-4.4329999999999998</v>
      </c>
      <c r="Q1366">
        <v>14.83</v>
      </c>
      <c r="S1366">
        <v>14.8</v>
      </c>
      <c r="T1366">
        <v>0</v>
      </c>
      <c r="U1366">
        <v>101.2</v>
      </c>
      <c r="V1366">
        <v>540.9</v>
      </c>
      <c r="W1366">
        <v>21.43</v>
      </c>
      <c r="Y1366">
        <v>12.95</v>
      </c>
    </row>
    <row r="1367" spans="1:25" x14ac:dyDescent="0.25">
      <c r="A1367">
        <v>2006</v>
      </c>
      <c r="B1367">
        <v>178</v>
      </c>
      <c r="C1367">
        <v>600</v>
      </c>
      <c r="D1367" s="7">
        <v>57.22</v>
      </c>
      <c r="E1367" s="7">
        <v>15.45</v>
      </c>
      <c r="F1367" s="7">
        <v>10.82</v>
      </c>
      <c r="G1367" s="7">
        <v>10.95</v>
      </c>
      <c r="H1367" s="7"/>
      <c r="I1367" s="7"/>
      <c r="J1367" s="7"/>
      <c r="K1367" s="7">
        <v>0.38600000000000001</v>
      </c>
      <c r="L1367" s="7">
        <v>212.6</v>
      </c>
      <c r="M1367" s="7">
        <v>0</v>
      </c>
      <c r="N1367" s="7"/>
      <c r="O1367">
        <v>61.98</v>
      </c>
      <c r="P1367">
        <v>12.65</v>
      </c>
      <c r="Q1367">
        <v>14.73</v>
      </c>
      <c r="S1367">
        <v>14.75</v>
      </c>
      <c r="T1367">
        <v>0</v>
      </c>
      <c r="U1367">
        <v>98.5</v>
      </c>
      <c r="V1367">
        <v>538.5</v>
      </c>
      <c r="W1367">
        <v>21.32</v>
      </c>
      <c r="Y1367">
        <v>13.02</v>
      </c>
    </row>
    <row r="1368" spans="1:25" x14ac:dyDescent="0.25">
      <c r="A1368">
        <v>2006</v>
      </c>
      <c r="B1368">
        <v>178</v>
      </c>
      <c r="C1368">
        <v>700</v>
      </c>
      <c r="D1368" s="7">
        <v>156.30000000000001</v>
      </c>
      <c r="E1368" s="7">
        <v>79.8</v>
      </c>
      <c r="F1368" s="7">
        <v>11.74</v>
      </c>
      <c r="G1368" s="7">
        <v>12.12</v>
      </c>
      <c r="H1368" s="7"/>
      <c r="I1368" s="7"/>
      <c r="J1368" s="7"/>
      <c r="K1368" s="7">
        <v>0.75</v>
      </c>
      <c r="L1368" s="7">
        <v>285</v>
      </c>
      <c r="M1368" s="7">
        <v>0</v>
      </c>
      <c r="N1368" s="7"/>
      <c r="O1368">
        <v>191.9</v>
      </c>
      <c r="P1368">
        <v>59.2</v>
      </c>
      <c r="Q1368">
        <v>14.7</v>
      </c>
      <c r="S1368">
        <v>14.7</v>
      </c>
      <c r="T1368">
        <v>0</v>
      </c>
      <c r="U1368">
        <v>95.7</v>
      </c>
      <c r="V1368">
        <v>537.29999999999995</v>
      </c>
      <c r="W1368">
        <v>21.26</v>
      </c>
      <c r="Y1368">
        <v>13.61</v>
      </c>
    </row>
    <row r="1369" spans="1:25" x14ac:dyDescent="0.25">
      <c r="A1369">
        <v>2006</v>
      </c>
      <c r="B1369">
        <v>178</v>
      </c>
      <c r="C1369">
        <v>800</v>
      </c>
      <c r="D1369" s="7">
        <v>341.6</v>
      </c>
      <c r="E1369" s="7">
        <v>227.4</v>
      </c>
      <c r="F1369" s="7">
        <v>13.56</v>
      </c>
      <c r="G1369" s="7">
        <v>14.13</v>
      </c>
      <c r="H1369" s="7"/>
      <c r="I1369" s="7"/>
      <c r="J1369" s="7"/>
      <c r="K1369" s="7">
        <v>0.56100000000000005</v>
      </c>
      <c r="L1369" s="7">
        <v>282.60000000000002</v>
      </c>
      <c r="M1369" s="7">
        <v>0</v>
      </c>
      <c r="N1369" s="7"/>
      <c r="O1369">
        <v>450.6</v>
      </c>
      <c r="P1369">
        <v>150.4</v>
      </c>
      <c r="Q1369">
        <v>14.74</v>
      </c>
      <c r="S1369">
        <v>14.71</v>
      </c>
      <c r="T1369">
        <v>0</v>
      </c>
      <c r="U1369">
        <v>94</v>
      </c>
      <c r="V1369">
        <v>536.20000000000005</v>
      </c>
      <c r="W1369">
        <v>21.21</v>
      </c>
      <c r="Y1369">
        <v>14.2</v>
      </c>
    </row>
    <row r="1370" spans="1:25" x14ac:dyDescent="0.25">
      <c r="A1370">
        <v>2006</v>
      </c>
      <c r="B1370">
        <v>178</v>
      </c>
      <c r="C1370">
        <v>900</v>
      </c>
      <c r="D1370" s="7">
        <v>547.4</v>
      </c>
      <c r="E1370" s="7">
        <v>375.7</v>
      </c>
      <c r="F1370" s="7">
        <v>17.170000000000002</v>
      </c>
      <c r="G1370" s="7">
        <v>16.79</v>
      </c>
      <c r="H1370" s="7">
        <f>AVERAGE(G1370:G1393)</f>
        <v>13.653208333333332</v>
      </c>
      <c r="I1370" s="7">
        <f>MIN(G1370:G1393)</f>
        <v>6.68</v>
      </c>
      <c r="J1370" s="7">
        <f>MAX(G1370:G1393)</f>
        <v>18.62</v>
      </c>
      <c r="K1370" s="7">
        <v>0.83199999999999996</v>
      </c>
      <c r="L1370" s="7">
        <v>93.6</v>
      </c>
      <c r="M1370" s="7">
        <v>0</v>
      </c>
      <c r="N1370" s="7">
        <f>SUM(M1370:M1393)</f>
        <v>0</v>
      </c>
      <c r="O1370">
        <v>698.2</v>
      </c>
      <c r="P1370">
        <v>211.8</v>
      </c>
      <c r="Q1370">
        <v>14.9</v>
      </c>
      <c r="S1370">
        <v>14.78</v>
      </c>
      <c r="T1370">
        <v>0</v>
      </c>
      <c r="U1370">
        <v>103.8</v>
      </c>
      <c r="V1370">
        <v>535.4</v>
      </c>
      <c r="W1370">
        <v>21.18</v>
      </c>
      <c r="Y1370">
        <v>14.68</v>
      </c>
    </row>
    <row r="1371" spans="1:25" x14ac:dyDescent="0.25">
      <c r="A1371">
        <v>2006</v>
      </c>
      <c r="B1371">
        <v>178</v>
      </c>
      <c r="C1371">
        <v>1000</v>
      </c>
      <c r="D1371" s="7">
        <v>346</v>
      </c>
      <c r="E1371" s="7">
        <v>207.6</v>
      </c>
      <c r="F1371" s="7">
        <v>17.13</v>
      </c>
      <c r="G1371" s="7">
        <v>16.75</v>
      </c>
      <c r="H1371" s="7"/>
      <c r="I1371" s="7"/>
      <c r="J1371" s="7"/>
      <c r="K1371" s="7">
        <v>0.70399999999999996</v>
      </c>
      <c r="L1371" s="7">
        <v>171.7</v>
      </c>
      <c r="M1371" s="7">
        <v>0</v>
      </c>
      <c r="N1371" s="7"/>
      <c r="O1371">
        <v>430.5</v>
      </c>
      <c r="P1371">
        <v>126.7</v>
      </c>
      <c r="Q1371">
        <v>15.05</v>
      </c>
      <c r="S1371">
        <v>14.7</v>
      </c>
      <c r="T1371">
        <v>0</v>
      </c>
      <c r="U1371">
        <v>103.9</v>
      </c>
      <c r="V1371">
        <v>534.20000000000005</v>
      </c>
      <c r="W1371">
        <v>21.12</v>
      </c>
      <c r="Y1371">
        <v>14.12</v>
      </c>
    </row>
    <row r="1372" spans="1:25" x14ac:dyDescent="0.25">
      <c r="A1372">
        <v>2006</v>
      </c>
      <c r="B1372">
        <v>178</v>
      </c>
      <c r="C1372">
        <v>1100</v>
      </c>
      <c r="D1372" s="7">
        <v>294.39999999999998</v>
      </c>
      <c r="E1372" s="7">
        <v>165.9</v>
      </c>
      <c r="F1372" s="7">
        <v>17.96</v>
      </c>
      <c r="G1372" s="7">
        <v>17.37</v>
      </c>
      <c r="H1372" s="7"/>
      <c r="I1372" s="7"/>
      <c r="J1372" s="7"/>
      <c r="K1372" s="7">
        <v>0.91</v>
      </c>
      <c r="L1372" s="7">
        <v>149.9</v>
      </c>
      <c r="M1372" s="7">
        <v>0</v>
      </c>
      <c r="N1372" s="7"/>
      <c r="O1372">
        <v>374.3</v>
      </c>
      <c r="P1372">
        <v>114.4</v>
      </c>
      <c r="Q1372">
        <v>15.29</v>
      </c>
      <c r="S1372">
        <v>14.85</v>
      </c>
      <c r="T1372">
        <v>0</v>
      </c>
      <c r="U1372">
        <v>105.9</v>
      </c>
      <c r="V1372">
        <v>532.4</v>
      </c>
      <c r="W1372">
        <v>21.04</v>
      </c>
      <c r="Y1372">
        <v>14.02</v>
      </c>
    </row>
    <row r="1373" spans="1:25" x14ac:dyDescent="0.25">
      <c r="A1373">
        <v>2006</v>
      </c>
      <c r="B1373">
        <v>178</v>
      </c>
      <c r="C1373">
        <v>1200</v>
      </c>
      <c r="D1373" s="7">
        <v>305</v>
      </c>
      <c r="E1373" s="7">
        <v>175.4</v>
      </c>
      <c r="F1373" s="7">
        <v>17.14</v>
      </c>
      <c r="G1373" s="7">
        <v>16.829999999999998</v>
      </c>
      <c r="H1373" s="7"/>
      <c r="I1373" s="7"/>
      <c r="J1373" s="7"/>
      <c r="K1373" s="7">
        <v>1.4890000000000001</v>
      </c>
      <c r="L1373" s="7">
        <v>142.69999999999999</v>
      </c>
      <c r="M1373" s="7">
        <v>0</v>
      </c>
      <c r="N1373" s="7"/>
      <c r="O1373">
        <v>391.3</v>
      </c>
      <c r="P1373">
        <v>118.4</v>
      </c>
      <c r="Q1373">
        <v>15.43</v>
      </c>
      <c r="S1373">
        <v>14.93</v>
      </c>
      <c r="T1373">
        <v>0</v>
      </c>
      <c r="U1373">
        <v>103.2</v>
      </c>
      <c r="V1373">
        <v>531.6</v>
      </c>
      <c r="W1373">
        <v>21</v>
      </c>
      <c r="Y1373">
        <v>14.03</v>
      </c>
    </row>
    <row r="1374" spans="1:25" x14ac:dyDescent="0.25">
      <c r="A1374">
        <v>2006</v>
      </c>
      <c r="B1374">
        <v>178</v>
      </c>
      <c r="C1374">
        <v>1300</v>
      </c>
      <c r="D1374" s="7">
        <v>194</v>
      </c>
      <c r="E1374" s="7">
        <v>100.6</v>
      </c>
      <c r="F1374" s="7">
        <v>16.829999999999998</v>
      </c>
      <c r="G1374" s="7">
        <v>16.62</v>
      </c>
      <c r="H1374" s="7"/>
      <c r="I1374" s="7"/>
      <c r="J1374" s="7"/>
      <c r="K1374" s="7">
        <v>1.371</v>
      </c>
      <c r="L1374" s="7">
        <v>127.9</v>
      </c>
      <c r="M1374" s="7">
        <v>0</v>
      </c>
      <c r="N1374" s="7"/>
      <c r="O1374">
        <v>258.39999999999998</v>
      </c>
      <c r="P1374">
        <v>81</v>
      </c>
      <c r="Q1374">
        <v>15.58</v>
      </c>
      <c r="S1374">
        <v>15.09</v>
      </c>
      <c r="T1374">
        <v>0</v>
      </c>
      <c r="U1374">
        <v>102.2</v>
      </c>
      <c r="V1374">
        <v>529.5</v>
      </c>
      <c r="W1374">
        <v>20.91</v>
      </c>
      <c r="Y1374">
        <v>13.87</v>
      </c>
    </row>
    <row r="1375" spans="1:25" x14ac:dyDescent="0.25">
      <c r="A1375">
        <v>2006</v>
      </c>
      <c r="B1375">
        <v>178</v>
      </c>
      <c r="C1375">
        <v>1400</v>
      </c>
      <c r="D1375" s="7">
        <v>144.1</v>
      </c>
      <c r="E1375" s="7">
        <v>65.599999999999994</v>
      </c>
      <c r="F1375" s="7">
        <v>16.170000000000002</v>
      </c>
      <c r="G1375" s="7">
        <v>15.99</v>
      </c>
      <c r="H1375" s="7"/>
      <c r="I1375" s="7"/>
      <c r="J1375" s="7"/>
      <c r="K1375" s="7">
        <v>1.5349999999999999</v>
      </c>
      <c r="L1375" s="7">
        <v>134.9</v>
      </c>
      <c r="M1375" s="7">
        <v>0</v>
      </c>
      <c r="N1375" s="7"/>
      <c r="O1375">
        <v>189.5</v>
      </c>
      <c r="P1375">
        <v>58.59</v>
      </c>
      <c r="Q1375">
        <v>15.66</v>
      </c>
      <c r="S1375">
        <v>15.16</v>
      </c>
      <c r="T1375">
        <v>0</v>
      </c>
      <c r="U1375">
        <v>101.8</v>
      </c>
      <c r="V1375">
        <v>528.5</v>
      </c>
      <c r="W1375">
        <v>20.86</v>
      </c>
      <c r="Y1375">
        <v>13.74</v>
      </c>
    </row>
    <row r="1376" spans="1:25" x14ac:dyDescent="0.25">
      <c r="A1376">
        <v>2006</v>
      </c>
      <c r="B1376">
        <v>178</v>
      </c>
      <c r="C1376">
        <v>1500</v>
      </c>
      <c r="D1376" s="7">
        <v>175.1</v>
      </c>
      <c r="E1376" s="7">
        <v>85.6</v>
      </c>
      <c r="F1376" s="7">
        <v>15.69</v>
      </c>
      <c r="G1376" s="7">
        <v>15.57</v>
      </c>
      <c r="H1376" s="7"/>
      <c r="I1376" s="7"/>
      <c r="J1376" s="7"/>
      <c r="K1376" s="7">
        <v>1.2809999999999999</v>
      </c>
      <c r="L1376" s="7">
        <v>141.80000000000001</v>
      </c>
      <c r="M1376" s="7">
        <v>0</v>
      </c>
      <c r="N1376" s="7"/>
      <c r="O1376">
        <v>229.8</v>
      </c>
      <c r="P1376">
        <v>75</v>
      </c>
      <c r="Q1376">
        <v>15.72</v>
      </c>
      <c r="S1376">
        <v>15.26</v>
      </c>
      <c r="T1376">
        <v>0</v>
      </c>
      <c r="U1376">
        <v>101.2</v>
      </c>
      <c r="V1376">
        <v>527.70000000000005</v>
      </c>
      <c r="W1376">
        <v>20.82</v>
      </c>
      <c r="Y1376">
        <v>13.73</v>
      </c>
    </row>
    <row r="1377" spans="1:25" x14ac:dyDescent="0.25">
      <c r="A1377">
        <v>2006</v>
      </c>
      <c r="B1377">
        <v>178</v>
      </c>
      <c r="C1377">
        <v>1600</v>
      </c>
      <c r="D1377" s="7">
        <v>544.5</v>
      </c>
      <c r="E1377" s="7">
        <v>320</v>
      </c>
      <c r="F1377" s="7">
        <v>17.940000000000001</v>
      </c>
      <c r="G1377" s="7">
        <v>17.62</v>
      </c>
      <c r="H1377" s="7"/>
      <c r="I1377" s="7"/>
      <c r="J1377" s="7"/>
      <c r="K1377" s="7">
        <v>1.5009999999999999</v>
      </c>
      <c r="L1377" s="7">
        <v>146</v>
      </c>
      <c r="M1377" s="7">
        <v>0</v>
      </c>
      <c r="N1377" s="7"/>
      <c r="O1377">
        <v>672.5</v>
      </c>
      <c r="P1377">
        <v>222</v>
      </c>
      <c r="Q1377">
        <v>15.8</v>
      </c>
      <c r="S1377">
        <v>15.4</v>
      </c>
      <c r="T1377">
        <v>0</v>
      </c>
      <c r="U1377">
        <v>103.1</v>
      </c>
      <c r="V1377">
        <v>526.29999999999995</v>
      </c>
      <c r="W1377">
        <v>20.76</v>
      </c>
      <c r="Y1377">
        <v>14.2</v>
      </c>
    </row>
    <row r="1378" spans="1:25" x14ac:dyDescent="0.25">
      <c r="A1378">
        <v>2006</v>
      </c>
      <c r="B1378">
        <v>178</v>
      </c>
      <c r="C1378">
        <v>1700</v>
      </c>
      <c r="D1378" s="7">
        <v>535.6</v>
      </c>
      <c r="E1378" s="7">
        <v>299.89999999999998</v>
      </c>
      <c r="F1378" s="7">
        <v>19.28</v>
      </c>
      <c r="G1378" s="7">
        <v>18.62</v>
      </c>
      <c r="H1378" s="7"/>
      <c r="I1378" s="7"/>
      <c r="J1378" s="7"/>
      <c r="K1378" s="7">
        <v>1.8140000000000001</v>
      </c>
      <c r="L1378" s="7">
        <v>111.2</v>
      </c>
      <c r="M1378" s="7">
        <v>0</v>
      </c>
      <c r="N1378" s="7"/>
      <c r="O1378">
        <v>647.20000000000005</v>
      </c>
      <c r="P1378">
        <v>257.89999999999998</v>
      </c>
      <c r="Q1378">
        <v>15.92</v>
      </c>
      <c r="S1378">
        <v>15.49</v>
      </c>
      <c r="T1378">
        <v>0</v>
      </c>
      <c r="U1378">
        <v>106.2</v>
      </c>
      <c r="V1378">
        <v>525.70000000000005</v>
      </c>
      <c r="W1378">
        <v>20.73</v>
      </c>
      <c r="Y1378">
        <v>14.1</v>
      </c>
    </row>
    <row r="1379" spans="1:25" x14ac:dyDescent="0.25">
      <c r="A1379">
        <v>2006</v>
      </c>
      <c r="B1379">
        <v>178</v>
      </c>
      <c r="C1379">
        <v>1800</v>
      </c>
      <c r="D1379" s="7">
        <v>355</v>
      </c>
      <c r="E1379" s="7">
        <v>175.5</v>
      </c>
      <c r="F1379" s="7">
        <v>18.27</v>
      </c>
      <c r="G1379" s="7">
        <v>17.75</v>
      </c>
      <c r="H1379" s="7"/>
      <c r="I1379" s="7"/>
      <c r="J1379" s="7"/>
      <c r="K1379" s="7">
        <v>2.0739999999999998</v>
      </c>
      <c r="L1379" s="7">
        <v>122.4</v>
      </c>
      <c r="M1379" s="7">
        <v>0</v>
      </c>
      <c r="N1379" s="7"/>
      <c r="O1379">
        <v>423.7</v>
      </c>
      <c r="P1379">
        <v>203.5</v>
      </c>
      <c r="Q1379">
        <v>16.02</v>
      </c>
      <c r="S1379">
        <v>15.46</v>
      </c>
      <c r="T1379">
        <v>0</v>
      </c>
      <c r="U1379">
        <v>105</v>
      </c>
      <c r="V1379">
        <v>524.79999999999995</v>
      </c>
      <c r="W1379">
        <v>20.69</v>
      </c>
      <c r="Y1379">
        <v>13.77</v>
      </c>
    </row>
    <row r="1380" spans="1:25" x14ac:dyDescent="0.25">
      <c r="A1380">
        <v>2006</v>
      </c>
      <c r="B1380">
        <v>178</v>
      </c>
      <c r="C1380">
        <v>1900</v>
      </c>
      <c r="D1380" s="7">
        <v>85.3</v>
      </c>
      <c r="E1380" s="7">
        <v>-3.64</v>
      </c>
      <c r="F1380" s="7">
        <v>15.73</v>
      </c>
      <c r="G1380" s="7">
        <v>15.6</v>
      </c>
      <c r="H1380" s="7"/>
      <c r="I1380" s="7"/>
      <c r="J1380" s="7"/>
      <c r="K1380" s="7">
        <v>1.7430000000000001</v>
      </c>
      <c r="L1380" s="7">
        <v>123.6</v>
      </c>
      <c r="M1380" s="7">
        <v>0</v>
      </c>
      <c r="N1380" s="7"/>
      <c r="O1380">
        <v>78.599999999999994</v>
      </c>
      <c r="P1380">
        <v>29.05</v>
      </c>
      <c r="Q1380">
        <v>16.03</v>
      </c>
      <c r="S1380">
        <v>15.39</v>
      </c>
      <c r="T1380">
        <v>0</v>
      </c>
      <c r="U1380">
        <v>101.3</v>
      </c>
      <c r="V1380">
        <v>524.4</v>
      </c>
      <c r="W1380">
        <v>20.67</v>
      </c>
      <c r="Y1380">
        <v>13.58</v>
      </c>
    </row>
    <row r="1381" spans="1:25" x14ac:dyDescent="0.25">
      <c r="A1381">
        <v>2006</v>
      </c>
      <c r="B1381">
        <v>178</v>
      </c>
      <c r="C1381">
        <v>2000</v>
      </c>
      <c r="D1381" s="7">
        <v>58.21</v>
      </c>
      <c r="E1381" s="7">
        <v>3.5019999999999998</v>
      </c>
      <c r="F1381" s="7">
        <v>14.84</v>
      </c>
      <c r="G1381" s="7">
        <v>14.75</v>
      </c>
      <c r="H1381" s="7"/>
      <c r="I1381" s="7"/>
      <c r="J1381" s="7"/>
      <c r="K1381" s="7">
        <v>1.044</v>
      </c>
      <c r="L1381" s="7">
        <v>135.6</v>
      </c>
      <c r="M1381" s="7">
        <v>0</v>
      </c>
      <c r="N1381" s="7"/>
      <c r="O1381">
        <v>62.7</v>
      </c>
      <c r="P1381">
        <v>15.69</v>
      </c>
      <c r="Q1381">
        <v>15.97</v>
      </c>
      <c r="S1381">
        <v>15.39</v>
      </c>
      <c r="T1381">
        <v>0</v>
      </c>
      <c r="U1381">
        <v>101</v>
      </c>
      <c r="V1381">
        <v>522.79999999999995</v>
      </c>
      <c r="W1381">
        <v>20.6</v>
      </c>
      <c r="Y1381">
        <v>13.52</v>
      </c>
    </row>
    <row r="1382" spans="1:25" x14ac:dyDescent="0.25">
      <c r="A1382">
        <v>2006</v>
      </c>
      <c r="B1382">
        <v>178</v>
      </c>
      <c r="C1382">
        <v>2100</v>
      </c>
      <c r="D1382" s="7">
        <v>14.43</v>
      </c>
      <c r="E1382" s="7">
        <v>-16.59</v>
      </c>
      <c r="F1382" s="7">
        <v>13.94</v>
      </c>
      <c r="G1382" s="7">
        <v>13.82</v>
      </c>
      <c r="H1382" s="7"/>
      <c r="I1382" s="7"/>
      <c r="J1382" s="7"/>
      <c r="K1382" s="7">
        <v>1.077</v>
      </c>
      <c r="L1382" s="7">
        <v>114.3</v>
      </c>
      <c r="M1382" s="7">
        <v>0</v>
      </c>
      <c r="N1382" s="7"/>
      <c r="O1382">
        <v>8.83</v>
      </c>
      <c r="P1382">
        <v>-2.0049999999999999</v>
      </c>
      <c r="Q1382">
        <v>15.88</v>
      </c>
      <c r="S1382">
        <v>15.38</v>
      </c>
      <c r="T1382">
        <v>0</v>
      </c>
      <c r="U1382">
        <v>101.3</v>
      </c>
      <c r="V1382">
        <v>525.4</v>
      </c>
      <c r="W1382">
        <v>20.72</v>
      </c>
      <c r="Y1382">
        <v>13.41</v>
      </c>
    </row>
    <row r="1383" spans="1:25" x14ac:dyDescent="0.25">
      <c r="A1383">
        <v>2006</v>
      </c>
      <c r="B1383">
        <v>178</v>
      </c>
      <c r="C1383">
        <v>2200</v>
      </c>
      <c r="D1383" s="7">
        <v>-1.254</v>
      </c>
      <c r="E1383" s="7">
        <v>-32.43</v>
      </c>
      <c r="F1383" s="7">
        <v>12.75</v>
      </c>
      <c r="G1383" s="7">
        <v>12.71</v>
      </c>
      <c r="H1383" s="7"/>
      <c r="I1383" s="7"/>
      <c r="J1383" s="7"/>
      <c r="K1383" s="7">
        <v>0.78900000000000003</v>
      </c>
      <c r="L1383" s="7">
        <v>114.8</v>
      </c>
      <c r="M1383" s="7">
        <v>0</v>
      </c>
      <c r="N1383" s="7"/>
      <c r="O1383">
        <v>-11.27</v>
      </c>
      <c r="P1383">
        <v>-11.22</v>
      </c>
      <c r="Q1383">
        <v>15.76</v>
      </c>
      <c r="S1383">
        <v>15.32</v>
      </c>
      <c r="T1383">
        <v>0</v>
      </c>
      <c r="U1383">
        <v>100.5</v>
      </c>
      <c r="V1383">
        <v>521</v>
      </c>
      <c r="W1383">
        <v>20.52</v>
      </c>
      <c r="Y1383">
        <v>13.32</v>
      </c>
    </row>
    <row r="1384" spans="1:25" x14ac:dyDescent="0.25">
      <c r="A1384">
        <v>2006</v>
      </c>
      <c r="B1384">
        <v>178</v>
      </c>
      <c r="C1384">
        <v>2300</v>
      </c>
      <c r="D1384" s="7">
        <v>-3.851</v>
      </c>
      <c r="E1384" s="7">
        <v>-49.71</v>
      </c>
      <c r="F1384" s="7">
        <v>9.7200000000000006</v>
      </c>
      <c r="G1384" s="7">
        <v>9.2799999999999994</v>
      </c>
      <c r="H1384" s="7"/>
      <c r="I1384" s="7"/>
      <c r="J1384" s="7"/>
      <c r="K1384" s="7">
        <v>0.29799999999999999</v>
      </c>
      <c r="L1384" s="7">
        <v>185.2</v>
      </c>
      <c r="M1384" s="7">
        <v>0</v>
      </c>
      <c r="N1384" s="7"/>
      <c r="O1384">
        <v>-12.17</v>
      </c>
      <c r="P1384">
        <v>-11.48</v>
      </c>
      <c r="Q1384">
        <v>15.61</v>
      </c>
      <c r="S1384">
        <v>15.24</v>
      </c>
      <c r="T1384">
        <v>0</v>
      </c>
      <c r="U1384">
        <v>105.6</v>
      </c>
      <c r="V1384">
        <v>531.1</v>
      </c>
      <c r="W1384">
        <v>20.98</v>
      </c>
      <c r="Y1384">
        <v>13.24</v>
      </c>
    </row>
    <row r="1385" spans="1:25" x14ac:dyDescent="0.25">
      <c r="A1385">
        <v>2006</v>
      </c>
      <c r="B1385">
        <v>178</v>
      </c>
      <c r="C1385">
        <v>2400</v>
      </c>
      <c r="D1385" s="7">
        <v>-3.1709999999999998</v>
      </c>
      <c r="E1385" s="7">
        <v>-47.02</v>
      </c>
      <c r="F1385" s="7">
        <v>7.22</v>
      </c>
      <c r="G1385" s="7">
        <v>6.907</v>
      </c>
      <c r="H1385" s="7"/>
      <c r="I1385" s="7"/>
      <c r="J1385" s="7"/>
      <c r="K1385" s="7">
        <v>0.29799999999999999</v>
      </c>
      <c r="L1385" s="7">
        <v>201.6</v>
      </c>
      <c r="M1385" s="7">
        <v>0</v>
      </c>
      <c r="N1385" s="7"/>
      <c r="O1385">
        <v>-12.17</v>
      </c>
      <c r="P1385">
        <v>-11.47</v>
      </c>
      <c r="Q1385">
        <v>15.41</v>
      </c>
      <c r="S1385">
        <v>15.16</v>
      </c>
      <c r="T1385">
        <v>0</v>
      </c>
      <c r="U1385">
        <v>104.3</v>
      </c>
      <c r="V1385">
        <v>539.4</v>
      </c>
      <c r="W1385">
        <v>21.36</v>
      </c>
      <c r="Y1385">
        <v>13.17</v>
      </c>
    </row>
    <row r="1386" spans="1:25" x14ac:dyDescent="0.25">
      <c r="A1386">
        <v>2006</v>
      </c>
      <c r="B1386">
        <v>179</v>
      </c>
      <c r="C1386">
        <v>100</v>
      </c>
      <c r="D1386" s="7">
        <v>-1.774</v>
      </c>
      <c r="E1386" s="7">
        <v>-33.18</v>
      </c>
      <c r="F1386" s="7">
        <v>6.7990000000000004</v>
      </c>
      <c r="G1386" s="7">
        <v>6.68</v>
      </c>
      <c r="H1386" s="7"/>
      <c r="I1386" s="7"/>
      <c r="J1386" s="7"/>
      <c r="K1386" s="7">
        <v>0.221</v>
      </c>
      <c r="L1386" s="7">
        <v>191.5</v>
      </c>
      <c r="M1386" s="7">
        <v>0</v>
      </c>
      <c r="N1386" s="7"/>
      <c r="O1386">
        <v>-12.17</v>
      </c>
      <c r="P1386">
        <v>-11.48</v>
      </c>
      <c r="Q1386">
        <v>15.19</v>
      </c>
      <c r="S1386">
        <v>15.09</v>
      </c>
      <c r="T1386">
        <v>0</v>
      </c>
      <c r="U1386">
        <v>101.7</v>
      </c>
      <c r="V1386">
        <v>535.79999999999995</v>
      </c>
      <c r="W1386">
        <v>21.19</v>
      </c>
      <c r="Y1386">
        <v>13.1</v>
      </c>
    </row>
    <row r="1387" spans="1:25" x14ac:dyDescent="0.25">
      <c r="A1387">
        <v>2006</v>
      </c>
      <c r="B1387">
        <v>179</v>
      </c>
      <c r="C1387">
        <v>200</v>
      </c>
      <c r="D1387" s="7">
        <v>-2.415</v>
      </c>
      <c r="E1387" s="7">
        <v>-43.39</v>
      </c>
      <c r="F1387" s="7">
        <v>7.31</v>
      </c>
      <c r="G1387" s="7">
        <v>7.35</v>
      </c>
      <c r="H1387" s="7"/>
      <c r="I1387" s="7"/>
      <c r="J1387" s="7"/>
      <c r="K1387" s="7">
        <v>0.39500000000000002</v>
      </c>
      <c r="L1387" s="7">
        <v>143.9</v>
      </c>
      <c r="M1387" s="7">
        <v>0</v>
      </c>
      <c r="N1387" s="7"/>
      <c r="O1387">
        <v>-12.17</v>
      </c>
      <c r="P1387">
        <v>-11.48</v>
      </c>
      <c r="Q1387">
        <v>14.93</v>
      </c>
      <c r="S1387">
        <v>14.97</v>
      </c>
      <c r="T1387">
        <v>0</v>
      </c>
      <c r="U1387">
        <v>99.4</v>
      </c>
      <c r="V1387">
        <v>538.29999999999995</v>
      </c>
      <c r="W1387">
        <v>21.31</v>
      </c>
      <c r="Y1387">
        <v>13.04</v>
      </c>
    </row>
    <row r="1388" spans="1:25" x14ac:dyDescent="0.25">
      <c r="A1388">
        <v>2006</v>
      </c>
      <c r="B1388">
        <v>179</v>
      </c>
      <c r="C1388">
        <v>300</v>
      </c>
      <c r="D1388" s="7">
        <v>-2.0699999999999998</v>
      </c>
      <c r="E1388" s="7">
        <v>-25.45</v>
      </c>
      <c r="F1388" s="7">
        <v>9.14</v>
      </c>
      <c r="G1388" s="7">
        <v>9.14</v>
      </c>
      <c r="H1388" s="7"/>
      <c r="I1388" s="7"/>
      <c r="J1388" s="7"/>
      <c r="K1388" s="7">
        <v>1.2290000000000001</v>
      </c>
      <c r="L1388" s="7">
        <v>106</v>
      </c>
      <c r="M1388" s="7">
        <v>0</v>
      </c>
      <c r="N1388" s="7"/>
      <c r="O1388">
        <v>-12.17</v>
      </c>
      <c r="P1388">
        <v>-11.48</v>
      </c>
      <c r="Q1388">
        <v>14.72</v>
      </c>
      <c r="S1388">
        <v>14.85</v>
      </c>
      <c r="T1388">
        <v>0</v>
      </c>
      <c r="U1388">
        <v>99.9</v>
      </c>
      <c r="V1388">
        <v>526.20000000000005</v>
      </c>
      <c r="W1388">
        <v>20.76</v>
      </c>
      <c r="Y1388">
        <v>12.99</v>
      </c>
    </row>
    <row r="1389" spans="1:25" x14ac:dyDescent="0.25">
      <c r="A1389">
        <v>2006</v>
      </c>
      <c r="B1389">
        <v>179</v>
      </c>
      <c r="C1389">
        <v>400</v>
      </c>
      <c r="D1389" s="7">
        <v>0.26400000000000001</v>
      </c>
      <c r="E1389" s="7">
        <v>-17.64</v>
      </c>
      <c r="F1389" s="7">
        <v>10.66</v>
      </c>
      <c r="G1389" s="7">
        <v>10.53</v>
      </c>
      <c r="H1389" s="7"/>
      <c r="I1389" s="7"/>
      <c r="J1389" s="7"/>
      <c r="K1389" s="7">
        <v>1.2370000000000001</v>
      </c>
      <c r="L1389" s="7">
        <v>114.5</v>
      </c>
      <c r="M1389" s="7">
        <v>0</v>
      </c>
      <c r="N1389" s="7"/>
      <c r="O1389">
        <v>-10.46</v>
      </c>
      <c r="P1389">
        <v>-10.89</v>
      </c>
      <c r="Q1389">
        <v>14.55</v>
      </c>
      <c r="S1389">
        <v>14.74</v>
      </c>
      <c r="T1389">
        <v>0</v>
      </c>
      <c r="U1389">
        <v>101.5</v>
      </c>
      <c r="V1389">
        <v>523.70000000000005</v>
      </c>
      <c r="W1389">
        <v>20.64</v>
      </c>
      <c r="Y1389">
        <v>12.94</v>
      </c>
    </row>
    <row r="1390" spans="1:25" x14ac:dyDescent="0.25">
      <c r="A1390">
        <v>2006</v>
      </c>
      <c r="B1390">
        <v>179</v>
      </c>
      <c r="C1390">
        <v>500</v>
      </c>
      <c r="D1390" s="7">
        <v>27.07</v>
      </c>
      <c r="E1390" s="7">
        <v>-8.26</v>
      </c>
      <c r="F1390" s="7">
        <v>10.62</v>
      </c>
      <c r="G1390" s="7">
        <v>10.54</v>
      </c>
      <c r="H1390" s="7"/>
      <c r="I1390" s="7"/>
      <c r="J1390" s="7"/>
      <c r="K1390" s="7">
        <v>1.472</v>
      </c>
      <c r="L1390" s="7">
        <v>113.7</v>
      </c>
      <c r="M1390" s="7">
        <v>0</v>
      </c>
      <c r="N1390" s="7"/>
      <c r="O1390">
        <v>26.66</v>
      </c>
      <c r="P1390">
        <v>2.504</v>
      </c>
      <c r="Q1390">
        <v>14.46</v>
      </c>
      <c r="S1390">
        <v>14.64</v>
      </c>
      <c r="T1390">
        <v>0</v>
      </c>
      <c r="U1390">
        <v>101</v>
      </c>
      <c r="V1390">
        <v>521.70000000000005</v>
      </c>
      <c r="W1390">
        <v>20.55</v>
      </c>
      <c r="Y1390">
        <v>12.93</v>
      </c>
    </row>
    <row r="1391" spans="1:25" x14ac:dyDescent="0.25">
      <c r="A1391">
        <v>2006</v>
      </c>
      <c r="B1391">
        <v>179</v>
      </c>
      <c r="C1391">
        <v>600</v>
      </c>
      <c r="D1391" s="7">
        <v>121.7</v>
      </c>
      <c r="E1391" s="7">
        <v>59.16</v>
      </c>
      <c r="F1391" s="7">
        <v>11.28</v>
      </c>
      <c r="G1391" s="7">
        <v>11.35</v>
      </c>
      <c r="H1391" s="7"/>
      <c r="I1391" s="7"/>
      <c r="J1391" s="7"/>
      <c r="K1391" s="7">
        <v>1.2889999999999999</v>
      </c>
      <c r="L1391" s="7">
        <v>121.1</v>
      </c>
      <c r="M1391" s="7">
        <v>0</v>
      </c>
      <c r="N1391" s="7"/>
      <c r="O1391">
        <v>159.1</v>
      </c>
      <c r="P1391">
        <v>57.02</v>
      </c>
      <c r="Q1391">
        <v>14.4</v>
      </c>
      <c r="S1391">
        <v>14.56</v>
      </c>
      <c r="T1391">
        <v>0</v>
      </c>
      <c r="U1391">
        <v>99.3</v>
      </c>
      <c r="V1391">
        <v>520.29999999999995</v>
      </c>
      <c r="W1391">
        <v>20.48</v>
      </c>
      <c r="Y1391">
        <v>13.34</v>
      </c>
    </row>
    <row r="1392" spans="1:25" x14ac:dyDescent="0.25">
      <c r="A1392">
        <v>2006</v>
      </c>
      <c r="B1392">
        <v>179</v>
      </c>
      <c r="C1392">
        <v>700</v>
      </c>
      <c r="D1392" s="7">
        <v>275.8</v>
      </c>
      <c r="E1392" s="7">
        <v>179.3</v>
      </c>
      <c r="F1392" s="7">
        <v>13.2</v>
      </c>
      <c r="G1392" s="7">
        <v>13.71</v>
      </c>
      <c r="H1392" s="7"/>
      <c r="I1392" s="7"/>
      <c r="J1392" s="7"/>
      <c r="K1392" s="7">
        <v>1.2669999999999999</v>
      </c>
      <c r="L1392" s="7">
        <v>118.3</v>
      </c>
      <c r="M1392" s="7">
        <v>0</v>
      </c>
      <c r="N1392" s="7"/>
      <c r="O1392">
        <v>378.8</v>
      </c>
      <c r="P1392">
        <v>145</v>
      </c>
      <c r="Q1392">
        <v>14.42</v>
      </c>
      <c r="S1392">
        <v>14.55</v>
      </c>
      <c r="T1392">
        <v>0</v>
      </c>
      <c r="U1392">
        <v>94.6</v>
      </c>
      <c r="V1392">
        <v>518.6</v>
      </c>
      <c r="W1392">
        <v>20.41</v>
      </c>
      <c r="Y1392">
        <v>13.91</v>
      </c>
    </row>
    <row r="1393" spans="1:25" x14ac:dyDescent="0.25">
      <c r="A1393">
        <v>2006</v>
      </c>
      <c r="B1393">
        <v>179</v>
      </c>
      <c r="C1393">
        <v>800</v>
      </c>
      <c r="D1393" s="7">
        <v>300.39999999999998</v>
      </c>
      <c r="E1393" s="7">
        <v>193.5</v>
      </c>
      <c r="F1393" s="7">
        <v>15.09</v>
      </c>
      <c r="G1393" s="7">
        <v>15.4</v>
      </c>
      <c r="H1393" s="7"/>
      <c r="I1393" s="7"/>
      <c r="J1393" s="7"/>
      <c r="K1393" s="7">
        <v>1.2250000000000001</v>
      </c>
      <c r="L1393" s="7">
        <v>143</v>
      </c>
      <c r="M1393" s="7">
        <v>0</v>
      </c>
      <c r="N1393" s="7"/>
      <c r="O1393">
        <v>394.4</v>
      </c>
      <c r="P1393">
        <v>137.80000000000001</v>
      </c>
      <c r="Q1393">
        <v>14.54</v>
      </c>
      <c r="S1393">
        <v>14.5</v>
      </c>
      <c r="T1393">
        <v>0</v>
      </c>
      <c r="U1393">
        <v>96.9</v>
      </c>
      <c r="V1393">
        <v>517.29999999999995</v>
      </c>
      <c r="W1393">
        <v>20.350000000000001</v>
      </c>
      <c r="Y1393">
        <v>14.11</v>
      </c>
    </row>
    <row r="1394" spans="1:25" x14ac:dyDescent="0.25">
      <c r="A1394">
        <v>2006</v>
      </c>
      <c r="B1394">
        <v>179</v>
      </c>
      <c r="C1394">
        <v>900</v>
      </c>
      <c r="D1394" s="7">
        <v>334.6</v>
      </c>
      <c r="E1394" s="7">
        <v>205.3</v>
      </c>
      <c r="F1394" s="7">
        <v>15.76</v>
      </c>
      <c r="G1394" s="7">
        <v>15.75</v>
      </c>
      <c r="H1394" s="7">
        <f>AVERAGE(G1394:G1417)</f>
        <v>16.168749999999999</v>
      </c>
      <c r="I1394" s="7">
        <f>MIN(G1394:G1417)</f>
        <v>13.96</v>
      </c>
      <c r="J1394" s="7">
        <f>MAX(G1394:G1417)</f>
        <v>18.84</v>
      </c>
      <c r="K1394" s="7">
        <v>1.9419999999999999</v>
      </c>
      <c r="L1394" s="7">
        <v>194.9</v>
      </c>
      <c r="M1394" s="7">
        <v>0</v>
      </c>
      <c r="N1394" s="7">
        <f>SUM(M1394:M1417)</f>
        <v>0</v>
      </c>
      <c r="O1394">
        <v>411.5</v>
      </c>
      <c r="P1394">
        <v>128.4</v>
      </c>
      <c r="Q1394">
        <v>14.68</v>
      </c>
      <c r="S1394">
        <v>14.43</v>
      </c>
      <c r="T1394">
        <v>0</v>
      </c>
      <c r="U1394">
        <v>100</v>
      </c>
      <c r="V1394">
        <v>515.1</v>
      </c>
      <c r="W1394">
        <v>20.239999999999998</v>
      </c>
      <c r="Y1394">
        <v>14.13</v>
      </c>
    </row>
    <row r="1395" spans="1:25" x14ac:dyDescent="0.25">
      <c r="A1395">
        <v>2006</v>
      </c>
      <c r="B1395">
        <v>179</v>
      </c>
      <c r="C1395">
        <v>1000</v>
      </c>
      <c r="D1395" s="7">
        <v>337.6</v>
      </c>
      <c r="E1395" s="7">
        <v>203.2</v>
      </c>
      <c r="F1395" s="7">
        <v>16.32</v>
      </c>
      <c r="G1395" s="7">
        <v>16.16</v>
      </c>
      <c r="H1395" s="7"/>
      <c r="I1395" s="7"/>
      <c r="J1395" s="7"/>
      <c r="K1395" s="7">
        <v>1.7430000000000001</v>
      </c>
      <c r="L1395" s="7">
        <v>164.2</v>
      </c>
      <c r="M1395" s="7">
        <v>0</v>
      </c>
      <c r="N1395" s="7"/>
      <c r="O1395">
        <v>419.1</v>
      </c>
      <c r="P1395">
        <v>128.5</v>
      </c>
      <c r="Q1395">
        <v>14.9</v>
      </c>
      <c r="S1395">
        <v>14.48</v>
      </c>
      <c r="T1395">
        <v>0</v>
      </c>
      <c r="U1395">
        <v>101.6</v>
      </c>
      <c r="V1395">
        <v>513.5</v>
      </c>
      <c r="W1395">
        <v>20.170000000000002</v>
      </c>
      <c r="Y1395">
        <v>14.08</v>
      </c>
    </row>
    <row r="1396" spans="1:25" x14ac:dyDescent="0.25">
      <c r="A1396">
        <v>2006</v>
      </c>
      <c r="B1396">
        <v>179</v>
      </c>
      <c r="C1396">
        <v>1100</v>
      </c>
      <c r="D1396" s="7">
        <v>488.9</v>
      </c>
      <c r="E1396" s="7">
        <v>296.2</v>
      </c>
      <c r="F1396" s="7">
        <v>17.329999999999998</v>
      </c>
      <c r="G1396" s="7">
        <v>17.13</v>
      </c>
      <c r="H1396" s="7"/>
      <c r="I1396" s="7"/>
      <c r="J1396" s="7"/>
      <c r="K1396" s="7">
        <v>2.153</v>
      </c>
      <c r="L1396" s="7">
        <v>177.2</v>
      </c>
      <c r="M1396" s="7">
        <v>0</v>
      </c>
      <c r="N1396" s="7"/>
      <c r="O1396">
        <v>598.6</v>
      </c>
      <c r="P1396">
        <v>180.2</v>
      </c>
      <c r="Q1396">
        <v>15.15</v>
      </c>
      <c r="S1396">
        <v>14.61</v>
      </c>
      <c r="T1396">
        <v>0</v>
      </c>
      <c r="U1396">
        <v>102</v>
      </c>
      <c r="V1396">
        <v>512.4</v>
      </c>
      <c r="W1396">
        <v>20.12</v>
      </c>
      <c r="Y1396">
        <v>14.29</v>
      </c>
    </row>
    <row r="1397" spans="1:25" x14ac:dyDescent="0.25">
      <c r="A1397">
        <v>2006</v>
      </c>
      <c r="B1397">
        <v>179</v>
      </c>
      <c r="C1397">
        <v>1200</v>
      </c>
      <c r="D1397" s="7">
        <v>648.9</v>
      </c>
      <c r="E1397" s="7">
        <v>394.5</v>
      </c>
      <c r="F1397" s="7">
        <v>18.47</v>
      </c>
      <c r="G1397" s="7">
        <v>18.41</v>
      </c>
      <c r="H1397" s="7"/>
      <c r="I1397" s="7"/>
      <c r="J1397" s="7"/>
      <c r="K1397" s="7">
        <v>2.5369999999999999</v>
      </c>
      <c r="L1397" s="7">
        <v>203.6</v>
      </c>
      <c r="M1397" s="7">
        <v>0</v>
      </c>
      <c r="N1397" s="7"/>
      <c r="O1397">
        <v>798</v>
      </c>
      <c r="P1397">
        <v>224.3</v>
      </c>
      <c r="Q1397">
        <v>15.43</v>
      </c>
      <c r="S1397">
        <v>14.79</v>
      </c>
      <c r="T1397">
        <v>0</v>
      </c>
      <c r="U1397">
        <v>100.6</v>
      </c>
      <c r="V1397">
        <v>511.5</v>
      </c>
      <c r="W1397">
        <v>20.07</v>
      </c>
      <c r="Y1397">
        <v>14.26</v>
      </c>
    </row>
    <row r="1398" spans="1:25" x14ac:dyDescent="0.25">
      <c r="A1398">
        <v>2006</v>
      </c>
      <c r="B1398">
        <v>179</v>
      </c>
      <c r="C1398">
        <v>1300</v>
      </c>
      <c r="D1398" s="7">
        <v>414.8</v>
      </c>
      <c r="E1398" s="7">
        <v>240.1</v>
      </c>
      <c r="F1398" s="7">
        <v>18.399999999999999</v>
      </c>
      <c r="G1398" s="7">
        <v>18.260000000000002</v>
      </c>
      <c r="H1398" s="7"/>
      <c r="I1398" s="7"/>
      <c r="J1398" s="7"/>
      <c r="K1398" s="7">
        <v>2.2669999999999999</v>
      </c>
      <c r="L1398" s="7">
        <v>191.4</v>
      </c>
      <c r="M1398" s="7">
        <v>0</v>
      </c>
      <c r="N1398" s="7"/>
      <c r="O1398">
        <v>521.6</v>
      </c>
      <c r="P1398">
        <v>163.9</v>
      </c>
      <c r="Q1398">
        <v>15.63</v>
      </c>
      <c r="S1398">
        <v>14.86</v>
      </c>
      <c r="T1398">
        <v>0</v>
      </c>
      <c r="U1398">
        <v>101.4</v>
      </c>
      <c r="V1398">
        <v>510.8</v>
      </c>
      <c r="W1398">
        <v>20.04</v>
      </c>
      <c r="Y1398">
        <v>14.13</v>
      </c>
    </row>
    <row r="1399" spans="1:25" x14ac:dyDescent="0.25">
      <c r="A1399">
        <v>2006</v>
      </c>
      <c r="B1399">
        <v>179</v>
      </c>
      <c r="C1399">
        <v>1400</v>
      </c>
      <c r="D1399" s="7">
        <v>559.1</v>
      </c>
      <c r="E1399" s="7">
        <v>327.7</v>
      </c>
      <c r="F1399" s="7">
        <v>18.670000000000002</v>
      </c>
      <c r="G1399" s="7">
        <v>18.420000000000002</v>
      </c>
      <c r="H1399" s="7"/>
      <c r="I1399" s="7"/>
      <c r="J1399" s="7"/>
      <c r="K1399" s="7">
        <v>2.4620000000000002</v>
      </c>
      <c r="L1399" s="7">
        <v>179.6</v>
      </c>
      <c r="M1399" s="7">
        <v>0</v>
      </c>
      <c r="N1399" s="7"/>
      <c r="O1399">
        <v>695.3</v>
      </c>
      <c r="P1399">
        <v>216.1</v>
      </c>
      <c r="Q1399">
        <v>15.88</v>
      </c>
      <c r="S1399">
        <v>15.06</v>
      </c>
      <c r="T1399">
        <v>0</v>
      </c>
      <c r="U1399">
        <v>102.4</v>
      </c>
      <c r="V1399">
        <v>509.3</v>
      </c>
      <c r="W1399">
        <v>19.97</v>
      </c>
      <c r="Y1399">
        <v>14.32</v>
      </c>
    </row>
    <row r="1400" spans="1:25" x14ac:dyDescent="0.25">
      <c r="A1400">
        <v>2006</v>
      </c>
      <c r="B1400">
        <v>179</v>
      </c>
      <c r="C1400">
        <v>1500</v>
      </c>
      <c r="D1400" s="7">
        <v>584.4</v>
      </c>
      <c r="E1400" s="7">
        <v>337.3</v>
      </c>
      <c r="F1400" s="7">
        <v>19.07</v>
      </c>
      <c r="G1400" s="7">
        <v>18.77</v>
      </c>
      <c r="H1400" s="7"/>
      <c r="I1400" s="7"/>
      <c r="J1400" s="7"/>
      <c r="K1400" s="7">
        <v>2.4470000000000001</v>
      </c>
      <c r="L1400" s="7">
        <v>161.9</v>
      </c>
      <c r="M1400" s="7">
        <v>0</v>
      </c>
      <c r="N1400" s="7"/>
      <c r="O1400">
        <v>723</v>
      </c>
      <c r="P1400">
        <v>224.5</v>
      </c>
      <c r="Q1400">
        <v>16.14</v>
      </c>
      <c r="S1400">
        <v>15.28</v>
      </c>
      <c r="T1400">
        <v>0</v>
      </c>
      <c r="U1400">
        <v>102.9</v>
      </c>
      <c r="V1400">
        <v>507.1</v>
      </c>
      <c r="W1400">
        <v>19.87</v>
      </c>
      <c r="Y1400">
        <v>14.32</v>
      </c>
    </row>
    <row r="1401" spans="1:25" x14ac:dyDescent="0.25">
      <c r="A1401">
        <v>2006</v>
      </c>
      <c r="B1401">
        <v>179</v>
      </c>
      <c r="C1401">
        <v>1600</v>
      </c>
      <c r="D1401" s="7">
        <v>503</v>
      </c>
      <c r="E1401" s="7">
        <v>283.3</v>
      </c>
      <c r="F1401" s="7">
        <v>19.12</v>
      </c>
      <c r="G1401" s="7">
        <v>18.84</v>
      </c>
      <c r="H1401" s="7"/>
      <c r="I1401" s="7"/>
      <c r="J1401" s="7"/>
      <c r="K1401" s="7">
        <v>2.4729999999999999</v>
      </c>
      <c r="L1401" s="7">
        <v>161.9</v>
      </c>
      <c r="M1401" s="7">
        <v>0</v>
      </c>
      <c r="N1401" s="7"/>
      <c r="O1401">
        <v>624.4</v>
      </c>
      <c r="P1401">
        <v>206.4</v>
      </c>
      <c r="Q1401">
        <v>16.350000000000001</v>
      </c>
      <c r="S1401">
        <v>15.46</v>
      </c>
      <c r="T1401">
        <v>0</v>
      </c>
      <c r="U1401">
        <v>102.7</v>
      </c>
      <c r="V1401">
        <v>505.1</v>
      </c>
      <c r="W1401">
        <v>19.78</v>
      </c>
      <c r="Y1401">
        <v>14.2</v>
      </c>
    </row>
    <row r="1402" spans="1:25" x14ac:dyDescent="0.25">
      <c r="A1402">
        <v>2006</v>
      </c>
      <c r="B1402">
        <v>179</v>
      </c>
      <c r="C1402">
        <v>1700</v>
      </c>
      <c r="D1402" s="7">
        <v>377.9</v>
      </c>
      <c r="E1402" s="7">
        <v>202.3</v>
      </c>
      <c r="F1402" s="7">
        <v>18.399999999999999</v>
      </c>
      <c r="G1402" s="7">
        <v>18.14</v>
      </c>
      <c r="H1402" s="7"/>
      <c r="I1402" s="7"/>
      <c r="J1402" s="7"/>
      <c r="K1402" s="7">
        <v>2.6309999999999998</v>
      </c>
      <c r="L1402" s="7">
        <v>168.9</v>
      </c>
      <c r="M1402" s="7">
        <v>0</v>
      </c>
      <c r="N1402" s="7"/>
      <c r="O1402">
        <v>466.6</v>
      </c>
      <c r="P1402">
        <v>170.7</v>
      </c>
      <c r="Q1402">
        <v>16.489999999999998</v>
      </c>
      <c r="S1402">
        <v>15.58</v>
      </c>
      <c r="T1402">
        <v>0</v>
      </c>
      <c r="U1402">
        <v>102.5</v>
      </c>
      <c r="V1402">
        <v>503.4</v>
      </c>
      <c r="W1402">
        <v>19.7</v>
      </c>
      <c r="Y1402">
        <v>14.01</v>
      </c>
    </row>
    <row r="1403" spans="1:25" x14ac:dyDescent="0.25">
      <c r="A1403">
        <v>2006</v>
      </c>
      <c r="B1403">
        <v>179</v>
      </c>
      <c r="C1403">
        <v>1800</v>
      </c>
      <c r="D1403" s="7">
        <v>238.5</v>
      </c>
      <c r="E1403" s="7">
        <v>110.5</v>
      </c>
      <c r="F1403" s="7">
        <v>17.510000000000002</v>
      </c>
      <c r="G1403" s="7">
        <v>17.37</v>
      </c>
      <c r="H1403" s="7"/>
      <c r="I1403" s="7"/>
      <c r="J1403" s="7"/>
      <c r="K1403" s="7">
        <v>2.38</v>
      </c>
      <c r="L1403" s="7">
        <v>163.1</v>
      </c>
      <c r="M1403" s="7">
        <v>0</v>
      </c>
      <c r="N1403" s="7"/>
      <c r="O1403">
        <v>289.39999999999998</v>
      </c>
      <c r="P1403">
        <v>110.9</v>
      </c>
      <c r="Q1403">
        <v>16.62</v>
      </c>
      <c r="S1403">
        <v>15.7</v>
      </c>
      <c r="T1403">
        <v>0</v>
      </c>
      <c r="U1403">
        <v>101.4</v>
      </c>
      <c r="V1403">
        <v>502.8</v>
      </c>
      <c r="W1403">
        <v>19.670000000000002</v>
      </c>
      <c r="Y1403">
        <v>13.81</v>
      </c>
    </row>
    <row r="1404" spans="1:25" x14ac:dyDescent="0.25">
      <c r="A1404">
        <v>2006</v>
      </c>
      <c r="B1404">
        <v>179</v>
      </c>
      <c r="C1404">
        <v>1900</v>
      </c>
      <c r="D1404" s="7">
        <v>133.1</v>
      </c>
      <c r="E1404" s="7">
        <v>38.53</v>
      </c>
      <c r="F1404" s="7">
        <v>16.829999999999998</v>
      </c>
      <c r="G1404" s="7">
        <v>16.73</v>
      </c>
      <c r="H1404" s="7"/>
      <c r="I1404" s="7"/>
      <c r="J1404" s="7"/>
      <c r="K1404" s="7">
        <v>2.1059999999999999</v>
      </c>
      <c r="L1404" s="7">
        <v>158.5</v>
      </c>
      <c r="M1404" s="7">
        <v>0</v>
      </c>
      <c r="N1404" s="7"/>
      <c r="O1404">
        <v>155</v>
      </c>
      <c r="P1404">
        <v>60.52</v>
      </c>
      <c r="Q1404">
        <v>16.670000000000002</v>
      </c>
      <c r="S1404">
        <v>15.78</v>
      </c>
      <c r="T1404">
        <v>0</v>
      </c>
      <c r="U1404">
        <v>100.9</v>
      </c>
      <c r="V1404">
        <v>502.2</v>
      </c>
      <c r="W1404">
        <v>19.649999999999999</v>
      </c>
      <c r="Y1404">
        <v>13.69</v>
      </c>
    </row>
    <row r="1405" spans="1:25" x14ac:dyDescent="0.25">
      <c r="A1405">
        <v>2006</v>
      </c>
      <c r="B1405">
        <v>179</v>
      </c>
      <c r="C1405">
        <v>2000</v>
      </c>
      <c r="D1405" s="7">
        <v>52.13</v>
      </c>
      <c r="E1405" s="7">
        <v>-11.39</v>
      </c>
      <c r="F1405" s="7">
        <v>16.02</v>
      </c>
      <c r="G1405" s="7">
        <v>15.97</v>
      </c>
      <c r="H1405" s="7"/>
      <c r="I1405" s="7"/>
      <c r="J1405" s="7"/>
      <c r="K1405" s="7">
        <v>1.708</v>
      </c>
      <c r="L1405" s="7">
        <v>145.30000000000001</v>
      </c>
      <c r="M1405" s="7">
        <v>0</v>
      </c>
      <c r="N1405" s="7"/>
      <c r="O1405">
        <v>52.67</v>
      </c>
      <c r="P1405">
        <v>14.64</v>
      </c>
      <c r="Q1405">
        <v>16.68</v>
      </c>
      <c r="S1405">
        <v>15.85</v>
      </c>
      <c r="T1405">
        <v>0</v>
      </c>
      <c r="U1405">
        <v>100.5</v>
      </c>
      <c r="V1405">
        <v>502.4</v>
      </c>
      <c r="W1405">
        <v>19.66</v>
      </c>
      <c r="Y1405">
        <v>13.57</v>
      </c>
    </row>
    <row r="1406" spans="1:25" x14ac:dyDescent="0.25">
      <c r="A1406">
        <v>2006</v>
      </c>
      <c r="B1406">
        <v>179</v>
      </c>
      <c r="C1406">
        <v>2100</v>
      </c>
      <c r="D1406" s="7">
        <v>8.65</v>
      </c>
      <c r="E1406" s="7">
        <v>-22.62</v>
      </c>
      <c r="F1406" s="7">
        <v>15.36</v>
      </c>
      <c r="G1406" s="7">
        <v>15.52</v>
      </c>
      <c r="H1406" s="7"/>
      <c r="I1406" s="7"/>
      <c r="J1406" s="7"/>
      <c r="K1406" s="7">
        <v>1.282</v>
      </c>
      <c r="L1406" s="7">
        <v>155.80000000000001</v>
      </c>
      <c r="M1406" s="7">
        <v>0</v>
      </c>
      <c r="N1406" s="7"/>
      <c r="O1406">
        <v>-1.3360000000000001</v>
      </c>
      <c r="P1406">
        <v>-8.1</v>
      </c>
      <c r="Q1406">
        <v>16.59</v>
      </c>
      <c r="S1406">
        <v>15.85</v>
      </c>
      <c r="T1406">
        <v>0</v>
      </c>
      <c r="U1406">
        <v>98.4</v>
      </c>
      <c r="V1406">
        <v>502.1</v>
      </c>
      <c r="W1406">
        <v>19.64</v>
      </c>
      <c r="Y1406">
        <v>13.43</v>
      </c>
    </row>
    <row r="1407" spans="1:25" x14ac:dyDescent="0.25">
      <c r="A1407">
        <v>2006</v>
      </c>
      <c r="B1407">
        <v>179</v>
      </c>
      <c r="C1407">
        <v>2200</v>
      </c>
      <c r="D1407" s="7">
        <v>-1.2330000000000001</v>
      </c>
      <c r="E1407" s="7">
        <v>-27.29</v>
      </c>
      <c r="F1407" s="7">
        <v>14.97</v>
      </c>
      <c r="G1407" s="7">
        <v>15.12</v>
      </c>
      <c r="H1407" s="7"/>
      <c r="I1407" s="7"/>
      <c r="J1407" s="7"/>
      <c r="K1407" s="7">
        <v>1.0820000000000001</v>
      </c>
      <c r="L1407" s="7">
        <v>148.4</v>
      </c>
      <c r="M1407" s="7">
        <v>0</v>
      </c>
      <c r="N1407" s="7"/>
      <c r="O1407">
        <v>-11.82</v>
      </c>
      <c r="P1407">
        <v>-11.51</v>
      </c>
      <c r="Q1407">
        <v>16.5</v>
      </c>
      <c r="S1407">
        <v>15.87</v>
      </c>
      <c r="T1407">
        <v>0</v>
      </c>
      <c r="U1407">
        <v>98.5</v>
      </c>
      <c r="V1407">
        <v>502.8</v>
      </c>
      <c r="W1407">
        <v>19.670000000000002</v>
      </c>
      <c r="Y1407">
        <v>13.34</v>
      </c>
    </row>
    <row r="1408" spans="1:25" x14ac:dyDescent="0.25">
      <c r="A1408">
        <v>2006</v>
      </c>
      <c r="B1408">
        <v>179</v>
      </c>
      <c r="C1408">
        <v>2300</v>
      </c>
      <c r="D1408" s="7">
        <v>-1.4610000000000001</v>
      </c>
      <c r="E1408" s="7">
        <v>-23.24</v>
      </c>
      <c r="F1408" s="7">
        <v>14.8</v>
      </c>
      <c r="G1408" s="7">
        <v>14.96</v>
      </c>
      <c r="H1408" s="7"/>
      <c r="I1408" s="7"/>
      <c r="J1408" s="7"/>
      <c r="K1408" s="7">
        <v>1.258</v>
      </c>
      <c r="L1408" s="7">
        <v>172.5</v>
      </c>
      <c r="M1408" s="7">
        <v>0</v>
      </c>
      <c r="N1408" s="7"/>
      <c r="O1408">
        <v>-12.21</v>
      </c>
      <c r="P1408">
        <v>-11.53</v>
      </c>
      <c r="Q1408">
        <v>16.37</v>
      </c>
      <c r="S1408">
        <v>15.82</v>
      </c>
      <c r="T1408">
        <v>0</v>
      </c>
      <c r="U1408">
        <v>98.4</v>
      </c>
      <c r="V1408">
        <v>508.4</v>
      </c>
      <c r="W1408">
        <v>19.93</v>
      </c>
      <c r="Y1408">
        <v>13.25</v>
      </c>
    </row>
    <row r="1409" spans="1:25" x14ac:dyDescent="0.25">
      <c r="A1409">
        <v>2006</v>
      </c>
      <c r="B1409">
        <v>179</v>
      </c>
      <c r="C1409">
        <v>2400</v>
      </c>
      <c r="D1409" s="7">
        <v>-1.137</v>
      </c>
      <c r="E1409" s="7">
        <v>-15.46</v>
      </c>
      <c r="F1409" s="7">
        <v>14.97</v>
      </c>
      <c r="G1409" s="7">
        <v>15.1</v>
      </c>
      <c r="H1409" s="7"/>
      <c r="I1409" s="7"/>
      <c r="J1409" s="7"/>
      <c r="K1409" s="7">
        <v>2.0550000000000002</v>
      </c>
      <c r="L1409" s="7">
        <v>205.7</v>
      </c>
      <c r="M1409" s="7">
        <v>0</v>
      </c>
      <c r="N1409" s="7"/>
      <c r="O1409">
        <v>-12.17</v>
      </c>
      <c r="P1409">
        <v>-11.48</v>
      </c>
      <c r="Q1409">
        <v>16.27</v>
      </c>
      <c r="S1409">
        <v>15.82</v>
      </c>
      <c r="T1409">
        <v>0</v>
      </c>
      <c r="U1409">
        <v>98.6</v>
      </c>
      <c r="V1409">
        <v>537.5</v>
      </c>
      <c r="W1409">
        <v>21.27</v>
      </c>
      <c r="Y1409">
        <v>13.18</v>
      </c>
    </row>
    <row r="1410" spans="1:25" x14ac:dyDescent="0.25">
      <c r="A1410">
        <v>2006</v>
      </c>
      <c r="B1410">
        <v>180</v>
      </c>
      <c r="C1410">
        <v>100</v>
      </c>
      <c r="D1410" s="7">
        <v>-1.073</v>
      </c>
      <c r="E1410" s="7">
        <v>-13.68</v>
      </c>
      <c r="F1410" s="7">
        <v>14.73</v>
      </c>
      <c r="G1410" s="7">
        <v>14.83</v>
      </c>
      <c r="H1410" s="7"/>
      <c r="I1410" s="7"/>
      <c r="J1410" s="7"/>
      <c r="K1410" s="7">
        <v>1.5649999999999999</v>
      </c>
      <c r="L1410" s="7">
        <v>206.8</v>
      </c>
      <c r="M1410" s="7">
        <v>0</v>
      </c>
      <c r="N1410" s="7"/>
      <c r="O1410">
        <v>-12.17</v>
      </c>
      <c r="P1410">
        <v>-11.48</v>
      </c>
      <c r="Q1410">
        <v>16.149999999999999</v>
      </c>
      <c r="S1410">
        <v>15.74</v>
      </c>
      <c r="T1410">
        <v>0</v>
      </c>
      <c r="U1410">
        <v>98.9</v>
      </c>
      <c r="V1410">
        <v>529.20000000000005</v>
      </c>
      <c r="W1410">
        <v>20.89</v>
      </c>
      <c r="Y1410">
        <v>13.12</v>
      </c>
    </row>
    <row r="1411" spans="1:25" x14ac:dyDescent="0.25">
      <c r="A1411">
        <v>2006</v>
      </c>
      <c r="B1411">
        <v>180</v>
      </c>
      <c r="C1411">
        <v>200</v>
      </c>
      <c r="D1411" s="7">
        <v>-1.113</v>
      </c>
      <c r="E1411" s="7">
        <v>-13.54</v>
      </c>
      <c r="F1411" s="7">
        <v>14.51</v>
      </c>
      <c r="G1411" s="7">
        <v>14.61</v>
      </c>
      <c r="H1411" s="7"/>
      <c r="I1411" s="7"/>
      <c r="J1411" s="7"/>
      <c r="K1411" s="7">
        <v>1.1439999999999999</v>
      </c>
      <c r="L1411" s="7">
        <v>202.4</v>
      </c>
      <c r="M1411" s="7">
        <v>0</v>
      </c>
      <c r="N1411" s="7"/>
      <c r="O1411">
        <v>-12.17</v>
      </c>
      <c r="P1411">
        <v>-11.48</v>
      </c>
      <c r="Q1411">
        <v>16.03</v>
      </c>
      <c r="S1411">
        <v>15.67</v>
      </c>
      <c r="T1411">
        <v>0</v>
      </c>
      <c r="U1411">
        <v>98.9</v>
      </c>
      <c r="V1411">
        <v>516.70000000000005</v>
      </c>
      <c r="W1411">
        <v>20.32</v>
      </c>
      <c r="Y1411">
        <v>13.06</v>
      </c>
    </row>
    <row r="1412" spans="1:25" x14ac:dyDescent="0.25">
      <c r="A1412">
        <v>2006</v>
      </c>
      <c r="B1412">
        <v>180</v>
      </c>
      <c r="C1412">
        <v>300</v>
      </c>
      <c r="D1412" s="7">
        <v>-1.51</v>
      </c>
      <c r="E1412" s="7">
        <v>-15.66</v>
      </c>
      <c r="F1412" s="7">
        <v>14.3</v>
      </c>
      <c r="G1412" s="7">
        <v>14.36</v>
      </c>
      <c r="H1412" s="7"/>
      <c r="I1412" s="7"/>
      <c r="J1412" s="7"/>
      <c r="K1412" s="7">
        <v>1.339</v>
      </c>
      <c r="L1412" s="7">
        <v>196</v>
      </c>
      <c r="M1412" s="7">
        <v>0</v>
      </c>
      <c r="N1412" s="7"/>
      <c r="O1412">
        <v>-12.16</v>
      </c>
      <c r="P1412">
        <v>-11.47</v>
      </c>
      <c r="Q1412">
        <v>15.94</v>
      </c>
      <c r="S1412">
        <v>15.6</v>
      </c>
      <c r="T1412">
        <v>0</v>
      </c>
      <c r="U1412">
        <v>99.3</v>
      </c>
      <c r="V1412">
        <v>515</v>
      </c>
      <c r="W1412">
        <v>20.239999999999998</v>
      </c>
      <c r="Y1412">
        <v>13.01</v>
      </c>
    </row>
    <row r="1413" spans="1:25" x14ac:dyDescent="0.25">
      <c r="A1413">
        <v>2006</v>
      </c>
      <c r="B1413">
        <v>180</v>
      </c>
      <c r="C1413">
        <v>400</v>
      </c>
      <c r="D1413" s="7">
        <v>-1.3779999999999999</v>
      </c>
      <c r="E1413" s="7">
        <v>-16.72</v>
      </c>
      <c r="F1413" s="7">
        <v>14.01</v>
      </c>
      <c r="G1413" s="7">
        <v>13.96</v>
      </c>
      <c r="H1413" s="7"/>
      <c r="I1413" s="7"/>
      <c r="J1413" s="7"/>
      <c r="K1413" s="7">
        <v>1.536</v>
      </c>
      <c r="L1413" s="7">
        <v>192.7</v>
      </c>
      <c r="M1413" s="7">
        <v>0</v>
      </c>
      <c r="N1413" s="7"/>
      <c r="O1413">
        <v>-10.94</v>
      </c>
      <c r="P1413">
        <v>-11.19</v>
      </c>
      <c r="Q1413">
        <v>15.86</v>
      </c>
      <c r="S1413">
        <v>15.54</v>
      </c>
      <c r="T1413">
        <v>0</v>
      </c>
      <c r="U1413">
        <v>100.6</v>
      </c>
      <c r="V1413">
        <v>514.5</v>
      </c>
      <c r="W1413">
        <v>20.21</v>
      </c>
      <c r="Y1413">
        <v>12.97</v>
      </c>
    </row>
    <row r="1414" spans="1:25" x14ac:dyDescent="0.25">
      <c r="A1414">
        <v>2006</v>
      </c>
      <c r="B1414">
        <v>180</v>
      </c>
      <c r="C1414">
        <v>500</v>
      </c>
      <c r="D1414" s="7">
        <v>7.05</v>
      </c>
      <c r="E1414" s="7">
        <v>-7.99</v>
      </c>
      <c r="F1414" s="7">
        <v>14</v>
      </c>
      <c r="G1414" s="7">
        <v>14.03</v>
      </c>
      <c r="H1414" s="7"/>
      <c r="I1414" s="7"/>
      <c r="J1414" s="7"/>
      <c r="K1414" s="7">
        <v>1.258</v>
      </c>
      <c r="L1414" s="7">
        <v>175.8</v>
      </c>
      <c r="M1414" s="7">
        <v>0</v>
      </c>
      <c r="N1414" s="7"/>
      <c r="O1414">
        <v>-1.294</v>
      </c>
      <c r="P1414">
        <v>-8.32</v>
      </c>
      <c r="Q1414">
        <v>15.79</v>
      </c>
      <c r="S1414">
        <v>15.48</v>
      </c>
      <c r="T1414">
        <v>0</v>
      </c>
      <c r="U1414">
        <v>99.6</v>
      </c>
      <c r="V1414">
        <v>514</v>
      </c>
      <c r="W1414">
        <v>20.190000000000001</v>
      </c>
      <c r="Y1414">
        <v>12.94</v>
      </c>
    </row>
    <row r="1415" spans="1:25" x14ac:dyDescent="0.25">
      <c r="A1415">
        <v>2006</v>
      </c>
      <c r="B1415">
        <v>180</v>
      </c>
      <c r="C1415">
        <v>600</v>
      </c>
      <c r="D1415" s="7">
        <v>27.7</v>
      </c>
      <c r="E1415" s="7">
        <v>6.7220000000000004</v>
      </c>
      <c r="F1415" s="7">
        <v>14.47</v>
      </c>
      <c r="G1415" s="7">
        <v>14.62</v>
      </c>
      <c r="H1415" s="7"/>
      <c r="I1415" s="7"/>
      <c r="J1415" s="7"/>
      <c r="K1415" s="7">
        <v>1.284</v>
      </c>
      <c r="L1415" s="7">
        <v>165.9</v>
      </c>
      <c r="M1415" s="7">
        <v>0</v>
      </c>
      <c r="N1415" s="7"/>
      <c r="O1415">
        <v>24.68</v>
      </c>
      <c r="P1415">
        <v>0.627</v>
      </c>
      <c r="Q1415">
        <v>15.72</v>
      </c>
      <c r="S1415">
        <v>15.45</v>
      </c>
      <c r="T1415">
        <v>0</v>
      </c>
      <c r="U1415">
        <v>98.5</v>
      </c>
      <c r="V1415">
        <v>511.5</v>
      </c>
      <c r="W1415">
        <v>20.079999999999998</v>
      </c>
      <c r="Y1415">
        <v>12.94</v>
      </c>
    </row>
    <row r="1416" spans="1:25" x14ac:dyDescent="0.25">
      <c r="A1416">
        <v>2006</v>
      </c>
      <c r="B1416">
        <v>180</v>
      </c>
      <c r="C1416">
        <v>700</v>
      </c>
      <c r="D1416" s="7">
        <v>75.7</v>
      </c>
      <c r="E1416" s="7">
        <v>36.56</v>
      </c>
      <c r="F1416" s="7">
        <v>15.18</v>
      </c>
      <c r="G1416" s="7">
        <v>15.36</v>
      </c>
      <c r="H1416" s="7"/>
      <c r="I1416" s="7"/>
      <c r="J1416" s="7"/>
      <c r="K1416" s="7">
        <v>1.161</v>
      </c>
      <c r="L1416" s="7">
        <v>145.80000000000001</v>
      </c>
      <c r="M1416" s="7">
        <v>0</v>
      </c>
      <c r="N1416" s="7"/>
      <c r="O1416">
        <v>84.9</v>
      </c>
      <c r="P1416">
        <v>20.440000000000001</v>
      </c>
      <c r="Q1416">
        <v>15.68</v>
      </c>
      <c r="S1416">
        <v>15.41</v>
      </c>
      <c r="T1416">
        <v>0</v>
      </c>
      <c r="U1416">
        <v>98.2</v>
      </c>
      <c r="V1416">
        <v>508.7</v>
      </c>
      <c r="W1416">
        <v>19.95</v>
      </c>
      <c r="Y1416">
        <v>13.15</v>
      </c>
    </row>
    <row r="1417" spans="1:25" x14ac:dyDescent="0.25">
      <c r="A1417">
        <v>2006</v>
      </c>
      <c r="B1417">
        <v>180</v>
      </c>
      <c r="C1417">
        <v>800</v>
      </c>
      <c r="D1417" s="7">
        <v>66.37</v>
      </c>
      <c r="E1417" s="7">
        <v>32.119999999999997</v>
      </c>
      <c r="F1417" s="7">
        <v>15.55</v>
      </c>
      <c r="G1417" s="7">
        <v>15.63</v>
      </c>
      <c r="H1417" s="7"/>
      <c r="I1417" s="7"/>
      <c r="J1417" s="7"/>
      <c r="K1417" s="7">
        <v>1.3979999999999999</v>
      </c>
      <c r="L1417" s="7">
        <v>141.1</v>
      </c>
      <c r="M1417" s="7">
        <v>0</v>
      </c>
      <c r="N1417" s="7"/>
      <c r="O1417">
        <v>76.900000000000006</v>
      </c>
      <c r="P1417">
        <v>18.53</v>
      </c>
      <c r="Q1417">
        <v>15.64</v>
      </c>
      <c r="S1417">
        <v>15.34</v>
      </c>
      <c r="T1417">
        <v>0</v>
      </c>
      <c r="U1417">
        <v>99.2</v>
      </c>
      <c r="V1417">
        <v>507.4</v>
      </c>
      <c r="W1417">
        <v>19.89</v>
      </c>
      <c r="Y1417">
        <v>13.49</v>
      </c>
    </row>
    <row r="1418" spans="1:25" x14ac:dyDescent="0.25">
      <c r="A1418">
        <v>2006</v>
      </c>
      <c r="B1418">
        <v>180</v>
      </c>
      <c r="C1418">
        <v>900</v>
      </c>
      <c r="D1418" s="7">
        <v>188</v>
      </c>
      <c r="E1418" s="7">
        <v>110.9</v>
      </c>
      <c r="F1418" s="7">
        <v>15.8</v>
      </c>
      <c r="G1418" s="7">
        <v>15.84</v>
      </c>
      <c r="H1418" s="7">
        <f>AVERAGE(G1418:G1441)</f>
        <v>15.80083333333333</v>
      </c>
      <c r="I1418" s="7">
        <f>MIN(G1418:G1441)</f>
        <v>13.63</v>
      </c>
      <c r="J1418" s="7">
        <f>MAX(G1418:G1441)</f>
        <v>18.21</v>
      </c>
      <c r="K1418" s="7">
        <v>1.69</v>
      </c>
      <c r="L1418" s="7">
        <v>153.1</v>
      </c>
      <c r="M1418" s="7">
        <v>0</v>
      </c>
      <c r="N1418" s="7">
        <f>SUM(M1418:M1441)</f>
        <v>2</v>
      </c>
      <c r="O1418">
        <v>230.3</v>
      </c>
      <c r="P1418">
        <v>67.14</v>
      </c>
      <c r="Q1418">
        <v>15.67</v>
      </c>
      <c r="S1418">
        <v>15.31</v>
      </c>
      <c r="T1418">
        <v>0</v>
      </c>
      <c r="U1418">
        <v>99.6</v>
      </c>
      <c r="V1418">
        <v>506.4</v>
      </c>
      <c r="W1418">
        <v>19.84</v>
      </c>
      <c r="Y1418">
        <v>13.75</v>
      </c>
    </row>
    <row r="1419" spans="1:25" x14ac:dyDescent="0.25">
      <c r="A1419">
        <v>2006</v>
      </c>
      <c r="B1419">
        <v>180</v>
      </c>
      <c r="C1419">
        <v>1000</v>
      </c>
      <c r="D1419" s="7">
        <v>330.5</v>
      </c>
      <c r="E1419" s="7">
        <v>201.4</v>
      </c>
      <c r="F1419" s="7">
        <v>16.87</v>
      </c>
      <c r="G1419" s="7">
        <v>17.03</v>
      </c>
      <c r="H1419" s="7"/>
      <c r="I1419" s="7"/>
      <c r="J1419" s="7"/>
      <c r="K1419" s="7">
        <v>2.4319999999999999</v>
      </c>
      <c r="L1419" s="7">
        <v>172.1</v>
      </c>
      <c r="M1419" s="7">
        <v>0</v>
      </c>
      <c r="N1419" s="7"/>
      <c r="O1419">
        <v>405.3</v>
      </c>
      <c r="P1419">
        <v>128.6</v>
      </c>
      <c r="Q1419">
        <v>15.74</v>
      </c>
      <c r="S1419">
        <v>15.34</v>
      </c>
      <c r="T1419">
        <v>0</v>
      </c>
      <c r="U1419">
        <v>98.4</v>
      </c>
      <c r="V1419">
        <v>502.5</v>
      </c>
      <c r="W1419">
        <v>19.66</v>
      </c>
      <c r="Y1419">
        <v>14.06</v>
      </c>
    </row>
    <row r="1420" spans="1:25" x14ac:dyDescent="0.25">
      <c r="A1420">
        <v>2006</v>
      </c>
      <c r="B1420">
        <v>180</v>
      </c>
      <c r="C1420">
        <v>1100</v>
      </c>
      <c r="D1420" s="7">
        <v>255</v>
      </c>
      <c r="E1420" s="7">
        <v>151.1</v>
      </c>
      <c r="F1420" s="7">
        <v>17.14</v>
      </c>
      <c r="G1420" s="7">
        <v>17.11</v>
      </c>
      <c r="H1420" s="7"/>
      <c r="I1420" s="7"/>
      <c r="J1420" s="7"/>
      <c r="K1420" s="7">
        <v>2.2000000000000002</v>
      </c>
      <c r="L1420" s="7">
        <v>165.3</v>
      </c>
      <c r="M1420" s="7">
        <v>0</v>
      </c>
      <c r="N1420" s="7"/>
      <c r="O1420">
        <v>318.7</v>
      </c>
      <c r="P1420">
        <v>100.7</v>
      </c>
      <c r="Q1420">
        <v>15.85</v>
      </c>
      <c r="S1420">
        <v>15.32</v>
      </c>
      <c r="T1420">
        <v>0</v>
      </c>
      <c r="U1420">
        <v>100.3</v>
      </c>
      <c r="V1420">
        <v>499.6</v>
      </c>
      <c r="W1420">
        <v>19.52</v>
      </c>
      <c r="Y1420">
        <v>13.93</v>
      </c>
    </row>
    <row r="1421" spans="1:25" x14ac:dyDescent="0.25">
      <c r="A1421">
        <v>2006</v>
      </c>
      <c r="B1421">
        <v>180</v>
      </c>
      <c r="C1421">
        <v>1200</v>
      </c>
      <c r="D1421" s="7">
        <v>299.2</v>
      </c>
      <c r="E1421" s="7">
        <v>179</v>
      </c>
      <c r="F1421" s="7">
        <v>17.43</v>
      </c>
      <c r="G1421" s="7">
        <v>17.38</v>
      </c>
      <c r="H1421" s="7"/>
      <c r="I1421" s="7"/>
      <c r="J1421" s="7"/>
      <c r="K1421" s="7">
        <v>2.629</v>
      </c>
      <c r="L1421" s="7">
        <v>163.4</v>
      </c>
      <c r="M1421" s="7">
        <v>0</v>
      </c>
      <c r="N1421" s="7"/>
      <c r="O1421">
        <v>372.7</v>
      </c>
      <c r="P1421">
        <v>115.1</v>
      </c>
      <c r="Q1421">
        <v>16.02</v>
      </c>
      <c r="S1421">
        <v>15.38</v>
      </c>
      <c r="T1421">
        <v>0</v>
      </c>
      <c r="U1421">
        <v>100.4</v>
      </c>
      <c r="V1421">
        <v>497.5</v>
      </c>
      <c r="W1421">
        <v>19.43</v>
      </c>
      <c r="Y1421">
        <v>14.01</v>
      </c>
    </row>
    <row r="1422" spans="1:25" x14ac:dyDescent="0.25">
      <c r="A1422">
        <v>2006</v>
      </c>
      <c r="B1422">
        <v>180</v>
      </c>
      <c r="C1422">
        <v>1300</v>
      </c>
      <c r="D1422" s="7">
        <v>236.4</v>
      </c>
      <c r="E1422" s="7">
        <v>136.19999999999999</v>
      </c>
      <c r="F1422" s="7">
        <v>16.91</v>
      </c>
      <c r="G1422" s="7">
        <v>16.89</v>
      </c>
      <c r="H1422" s="7"/>
      <c r="I1422" s="7"/>
      <c r="J1422" s="7"/>
      <c r="K1422" s="7">
        <v>2.5219999999999998</v>
      </c>
      <c r="L1422" s="7">
        <v>164.8</v>
      </c>
      <c r="M1422" s="7">
        <v>0</v>
      </c>
      <c r="N1422" s="7"/>
      <c r="O1422">
        <v>298.8</v>
      </c>
      <c r="P1422">
        <v>91.2</v>
      </c>
      <c r="Q1422">
        <v>16.16</v>
      </c>
      <c r="S1422">
        <v>15.42</v>
      </c>
      <c r="T1422">
        <v>0</v>
      </c>
      <c r="U1422">
        <v>100.2</v>
      </c>
      <c r="V1422">
        <v>495.8</v>
      </c>
      <c r="W1422">
        <v>19.350000000000001</v>
      </c>
      <c r="Y1422">
        <v>13.9</v>
      </c>
    </row>
    <row r="1423" spans="1:25" x14ac:dyDescent="0.25">
      <c r="A1423">
        <v>2006</v>
      </c>
      <c r="B1423">
        <v>180</v>
      </c>
      <c r="C1423">
        <v>1400</v>
      </c>
      <c r="D1423" s="7">
        <v>322.8</v>
      </c>
      <c r="E1423" s="7">
        <v>191.6</v>
      </c>
      <c r="F1423" s="7">
        <v>17.37</v>
      </c>
      <c r="G1423" s="7">
        <v>17.38</v>
      </c>
      <c r="H1423" s="7"/>
      <c r="I1423" s="7"/>
      <c r="J1423" s="7"/>
      <c r="K1423" s="7">
        <v>2.9710000000000001</v>
      </c>
      <c r="L1423" s="7">
        <v>169.8</v>
      </c>
      <c r="M1423" s="7">
        <v>0</v>
      </c>
      <c r="N1423" s="7"/>
      <c r="O1423">
        <v>405.6</v>
      </c>
      <c r="P1423">
        <v>128.19999999999999</v>
      </c>
      <c r="Q1423">
        <v>16.28</v>
      </c>
      <c r="S1423">
        <v>15.49</v>
      </c>
      <c r="T1423">
        <v>0</v>
      </c>
      <c r="U1423">
        <v>100</v>
      </c>
      <c r="V1423">
        <v>494.7</v>
      </c>
      <c r="W1423">
        <v>19.29</v>
      </c>
      <c r="Y1423">
        <v>14</v>
      </c>
    </row>
    <row r="1424" spans="1:25" x14ac:dyDescent="0.25">
      <c r="A1424">
        <v>2006</v>
      </c>
      <c r="B1424">
        <v>180</v>
      </c>
      <c r="C1424">
        <v>1500</v>
      </c>
      <c r="D1424" s="7">
        <v>575</v>
      </c>
      <c r="E1424" s="7">
        <v>345.8</v>
      </c>
      <c r="F1424" s="7">
        <v>18.27</v>
      </c>
      <c r="G1424" s="7">
        <v>18.21</v>
      </c>
      <c r="H1424" s="7"/>
      <c r="I1424" s="7"/>
      <c r="J1424" s="7"/>
      <c r="K1424" s="7">
        <v>3.6349999999999998</v>
      </c>
      <c r="L1424" s="7">
        <v>172.4</v>
      </c>
      <c r="M1424" s="7">
        <v>0</v>
      </c>
      <c r="N1424" s="7"/>
      <c r="O1424">
        <v>693</v>
      </c>
      <c r="P1424">
        <v>222.6</v>
      </c>
      <c r="Q1424">
        <v>16.399999999999999</v>
      </c>
      <c r="S1424">
        <v>15.6</v>
      </c>
      <c r="T1424">
        <v>0</v>
      </c>
      <c r="U1424">
        <v>100.5</v>
      </c>
      <c r="V1424">
        <v>494.1</v>
      </c>
      <c r="W1424">
        <v>19.27</v>
      </c>
      <c r="Y1424">
        <v>14.32</v>
      </c>
    </row>
    <row r="1425" spans="1:25" x14ac:dyDescent="0.25">
      <c r="A1425">
        <v>2006</v>
      </c>
      <c r="B1425">
        <v>180</v>
      </c>
      <c r="C1425">
        <v>1600</v>
      </c>
      <c r="D1425" s="7">
        <v>383.4</v>
      </c>
      <c r="E1425" s="7">
        <v>218.2</v>
      </c>
      <c r="F1425" s="7">
        <v>18.190000000000001</v>
      </c>
      <c r="G1425" s="7">
        <v>18.07</v>
      </c>
      <c r="H1425" s="7"/>
      <c r="I1425" s="7"/>
      <c r="J1425" s="7"/>
      <c r="K1425" s="7">
        <v>3.5289999999999999</v>
      </c>
      <c r="L1425" s="7">
        <v>171.4</v>
      </c>
      <c r="M1425" s="7">
        <v>0</v>
      </c>
      <c r="N1425" s="7"/>
      <c r="O1425">
        <v>452.4</v>
      </c>
      <c r="P1425">
        <v>147.9</v>
      </c>
      <c r="Q1425">
        <v>16.55</v>
      </c>
      <c r="S1425">
        <v>15.66</v>
      </c>
      <c r="T1425">
        <v>0</v>
      </c>
      <c r="U1425">
        <v>101.1</v>
      </c>
      <c r="V1425">
        <v>492.8</v>
      </c>
      <c r="W1425">
        <v>19.21</v>
      </c>
      <c r="Y1425">
        <v>14.09</v>
      </c>
    </row>
    <row r="1426" spans="1:25" x14ac:dyDescent="0.25">
      <c r="A1426">
        <v>2006</v>
      </c>
      <c r="B1426">
        <v>180</v>
      </c>
      <c r="C1426">
        <v>1700</v>
      </c>
      <c r="D1426" s="7">
        <v>246.1</v>
      </c>
      <c r="E1426" s="7">
        <v>133.19999999999999</v>
      </c>
      <c r="F1426" s="7">
        <v>17.45</v>
      </c>
      <c r="G1426" s="7">
        <v>17.440000000000001</v>
      </c>
      <c r="H1426" s="7"/>
      <c r="I1426" s="7"/>
      <c r="J1426" s="7"/>
      <c r="K1426" s="7">
        <v>2.8839999999999999</v>
      </c>
      <c r="L1426" s="7">
        <v>180.5</v>
      </c>
      <c r="M1426" s="7">
        <v>0</v>
      </c>
      <c r="N1426" s="7"/>
      <c r="O1426">
        <v>295.2</v>
      </c>
      <c r="P1426">
        <v>97.5</v>
      </c>
      <c r="Q1426">
        <v>16.64</v>
      </c>
      <c r="S1426">
        <v>15.68</v>
      </c>
      <c r="T1426">
        <v>0</v>
      </c>
      <c r="U1426">
        <v>100.1</v>
      </c>
      <c r="V1426">
        <v>490.8</v>
      </c>
      <c r="W1426">
        <v>19.11</v>
      </c>
      <c r="Y1426">
        <v>13.87</v>
      </c>
    </row>
    <row r="1427" spans="1:25" x14ac:dyDescent="0.25">
      <c r="A1427">
        <v>2006</v>
      </c>
      <c r="B1427">
        <v>180</v>
      </c>
      <c r="C1427">
        <v>1800</v>
      </c>
      <c r="D1427" s="7">
        <v>221.8</v>
      </c>
      <c r="E1427" s="7">
        <v>115.6</v>
      </c>
      <c r="F1427" s="7">
        <v>17.579999999999998</v>
      </c>
      <c r="G1427" s="7">
        <v>17.54</v>
      </c>
      <c r="H1427" s="7"/>
      <c r="I1427" s="7"/>
      <c r="J1427" s="7"/>
      <c r="K1427" s="7">
        <v>2.645</v>
      </c>
      <c r="L1427" s="7">
        <v>173</v>
      </c>
      <c r="M1427" s="7">
        <v>0</v>
      </c>
      <c r="N1427" s="7"/>
      <c r="O1427">
        <v>264.7</v>
      </c>
      <c r="P1427">
        <v>81.8</v>
      </c>
      <c r="Q1427">
        <v>16.72</v>
      </c>
      <c r="S1427">
        <v>15.77</v>
      </c>
      <c r="T1427">
        <v>0</v>
      </c>
      <c r="U1427">
        <v>100.4</v>
      </c>
      <c r="V1427">
        <v>489.4</v>
      </c>
      <c r="W1427">
        <v>19.05</v>
      </c>
      <c r="Y1427">
        <v>13.85</v>
      </c>
    </row>
    <row r="1428" spans="1:25" x14ac:dyDescent="0.25">
      <c r="A1428">
        <v>2006</v>
      </c>
      <c r="B1428">
        <v>180</v>
      </c>
      <c r="C1428">
        <v>1900</v>
      </c>
      <c r="D1428" s="7">
        <v>120</v>
      </c>
      <c r="E1428" s="7">
        <v>51.66</v>
      </c>
      <c r="F1428" s="7">
        <v>16.89</v>
      </c>
      <c r="G1428" s="7">
        <v>16.829999999999998</v>
      </c>
      <c r="H1428" s="7"/>
      <c r="I1428" s="7"/>
      <c r="J1428" s="7"/>
      <c r="K1428" s="7">
        <v>2.516</v>
      </c>
      <c r="L1428" s="7">
        <v>166</v>
      </c>
      <c r="M1428" s="7">
        <v>0</v>
      </c>
      <c r="N1428" s="7"/>
      <c r="O1428">
        <v>139.30000000000001</v>
      </c>
      <c r="P1428">
        <v>42.83</v>
      </c>
      <c r="Q1428">
        <v>16.8</v>
      </c>
      <c r="S1428">
        <v>15.87</v>
      </c>
      <c r="T1428">
        <v>0</v>
      </c>
      <c r="U1428">
        <v>100.6</v>
      </c>
      <c r="V1428">
        <v>488.4</v>
      </c>
      <c r="W1428">
        <v>19</v>
      </c>
      <c r="Y1428">
        <v>13.7</v>
      </c>
    </row>
    <row r="1429" spans="1:25" x14ac:dyDescent="0.25">
      <c r="A1429">
        <v>2006</v>
      </c>
      <c r="B1429">
        <v>180</v>
      </c>
      <c r="C1429">
        <v>2000</v>
      </c>
      <c r="D1429" s="7">
        <v>36.69</v>
      </c>
      <c r="E1429" s="7">
        <v>2.528</v>
      </c>
      <c r="F1429" s="7">
        <v>15.86</v>
      </c>
      <c r="G1429" s="7">
        <v>15.82</v>
      </c>
      <c r="H1429" s="7"/>
      <c r="I1429" s="7"/>
      <c r="J1429" s="7"/>
      <c r="K1429" s="7">
        <v>2.536</v>
      </c>
      <c r="L1429" s="7">
        <v>173.8</v>
      </c>
      <c r="M1429" s="7">
        <v>0</v>
      </c>
      <c r="N1429" s="7"/>
      <c r="O1429">
        <v>37.090000000000003</v>
      </c>
      <c r="P1429">
        <v>6.0890000000000004</v>
      </c>
      <c r="Q1429">
        <v>16.79</v>
      </c>
      <c r="S1429">
        <v>15.88</v>
      </c>
      <c r="T1429">
        <v>0</v>
      </c>
      <c r="U1429">
        <v>100.4</v>
      </c>
      <c r="V1429">
        <v>487.8</v>
      </c>
      <c r="W1429">
        <v>18.97</v>
      </c>
      <c r="Y1429">
        <v>13.54</v>
      </c>
    </row>
    <row r="1430" spans="1:25" x14ac:dyDescent="0.25">
      <c r="A1430">
        <v>2006</v>
      </c>
      <c r="B1430">
        <v>180</v>
      </c>
      <c r="C1430">
        <v>2100</v>
      </c>
      <c r="D1430" s="7">
        <v>7.34</v>
      </c>
      <c r="E1430" s="7">
        <v>-10.220000000000001</v>
      </c>
      <c r="F1430" s="7">
        <v>15.47</v>
      </c>
      <c r="G1430" s="7">
        <v>15.44</v>
      </c>
      <c r="H1430" s="7"/>
      <c r="I1430" s="7"/>
      <c r="J1430" s="7"/>
      <c r="K1430" s="7">
        <v>1.9670000000000001</v>
      </c>
      <c r="L1430" s="7">
        <v>168.6</v>
      </c>
      <c r="M1430" s="7">
        <v>0</v>
      </c>
      <c r="N1430" s="7"/>
      <c r="O1430">
        <v>-1.579</v>
      </c>
      <c r="P1430">
        <v>-8.14</v>
      </c>
      <c r="Q1430">
        <v>16.739999999999998</v>
      </c>
      <c r="S1430">
        <v>15.9</v>
      </c>
      <c r="T1430">
        <v>0</v>
      </c>
      <c r="U1430">
        <v>100.3</v>
      </c>
      <c r="V1430">
        <v>487.7</v>
      </c>
      <c r="W1430">
        <v>18.97</v>
      </c>
      <c r="Y1430">
        <v>13.42</v>
      </c>
    </row>
    <row r="1431" spans="1:25" x14ac:dyDescent="0.25">
      <c r="A1431">
        <v>2006</v>
      </c>
      <c r="B1431">
        <v>180</v>
      </c>
      <c r="C1431">
        <v>2200</v>
      </c>
      <c r="D1431" s="7">
        <v>-1.044</v>
      </c>
      <c r="E1431" s="7">
        <v>-15.32</v>
      </c>
      <c r="F1431" s="7">
        <v>15.17</v>
      </c>
      <c r="G1431" s="7">
        <v>15.04</v>
      </c>
      <c r="H1431" s="7"/>
      <c r="I1431" s="7"/>
      <c r="J1431" s="7"/>
      <c r="K1431" s="7">
        <v>1.5760000000000001</v>
      </c>
      <c r="L1431" s="7">
        <v>160.9</v>
      </c>
      <c r="M1431" s="7">
        <v>0</v>
      </c>
      <c r="N1431" s="7"/>
      <c r="O1431">
        <v>-11.59</v>
      </c>
      <c r="P1431">
        <v>-11.4</v>
      </c>
      <c r="Q1431">
        <v>16.66</v>
      </c>
      <c r="S1431">
        <v>15.89</v>
      </c>
      <c r="T1431">
        <v>0</v>
      </c>
      <c r="U1431">
        <v>101.3</v>
      </c>
      <c r="V1431">
        <v>488.9</v>
      </c>
      <c r="W1431">
        <v>19.03</v>
      </c>
      <c r="Y1431">
        <v>13.33</v>
      </c>
    </row>
    <row r="1432" spans="1:25" x14ac:dyDescent="0.25">
      <c r="A1432">
        <v>2006</v>
      </c>
      <c r="B1432">
        <v>180</v>
      </c>
      <c r="C1432">
        <v>2300</v>
      </c>
      <c r="D1432" s="7">
        <v>-0.91400000000000003</v>
      </c>
      <c r="E1432" s="7">
        <v>-12.08</v>
      </c>
      <c r="F1432" s="7">
        <v>14.97</v>
      </c>
      <c r="G1432" s="7">
        <v>14.99</v>
      </c>
      <c r="H1432" s="7"/>
      <c r="I1432" s="7"/>
      <c r="J1432" s="7"/>
      <c r="K1432" s="7">
        <v>1.7450000000000001</v>
      </c>
      <c r="L1432" s="7">
        <v>161.9</v>
      </c>
      <c r="M1432" s="7">
        <v>0</v>
      </c>
      <c r="N1432" s="7"/>
      <c r="O1432">
        <v>-12.18</v>
      </c>
      <c r="P1432">
        <v>-11.52</v>
      </c>
      <c r="Q1432">
        <v>16.559999999999999</v>
      </c>
      <c r="S1432">
        <v>15.9</v>
      </c>
      <c r="T1432">
        <v>0</v>
      </c>
      <c r="U1432">
        <v>99.8</v>
      </c>
      <c r="V1432">
        <v>494.4</v>
      </c>
      <c r="W1432">
        <v>19.28</v>
      </c>
      <c r="Y1432">
        <v>13.25</v>
      </c>
    </row>
    <row r="1433" spans="1:25" x14ac:dyDescent="0.25">
      <c r="A1433">
        <v>2006</v>
      </c>
      <c r="B1433">
        <v>180</v>
      </c>
      <c r="C1433">
        <v>2400</v>
      </c>
      <c r="D1433" s="7">
        <v>-0.7</v>
      </c>
      <c r="E1433" s="7">
        <v>-8.77</v>
      </c>
      <c r="F1433" s="7">
        <v>15.09</v>
      </c>
      <c r="G1433" s="7">
        <v>15.18</v>
      </c>
      <c r="H1433" s="7"/>
      <c r="I1433" s="7"/>
      <c r="J1433" s="7"/>
      <c r="K1433" s="7">
        <v>1.6020000000000001</v>
      </c>
      <c r="L1433" s="7">
        <v>159.9</v>
      </c>
      <c r="M1433" s="7">
        <v>0</v>
      </c>
      <c r="N1433" s="7"/>
      <c r="O1433">
        <v>-12.17</v>
      </c>
      <c r="P1433">
        <v>-11.48</v>
      </c>
      <c r="Q1433">
        <v>16.489999999999998</v>
      </c>
      <c r="S1433">
        <v>15.87</v>
      </c>
      <c r="T1433">
        <v>0</v>
      </c>
      <c r="U1433">
        <v>99</v>
      </c>
      <c r="V1433">
        <v>496.6</v>
      </c>
      <c r="W1433">
        <v>19.38</v>
      </c>
      <c r="Y1433">
        <v>13.18</v>
      </c>
    </row>
    <row r="1434" spans="1:25" x14ac:dyDescent="0.25">
      <c r="A1434">
        <v>2006</v>
      </c>
      <c r="B1434">
        <v>181</v>
      </c>
      <c r="C1434">
        <v>100</v>
      </c>
      <c r="D1434" s="7">
        <v>-0.86599999999999999</v>
      </c>
      <c r="E1434" s="7">
        <v>-8.27</v>
      </c>
      <c r="F1434" s="7">
        <v>15.01</v>
      </c>
      <c r="G1434" s="7">
        <v>15.03</v>
      </c>
      <c r="H1434" s="7"/>
      <c r="I1434" s="7"/>
      <c r="J1434" s="7"/>
      <c r="K1434" s="7">
        <v>1.5780000000000001</v>
      </c>
      <c r="L1434" s="7">
        <v>168.5</v>
      </c>
      <c r="M1434" s="7">
        <v>0</v>
      </c>
      <c r="N1434" s="7"/>
      <c r="O1434">
        <v>-12.18</v>
      </c>
      <c r="P1434">
        <v>-11.52</v>
      </c>
      <c r="Q1434">
        <v>16.399999999999999</v>
      </c>
      <c r="S1434">
        <v>15.83</v>
      </c>
      <c r="T1434">
        <v>0</v>
      </c>
      <c r="U1434">
        <v>99.8</v>
      </c>
      <c r="V1434">
        <v>496.9</v>
      </c>
      <c r="W1434">
        <v>19.399999999999999</v>
      </c>
      <c r="Y1434">
        <v>13.11</v>
      </c>
    </row>
    <row r="1435" spans="1:25" x14ac:dyDescent="0.25">
      <c r="A1435">
        <v>2006</v>
      </c>
      <c r="B1435">
        <v>181</v>
      </c>
      <c r="C1435">
        <v>200</v>
      </c>
      <c r="D1435" s="7">
        <v>-0.96199999999999997</v>
      </c>
      <c r="E1435" s="7">
        <v>-8.59</v>
      </c>
      <c r="F1435" s="7">
        <v>15.04</v>
      </c>
      <c r="G1435" s="7">
        <v>15.02</v>
      </c>
      <c r="H1435" s="7"/>
      <c r="I1435" s="7"/>
      <c r="J1435" s="7"/>
      <c r="K1435" s="7">
        <v>1.4039999999999999</v>
      </c>
      <c r="L1435" s="7">
        <v>193.7</v>
      </c>
      <c r="M1435" s="7">
        <v>0</v>
      </c>
      <c r="N1435" s="7"/>
      <c r="O1435">
        <v>-12.18</v>
      </c>
      <c r="P1435">
        <v>-11.49</v>
      </c>
      <c r="Q1435">
        <v>16.309999999999999</v>
      </c>
      <c r="S1435">
        <v>15.79</v>
      </c>
      <c r="T1435">
        <v>0</v>
      </c>
      <c r="U1435">
        <v>100.3</v>
      </c>
      <c r="V1435">
        <v>497.7</v>
      </c>
      <c r="W1435">
        <v>19.440000000000001</v>
      </c>
      <c r="Y1435">
        <v>13.05</v>
      </c>
    </row>
    <row r="1436" spans="1:25" x14ac:dyDescent="0.25">
      <c r="A1436">
        <v>2006</v>
      </c>
      <c r="B1436">
        <v>181</v>
      </c>
      <c r="C1436">
        <v>300</v>
      </c>
      <c r="D1436" s="7">
        <v>-1.1459999999999999</v>
      </c>
      <c r="E1436" s="7">
        <v>-7.76</v>
      </c>
      <c r="F1436" s="7">
        <v>13.92</v>
      </c>
      <c r="G1436" s="7">
        <v>13.83</v>
      </c>
      <c r="H1436" s="7"/>
      <c r="I1436" s="7"/>
      <c r="J1436" s="7"/>
      <c r="K1436" s="7">
        <v>1.012</v>
      </c>
      <c r="L1436" s="7">
        <v>229.3</v>
      </c>
      <c r="M1436" s="7">
        <v>0</v>
      </c>
      <c r="N1436" s="7"/>
      <c r="O1436">
        <v>-12.17</v>
      </c>
      <c r="P1436">
        <v>-11.47</v>
      </c>
      <c r="Q1436">
        <v>16.239999999999998</v>
      </c>
      <c r="S1436">
        <v>15.72</v>
      </c>
      <c r="T1436">
        <v>0</v>
      </c>
      <c r="U1436">
        <v>100.9</v>
      </c>
      <c r="V1436">
        <v>498.7</v>
      </c>
      <c r="W1436">
        <v>19.48</v>
      </c>
      <c r="Y1436">
        <v>13</v>
      </c>
    </row>
    <row r="1437" spans="1:25" x14ac:dyDescent="0.25">
      <c r="A1437">
        <v>2006</v>
      </c>
      <c r="B1437">
        <v>181</v>
      </c>
      <c r="C1437">
        <v>400</v>
      </c>
      <c r="D1437" s="7">
        <v>-0.55200000000000005</v>
      </c>
      <c r="E1437" s="7">
        <v>-9.7899999999999991</v>
      </c>
      <c r="F1437" s="7">
        <v>13.73</v>
      </c>
      <c r="G1437" s="7">
        <v>13.68</v>
      </c>
      <c r="H1437" s="7"/>
      <c r="I1437" s="7"/>
      <c r="J1437" s="7"/>
      <c r="K1437" s="7">
        <v>0.66900000000000004</v>
      </c>
      <c r="L1437" s="7">
        <v>170.8</v>
      </c>
      <c r="M1437" s="7">
        <v>0</v>
      </c>
      <c r="N1437" s="7"/>
      <c r="O1437">
        <v>-11.69</v>
      </c>
      <c r="P1437">
        <v>-11.42</v>
      </c>
      <c r="Q1437">
        <v>16.190000000000001</v>
      </c>
      <c r="S1437">
        <v>15.67</v>
      </c>
      <c r="T1437">
        <v>0</v>
      </c>
      <c r="U1437">
        <v>100.6</v>
      </c>
      <c r="V1437">
        <v>495.6</v>
      </c>
      <c r="W1437">
        <v>19.34</v>
      </c>
      <c r="Y1437">
        <v>12.96</v>
      </c>
    </row>
    <row r="1438" spans="1:25" x14ac:dyDescent="0.25">
      <c r="A1438">
        <v>2006</v>
      </c>
      <c r="B1438">
        <v>181</v>
      </c>
      <c r="C1438">
        <v>500</v>
      </c>
      <c r="D1438" s="7">
        <v>3.6760000000000002</v>
      </c>
      <c r="E1438" s="7">
        <v>-6.1059999999999999</v>
      </c>
      <c r="F1438" s="7">
        <v>13.63</v>
      </c>
      <c r="G1438" s="7">
        <v>13.63</v>
      </c>
      <c r="H1438" s="7"/>
      <c r="I1438" s="7"/>
      <c r="J1438" s="7"/>
      <c r="K1438" s="7">
        <v>0.65900000000000003</v>
      </c>
      <c r="L1438" s="7">
        <v>181.4</v>
      </c>
      <c r="M1438" s="7">
        <v>0.8</v>
      </c>
      <c r="N1438" s="7"/>
      <c r="O1438">
        <v>-4.8339999999999996</v>
      </c>
      <c r="P1438">
        <v>-9.64</v>
      </c>
      <c r="Q1438">
        <v>16.12</v>
      </c>
      <c r="S1438">
        <v>15.66</v>
      </c>
      <c r="T1438">
        <v>0</v>
      </c>
      <c r="U1438">
        <v>100</v>
      </c>
      <c r="V1438">
        <v>495.4</v>
      </c>
      <c r="W1438">
        <v>19.329999999999998</v>
      </c>
      <c r="Y1438">
        <v>12.93</v>
      </c>
    </row>
    <row r="1439" spans="1:25" x14ac:dyDescent="0.25">
      <c r="A1439">
        <v>2006</v>
      </c>
      <c r="B1439">
        <v>181</v>
      </c>
      <c r="C1439">
        <v>600</v>
      </c>
      <c r="D1439" s="7">
        <v>22.69</v>
      </c>
      <c r="E1439" s="7">
        <v>6.7839999999999998</v>
      </c>
      <c r="F1439" s="7">
        <v>13.61</v>
      </c>
      <c r="G1439" s="7">
        <v>13.66</v>
      </c>
      <c r="H1439" s="7"/>
      <c r="I1439" s="7"/>
      <c r="J1439" s="7"/>
      <c r="K1439" s="7">
        <v>0.85599999999999998</v>
      </c>
      <c r="L1439" s="7">
        <v>162.4</v>
      </c>
      <c r="M1439" s="7">
        <v>0.2</v>
      </c>
      <c r="N1439" s="7"/>
      <c r="O1439">
        <v>21.65</v>
      </c>
      <c r="P1439">
        <v>-2.5190000000000001</v>
      </c>
      <c r="Q1439">
        <v>16.04</v>
      </c>
      <c r="S1439">
        <v>15.58</v>
      </c>
      <c r="T1439">
        <v>0</v>
      </c>
      <c r="U1439">
        <v>99.5</v>
      </c>
      <c r="V1439">
        <v>500.8</v>
      </c>
      <c r="W1439">
        <v>19.579999999999998</v>
      </c>
      <c r="Y1439">
        <v>12.92</v>
      </c>
    </row>
    <row r="1440" spans="1:25" x14ac:dyDescent="0.25">
      <c r="A1440">
        <v>2006</v>
      </c>
      <c r="B1440">
        <v>181</v>
      </c>
      <c r="C1440">
        <v>700</v>
      </c>
      <c r="D1440" s="7">
        <v>84.7</v>
      </c>
      <c r="E1440" s="7">
        <v>45.17</v>
      </c>
      <c r="F1440" s="7">
        <v>13.87</v>
      </c>
      <c r="G1440" s="7">
        <v>13.97</v>
      </c>
      <c r="H1440" s="7"/>
      <c r="I1440" s="7"/>
      <c r="J1440" s="7"/>
      <c r="K1440" s="7">
        <v>0.82</v>
      </c>
      <c r="L1440" s="7">
        <v>209.8</v>
      </c>
      <c r="M1440" s="7">
        <v>0</v>
      </c>
      <c r="N1440" s="7"/>
      <c r="O1440">
        <v>108</v>
      </c>
      <c r="P1440">
        <v>20.97</v>
      </c>
      <c r="Q1440">
        <v>16.010000000000002</v>
      </c>
      <c r="S1440">
        <v>15.56</v>
      </c>
      <c r="T1440">
        <v>0</v>
      </c>
      <c r="U1440">
        <v>99</v>
      </c>
      <c r="V1440">
        <v>496.7</v>
      </c>
      <c r="W1440">
        <v>19.39</v>
      </c>
      <c r="Y1440">
        <v>13.28</v>
      </c>
    </row>
    <row r="1441" spans="1:25" x14ac:dyDescent="0.25">
      <c r="A1441">
        <v>2006</v>
      </c>
      <c r="B1441">
        <v>181</v>
      </c>
      <c r="C1441">
        <v>800</v>
      </c>
      <c r="D1441" s="7">
        <v>77.8</v>
      </c>
      <c r="E1441" s="7">
        <v>43.77</v>
      </c>
      <c r="F1441" s="7">
        <v>14.2</v>
      </c>
      <c r="G1441" s="7">
        <v>14.21</v>
      </c>
      <c r="H1441" s="7"/>
      <c r="I1441" s="7"/>
      <c r="J1441" s="7"/>
      <c r="K1441" s="7">
        <v>0.75800000000000001</v>
      </c>
      <c r="L1441" s="7">
        <v>196.3</v>
      </c>
      <c r="M1441" s="7">
        <v>1</v>
      </c>
      <c r="N1441" s="7"/>
      <c r="O1441">
        <v>98.1</v>
      </c>
      <c r="P1441">
        <v>19.2</v>
      </c>
      <c r="Q1441">
        <v>16</v>
      </c>
      <c r="S1441">
        <v>15.55</v>
      </c>
      <c r="T1441">
        <v>0</v>
      </c>
      <c r="U1441">
        <v>99.9</v>
      </c>
      <c r="V1441">
        <v>493.6</v>
      </c>
      <c r="W1441">
        <v>19.239999999999998</v>
      </c>
      <c r="Y1441">
        <v>13.55</v>
      </c>
    </row>
    <row r="1442" spans="1:25" x14ac:dyDescent="0.25">
      <c r="A1442">
        <v>2006</v>
      </c>
      <c r="B1442">
        <v>181</v>
      </c>
      <c r="C1442">
        <v>900</v>
      </c>
      <c r="D1442" s="7">
        <v>93.1</v>
      </c>
      <c r="E1442" s="7">
        <v>55.01</v>
      </c>
      <c r="F1442" s="7">
        <v>14.45</v>
      </c>
      <c r="G1442" s="7">
        <v>14.46</v>
      </c>
      <c r="H1442" s="7">
        <f>AVERAGE(G1442:G1465)</f>
        <v>16.299583333333334</v>
      </c>
      <c r="I1442" s="7">
        <f>MIN(G1442:G1465)</f>
        <v>11.5</v>
      </c>
      <c r="J1442" s="7">
        <f>MAX(G1442:G1465)</f>
        <v>21.44</v>
      </c>
      <c r="K1442" s="7">
        <v>0.63800000000000001</v>
      </c>
      <c r="L1442" s="7">
        <v>234.8</v>
      </c>
      <c r="M1442" s="7">
        <v>3</v>
      </c>
      <c r="N1442" s="7">
        <f>SUM(M1442:M1465)</f>
        <v>3.6</v>
      </c>
      <c r="O1442">
        <v>121.6</v>
      </c>
      <c r="P1442">
        <v>28.59</v>
      </c>
      <c r="Q1442">
        <v>15.97</v>
      </c>
      <c r="S1442">
        <v>15.49</v>
      </c>
      <c r="T1442">
        <v>0</v>
      </c>
      <c r="U1442">
        <v>99.9</v>
      </c>
      <c r="V1442">
        <v>492</v>
      </c>
      <c r="W1442">
        <v>19.170000000000002</v>
      </c>
      <c r="Y1442">
        <v>13.59</v>
      </c>
    </row>
    <row r="1443" spans="1:25" x14ac:dyDescent="0.25">
      <c r="A1443">
        <v>2006</v>
      </c>
      <c r="B1443">
        <v>181</v>
      </c>
      <c r="C1443">
        <v>1000</v>
      </c>
      <c r="D1443" s="7">
        <v>301.39999999999998</v>
      </c>
      <c r="E1443" s="7">
        <v>186.8</v>
      </c>
      <c r="F1443" s="7">
        <v>15.12</v>
      </c>
      <c r="G1443" s="7">
        <v>15.21</v>
      </c>
      <c r="H1443" s="7"/>
      <c r="I1443" s="7"/>
      <c r="J1443" s="7"/>
      <c r="K1443" s="7">
        <v>1.413</v>
      </c>
      <c r="L1443" s="7">
        <v>251.9</v>
      </c>
      <c r="M1443" s="7">
        <v>0.6</v>
      </c>
      <c r="N1443" s="7"/>
      <c r="O1443">
        <v>407.8</v>
      </c>
      <c r="P1443">
        <v>113.8</v>
      </c>
      <c r="Q1443">
        <v>16</v>
      </c>
      <c r="S1443">
        <v>15.5</v>
      </c>
      <c r="T1443">
        <v>0</v>
      </c>
      <c r="U1443">
        <v>99.1</v>
      </c>
      <c r="V1443">
        <v>519.20000000000005</v>
      </c>
      <c r="W1443">
        <v>20.43</v>
      </c>
      <c r="Y1443">
        <v>13.94</v>
      </c>
    </row>
    <row r="1444" spans="1:25" x14ac:dyDescent="0.25">
      <c r="A1444">
        <v>2006</v>
      </c>
      <c r="B1444">
        <v>181</v>
      </c>
      <c r="C1444">
        <v>1100</v>
      </c>
      <c r="D1444" s="7">
        <v>450.1</v>
      </c>
      <c r="E1444" s="7">
        <v>270.10000000000002</v>
      </c>
      <c r="F1444" s="7">
        <v>16.05</v>
      </c>
      <c r="G1444" s="7">
        <v>16.79</v>
      </c>
      <c r="H1444" s="7"/>
      <c r="I1444" s="7"/>
      <c r="J1444" s="7"/>
      <c r="K1444" s="7">
        <v>1.806</v>
      </c>
      <c r="L1444" s="7">
        <v>239.3</v>
      </c>
      <c r="M1444" s="7">
        <v>0</v>
      </c>
      <c r="N1444" s="7"/>
      <c r="O1444">
        <v>599.6</v>
      </c>
      <c r="P1444">
        <v>177.3</v>
      </c>
      <c r="Q1444">
        <v>16.11</v>
      </c>
      <c r="S1444">
        <v>15.55</v>
      </c>
      <c r="T1444">
        <v>0</v>
      </c>
      <c r="U1444">
        <v>92.8</v>
      </c>
      <c r="V1444">
        <v>507</v>
      </c>
      <c r="W1444">
        <v>19.87</v>
      </c>
      <c r="Y1444">
        <v>14.23</v>
      </c>
    </row>
    <row r="1445" spans="1:25" x14ac:dyDescent="0.25">
      <c r="A1445">
        <v>2006</v>
      </c>
      <c r="B1445">
        <v>181</v>
      </c>
      <c r="C1445">
        <v>1200</v>
      </c>
      <c r="D1445" s="7">
        <v>732</v>
      </c>
      <c r="E1445" s="7">
        <v>443.5</v>
      </c>
      <c r="F1445" s="7">
        <v>18.43</v>
      </c>
      <c r="G1445" s="7">
        <v>19.010000000000002</v>
      </c>
      <c r="H1445" s="7"/>
      <c r="I1445" s="7"/>
      <c r="J1445" s="7"/>
      <c r="K1445" s="7">
        <v>1.488</v>
      </c>
      <c r="L1445" s="7">
        <v>232.7</v>
      </c>
      <c r="M1445" s="7">
        <v>0</v>
      </c>
      <c r="N1445" s="7"/>
      <c r="O1445">
        <v>929</v>
      </c>
      <c r="P1445">
        <v>262.8</v>
      </c>
      <c r="Q1445">
        <v>16.329999999999998</v>
      </c>
      <c r="S1445">
        <v>15.67</v>
      </c>
      <c r="T1445">
        <v>0</v>
      </c>
      <c r="U1445">
        <v>94.6</v>
      </c>
      <c r="V1445">
        <v>503.3</v>
      </c>
      <c r="W1445">
        <v>19.690000000000001</v>
      </c>
      <c r="Y1445">
        <v>14.36</v>
      </c>
    </row>
    <row r="1446" spans="1:25" x14ac:dyDescent="0.25">
      <c r="A1446">
        <v>2006</v>
      </c>
      <c r="B1446">
        <v>181</v>
      </c>
      <c r="C1446">
        <v>1300</v>
      </c>
      <c r="D1446" s="7">
        <v>444.1</v>
      </c>
      <c r="E1446" s="7">
        <v>239.2</v>
      </c>
      <c r="F1446" s="7">
        <v>19.329999999999998</v>
      </c>
      <c r="G1446" s="7">
        <v>19.18</v>
      </c>
      <c r="H1446" s="7"/>
      <c r="I1446" s="7"/>
      <c r="J1446" s="7"/>
      <c r="K1446" s="7">
        <v>1.3260000000000001</v>
      </c>
      <c r="L1446" s="7">
        <v>235.6</v>
      </c>
      <c r="M1446" s="7">
        <v>0</v>
      </c>
      <c r="N1446" s="7"/>
      <c r="O1446">
        <v>571.70000000000005</v>
      </c>
      <c r="P1446">
        <v>181.1</v>
      </c>
      <c r="Q1446">
        <v>16.57</v>
      </c>
      <c r="S1446">
        <v>15.7</v>
      </c>
      <c r="T1446">
        <v>0</v>
      </c>
      <c r="U1446">
        <v>101.4</v>
      </c>
      <c r="V1446">
        <v>500.1</v>
      </c>
      <c r="W1446">
        <v>19.55</v>
      </c>
      <c r="Y1446">
        <v>14.22</v>
      </c>
    </row>
    <row r="1447" spans="1:25" x14ac:dyDescent="0.25">
      <c r="A1447">
        <v>2006</v>
      </c>
      <c r="B1447">
        <v>181</v>
      </c>
      <c r="C1447">
        <v>1400</v>
      </c>
      <c r="D1447" s="7">
        <v>462.4</v>
      </c>
      <c r="E1447" s="7">
        <v>248.4</v>
      </c>
      <c r="F1447" s="7">
        <v>19.850000000000001</v>
      </c>
      <c r="G1447" s="7">
        <v>19.760000000000002</v>
      </c>
      <c r="H1447" s="7"/>
      <c r="I1447" s="7"/>
      <c r="J1447" s="7"/>
      <c r="K1447" s="7">
        <v>1.619</v>
      </c>
      <c r="L1447" s="7">
        <v>251.2</v>
      </c>
      <c r="M1447" s="7">
        <v>0</v>
      </c>
      <c r="N1447" s="7"/>
      <c r="O1447">
        <v>592.70000000000005</v>
      </c>
      <c r="P1447">
        <v>188.2</v>
      </c>
      <c r="Q1447">
        <v>16.850000000000001</v>
      </c>
      <c r="S1447">
        <v>15.87</v>
      </c>
      <c r="T1447">
        <v>0</v>
      </c>
      <c r="U1447">
        <v>100.8</v>
      </c>
      <c r="V1447">
        <v>497.2</v>
      </c>
      <c r="W1447">
        <v>19.41</v>
      </c>
      <c r="Y1447">
        <v>14.22</v>
      </c>
    </row>
    <row r="1448" spans="1:25" x14ac:dyDescent="0.25">
      <c r="A1448">
        <v>2006</v>
      </c>
      <c r="B1448">
        <v>181</v>
      </c>
      <c r="C1448">
        <v>1500</v>
      </c>
      <c r="D1448" s="7">
        <v>381.3</v>
      </c>
      <c r="E1448" s="7">
        <v>207.8</v>
      </c>
      <c r="F1448" s="7">
        <v>20.02</v>
      </c>
      <c r="G1448" s="7">
        <v>19.91</v>
      </c>
      <c r="H1448" s="7"/>
      <c r="I1448" s="7"/>
      <c r="J1448" s="7"/>
      <c r="K1448" s="7">
        <v>1.619</v>
      </c>
      <c r="L1448" s="7">
        <v>272.3</v>
      </c>
      <c r="M1448" s="7">
        <v>0</v>
      </c>
      <c r="N1448" s="7"/>
      <c r="O1448">
        <v>475.2</v>
      </c>
      <c r="P1448">
        <v>151.80000000000001</v>
      </c>
      <c r="Q1448">
        <v>17.11</v>
      </c>
      <c r="S1448">
        <v>16.059999999999999</v>
      </c>
      <c r="T1448">
        <v>0</v>
      </c>
      <c r="U1448">
        <v>101</v>
      </c>
      <c r="V1448">
        <v>495.3</v>
      </c>
      <c r="W1448">
        <v>19.32</v>
      </c>
      <c r="Y1448">
        <v>14.1</v>
      </c>
    </row>
    <row r="1449" spans="1:25" x14ac:dyDescent="0.25">
      <c r="A1449">
        <v>2006</v>
      </c>
      <c r="B1449">
        <v>181</v>
      </c>
      <c r="C1449">
        <v>1600</v>
      </c>
      <c r="D1449" s="7">
        <v>552.79999999999995</v>
      </c>
      <c r="E1449" s="7">
        <v>329.7</v>
      </c>
      <c r="F1449" s="7">
        <v>20.94</v>
      </c>
      <c r="G1449" s="7">
        <v>20.78</v>
      </c>
      <c r="H1449" s="7"/>
      <c r="I1449" s="7"/>
      <c r="J1449" s="7"/>
      <c r="K1449" s="7">
        <v>1.3180000000000001</v>
      </c>
      <c r="L1449" s="7">
        <v>256.8</v>
      </c>
      <c r="M1449" s="7">
        <v>0</v>
      </c>
      <c r="N1449" s="7"/>
      <c r="O1449">
        <v>674.9</v>
      </c>
      <c r="P1449">
        <v>229.1</v>
      </c>
      <c r="Q1449">
        <v>17.32</v>
      </c>
      <c r="S1449">
        <v>16.260000000000002</v>
      </c>
      <c r="T1449">
        <v>0</v>
      </c>
      <c r="U1449">
        <v>101.5</v>
      </c>
      <c r="V1449">
        <v>493.2</v>
      </c>
      <c r="W1449">
        <v>19.23</v>
      </c>
      <c r="Y1449">
        <v>14.26</v>
      </c>
    </row>
    <row r="1450" spans="1:25" x14ac:dyDescent="0.25">
      <c r="A1450">
        <v>2006</v>
      </c>
      <c r="B1450">
        <v>181</v>
      </c>
      <c r="C1450">
        <v>1700</v>
      </c>
      <c r="D1450" s="7">
        <v>556.20000000000005</v>
      </c>
      <c r="E1450" s="7">
        <v>328.6</v>
      </c>
      <c r="F1450" s="7">
        <v>21.78</v>
      </c>
      <c r="G1450" s="7">
        <v>21.44</v>
      </c>
      <c r="H1450" s="7"/>
      <c r="I1450" s="7"/>
      <c r="J1450" s="7"/>
      <c r="K1450" s="7">
        <v>1.548</v>
      </c>
      <c r="L1450" s="7">
        <v>255.1</v>
      </c>
      <c r="M1450" s="7">
        <v>0</v>
      </c>
      <c r="N1450" s="7"/>
      <c r="O1450">
        <v>669.8</v>
      </c>
      <c r="P1450">
        <v>270.8</v>
      </c>
      <c r="Q1450">
        <v>17.489999999999998</v>
      </c>
      <c r="S1450">
        <v>16.45</v>
      </c>
      <c r="T1450">
        <v>0</v>
      </c>
      <c r="U1450">
        <v>103</v>
      </c>
      <c r="V1450">
        <v>492.5</v>
      </c>
      <c r="W1450">
        <v>19.190000000000001</v>
      </c>
      <c r="Y1450">
        <v>14.13</v>
      </c>
    </row>
    <row r="1451" spans="1:25" x14ac:dyDescent="0.25">
      <c r="A1451">
        <v>2006</v>
      </c>
      <c r="B1451">
        <v>181</v>
      </c>
      <c r="C1451">
        <v>1800</v>
      </c>
      <c r="D1451" s="7">
        <v>233.1</v>
      </c>
      <c r="E1451" s="7">
        <v>108.1</v>
      </c>
      <c r="F1451" s="7">
        <v>20.92</v>
      </c>
      <c r="G1451" s="7">
        <v>20.49</v>
      </c>
      <c r="H1451" s="7"/>
      <c r="I1451" s="7"/>
      <c r="J1451" s="7"/>
      <c r="K1451" s="7">
        <v>1.006</v>
      </c>
      <c r="L1451" s="7">
        <v>209.8</v>
      </c>
      <c r="M1451" s="7">
        <v>0</v>
      </c>
      <c r="N1451" s="7"/>
      <c r="O1451">
        <v>270.2</v>
      </c>
      <c r="P1451">
        <v>118.6</v>
      </c>
      <c r="Q1451">
        <v>17.64</v>
      </c>
      <c r="S1451">
        <v>16.52</v>
      </c>
      <c r="T1451">
        <v>0</v>
      </c>
      <c r="U1451">
        <v>103.8</v>
      </c>
      <c r="V1451">
        <v>491.4</v>
      </c>
      <c r="W1451">
        <v>19.14</v>
      </c>
      <c r="Y1451">
        <v>13.75</v>
      </c>
    </row>
    <row r="1452" spans="1:25" x14ac:dyDescent="0.25">
      <c r="A1452">
        <v>2006</v>
      </c>
      <c r="B1452">
        <v>181</v>
      </c>
      <c r="C1452">
        <v>1900</v>
      </c>
      <c r="D1452" s="7">
        <v>216.2</v>
      </c>
      <c r="E1452" s="7">
        <v>98.2</v>
      </c>
      <c r="F1452" s="7">
        <v>21.21</v>
      </c>
      <c r="G1452" s="7">
        <v>20.68</v>
      </c>
      <c r="H1452" s="7"/>
      <c r="I1452" s="7"/>
      <c r="J1452" s="7"/>
      <c r="K1452" s="7">
        <v>0.55000000000000004</v>
      </c>
      <c r="L1452" s="7">
        <v>220.3</v>
      </c>
      <c r="M1452" s="7">
        <v>0</v>
      </c>
      <c r="N1452" s="7"/>
      <c r="O1452">
        <v>270.7</v>
      </c>
      <c r="P1452">
        <v>165.1</v>
      </c>
      <c r="Q1452">
        <v>17.72</v>
      </c>
      <c r="S1452">
        <v>16.61</v>
      </c>
      <c r="T1452">
        <v>0</v>
      </c>
      <c r="U1452">
        <v>104.8</v>
      </c>
      <c r="V1452">
        <v>491.2</v>
      </c>
      <c r="W1452">
        <v>19.13</v>
      </c>
      <c r="Y1452">
        <v>13.63</v>
      </c>
    </row>
    <row r="1453" spans="1:25" x14ac:dyDescent="0.25">
      <c r="A1453">
        <v>2006</v>
      </c>
      <c r="B1453">
        <v>181</v>
      </c>
      <c r="C1453">
        <v>2000</v>
      </c>
      <c r="D1453" s="7">
        <v>125.6</v>
      </c>
      <c r="E1453" s="7">
        <v>37.29</v>
      </c>
      <c r="F1453" s="7">
        <v>20.76</v>
      </c>
      <c r="G1453" s="7">
        <v>20.100000000000001</v>
      </c>
      <c r="H1453" s="7"/>
      <c r="I1453" s="7"/>
      <c r="J1453" s="7"/>
      <c r="K1453" s="7">
        <v>0.624</v>
      </c>
      <c r="L1453" s="7">
        <v>197.3</v>
      </c>
      <c r="M1453" s="7">
        <v>0</v>
      </c>
      <c r="N1453" s="7"/>
      <c r="O1453">
        <v>168</v>
      </c>
      <c r="P1453">
        <v>128.5</v>
      </c>
      <c r="Q1453">
        <v>17.78</v>
      </c>
      <c r="S1453">
        <v>16.71</v>
      </c>
      <c r="T1453">
        <v>0</v>
      </c>
      <c r="U1453">
        <v>106.1</v>
      </c>
      <c r="V1453">
        <v>490.7</v>
      </c>
      <c r="W1453">
        <v>19.11</v>
      </c>
      <c r="Y1453">
        <v>13.58</v>
      </c>
    </row>
    <row r="1454" spans="1:25" x14ac:dyDescent="0.25">
      <c r="A1454">
        <v>2006</v>
      </c>
      <c r="B1454">
        <v>181</v>
      </c>
      <c r="C1454">
        <v>2100</v>
      </c>
      <c r="D1454" s="7">
        <v>24.54</v>
      </c>
      <c r="E1454" s="7">
        <v>-37.770000000000003</v>
      </c>
      <c r="F1454" s="7">
        <v>17.989999999999998</v>
      </c>
      <c r="G1454" s="7">
        <v>17.45</v>
      </c>
      <c r="H1454" s="7"/>
      <c r="I1454" s="7"/>
      <c r="J1454" s="7"/>
      <c r="K1454" s="7">
        <v>0.66900000000000004</v>
      </c>
      <c r="L1454" s="7">
        <v>139.5</v>
      </c>
      <c r="M1454" s="7">
        <v>0</v>
      </c>
      <c r="N1454" s="7"/>
      <c r="O1454">
        <v>25.19</v>
      </c>
      <c r="P1454">
        <v>14.41</v>
      </c>
      <c r="Q1454">
        <v>17.7</v>
      </c>
      <c r="S1454">
        <v>16.64</v>
      </c>
      <c r="T1454">
        <v>0</v>
      </c>
      <c r="U1454">
        <v>105.3</v>
      </c>
      <c r="V1454">
        <v>490.6</v>
      </c>
      <c r="W1454">
        <v>19.11</v>
      </c>
      <c r="Y1454">
        <v>13.43</v>
      </c>
    </row>
    <row r="1455" spans="1:25" x14ac:dyDescent="0.25">
      <c r="A1455">
        <v>2006</v>
      </c>
      <c r="B1455">
        <v>181</v>
      </c>
      <c r="C1455">
        <v>2200</v>
      </c>
      <c r="D1455" s="7">
        <v>-2.8340000000000001</v>
      </c>
      <c r="E1455" s="7">
        <v>-52.95</v>
      </c>
      <c r="F1455" s="7">
        <v>15.11</v>
      </c>
      <c r="G1455" s="7">
        <v>14.87</v>
      </c>
      <c r="H1455" s="7"/>
      <c r="I1455" s="7"/>
      <c r="J1455" s="7"/>
      <c r="K1455" s="7">
        <v>0.59299999999999997</v>
      </c>
      <c r="L1455" s="7">
        <v>131.1</v>
      </c>
      <c r="M1455" s="7">
        <v>0</v>
      </c>
      <c r="N1455" s="7"/>
      <c r="O1455">
        <v>-11.52</v>
      </c>
      <c r="P1455">
        <v>-11.54</v>
      </c>
      <c r="Q1455">
        <v>17.579999999999998</v>
      </c>
      <c r="S1455">
        <v>16.61</v>
      </c>
      <c r="T1455">
        <v>0</v>
      </c>
      <c r="U1455">
        <v>102.4</v>
      </c>
      <c r="V1455">
        <v>494.2</v>
      </c>
      <c r="W1455">
        <v>19.27</v>
      </c>
      <c r="Y1455">
        <v>13.31</v>
      </c>
    </row>
    <row r="1456" spans="1:25" x14ac:dyDescent="0.25">
      <c r="A1456">
        <v>2006</v>
      </c>
      <c r="B1456">
        <v>181</v>
      </c>
      <c r="C1456">
        <v>2300</v>
      </c>
      <c r="D1456" s="7">
        <v>-3.0179999999999998</v>
      </c>
      <c r="E1456" s="7">
        <v>-47.94</v>
      </c>
      <c r="F1456" s="7">
        <v>14.14</v>
      </c>
      <c r="G1456" s="7">
        <v>14.38</v>
      </c>
      <c r="H1456" s="7"/>
      <c r="I1456" s="7"/>
      <c r="J1456" s="7"/>
      <c r="K1456" s="7">
        <v>0.72399999999999998</v>
      </c>
      <c r="L1456" s="7">
        <v>126.6</v>
      </c>
      <c r="M1456" s="7">
        <v>0</v>
      </c>
      <c r="N1456" s="7"/>
      <c r="O1456">
        <v>-12.76</v>
      </c>
      <c r="P1456">
        <v>-12.03</v>
      </c>
      <c r="Q1456">
        <v>17.41</v>
      </c>
      <c r="S1456">
        <v>16.579999999999998</v>
      </c>
      <c r="T1456">
        <v>0</v>
      </c>
      <c r="U1456">
        <v>97.6</v>
      </c>
      <c r="V1456">
        <v>491.6</v>
      </c>
      <c r="W1456">
        <v>19.149999999999999</v>
      </c>
      <c r="Y1456">
        <v>13.22</v>
      </c>
    </row>
    <row r="1457" spans="1:25" x14ac:dyDescent="0.25">
      <c r="A1457">
        <v>2006</v>
      </c>
      <c r="B1457">
        <v>181</v>
      </c>
      <c r="C1457">
        <v>2400</v>
      </c>
      <c r="D1457" s="7">
        <v>-2.7850000000000001</v>
      </c>
      <c r="E1457" s="7">
        <v>-44.59</v>
      </c>
      <c r="F1457" s="7">
        <v>13.77</v>
      </c>
      <c r="G1457" s="7">
        <v>14.12</v>
      </c>
      <c r="H1457" s="7"/>
      <c r="I1457" s="7"/>
      <c r="J1457" s="7"/>
      <c r="K1457" s="7">
        <v>0.78800000000000003</v>
      </c>
      <c r="L1457" s="7">
        <v>123.5</v>
      </c>
      <c r="M1457" s="7">
        <v>0</v>
      </c>
      <c r="N1457" s="7"/>
      <c r="O1457">
        <v>-12.36</v>
      </c>
      <c r="P1457">
        <v>-11.7</v>
      </c>
      <c r="Q1457">
        <v>17.23</v>
      </c>
      <c r="S1457">
        <v>16.53</v>
      </c>
      <c r="T1457">
        <v>0</v>
      </c>
      <c r="U1457">
        <v>96.3</v>
      </c>
      <c r="V1457">
        <v>504.8</v>
      </c>
      <c r="W1457">
        <v>19.77</v>
      </c>
      <c r="Y1457">
        <v>13.15</v>
      </c>
    </row>
    <row r="1458" spans="1:25" x14ac:dyDescent="0.25">
      <c r="A1458">
        <v>2006</v>
      </c>
      <c r="B1458">
        <v>182</v>
      </c>
      <c r="C1458">
        <v>100</v>
      </c>
      <c r="D1458" s="7">
        <v>-3.073</v>
      </c>
      <c r="E1458" s="7">
        <v>-51.29</v>
      </c>
      <c r="F1458" s="7">
        <v>13</v>
      </c>
      <c r="G1458" s="7">
        <v>13.04</v>
      </c>
      <c r="H1458" s="7"/>
      <c r="I1458" s="7"/>
      <c r="J1458" s="7"/>
      <c r="K1458" s="7">
        <v>1.2190000000000001</v>
      </c>
      <c r="L1458" s="7">
        <v>110.8</v>
      </c>
      <c r="M1458" s="7">
        <v>0</v>
      </c>
      <c r="N1458" s="7"/>
      <c r="O1458">
        <v>-12.2</v>
      </c>
      <c r="P1458">
        <v>-11.55</v>
      </c>
      <c r="Q1458">
        <v>17.05</v>
      </c>
      <c r="S1458">
        <v>16.45</v>
      </c>
      <c r="T1458">
        <v>0</v>
      </c>
      <c r="U1458">
        <v>99.6</v>
      </c>
      <c r="V1458">
        <v>503.3</v>
      </c>
      <c r="W1458">
        <v>19.690000000000001</v>
      </c>
      <c r="Y1458">
        <v>13.08</v>
      </c>
    </row>
    <row r="1459" spans="1:25" x14ac:dyDescent="0.25">
      <c r="A1459">
        <v>2006</v>
      </c>
      <c r="B1459">
        <v>182</v>
      </c>
      <c r="C1459">
        <v>200</v>
      </c>
      <c r="D1459">
        <v>-2.2589999999999999</v>
      </c>
      <c r="E1459">
        <v>-39.159999999999997</v>
      </c>
      <c r="F1459">
        <v>12.16</v>
      </c>
      <c r="G1459">
        <v>11.9</v>
      </c>
      <c r="K1459">
        <v>2.004</v>
      </c>
      <c r="L1459">
        <v>113</v>
      </c>
      <c r="M1459">
        <v>0</v>
      </c>
      <c r="O1459">
        <v>-12.17</v>
      </c>
      <c r="P1459">
        <v>-11.49</v>
      </c>
      <c r="Q1459">
        <v>16.850000000000001</v>
      </c>
      <c r="S1459">
        <v>16.350000000000001</v>
      </c>
      <c r="T1459">
        <v>0</v>
      </c>
      <c r="U1459">
        <v>103</v>
      </c>
      <c r="V1459">
        <v>503.1</v>
      </c>
      <c r="W1459">
        <v>19.690000000000001</v>
      </c>
      <c r="Y1459">
        <v>13.02</v>
      </c>
    </row>
    <row r="1460" spans="1:25" x14ac:dyDescent="0.25">
      <c r="A1460">
        <v>2006</v>
      </c>
      <c r="B1460">
        <v>182</v>
      </c>
      <c r="C1460">
        <v>300</v>
      </c>
      <c r="D1460">
        <v>-0.77800000000000002</v>
      </c>
      <c r="E1460">
        <v>-12.9</v>
      </c>
      <c r="F1460">
        <v>11.98</v>
      </c>
      <c r="G1460">
        <v>11.68</v>
      </c>
      <c r="K1460">
        <v>2.871</v>
      </c>
      <c r="L1460">
        <v>111.8</v>
      </c>
      <c r="M1460">
        <v>0</v>
      </c>
      <c r="O1460">
        <v>-12.17</v>
      </c>
      <c r="P1460">
        <v>-11.48</v>
      </c>
      <c r="Q1460">
        <v>16.670000000000002</v>
      </c>
      <c r="S1460">
        <v>16.25</v>
      </c>
      <c r="T1460">
        <v>0</v>
      </c>
      <c r="U1460">
        <v>103.4</v>
      </c>
      <c r="V1460">
        <v>499.3</v>
      </c>
      <c r="W1460">
        <v>19.510000000000002</v>
      </c>
      <c r="Y1460">
        <v>12.97</v>
      </c>
    </row>
    <row r="1461" spans="1:25" x14ac:dyDescent="0.25">
      <c r="A1461">
        <v>2006</v>
      </c>
      <c r="B1461">
        <v>182</v>
      </c>
      <c r="C1461">
        <v>400</v>
      </c>
      <c r="D1461">
        <v>-0.77100000000000002</v>
      </c>
      <c r="E1461">
        <v>-28.76</v>
      </c>
      <c r="F1461">
        <v>11.59</v>
      </c>
      <c r="G1461">
        <v>11.5</v>
      </c>
      <c r="K1461">
        <v>2.79</v>
      </c>
      <c r="L1461">
        <v>111.2</v>
      </c>
      <c r="M1461">
        <v>0</v>
      </c>
      <c r="O1461">
        <v>-10.64</v>
      </c>
      <c r="P1461">
        <v>-10.96</v>
      </c>
      <c r="Q1461">
        <v>16.48</v>
      </c>
      <c r="S1461">
        <v>16.11</v>
      </c>
      <c r="T1461">
        <v>0</v>
      </c>
      <c r="U1461">
        <v>101</v>
      </c>
      <c r="V1461">
        <v>497.3</v>
      </c>
      <c r="W1461">
        <v>19.420000000000002</v>
      </c>
      <c r="Y1461">
        <v>12.94</v>
      </c>
    </row>
    <row r="1462" spans="1:25" x14ac:dyDescent="0.25">
      <c r="A1462">
        <v>2006</v>
      </c>
      <c r="B1462">
        <v>182</v>
      </c>
      <c r="C1462">
        <v>500</v>
      </c>
      <c r="D1462">
        <v>18.63</v>
      </c>
      <c r="E1462">
        <v>-13.37</v>
      </c>
      <c r="F1462">
        <v>11.43</v>
      </c>
      <c r="G1462">
        <v>11.63</v>
      </c>
      <c r="K1462">
        <v>2.3170000000000002</v>
      </c>
      <c r="L1462">
        <v>108.5</v>
      </c>
      <c r="M1462">
        <v>0</v>
      </c>
      <c r="O1462">
        <v>10.28</v>
      </c>
      <c r="P1462">
        <v>-2.419</v>
      </c>
      <c r="Q1462">
        <v>16.29</v>
      </c>
      <c r="S1462">
        <v>15.98</v>
      </c>
      <c r="T1462">
        <v>0</v>
      </c>
      <c r="U1462">
        <v>97.7</v>
      </c>
      <c r="V1462">
        <v>497.7</v>
      </c>
      <c r="W1462">
        <v>19.43</v>
      </c>
      <c r="Y1462">
        <v>12.91</v>
      </c>
    </row>
    <row r="1463" spans="1:25" x14ac:dyDescent="0.25">
      <c r="A1463">
        <v>2006</v>
      </c>
      <c r="B1463">
        <v>182</v>
      </c>
      <c r="C1463">
        <v>600</v>
      </c>
      <c r="D1463">
        <v>100.8</v>
      </c>
      <c r="E1463">
        <v>38.21</v>
      </c>
      <c r="F1463">
        <v>12.4</v>
      </c>
      <c r="G1463">
        <v>12.68</v>
      </c>
      <c r="K1463">
        <v>2.4769999999999999</v>
      </c>
      <c r="L1463">
        <v>118.2</v>
      </c>
      <c r="M1463">
        <v>0</v>
      </c>
      <c r="O1463">
        <v>114.2</v>
      </c>
      <c r="P1463">
        <v>44.62</v>
      </c>
      <c r="Q1463">
        <v>16.13</v>
      </c>
      <c r="S1463">
        <v>15.88</v>
      </c>
      <c r="T1463">
        <v>0</v>
      </c>
      <c r="U1463">
        <v>96.9</v>
      </c>
      <c r="V1463">
        <v>496.4</v>
      </c>
      <c r="W1463">
        <v>19.37</v>
      </c>
      <c r="Y1463">
        <v>13.18</v>
      </c>
    </row>
    <row r="1464" spans="1:25" x14ac:dyDescent="0.25">
      <c r="A1464">
        <v>2006</v>
      </c>
      <c r="B1464">
        <v>182</v>
      </c>
      <c r="C1464">
        <v>700</v>
      </c>
      <c r="D1464">
        <v>190</v>
      </c>
      <c r="E1464">
        <v>104.3</v>
      </c>
      <c r="F1464">
        <v>14.08</v>
      </c>
      <c r="G1464">
        <v>14.7</v>
      </c>
      <c r="K1464">
        <v>1.276</v>
      </c>
      <c r="L1464">
        <v>154</v>
      </c>
      <c r="M1464">
        <v>0</v>
      </c>
      <c r="O1464">
        <v>246.5</v>
      </c>
      <c r="P1464">
        <v>86.3</v>
      </c>
      <c r="Q1464">
        <v>16.05</v>
      </c>
      <c r="S1464">
        <v>15.84</v>
      </c>
      <c r="T1464">
        <v>0</v>
      </c>
      <c r="U1464">
        <v>93.6</v>
      </c>
      <c r="V1464">
        <v>495.8</v>
      </c>
      <c r="W1464">
        <v>19.350000000000001</v>
      </c>
      <c r="Y1464">
        <v>13.78</v>
      </c>
    </row>
    <row r="1465" spans="1:25" x14ac:dyDescent="0.25">
      <c r="A1465">
        <v>2006</v>
      </c>
      <c r="B1465">
        <v>182</v>
      </c>
      <c r="C1465">
        <v>800</v>
      </c>
      <c r="D1465">
        <v>261.7</v>
      </c>
      <c r="E1465">
        <v>147.69999999999999</v>
      </c>
      <c r="F1465">
        <v>14.82</v>
      </c>
      <c r="G1465">
        <v>15.43</v>
      </c>
      <c r="K1465">
        <v>1.294</v>
      </c>
      <c r="L1465">
        <v>150.30000000000001</v>
      </c>
      <c r="M1465">
        <v>0</v>
      </c>
      <c r="O1465">
        <v>334.6</v>
      </c>
      <c r="P1465">
        <v>110.5</v>
      </c>
      <c r="Q1465">
        <v>16.04</v>
      </c>
      <c r="S1465">
        <v>15.76</v>
      </c>
      <c r="T1465">
        <v>0</v>
      </c>
      <c r="U1465">
        <v>93.8</v>
      </c>
      <c r="V1465">
        <v>495.8</v>
      </c>
      <c r="W1465">
        <v>19.350000000000001</v>
      </c>
      <c r="Y1465">
        <v>14.01</v>
      </c>
    </row>
    <row r="1466" spans="1:25" x14ac:dyDescent="0.25">
      <c r="A1466">
        <v>2006</v>
      </c>
      <c r="B1466">
        <v>182</v>
      </c>
      <c r="C1466">
        <v>900</v>
      </c>
      <c r="D1466">
        <v>335.4</v>
      </c>
      <c r="E1466">
        <v>208.4</v>
      </c>
      <c r="F1466">
        <v>16.350000000000001</v>
      </c>
      <c r="G1466">
        <v>16.38</v>
      </c>
      <c r="H1466">
        <f>AVERAGE(G1466:G1489)</f>
        <v>16.875833333333336</v>
      </c>
      <c r="I1466">
        <f>MIN(G1466:G1489)</f>
        <v>9.58</v>
      </c>
      <c r="J1466">
        <f>MAX(G1466:G1489)</f>
        <v>22.49</v>
      </c>
      <c r="K1466">
        <v>1.845</v>
      </c>
      <c r="L1466">
        <v>178.1</v>
      </c>
      <c r="M1466">
        <v>0</v>
      </c>
      <c r="N1466">
        <f>SUM(M1466:M1489)</f>
        <v>0</v>
      </c>
      <c r="O1466">
        <v>424.6</v>
      </c>
      <c r="P1466">
        <v>134.30000000000001</v>
      </c>
      <c r="Q1466">
        <v>16.100000000000001</v>
      </c>
      <c r="S1466">
        <v>15.7</v>
      </c>
      <c r="T1466">
        <v>0</v>
      </c>
      <c r="U1466">
        <v>99.7</v>
      </c>
      <c r="V1466">
        <v>495</v>
      </c>
      <c r="W1466">
        <v>19.309999999999999</v>
      </c>
      <c r="Y1466">
        <v>14.16</v>
      </c>
    </row>
    <row r="1467" spans="1:25" x14ac:dyDescent="0.25">
      <c r="A1467">
        <v>2006</v>
      </c>
      <c r="B1467">
        <v>182</v>
      </c>
      <c r="C1467">
        <v>1000</v>
      </c>
      <c r="D1467">
        <v>677.2</v>
      </c>
      <c r="E1467">
        <v>434.6</v>
      </c>
      <c r="F1467">
        <v>17.79</v>
      </c>
      <c r="G1467">
        <v>17.579999999999998</v>
      </c>
      <c r="K1467">
        <v>2.254</v>
      </c>
      <c r="L1467">
        <v>164.7</v>
      </c>
      <c r="M1467">
        <v>0</v>
      </c>
      <c r="O1467">
        <v>849</v>
      </c>
      <c r="P1467">
        <v>241.3</v>
      </c>
      <c r="Q1467">
        <v>16.25</v>
      </c>
      <c r="S1467">
        <v>15.73</v>
      </c>
      <c r="T1467">
        <v>0</v>
      </c>
      <c r="U1467">
        <v>102</v>
      </c>
      <c r="V1467">
        <v>493.2</v>
      </c>
      <c r="W1467">
        <v>19.22</v>
      </c>
      <c r="Y1467">
        <v>14.7</v>
      </c>
    </row>
    <row r="1468" spans="1:25" x14ac:dyDescent="0.25">
      <c r="A1468">
        <v>2006</v>
      </c>
      <c r="B1468">
        <v>182</v>
      </c>
      <c r="C1468">
        <v>1100</v>
      </c>
      <c r="D1468">
        <v>699.7</v>
      </c>
      <c r="E1468">
        <v>433.7</v>
      </c>
      <c r="F1468">
        <v>19.45</v>
      </c>
      <c r="G1468">
        <v>19.28</v>
      </c>
      <c r="K1468">
        <v>2.133</v>
      </c>
      <c r="L1468">
        <v>167.4</v>
      </c>
      <c r="M1468">
        <v>0</v>
      </c>
      <c r="O1468">
        <v>857</v>
      </c>
      <c r="P1468">
        <v>231.9</v>
      </c>
      <c r="Q1468">
        <v>16.47</v>
      </c>
      <c r="S1468">
        <v>15.79</v>
      </c>
      <c r="T1468">
        <v>0</v>
      </c>
      <c r="U1468">
        <v>101.6</v>
      </c>
      <c r="V1468">
        <v>491.5</v>
      </c>
      <c r="W1468">
        <v>19.14</v>
      </c>
      <c r="Y1468">
        <v>14.47</v>
      </c>
    </row>
    <row r="1469" spans="1:25" x14ac:dyDescent="0.25">
      <c r="A1469">
        <v>2006</v>
      </c>
      <c r="B1469">
        <v>182</v>
      </c>
      <c r="C1469">
        <v>1200</v>
      </c>
      <c r="D1469">
        <v>851</v>
      </c>
      <c r="E1469">
        <v>527.70000000000005</v>
      </c>
      <c r="F1469">
        <v>21.56</v>
      </c>
      <c r="G1469">
        <v>21.25</v>
      </c>
      <c r="K1469">
        <v>1.9890000000000001</v>
      </c>
      <c r="L1469">
        <v>166.5</v>
      </c>
      <c r="M1469">
        <v>0</v>
      </c>
      <c r="O1469">
        <v>1044</v>
      </c>
      <c r="P1469">
        <v>266.60000000000002</v>
      </c>
      <c r="Q1469">
        <v>16.73</v>
      </c>
      <c r="S1469">
        <v>15.91</v>
      </c>
      <c r="T1469">
        <v>0</v>
      </c>
      <c r="U1469">
        <v>102.8</v>
      </c>
      <c r="V1469">
        <v>492.4</v>
      </c>
      <c r="W1469">
        <v>19.190000000000001</v>
      </c>
      <c r="Y1469">
        <v>14.1</v>
      </c>
    </row>
    <row r="1470" spans="1:25" x14ac:dyDescent="0.25">
      <c r="A1470">
        <v>2006</v>
      </c>
      <c r="B1470">
        <v>182</v>
      </c>
      <c r="C1470">
        <v>1300</v>
      </c>
      <c r="D1470">
        <v>890</v>
      </c>
      <c r="E1470">
        <v>542.4</v>
      </c>
      <c r="F1470">
        <v>22.15</v>
      </c>
      <c r="G1470">
        <v>21.76</v>
      </c>
      <c r="K1470">
        <v>2.2730000000000001</v>
      </c>
      <c r="L1470">
        <v>172.5</v>
      </c>
      <c r="M1470">
        <v>0</v>
      </c>
      <c r="O1470">
        <v>1088</v>
      </c>
      <c r="P1470">
        <v>288.39999999999998</v>
      </c>
      <c r="Q1470">
        <v>16.989999999999998</v>
      </c>
      <c r="S1470">
        <v>16.059999999999999</v>
      </c>
      <c r="T1470">
        <v>0</v>
      </c>
      <c r="U1470">
        <v>103.5</v>
      </c>
      <c r="V1470">
        <v>490.4</v>
      </c>
      <c r="W1470">
        <v>19.09</v>
      </c>
      <c r="Y1470">
        <v>14.15</v>
      </c>
    </row>
    <row r="1471" spans="1:25" x14ac:dyDescent="0.25">
      <c r="A1471">
        <v>2006</v>
      </c>
      <c r="B1471">
        <v>182</v>
      </c>
      <c r="C1471">
        <v>1400</v>
      </c>
      <c r="D1471">
        <v>662.4</v>
      </c>
      <c r="E1471">
        <v>389.4</v>
      </c>
      <c r="F1471">
        <v>21.93</v>
      </c>
      <c r="G1471">
        <v>21.64</v>
      </c>
      <c r="K1471">
        <v>2.5830000000000002</v>
      </c>
      <c r="L1471">
        <v>196.3</v>
      </c>
      <c r="M1471">
        <v>0</v>
      </c>
      <c r="O1471">
        <v>800</v>
      </c>
      <c r="P1471">
        <v>230.6</v>
      </c>
      <c r="Q1471">
        <v>17.34</v>
      </c>
      <c r="S1471">
        <v>16.32</v>
      </c>
      <c r="T1471">
        <v>0</v>
      </c>
      <c r="U1471">
        <v>102.6</v>
      </c>
      <c r="V1471">
        <v>487.6</v>
      </c>
      <c r="W1471">
        <v>18.96</v>
      </c>
      <c r="Y1471">
        <v>14.35</v>
      </c>
    </row>
    <row r="1472" spans="1:25" x14ac:dyDescent="0.25">
      <c r="A1472">
        <v>2006</v>
      </c>
      <c r="B1472">
        <v>182</v>
      </c>
      <c r="C1472">
        <v>1500</v>
      </c>
      <c r="D1472">
        <v>617.1</v>
      </c>
      <c r="E1472">
        <v>355.1</v>
      </c>
      <c r="F1472">
        <v>21.94</v>
      </c>
      <c r="G1472">
        <v>21.62</v>
      </c>
      <c r="K1472">
        <v>2.359</v>
      </c>
      <c r="L1472">
        <v>171.1</v>
      </c>
      <c r="M1472">
        <v>0</v>
      </c>
      <c r="O1472">
        <v>739</v>
      </c>
      <c r="P1472">
        <v>216.1</v>
      </c>
      <c r="Q1472">
        <v>17.62</v>
      </c>
      <c r="S1472">
        <v>16.559999999999999</v>
      </c>
      <c r="T1472">
        <v>0</v>
      </c>
      <c r="U1472">
        <v>102.8</v>
      </c>
      <c r="V1472">
        <v>487.5</v>
      </c>
      <c r="W1472">
        <v>18.96</v>
      </c>
      <c r="Y1472">
        <v>14.19</v>
      </c>
    </row>
    <row r="1473" spans="1:25" x14ac:dyDescent="0.25">
      <c r="A1473">
        <v>2006</v>
      </c>
      <c r="B1473">
        <v>182</v>
      </c>
      <c r="C1473">
        <v>1600</v>
      </c>
      <c r="D1473">
        <v>598.70000000000005</v>
      </c>
      <c r="E1473">
        <v>346.9</v>
      </c>
      <c r="F1473">
        <v>22.58</v>
      </c>
      <c r="G1473">
        <v>22.27</v>
      </c>
      <c r="K1473">
        <v>2.2440000000000002</v>
      </c>
      <c r="L1473">
        <v>175.6</v>
      </c>
      <c r="M1473">
        <v>0</v>
      </c>
      <c r="O1473">
        <v>714</v>
      </c>
      <c r="P1473">
        <v>228.6</v>
      </c>
      <c r="Q1473">
        <v>17.809999999999999</v>
      </c>
      <c r="S1473">
        <v>16.8</v>
      </c>
      <c r="T1473">
        <v>0</v>
      </c>
      <c r="U1473">
        <v>102.7</v>
      </c>
      <c r="V1473">
        <v>488.1</v>
      </c>
      <c r="W1473">
        <v>18.989999999999998</v>
      </c>
      <c r="Y1473">
        <v>14.22</v>
      </c>
    </row>
    <row r="1474" spans="1:25" x14ac:dyDescent="0.25">
      <c r="A1474">
        <v>2006</v>
      </c>
      <c r="B1474">
        <v>182</v>
      </c>
      <c r="C1474">
        <v>1700</v>
      </c>
      <c r="D1474">
        <v>546.1</v>
      </c>
      <c r="E1474">
        <v>312.89999999999998</v>
      </c>
      <c r="F1474">
        <v>22.84</v>
      </c>
      <c r="G1474">
        <v>22.49</v>
      </c>
      <c r="K1474">
        <v>2.4830000000000001</v>
      </c>
      <c r="L1474">
        <v>175.8</v>
      </c>
      <c r="M1474">
        <v>0</v>
      </c>
      <c r="O1474">
        <v>649.29999999999995</v>
      </c>
      <c r="P1474">
        <v>260</v>
      </c>
      <c r="Q1474">
        <v>17.97</v>
      </c>
      <c r="S1474">
        <v>17.03</v>
      </c>
      <c r="T1474">
        <v>0</v>
      </c>
      <c r="U1474">
        <v>103.1</v>
      </c>
      <c r="V1474">
        <v>487.3</v>
      </c>
      <c r="W1474">
        <v>18.95</v>
      </c>
      <c r="Y1474">
        <v>14.04</v>
      </c>
    </row>
    <row r="1475" spans="1:25" x14ac:dyDescent="0.25">
      <c r="A1475">
        <v>2006</v>
      </c>
      <c r="B1475">
        <v>182</v>
      </c>
      <c r="C1475">
        <v>1800</v>
      </c>
      <c r="D1475">
        <v>364.6</v>
      </c>
      <c r="E1475">
        <v>192.8</v>
      </c>
      <c r="F1475">
        <v>22.15</v>
      </c>
      <c r="G1475">
        <v>21.75</v>
      </c>
      <c r="K1475">
        <v>2.3860000000000001</v>
      </c>
      <c r="L1475">
        <v>145.19999999999999</v>
      </c>
      <c r="M1475">
        <v>0</v>
      </c>
      <c r="O1475">
        <v>435.4</v>
      </c>
      <c r="P1475">
        <v>211.4</v>
      </c>
      <c r="Q1475">
        <v>18.09</v>
      </c>
      <c r="S1475">
        <v>17.14</v>
      </c>
      <c r="T1475">
        <v>0</v>
      </c>
      <c r="U1475">
        <v>103.5</v>
      </c>
      <c r="V1475">
        <v>486.3</v>
      </c>
      <c r="W1475">
        <v>18.899999999999999</v>
      </c>
      <c r="Y1475">
        <v>13.76</v>
      </c>
    </row>
    <row r="1476" spans="1:25" x14ac:dyDescent="0.25">
      <c r="A1476">
        <v>2006</v>
      </c>
      <c r="B1476">
        <v>182</v>
      </c>
      <c r="C1476">
        <v>1900</v>
      </c>
      <c r="D1476">
        <v>269.60000000000002</v>
      </c>
      <c r="E1476">
        <v>131.4</v>
      </c>
      <c r="F1476">
        <v>21.58</v>
      </c>
      <c r="G1476">
        <v>21.22</v>
      </c>
      <c r="K1476">
        <v>1.925</v>
      </c>
      <c r="L1476">
        <v>144.6</v>
      </c>
      <c r="M1476">
        <v>0</v>
      </c>
      <c r="O1476">
        <v>337.7</v>
      </c>
      <c r="P1476">
        <v>204</v>
      </c>
      <c r="Q1476">
        <v>18.16</v>
      </c>
      <c r="S1476">
        <v>17.22</v>
      </c>
      <c r="T1476">
        <v>0</v>
      </c>
      <c r="U1476">
        <v>103.3</v>
      </c>
      <c r="V1476">
        <v>485.7</v>
      </c>
      <c r="W1476">
        <v>18.87</v>
      </c>
      <c r="Y1476">
        <v>13.66</v>
      </c>
    </row>
    <row r="1477" spans="1:25" x14ac:dyDescent="0.25">
      <c r="A1477">
        <v>2006</v>
      </c>
      <c r="B1477">
        <v>182</v>
      </c>
      <c r="C1477">
        <v>2000</v>
      </c>
      <c r="D1477">
        <v>131.30000000000001</v>
      </c>
      <c r="E1477">
        <v>33.090000000000003</v>
      </c>
      <c r="F1477">
        <v>20.9</v>
      </c>
      <c r="G1477">
        <v>20.5</v>
      </c>
      <c r="K1477">
        <v>1.34</v>
      </c>
      <c r="L1477">
        <v>163</v>
      </c>
      <c r="M1477">
        <v>0</v>
      </c>
      <c r="O1477">
        <v>170.1</v>
      </c>
      <c r="P1477">
        <v>138.1</v>
      </c>
      <c r="Q1477">
        <v>18.16</v>
      </c>
      <c r="S1477">
        <v>17.25</v>
      </c>
      <c r="T1477">
        <v>0</v>
      </c>
      <c r="U1477">
        <v>103.6</v>
      </c>
      <c r="V1477">
        <v>485.9</v>
      </c>
      <c r="W1477">
        <v>18.88</v>
      </c>
      <c r="Y1477">
        <v>13.57</v>
      </c>
    </row>
    <row r="1478" spans="1:25" x14ac:dyDescent="0.25">
      <c r="A1478">
        <v>2006</v>
      </c>
      <c r="B1478">
        <v>182</v>
      </c>
      <c r="C1478">
        <v>2100</v>
      </c>
      <c r="D1478">
        <v>18.23</v>
      </c>
      <c r="E1478">
        <v>-42.23</v>
      </c>
      <c r="F1478">
        <v>18.71</v>
      </c>
      <c r="G1478">
        <v>18.39</v>
      </c>
      <c r="K1478">
        <v>0.92900000000000005</v>
      </c>
      <c r="L1478">
        <v>131</v>
      </c>
      <c r="M1478">
        <v>0</v>
      </c>
      <c r="O1478">
        <v>14.29</v>
      </c>
      <c r="P1478">
        <v>7.96</v>
      </c>
      <c r="Q1478">
        <v>18.07</v>
      </c>
      <c r="S1478">
        <v>17.190000000000001</v>
      </c>
      <c r="T1478">
        <v>0</v>
      </c>
      <c r="U1478">
        <v>103</v>
      </c>
      <c r="V1478">
        <v>486</v>
      </c>
      <c r="W1478">
        <v>18.89</v>
      </c>
      <c r="Y1478">
        <v>13.42</v>
      </c>
    </row>
    <row r="1479" spans="1:25" x14ac:dyDescent="0.25">
      <c r="A1479">
        <v>2006</v>
      </c>
      <c r="B1479">
        <v>182</v>
      </c>
      <c r="C1479">
        <v>2200</v>
      </c>
      <c r="D1479">
        <v>-2.448</v>
      </c>
      <c r="E1479">
        <v>-52.6</v>
      </c>
      <c r="F1479">
        <v>16.420000000000002</v>
      </c>
      <c r="G1479">
        <v>16.5</v>
      </c>
      <c r="K1479">
        <v>0.61</v>
      </c>
      <c r="L1479">
        <v>157.30000000000001</v>
      </c>
      <c r="M1479">
        <v>0</v>
      </c>
      <c r="O1479">
        <v>-11.58</v>
      </c>
      <c r="P1479">
        <v>-11.56</v>
      </c>
      <c r="Q1479">
        <v>17.95</v>
      </c>
      <c r="S1479">
        <v>17.16</v>
      </c>
      <c r="T1479">
        <v>0</v>
      </c>
      <c r="U1479">
        <v>99.3</v>
      </c>
      <c r="V1479">
        <v>485.2</v>
      </c>
      <c r="W1479">
        <v>18.850000000000001</v>
      </c>
      <c r="Y1479">
        <v>13.3</v>
      </c>
    </row>
    <row r="1480" spans="1:25" x14ac:dyDescent="0.25">
      <c r="A1480">
        <v>2006</v>
      </c>
      <c r="B1480">
        <v>182</v>
      </c>
      <c r="C1480">
        <v>2300</v>
      </c>
      <c r="D1480">
        <v>-3.6720000000000002</v>
      </c>
      <c r="E1480">
        <v>-50.04</v>
      </c>
      <c r="F1480">
        <v>14.78</v>
      </c>
      <c r="G1480">
        <v>14.57</v>
      </c>
      <c r="K1480">
        <v>0.42499999999999999</v>
      </c>
      <c r="L1480">
        <v>235.9</v>
      </c>
      <c r="M1480">
        <v>0</v>
      </c>
      <c r="O1480">
        <v>-12.82</v>
      </c>
      <c r="P1480">
        <v>-12.1</v>
      </c>
      <c r="Q1480">
        <v>17.77</v>
      </c>
      <c r="S1480">
        <v>17.11</v>
      </c>
      <c r="T1480">
        <v>0</v>
      </c>
      <c r="U1480">
        <v>102.3</v>
      </c>
      <c r="V1480">
        <v>483.5</v>
      </c>
      <c r="W1480">
        <v>18.77</v>
      </c>
      <c r="Y1480">
        <v>13.21</v>
      </c>
    </row>
    <row r="1481" spans="1:25" x14ac:dyDescent="0.25">
      <c r="A1481">
        <v>2006</v>
      </c>
      <c r="B1481">
        <v>182</v>
      </c>
      <c r="C1481">
        <v>2400</v>
      </c>
      <c r="D1481">
        <v>-3.4729999999999999</v>
      </c>
      <c r="E1481">
        <v>-40.130000000000003</v>
      </c>
      <c r="F1481">
        <v>12.79</v>
      </c>
      <c r="G1481">
        <v>12.47</v>
      </c>
      <c r="K1481">
        <v>0.192</v>
      </c>
      <c r="L1481">
        <v>207.3</v>
      </c>
      <c r="M1481">
        <v>0</v>
      </c>
      <c r="O1481">
        <v>-12.71</v>
      </c>
      <c r="P1481">
        <v>-11.96</v>
      </c>
      <c r="Q1481">
        <v>17.559999999999999</v>
      </c>
      <c r="S1481">
        <v>17.04</v>
      </c>
      <c r="T1481">
        <v>0</v>
      </c>
      <c r="U1481">
        <v>103.6</v>
      </c>
      <c r="V1481">
        <v>484.7</v>
      </c>
      <c r="W1481">
        <v>18.829999999999998</v>
      </c>
      <c r="Y1481">
        <v>13.14</v>
      </c>
    </row>
    <row r="1482" spans="1:25" x14ac:dyDescent="0.25">
      <c r="A1482">
        <v>2006</v>
      </c>
      <c r="B1482">
        <v>183</v>
      </c>
      <c r="C1482">
        <v>100</v>
      </c>
      <c r="D1482">
        <v>-2.738</v>
      </c>
      <c r="E1482">
        <v>-30.43</v>
      </c>
      <c r="F1482">
        <v>11.35</v>
      </c>
      <c r="G1482">
        <v>11.13</v>
      </c>
      <c r="K1482">
        <v>0.127</v>
      </c>
      <c r="L1482">
        <v>195.6</v>
      </c>
      <c r="M1482">
        <v>0</v>
      </c>
      <c r="O1482">
        <v>-12.24</v>
      </c>
      <c r="P1482">
        <v>-11.59</v>
      </c>
      <c r="Q1482">
        <v>17.32</v>
      </c>
      <c r="S1482">
        <v>16.940000000000001</v>
      </c>
      <c r="T1482">
        <v>0</v>
      </c>
      <c r="U1482">
        <v>102.7</v>
      </c>
      <c r="V1482">
        <v>490.2</v>
      </c>
      <c r="W1482">
        <v>19.079999999999998</v>
      </c>
      <c r="Y1482">
        <v>13.08</v>
      </c>
    </row>
    <row r="1483" spans="1:25" x14ac:dyDescent="0.25">
      <c r="A1483">
        <v>2006</v>
      </c>
      <c r="B1483">
        <v>183</v>
      </c>
      <c r="C1483">
        <v>200</v>
      </c>
      <c r="D1483">
        <v>-2.3610000000000002</v>
      </c>
      <c r="E1483">
        <v>-27.63</v>
      </c>
      <c r="F1483">
        <v>10.45</v>
      </c>
      <c r="G1483">
        <v>10.29</v>
      </c>
      <c r="K1483">
        <v>0.153</v>
      </c>
      <c r="L1483">
        <v>176.2</v>
      </c>
      <c r="M1483">
        <v>0</v>
      </c>
      <c r="O1483">
        <v>-12.17</v>
      </c>
      <c r="P1483">
        <v>-11.48</v>
      </c>
      <c r="Q1483">
        <v>17.07</v>
      </c>
      <c r="S1483">
        <v>16.82</v>
      </c>
      <c r="T1483">
        <v>0</v>
      </c>
      <c r="U1483">
        <v>101.9</v>
      </c>
      <c r="V1483">
        <v>491</v>
      </c>
      <c r="W1483">
        <v>19.12</v>
      </c>
      <c r="Y1483">
        <v>13.02</v>
      </c>
    </row>
    <row r="1484" spans="1:25" x14ac:dyDescent="0.25">
      <c r="A1484">
        <v>2006</v>
      </c>
      <c r="B1484">
        <v>183</v>
      </c>
      <c r="C1484">
        <v>300</v>
      </c>
      <c r="D1484">
        <v>-2.331</v>
      </c>
      <c r="E1484">
        <v>-23.48</v>
      </c>
      <c r="F1484">
        <v>10.56</v>
      </c>
      <c r="G1484">
        <v>10.49</v>
      </c>
      <c r="K1484">
        <v>0.379</v>
      </c>
      <c r="L1484">
        <v>103.8</v>
      </c>
      <c r="M1484">
        <v>0</v>
      </c>
      <c r="O1484">
        <v>-12.17</v>
      </c>
      <c r="P1484">
        <v>-11.47</v>
      </c>
      <c r="Q1484">
        <v>16.809999999999999</v>
      </c>
      <c r="S1484">
        <v>16.690000000000001</v>
      </c>
      <c r="T1484">
        <v>0</v>
      </c>
      <c r="U1484">
        <v>100.8</v>
      </c>
      <c r="V1484">
        <v>487.5</v>
      </c>
      <c r="W1484">
        <v>18.96</v>
      </c>
      <c r="Y1484">
        <v>12.97</v>
      </c>
    </row>
    <row r="1485" spans="1:25" x14ac:dyDescent="0.25">
      <c r="A1485">
        <v>2006</v>
      </c>
      <c r="B1485">
        <v>183</v>
      </c>
      <c r="C1485">
        <v>400</v>
      </c>
      <c r="D1485">
        <v>-1.198</v>
      </c>
      <c r="E1485">
        <v>-20</v>
      </c>
      <c r="F1485">
        <v>11.16</v>
      </c>
      <c r="G1485">
        <v>11.04</v>
      </c>
      <c r="K1485">
        <v>0.48099999999999998</v>
      </c>
      <c r="L1485">
        <v>105</v>
      </c>
      <c r="M1485">
        <v>0</v>
      </c>
      <c r="O1485">
        <v>-11.14</v>
      </c>
      <c r="P1485">
        <v>-11.17</v>
      </c>
      <c r="Q1485">
        <v>16.559999999999999</v>
      </c>
      <c r="S1485">
        <v>16.54</v>
      </c>
      <c r="T1485">
        <v>0</v>
      </c>
      <c r="U1485">
        <v>101.5</v>
      </c>
      <c r="V1485">
        <v>488.6</v>
      </c>
      <c r="W1485">
        <v>19.010000000000002</v>
      </c>
      <c r="Y1485">
        <v>12.93</v>
      </c>
    </row>
    <row r="1486" spans="1:25" x14ac:dyDescent="0.25">
      <c r="A1486">
        <v>2006</v>
      </c>
      <c r="B1486">
        <v>183</v>
      </c>
      <c r="C1486">
        <v>500</v>
      </c>
      <c r="D1486">
        <v>17.11</v>
      </c>
      <c r="E1486">
        <v>-8.81</v>
      </c>
      <c r="F1486">
        <v>9.66</v>
      </c>
      <c r="G1486">
        <v>9.58</v>
      </c>
      <c r="K1486">
        <v>9.8000000000000004E-2</v>
      </c>
      <c r="L1486">
        <v>135.80000000000001</v>
      </c>
      <c r="M1486">
        <v>0</v>
      </c>
      <c r="O1486">
        <v>11.6</v>
      </c>
      <c r="P1486">
        <v>-2.3820000000000001</v>
      </c>
      <c r="Q1486">
        <v>16.36</v>
      </c>
      <c r="S1486">
        <v>16.399999999999999</v>
      </c>
      <c r="T1486">
        <v>0</v>
      </c>
      <c r="U1486">
        <v>101</v>
      </c>
      <c r="V1486">
        <v>486.3</v>
      </c>
      <c r="W1486">
        <v>18.899999999999999</v>
      </c>
      <c r="Y1486">
        <v>12.91</v>
      </c>
    </row>
    <row r="1487" spans="1:25" x14ac:dyDescent="0.25">
      <c r="A1487">
        <v>2006</v>
      </c>
      <c r="B1487">
        <v>183</v>
      </c>
      <c r="C1487">
        <v>600</v>
      </c>
      <c r="D1487">
        <v>79.900000000000006</v>
      </c>
      <c r="E1487">
        <v>38.369999999999997</v>
      </c>
      <c r="F1487">
        <v>11.87</v>
      </c>
      <c r="G1487">
        <v>11.9</v>
      </c>
      <c r="K1487">
        <v>0.191</v>
      </c>
      <c r="L1487">
        <v>92.8</v>
      </c>
      <c r="M1487">
        <v>0</v>
      </c>
      <c r="O1487">
        <v>96.2</v>
      </c>
      <c r="P1487">
        <v>33.119999999999997</v>
      </c>
      <c r="Q1487">
        <v>16.18</v>
      </c>
      <c r="S1487">
        <v>16.3</v>
      </c>
      <c r="T1487">
        <v>0</v>
      </c>
      <c r="U1487">
        <v>99.6</v>
      </c>
      <c r="V1487">
        <v>484.7</v>
      </c>
      <c r="W1487">
        <v>18.829999999999998</v>
      </c>
      <c r="Y1487">
        <v>13.17</v>
      </c>
    </row>
    <row r="1488" spans="1:25" x14ac:dyDescent="0.25">
      <c r="A1488">
        <v>2006</v>
      </c>
      <c r="B1488">
        <v>183</v>
      </c>
      <c r="C1488">
        <v>700</v>
      </c>
      <c r="D1488">
        <v>169.2</v>
      </c>
      <c r="E1488">
        <v>102.9</v>
      </c>
      <c r="F1488">
        <v>14.52</v>
      </c>
      <c r="G1488">
        <v>14.51</v>
      </c>
      <c r="K1488">
        <v>0.97499999999999998</v>
      </c>
      <c r="L1488">
        <v>95.4</v>
      </c>
      <c r="M1488">
        <v>0</v>
      </c>
      <c r="O1488">
        <v>221</v>
      </c>
      <c r="P1488">
        <v>80.400000000000006</v>
      </c>
      <c r="Q1488">
        <v>16.100000000000001</v>
      </c>
      <c r="S1488">
        <v>16.22</v>
      </c>
      <c r="T1488">
        <v>0</v>
      </c>
      <c r="U1488">
        <v>100.1</v>
      </c>
      <c r="V1488">
        <v>486.3</v>
      </c>
      <c r="W1488">
        <v>18.899999999999999</v>
      </c>
      <c r="Y1488">
        <v>13.76</v>
      </c>
    </row>
    <row r="1489" spans="1:25" x14ac:dyDescent="0.25">
      <c r="A1489">
        <v>2006</v>
      </c>
      <c r="B1489">
        <v>183</v>
      </c>
      <c r="C1489">
        <v>800</v>
      </c>
      <c r="D1489">
        <v>303.3</v>
      </c>
      <c r="E1489">
        <v>187.1</v>
      </c>
      <c r="F1489">
        <v>16.02</v>
      </c>
      <c r="G1489">
        <v>16.41</v>
      </c>
      <c r="K1489">
        <v>1.004</v>
      </c>
      <c r="L1489">
        <v>86</v>
      </c>
      <c r="M1489">
        <v>0</v>
      </c>
      <c r="O1489">
        <v>392.2</v>
      </c>
      <c r="P1489">
        <v>135.4</v>
      </c>
      <c r="Q1489">
        <v>16.100000000000001</v>
      </c>
      <c r="S1489">
        <v>16.14</v>
      </c>
      <c r="T1489">
        <v>0</v>
      </c>
      <c r="U1489">
        <v>96.2</v>
      </c>
      <c r="V1489">
        <v>487.1</v>
      </c>
      <c r="W1489">
        <v>18.940000000000001</v>
      </c>
      <c r="Y1489">
        <v>14.06</v>
      </c>
    </row>
    <row r="1490" spans="1:25" x14ac:dyDescent="0.25">
      <c r="A1490">
        <v>2006</v>
      </c>
      <c r="B1490">
        <v>183</v>
      </c>
      <c r="C1490">
        <v>900</v>
      </c>
      <c r="D1490">
        <v>271.5</v>
      </c>
      <c r="E1490">
        <v>161.69999999999999</v>
      </c>
      <c r="F1490">
        <v>17.22</v>
      </c>
      <c r="G1490">
        <v>17.63</v>
      </c>
      <c r="H1490">
        <f>AVERAGE(G1490:G1513)</f>
        <v>16.289583333333336</v>
      </c>
      <c r="I1490">
        <f>MIN(G1490:G1513)</f>
        <v>12.08</v>
      </c>
      <c r="J1490">
        <f>MAX(G1490:G1513)</f>
        <v>22</v>
      </c>
      <c r="K1490">
        <v>1.0840000000000001</v>
      </c>
      <c r="L1490">
        <v>84.7</v>
      </c>
      <c r="M1490">
        <v>0</v>
      </c>
      <c r="N1490">
        <f>SUM(M1490:M1513)</f>
        <v>0.8</v>
      </c>
      <c r="O1490">
        <v>339</v>
      </c>
      <c r="P1490">
        <v>106.5</v>
      </c>
      <c r="Q1490">
        <v>16.190000000000001</v>
      </c>
      <c r="S1490">
        <v>16.059999999999999</v>
      </c>
      <c r="T1490">
        <v>0</v>
      </c>
      <c r="U1490">
        <v>96.1</v>
      </c>
      <c r="V1490">
        <v>486.4</v>
      </c>
      <c r="W1490">
        <v>18.91</v>
      </c>
      <c r="Y1490">
        <v>14</v>
      </c>
    </row>
    <row r="1491" spans="1:25" x14ac:dyDescent="0.25">
      <c r="A1491">
        <v>2006</v>
      </c>
      <c r="B1491">
        <v>183</v>
      </c>
      <c r="C1491">
        <v>1000</v>
      </c>
      <c r="D1491">
        <v>209.6</v>
      </c>
      <c r="E1491">
        <v>119.5</v>
      </c>
      <c r="F1491">
        <v>17.899999999999999</v>
      </c>
      <c r="G1491">
        <v>17.850000000000001</v>
      </c>
      <c r="K1491">
        <v>1.2390000000000001</v>
      </c>
      <c r="L1491">
        <v>98.2</v>
      </c>
      <c r="M1491">
        <v>0</v>
      </c>
      <c r="O1491">
        <v>268.89999999999998</v>
      </c>
      <c r="P1491">
        <v>82.7</v>
      </c>
      <c r="Q1491">
        <v>16.3</v>
      </c>
      <c r="S1491">
        <v>16.010000000000002</v>
      </c>
      <c r="T1491">
        <v>0</v>
      </c>
      <c r="U1491">
        <v>100.5</v>
      </c>
      <c r="V1491">
        <v>485.2</v>
      </c>
      <c r="W1491">
        <v>18.850000000000001</v>
      </c>
      <c r="Y1491">
        <v>13.86</v>
      </c>
    </row>
    <row r="1492" spans="1:25" x14ac:dyDescent="0.25">
      <c r="A1492">
        <v>2006</v>
      </c>
      <c r="B1492">
        <v>183</v>
      </c>
      <c r="C1492">
        <v>1100</v>
      </c>
      <c r="D1492">
        <v>304.3</v>
      </c>
      <c r="E1492">
        <v>174.7</v>
      </c>
      <c r="F1492">
        <v>18.46</v>
      </c>
      <c r="G1492">
        <v>18.239999999999998</v>
      </c>
      <c r="K1492">
        <v>1.7170000000000001</v>
      </c>
      <c r="L1492">
        <v>98.7</v>
      </c>
      <c r="M1492">
        <v>0</v>
      </c>
      <c r="O1492">
        <v>387.8</v>
      </c>
      <c r="P1492">
        <v>122.5</v>
      </c>
      <c r="Q1492">
        <v>16.46</v>
      </c>
      <c r="S1492">
        <v>16.059999999999999</v>
      </c>
      <c r="T1492">
        <v>0</v>
      </c>
      <c r="U1492">
        <v>102.1</v>
      </c>
      <c r="V1492">
        <v>484.5</v>
      </c>
      <c r="W1492">
        <v>18.82</v>
      </c>
      <c r="Y1492">
        <v>14</v>
      </c>
    </row>
    <row r="1493" spans="1:25" x14ac:dyDescent="0.25">
      <c r="A1493">
        <v>2006</v>
      </c>
      <c r="B1493">
        <v>183</v>
      </c>
      <c r="C1493">
        <v>1200</v>
      </c>
      <c r="D1493">
        <v>322.89999999999998</v>
      </c>
      <c r="E1493">
        <v>185.8</v>
      </c>
      <c r="F1493">
        <v>18.97</v>
      </c>
      <c r="G1493">
        <v>18.68</v>
      </c>
      <c r="K1493">
        <v>1.42</v>
      </c>
      <c r="L1493">
        <v>91.5</v>
      </c>
      <c r="M1493">
        <v>0</v>
      </c>
      <c r="O1493">
        <v>412.9</v>
      </c>
      <c r="P1493">
        <v>130.69999999999999</v>
      </c>
      <c r="Q1493">
        <v>16.61</v>
      </c>
      <c r="S1493">
        <v>16.11</v>
      </c>
      <c r="T1493">
        <v>0</v>
      </c>
      <c r="U1493">
        <v>102.8</v>
      </c>
      <c r="V1493">
        <v>483.2</v>
      </c>
      <c r="W1493">
        <v>18.75</v>
      </c>
      <c r="Y1493">
        <v>14</v>
      </c>
    </row>
    <row r="1494" spans="1:25" x14ac:dyDescent="0.25">
      <c r="A1494">
        <v>2006</v>
      </c>
      <c r="B1494">
        <v>183</v>
      </c>
      <c r="C1494">
        <v>1300</v>
      </c>
      <c r="D1494">
        <v>351.3</v>
      </c>
      <c r="E1494">
        <v>202.4</v>
      </c>
      <c r="F1494">
        <v>19.87</v>
      </c>
      <c r="G1494">
        <v>19.48</v>
      </c>
      <c r="K1494">
        <v>1.405</v>
      </c>
      <c r="L1494">
        <v>94.9</v>
      </c>
      <c r="M1494">
        <v>0</v>
      </c>
      <c r="O1494">
        <v>441.6</v>
      </c>
      <c r="P1494">
        <v>144.69999999999999</v>
      </c>
      <c r="Q1494">
        <v>16.809999999999999</v>
      </c>
      <c r="S1494">
        <v>16.22</v>
      </c>
      <c r="T1494">
        <v>0</v>
      </c>
      <c r="U1494">
        <v>103.6</v>
      </c>
      <c r="V1494">
        <v>482.3</v>
      </c>
      <c r="W1494">
        <v>18.71</v>
      </c>
      <c r="Y1494">
        <v>14.07</v>
      </c>
    </row>
    <row r="1495" spans="1:25" x14ac:dyDescent="0.25">
      <c r="A1495">
        <v>2006</v>
      </c>
      <c r="B1495">
        <v>183</v>
      </c>
      <c r="C1495">
        <v>1400</v>
      </c>
      <c r="D1495">
        <v>494.9</v>
      </c>
      <c r="E1495">
        <v>297.89999999999998</v>
      </c>
      <c r="F1495">
        <v>21.34</v>
      </c>
      <c r="G1495">
        <v>20.85</v>
      </c>
      <c r="K1495">
        <v>1.1890000000000001</v>
      </c>
      <c r="L1495">
        <v>95.6</v>
      </c>
      <c r="M1495">
        <v>0</v>
      </c>
      <c r="O1495">
        <v>607.20000000000005</v>
      </c>
      <c r="P1495">
        <v>193.2</v>
      </c>
      <c r="Q1495">
        <v>16.98</v>
      </c>
      <c r="S1495">
        <v>16.309999999999999</v>
      </c>
      <c r="T1495">
        <v>0</v>
      </c>
      <c r="U1495">
        <v>104.5</v>
      </c>
      <c r="V1495">
        <v>480.9</v>
      </c>
      <c r="W1495">
        <v>18.649999999999999</v>
      </c>
      <c r="Y1495">
        <v>14.26</v>
      </c>
    </row>
    <row r="1496" spans="1:25" x14ac:dyDescent="0.25">
      <c r="A1496">
        <v>2006</v>
      </c>
      <c r="B1496">
        <v>183</v>
      </c>
      <c r="C1496">
        <v>1500</v>
      </c>
      <c r="D1496">
        <v>621.5</v>
      </c>
      <c r="E1496">
        <v>374.6</v>
      </c>
      <c r="F1496">
        <v>22.69</v>
      </c>
      <c r="G1496">
        <v>22</v>
      </c>
      <c r="K1496">
        <v>1.3580000000000001</v>
      </c>
      <c r="L1496">
        <v>94.2</v>
      </c>
      <c r="M1496">
        <v>0</v>
      </c>
      <c r="O1496">
        <v>767</v>
      </c>
      <c r="P1496">
        <v>237.9</v>
      </c>
      <c r="Q1496">
        <v>17.2</v>
      </c>
      <c r="S1496">
        <v>16.440000000000001</v>
      </c>
      <c r="T1496">
        <v>0</v>
      </c>
      <c r="U1496">
        <v>106</v>
      </c>
      <c r="V1496">
        <v>480.2</v>
      </c>
      <c r="W1496">
        <v>18.61</v>
      </c>
      <c r="Y1496">
        <v>14.38</v>
      </c>
    </row>
    <row r="1497" spans="1:25" x14ac:dyDescent="0.25">
      <c r="A1497">
        <v>2006</v>
      </c>
      <c r="B1497">
        <v>183</v>
      </c>
      <c r="C1497">
        <v>1600</v>
      </c>
      <c r="D1497">
        <v>435.3</v>
      </c>
      <c r="E1497">
        <v>249.1</v>
      </c>
      <c r="F1497">
        <v>22.45</v>
      </c>
      <c r="G1497">
        <v>21.84</v>
      </c>
      <c r="K1497">
        <v>1.494</v>
      </c>
      <c r="L1497">
        <v>98.9</v>
      </c>
      <c r="M1497">
        <v>0</v>
      </c>
      <c r="O1497">
        <v>532.79999999999995</v>
      </c>
      <c r="P1497">
        <v>176.3</v>
      </c>
      <c r="Q1497">
        <v>17.41</v>
      </c>
      <c r="S1497">
        <v>16.510000000000002</v>
      </c>
      <c r="T1497">
        <v>0</v>
      </c>
      <c r="U1497">
        <v>105.4</v>
      </c>
      <c r="V1497">
        <v>480.2</v>
      </c>
      <c r="W1497">
        <v>18.61</v>
      </c>
      <c r="Y1497">
        <v>14.13</v>
      </c>
    </row>
    <row r="1498" spans="1:25" x14ac:dyDescent="0.25">
      <c r="A1498">
        <v>2006</v>
      </c>
      <c r="B1498">
        <v>183</v>
      </c>
      <c r="C1498">
        <v>1700</v>
      </c>
      <c r="D1498">
        <v>203.8</v>
      </c>
      <c r="E1498">
        <v>101.8</v>
      </c>
      <c r="F1498">
        <v>21.42</v>
      </c>
      <c r="G1498">
        <v>20.97</v>
      </c>
      <c r="K1498">
        <v>1.365</v>
      </c>
      <c r="L1498">
        <v>102.4</v>
      </c>
      <c r="M1498">
        <v>0</v>
      </c>
      <c r="O1498">
        <v>257.2</v>
      </c>
      <c r="P1498">
        <v>82.9</v>
      </c>
      <c r="Q1498">
        <v>17.579999999999998</v>
      </c>
      <c r="S1498">
        <v>16.59</v>
      </c>
      <c r="T1498">
        <v>0</v>
      </c>
      <c r="U1498">
        <v>104</v>
      </c>
      <c r="V1498">
        <v>474.6</v>
      </c>
      <c r="W1498">
        <v>18.350000000000001</v>
      </c>
      <c r="Y1498">
        <v>13.83</v>
      </c>
    </row>
    <row r="1499" spans="1:25" x14ac:dyDescent="0.25">
      <c r="A1499">
        <v>2006</v>
      </c>
      <c r="B1499">
        <v>183</v>
      </c>
      <c r="C1499">
        <v>1800</v>
      </c>
      <c r="D1499">
        <v>126.4</v>
      </c>
      <c r="E1499">
        <v>54.56</v>
      </c>
      <c r="F1499">
        <v>19.72</v>
      </c>
      <c r="G1499">
        <v>19.420000000000002</v>
      </c>
      <c r="K1499">
        <v>0.77300000000000002</v>
      </c>
      <c r="L1499">
        <v>67.64</v>
      </c>
      <c r="M1499">
        <v>0.6</v>
      </c>
      <c r="O1499">
        <v>166.4</v>
      </c>
      <c r="P1499">
        <v>48.25</v>
      </c>
      <c r="Q1499">
        <v>17.71</v>
      </c>
      <c r="S1499">
        <v>16.690000000000001</v>
      </c>
      <c r="T1499">
        <v>0</v>
      </c>
      <c r="U1499">
        <v>102.9</v>
      </c>
      <c r="V1499">
        <v>474.3</v>
      </c>
      <c r="W1499">
        <v>18.34</v>
      </c>
      <c r="Y1499">
        <v>13.69</v>
      </c>
    </row>
    <row r="1500" spans="1:25" x14ac:dyDescent="0.25">
      <c r="A1500">
        <v>2006</v>
      </c>
      <c r="B1500">
        <v>183</v>
      </c>
      <c r="C1500">
        <v>1900</v>
      </c>
      <c r="D1500">
        <v>67.44</v>
      </c>
      <c r="E1500">
        <v>18.68</v>
      </c>
      <c r="F1500">
        <v>18.100000000000001</v>
      </c>
      <c r="G1500">
        <v>17.920000000000002</v>
      </c>
      <c r="K1500">
        <v>0.55500000000000005</v>
      </c>
      <c r="L1500">
        <v>61.72</v>
      </c>
      <c r="M1500">
        <v>0</v>
      </c>
      <c r="O1500">
        <v>82.6</v>
      </c>
      <c r="P1500">
        <v>17.2</v>
      </c>
      <c r="Q1500">
        <v>17.760000000000002</v>
      </c>
      <c r="S1500">
        <v>16.78</v>
      </c>
      <c r="T1500">
        <v>0</v>
      </c>
      <c r="U1500">
        <v>101.7</v>
      </c>
      <c r="V1500">
        <v>475.1</v>
      </c>
      <c r="W1500">
        <v>18.37</v>
      </c>
      <c r="Y1500">
        <v>13.6</v>
      </c>
    </row>
    <row r="1501" spans="1:25" x14ac:dyDescent="0.25">
      <c r="A1501">
        <v>2006</v>
      </c>
      <c r="B1501">
        <v>183</v>
      </c>
      <c r="C1501">
        <v>2000</v>
      </c>
      <c r="D1501">
        <v>41.85</v>
      </c>
      <c r="E1501">
        <v>-0.99099999999999999</v>
      </c>
      <c r="F1501">
        <v>17.28</v>
      </c>
      <c r="G1501">
        <v>17.11</v>
      </c>
      <c r="K1501">
        <v>0.28399999999999997</v>
      </c>
      <c r="L1501">
        <v>71.5</v>
      </c>
      <c r="M1501">
        <v>0</v>
      </c>
      <c r="O1501">
        <v>45.74</v>
      </c>
      <c r="P1501">
        <v>7.27</v>
      </c>
      <c r="Q1501">
        <v>17.739999999999998</v>
      </c>
      <c r="S1501">
        <v>16.84</v>
      </c>
      <c r="T1501">
        <v>0</v>
      </c>
      <c r="U1501">
        <v>101.7</v>
      </c>
      <c r="V1501">
        <v>476.1</v>
      </c>
      <c r="W1501">
        <v>18.420000000000002</v>
      </c>
      <c r="Y1501">
        <v>13.46</v>
      </c>
    </row>
    <row r="1502" spans="1:25" x14ac:dyDescent="0.25">
      <c r="A1502">
        <v>2006</v>
      </c>
      <c r="B1502">
        <v>183</v>
      </c>
      <c r="C1502">
        <v>2100</v>
      </c>
      <c r="D1502">
        <v>3.605</v>
      </c>
      <c r="E1502">
        <v>-16.55</v>
      </c>
      <c r="F1502">
        <v>16.37</v>
      </c>
      <c r="G1502">
        <v>16.170000000000002</v>
      </c>
      <c r="K1502">
        <v>0.72899999999999998</v>
      </c>
      <c r="L1502">
        <v>313.89999999999998</v>
      </c>
      <c r="M1502">
        <v>0</v>
      </c>
      <c r="O1502">
        <v>-6.4349999999999996</v>
      </c>
      <c r="P1502">
        <v>-9.98</v>
      </c>
      <c r="Q1502">
        <v>17.72</v>
      </c>
      <c r="S1502">
        <v>16.88</v>
      </c>
      <c r="T1502">
        <v>0</v>
      </c>
      <c r="U1502">
        <v>102.1</v>
      </c>
      <c r="V1502">
        <v>478</v>
      </c>
      <c r="W1502">
        <v>18.510000000000002</v>
      </c>
      <c r="Y1502">
        <v>13.35</v>
      </c>
    </row>
    <row r="1503" spans="1:25" x14ac:dyDescent="0.25">
      <c r="A1503">
        <v>2006</v>
      </c>
      <c r="B1503">
        <v>183</v>
      </c>
      <c r="C1503">
        <v>2200</v>
      </c>
      <c r="D1503">
        <v>-0.76300000000000001</v>
      </c>
      <c r="E1503">
        <v>-18.27</v>
      </c>
      <c r="F1503">
        <v>14.79</v>
      </c>
      <c r="G1503">
        <v>14.9</v>
      </c>
      <c r="K1503">
        <v>1.4530000000000001</v>
      </c>
      <c r="L1503">
        <v>318.8</v>
      </c>
      <c r="M1503">
        <v>0</v>
      </c>
      <c r="O1503">
        <v>-12.35</v>
      </c>
      <c r="P1503">
        <v>-11.89</v>
      </c>
      <c r="Q1503">
        <v>17.61</v>
      </c>
      <c r="S1503">
        <v>16.87</v>
      </c>
      <c r="T1503">
        <v>0</v>
      </c>
      <c r="U1503">
        <v>98.9</v>
      </c>
      <c r="V1503">
        <v>479.3</v>
      </c>
      <c r="W1503">
        <v>18.57</v>
      </c>
      <c r="Y1503">
        <v>13.26</v>
      </c>
    </row>
    <row r="1504" spans="1:25" x14ac:dyDescent="0.25">
      <c r="A1504">
        <v>2006</v>
      </c>
      <c r="B1504">
        <v>183</v>
      </c>
      <c r="C1504">
        <v>2300</v>
      </c>
      <c r="D1504">
        <v>-0.91700000000000004</v>
      </c>
      <c r="E1504">
        <v>-15.3</v>
      </c>
      <c r="F1504">
        <v>14.23</v>
      </c>
      <c r="G1504">
        <v>14.24</v>
      </c>
      <c r="K1504">
        <v>1.3660000000000001</v>
      </c>
      <c r="L1504">
        <v>313.3</v>
      </c>
      <c r="M1504">
        <v>0</v>
      </c>
      <c r="O1504">
        <v>-12.62</v>
      </c>
      <c r="P1504">
        <v>-11.89</v>
      </c>
      <c r="Q1504">
        <v>17.52</v>
      </c>
      <c r="S1504">
        <v>16.87</v>
      </c>
      <c r="T1504">
        <v>0</v>
      </c>
      <c r="U1504">
        <v>100</v>
      </c>
      <c r="V1504">
        <v>481.2</v>
      </c>
      <c r="W1504">
        <v>18.66</v>
      </c>
      <c r="Y1504">
        <v>13.18</v>
      </c>
    </row>
    <row r="1505" spans="1:25" x14ac:dyDescent="0.25">
      <c r="A1505">
        <v>2006</v>
      </c>
      <c r="B1505">
        <v>183</v>
      </c>
      <c r="C1505">
        <v>2400</v>
      </c>
      <c r="D1505">
        <v>-1.24</v>
      </c>
      <c r="E1505">
        <v>-20.96</v>
      </c>
      <c r="F1505">
        <v>13.8</v>
      </c>
      <c r="G1505">
        <v>13.73</v>
      </c>
      <c r="K1505">
        <v>1.4079999999999999</v>
      </c>
      <c r="L1505">
        <v>313.3</v>
      </c>
      <c r="M1505">
        <v>0</v>
      </c>
      <c r="O1505">
        <v>-12.36</v>
      </c>
      <c r="P1505">
        <v>-11.68</v>
      </c>
      <c r="Q1505">
        <v>17.39</v>
      </c>
      <c r="S1505">
        <v>16.82</v>
      </c>
      <c r="T1505">
        <v>0</v>
      </c>
      <c r="U1505">
        <v>100.7</v>
      </c>
      <c r="V1505">
        <v>482.2</v>
      </c>
      <c r="W1505">
        <v>18.71</v>
      </c>
      <c r="Y1505">
        <v>13.12</v>
      </c>
    </row>
    <row r="1506" spans="1:25" x14ac:dyDescent="0.25">
      <c r="A1506">
        <v>2006</v>
      </c>
      <c r="B1506">
        <v>184</v>
      </c>
      <c r="C1506">
        <v>100</v>
      </c>
      <c r="D1506">
        <v>-1.5249999999999999</v>
      </c>
      <c r="E1506">
        <v>-26.02</v>
      </c>
      <c r="F1506">
        <v>12.8</v>
      </c>
      <c r="G1506">
        <v>12.7</v>
      </c>
      <c r="K1506">
        <v>1.516</v>
      </c>
      <c r="L1506">
        <v>308.5</v>
      </c>
      <c r="M1506">
        <v>0</v>
      </c>
      <c r="O1506">
        <v>-12.21</v>
      </c>
      <c r="P1506">
        <v>-11.55</v>
      </c>
      <c r="Q1506">
        <v>17.25</v>
      </c>
      <c r="S1506">
        <v>16.77</v>
      </c>
      <c r="T1506">
        <v>0</v>
      </c>
      <c r="U1506">
        <v>101.1</v>
      </c>
      <c r="V1506">
        <v>485.9</v>
      </c>
      <c r="W1506">
        <v>18.88</v>
      </c>
      <c r="Y1506">
        <v>13.05</v>
      </c>
    </row>
    <row r="1507" spans="1:25" x14ac:dyDescent="0.25">
      <c r="A1507">
        <v>2006</v>
      </c>
      <c r="B1507">
        <v>184</v>
      </c>
      <c r="C1507">
        <v>200</v>
      </c>
      <c r="D1507">
        <v>-1.25</v>
      </c>
      <c r="E1507">
        <v>-23.46</v>
      </c>
      <c r="F1507">
        <v>12.17</v>
      </c>
      <c r="G1507">
        <v>12.2</v>
      </c>
      <c r="K1507">
        <v>1.329</v>
      </c>
      <c r="L1507">
        <v>305.5</v>
      </c>
      <c r="M1507">
        <v>0</v>
      </c>
      <c r="O1507">
        <v>-12.17</v>
      </c>
      <c r="P1507">
        <v>-11.49</v>
      </c>
      <c r="Q1507">
        <v>17.12</v>
      </c>
      <c r="S1507">
        <v>16.7</v>
      </c>
      <c r="T1507">
        <v>0</v>
      </c>
      <c r="U1507">
        <v>99.7</v>
      </c>
      <c r="V1507">
        <v>487.2</v>
      </c>
      <c r="W1507">
        <v>18.940000000000001</v>
      </c>
      <c r="Y1507">
        <v>13</v>
      </c>
    </row>
    <row r="1508" spans="1:25" x14ac:dyDescent="0.25">
      <c r="A1508">
        <v>2006</v>
      </c>
      <c r="B1508">
        <v>184</v>
      </c>
      <c r="C1508">
        <v>300</v>
      </c>
      <c r="D1508">
        <v>-0.85899999999999999</v>
      </c>
      <c r="E1508">
        <v>-15.48</v>
      </c>
      <c r="F1508">
        <v>12</v>
      </c>
      <c r="G1508">
        <v>12.1</v>
      </c>
      <c r="K1508">
        <v>1.8080000000000001</v>
      </c>
      <c r="L1508">
        <v>304.8</v>
      </c>
      <c r="M1508">
        <v>0</v>
      </c>
      <c r="O1508">
        <v>-12.18</v>
      </c>
      <c r="P1508">
        <v>-11.48</v>
      </c>
      <c r="Q1508">
        <v>16.97</v>
      </c>
      <c r="S1508">
        <v>16.62</v>
      </c>
      <c r="T1508">
        <v>0</v>
      </c>
      <c r="U1508">
        <v>98.8</v>
      </c>
      <c r="V1508">
        <v>484.7</v>
      </c>
      <c r="W1508">
        <v>18.829999999999998</v>
      </c>
      <c r="Y1508">
        <v>12.96</v>
      </c>
    </row>
    <row r="1509" spans="1:25" x14ac:dyDescent="0.25">
      <c r="A1509">
        <v>2006</v>
      </c>
      <c r="B1509">
        <v>184</v>
      </c>
      <c r="C1509">
        <v>400</v>
      </c>
      <c r="D1509">
        <v>-0.83499999999999996</v>
      </c>
      <c r="E1509">
        <v>-12.14</v>
      </c>
      <c r="F1509">
        <v>12.08</v>
      </c>
      <c r="G1509">
        <v>12.18</v>
      </c>
      <c r="K1509">
        <v>1.4610000000000001</v>
      </c>
      <c r="L1509">
        <v>295.2</v>
      </c>
      <c r="M1509">
        <v>0</v>
      </c>
      <c r="O1509">
        <v>-11.93</v>
      </c>
      <c r="P1509">
        <v>-11.47</v>
      </c>
      <c r="Q1509">
        <v>16.86</v>
      </c>
      <c r="S1509">
        <v>16.559999999999999</v>
      </c>
      <c r="T1509">
        <v>0</v>
      </c>
      <c r="U1509">
        <v>98.9</v>
      </c>
      <c r="V1509">
        <v>483</v>
      </c>
      <c r="W1509">
        <v>18.75</v>
      </c>
      <c r="Y1509">
        <v>12.93</v>
      </c>
    </row>
    <row r="1510" spans="1:25" x14ac:dyDescent="0.25">
      <c r="A1510">
        <v>2006</v>
      </c>
      <c r="B1510">
        <v>184</v>
      </c>
      <c r="C1510">
        <v>500</v>
      </c>
      <c r="D1510">
        <v>6.0369999999999999</v>
      </c>
      <c r="E1510">
        <v>-8.17</v>
      </c>
      <c r="F1510">
        <v>11.97</v>
      </c>
      <c r="G1510">
        <v>12.08</v>
      </c>
      <c r="K1510">
        <v>1.7809999999999999</v>
      </c>
      <c r="L1510">
        <v>309.5</v>
      </c>
      <c r="M1510">
        <v>0.2</v>
      </c>
      <c r="O1510">
        <v>-1.716</v>
      </c>
      <c r="P1510">
        <v>-8.35</v>
      </c>
      <c r="Q1510">
        <v>16.73</v>
      </c>
      <c r="S1510">
        <v>16.46</v>
      </c>
      <c r="T1510">
        <v>0</v>
      </c>
      <c r="U1510">
        <v>98.7</v>
      </c>
      <c r="V1510">
        <v>483.6</v>
      </c>
      <c r="W1510">
        <v>18.77</v>
      </c>
      <c r="Y1510">
        <v>12.91</v>
      </c>
    </row>
    <row r="1511" spans="1:25" x14ac:dyDescent="0.25">
      <c r="A1511">
        <v>2006</v>
      </c>
      <c r="B1511">
        <v>184</v>
      </c>
      <c r="C1511">
        <v>600</v>
      </c>
      <c r="D1511">
        <v>44.09</v>
      </c>
      <c r="E1511">
        <v>10.76</v>
      </c>
      <c r="F1511">
        <v>12.06</v>
      </c>
      <c r="G1511">
        <v>12.25</v>
      </c>
      <c r="K1511">
        <v>1.839</v>
      </c>
      <c r="L1511">
        <v>324.7</v>
      </c>
      <c r="M1511">
        <v>0</v>
      </c>
      <c r="O1511">
        <v>46.72</v>
      </c>
      <c r="P1511">
        <v>5.7789999999999999</v>
      </c>
      <c r="Q1511">
        <v>16.61</v>
      </c>
      <c r="S1511">
        <v>16.37</v>
      </c>
      <c r="T1511">
        <v>0</v>
      </c>
      <c r="U1511">
        <v>97.8</v>
      </c>
      <c r="V1511">
        <v>485.2</v>
      </c>
      <c r="W1511">
        <v>18.850000000000001</v>
      </c>
      <c r="Y1511">
        <v>12.94</v>
      </c>
    </row>
    <row r="1512" spans="1:25" x14ac:dyDescent="0.25">
      <c r="A1512">
        <v>2006</v>
      </c>
      <c r="B1512">
        <v>184</v>
      </c>
      <c r="C1512">
        <v>700</v>
      </c>
      <c r="D1512">
        <v>106.8</v>
      </c>
      <c r="E1512">
        <v>47.63</v>
      </c>
      <c r="F1512">
        <v>12.59</v>
      </c>
      <c r="G1512">
        <v>12.79</v>
      </c>
      <c r="K1512">
        <v>1.98</v>
      </c>
      <c r="L1512">
        <v>338.5</v>
      </c>
      <c r="M1512">
        <v>0</v>
      </c>
      <c r="O1512">
        <v>127.5</v>
      </c>
      <c r="P1512">
        <v>33.67</v>
      </c>
      <c r="Q1512">
        <v>16.52</v>
      </c>
      <c r="S1512">
        <v>16.3</v>
      </c>
      <c r="T1512">
        <v>0</v>
      </c>
      <c r="U1512">
        <v>97.8</v>
      </c>
      <c r="V1512">
        <v>485.4</v>
      </c>
      <c r="W1512">
        <v>18.86</v>
      </c>
      <c r="Y1512">
        <v>13.48</v>
      </c>
    </row>
    <row r="1513" spans="1:25" x14ac:dyDescent="0.25">
      <c r="A1513">
        <v>2006</v>
      </c>
      <c r="B1513">
        <v>184</v>
      </c>
      <c r="C1513">
        <v>800</v>
      </c>
      <c r="D1513">
        <v>179.6</v>
      </c>
      <c r="E1513">
        <v>96.8</v>
      </c>
      <c r="F1513">
        <v>13.28</v>
      </c>
      <c r="G1513">
        <v>13.62</v>
      </c>
      <c r="K1513">
        <v>1.9530000000000001</v>
      </c>
      <c r="L1513">
        <v>0</v>
      </c>
      <c r="M1513">
        <v>0</v>
      </c>
      <c r="O1513">
        <v>220</v>
      </c>
      <c r="P1513">
        <v>66.33</v>
      </c>
      <c r="Q1513">
        <v>16.46</v>
      </c>
      <c r="S1513">
        <v>16.23</v>
      </c>
      <c r="T1513">
        <v>0</v>
      </c>
      <c r="U1513">
        <v>96.3</v>
      </c>
      <c r="V1513">
        <v>484.6</v>
      </c>
      <c r="W1513">
        <v>18.82</v>
      </c>
      <c r="Y1513">
        <v>13.76</v>
      </c>
    </row>
    <row r="1514" spans="1:25" x14ac:dyDescent="0.25">
      <c r="A1514">
        <v>2006</v>
      </c>
      <c r="B1514">
        <v>184</v>
      </c>
      <c r="C1514">
        <v>900</v>
      </c>
      <c r="D1514">
        <v>453.7</v>
      </c>
      <c r="E1514">
        <v>299.60000000000002</v>
      </c>
      <c r="F1514">
        <v>15</v>
      </c>
      <c r="G1514">
        <v>15.46</v>
      </c>
      <c r="H1514">
        <f>AVERAGE(G1514:G1537)</f>
        <v>17.685000000000002</v>
      </c>
      <c r="I1514">
        <f>MIN(G1514:G1537)</f>
        <v>12.66</v>
      </c>
      <c r="J1514">
        <f>MAX(G1514:G1537)</f>
        <v>21.14</v>
      </c>
      <c r="K1514">
        <v>2.5369999999999999</v>
      </c>
      <c r="L1514">
        <v>0</v>
      </c>
      <c r="M1514">
        <v>0</v>
      </c>
      <c r="N1514">
        <f>SUM(M1514:M1537)</f>
        <v>0</v>
      </c>
      <c r="O1514">
        <v>566.79999999999995</v>
      </c>
      <c r="P1514">
        <v>178</v>
      </c>
      <c r="Q1514">
        <v>16.510000000000002</v>
      </c>
      <c r="S1514">
        <v>16.27</v>
      </c>
      <c r="T1514">
        <v>0</v>
      </c>
      <c r="U1514">
        <v>95.3</v>
      </c>
      <c r="V1514">
        <v>484</v>
      </c>
      <c r="W1514">
        <v>18.79</v>
      </c>
      <c r="Y1514">
        <v>14.38</v>
      </c>
    </row>
    <row r="1515" spans="1:25" x14ac:dyDescent="0.25">
      <c r="A1515">
        <v>2006</v>
      </c>
      <c r="B1515">
        <v>184</v>
      </c>
      <c r="C1515">
        <v>1000</v>
      </c>
      <c r="D1515">
        <v>546.6</v>
      </c>
      <c r="E1515">
        <v>357.1</v>
      </c>
      <c r="F1515">
        <v>16.93</v>
      </c>
      <c r="G1515">
        <v>17.11</v>
      </c>
      <c r="K1515">
        <v>2.4359999999999999</v>
      </c>
      <c r="L1515">
        <v>0</v>
      </c>
      <c r="M1515">
        <v>0</v>
      </c>
      <c r="O1515">
        <v>684.7</v>
      </c>
      <c r="P1515">
        <v>196.9</v>
      </c>
      <c r="Q1515">
        <v>16.600000000000001</v>
      </c>
      <c r="S1515">
        <v>16.27</v>
      </c>
      <c r="T1515">
        <v>0</v>
      </c>
      <c r="U1515">
        <v>98.2</v>
      </c>
      <c r="V1515">
        <v>483.2</v>
      </c>
      <c r="W1515">
        <v>18.760000000000002</v>
      </c>
      <c r="Y1515">
        <v>14.55</v>
      </c>
    </row>
    <row r="1516" spans="1:25" x14ac:dyDescent="0.25">
      <c r="A1516">
        <v>2006</v>
      </c>
      <c r="B1516">
        <v>184</v>
      </c>
      <c r="C1516">
        <v>1100</v>
      </c>
      <c r="D1516">
        <v>651.79999999999995</v>
      </c>
      <c r="E1516">
        <v>418.8</v>
      </c>
      <c r="F1516">
        <v>18.5</v>
      </c>
      <c r="G1516">
        <v>18.510000000000002</v>
      </c>
      <c r="K1516">
        <v>2.552</v>
      </c>
      <c r="L1516">
        <v>342.4</v>
      </c>
      <c r="M1516">
        <v>0</v>
      </c>
      <c r="O1516">
        <v>810</v>
      </c>
      <c r="P1516">
        <v>227.2</v>
      </c>
      <c r="Q1516">
        <v>16.75</v>
      </c>
      <c r="S1516">
        <v>16.3</v>
      </c>
      <c r="T1516">
        <v>0</v>
      </c>
      <c r="U1516">
        <v>99.9</v>
      </c>
      <c r="V1516">
        <v>482.7</v>
      </c>
      <c r="W1516">
        <v>18.73</v>
      </c>
      <c r="Y1516">
        <v>14.55</v>
      </c>
    </row>
    <row r="1517" spans="1:25" x14ac:dyDescent="0.25">
      <c r="A1517">
        <v>2006</v>
      </c>
      <c r="B1517">
        <v>184</v>
      </c>
      <c r="C1517">
        <v>1200</v>
      </c>
      <c r="D1517">
        <v>696.1</v>
      </c>
      <c r="E1517">
        <v>437.7</v>
      </c>
      <c r="F1517">
        <v>19.170000000000002</v>
      </c>
      <c r="G1517">
        <v>19.16</v>
      </c>
      <c r="K1517">
        <v>2.7050000000000001</v>
      </c>
      <c r="L1517">
        <v>338.6</v>
      </c>
      <c r="M1517">
        <v>0</v>
      </c>
      <c r="O1517">
        <v>863</v>
      </c>
      <c r="P1517">
        <v>236.3</v>
      </c>
      <c r="Q1517">
        <v>16.989999999999998</v>
      </c>
      <c r="S1517">
        <v>16.43</v>
      </c>
      <c r="T1517">
        <v>0</v>
      </c>
      <c r="U1517">
        <v>100</v>
      </c>
      <c r="V1517">
        <v>482.2</v>
      </c>
      <c r="W1517">
        <v>18.71</v>
      </c>
      <c r="Y1517">
        <v>14.39</v>
      </c>
    </row>
    <row r="1518" spans="1:25" x14ac:dyDescent="0.25">
      <c r="A1518">
        <v>2006</v>
      </c>
      <c r="B1518">
        <v>184</v>
      </c>
      <c r="C1518">
        <v>1300</v>
      </c>
      <c r="D1518">
        <v>689.6</v>
      </c>
      <c r="E1518">
        <v>425.3</v>
      </c>
      <c r="F1518">
        <v>20.07</v>
      </c>
      <c r="G1518">
        <v>19.989999999999998</v>
      </c>
      <c r="K1518">
        <v>2.524</v>
      </c>
      <c r="L1518">
        <v>0</v>
      </c>
      <c r="M1518">
        <v>0</v>
      </c>
      <c r="O1518">
        <v>850</v>
      </c>
      <c r="P1518">
        <v>240.3</v>
      </c>
      <c r="Q1518">
        <v>17.25</v>
      </c>
      <c r="S1518">
        <v>16.61</v>
      </c>
      <c r="T1518">
        <v>0</v>
      </c>
      <c r="U1518">
        <v>100.7</v>
      </c>
      <c r="V1518">
        <v>480.4</v>
      </c>
      <c r="W1518">
        <v>18.63</v>
      </c>
      <c r="Y1518">
        <v>14.39</v>
      </c>
    </row>
    <row r="1519" spans="1:25" x14ac:dyDescent="0.25">
      <c r="A1519">
        <v>2006</v>
      </c>
      <c r="B1519">
        <v>184</v>
      </c>
      <c r="C1519">
        <v>1400</v>
      </c>
      <c r="D1519">
        <v>638.70000000000005</v>
      </c>
      <c r="E1519">
        <v>388.5</v>
      </c>
      <c r="F1519">
        <v>20.95</v>
      </c>
      <c r="G1519">
        <v>20.85</v>
      </c>
      <c r="K1519">
        <v>2.371</v>
      </c>
      <c r="L1519">
        <v>0</v>
      </c>
      <c r="M1519">
        <v>0</v>
      </c>
      <c r="O1519">
        <v>781</v>
      </c>
      <c r="P1519">
        <v>234.8</v>
      </c>
      <c r="Q1519">
        <v>17.46</v>
      </c>
      <c r="S1519">
        <v>16.78</v>
      </c>
      <c r="T1519">
        <v>0</v>
      </c>
      <c r="U1519">
        <v>100.9</v>
      </c>
      <c r="V1519">
        <v>478.9</v>
      </c>
      <c r="W1519">
        <v>18.559999999999999</v>
      </c>
      <c r="Y1519">
        <v>14.39</v>
      </c>
    </row>
    <row r="1520" spans="1:25" x14ac:dyDescent="0.25">
      <c r="A1520">
        <v>2006</v>
      </c>
      <c r="B1520">
        <v>184</v>
      </c>
      <c r="C1520">
        <v>1500</v>
      </c>
      <c r="D1520">
        <v>659.3</v>
      </c>
      <c r="E1520">
        <v>398.2</v>
      </c>
      <c r="F1520">
        <v>21.27</v>
      </c>
      <c r="G1520">
        <v>21.14</v>
      </c>
      <c r="K1520">
        <v>2.5379999999999998</v>
      </c>
      <c r="L1520">
        <v>0</v>
      </c>
      <c r="M1520">
        <v>0</v>
      </c>
      <c r="O1520">
        <v>806</v>
      </c>
      <c r="P1520">
        <v>239.9</v>
      </c>
      <c r="Q1520">
        <v>17.72</v>
      </c>
      <c r="S1520">
        <v>17.03</v>
      </c>
      <c r="T1520">
        <v>0</v>
      </c>
      <c r="U1520">
        <v>101.1</v>
      </c>
      <c r="V1520">
        <v>477.7</v>
      </c>
      <c r="W1520">
        <v>18.5</v>
      </c>
      <c r="Y1520">
        <v>14.29</v>
      </c>
    </row>
    <row r="1521" spans="1:25" x14ac:dyDescent="0.25">
      <c r="A1521">
        <v>2006</v>
      </c>
      <c r="B1521">
        <v>184</v>
      </c>
      <c r="C1521">
        <v>1600</v>
      </c>
      <c r="D1521">
        <v>640.4</v>
      </c>
      <c r="E1521">
        <v>379.7</v>
      </c>
      <c r="F1521">
        <v>21.26</v>
      </c>
      <c r="G1521">
        <v>21.09</v>
      </c>
      <c r="K1521">
        <v>2.5449999999999999</v>
      </c>
      <c r="L1521">
        <v>0</v>
      </c>
      <c r="M1521">
        <v>0</v>
      </c>
      <c r="O1521">
        <v>772</v>
      </c>
      <c r="P1521">
        <v>252.8</v>
      </c>
      <c r="Q1521">
        <v>17.96</v>
      </c>
      <c r="S1521">
        <v>17.25</v>
      </c>
      <c r="T1521">
        <v>0</v>
      </c>
      <c r="U1521">
        <v>101.5</v>
      </c>
      <c r="V1521">
        <v>476.4</v>
      </c>
      <c r="W1521">
        <v>18.440000000000001</v>
      </c>
      <c r="Y1521">
        <v>14.25</v>
      </c>
    </row>
    <row r="1522" spans="1:25" x14ac:dyDescent="0.25">
      <c r="A1522">
        <v>2006</v>
      </c>
      <c r="B1522">
        <v>184</v>
      </c>
      <c r="C1522">
        <v>1700</v>
      </c>
      <c r="D1522">
        <v>476.8</v>
      </c>
      <c r="E1522">
        <v>267.5</v>
      </c>
      <c r="F1522">
        <v>20.47</v>
      </c>
      <c r="G1522">
        <v>20.32</v>
      </c>
      <c r="K1522">
        <v>2.5430000000000001</v>
      </c>
      <c r="L1522">
        <v>0</v>
      </c>
      <c r="M1522">
        <v>0</v>
      </c>
      <c r="O1522">
        <v>569.9</v>
      </c>
      <c r="P1522">
        <v>227.8</v>
      </c>
      <c r="Q1522">
        <v>18.14</v>
      </c>
      <c r="S1522">
        <v>17.43</v>
      </c>
      <c r="T1522">
        <v>0</v>
      </c>
      <c r="U1522">
        <v>101.4</v>
      </c>
      <c r="V1522">
        <v>474.8</v>
      </c>
      <c r="W1522">
        <v>18.36</v>
      </c>
      <c r="Y1522">
        <v>14.01</v>
      </c>
    </row>
    <row r="1523" spans="1:25" x14ac:dyDescent="0.25">
      <c r="A1523">
        <v>2006</v>
      </c>
      <c r="B1523">
        <v>184</v>
      </c>
      <c r="C1523">
        <v>1800</v>
      </c>
      <c r="D1523">
        <v>272.7</v>
      </c>
      <c r="E1523">
        <v>131</v>
      </c>
      <c r="F1523">
        <v>19.46</v>
      </c>
      <c r="G1523">
        <v>19.34</v>
      </c>
      <c r="K1523">
        <v>2.1880000000000002</v>
      </c>
      <c r="L1523">
        <v>0</v>
      </c>
      <c r="M1523">
        <v>0</v>
      </c>
      <c r="O1523">
        <v>322</v>
      </c>
      <c r="P1523">
        <v>147.69999999999999</v>
      </c>
      <c r="Q1523">
        <v>18.260000000000002</v>
      </c>
      <c r="S1523">
        <v>17.54</v>
      </c>
      <c r="T1523">
        <v>0</v>
      </c>
      <c r="U1523">
        <v>101.1</v>
      </c>
      <c r="V1523">
        <v>473.7</v>
      </c>
      <c r="W1523">
        <v>18.309999999999999</v>
      </c>
      <c r="Y1523">
        <v>13.77</v>
      </c>
    </row>
    <row r="1524" spans="1:25" x14ac:dyDescent="0.25">
      <c r="A1524">
        <v>2006</v>
      </c>
      <c r="B1524">
        <v>184</v>
      </c>
      <c r="C1524">
        <v>1900</v>
      </c>
      <c r="D1524">
        <v>164.9</v>
      </c>
      <c r="E1524">
        <v>60.35</v>
      </c>
      <c r="F1524">
        <v>18.32</v>
      </c>
      <c r="G1524">
        <v>18.28</v>
      </c>
      <c r="K1524">
        <v>2.0630000000000002</v>
      </c>
      <c r="L1524">
        <v>0</v>
      </c>
      <c r="M1524">
        <v>0</v>
      </c>
      <c r="O1524">
        <v>196.2</v>
      </c>
      <c r="P1524">
        <v>110.7</v>
      </c>
      <c r="Q1524">
        <v>18.27</v>
      </c>
      <c r="S1524">
        <v>17.61</v>
      </c>
      <c r="T1524">
        <v>0</v>
      </c>
      <c r="U1524">
        <v>100.4</v>
      </c>
      <c r="V1524">
        <v>472.9</v>
      </c>
      <c r="W1524">
        <v>18.27</v>
      </c>
      <c r="Y1524">
        <v>13.65</v>
      </c>
    </row>
    <row r="1525" spans="1:25" x14ac:dyDescent="0.25">
      <c r="A1525">
        <v>2006</v>
      </c>
      <c r="B1525">
        <v>184</v>
      </c>
      <c r="C1525">
        <v>2000</v>
      </c>
      <c r="D1525">
        <v>113.7</v>
      </c>
      <c r="E1525">
        <v>23.12</v>
      </c>
      <c r="F1525">
        <v>17.350000000000001</v>
      </c>
      <c r="G1525">
        <v>17.239999999999998</v>
      </c>
      <c r="K1525">
        <v>2.1269999999999998</v>
      </c>
      <c r="L1525">
        <v>0</v>
      </c>
      <c r="M1525">
        <v>0</v>
      </c>
      <c r="O1525">
        <v>141.6</v>
      </c>
      <c r="P1525">
        <v>110</v>
      </c>
      <c r="Q1525">
        <v>18.25</v>
      </c>
      <c r="S1525">
        <v>17.690000000000001</v>
      </c>
      <c r="T1525">
        <v>0</v>
      </c>
      <c r="U1525">
        <v>101</v>
      </c>
      <c r="V1525">
        <v>472.7</v>
      </c>
      <c r="W1525">
        <v>18.260000000000002</v>
      </c>
      <c r="Y1525">
        <v>13.56</v>
      </c>
    </row>
    <row r="1526" spans="1:25" x14ac:dyDescent="0.25">
      <c r="A1526">
        <v>2006</v>
      </c>
      <c r="B1526">
        <v>184</v>
      </c>
      <c r="C1526">
        <v>2100</v>
      </c>
      <c r="D1526">
        <v>20.420000000000002</v>
      </c>
      <c r="E1526">
        <v>-35.380000000000003</v>
      </c>
      <c r="F1526">
        <v>15.26</v>
      </c>
      <c r="G1526">
        <v>15.22</v>
      </c>
      <c r="K1526">
        <v>1.798</v>
      </c>
      <c r="L1526">
        <v>346.2</v>
      </c>
      <c r="M1526">
        <v>0</v>
      </c>
      <c r="O1526">
        <v>16.48</v>
      </c>
      <c r="P1526">
        <v>10.02</v>
      </c>
      <c r="Q1526">
        <v>18.12</v>
      </c>
      <c r="S1526">
        <v>17.649999999999999</v>
      </c>
      <c r="T1526">
        <v>0</v>
      </c>
      <c r="U1526">
        <v>100.4</v>
      </c>
      <c r="V1526">
        <v>472.7</v>
      </c>
      <c r="W1526">
        <v>18.260000000000002</v>
      </c>
      <c r="Y1526">
        <v>13.41</v>
      </c>
    </row>
    <row r="1527" spans="1:25" x14ac:dyDescent="0.25">
      <c r="A1527">
        <v>2006</v>
      </c>
      <c r="B1527">
        <v>184</v>
      </c>
      <c r="C1527">
        <v>2200</v>
      </c>
      <c r="D1527">
        <v>-0.89800000000000002</v>
      </c>
      <c r="E1527">
        <v>-37.090000000000003</v>
      </c>
      <c r="F1527">
        <v>13.68</v>
      </c>
      <c r="G1527">
        <v>13.62</v>
      </c>
      <c r="K1527">
        <v>1.663</v>
      </c>
      <c r="L1527">
        <v>310</v>
      </c>
      <c r="M1527">
        <v>0</v>
      </c>
      <c r="O1527">
        <v>-11.14</v>
      </c>
      <c r="P1527">
        <v>-11.35</v>
      </c>
      <c r="Q1527">
        <v>17.97</v>
      </c>
      <c r="S1527">
        <v>17.62</v>
      </c>
      <c r="T1527">
        <v>0</v>
      </c>
      <c r="U1527">
        <v>100.7</v>
      </c>
      <c r="V1527">
        <v>473.5</v>
      </c>
      <c r="W1527">
        <v>18.3</v>
      </c>
      <c r="Y1527">
        <v>13.3</v>
      </c>
    </row>
    <row r="1528" spans="1:25" x14ac:dyDescent="0.25">
      <c r="A1528">
        <v>2006</v>
      </c>
      <c r="B1528">
        <v>184</v>
      </c>
      <c r="C1528">
        <v>2300</v>
      </c>
      <c r="D1528">
        <v>-1.369</v>
      </c>
      <c r="E1528">
        <v>-26.17</v>
      </c>
      <c r="F1528">
        <v>13.02</v>
      </c>
      <c r="G1528">
        <v>12.97</v>
      </c>
      <c r="K1528">
        <v>1.4319999999999999</v>
      </c>
      <c r="L1528">
        <v>307.3</v>
      </c>
      <c r="M1528">
        <v>0</v>
      </c>
      <c r="O1528">
        <v>-12.55</v>
      </c>
      <c r="P1528">
        <v>-11.86</v>
      </c>
      <c r="Q1528">
        <v>17.8</v>
      </c>
      <c r="S1528">
        <v>17.57</v>
      </c>
      <c r="T1528">
        <v>0</v>
      </c>
      <c r="U1528">
        <v>100.5</v>
      </c>
      <c r="V1528">
        <v>473.7</v>
      </c>
      <c r="W1528">
        <v>18.309999999999999</v>
      </c>
      <c r="Y1528">
        <v>13.22</v>
      </c>
    </row>
    <row r="1529" spans="1:25" x14ac:dyDescent="0.25">
      <c r="A1529">
        <v>2006</v>
      </c>
      <c r="B1529">
        <v>184</v>
      </c>
      <c r="C1529">
        <v>2400</v>
      </c>
      <c r="D1529">
        <v>-0.97</v>
      </c>
      <c r="E1529">
        <v>-16.62</v>
      </c>
      <c r="F1529">
        <v>12.7</v>
      </c>
      <c r="G1529">
        <v>12.66</v>
      </c>
      <c r="K1529">
        <v>0.93400000000000005</v>
      </c>
      <c r="L1529">
        <v>300.7</v>
      </c>
      <c r="M1529">
        <v>0</v>
      </c>
      <c r="O1529">
        <v>-12.24</v>
      </c>
      <c r="P1529">
        <v>-11.63</v>
      </c>
      <c r="Q1529">
        <v>17.62</v>
      </c>
      <c r="S1529">
        <v>17.48</v>
      </c>
      <c r="T1529">
        <v>0</v>
      </c>
      <c r="U1529">
        <v>100.4</v>
      </c>
      <c r="V1529">
        <v>479.1</v>
      </c>
      <c r="W1529">
        <v>18.559999999999999</v>
      </c>
      <c r="Y1529">
        <v>13.15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29C1-3073-4F58-90FF-EC8124867590}">
  <dimension ref="A1:CI1529"/>
  <sheetViews>
    <sheetView tabSelected="1" zoomScale="78" zoomScaleNormal="78" workbookViewId="0">
      <selection activeCell="H2" sqref="H2"/>
    </sheetView>
  </sheetViews>
  <sheetFormatPr defaultRowHeight="15" x14ac:dyDescent="0.25"/>
  <cols>
    <col min="1" max="1" width="12.28515625" customWidth="1"/>
    <col min="8" max="8" width="10.7109375" customWidth="1"/>
    <col min="13" max="13" width="11.5703125" bestFit="1" customWidth="1"/>
    <col min="20" max="20" width="17" customWidth="1"/>
    <col min="26" max="26" width="12.7109375" customWidth="1"/>
    <col min="29" max="29" width="9.140625" style="14"/>
    <col min="31" max="31" width="11.5703125" bestFit="1" customWidth="1"/>
    <col min="43" max="43" width="13.85546875" bestFit="1" customWidth="1"/>
  </cols>
  <sheetData>
    <row r="1" spans="1:87" ht="45" x14ac:dyDescent="0.25">
      <c r="A1" s="8" t="s">
        <v>214</v>
      </c>
      <c r="B1" s="8" t="s">
        <v>155</v>
      </c>
      <c r="C1" s="8" t="s">
        <v>206</v>
      </c>
      <c r="D1" s="8" t="s">
        <v>207</v>
      </c>
      <c r="E1" s="8" t="s">
        <v>71</v>
      </c>
      <c r="F1" s="8" t="s">
        <v>72</v>
      </c>
      <c r="G1" s="8" t="s">
        <v>75</v>
      </c>
      <c r="H1" s="11" t="s">
        <v>79</v>
      </c>
      <c r="I1" s="8" t="s">
        <v>208</v>
      </c>
      <c r="J1" s="8" t="s">
        <v>209</v>
      </c>
      <c r="K1" s="8" t="s">
        <v>210</v>
      </c>
      <c r="L1" s="8" t="s">
        <v>211</v>
      </c>
      <c r="M1" s="8" t="s">
        <v>212</v>
      </c>
      <c r="N1" s="8" t="s">
        <v>213</v>
      </c>
      <c r="O1" s="8"/>
      <c r="P1" s="11"/>
      <c r="Q1" s="11"/>
      <c r="R1" s="8"/>
      <c r="S1" s="18"/>
      <c r="T1" s="18"/>
      <c r="U1" s="18"/>
      <c r="V1" s="18"/>
      <c r="W1" s="8"/>
      <c r="X1" s="11"/>
      <c r="Y1" s="19"/>
      <c r="Z1" s="19"/>
      <c r="AA1" s="19"/>
      <c r="AB1" s="20"/>
      <c r="AC1" s="20"/>
      <c r="AD1" s="13" t="s">
        <v>64</v>
      </c>
      <c r="AE1" s="9" t="s">
        <v>81</v>
      </c>
      <c r="AF1" s="16" t="s">
        <v>84</v>
      </c>
      <c r="AG1" s="11" t="s">
        <v>80</v>
      </c>
      <c r="AH1" s="28" t="s">
        <v>95</v>
      </c>
      <c r="AI1" s="27" t="s">
        <v>155</v>
      </c>
      <c r="AJ1" s="29" t="s">
        <v>156</v>
      </c>
      <c r="AK1" t="s">
        <v>157</v>
      </c>
      <c r="AL1" t="s">
        <v>158</v>
      </c>
      <c r="AM1" t="s">
        <v>159</v>
      </c>
      <c r="AN1" t="s">
        <v>160</v>
      </c>
      <c r="AO1" t="s">
        <v>161</v>
      </c>
      <c r="AP1" t="s">
        <v>162</v>
      </c>
      <c r="AQ1" s="22" t="s">
        <v>163</v>
      </c>
      <c r="AR1" t="s">
        <v>155</v>
      </c>
      <c r="AS1" t="s">
        <v>156</v>
      </c>
      <c r="AT1" t="s">
        <v>157</v>
      </c>
      <c r="AU1" t="s">
        <v>158</v>
      </c>
      <c r="AV1" t="s">
        <v>159</v>
      </c>
      <c r="AW1" t="s">
        <v>160</v>
      </c>
      <c r="AX1" t="s">
        <v>161</v>
      </c>
      <c r="AY1" t="s">
        <v>162</v>
      </c>
      <c r="AZ1" s="22" t="s">
        <v>167</v>
      </c>
      <c r="BA1" t="s">
        <v>155</v>
      </c>
      <c r="BB1" t="s">
        <v>156</v>
      </c>
      <c r="BC1" t="s">
        <v>157</v>
      </c>
      <c r="BD1" t="s">
        <v>158</v>
      </c>
      <c r="BE1" t="s">
        <v>159</v>
      </c>
      <c r="BF1" t="s">
        <v>160</v>
      </c>
      <c r="BG1" t="s">
        <v>161</v>
      </c>
      <c r="BH1" t="s">
        <v>162</v>
      </c>
      <c r="BI1" s="22" t="s">
        <v>165</v>
      </c>
      <c r="BJ1" t="s">
        <v>155</v>
      </c>
      <c r="BK1" t="s">
        <v>156</v>
      </c>
      <c r="BL1" t="s">
        <v>157</v>
      </c>
      <c r="BM1" t="s">
        <v>158</v>
      </c>
      <c r="BN1" t="s">
        <v>159</v>
      </c>
      <c r="BO1" t="s">
        <v>160</v>
      </c>
      <c r="BP1" t="s">
        <v>161</v>
      </c>
      <c r="BQ1" t="s">
        <v>162</v>
      </c>
      <c r="BR1" s="22" t="s">
        <v>168</v>
      </c>
      <c r="BS1" t="s">
        <v>155</v>
      </c>
      <c r="BT1" t="s">
        <v>156</v>
      </c>
      <c r="BU1" t="s">
        <v>157</v>
      </c>
      <c r="BV1" t="s">
        <v>158</v>
      </c>
      <c r="BW1" t="s">
        <v>159</v>
      </c>
      <c r="BX1" t="s">
        <v>160</v>
      </c>
      <c r="BY1" t="s">
        <v>161</v>
      </c>
      <c r="BZ1" t="s">
        <v>162</v>
      </c>
      <c r="CA1" s="22" t="s">
        <v>166</v>
      </c>
      <c r="CB1" t="s">
        <v>155</v>
      </c>
      <c r="CC1" t="s">
        <v>156</v>
      </c>
      <c r="CD1" t="s">
        <v>157</v>
      </c>
      <c r="CE1" t="s">
        <v>158</v>
      </c>
      <c r="CF1" t="s">
        <v>159</v>
      </c>
      <c r="CG1" t="s">
        <v>160</v>
      </c>
      <c r="CH1" t="s">
        <v>161</v>
      </c>
      <c r="CI1" t="s">
        <v>162</v>
      </c>
    </row>
    <row r="2" spans="1:87" x14ac:dyDescent="0.25">
      <c r="A2" t="b">
        <f>NOT(I2="")</f>
        <v>1</v>
      </c>
      <c r="B2">
        <v>2006</v>
      </c>
      <c r="C2">
        <v>121</v>
      </c>
      <c r="D2">
        <v>0</v>
      </c>
      <c r="E2">
        <v>900</v>
      </c>
      <c r="F2" s="7">
        <v>436.4</v>
      </c>
      <c r="G2" s="7">
        <v>8.06</v>
      </c>
      <c r="H2" s="7">
        <v>0.2</v>
      </c>
      <c r="I2" s="7">
        <f t="shared" ref="I2:I65" si="0">IF(AND(B2=B1,C2=C1),"",SUMIFS($H$2:$H$1529,$B$2:$B$1529,B2,$C$2:$C$1529,C2))</f>
        <v>2.1999999999999997</v>
      </c>
      <c r="J2" s="7">
        <f t="shared" ref="J2:J65" si="1">IF(AND(B2=B1,C2=C1),"",AVERAGEIFS($F$2:$F$1529,$B$2:$B$1529,B2,$C$2:$C$1529,C2))</f>
        <v>271.08931249999995</v>
      </c>
      <c r="K2" s="7">
        <v>0</v>
      </c>
      <c r="L2" s="7">
        <f t="shared" ref="L2:L65" si="2">IF(AND(B2=B1,C2=C1),"",_xlfn.MAXIFS($G$2:$G$1529,$B$2:$B$1529,B2,$C$2:$C$1529,C2))</f>
        <v>10.71</v>
      </c>
      <c r="M2" s="7">
        <f t="shared" ref="M2:M65" si="3">IF(AND(B2=B1,C2=C1),"",_xlfn.MINIFS($G$2:$G$1529,$B$2:$B$1529,B2,$C$2:$C$1529,C2))</f>
        <v>5.319</v>
      </c>
      <c r="N2" s="7">
        <v>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11"/>
      <c r="AD2" s="13">
        <v>120</v>
      </c>
      <c r="AE2" s="9">
        <v>0</v>
      </c>
      <c r="AF2" s="17">
        <f ca="1">OFFSET($K$2,(ROW(AF1)*24)-24,0)</f>
        <v>0</v>
      </c>
      <c r="AG2">
        <f ca="1">OFFSET($Q$2,(ROW(AG1)*24)-24,0)</f>
        <v>0</v>
      </c>
      <c r="AI2">
        <v>2006</v>
      </c>
      <c r="AJ2">
        <v>1</v>
      </c>
      <c r="AK2">
        <v>2.6</v>
      </c>
      <c r="AL2">
        <v>5.319</v>
      </c>
      <c r="AM2">
        <v>10.71</v>
      </c>
      <c r="AN2">
        <v>8.3189166666666647</v>
      </c>
      <c r="AP2">
        <v>0</v>
      </c>
      <c r="AQ2" s="22" t="s">
        <v>181</v>
      </c>
      <c r="AR2">
        <v>2006</v>
      </c>
      <c r="AS2">
        <v>1</v>
      </c>
      <c r="AT2">
        <v>2.6</v>
      </c>
      <c r="AU2">
        <v>5.319</v>
      </c>
      <c r="AV2">
        <v>10.71</v>
      </c>
      <c r="AW2">
        <v>8.3189166666666647</v>
      </c>
      <c r="AY2">
        <v>0</v>
      </c>
      <c r="AZ2" s="22" t="s">
        <v>182</v>
      </c>
      <c r="BA2">
        <v>2006</v>
      </c>
      <c r="BB2">
        <v>1</v>
      </c>
      <c r="BC2">
        <v>0.60000000000000009</v>
      </c>
      <c r="BD2">
        <v>6.4649999999999999</v>
      </c>
      <c r="BE2">
        <v>10.39</v>
      </c>
      <c r="BF2">
        <v>8.5207500000000014</v>
      </c>
      <c r="BH2">
        <v>0</v>
      </c>
      <c r="BI2" s="22" t="s">
        <v>183</v>
      </c>
      <c r="BJ2">
        <v>2006</v>
      </c>
      <c r="BK2">
        <v>1</v>
      </c>
      <c r="BL2">
        <v>8.1999999999999993</v>
      </c>
      <c r="BM2">
        <v>8.8000000000000007</v>
      </c>
      <c r="BN2">
        <v>17.53</v>
      </c>
      <c r="BO2">
        <v>11.790000000000001</v>
      </c>
      <c r="BQ2">
        <v>0</v>
      </c>
      <c r="BR2" s="22" t="s">
        <v>184</v>
      </c>
      <c r="BS2">
        <v>2006</v>
      </c>
      <c r="BT2">
        <v>1</v>
      </c>
      <c r="BU2">
        <v>0</v>
      </c>
      <c r="BV2">
        <v>8.56</v>
      </c>
      <c r="BW2">
        <v>18.34</v>
      </c>
      <c r="BX2">
        <v>13.11125</v>
      </c>
      <c r="BZ2">
        <v>0</v>
      </c>
      <c r="CA2" s="22" t="s">
        <v>185</v>
      </c>
      <c r="CB2">
        <v>2006</v>
      </c>
      <c r="CC2">
        <v>1</v>
      </c>
      <c r="CD2">
        <v>0</v>
      </c>
      <c r="CE2">
        <v>8.1999999999999993</v>
      </c>
      <c r="CF2">
        <v>21.34</v>
      </c>
      <c r="CG2">
        <v>15.038333333333336</v>
      </c>
      <c r="CI2">
        <v>0</v>
      </c>
    </row>
    <row r="3" spans="1:87" x14ac:dyDescent="0.25">
      <c r="A3" t="b">
        <f t="shared" ref="A3:A66" si="4">NOT(I3="")</f>
        <v>0</v>
      </c>
      <c r="B3">
        <v>2006</v>
      </c>
      <c r="C3">
        <v>121</v>
      </c>
      <c r="D3">
        <v>0</v>
      </c>
      <c r="E3">
        <v>1000</v>
      </c>
      <c r="F3" s="7">
        <v>397.3</v>
      </c>
      <c r="G3" s="7">
        <v>8.01</v>
      </c>
      <c r="H3" s="7">
        <v>0.2</v>
      </c>
      <c r="I3" s="7" t="str">
        <f t="shared" si="0"/>
        <v/>
      </c>
      <c r="J3" s="7" t="str">
        <f t="shared" si="1"/>
        <v/>
      </c>
      <c r="K3" s="7">
        <v>0</v>
      </c>
      <c r="L3" s="7" t="str">
        <f t="shared" si="2"/>
        <v/>
      </c>
      <c r="M3" s="7" t="str">
        <f t="shared" si="3"/>
        <v/>
      </c>
      <c r="N3" s="7">
        <v>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11"/>
      <c r="AD3" s="13">
        <v>121</v>
      </c>
      <c r="AE3" s="9">
        <v>1</v>
      </c>
      <c r="AF3" s="17">
        <f t="shared" ref="AF3:AF66" ca="1" si="5">OFFSET($K$2,(ROW(AF2)*24)-24,0)</f>
        <v>0</v>
      </c>
      <c r="AG3">
        <f t="shared" ref="AG3:AG66" ca="1" si="6">OFFSET($Q$2,(ROW(AG2)*24)-24,0)</f>
        <v>0</v>
      </c>
      <c r="AI3">
        <v>2006</v>
      </c>
      <c r="AJ3">
        <v>2</v>
      </c>
      <c r="AK3">
        <v>0.60000000000000009</v>
      </c>
      <c r="AL3">
        <v>6.4649999999999999</v>
      </c>
      <c r="AM3">
        <v>10.39</v>
      </c>
      <c r="AN3">
        <v>8.5207500000000014</v>
      </c>
      <c r="AP3">
        <v>0</v>
      </c>
      <c r="AR3">
        <v>2006</v>
      </c>
      <c r="AS3">
        <v>2</v>
      </c>
      <c r="AT3">
        <v>0.60000000000000009</v>
      </c>
      <c r="AU3">
        <v>6.4649999999999999</v>
      </c>
      <c r="AV3">
        <v>10.39</v>
      </c>
      <c r="AW3">
        <v>8.5207500000000014</v>
      </c>
      <c r="AY3">
        <v>0</v>
      </c>
      <c r="BA3">
        <v>2006</v>
      </c>
      <c r="BB3">
        <v>2</v>
      </c>
      <c r="BC3">
        <v>8</v>
      </c>
      <c r="BD3">
        <v>8.23</v>
      </c>
      <c r="BE3">
        <v>13.14</v>
      </c>
      <c r="BF3">
        <v>10.336249999999998</v>
      </c>
      <c r="BH3">
        <v>0</v>
      </c>
      <c r="BJ3">
        <v>2006</v>
      </c>
      <c r="BK3">
        <v>2</v>
      </c>
      <c r="BL3">
        <v>0</v>
      </c>
      <c r="BM3">
        <v>8.56</v>
      </c>
      <c r="BN3">
        <v>18.34</v>
      </c>
      <c r="BO3">
        <v>13.11125</v>
      </c>
      <c r="BQ3">
        <v>0</v>
      </c>
      <c r="BS3">
        <v>2006</v>
      </c>
      <c r="BT3">
        <v>2</v>
      </c>
      <c r="BU3">
        <v>0</v>
      </c>
      <c r="BV3">
        <v>4.282</v>
      </c>
      <c r="BW3">
        <v>19.670000000000002</v>
      </c>
      <c r="BX3">
        <v>12.426083333333333</v>
      </c>
      <c r="BZ3">
        <v>0</v>
      </c>
      <c r="CB3">
        <v>2006</v>
      </c>
      <c r="CC3">
        <v>2</v>
      </c>
      <c r="CD3">
        <v>1.7999999999999998</v>
      </c>
      <c r="CE3">
        <v>3.4340000000000002</v>
      </c>
      <c r="CF3">
        <v>17.399999999999999</v>
      </c>
      <c r="CG3">
        <v>9.9175833333333347</v>
      </c>
      <c r="CI3">
        <v>0</v>
      </c>
    </row>
    <row r="4" spans="1:87" x14ac:dyDescent="0.25">
      <c r="A4" t="b">
        <f t="shared" si="4"/>
        <v>0</v>
      </c>
      <c r="B4">
        <v>2006</v>
      </c>
      <c r="C4">
        <v>121</v>
      </c>
      <c r="D4">
        <v>0</v>
      </c>
      <c r="E4">
        <v>1100</v>
      </c>
      <c r="F4" s="7">
        <v>642.29999999999995</v>
      </c>
      <c r="G4" s="7">
        <v>9.4600000000000009</v>
      </c>
      <c r="H4" s="7">
        <v>0.2</v>
      </c>
      <c r="I4" s="7" t="str">
        <f t="shared" si="0"/>
        <v/>
      </c>
      <c r="J4" s="7" t="str">
        <f t="shared" si="1"/>
        <v/>
      </c>
      <c r="K4" s="7">
        <v>0</v>
      </c>
      <c r="L4" s="7" t="str">
        <f t="shared" si="2"/>
        <v/>
      </c>
      <c r="M4" s="7" t="str">
        <f t="shared" si="3"/>
        <v/>
      </c>
      <c r="N4" s="7">
        <v>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11"/>
      <c r="AD4" s="13">
        <v>122</v>
      </c>
      <c r="AE4" s="9">
        <v>2</v>
      </c>
      <c r="AF4" s="17">
        <f t="shared" ca="1" si="5"/>
        <v>0</v>
      </c>
      <c r="AG4">
        <f t="shared" ca="1" si="6"/>
        <v>0</v>
      </c>
      <c r="AI4">
        <v>2006</v>
      </c>
      <c r="AJ4">
        <v>3</v>
      </c>
      <c r="AK4">
        <v>8</v>
      </c>
      <c r="AL4">
        <v>8.23</v>
      </c>
      <c r="AM4">
        <v>13.14</v>
      </c>
      <c r="AN4">
        <v>10.336249999999998</v>
      </c>
      <c r="AP4">
        <v>0</v>
      </c>
      <c r="AR4">
        <v>2006</v>
      </c>
      <c r="AS4">
        <v>3</v>
      </c>
      <c r="AT4">
        <v>28</v>
      </c>
      <c r="AU4">
        <v>8.23</v>
      </c>
      <c r="AV4">
        <v>13.14</v>
      </c>
      <c r="AW4">
        <v>10.336249999999998</v>
      </c>
      <c r="AY4">
        <v>0</v>
      </c>
      <c r="BA4">
        <v>2006</v>
      </c>
      <c r="BB4">
        <v>3</v>
      </c>
      <c r="BC4">
        <v>32.799999999999997</v>
      </c>
      <c r="BD4">
        <v>4.7149999999999999</v>
      </c>
      <c r="BE4">
        <v>12.36</v>
      </c>
      <c r="BF4">
        <v>10.111125000000003</v>
      </c>
      <c r="BH4">
        <v>0</v>
      </c>
      <c r="BJ4">
        <v>2006</v>
      </c>
      <c r="BK4">
        <v>3</v>
      </c>
      <c r="BL4">
        <v>20</v>
      </c>
      <c r="BM4">
        <v>4.282</v>
      </c>
      <c r="BN4">
        <v>19.670000000000002</v>
      </c>
      <c r="BO4">
        <v>12.426083333333333</v>
      </c>
      <c r="BQ4">
        <v>0</v>
      </c>
      <c r="BS4">
        <v>2006</v>
      </c>
      <c r="BT4">
        <v>3</v>
      </c>
      <c r="BU4">
        <v>20</v>
      </c>
      <c r="BV4">
        <v>8.1999999999999993</v>
      </c>
      <c r="BW4">
        <v>21.34</v>
      </c>
      <c r="BX4">
        <v>15.038333333333336</v>
      </c>
      <c r="BZ4">
        <v>0</v>
      </c>
      <c r="CB4">
        <v>2006</v>
      </c>
      <c r="CC4">
        <v>3</v>
      </c>
      <c r="CD4">
        <v>22.4</v>
      </c>
      <c r="CE4">
        <v>6.9939999999999998</v>
      </c>
      <c r="CF4">
        <v>13.56</v>
      </c>
      <c r="CG4">
        <v>9.9539166666666681</v>
      </c>
      <c r="CI4">
        <v>0</v>
      </c>
    </row>
    <row r="5" spans="1:87" x14ac:dyDescent="0.25">
      <c r="A5" t="b">
        <f t="shared" si="4"/>
        <v>0</v>
      </c>
      <c r="B5">
        <v>2006</v>
      </c>
      <c r="C5">
        <v>121</v>
      </c>
      <c r="D5">
        <v>0</v>
      </c>
      <c r="E5">
        <v>1200</v>
      </c>
      <c r="F5" s="7">
        <v>398.1</v>
      </c>
      <c r="G5" s="7">
        <v>9.0500000000000007</v>
      </c>
      <c r="H5" s="7">
        <v>0.2</v>
      </c>
      <c r="I5" s="7" t="str">
        <f t="shared" si="0"/>
        <v/>
      </c>
      <c r="J5" s="7" t="str">
        <f t="shared" si="1"/>
        <v/>
      </c>
      <c r="K5" s="7">
        <v>0</v>
      </c>
      <c r="L5" s="7" t="str">
        <f t="shared" si="2"/>
        <v/>
      </c>
      <c r="M5" s="7" t="str">
        <f t="shared" si="3"/>
        <v/>
      </c>
      <c r="N5" s="7">
        <v>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11"/>
      <c r="AD5" s="13">
        <v>123</v>
      </c>
      <c r="AE5" s="9">
        <v>3</v>
      </c>
      <c r="AF5" s="17">
        <f t="shared" ca="1" si="5"/>
        <v>0</v>
      </c>
      <c r="AG5">
        <f t="shared" ca="1" si="6"/>
        <v>0</v>
      </c>
      <c r="AI5">
        <v>2006</v>
      </c>
      <c r="AJ5">
        <v>4</v>
      </c>
      <c r="AK5">
        <v>12.799999999999999</v>
      </c>
      <c r="AL5">
        <v>4.7149999999999999</v>
      </c>
      <c r="AM5">
        <v>12.36</v>
      </c>
      <c r="AN5">
        <v>10.111125000000003</v>
      </c>
      <c r="AP5">
        <v>0</v>
      </c>
      <c r="AR5">
        <v>2006</v>
      </c>
      <c r="AS5">
        <v>4</v>
      </c>
      <c r="AT5">
        <v>12.799999999999999</v>
      </c>
      <c r="AU5">
        <v>4.7149999999999999</v>
      </c>
      <c r="AV5">
        <v>12.36</v>
      </c>
      <c r="AW5">
        <v>10.111125000000003</v>
      </c>
      <c r="AY5">
        <v>0</v>
      </c>
      <c r="BA5">
        <v>2006</v>
      </c>
      <c r="BB5">
        <v>4</v>
      </c>
      <c r="BC5">
        <v>0</v>
      </c>
      <c r="BD5">
        <v>8.32</v>
      </c>
      <c r="BE5">
        <v>14.45</v>
      </c>
      <c r="BF5">
        <v>11.101666666666667</v>
      </c>
      <c r="BH5">
        <v>0</v>
      </c>
      <c r="BJ5">
        <v>2006</v>
      </c>
      <c r="BK5">
        <v>4</v>
      </c>
      <c r="BL5">
        <v>0</v>
      </c>
      <c r="BM5">
        <v>8.1999999999999993</v>
      </c>
      <c r="BN5">
        <v>21.34</v>
      </c>
      <c r="BO5">
        <v>15.038333333333336</v>
      </c>
      <c r="BQ5">
        <v>0</v>
      </c>
      <c r="BS5">
        <v>2006</v>
      </c>
      <c r="BT5">
        <v>4</v>
      </c>
      <c r="BU5">
        <v>1.7999999999999998</v>
      </c>
      <c r="BV5">
        <v>3.4340000000000002</v>
      </c>
      <c r="BW5">
        <v>17.399999999999999</v>
      </c>
      <c r="BX5">
        <v>9.9175833333333347</v>
      </c>
      <c r="BZ5">
        <v>0</v>
      </c>
      <c r="CB5">
        <v>2006</v>
      </c>
      <c r="CC5">
        <v>4</v>
      </c>
      <c r="CD5">
        <v>4.3999999999999995</v>
      </c>
      <c r="CE5">
        <v>9.27</v>
      </c>
      <c r="CF5">
        <v>11.09</v>
      </c>
      <c r="CG5">
        <v>10.364166666666666</v>
      </c>
      <c r="CI5">
        <v>0</v>
      </c>
    </row>
    <row r="6" spans="1:87" x14ac:dyDescent="0.25">
      <c r="A6" t="b">
        <f t="shared" si="4"/>
        <v>0</v>
      </c>
      <c r="B6">
        <v>2006</v>
      </c>
      <c r="C6">
        <v>121</v>
      </c>
      <c r="D6">
        <v>0</v>
      </c>
      <c r="E6">
        <v>1300</v>
      </c>
      <c r="F6" s="7">
        <v>612.4</v>
      </c>
      <c r="G6" s="7">
        <v>10.08</v>
      </c>
      <c r="H6" s="7">
        <v>0.2</v>
      </c>
      <c r="I6" s="7" t="str">
        <f t="shared" si="0"/>
        <v/>
      </c>
      <c r="J6" s="7" t="str">
        <f t="shared" si="1"/>
        <v/>
      </c>
      <c r="K6" s="7">
        <v>0</v>
      </c>
      <c r="L6" s="7" t="str">
        <f t="shared" si="2"/>
        <v/>
      </c>
      <c r="M6" s="7" t="str">
        <f t="shared" si="3"/>
        <v/>
      </c>
      <c r="N6" s="7">
        <v>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11"/>
      <c r="AD6" s="13">
        <v>124</v>
      </c>
      <c r="AE6" s="9">
        <v>4</v>
      </c>
      <c r="AF6" s="17">
        <f t="shared" ca="1" si="5"/>
        <v>0</v>
      </c>
      <c r="AG6">
        <f t="shared" ca="1" si="6"/>
        <v>0</v>
      </c>
      <c r="AI6">
        <v>2006</v>
      </c>
      <c r="AJ6">
        <v>5</v>
      </c>
      <c r="AK6">
        <v>0</v>
      </c>
      <c r="AL6">
        <v>8.32</v>
      </c>
      <c r="AM6">
        <v>14.45</v>
      </c>
      <c r="AN6">
        <v>11.101666666666667</v>
      </c>
      <c r="AP6">
        <v>0</v>
      </c>
      <c r="AR6">
        <v>2006</v>
      </c>
      <c r="AS6">
        <v>5</v>
      </c>
      <c r="AT6">
        <v>0</v>
      </c>
      <c r="AU6">
        <v>8.32</v>
      </c>
      <c r="AV6">
        <v>14.45</v>
      </c>
      <c r="AW6">
        <v>11.101666666666667</v>
      </c>
      <c r="AY6">
        <v>0</v>
      </c>
      <c r="BA6">
        <v>2006</v>
      </c>
      <c r="BB6">
        <v>5</v>
      </c>
      <c r="BC6">
        <v>0</v>
      </c>
      <c r="BD6">
        <v>5.8849999999999998</v>
      </c>
      <c r="BE6">
        <v>14.99</v>
      </c>
      <c r="BF6">
        <v>10.364000000000001</v>
      </c>
      <c r="BH6">
        <v>0</v>
      </c>
      <c r="BJ6">
        <v>2006</v>
      </c>
      <c r="BK6">
        <v>5</v>
      </c>
      <c r="BL6">
        <v>1.7999999999999998</v>
      </c>
      <c r="BM6">
        <v>3.4340000000000002</v>
      </c>
      <c r="BN6">
        <v>17.399999999999999</v>
      </c>
      <c r="BO6">
        <v>9.9175833333333347</v>
      </c>
      <c r="BQ6">
        <v>0</v>
      </c>
      <c r="BS6">
        <v>2006</v>
      </c>
      <c r="BT6">
        <v>5</v>
      </c>
      <c r="BU6">
        <v>2.4000000000000004</v>
      </c>
      <c r="BV6">
        <v>6.9939999999999998</v>
      </c>
      <c r="BW6">
        <v>13.56</v>
      </c>
      <c r="BX6">
        <v>9.9539166666666681</v>
      </c>
      <c r="BZ6">
        <v>0</v>
      </c>
      <c r="CB6">
        <v>2006</v>
      </c>
      <c r="CC6">
        <v>5</v>
      </c>
      <c r="CD6">
        <v>5.4</v>
      </c>
      <c r="CE6">
        <v>8.2200000000000006</v>
      </c>
      <c r="CF6">
        <v>12.47</v>
      </c>
      <c r="CG6">
        <v>11.113750000000001</v>
      </c>
      <c r="CI6">
        <v>0</v>
      </c>
    </row>
    <row r="7" spans="1:87" x14ac:dyDescent="0.25">
      <c r="A7" t="b">
        <f t="shared" si="4"/>
        <v>0</v>
      </c>
      <c r="B7">
        <v>2006</v>
      </c>
      <c r="C7">
        <v>121</v>
      </c>
      <c r="D7">
        <v>0</v>
      </c>
      <c r="E7">
        <v>1400</v>
      </c>
      <c r="F7" s="7">
        <v>556.70000000000005</v>
      </c>
      <c r="G7" s="7">
        <v>10.52</v>
      </c>
      <c r="H7" s="7">
        <v>0.2</v>
      </c>
      <c r="I7" s="7" t="str">
        <f t="shared" si="0"/>
        <v/>
      </c>
      <c r="J7" s="7" t="str">
        <f t="shared" si="1"/>
        <v/>
      </c>
      <c r="K7" s="7">
        <v>0</v>
      </c>
      <c r="L7" s="7" t="str">
        <f t="shared" si="2"/>
        <v/>
      </c>
      <c r="M7" s="7" t="str">
        <f t="shared" si="3"/>
        <v/>
      </c>
      <c r="N7" s="7">
        <v>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11"/>
      <c r="AD7" s="13">
        <v>125</v>
      </c>
      <c r="AE7" s="9">
        <v>5</v>
      </c>
      <c r="AF7" s="17">
        <f t="shared" ca="1" si="5"/>
        <v>0</v>
      </c>
      <c r="AG7">
        <f t="shared" ca="1" si="6"/>
        <v>0</v>
      </c>
      <c r="AI7">
        <v>2006</v>
      </c>
      <c r="AJ7">
        <v>6</v>
      </c>
      <c r="AK7">
        <v>0</v>
      </c>
      <c r="AL7">
        <v>5.8849999999999998</v>
      </c>
      <c r="AM7">
        <v>14.99</v>
      </c>
      <c r="AN7">
        <v>10.364000000000001</v>
      </c>
      <c r="AP7">
        <v>0</v>
      </c>
      <c r="AR7">
        <v>2006</v>
      </c>
      <c r="AS7">
        <v>6</v>
      </c>
      <c r="AT7">
        <v>0</v>
      </c>
      <c r="AU7">
        <v>5.8849999999999998</v>
      </c>
      <c r="AV7">
        <v>14.99</v>
      </c>
      <c r="AW7">
        <v>10.364000000000001</v>
      </c>
      <c r="AY7">
        <v>0</v>
      </c>
      <c r="BA7">
        <v>2006</v>
      </c>
      <c r="BB7">
        <v>6</v>
      </c>
      <c r="BC7">
        <v>1.4</v>
      </c>
      <c r="BD7">
        <v>9.1999999999999993</v>
      </c>
      <c r="BE7">
        <v>14.95</v>
      </c>
      <c r="BF7">
        <v>12.067083333333334</v>
      </c>
      <c r="BH7">
        <v>0</v>
      </c>
      <c r="BJ7">
        <v>2006</v>
      </c>
      <c r="BK7">
        <v>6</v>
      </c>
      <c r="BL7">
        <v>2.4000000000000004</v>
      </c>
      <c r="BM7">
        <v>6.9939999999999998</v>
      </c>
      <c r="BN7">
        <v>13.56</v>
      </c>
      <c r="BO7">
        <v>9.9539166666666681</v>
      </c>
      <c r="BQ7">
        <v>0</v>
      </c>
      <c r="BS7">
        <v>2006</v>
      </c>
      <c r="BT7">
        <v>6</v>
      </c>
      <c r="BU7">
        <v>4.3999999999999995</v>
      </c>
      <c r="BV7">
        <v>9.27</v>
      </c>
      <c r="BW7">
        <v>11.09</v>
      </c>
      <c r="BX7">
        <v>10.364166666666666</v>
      </c>
      <c r="BZ7">
        <v>0</v>
      </c>
      <c r="CB7">
        <v>2006</v>
      </c>
      <c r="CC7">
        <v>6</v>
      </c>
      <c r="CD7">
        <v>7.2000000000000011</v>
      </c>
      <c r="CE7">
        <v>10.39</v>
      </c>
      <c r="CF7">
        <v>16.329999999999998</v>
      </c>
      <c r="CG7">
        <v>13.211250000000005</v>
      </c>
      <c r="CI7">
        <v>0</v>
      </c>
    </row>
    <row r="8" spans="1:87" x14ac:dyDescent="0.25">
      <c r="A8" t="b">
        <f t="shared" si="4"/>
        <v>0</v>
      </c>
      <c r="B8">
        <v>2006</v>
      </c>
      <c r="C8">
        <v>121</v>
      </c>
      <c r="D8">
        <v>0</v>
      </c>
      <c r="E8">
        <v>1500</v>
      </c>
      <c r="F8" s="7">
        <v>263.7</v>
      </c>
      <c r="G8" s="7">
        <v>9.56</v>
      </c>
      <c r="H8" s="7">
        <v>0.2</v>
      </c>
      <c r="I8" s="7" t="str">
        <f t="shared" si="0"/>
        <v/>
      </c>
      <c r="J8" s="7" t="str">
        <f t="shared" si="1"/>
        <v/>
      </c>
      <c r="K8" s="7">
        <v>0</v>
      </c>
      <c r="L8" s="7" t="str">
        <f t="shared" si="2"/>
        <v/>
      </c>
      <c r="M8" s="7" t="str">
        <f t="shared" si="3"/>
        <v/>
      </c>
      <c r="N8" s="7">
        <v>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11"/>
      <c r="AD8" s="13">
        <v>126</v>
      </c>
      <c r="AE8" s="9">
        <v>6</v>
      </c>
      <c r="AF8" s="17">
        <f t="shared" ca="1" si="5"/>
        <v>0</v>
      </c>
      <c r="AG8">
        <f t="shared" ca="1" si="6"/>
        <v>0</v>
      </c>
      <c r="AI8">
        <v>2006</v>
      </c>
      <c r="AJ8">
        <v>7</v>
      </c>
      <c r="AK8">
        <v>1.4</v>
      </c>
      <c r="AL8">
        <v>9.1999999999999993</v>
      </c>
      <c r="AM8">
        <v>14.95</v>
      </c>
      <c r="AN8">
        <v>12.067083333333334</v>
      </c>
      <c r="AP8">
        <v>0</v>
      </c>
      <c r="AR8">
        <v>2006</v>
      </c>
      <c r="AS8">
        <v>7</v>
      </c>
      <c r="AT8">
        <v>1.4</v>
      </c>
      <c r="AU8">
        <v>9.1999999999999993</v>
      </c>
      <c r="AV8">
        <v>14.95</v>
      </c>
      <c r="AW8">
        <v>12.067083333333334</v>
      </c>
      <c r="AY8">
        <v>0</v>
      </c>
      <c r="BA8">
        <v>2006</v>
      </c>
      <c r="BB8">
        <v>7</v>
      </c>
      <c r="BC8">
        <v>8.1999999999999993</v>
      </c>
      <c r="BD8">
        <v>8.8000000000000007</v>
      </c>
      <c r="BE8">
        <v>17.53</v>
      </c>
      <c r="BF8">
        <v>11.790000000000001</v>
      </c>
      <c r="BH8">
        <v>0</v>
      </c>
      <c r="BJ8">
        <v>2006</v>
      </c>
      <c r="BK8">
        <v>7</v>
      </c>
      <c r="BL8">
        <v>4.3999999999999995</v>
      </c>
      <c r="BM8">
        <v>9.27</v>
      </c>
      <c r="BN8">
        <v>11.09</v>
      </c>
      <c r="BO8">
        <v>10.364166666666666</v>
      </c>
      <c r="BQ8">
        <v>0</v>
      </c>
      <c r="BS8">
        <v>2006</v>
      </c>
      <c r="BT8">
        <v>7</v>
      </c>
      <c r="BU8">
        <v>5.4</v>
      </c>
      <c r="BV8">
        <v>8.2200000000000006</v>
      </c>
      <c r="BW8">
        <v>12.47</v>
      </c>
      <c r="BX8">
        <v>11.113750000000001</v>
      </c>
      <c r="BZ8">
        <v>0</v>
      </c>
      <c r="CB8">
        <v>2006</v>
      </c>
      <c r="CC8">
        <v>7</v>
      </c>
      <c r="CD8">
        <v>7.6000000000000005</v>
      </c>
      <c r="CE8">
        <v>10.29</v>
      </c>
      <c r="CF8">
        <v>13.94</v>
      </c>
      <c r="CG8">
        <v>12.357083333333335</v>
      </c>
      <c r="CI8">
        <v>0</v>
      </c>
    </row>
    <row r="9" spans="1:87" x14ac:dyDescent="0.25">
      <c r="A9" t="b">
        <f t="shared" si="4"/>
        <v>0</v>
      </c>
      <c r="B9">
        <v>2006</v>
      </c>
      <c r="C9">
        <v>121</v>
      </c>
      <c r="D9">
        <v>0</v>
      </c>
      <c r="E9">
        <v>1600</v>
      </c>
      <c r="F9" s="7">
        <v>415.6</v>
      </c>
      <c r="G9" s="7">
        <v>10.51</v>
      </c>
      <c r="H9" s="7">
        <v>0.2</v>
      </c>
      <c r="I9" s="7" t="str">
        <f t="shared" si="0"/>
        <v/>
      </c>
      <c r="J9" s="7" t="str">
        <f t="shared" si="1"/>
        <v/>
      </c>
      <c r="K9" s="7">
        <v>0</v>
      </c>
      <c r="L9" s="7" t="str">
        <f t="shared" si="2"/>
        <v/>
      </c>
      <c r="M9" s="7" t="str">
        <f t="shared" si="3"/>
        <v/>
      </c>
      <c r="N9" s="7">
        <v>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11"/>
      <c r="AD9" s="13">
        <v>127</v>
      </c>
      <c r="AE9" s="9">
        <v>7</v>
      </c>
      <c r="AF9" s="17">
        <f t="shared" ca="1" si="5"/>
        <v>0</v>
      </c>
      <c r="AG9">
        <f t="shared" ca="1" si="6"/>
        <v>0</v>
      </c>
      <c r="AI9">
        <v>2006</v>
      </c>
      <c r="AJ9">
        <v>8</v>
      </c>
      <c r="AK9">
        <v>8.1999999999999993</v>
      </c>
      <c r="AL9">
        <v>8.8000000000000007</v>
      </c>
      <c r="AM9">
        <v>17.53</v>
      </c>
      <c r="AN9">
        <v>11.790000000000001</v>
      </c>
      <c r="AP9">
        <v>0</v>
      </c>
      <c r="AR9">
        <v>2006</v>
      </c>
      <c r="AS9">
        <v>8</v>
      </c>
      <c r="AT9">
        <v>8.1999999999999993</v>
      </c>
      <c r="AU9">
        <v>8.8000000000000007</v>
      </c>
      <c r="AV9">
        <v>17.53</v>
      </c>
      <c r="AW9">
        <v>11.790000000000001</v>
      </c>
      <c r="AY9">
        <v>0</v>
      </c>
      <c r="BA9">
        <v>2006</v>
      </c>
      <c r="BB9">
        <v>8</v>
      </c>
      <c r="BC9">
        <v>0</v>
      </c>
      <c r="BD9">
        <v>8.56</v>
      </c>
      <c r="BE9">
        <v>18.34</v>
      </c>
      <c r="BF9">
        <v>13.11125</v>
      </c>
      <c r="BH9">
        <v>0</v>
      </c>
      <c r="BJ9">
        <v>2006</v>
      </c>
      <c r="BK9">
        <v>8</v>
      </c>
      <c r="BL9">
        <v>5.4</v>
      </c>
      <c r="BM9">
        <v>8.2200000000000006</v>
      </c>
      <c r="BN9">
        <v>12.47</v>
      </c>
      <c r="BO9">
        <v>11.113750000000001</v>
      </c>
      <c r="BQ9">
        <v>0</v>
      </c>
      <c r="BS9">
        <v>2006</v>
      </c>
      <c r="BT9">
        <v>8</v>
      </c>
      <c r="BU9">
        <v>7.2000000000000011</v>
      </c>
      <c r="BV9">
        <v>10.39</v>
      </c>
      <c r="BW9">
        <v>16.329999999999998</v>
      </c>
      <c r="BX9">
        <v>13.211250000000005</v>
      </c>
      <c r="BZ9">
        <v>0</v>
      </c>
      <c r="CB9">
        <v>2006</v>
      </c>
      <c r="CC9">
        <v>8</v>
      </c>
      <c r="CD9">
        <v>1.8</v>
      </c>
      <c r="CE9">
        <v>9.39</v>
      </c>
      <c r="CF9">
        <v>15.77</v>
      </c>
      <c r="CG9">
        <v>11.679583333333333</v>
      </c>
      <c r="CI9">
        <v>0</v>
      </c>
    </row>
    <row r="10" spans="1:87" x14ac:dyDescent="0.25">
      <c r="A10" t="b">
        <f t="shared" si="4"/>
        <v>0</v>
      </c>
      <c r="B10">
        <v>2006</v>
      </c>
      <c r="C10">
        <v>121</v>
      </c>
      <c r="D10">
        <v>0</v>
      </c>
      <c r="E10">
        <v>1700</v>
      </c>
      <c r="F10" s="7">
        <v>371.8</v>
      </c>
      <c r="G10" s="7">
        <v>10.71</v>
      </c>
      <c r="H10" s="7">
        <v>0</v>
      </c>
      <c r="I10" s="7" t="str">
        <f t="shared" si="0"/>
        <v/>
      </c>
      <c r="J10" s="7" t="str">
        <f t="shared" si="1"/>
        <v/>
      </c>
      <c r="K10" s="7">
        <v>0</v>
      </c>
      <c r="L10" s="7" t="str">
        <f t="shared" si="2"/>
        <v/>
      </c>
      <c r="M10" s="7" t="str">
        <f t="shared" si="3"/>
        <v/>
      </c>
      <c r="N10" s="7">
        <v>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11"/>
      <c r="AD10" s="13">
        <v>128</v>
      </c>
      <c r="AE10" s="9">
        <v>8</v>
      </c>
      <c r="AF10" s="17">
        <f t="shared" ca="1" si="5"/>
        <v>0</v>
      </c>
      <c r="AG10">
        <f t="shared" ca="1" si="6"/>
        <v>0</v>
      </c>
      <c r="AI10">
        <v>2006</v>
      </c>
      <c r="AJ10">
        <v>9</v>
      </c>
      <c r="AK10">
        <v>0</v>
      </c>
      <c r="AL10">
        <v>8.56</v>
      </c>
      <c r="AM10">
        <v>18.34</v>
      </c>
      <c r="AN10">
        <v>13.11125</v>
      </c>
      <c r="AP10">
        <v>0</v>
      </c>
      <c r="AR10">
        <v>2006</v>
      </c>
      <c r="AS10">
        <v>9</v>
      </c>
      <c r="AT10">
        <v>0</v>
      </c>
      <c r="AU10">
        <v>8.56</v>
      </c>
      <c r="AV10">
        <v>18.34</v>
      </c>
      <c r="AW10">
        <v>13.11125</v>
      </c>
      <c r="AY10">
        <v>0</v>
      </c>
      <c r="BA10">
        <v>2006</v>
      </c>
      <c r="BB10">
        <v>9</v>
      </c>
      <c r="BC10">
        <v>20</v>
      </c>
      <c r="BD10">
        <v>4.282</v>
      </c>
      <c r="BE10">
        <v>19.670000000000002</v>
      </c>
      <c r="BF10">
        <v>12.426083333333333</v>
      </c>
      <c r="BH10">
        <v>0</v>
      </c>
      <c r="BJ10">
        <v>2006</v>
      </c>
      <c r="BK10">
        <v>9</v>
      </c>
      <c r="BL10">
        <v>7.2000000000000011</v>
      </c>
      <c r="BM10">
        <v>10.39</v>
      </c>
      <c r="BN10">
        <v>16.329999999999998</v>
      </c>
      <c r="BO10">
        <v>13.211250000000005</v>
      </c>
      <c r="BQ10">
        <v>0</v>
      </c>
      <c r="BS10">
        <v>2006</v>
      </c>
      <c r="BT10">
        <v>9</v>
      </c>
      <c r="BU10">
        <v>7.6</v>
      </c>
      <c r="BV10">
        <v>10.29</v>
      </c>
      <c r="BW10">
        <v>13.94</v>
      </c>
      <c r="BX10">
        <v>12.357083333333335</v>
      </c>
      <c r="BZ10">
        <v>0</v>
      </c>
      <c r="CB10">
        <v>2006</v>
      </c>
      <c r="CC10">
        <v>9</v>
      </c>
      <c r="CD10">
        <v>5.4</v>
      </c>
      <c r="CE10">
        <v>9.19</v>
      </c>
      <c r="CF10">
        <v>14.67</v>
      </c>
      <c r="CG10">
        <v>11.255833333333335</v>
      </c>
      <c r="CI10">
        <v>0</v>
      </c>
    </row>
    <row r="11" spans="1:87" x14ac:dyDescent="0.25">
      <c r="A11" t="b">
        <f t="shared" si="4"/>
        <v>0</v>
      </c>
      <c r="B11">
        <v>2006</v>
      </c>
      <c r="C11">
        <v>121</v>
      </c>
      <c r="D11">
        <v>0</v>
      </c>
      <c r="E11">
        <v>1800</v>
      </c>
      <c r="F11" s="7">
        <v>118.6</v>
      </c>
      <c r="G11" s="7">
        <v>9.9</v>
      </c>
      <c r="H11" s="7">
        <v>0.2</v>
      </c>
      <c r="I11" s="7" t="str">
        <f t="shared" si="0"/>
        <v/>
      </c>
      <c r="J11" s="7" t="str">
        <f t="shared" si="1"/>
        <v/>
      </c>
      <c r="K11" s="7">
        <v>0</v>
      </c>
      <c r="L11" s="7" t="str">
        <f t="shared" si="2"/>
        <v/>
      </c>
      <c r="M11" s="7" t="str">
        <f t="shared" si="3"/>
        <v/>
      </c>
      <c r="N11" s="7">
        <v>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11"/>
      <c r="AD11" s="13">
        <v>129</v>
      </c>
      <c r="AE11" s="9">
        <v>9</v>
      </c>
      <c r="AF11" s="17">
        <f t="shared" ca="1" si="5"/>
        <v>0</v>
      </c>
      <c r="AG11">
        <f t="shared" ca="1" si="6"/>
        <v>0</v>
      </c>
      <c r="AI11">
        <v>2006</v>
      </c>
      <c r="AJ11">
        <v>10</v>
      </c>
      <c r="AK11">
        <v>0</v>
      </c>
      <c r="AL11">
        <v>4.282</v>
      </c>
      <c r="AM11">
        <v>19.670000000000002</v>
      </c>
      <c r="AN11">
        <v>12.426083333333333</v>
      </c>
      <c r="AP11">
        <v>0</v>
      </c>
      <c r="AR11">
        <v>2006</v>
      </c>
      <c r="AS11">
        <v>10</v>
      </c>
      <c r="AT11">
        <v>20</v>
      </c>
      <c r="AU11">
        <v>4.282</v>
      </c>
      <c r="AV11">
        <v>19.670000000000002</v>
      </c>
      <c r="AW11">
        <v>12.426083333333333</v>
      </c>
      <c r="AY11">
        <v>0</v>
      </c>
      <c r="BA11">
        <v>2006</v>
      </c>
      <c r="BB11">
        <v>10</v>
      </c>
      <c r="BC11">
        <v>0</v>
      </c>
      <c r="BD11">
        <v>8.1999999999999993</v>
      </c>
      <c r="BE11">
        <v>21.34</v>
      </c>
      <c r="BF11">
        <v>15.038333333333336</v>
      </c>
      <c r="BH11">
        <v>0</v>
      </c>
      <c r="BJ11">
        <v>2006</v>
      </c>
      <c r="BK11">
        <v>10</v>
      </c>
      <c r="BL11">
        <v>27.6</v>
      </c>
      <c r="BM11">
        <v>10.29</v>
      </c>
      <c r="BN11">
        <v>13.94</v>
      </c>
      <c r="BO11">
        <v>12.357083333333335</v>
      </c>
      <c r="BQ11">
        <v>0</v>
      </c>
      <c r="BS11">
        <v>2006</v>
      </c>
      <c r="BT11">
        <v>10</v>
      </c>
      <c r="BU11">
        <v>21.8</v>
      </c>
      <c r="BV11">
        <v>9.39</v>
      </c>
      <c r="BW11">
        <v>15.77</v>
      </c>
      <c r="BX11">
        <v>11.679583333333333</v>
      </c>
      <c r="BZ11">
        <v>0</v>
      </c>
      <c r="CB11">
        <v>2006</v>
      </c>
      <c r="CC11">
        <v>10</v>
      </c>
      <c r="CD11">
        <v>20</v>
      </c>
      <c r="CE11">
        <v>0.33100000000000002</v>
      </c>
      <c r="CF11">
        <v>11.4</v>
      </c>
      <c r="CG11">
        <v>7.0180833333333341</v>
      </c>
      <c r="CI11">
        <v>0</v>
      </c>
    </row>
    <row r="12" spans="1:87" x14ac:dyDescent="0.25">
      <c r="A12" t="b">
        <f t="shared" si="4"/>
        <v>0</v>
      </c>
      <c r="B12">
        <v>2006</v>
      </c>
      <c r="C12">
        <v>121</v>
      </c>
      <c r="D12">
        <v>0</v>
      </c>
      <c r="E12">
        <v>1900</v>
      </c>
      <c r="F12" s="7">
        <v>112.4</v>
      </c>
      <c r="G12" s="7">
        <v>9.6199999999999992</v>
      </c>
      <c r="H12" s="7">
        <v>0</v>
      </c>
      <c r="I12" s="7" t="str">
        <f t="shared" si="0"/>
        <v/>
      </c>
      <c r="J12" s="7" t="str">
        <f t="shared" si="1"/>
        <v/>
      </c>
      <c r="K12" s="7">
        <v>0</v>
      </c>
      <c r="L12" s="7" t="str">
        <f t="shared" si="2"/>
        <v/>
      </c>
      <c r="M12" s="7" t="str">
        <f t="shared" si="3"/>
        <v/>
      </c>
      <c r="N12" s="7">
        <v>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11"/>
      <c r="AD12" s="13">
        <v>130</v>
      </c>
      <c r="AE12" s="9">
        <v>10</v>
      </c>
      <c r="AF12" s="17">
        <f t="shared" ca="1" si="5"/>
        <v>0</v>
      </c>
      <c r="AG12">
        <f t="shared" ca="1" si="6"/>
        <v>0</v>
      </c>
      <c r="AI12">
        <v>2006</v>
      </c>
      <c r="AJ12">
        <v>11</v>
      </c>
      <c r="AK12">
        <v>0</v>
      </c>
      <c r="AL12">
        <v>8.1999999999999993</v>
      </c>
      <c r="AM12">
        <v>21.34</v>
      </c>
      <c r="AN12">
        <v>15.038333333333336</v>
      </c>
      <c r="AP12">
        <v>0</v>
      </c>
      <c r="AR12">
        <v>2006</v>
      </c>
      <c r="AS12">
        <v>11</v>
      </c>
      <c r="AT12">
        <v>0</v>
      </c>
      <c r="AU12">
        <v>8.1999999999999993</v>
      </c>
      <c r="AV12">
        <v>21.34</v>
      </c>
      <c r="AW12">
        <v>15.038333333333336</v>
      </c>
      <c r="AY12">
        <v>0</v>
      </c>
      <c r="BA12">
        <v>2006</v>
      </c>
      <c r="BB12">
        <v>11</v>
      </c>
      <c r="BC12">
        <v>1.7999999999999998</v>
      </c>
      <c r="BD12">
        <v>3.4340000000000002</v>
      </c>
      <c r="BE12">
        <v>17.399999999999999</v>
      </c>
      <c r="BF12">
        <v>9.9175833333333347</v>
      </c>
      <c r="BH12">
        <v>0</v>
      </c>
      <c r="BJ12">
        <v>2006</v>
      </c>
      <c r="BK12">
        <v>11</v>
      </c>
      <c r="BL12">
        <v>1.8</v>
      </c>
      <c r="BM12">
        <v>9.39</v>
      </c>
      <c r="BN12">
        <v>15.77</v>
      </c>
      <c r="BO12">
        <v>11.679583333333333</v>
      </c>
      <c r="BQ12">
        <v>0</v>
      </c>
      <c r="BS12">
        <v>2006</v>
      </c>
      <c r="BT12">
        <v>11</v>
      </c>
      <c r="BU12">
        <v>5.4</v>
      </c>
      <c r="BV12">
        <v>9.19</v>
      </c>
      <c r="BW12">
        <v>14.67</v>
      </c>
      <c r="BX12">
        <v>11.255833333333335</v>
      </c>
      <c r="BZ12">
        <v>0</v>
      </c>
      <c r="CB12">
        <v>2006</v>
      </c>
      <c r="CC12">
        <v>11</v>
      </c>
      <c r="CD12">
        <v>8</v>
      </c>
      <c r="CE12">
        <v>5.9249999999999998</v>
      </c>
      <c r="CF12">
        <v>9.18</v>
      </c>
      <c r="CG12">
        <v>6.7622916666666661</v>
      </c>
      <c r="CI12">
        <v>0</v>
      </c>
    </row>
    <row r="13" spans="1:87" x14ac:dyDescent="0.25">
      <c r="A13" t="b">
        <f t="shared" si="4"/>
        <v>0</v>
      </c>
      <c r="B13">
        <v>2006</v>
      </c>
      <c r="C13">
        <v>121</v>
      </c>
      <c r="D13">
        <v>0</v>
      </c>
      <c r="E13">
        <v>2000</v>
      </c>
      <c r="F13" s="7">
        <v>22.18</v>
      </c>
      <c r="G13" s="7">
        <v>8.33</v>
      </c>
      <c r="H13" s="7">
        <v>0.2</v>
      </c>
      <c r="I13" s="7" t="str">
        <f t="shared" si="0"/>
        <v/>
      </c>
      <c r="J13" s="7" t="str">
        <f t="shared" si="1"/>
        <v/>
      </c>
      <c r="K13" s="7">
        <v>0</v>
      </c>
      <c r="L13" s="7" t="str">
        <f t="shared" si="2"/>
        <v/>
      </c>
      <c r="M13" s="7" t="str">
        <f t="shared" si="3"/>
        <v/>
      </c>
      <c r="N13" s="7">
        <v>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11"/>
      <c r="AD13" s="13">
        <v>131</v>
      </c>
      <c r="AE13" s="9">
        <v>11</v>
      </c>
      <c r="AF13" s="17">
        <f t="shared" ca="1" si="5"/>
        <v>0</v>
      </c>
      <c r="AG13">
        <f t="shared" ca="1" si="6"/>
        <v>0</v>
      </c>
      <c r="AI13">
        <v>2006</v>
      </c>
      <c r="AJ13">
        <v>12</v>
      </c>
      <c r="AK13">
        <v>1.7999999999999998</v>
      </c>
      <c r="AL13">
        <v>3.4340000000000002</v>
      </c>
      <c r="AM13">
        <v>17.399999999999999</v>
      </c>
      <c r="AN13">
        <v>9.9175833333333347</v>
      </c>
      <c r="AP13">
        <v>0</v>
      </c>
      <c r="AR13">
        <v>2006</v>
      </c>
      <c r="AS13">
        <v>12</v>
      </c>
      <c r="AT13">
        <v>1.7999999999999998</v>
      </c>
      <c r="AU13">
        <v>3.4340000000000002</v>
      </c>
      <c r="AV13">
        <v>17.399999999999999</v>
      </c>
      <c r="AW13">
        <v>9.9175833333333347</v>
      </c>
      <c r="AY13">
        <v>0</v>
      </c>
      <c r="BA13">
        <v>2006</v>
      </c>
      <c r="BB13">
        <v>12</v>
      </c>
      <c r="BC13">
        <v>2.4000000000000004</v>
      </c>
      <c r="BD13">
        <v>6.9939999999999998</v>
      </c>
      <c r="BE13">
        <v>13.56</v>
      </c>
      <c r="BF13">
        <v>9.9539166666666681</v>
      </c>
      <c r="BH13">
        <v>0</v>
      </c>
      <c r="BJ13">
        <v>2006</v>
      </c>
      <c r="BK13">
        <v>12</v>
      </c>
      <c r="BL13">
        <v>5.4</v>
      </c>
      <c r="BM13">
        <v>9.19</v>
      </c>
      <c r="BN13">
        <v>14.67</v>
      </c>
      <c r="BO13">
        <v>11.255833333333335</v>
      </c>
      <c r="BQ13">
        <v>0</v>
      </c>
      <c r="BS13">
        <v>2006</v>
      </c>
      <c r="BT13">
        <v>12</v>
      </c>
      <c r="BU13">
        <v>0</v>
      </c>
      <c r="BV13">
        <v>0.33100000000000002</v>
      </c>
      <c r="BW13">
        <v>11.4</v>
      </c>
      <c r="BX13">
        <v>7.0180833333333341</v>
      </c>
      <c r="BZ13">
        <v>0</v>
      </c>
      <c r="CB13">
        <v>2006</v>
      </c>
      <c r="CC13">
        <v>12</v>
      </c>
      <c r="CD13">
        <v>0.2</v>
      </c>
      <c r="CE13">
        <v>1.74</v>
      </c>
      <c r="CF13">
        <v>10.06</v>
      </c>
      <c r="CG13">
        <v>5.6632500000000014</v>
      </c>
      <c r="CI13">
        <v>0</v>
      </c>
    </row>
    <row r="14" spans="1:87" x14ac:dyDescent="0.25">
      <c r="A14" t="b">
        <f t="shared" si="4"/>
        <v>0</v>
      </c>
      <c r="B14">
        <v>2006</v>
      </c>
      <c r="C14">
        <v>121</v>
      </c>
      <c r="D14">
        <v>0</v>
      </c>
      <c r="E14">
        <v>2100</v>
      </c>
      <c r="F14" s="7">
        <v>-1.2949999999999999</v>
      </c>
      <c r="G14" s="7">
        <v>7.86</v>
      </c>
      <c r="H14" s="7">
        <v>0</v>
      </c>
      <c r="I14" s="7" t="str">
        <f t="shared" si="0"/>
        <v/>
      </c>
      <c r="J14" s="7" t="str">
        <f t="shared" si="1"/>
        <v/>
      </c>
      <c r="K14" s="7">
        <v>0</v>
      </c>
      <c r="L14" s="7" t="str">
        <f t="shared" si="2"/>
        <v/>
      </c>
      <c r="M14" s="7" t="str">
        <f t="shared" si="3"/>
        <v/>
      </c>
      <c r="N14" s="7">
        <v>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11"/>
      <c r="AD14" s="13">
        <v>132</v>
      </c>
      <c r="AE14" s="9">
        <v>12</v>
      </c>
      <c r="AF14" s="17">
        <f t="shared" ca="1" si="5"/>
        <v>0</v>
      </c>
      <c r="AG14">
        <f t="shared" ca="1" si="6"/>
        <v>0</v>
      </c>
      <c r="AI14">
        <v>2006</v>
      </c>
      <c r="AJ14">
        <v>13</v>
      </c>
      <c r="AK14">
        <v>2.4000000000000004</v>
      </c>
      <c r="AL14">
        <v>6.9939999999999998</v>
      </c>
      <c r="AM14">
        <v>13.56</v>
      </c>
      <c r="AN14">
        <v>9.9539166666666681</v>
      </c>
      <c r="AP14">
        <v>0</v>
      </c>
      <c r="AR14">
        <v>2006</v>
      </c>
      <c r="AS14">
        <v>13</v>
      </c>
      <c r="AT14">
        <v>2.4000000000000004</v>
      </c>
      <c r="AU14">
        <v>6.9939999999999998</v>
      </c>
      <c r="AV14">
        <v>13.56</v>
      </c>
      <c r="AW14">
        <v>9.9539166666666681</v>
      </c>
      <c r="AY14">
        <v>0</v>
      </c>
      <c r="BA14">
        <v>2006</v>
      </c>
      <c r="BB14">
        <v>13</v>
      </c>
      <c r="BC14">
        <v>4.3999999999999995</v>
      </c>
      <c r="BD14">
        <v>9.27</v>
      </c>
      <c r="BE14">
        <v>11.09</v>
      </c>
      <c r="BF14">
        <v>10.364166666666666</v>
      </c>
      <c r="BH14">
        <v>0</v>
      </c>
      <c r="BJ14">
        <v>2006</v>
      </c>
      <c r="BK14">
        <v>13</v>
      </c>
      <c r="BL14">
        <v>0</v>
      </c>
      <c r="BM14">
        <v>0.33100000000000002</v>
      </c>
      <c r="BN14">
        <v>11.4</v>
      </c>
      <c r="BO14">
        <v>7.0180833333333341</v>
      </c>
      <c r="BQ14">
        <v>0</v>
      </c>
      <c r="BS14">
        <v>2006</v>
      </c>
      <c r="BT14">
        <v>13</v>
      </c>
      <c r="BU14">
        <v>8</v>
      </c>
      <c r="BV14">
        <v>5.9249999999999998</v>
      </c>
      <c r="BW14">
        <v>9.18</v>
      </c>
      <c r="BX14">
        <v>6.7622916666666661</v>
      </c>
      <c r="BZ14">
        <v>0</v>
      </c>
      <c r="CB14">
        <v>2006</v>
      </c>
      <c r="CC14">
        <v>13</v>
      </c>
      <c r="CD14">
        <v>6.2000000000000011</v>
      </c>
      <c r="CE14">
        <v>4.4109999999999996</v>
      </c>
      <c r="CF14">
        <v>11.61</v>
      </c>
      <c r="CG14">
        <v>7.225416666666665</v>
      </c>
      <c r="CI14">
        <v>0</v>
      </c>
    </row>
    <row r="15" spans="1:87" x14ac:dyDescent="0.25">
      <c r="A15" t="b">
        <f t="shared" si="4"/>
        <v>0</v>
      </c>
      <c r="B15">
        <v>2006</v>
      </c>
      <c r="C15">
        <v>121</v>
      </c>
      <c r="D15">
        <v>0</v>
      </c>
      <c r="E15">
        <v>2200</v>
      </c>
      <c r="F15" s="7">
        <v>-2.6219999999999999</v>
      </c>
      <c r="G15" s="7">
        <v>6.7080000000000002</v>
      </c>
      <c r="H15" s="7">
        <v>0.2</v>
      </c>
      <c r="I15" s="7" t="str">
        <f t="shared" si="0"/>
        <v/>
      </c>
      <c r="J15" s="7" t="str">
        <f t="shared" si="1"/>
        <v/>
      </c>
      <c r="K15" s="7">
        <v>0</v>
      </c>
      <c r="L15" s="7" t="str">
        <f t="shared" si="2"/>
        <v/>
      </c>
      <c r="M15" s="7" t="str">
        <f t="shared" si="3"/>
        <v/>
      </c>
      <c r="N15" s="7">
        <v>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11"/>
      <c r="AD15" s="13">
        <v>133</v>
      </c>
      <c r="AE15" s="9">
        <v>13</v>
      </c>
      <c r="AF15" s="17">
        <f t="shared" ca="1" si="5"/>
        <v>0</v>
      </c>
      <c r="AG15">
        <f t="shared" ca="1" si="6"/>
        <v>0</v>
      </c>
      <c r="AI15">
        <v>2006</v>
      </c>
      <c r="AJ15">
        <v>14</v>
      </c>
      <c r="AK15">
        <v>4.3999999999999995</v>
      </c>
      <c r="AL15">
        <v>9.27</v>
      </c>
      <c r="AM15">
        <v>11.09</v>
      </c>
      <c r="AN15">
        <v>10.364166666666666</v>
      </c>
      <c r="AP15">
        <v>0</v>
      </c>
      <c r="AR15">
        <v>2006</v>
      </c>
      <c r="AS15">
        <v>14</v>
      </c>
      <c r="AT15">
        <v>4.3999999999999995</v>
      </c>
      <c r="AU15">
        <v>9.27</v>
      </c>
      <c r="AV15">
        <v>11.09</v>
      </c>
      <c r="AW15">
        <v>10.364166666666666</v>
      </c>
      <c r="AY15">
        <v>0</v>
      </c>
      <c r="BA15">
        <v>2006</v>
      </c>
      <c r="BB15">
        <v>14</v>
      </c>
      <c r="BC15">
        <v>5.4</v>
      </c>
      <c r="BD15">
        <v>8.2200000000000006</v>
      </c>
      <c r="BE15">
        <v>12.47</v>
      </c>
      <c r="BF15">
        <v>11.113750000000001</v>
      </c>
      <c r="BH15">
        <v>0</v>
      </c>
      <c r="BJ15">
        <v>2006</v>
      </c>
      <c r="BK15">
        <v>14</v>
      </c>
      <c r="BL15">
        <v>8</v>
      </c>
      <c r="BM15">
        <v>5.9249999999999998</v>
      </c>
      <c r="BN15">
        <v>9.18</v>
      </c>
      <c r="BO15">
        <v>6.7622916666666661</v>
      </c>
      <c r="BQ15">
        <v>0</v>
      </c>
      <c r="BS15">
        <v>2006</v>
      </c>
      <c r="BT15">
        <v>14</v>
      </c>
      <c r="BU15">
        <v>0.2</v>
      </c>
      <c r="BV15">
        <v>1.74</v>
      </c>
      <c r="BW15">
        <v>10.06</v>
      </c>
      <c r="BX15">
        <v>5.6632500000000014</v>
      </c>
      <c r="BZ15">
        <v>0</v>
      </c>
      <c r="CB15">
        <v>2006</v>
      </c>
      <c r="CC15">
        <v>14</v>
      </c>
      <c r="CD15">
        <v>0.8</v>
      </c>
      <c r="CE15">
        <v>1.2569999999999999</v>
      </c>
      <c r="CF15">
        <v>12.02</v>
      </c>
      <c r="CG15">
        <v>7.8748333333333314</v>
      </c>
      <c r="CI15">
        <v>0</v>
      </c>
    </row>
    <row r="16" spans="1:87" x14ac:dyDescent="0.25">
      <c r="A16" t="b">
        <f t="shared" si="4"/>
        <v>0</v>
      </c>
      <c r="B16">
        <v>2006</v>
      </c>
      <c r="C16">
        <v>121</v>
      </c>
      <c r="D16">
        <v>0</v>
      </c>
      <c r="E16">
        <v>2300</v>
      </c>
      <c r="F16" s="7">
        <v>-3.27</v>
      </c>
      <c r="G16" s="7">
        <v>5.5149999999999997</v>
      </c>
      <c r="H16" s="7">
        <v>0</v>
      </c>
      <c r="I16" s="7" t="str">
        <f t="shared" si="0"/>
        <v/>
      </c>
      <c r="J16" s="7" t="str">
        <f t="shared" si="1"/>
        <v/>
      </c>
      <c r="K16" s="7">
        <v>0</v>
      </c>
      <c r="L16" s="7" t="str">
        <f t="shared" si="2"/>
        <v/>
      </c>
      <c r="M16" s="7" t="str">
        <f t="shared" si="3"/>
        <v/>
      </c>
      <c r="N16" s="7">
        <v>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11"/>
      <c r="AD16" s="13">
        <v>134</v>
      </c>
      <c r="AE16" s="9">
        <v>14</v>
      </c>
      <c r="AF16" s="17">
        <f t="shared" ca="1" si="5"/>
        <v>0</v>
      </c>
      <c r="AG16">
        <f t="shared" ca="1" si="6"/>
        <v>0</v>
      </c>
      <c r="AI16">
        <v>2006</v>
      </c>
      <c r="AJ16">
        <v>15</v>
      </c>
      <c r="AK16">
        <v>5.4</v>
      </c>
      <c r="AL16">
        <v>8.2200000000000006</v>
      </c>
      <c r="AM16">
        <v>12.47</v>
      </c>
      <c r="AN16">
        <v>11.113750000000001</v>
      </c>
      <c r="AP16">
        <v>0</v>
      </c>
      <c r="AR16">
        <v>2006</v>
      </c>
      <c r="AS16">
        <v>15</v>
      </c>
      <c r="AT16">
        <v>5.4</v>
      </c>
      <c r="AU16">
        <v>8.2200000000000006</v>
      </c>
      <c r="AV16">
        <v>12.47</v>
      </c>
      <c r="AW16">
        <v>11.113750000000001</v>
      </c>
      <c r="AY16">
        <v>0</v>
      </c>
      <c r="BA16">
        <v>2006</v>
      </c>
      <c r="BB16">
        <v>15</v>
      </c>
      <c r="BC16">
        <v>7.2000000000000011</v>
      </c>
      <c r="BD16">
        <v>10.39</v>
      </c>
      <c r="BE16">
        <v>16.329999999999998</v>
      </c>
      <c r="BF16">
        <v>13.211250000000005</v>
      </c>
      <c r="BH16">
        <v>0</v>
      </c>
      <c r="BJ16">
        <v>2006</v>
      </c>
      <c r="BK16">
        <v>15</v>
      </c>
      <c r="BL16">
        <v>0.2</v>
      </c>
      <c r="BM16">
        <v>1.74</v>
      </c>
      <c r="BN16">
        <v>10.06</v>
      </c>
      <c r="BO16">
        <v>5.6632500000000014</v>
      </c>
      <c r="BQ16">
        <v>0</v>
      </c>
      <c r="BS16">
        <v>2006</v>
      </c>
      <c r="BT16">
        <v>15</v>
      </c>
      <c r="BU16">
        <v>6.2000000000000011</v>
      </c>
      <c r="BV16">
        <v>4.4109999999999996</v>
      </c>
      <c r="BW16">
        <v>11.61</v>
      </c>
      <c r="BX16">
        <v>7.225416666666665</v>
      </c>
      <c r="BZ16">
        <v>0</v>
      </c>
      <c r="CB16">
        <v>2006</v>
      </c>
      <c r="CC16">
        <v>15</v>
      </c>
      <c r="CD16">
        <v>7</v>
      </c>
      <c r="CE16">
        <v>8.9499999999999993</v>
      </c>
      <c r="CF16">
        <v>15.1</v>
      </c>
      <c r="CG16">
        <v>11.679583333333333</v>
      </c>
      <c r="CI16">
        <v>0</v>
      </c>
    </row>
    <row r="17" spans="1:87" x14ac:dyDescent="0.25">
      <c r="A17" t="b">
        <f t="shared" si="4"/>
        <v>0</v>
      </c>
      <c r="B17">
        <v>2006</v>
      </c>
      <c r="C17">
        <v>121</v>
      </c>
      <c r="D17">
        <v>0</v>
      </c>
      <c r="E17">
        <v>2400</v>
      </c>
      <c r="F17" s="7">
        <v>-2.8639999999999999</v>
      </c>
      <c r="G17" s="7">
        <v>5.319</v>
      </c>
      <c r="H17" s="7">
        <v>0</v>
      </c>
      <c r="I17" s="7" t="str">
        <f t="shared" si="0"/>
        <v/>
      </c>
      <c r="J17" s="7" t="str">
        <f t="shared" si="1"/>
        <v/>
      </c>
      <c r="K17" s="7">
        <v>0</v>
      </c>
      <c r="L17" s="7" t="str">
        <f t="shared" si="2"/>
        <v/>
      </c>
      <c r="M17" s="7" t="str">
        <f t="shared" si="3"/>
        <v/>
      </c>
      <c r="N17" s="7">
        <v>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11"/>
      <c r="AD17" s="13">
        <v>135</v>
      </c>
      <c r="AE17" s="9">
        <v>15</v>
      </c>
      <c r="AF17" s="17">
        <f t="shared" ca="1" si="5"/>
        <v>0</v>
      </c>
      <c r="AG17">
        <f t="shared" ca="1" si="6"/>
        <v>0</v>
      </c>
      <c r="AI17">
        <v>2006</v>
      </c>
      <c r="AJ17">
        <v>16</v>
      </c>
      <c r="AK17">
        <v>7.2000000000000011</v>
      </c>
      <c r="AL17">
        <v>10.39</v>
      </c>
      <c r="AM17">
        <v>16.329999999999998</v>
      </c>
      <c r="AN17">
        <v>13.211250000000005</v>
      </c>
      <c r="AP17">
        <v>0</v>
      </c>
      <c r="AR17">
        <v>2006</v>
      </c>
      <c r="AS17">
        <v>16</v>
      </c>
      <c r="AT17">
        <v>7.2000000000000011</v>
      </c>
      <c r="AU17">
        <v>10.39</v>
      </c>
      <c r="AV17">
        <v>16.329999999999998</v>
      </c>
      <c r="AW17">
        <v>13.211250000000005</v>
      </c>
      <c r="AY17">
        <v>0</v>
      </c>
      <c r="BA17">
        <v>2006</v>
      </c>
      <c r="BB17">
        <v>16</v>
      </c>
      <c r="BC17">
        <v>7.6000000000000005</v>
      </c>
      <c r="BD17">
        <v>10.29</v>
      </c>
      <c r="BE17">
        <v>13.94</v>
      </c>
      <c r="BF17">
        <v>12.357083333333335</v>
      </c>
      <c r="BH17">
        <v>0</v>
      </c>
      <c r="BJ17">
        <v>2006</v>
      </c>
      <c r="BK17">
        <v>16</v>
      </c>
      <c r="BL17">
        <v>6.2000000000000011</v>
      </c>
      <c r="BM17">
        <v>4.4109999999999996</v>
      </c>
      <c r="BN17">
        <v>11.61</v>
      </c>
      <c r="BO17">
        <v>7.225416666666665</v>
      </c>
      <c r="BQ17">
        <v>0</v>
      </c>
      <c r="BS17">
        <v>2006</v>
      </c>
      <c r="BT17">
        <v>16</v>
      </c>
      <c r="BU17">
        <v>0.8</v>
      </c>
      <c r="BV17">
        <v>1.2569999999999999</v>
      </c>
      <c r="BW17">
        <v>12.02</v>
      </c>
      <c r="BX17">
        <v>7.8748333333333314</v>
      </c>
      <c r="BZ17">
        <v>0</v>
      </c>
      <c r="CB17">
        <v>2006</v>
      </c>
      <c r="CC17">
        <v>16</v>
      </c>
      <c r="CD17">
        <v>0.4</v>
      </c>
      <c r="CE17">
        <v>10.220000000000001</v>
      </c>
      <c r="CF17">
        <v>17.72</v>
      </c>
      <c r="CG17">
        <v>13.275833333333338</v>
      </c>
      <c r="CI17">
        <v>0</v>
      </c>
    </row>
    <row r="18" spans="1:87" x14ac:dyDescent="0.25">
      <c r="A18" t="b">
        <f t="shared" si="4"/>
        <v>1</v>
      </c>
      <c r="B18">
        <v>2006</v>
      </c>
      <c r="C18">
        <v>122</v>
      </c>
      <c r="D18">
        <v>0</v>
      </c>
      <c r="E18">
        <v>100</v>
      </c>
      <c r="F18" s="7">
        <v>-1.383</v>
      </c>
      <c r="G18" s="7">
        <v>6.5519999999999996</v>
      </c>
      <c r="H18" s="7">
        <v>0</v>
      </c>
      <c r="I18" s="7">
        <f t="shared" si="0"/>
        <v>1</v>
      </c>
      <c r="J18" s="7">
        <f t="shared" si="1"/>
        <v>52.590875000000004</v>
      </c>
      <c r="K18" s="7">
        <v>0</v>
      </c>
      <c r="L18" s="7">
        <f t="shared" si="2"/>
        <v>10.39</v>
      </c>
      <c r="M18" s="7">
        <f t="shared" si="3"/>
        <v>6.5519999999999996</v>
      </c>
      <c r="N18" s="7">
        <v>0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11"/>
      <c r="AD18" s="13">
        <v>136</v>
      </c>
      <c r="AE18" s="9">
        <v>16</v>
      </c>
      <c r="AF18" s="17">
        <f t="shared" ca="1" si="5"/>
        <v>0</v>
      </c>
      <c r="AG18">
        <f t="shared" ca="1" si="6"/>
        <v>0</v>
      </c>
      <c r="AI18">
        <v>2006</v>
      </c>
      <c r="AJ18">
        <v>17</v>
      </c>
      <c r="AK18">
        <v>7.6000000000000005</v>
      </c>
      <c r="AL18">
        <v>10.29</v>
      </c>
      <c r="AM18">
        <v>13.94</v>
      </c>
      <c r="AN18">
        <v>12.357083333333335</v>
      </c>
      <c r="AP18">
        <v>0</v>
      </c>
      <c r="AR18">
        <v>2006</v>
      </c>
      <c r="AS18">
        <v>17</v>
      </c>
      <c r="AT18">
        <v>7.6000000000000005</v>
      </c>
      <c r="AU18">
        <v>10.29</v>
      </c>
      <c r="AV18">
        <v>13.94</v>
      </c>
      <c r="AW18">
        <v>12.357083333333335</v>
      </c>
      <c r="AY18">
        <v>0</v>
      </c>
      <c r="BA18">
        <v>2006</v>
      </c>
      <c r="BB18">
        <v>17</v>
      </c>
      <c r="BC18">
        <v>1.8</v>
      </c>
      <c r="BD18">
        <v>9.39</v>
      </c>
      <c r="BE18">
        <v>15.77</v>
      </c>
      <c r="BF18">
        <v>11.679583333333333</v>
      </c>
      <c r="BH18">
        <v>0</v>
      </c>
      <c r="BJ18">
        <v>2006</v>
      </c>
      <c r="BK18">
        <v>17</v>
      </c>
      <c r="BL18">
        <v>0.8</v>
      </c>
      <c r="BM18">
        <v>1.2569999999999999</v>
      </c>
      <c r="BN18">
        <v>12.02</v>
      </c>
      <c r="BO18">
        <v>7.8748333333333314</v>
      </c>
      <c r="BQ18">
        <v>0</v>
      </c>
      <c r="BS18">
        <v>2006</v>
      </c>
      <c r="BT18">
        <v>17</v>
      </c>
      <c r="BU18">
        <v>7</v>
      </c>
      <c r="BV18">
        <v>8.9499999999999993</v>
      </c>
      <c r="BW18">
        <v>15.1</v>
      </c>
      <c r="BX18">
        <v>11.679583333333333</v>
      </c>
      <c r="BZ18">
        <v>0</v>
      </c>
      <c r="CB18">
        <v>2006</v>
      </c>
      <c r="CC18">
        <v>17</v>
      </c>
      <c r="CD18">
        <v>4.6000000000000005</v>
      </c>
      <c r="CE18">
        <v>8.36</v>
      </c>
      <c r="CF18">
        <v>16.29</v>
      </c>
      <c r="CG18">
        <v>11.808750000000002</v>
      </c>
      <c r="CI18">
        <v>0</v>
      </c>
    </row>
    <row r="19" spans="1:87" x14ac:dyDescent="0.25">
      <c r="A19" t="b">
        <f t="shared" si="4"/>
        <v>0</v>
      </c>
      <c r="B19">
        <v>2006</v>
      </c>
      <c r="C19">
        <v>122</v>
      </c>
      <c r="D19">
        <v>0</v>
      </c>
      <c r="E19">
        <v>200</v>
      </c>
      <c r="F19" s="7">
        <v>-1.1779999999999999</v>
      </c>
      <c r="G19" s="7">
        <v>7.28</v>
      </c>
      <c r="H19" s="7">
        <v>0.2</v>
      </c>
      <c r="I19" s="7" t="str">
        <f t="shared" si="0"/>
        <v/>
      </c>
      <c r="J19" s="7" t="str">
        <f t="shared" si="1"/>
        <v/>
      </c>
      <c r="K19" s="7">
        <v>0</v>
      </c>
      <c r="L19" s="7" t="str">
        <f t="shared" si="2"/>
        <v/>
      </c>
      <c r="M19" s="7" t="str">
        <f t="shared" si="3"/>
        <v/>
      </c>
      <c r="N19" s="7">
        <v>0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11"/>
      <c r="AD19" s="13">
        <v>137</v>
      </c>
      <c r="AE19" s="9">
        <v>17</v>
      </c>
      <c r="AF19" s="17">
        <f t="shared" ca="1" si="5"/>
        <v>0</v>
      </c>
      <c r="AG19">
        <f t="shared" ca="1" si="6"/>
        <v>0</v>
      </c>
      <c r="AI19">
        <v>2006</v>
      </c>
      <c r="AJ19">
        <v>18</v>
      </c>
      <c r="AK19">
        <v>1.8</v>
      </c>
      <c r="AL19">
        <v>9.39</v>
      </c>
      <c r="AM19">
        <v>15.77</v>
      </c>
      <c r="AN19">
        <v>11.679583333333333</v>
      </c>
      <c r="AP19">
        <v>0</v>
      </c>
      <c r="AR19">
        <v>2006</v>
      </c>
      <c r="AS19">
        <v>18</v>
      </c>
      <c r="AT19">
        <v>1.8</v>
      </c>
      <c r="AU19">
        <v>9.39</v>
      </c>
      <c r="AV19">
        <v>15.77</v>
      </c>
      <c r="AW19">
        <v>11.679583333333333</v>
      </c>
      <c r="AY19">
        <v>0</v>
      </c>
      <c r="BA19">
        <v>2006</v>
      </c>
      <c r="BB19">
        <v>18</v>
      </c>
      <c r="BC19">
        <v>5.4</v>
      </c>
      <c r="BD19">
        <v>9.19</v>
      </c>
      <c r="BE19">
        <v>14.67</v>
      </c>
      <c r="BF19">
        <v>11.255833333333335</v>
      </c>
      <c r="BH19">
        <v>0</v>
      </c>
      <c r="BJ19">
        <v>2006</v>
      </c>
      <c r="BK19">
        <v>18</v>
      </c>
      <c r="BL19">
        <v>7</v>
      </c>
      <c r="BM19">
        <v>8.9499999999999993</v>
      </c>
      <c r="BN19">
        <v>15.1</v>
      </c>
      <c r="BO19">
        <v>11.679583333333333</v>
      </c>
      <c r="BQ19">
        <v>0</v>
      </c>
      <c r="BS19">
        <v>2006</v>
      </c>
      <c r="BT19">
        <v>18</v>
      </c>
      <c r="BU19">
        <v>0.4</v>
      </c>
      <c r="BV19">
        <v>10.220000000000001</v>
      </c>
      <c r="BW19">
        <v>17.72</v>
      </c>
      <c r="BX19">
        <v>13.275833333333338</v>
      </c>
      <c r="BZ19">
        <v>0</v>
      </c>
      <c r="CB19">
        <v>2006</v>
      </c>
      <c r="CC19">
        <v>18</v>
      </c>
      <c r="CD19">
        <v>0</v>
      </c>
      <c r="CE19">
        <v>5.51</v>
      </c>
      <c r="CF19">
        <v>14.65</v>
      </c>
      <c r="CG19">
        <v>10.031416666666665</v>
      </c>
      <c r="CI19">
        <v>0</v>
      </c>
    </row>
    <row r="20" spans="1:87" x14ac:dyDescent="0.25">
      <c r="A20" t="b">
        <f t="shared" si="4"/>
        <v>0</v>
      </c>
      <c r="B20">
        <v>2006</v>
      </c>
      <c r="C20">
        <v>122</v>
      </c>
      <c r="D20">
        <v>0</v>
      </c>
      <c r="E20">
        <v>300</v>
      </c>
      <c r="F20" s="7">
        <v>-1.601</v>
      </c>
      <c r="G20" s="7">
        <v>8.01</v>
      </c>
      <c r="H20" s="7">
        <v>0</v>
      </c>
      <c r="I20" s="7" t="str">
        <f t="shared" si="0"/>
        <v/>
      </c>
      <c r="J20" s="7" t="str">
        <f t="shared" si="1"/>
        <v/>
      </c>
      <c r="K20" s="7">
        <v>0</v>
      </c>
      <c r="L20" s="7" t="str">
        <f t="shared" si="2"/>
        <v/>
      </c>
      <c r="M20" s="7" t="str">
        <f t="shared" si="3"/>
        <v/>
      </c>
      <c r="N20" s="7">
        <v>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11"/>
      <c r="AD20" s="13">
        <v>138</v>
      </c>
      <c r="AE20" s="9">
        <v>18</v>
      </c>
      <c r="AF20" s="17">
        <f t="shared" ca="1" si="5"/>
        <v>0</v>
      </c>
      <c r="AG20">
        <f t="shared" ca="1" si="6"/>
        <v>0</v>
      </c>
      <c r="AI20">
        <v>2006</v>
      </c>
      <c r="AJ20">
        <v>19</v>
      </c>
      <c r="AK20">
        <v>5.4</v>
      </c>
      <c r="AL20">
        <v>9.19</v>
      </c>
      <c r="AM20">
        <v>14.67</v>
      </c>
      <c r="AN20">
        <v>11.255833333333335</v>
      </c>
      <c r="AP20">
        <v>0</v>
      </c>
      <c r="AR20">
        <v>2006</v>
      </c>
      <c r="AS20">
        <v>19</v>
      </c>
      <c r="AT20">
        <v>5.4</v>
      </c>
      <c r="AU20">
        <v>9.19</v>
      </c>
      <c r="AV20">
        <v>14.67</v>
      </c>
      <c r="AW20">
        <v>11.255833333333335</v>
      </c>
      <c r="AY20">
        <v>0</v>
      </c>
      <c r="BA20">
        <v>2006</v>
      </c>
      <c r="BB20">
        <v>19</v>
      </c>
      <c r="BC20">
        <v>0</v>
      </c>
      <c r="BD20">
        <v>0.33100000000000002</v>
      </c>
      <c r="BE20">
        <v>11.4</v>
      </c>
      <c r="BF20">
        <v>7.0180833333333341</v>
      </c>
      <c r="BH20">
        <v>0</v>
      </c>
      <c r="BJ20">
        <v>2006</v>
      </c>
      <c r="BK20">
        <v>19</v>
      </c>
      <c r="BL20">
        <v>0.4</v>
      </c>
      <c r="BM20">
        <v>10.220000000000001</v>
      </c>
      <c r="BN20">
        <v>17.72</v>
      </c>
      <c r="BO20">
        <v>13.275833333333338</v>
      </c>
      <c r="BQ20">
        <v>0</v>
      </c>
      <c r="BS20">
        <v>2006</v>
      </c>
      <c r="BT20">
        <v>19</v>
      </c>
      <c r="BU20">
        <v>4.6000000000000005</v>
      </c>
      <c r="BV20">
        <v>8.36</v>
      </c>
      <c r="BW20">
        <v>16.29</v>
      </c>
      <c r="BX20">
        <v>11.808750000000002</v>
      </c>
      <c r="BZ20">
        <v>0</v>
      </c>
      <c r="CB20">
        <v>2006</v>
      </c>
      <c r="CC20">
        <v>19</v>
      </c>
      <c r="CD20">
        <v>0</v>
      </c>
      <c r="CE20">
        <v>5.9219999999999997</v>
      </c>
      <c r="CF20">
        <v>12.75</v>
      </c>
      <c r="CG20">
        <v>9.0374166666666653</v>
      </c>
      <c r="CI20">
        <v>0</v>
      </c>
    </row>
    <row r="21" spans="1:87" x14ac:dyDescent="0.25">
      <c r="A21" t="b">
        <f t="shared" si="4"/>
        <v>0</v>
      </c>
      <c r="B21">
        <v>2006</v>
      </c>
      <c r="C21">
        <v>122</v>
      </c>
      <c r="D21">
        <v>0</v>
      </c>
      <c r="E21">
        <v>400</v>
      </c>
      <c r="F21" s="7">
        <v>-1.17</v>
      </c>
      <c r="G21" s="7">
        <v>7.83</v>
      </c>
      <c r="H21" s="7">
        <v>0</v>
      </c>
      <c r="I21" s="7" t="str">
        <f t="shared" si="0"/>
        <v/>
      </c>
      <c r="J21" s="7" t="str">
        <f t="shared" si="1"/>
        <v/>
      </c>
      <c r="K21" s="7">
        <v>0</v>
      </c>
      <c r="L21" s="7" t="str">
        <f t="shared" si="2"/>
        <v/>
      </c>
      <c r="M21" s="7" t="str">
        <f t="shared" si="3"/>
        <v/>
      </c>
      <c r="N21" s="7">
        <v>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11"/>
      <c r="AD21" s="13">
        <v>139</v>
      </c>
      <c r="AE21" s="9">
        <v>19</v>
      </c>
      <c r="AF21" s="17">
        <f t="shared" ca="1" si="5"/>
        <v>0</v>
      </c>
      <c r="AG21">
        <f t="shared" ca="1" si="6"/>
        <v>0</v>
      </c>
      <c r="AI21">
        <v>2006</v>
      </c>
      <c r="AJ21">
        <v>20</v>
      </c>
      <c r="AK21">
        <v>0</v>
      </c>
      <c r="AL21">
        <v>0.33100000000000002</v>
      </c>
      <c r="AM21">
        <v>11.4</v>
      </c>
      <c r="AN21">
        <v>7.0180833333333341</v>
      </c>
      <c r="AP21">
        <v>0</v>
      </c>
      <c r="AR21">
        <v>2006</v>
      </c>
      <c r="AS21">
        <v>20</v>
      </c>
      <c r="AT21">
        <v>0</v>
      </c>
      <c r="AU21">
        <v>0.33100000000000002</v>
      </c>
      <c r="AV21">
        <v>11.4</v>
      </c>
      <c r="AW21">
        <v>7.0180833333333341</v>
      </c>
      <c r="AY21">
        <v>0</v>
      </c>
      <c r="BA21">
        <v>2006</v>
      </c>
      <c r="BB21">
        <v>20</v>
      </c>
      <c r="BC21">
        <v>8</v>
      </c>
      <c r="BD21">
        <v>5.9249999999999998</v>
      </c>
      <c r="BE21">
        <v>9.18</v>
      </c>
      <c r="BF21">
        <v>6.7622916666666661</v>
      </c>
      <c r="BH21">
        <v>0</v>
      </c>
      <c r="BJ21">
        <v>2006</v>
      </c>
      <c r="BK21">
        <v>20</v>
      </c>
      <c r="BL21">
        <v>4.6000000000000005</v>
      </c>
      <c r="BM21">
        <v>8.36</v>
      </c>
      <c r="BN21">
        <v>16.29</v>
      </c>
      <c r="BO21">
        <v>11.808750000000002</v>
      </c>
      <c r="BQ21">
        <v>0</v>
      </c>
      <c r="BS21">
        <v>2006</v>
      </c>
      <c r="BT21">
        <v>20</v>
      </c>
      <c r="BU21">
        <v>0</v>
      </c>
      <c r="BV21">
        <v>5.51</v>
      </c>
      <c r="BW21">
        <v>14.65</v>
      </c>
      <c r="BX21">
        <v>10.031416666666665</v>
      </c>
      <c r="BZ21">
        <v>0</v>
      </c>
      <c r="CB21">
        <v>2006</v>
      </c>
      <c r="CC21">
        <v>20</v>
      </c>
      <c r="CD21">
        <v>0</v>
      </c>
      <c r="CE21">
        <v>1.411</v>
      </c>
      <c r="CF21">
        <v>12.38</v>
      </c>
      <c r="CG21">
        <v>8.2914583333333329</v>
      </c>
      <c r="CI21">
        <v>0</v>
      </c>
    </row>
    <row r="22" spans="1:87" x14ac:dyDescent="0.25">
      <c r="A22" t="b">
        <f t="shared" si="4"/>
        <v>0</v>
      </c>
      <c r="B22">
        <v>2006</v>
      </c>
      <c r="C22">
        <v>122</v>
      </c>
      <c r="D22">
        <v>0</v>
      </c>
      <c r="E22">
        <v>500</v>
      </c>
      <c r="F22" s="7">
        <v>-0.64900000000000002</v>
      </c>
      <c r="G22" s="7">
        <v>7.69</v>
      </c>
      <c r="H22" s="7">
        <v>0.2</v>
      </c>
      <c r="I22" s="7" t="str">
        <f t="shared" si="0"/>
        <v/>
      </c>
      <c r="J22" s="7" t="str">
        <f t="shared" si="1"/>
        <v/>
      </c>
      <c r="K22" s="7">
        <v>0</v>
      </c>
      <c r="L22" s="7" t="str">
        <f t="shared" si="2"/>
        <v/>
      </c>
      <c r="M22" s="7" t="str">
        <f t="shared" si="3"/>
        <v/>
      </c>
      <c r="N22" s="7">
        <v>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11"/>
      <c r="AD22" s="13">
        <v>140</v>
      </c>
      <c r="AE22" s="9">
        <v>20</v>
      </c>
      <c r="AF22" s="17">
        <f t="shared" ca="1" si="5"/>
        <v>0</v>
      </c>
      <c r="AG22">
        <f t="shared" ca="1" si="6"/>
        <v>0</v>
      </c>
      <c r="AI22">
        <v>2006</v>
      </c>
      <c r="AJ22">
        <v>21</v>
      </c>
      <c r="AK22">
        <v>8</v>
      </c>
      <c r="AL22">
        <v>5.9249999999999998</v>
      </c>
      <c r="AM22">
        <v>9.18</v>
      </c>
      <c r="AN22">
        <v>6.7622916666666661</v>
      </c>
      <c r="AP22">
        <v>0</v>
      </c>
      <c r="AR22">
        <v>2006</v>
      </c>
      <c r="AS22">
        <v>21</v>
      </c>
      <c r="AT22">
        <v>8</v>
      </c>
      <c r="AU22">
        <v>5.9249999999999998</v>
      </c>
      <c r="AV22">
        <v>9.18</v>
      </c>
      <c r="AW22">
        <v>6.7622916666666661</v>
      </c>
      <c r="AY22">
        <v>0</v>
      </c>
      <c r="BA22">
        <v>2006</v>
      </c>
      <c r="BB22">
        <v>21</v>
      </c>
      <c r="BC22">
        <v>0.2</v>
      </c>
      <c r="BD22">
        <v>1.74</v>
      </c>
      <c r="BE22">
        <v>10.06</v>
      </c>
      <c r="BF22">
        <v>5.6632500000000014</v>
      </c>
      <c r="BH22">
        <v>0</v>
      </c>
      <c r="BJ22">
        <v>2006</v>
      </c>
      <c r="BK22">
        <v>21</v>
      </c>
      <c r="BL22">
        <v>0</v>
      </c>
      <c r="BM22">
        <v>5.51</v>
      </c>
      <c r="BN22">
        <v>14.65</v>
      </c>
      <c r="BO22">
        <v>10.031416666666665</v>
      </c>
      <c r="BQ22">
        <v>0</v>
      </c>
      <c r="BS22">
        <v>2006</v>
      </c>
      <c r="BT22">
        <v>21</v>
      </c>
      <c r="BU22">
        <v>0</v>
      </c>
      <c r="BV22">
        <v>5.9219999999999997</v>
      </c>
      <c r="BW22">
        <v>12.75</v>
      </c>
      <c r="BX22">
        <v>9.0374166666666653</v>
      </c>
      <c r="BZ22">
        <v>0</v>
      </c>
      <c r="CB22">
        <v>2006</v>
      </c>
      <c r="CC22">
        <v>21</v>
      </c>
      <c r="CD22">
        <v>0</v>
      </c>
      <c r="CE22">
        <v>8.07</v>
      </c>
      <c r="CF22">
        <v>15.81</v>
      </c>
      <c r="CG22">
        <v>11.537083333333333</v>
      </c>
      <c r="CI22">
        <v>0</v>
      </c>
    </row>
    <row r="23" spans="1:87" x14ac:dyDescent="0.25">
      <c r="A23" t="b">
        <f t="shared" si="4"/>
        <v>0</v>
      </c>
      <c r="B23">
        <v>2006</v>
      </c>
      <c r="C23">
        <v>122</v>
      </c>
      <c r="D23">
        <v>0</v>
      </c>
      <c r="E23">
        <v>600</v>
      </c>
      <c r="F23" s="7">
        <v>6.5469999999999997</v>
      </c>
      <c r="G23" s="7">
        <v>7.6</v>
      </c>
      <c r="H23" s="7">
        <v>0</v>
      </c>
      <c r="I23" s="7" t="str">
        <f t="shared" si="0"/>
        <v/>
      </c>
      <c r="J23" s="7" t="str">
        <f t="shared" si="1"/>
        <v/>
      </c>
      <c r="K23" s="7">
        <v>0</v>
      </c>
      <c r="L23" s="7" t="str">
        <f t="shared" si="2"/>
        <v/>
      </c>
      <c r="M23" s="7" t="str">
        <f t="shared" si="3"/>
        <v/>
      </c>
      <c r="N23" s="7">
        <v>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11"/>
      <c r="AD23" s="13">
        <v>141</v>
      </c>
      <c r="AE23" s="9">
        <v>21</v>
      </c>
      <c r="AF23" s="17">
        <f t="shared" ca="1" si="5"/>
        <v>0</v>
      </c>
      <c r="AG23">
        <f t="shared" ca="1" si="6"/>
        <v>0</v>
      </c>
      <c r="AI23">
        <v>2006</v>
      </c>
      <c r="AJ23">
        <v>22</v>
      </c>
      <c r="AK23">
        <v>0.2</v>
      </c>
      <c r="AL23">
        <v>1.74</v>
      </c>
      <c r="AM23">
        <v>10.06</v>
      </c>
      <c r="AN23">
        <v>5.6632500000000014</v>
      </c>
      <c r="AP23">
        <v>0</v>
      </c>
      <c r="AR23">
        <v>2006</v>
      </c>
      <c r="AS23">
        <v>22</v>
      </c>
      <c r="AT23">
        <v>0.2</v>
      </c>
      <c r="AU23">
        <v>1.74</v>
      </c>
      <c r="AV23">
        <v>10.06</v>
      </c>
      <c r="AW23">
        <v>5.6632500000000014</v>
      </c>
      <c r="AY23">
        <v>0</v>
      </c>
      <c r="BA23">
        <v>2006</v>
      </c>
      <c r="BB23">
        <v>22</v>
      </c>
      <c r="BC23">
        <v>6.2000000000000011</v>
      </c>
      <c r="BD23">
        <v>4.4109999999999996</v>
      </c>
      <c r="BE23">
        <v>11.61</v>
      </c>
      <c r="BF23">
        <v>7.225416666666665</v>
      </c>
      <c r="BH23">
        <v>0</v>
      </c>
      <c r="BJ23">
        <v>2006</v>
      </c>
      <c r="BK23">
        <v>22</v>
      </c>
      <c r="BL23">
        <v>0</v>
      </c>
      <c r="BM23">
        <v>5.9219999999999997</v>
      </c>
      <c r="BN23">
        <v>12.75</v>
      </c>
      <c r="BO23">
        <v>9.0374166666666653</v>
      </c>
      <c r="BQ23">
        <v>0</v>
      </c>
      <c r="BS23">
        <v>2006</v>
      </c>
      <c r="BT23">
        <v>22</v>
      </c>
      <c r="BU23">
        <v>0</v>
      </c>
      <c r="BV23">
        <v>1.411</v>
      </c>
      <c r="BW23">
        <v>12.38</v>
      </c>
      <c r="BX23">
        <v>8.2914583333333329</v>
      </c>
      <c r="BZ23">
        <v>0</v>
      </c>
      <c r="CB23">
        <v>2006</v>
      </c>
      <c r="CC23">
        <v>22</v>
      </c>
      <c r="CD23">
        <v>0</v>
      </c>
      <c r="CE23">
        <v>6.2709999999999999</v>
      </c>
      <c r="CF23">
        <v>18.47</v>
      </c>
      <c r="CG23">
        <v>12.699875</v>
      </c>
      <c r="CI23">
        <v>0</v>
      </c>
    </row>
    <row r="24" spans="1:87" x14ac:dyDescent="0.25">
      <c r="A24" t="b">
        <f t="shared" si="4"/>
        <v>0</v>
      </c>
      <c r="B24">
        <v>2006</v>
      </c>
      <c r="C24">
        <v>122</v>
      </c>
      <c r="D24">
        <v>0</v>
      </c>
      <c r="E24">
        <v>700</v>
      </c>
      <c r="F24" s="7">
        <v>23.41</v>
      </c>
      <c r="G24" s="7">
        <v>7.51</v>
      </c>
      <c r="H24" s="7">
        <v>0</v>
      </c>
      <c r="I24" s="7" t="str">
        <f t="shared" si="0"/>
        <v/>
      </c>
      <c r="J24" s="7" t="str">
        <f t="shared" si="1"/>
        <v/>
      </c>
      <c r="K24" s="7">
        <v>0</v>
      </c>
      <c r="L24" s="7" t="str">
        <f t="shared" si="2"/>
        <v/>
      </c>
      <c r="M24" s="7" t="str">
        <f t="shared" si="3"/>
        <v/>
      </c>
      <c r="N24" s="7">
        <v>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11"/>
      <c r="AD24" s="13">
        <v>142</v>
      </c>
      <c r="AE24" s="9">
        <v>22</v>
      </c>
      <c r="AF24" s="17">
        <f t="shared" ca="1" si="5"/>
        <v>0</v>
      </c>
      <c r="AG24">
        <f t="shared" ca="1" si="6"/>
        <v>0</v>
      </c>
      <c r="AI24">
        <v>2006</v>
      </c>
      <c r="AJ24">
        <v>23</v>
      </c>
      <c r="AK24">
        <v>6.2000000000000011</v>
      </c>
      <c r="AL24">
        <v>4.4109999999999996</v>
      </c>
      <c r="AM24">
        <v>11.61</v>
      </c>
      <c r="AN24">
        <v>7.225416666666665</v>
      </c>
      <c r="AP24">
        <v>0</v>
      </c>
      <c r="AR24">
        <v>2006</v>
      </c>
      <c r="AS24">
        <v>23</v>
      </c>
      <c r="AT24">
        <v>6.2000000000000011</v>
      </c>
      <c r="AU24">
        <v>4.4109999999999996</v>
      </c>
      <c r="AV24">
        <v>11.61</v>
      </c>
      <c r="AW24">
        <v>7.225416666666665</v>
      </c>
      <c r="AY24">
        <v>0</v>
      </c>
      <c r="BA24">
        <v>2006</v>
      </c>
      <c r="BB24">
        <v>23</v>
      </c>
      <c r="BC24">
        <v>0.8</v>
      </c>
      <c r="BD24">
        <v>1.2569999999999999</v>
      </c>
      <c r="BE24">
        <v>12.02</v>
      </c>
      <c r="BF24">
        <v>7.8748333333333314</v>
      </c>
      <c r="BH24">
        <v>0</v>
      </c>
      <c r="BJ24">
        <v>2006</v>
      </c>
      <c r="BK24">
        <v>23</v>
      </c>
      <c r="BL24">
        <v>0</v>
      </c>
      <c r="BM24">
        <v>1.411</v>
      </c>
      <c r="BN24">
        <v>12.38</v>
      </c>
      <c r="BO24">
        <v>8.2914583333333329</v>
      </c>
      <c r="BQ24">
        <v>0</v>
      </c>
      <c r="BS24">
        <v>2006</v>
      </c>
      <c r="BT24">
        <v>23</v>
      </c>
      <c r="BU24">
        <v>0</v>
      </c>
      <c r="BV24">
        <v>8.07</v>
      </c>
      <c r="BW24">
        <v>15.81</v>
      </c>
      <c r="BX24">
        <v>11.537083333333333</v>
      </c>
      <c r="BZ24">
        <v>0</v>
      </c>
      <c r="CB24">
        <v>2006</v>
      </c>
      <c r="CC24">
        <v>23</v>
      </c>
      <c r="CD24">
        <v>0</v>
      </c>
      <c r="CE24">
        <v>3.69</v>
      </c>
      <c r="CF24">
        <v>20.66</v>
      </c>
      <c r="CG24">
        <v>12.809666666666667</v>
      </c>
      <c r="CI24">
        <v>0</v>
      </c>
    </row>
    <row r="25" spans="1:87" x14ac:dyDescent="0.25">
      <c r="A25" t="b">
        <f t="shared" si="4"/>
        <v>0</v>
      </c>
      <c r="B25">
        <v>2006</v>
      </c>
      <c r="C25">
        <v>122</v>
      </c>
      <c r="D25">
        <v>0</v>
      </c>
      <c r="E25">
        <v>800</v>
      </c>
      <c r="F25" s="7">
        <v>58.76</v>
      </c>
      <c r="G25" s="7">
        <v>7.97</v>
      </c>
      <c r="H25" s="7">
        <v>0</v>
      </c>
      <c r="I25" s="7" t="str">
        <f t="shared" si="0"/>
        <v/>
      </c>
      <c r="J25" s="7" t="str">
        <f t="shared" si="1"/>
        <v/>
      </c>
      <c r="K25" s="7">
        <v>0</v>
      </c>
      <c r="L25" s="7" t="str">
        <f t="shared" si="2"/>
        <v/>
      </c>
      <c r="M25" s="7" t="str">
        <f t="shared" si="3"/>
        <v/>
      </c>
      <c r="N25" s="7">
        <v>0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11"/>
      <c r="AD25" s="13">
        <v>143</v>
      </c>
      <c r="AE25" s="9">
        <v>23</v>
      </c>
      <c r="AF25" s="17">
        <f t="shared" ca="1" si="5"/>
        <v>0</v>
      </c>
      <c r="AG25">
        <f t="shared" ca="1" si="6"/>
        <v>0</v>
      </c>
      <c r="AI25">
        <v>2006</v>
      </c>
      <c r="AJ25">
        <v>24</v>
      </c>
      <c r="AK25">
        <v>0.8</v>
      </c>
      <c r="AL25">
        <v>1.2569999999999999</v>
      </c>
      <c r="AM25">
        <v>12.02</v>
      </c>
      <c r="AN25">
        <v>7.8748333333333314</v>
      </c>
      <c r="AP25">
        <v>0</v>
      </c>
      <c r="AR25">
        <v>2006</v>
      </c>
      <c r="AS25">
        <v>24</v>
      </c>
      <c r="AT25">
        <v>0.8</v>
      </c>
      <c r="AU25">
        <v>1.2569999999999999</v>
      </c>
      <c r="AV25">
        <v>12.02</v>
      </c>
      <c r="AW25">
        <v>7.8748333333333314</v>
      </c>
      <c r="AY25">
        <v>0</v>
      </c>
      <c r="BA25">
        <v>2006</v>
      </c>
      <c r="BB25">
        <v>24</v>
      </c>
      <c r="BC25">
        <v>7</v>
      </c>
      <c r="BD25">
        <v>8.9499999999999993</v>
      </c>
      <c r="BE25">
        <v>15.1</v>
      </c>
      <c r="BF25">
        <v>11.679583333333333</v>
      </c>
      <c r="BH25">
        <v>0</v>
      </c>
      <c r="BJ25">
        <v>2006</v>
      </c>
      <c r="BK25">
        <v>24</v>
      </c>
      <c r="BL25">
        <v>0</v>
      </c>
      <c r="BM25">
        <v>8.07</v>
      </c>
      <c r="BN25">
        <v>15.81</v>
      </c>
      <c r="BO25">
        <v>11.537083333333333</v>
      </c>
      <c r="BQ25">
        <v>0</v>
      </c>
      <c r="BS25">
        <v>2006</v>
      </c>
      <c r="BT25">
        <v>24</v>
      </c>
      <c r="BU25">
        <v>0</v>
      </c>
      <c r="BV25">
        <v>6.2709999999999999</v>
      </c>
      <c r="BW25">
        <v>18.47</v>
      </c>
      <c r="BX25">
        <v>12.699875</v>
      </c>
      <c r="BZ25">
        <v>0</v>
      </c>
      <c r="CB25">
        <v>2006</v>
      </c>
      <c r="CC25">
        <v>24</v>
      </c>
      <c r="CD25">
        <v>0</v>
      </c>
      <c r="CE25">
        <v>10.14</v>
      </c>
      <c r="CF25">
        <v>22</v>
      </c>
      <c r="CG25">
        <v>15.106666666666667</v>
      </c>
      <c r="CI25">
        <v>0</v>
      </c>
    </row>
    <row r="26" spans="1:87" x14ac:dyDescent="0.25">
      <c r="A26" t="b">
        <f t="shared" si="4"/>
        <v>0</v>
      </c>
      <c r="B26">
        <v>2006</v>
      </c>
      <c r="C26">
        <v>122</v>
      </c>
      <c r="D26">
        <v>0</v>
      </c>
      <c r="E26">
        <v>900</v>
      </c>
      <c r="F26" s="7">
        <v>57.19</v>
      </c>
      <c r="G26" s="7">
        <v>8.3800000000000008</v>
      </c>
      <c r="H26" s="7">
        <v>0</v>
      </c>
      <c r="I26" s="7" t="str">
        <f t="shared" si="0"/>
        <v/>
      </c>
      <c r="J26" s="7" t="str">
        <f t="shared" si="1"/>
        <v/>
      </c>
      <c r="K26" s="7">
        <v>0</v>
      </c>
      <c r="L26" s="7" t="str">
        <f t="shared" si="2"/>
        <v/>
      </c>
      <c r="M26" s="7" t="str">
        <f t="shared" si="3"/>
        <v/>
      </c>
      <c r="N26" s="7"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9"/>
      <c r="AD26" s="13">
        <v>144</v>
      </c>
      <c r="AE26" s="9">
        <v>24</v>
      </c>
      <c r="AF26" s="17">
        <f t="shared" ca="1" si="5"/>
        <v>0</v>
      </c>
      <c r="AG26">
        <f t="shared" ca="1" si="6"/>
        <v>0</v>
      </c>
      <c r="AI26">
        <v>2006</v>
      </c>
      <c r="AJ26">
        <v>25</v>
      </c>
      <c r="AK26">
        <v>7</v>
      </c>
      <c r="AL26">
        <v>8.9499999999999993</v>
      </c>
      <c r="AM26">
        <v>15.1</v>
      </c>
      <c r="AN26">
        <v>11.679583333333333</v>
      </c>
      <c r="AP26">
        <v>0</v>
      </c>
      <c r="AR26">
        <v>2006</v>
      </c>
      <c r="AS26">
        <v>25</v>
      </c>
      <c r="AT26">
        <v>7</v>
      </c>
      <c r="AU26">
        <v>8.9499999999999993</v>
      </c>
      <c r="AV26">
        <v>15.1</v>
      </c>
      <c r="AW26">
        <v>11.679583333333333</v>
      </c>
      <c r="AY26">
        <v>0</v>
      </c>
      <c r="BA26">
        <v>2006</v>
      </c>
      <c r="BB26">
        <v>25</v>
      </c>
      <c r="BC26">
        <v>0.4</v>
      </c>
      <c r="BD26">
        <v>10.220000000000001</v>
      </c>
      <c r="BE26">
        <v>17.72</v>
      </c>
      <c r="BF26">
        <v>13.275833333333338</v>
      </c>
      <c r="BH26">
        <v>0</v>
      </c>
      <c r="BJ26">
        <v>2006</v>
      </c>
      <c r="BK26">
        <v>25</v>
      </c>
      <c r="BL26">
        <v>0</v>
      </c>
      <c r="BM26">
        <v>6.2709999999999999</v>
      </c>
      <c r="BN26">
        <v>18.47</v>
      </c>
      <c r="BO26">
        <v>12.699875</v>
      </c>
      <c r="BQ26">
        <v>0</v>
      </c>
      <c r="BS26">
        <v>2006</v>
      </c>
      <c r="BT26">
        <v>25</v>
      </c>
      <c r="BU26">
        <v>0</v>
      </c>
      <c r="BV26">
        <v>3.69</v>
      </c>
      <c r="BW26">
        <v>20.66</v>
      </c>
      <c r="BX26">
        <v>12.809666666666667</v>
      </c>
      <c r="BZ26">
        <v>0</v>
      </c>
      <c r="CB26">
        <v>2006</v>
      </c>
      <c r="CC26">
        <v>25</v>
      </c>
      <c r="CD26">
        <v>0</v>
      </c>
      <c r="CE26">
        <v>7.08</v>
      </c>
      <c r="CF26">
        <v>18.489999999999998</v>
      </c>
      <c r="CG26">
        <v>13.83</v>
      </c>
      <c r="CI26">
        <v>0</v>
      </c>
    </row>
    <row r="27" spans="1:87" x14ac:dyDescent="0.25">
      <c r="A27" t="b">
        <f t="shared" si="4"/>
        <v>0</v>
      </c>
      <c r="B27">
        <v>2006</v>
      </c>
      <c r="C27">
        <v>122</v>
      </c>
      <c r="D27">
        <v>0</v>
      </c>
      <c r="E27">
        <v>1000</v>
      </c>
      <c r="F27" s="7">
        <v>92.3</v>
      </c>
      <c r="G27" s="7">
        <v>8.93</v>
      </c>
      <c r="H27" s="7">
        <v>0</v>
      </c>
      <c r="I27" s="7" t="str">
        <f t="shared" si="0"/>
        <v/>
      </c>
      <c r="J27" s="7" t="str">
        <f t="shared" si="1"/>
        <v/>
      </c>
      <c r="K27" s="7">
        <v>0</v>
      </c>
      <c r="L27" s="7" t="str">
        <f t="shared" si="2"/>
        <v/>
      </c>
      <c r="M27" s="7" t="str">
        <f t="shared" si="3"/>
        <v/>
      </c>
      <c r="N27" s="7">
        <v>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3">
        <v>145</v>
      </c>
      <c r="AE27" s="9">
        <v>25</v>
      </c>
      <c r="AF27" s="17">
        <f t="shared" ca="1" si="5"/>
        <v>0</v>
      </c>
      <c r="AG27">
        <f t="shared" ca="1" si="6"/>
        <v>0</v>
      </c>
      <c r="AI27">
        <v>2006</v>
      </c>
      <c r="AJ27">
        <v>26</v>
      </c>
      <c r="AK27">
        <v>0.4</v>
      </c>
      <c r="AL27">
        <v>10.220000000000001</v>
      </c>
      <c r="AM27">
        <v>17.72</v>
      </c>
      <c r="AN27">
        <v>13.275833333333338</v>
      </c>
      <c r="AP27">
        <v>0</v>
      </c>
      <c r="AR27">
        <v>2006</v>
      </c>
      <c r="AS27">
        <v>26</v>
      </c>
      <c r="AT27">
        <v>0.4</v>
      </c>
      <c r="AU27">
        <v>10.220000000000001</v>
      </c>
      <c r="AV27">
        <v>17.72</v>
      </c>
      <c r="AW27">
        <v>13.275833333333338</v>
      </c>
      <c r="AY27">
        <v>0</v>
      </c>
      <c r="BA27">
        <v>2006</v>
      </c>
      <c r="BB27">
        <v>26</v>
      </c>
      <c r="BC27">
        <v>4.6000000000000005</v>
      </c>
      <c r="BD27">
        <v>8.36</v>
      </c>
      <c r="BE27">
        <v>16.29</v>
      </c>
      <c r="BF27">
        <v>11.808750000000002</v>
      </c>
      <c r="BH27">
        <v>0</v>
      </c>
      <c r="BJ27">
        <v>2006</v>
      </c>
      <c r="BK27">
        <v>26</v>
      </c>
      <c r="BL27">
        <v>0</v>
      </c>
      <c r="BM27">
        <v>3.69</v>
      </c>
      <c r="BN27">
        <v>20.66</v>
      </c>
      <c r="BO27">
        <v>12.809666666666667</v>
      </c>
      <c r="BQ27">
        <v>0</v>
      </c>
      <c r="BS27">
        <v>2006</v>
      </c>
      <c r="BT27">
        <v>26</v>
      </c>
      <c r="BU27">
        <v>0</v>
      </c>
      <c r="BV27">
        <v>10.14</v>
      </c>
      <c r="BW27">
        <v>22</v>
      </c>
      <c r="BX27">
        <v>15.106666666666667</v>
      </c>
      <c r="BZ27">
        <v>0</v>
      </c>
      <c r="CB27">
        <v>2006</v>
      </c>
      <c r="CC27">
        <v>26</v>
      </c>
      <c r="CD27">
        <v>0</v>
      </c>
      <c r="CE27">
        <v>7.8</v>
      </c>
      <c r="CF27">
        <v>22</v>
      </c>
      <c r="CG27">
        <v>15.237499999999997</v>
      </c>
      <c r="CI27">
        <v>0</v>
      </c>
    </row>
    <row r="28" spans="1:87" x14ac:dyDescent="0.25">
      <c r="A28" t="b">
        <f t="shared" si="4"/>
        <v>0</v>
      </c>
      <c r="B28">
        <v>2006</v>
      </c>
      <c r="C28">
        <v>122</v>
      </c>
      <c r="D28">
        <v>0</v>
      </c>
      <c r="E28">
        <v>1100</v>
      </c>
      <c r="F28" s="7">
        <v>114.4</v>
      </c>
      <c r="G28" s="7">
        <v>9.31</v>
      </c>
      <c r="H28" s="7">
        <v>0.2</v>
      </c>
      <c r="I28" s="7" t="str">
        <f t="shared" si="0"/>
        <v/>
      </c>
      <c r="J28" s="7" t="str">
        <f t="shared" si="1"/>
        <v/>
      </c>
      <c r="K28" s="7">
        <v>0</v>
      </c>
      <c r="L28" s="7" t="str">
        <f t="shared" si="2"/>
        <v/>
      </c>
      <c r="M28" s="7" t="str">
        <f t="shared" si="3"/>
        <v/>
      </c>
      <c r="N28" s="7">
        <v>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13">
        <v>146</v>
      </c>
      <c r="AE28" s="9">
        <v>26</v>
      </c>
      <c r="AF28" s="17">
        <f t="shared" ca="1" si="5"/>
        <v>0</v>
      </c>
      <c r="AG28">
        <f t="shared" ca="1" si="6"/>
        <v>0</v>
      </c>
      <c r="AI28">
        <v>2006</v>
      </c>
      <c r="AJ28">
        <v>27</v>
      </c>
      <c r="AK28">
        <v>4.6000000000000005</v>
      </c>
      <c r="AL28">
        <v>8.36</v>
      </c>
      <c r="AM28">
        <v>16.29</v>
      </c>
      <c r="AN28">
        <v>11.808750000000002</v>
      </c>
      <c r="AP28">
        <v>0</v>
      </c>
      <c r="AR28">
        <v>2006</v>
      </c>
      <c r="AS28">
        <v>27</v>
      </c>
      <c r="AT28">
        <v>4.6000000000000005</v>
      </c>
      <c r="AU28">
        <v>8.36</v>
      </c>
      <c r="AV28">
        <v>16.29</v>
      </c>
      <c r="AW28">
        <v>11.808750000000002</v>
      </c>
      <c r="AY28">
        <v>0</v>
      </c>
      <c r="BA28">
        <v>2006</v>
      </c>
      <c r="BB28">
        <v>27</v>
      </c>
      <c r="BC28">
        <v>0</v>
      </c>
      <c r="BD28">
        <v>5.51</v>
      </c>
      <c r="BE28">
        <v>14.65</v>
      </c>
      <c r="BF28">
        <v>10.031416666666665</v>
      </c>
      <c r="BH28">
        <v>0</v>
      </c>
      <c r="BJ28">
        <v>2006</v>
      </c>
      <c r="BK28">
        <v>27</v>
      </c>
      <c r="BL28">
        <v>0</v>
      </c>
      <c r="BM28">
        <v>10.14</v>
      </c>
      <c r="BN28">
        <v>22</v>
      </c>
      <c r="BO28">
        <v>15.106666666666667</v>
      </c>
      <c r="BQ28">
        <v>0</v>
      </c>
      <c r="BS28">
        <v>2006</v>
      </c>
      <c r="BT28">
        <v>27</v>
      </c>
      <c r="BU28">
        <v>0</v>
      </c>
      <c r="BV28">
        <v>7.08</v>
      </c>
      <c r="BW28">
        <v>18.489999999999998</v>
      </c>
      <c r="BX28">
        <v>13.83</v>
      </c>
      <c r="BZ28">
        <v>0</v>
      </c>
      <c r="CB28">
        <v>2006</v>
      </c>
      <c r="CC28">
        <v>27</v>
      </c>
      <c r="CD28">
        <v>1.4</v>
      </c>
      <c r="CE28">
        <v>9.83</v>
      </c>
      <c r="CF28">
        <v>25.82</v>
      </c>
      <c r="CG28">
        <v>17.240416666666665</v>
      </c>
      <c r="CI28">
        <v>0</v>
      </c>
    </row>
    <row r="29" spans="1:87" x14ac:dyDescent="0.25">
      <c r="A29" t="b">
        <f t="shared" si="4"/>
        <v>0</v>
      </c>
      <c r="B29">
        <v>2006</v>
      </c>
      <c r="C29">
        <v>122</v>
      </c>
      <c r="D29">
        <v>0</v>
      </c>
      <c r="E29">
        <v>1200</v>
      </c>
      <c r="F29" s="7">
        <v>90.3</v>
      </c>
      <c r="G29" s="7">
        <v>9.6300000000000008</v>
      </c>
      <c r="H29" s="7">
        <v>0</v>
      </c>
      <c r="I29" s="7" t="str">
        <f t="shared" si="0"/>
        <v/>
      </c>
      <c r="J29" s="7" t="str">
        <f t="shared" si="1"/>
        <v/>
      </c>
      <c r="K29" s="7">
        <v>0</v>
      </c>
      <c r="L29" s="7" t="str">
        <f t="shared" si="2"/>
        <v/>
      </c>
      <c r="M29" s="7" t="str">
        <f t="shared" si="3"/>
        <v/>
      </c>
      <c r="N29" s="7">
        <v>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13">
        <v>147</v>
      </c>
      <c r="AE29" s="9">
        <v>27</v>
      </c>
      <c r="AF29" s="17">
        <f t="shared" ca="1" si="5"/>
        <v>0</v>
      </c>
      <c r="AG29">
        <f t="shared" ca="1" si="6"/>
        <v>0</v>
      </c>
      <c r="AI29">
        <v>2006</v>
      </c>
      <c r="AJ29">
        <v>28</v>
      </c>
      <c r="AK29">
        <v>0</v>
      </c>
      <c r="AL29">
        <v>5.51</v>
      </c>
      <c r="AM29">
        <v>14.65</v>
      </c>
      <c r="AN29">
        <v>10.031416666666665</v>
      </c>
      <c r="AP29">
        <v>0</v>
      </c>
      <c r="AR29">
        <v>2006</v>
      </c>
      <c r="AS29">
        <v>28</v>
      </c>
      <c r="AT29">
        <v>0</v>
      </c>
      <c r="AU29">
        <v>5.51</v>
      </c>
      <c r="AV29">
        <v>14.65</v>
      </c>
      <c r="AW29">
        <v>10.031416666666665</v>
      </c>
      <c r="AY29">
        <v>0</v>
      </c>
      <c r="BA29">
        <v>2006</v>
      </c>
      <c r="BB29">
        <v>28</v>
      </c>
      <c r="BC29">
        <v>0</v>
      </c>
      <c r="BD29">
        <v>5.9219999999999997</v>
      </c>
      <c r="BE29">
        <v>12.75</v>
      </c>
      <c r="BF29">
        <v>9.0374166666666653</v>
      </c>
      <c r="BH29">
        <v>0</v>
      </c>
      <c r="BJ29">
        <v>2006</v>
      </c>
      <c r="BK29">
        <v>28</v>
      </c>
      <c r="BL29">
        <v>0</v>
      </c>
      <c r="BM29">
        <v>7.08</v>
      </c>
      <c r="BN29">
        <v>18.489999999999998</v>
      </c>
      <c r="BO29">
        <v>13.83</v>
      </c>
      <c r="BQ29">
        <v>0</v>
      </c>
      <c r="BS29">
        <v>2006</v>
      </c>
      <c r="BT29">
        <v>28</v>
      </c>
      <c r="BU29">
        <v>0</v>
      </c>
      <c r="BV29">
        <v>7.8</v>
      </c>
      <c r="BW29">
        <v>22</v>
      </c>
      <c r="BX29">
        <v>15.237499999999997</v>
      </c>
      <c r="BZ29">
        <v>0</v>
      </c>
      <c r="CB29">
        <v>2006</v>
      </c>
      <c r="CC29">
        <v>28</v>
      </c>
      <c r="CD29">
        <v>0</v>
      </c>
      <c r="CE29">
        <v>7.63</v>
      </c>
      <c r="CF29">
        <v>20.78</v>
      </c>
      <c r="CG29">
        <v>14.036250000000003</v>
      </c>
      <c r="CI29">
        <v>0</v>
      </c>
    </row>
    <row r="30" spans="1:87" x14ac:dyDescent="0.25">
      <c r="A30" t="b">
        <f t="shared" si="4"/>
        <v>0</v>
      </c>
      <c r="B30">
        <v>2006</v>
      </c>
      <c r="C30">
        <v>122</v>
      </c>
      <c r="D30">
        <v>0</v>
      </c>
      <c r="E30">
        <v>1300</v>
      </c>
      <c r="F30" s="7">
        <v>128.1</v>
      </c>
      <c r="G30" s="7">
        <v>9.89</v>
      </c>
      <c r="H30" s="7">
        <v>0</v>
      </c>
      <c r="I30" s="7" t="str">
        <f t="shared" si="0"/>
        <v/>
      </c>
      <c r="J30" s="7" t="str">
        <f t="shared" si="1"/>
        <v/>
      </c>
      <c r="K30" s="7">
        <v>0</v>
      </c>
      <c r="L30" s="7" t="str">
        <f t="shared" si="2"/>
        <v/>
      </c>
      <c r="M30" s="7" t="str">
        <f t="shared" si="3"/>
        <v/>
      </c>
      <c r="N30" s="7">
        <v>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3">
        <v>148</v>
      </c>
      <c r="AE30" s="9">
        <v>28</v>
      </c>
      <c r="AF30" s="17">
        <f t="shared" ca="1" si="5"/>
        <v>0</v>
      </c>
      <c r="AG30">
        <f t="shared" ca="1" si="6"/>
        <v>0</v>
      </c>
      <c r="AI30">
        <v>2006</v>
      </c>
      <c r="AJ30">
        <v>29</v>
      </c>
      <c r="AK30">
        <v>0</v>
      </c>
      <c r="AL30">
        <v>5.9219999999999997</v>
      </c>
      <c r="AM30">
        <v>12.75</v>
      </c>
      <c r="AN30">
        <v>9.0374166666666653</v>
      </c>
      <c r="AP30">
        <v>0</v>
      </c>
      <c r="AR30">
        <v>2006</v>
      </c>
      <c r="AS30">
        <v>29</v>
      </c>
      <c r="AT30">
        <v>20</v>
      </c>
      <c r="AU30">
        <v>5.9219999999999997</v>
      </c>
      <c r="AV30">
        <v>12.75</v>
      </c>
      <c r="AW30">
        <v>9.0374166666666653</v>
      </c>
      <c r="AY30">
        <v>0</v>
      </c>
      <c r="BA30">
        <v>2006</v>
      </c>
      <c r="BB30">
        <v>29</v>
      </c>
      <c r="BC30">
        <v>20</v>
      </c>
      <c r="BD30">
        <v>1.411</v>
      </c>
      <c r="BE30">
        <v>12.38</v>
      </c>
      <c r="BF30">
        <v>8.2914583333333329</v>
      </c>
      <c r="BH30">
        <v>0</v>
      </c>
      <c r="BJ30">
        <v>2006</v>
      </c>
      <c r="BK30">
        <v>29</v>
      </c>
      <c r="BL30">
        <v>20</v>
      </c>
      <c r="BM30">
        <v>7.8</v>
      </c>
      <c r="BN30">
        <v>22</v>
      </c>
      <c r="BO30">
        <v>15.237499999999997</v>
      </c>
      <c r="BQ30">
        <v>0</v>
      </c>
      <c r="BS30">
        <v>2006</v>
      </c>
      <c r="BT30">
        <v>29</v>
      </c>
      <c r="BU30">
        <v>21.4</v>
      </c>
      <c r="BV30">
        <v>9.83</v>
      </c>
      <c r="BW30">
        <v>25.82</v>
      </c>
      <c r="BX30">
        <v>17.240416666666665</v>
      </c>
      <c r="BZ30">
        <v>0</v>
      </c>
      <c r="CB30">
        <v>2006</v>
      </c>
      <c r="CC30">
        <v>29</v>
      </c>
      <c r="CD30">
        <v>20</v>
      </c>
      <c r="CE30">
        <v>11.47</v>
      </c>
      <c r="CF30">
        <v>24.75</v>
      </c>
      <c r="CG30">
        <v>17.467916666666671</v>
      </c>
      <c r="CI30">
        <v>0</v>
      </c>
    </row>
    <row r="31" spans="1:87" x14ac:dyDescent="0.25">
      <c r="A31" t="b">
        <f t="shared" si="4"/>
        <v>0</v>
      </c>
      <c r="B31">
        <v>2006</v>
      </c>
      <c r="C31">
        <v>122</v>
      </c>
      <c r="D31">
        <v>0</v>
      </c>
      <c r="E31">
        <v>1400</v>
      </c>
      <c r="F31" s="7">
        <v>123.4</v>
      </c>
      <c r="G31" s="7">
        <v>10.39</v>
      </c>
      <c r="H31" s="7">
        <v>0</v>
      </c>
      <c r="I31" s="7" t="str">
        <f t="shared" si="0"/>
        <v/>
      </c>
      <c r="J31" s="7" t="str">
        <f t="shared" si="1"/>
        <v/>
      </c>
      <c r="K31" s="7">
        <v>0</v>
      </c>
      <c r="L31" s="7" t="str">
        <f t="shared" si="2"/>
        <v/>
      </c>
      <c r="M31" s="7" t="str">
        <f t="shared" si="3"/>
        <v/>
      </c>
      <c r="N31" s="7">
        <v>0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13">
        <v>149</v>
      </c>
      <c r="AE31" s="9">
        <v>29</v>
      </c>
      <c r="AF31" s="17">
        <f t="shared" ca="1" si="5"/>
        <v>0</v>
      </c>
      <c r="AG31">
        <f t="shared" ca="1" si="6"/>
        <v>0</v>
      </c>
      <c r="AI31">
        <v>2006</v>
      </c>
      <c r="AJ31">
        <v>30</v>
      </c>
      <c r="AK31">
        <v>0</v>
      </c>
      <c r="AL31">
        <v>1.411</v>
      </c>
      <c r="AM31">
        <v>12.38</v>
      </c>
      <c r="AN31">
        <v>8.2914583333333329</v>
      </c>
      <c r="AP31">
        <v>0</v>
      </c>
      <c r="AR31">
        <v>2006</v>
      </c>
      <c r="AS31">
        <v>30</v>
      </c>
      <c r="AT31">
        <v>0</v>
      </c>
      <c r="AU31">
        <v>1.411</v>
      </c>
      <c r="AV31">
        <v>12.38</v>
      </c>
      <c r="AW31">
        <v>8.2914583333333329</v>
      </c>
      <c r="AY31">
        <v>0</v>
      </c>
      <c r="BA31">
        <v>2006</v>
      </c>
      <c r="BB31">
        <v>30</v>
      </c>
      <c r="BC31">
        <v>0</v>
      </c>
      <c r="BD31">
        <v>8.07</v>
      </c>
      <c r="BE31">
        <v>15.81</v>
      </c>
      <c r="BF31">
        <v>11.537083333333333</v>
      </c>
      <c r="BH31">
        <v>0</v>
      </c>
      <c r="BJ31">
        <v>2006</v>
      </c>
      <c r="BK31">
        <v>30</v>
      </c>
      <c r="BL31">
        <v>1.4</v>
      </c>
      <c r="BM31">
        <v>9.83</v>
      </c>
      <c r="BN31">
        <v>25.82</v>
      </c>
      <c r="BO31">
        <v>17.240416666666665</v>
      </c>
      <c r="BQ31">
        <v>0</v>
      </c>
      <c r="BS31">
        <v>2006</v>
      </c>
      <c r="BT31">
        <v>30</v>
      </c>
      <c r="BU31">
        <v>0</v>
      </c>
      <c r="BV31">
        <v>7.63</v>
      </c>
      <c r="BW31">
        <v>20.78</v>
      </c>
      <c r="BX31">
        <v>14.036250000000003</v>
      </c>
      <c r="BZ31">
        <v>0</v>
      </c>
      <c r="CB31">
        <v>2006</v>
      </c>
      <c r="CC31">
        <v>30</v>
      </c>
      <c r="CD31">
        <v>0</v>
      </c>
      <c r="CE31">
        <v>14.79</v>
      </c>
      <c r="CF31">
        <v>23.19</v>
      </c>
      <c r="CG31">
        <v>19.203333333333337</v>
      </c>
      <c r="CI31">
        <v>0</v>
      </c>
    </row>
    <row r="32" spans="1:87" x14ac:dyDescent="0.25">
      <c r="A32" t="b">
        <f t="shared" si="4"/>
        <v>0</v>
      </c>
      <c r="B32">
        <v>2006</v>
      </c>
      <c r="C32">
        <v>122</v>
      </c>
      <c r="D32">
        <v>0</v>
      </c>
      <c r="E32">
        <v>1500</v>
      </c>
      <c r="F32" s="7">
        <v>106.5</v>
      </c>
      <c r="G32" s="7">
        <v>9.91</v>
      </c>
      <c r="H32" s="7">
        <v>0</v>
      </c>
      <c r="I32" s="7" t="str">
        <f t="shared" si="0"/>
        <v/>
      </c>
      <c r="J32" s="7" t="str">
        <f t="shared" si="1"/>
        <v/>
      </c>
      <c r="K32" s="7">
        <v>0</v>
      </c>
      <c r="L32" s="7" t="str">
        <f t="shared" si="2"/>
        <v/>
      </c>
      <c r="M32" s="7" t="str">
        <f t="shared" si="3"/>
        <v/>
      </c>
      <c r="N32" s="7">
        <v>0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13">
        <v>150</v>
      </c>
      <c r="AE32" s="9">
        <v>30</v>
      </c>
      <c r="AF32" s="17">
        <f t="shared" ca="1" si="5"/>
        <v>0</v>
      </c>
      <c r="AG32">
        <f t="shared" ca="1" si="6"/>
        <v>0</v>
      </c>
      <c r="AI32">
        <v>2006</v>
      </c>
      <c r="AJ32">
        <v>31</v>
      </c>
      <c r="AK32">
        <v>0</v>
      </c>
      <c r="AL32">
        <v>8.07</v>
      </c>
      <c r="AM32">
        <v>15.81</v>
      </c>
      <c r="AN32">
        <v>11.537083333333333</v>
      </c>
      <c r="AP32">
        <v>0</v>
      </c>
      <c r="AR32">
        <v>2006</v>
      </c>
      <c r="AS32">
        <v>31</v>
      </c>
      <c r="AT32">
        <v>0</v>
      </c>
      <c r="AU32">
        <v>8.07</v>
      </c>
      <c r="AV32">
        <v>15.81</v>
      </c>
      <c r="AW32">
        <v>11.537083333333333</v>
      </c>
      <c r="AY32">
        <v>0</v>
      </c>
      <c r="BA32">
        <v>2006</v>
      </c>
      <c r="BB32">
        <v>31</v>
      </c>
      <c r="BC32">
        <v>0</v>
      </c>
      <c r="BD32">
        <v>6.2709999999999999</v>
      </c>
      <c r="BE32">
        <v>18.47</v>
      </c>
      <c r="BF32">
        <v>12.699875</v>
      </c>
      <c r="BH32">
        <v>0</v>
      </c>
      <c r="BJ32">
        <v>2006</v>
      </c>
      <c r="BK32">
        <v>31</v>
      </c>
      <c r="BL32">
        <v>0</v>
      </c>
      <c r="BM32">
        <v>7.63</v>
      </c>
      <c r="BN32">
        <v>20.78</v>
      </c>
      <c r="BO32">
        <v>14.036250000000003</v>
      </c>
      <c r="BQ32">
        <v>0</v>
      </c>
      <c r="BS32">
        <v>2006</v>
      </c>
      <c r="BT32">
        <v>31</v>
      </c>
      <c r="BU32">
        <v>0</v>
      </c>
      <c r="BV32">
        <v>11.47</v>
      </c>
      <c r="BW32">
        <v>24.75</v>
      </c>
      <c r="BX32">
        <v>17.467916666666671</v>
      </c>
      <c r="BZ32">
        <v>0</v>
      </c>
      <c r="CB32">
        <v>2006</v>
      </c>
      <c r="CC32">
        <v>31</v>
      </c>
      <c r="CD32">
        <v>0.60000000000000009</v>
      </c>
      <c r="CE32">
        <v>14.89</v>
      </c>
      <c r="CF32">
        <v>21.19</v>
      </c>
      <c r="CG32">
        <v>17.760000000000002</v>
      </c>
      <c r="CI32">
        <v>0</v>
      </c>
    </row>
    <row r="33" spans="1:87" x14ac:dyDescent="0.25">
      <c r="A33" t="b">
        <f t="shared" si="4"/>
        <v>0</v>
      </c>
      <c r="B33">
        <v>2006</v>
      </c>
      <c r="C33">
        <v>122</v>
      </c>
      <c r="D33">
        <v>0</v>
      </c>
      <c r="E33">
        <v>1600</v>
      </c>
      <c r="F33" s="7">
        <v>129.1</v>
      </c>
      <c r="G33" s="7">
        <v>9.8699999999999992</v>
      </c>
      <c r="H33" s="7">
        <v>0.2</v>
      </c>
      <c r="I33" s="7" t="str">
        <f t="shared" si="0"/>
        <v/>
      </c>
      <c r="J33" s="7" t="str">
        <f t="shared" si="1"/>
        <v/>
      </c>
      <c r="K33" s="7">
        <v>0</v>
      </c>
      <c r="L33" s="7" t="str">
        <f t="shared" si="2"/>
        <v/>
      </c>
      <c r="M33" s="7" t="str">
        <f t="shared" si="3"/>
        <v/>
      </c>
      <c r="N33" s="7">
        <v>0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13">
        <v>151</v>
      </c>
      <c r="AE33" s="9">
        <v>31</v>
      </c>
      <c r="AF33" s="17">
        <f t="shared" ca="1" si="5"/>
        <v>0</v>
      </c>
      <c r="AG33">
        <f t="shared" ca="1" si="6"/>
        <v>0</v>
      </c>
      <c r="AI33">
        <v>2006</v>
      </c>
      <c r="AJ33">
        <v>32</v>
      </c>
      <c r="AK33">
        <v>0</v>
      </c>
      <c r="AL33">
        <v>6.2709999999999999</v>
      </c>
      <c r="AM33">
        <v>18.47</v>
      </c>
      <c r="AN33">
        <v>12.699875</v>
      </c>
      <c r="AP33">
        <v>0</v>
      </c>
      <c r="AR33">
        <v>2006</v>
      </c>
      <c r="AS33">
        <v>32</v>
      </c>
      <c r="AT33">
        <v>0</v>
      </c>
      <c r="AU33">
        <v>6.2709999999999999</v>
      </c>
      <c r="AV33">
        <v>18.47</v>
      </c>
      <c r="AW33">
        <v>12.699875</v>
      </c>
      <c r="AY33">
        <v>0</v>
      </c>
      <c r="BA33">
        <v>2006</v>
      </c>
      <c r="BB33">
        <v>32</v>
      </c>
      <c r="BC33">
        <v>0</v>
      </c>
      <c r="BD33">
        <v>3.69</v>
      </c>
      <c r="BE33">
        <v>20.66</v>
      </c>
      <c r="BF33">
        <v>12.809666666666667</v>
      </c>
      <c r="BH33">
        <v>0</v>
      </c>
      <c r="BJ33">
        <v>2006</v>
      </c>
      <c r="BK33">
        <v>32</v>
      </c>
      <c r="BL33">
        <v>0</v>
      </c>
      <c r="BM33">
        <v>11.47</v>
      </c>
      <c r="BN33">
        <v>24.75</v>
      </c>
      <c r="BO33">
        <v>17.467916666666671</v>
      </c>
      <c r="BQ33">
        <v>0</v>
      </c>
      <c r="BS33">
        <v>2006</v>
      </c>
      <c r="BT33">
        <v>32</v>
      </c>
      <c r="BU33">
        <v>0</v>
      </c>
      <c r="BV33">
        <v>14.79</v>
      </c>
      <c r="BW33">
        <v>23.19</v>
      </c>
      <c r="BX33">
        <v>19.203333333333337</v>
      </c>
      <c r="BZ33">
        <v>0</v>
      </c>
      <c r="CB33">
        <v>2006</v>
      </c>
      <c r="CC33">
        <v>32</v>
      </c>
      <c r="CD33">
        <v>0.8</v>
      </c>
      <c r="CE33">
        <v>11.92</v>
      </c>
      <c r="CF33">
        <v>20.36</v>
      </c>
      <c r="CG33">
        <v>16.21875</v>
      </c>
      <c r="CI33">
        <v>0</v>
      </c>
    </row>
    <row r="34" spans="1:87" x14ac:dyDescent="0.25">
      <c r="A34" t="b">
        <f t="shared" si="4"/>
        <v>0</v>
      </c>
      <c r="B34">
        <v>2006</v>
      </c>
      <c r="C34">
        <v>122</v>
      </c>
      <c r="D34">
        <v>0</v>
      </c>
      <c r="E34">
        <v>1700</v>
      </c>
      <c r="F34" s="7">
        <v>83</v>
      </c>
      <c r="G34" s="7">
        <v>8.5</v>
      </c>
      <c r="H34" s="7">
        <v>0</v>
      </c>
      <c r="I34" s="7" t="str">
        <f t="shared" si="0"/>
        <v/>
      </c>
      <c r="J34" s="7" t="str">
        <f t="shared" si="1"/>
        <v/>
      </c>
      <c r="K34" s="7">
        <v>0</v>
      </c>
      <c r="L34" s="7" t="str">
        <f t="shared" si="2"/>
        <v/>
      </c>
      <c r="M34" s="7" t="str">
        <f t="shared" si="3"/>
        <v/>
      </c>
      <c r="N34" s="7">
        <v>0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13">
        <v>152</v>
      </c>
      <c r="AE34" s="9">
        <v>32</v>
      </c>
      <c r="AF34" s="17">
        <f t="shared" ca="1" si="5"/>
        <v>0</v>
      </c>
      <c r="AG34">
        <f t="shared" ca="1" si="6"/>
        <v>0</v>
      </c>
      <c r="AI34">
        <v>2006</v>
      </c>
      <c r="AJ34">
        <v>33</v>
      </c>
      <c r="AK34">
        <v>0</v>
      </c>
      <c r="AL34">
        <v>3.69</v>
      </c>
      <c r="AM34">
        <v>20.66</v>
      </c>
      <c r="AN34">
        <v>12.809666666666667</v>
      </c>
      <c r="AP34">
        <v>0</v>
      </c>
      <c r="AR34">
        <v>2006</v>
      </c>
      <c r="AS34">
        <v>33</v>
      </c>
      <c r="AT34">
        <v>0</v>
      </c>
      <c r="AU34">
        <v>3.69</v>
      </c>
      <c r="AV34">
        <v>20.66</v>
      </c>
      <c r="AW34">
        <v>12.809666666666667</v>
      </c>
      <c r="AY34">
        <v>0</v>
      </c>
      <c r="BA34">
        <v>2006</v>
      </c>
      <c r="BB34">
        <v>33</v>
      </c>
      <c r="BC34">
        <v>0</v>
      </c>
      <c r="BD34">
        <v>10.14</v>
      </c>
      <c r="BE34">
        <v>22</v>
      </c>
      <c r="BF34">
        <v>15.106666666666667</v>
      </c>
      <c r="BH34">
        <v>0</v>
      </c>
      <c r="BJ34">
        <v>2006</v>
      </c>
      <c r="BK34">
        <v>33</v>
      </c>
      <c r="BL34">
        <v>0</v>
      </c>
      <c r="BM34">
        <v>14.79</v>
      </c>
      <c r="BN34">
        <v>23.19</v>
      </c>
      <c r="BO34">
        <v>19.203333333333337</v>
      </c>
      <c r="BQ34">
        <v>0</v>
      </c>
      <c r="BS34">
        <v>2006</v>
      </c>
      <c r="BT34">
        <v>33</v>
      </c>
      <c r="BU34">
        <v>0.60000000000000009</v>
      </c>
      <c r="BV34">
        <v>14.89</v>
      </c>
      <c r="BW34">
        <v>21.19</v>
      </c>
      <c r="BX34">
        <v>17.760000000000002</v>
      </c>
      <c r="BZ34">
        <v>0</v>
      </c>
      <c r="CB34">
        <v>2006</v>
      </c>
      <c r="CC34">
        <v>33</v>
      </c>
      <c r="CD34">
        <v>0</v>
      </c>
      <c r="CE34">
        <v>10.89</v>
      </c>
      <c r="CF34">
        <v>20.52</v>
      </c>
      <c r="CG34">
        <v>15.767499999999997</v>
      </c>
      <c r="CI34">
        <v>0</v>
      </c>
    </row>
    <row r="35" spans="1:87" x14ac:dyDescent="0.25">
      <c r="A35" t="b">
        <f t="shared" si="4"/>
        <v>0</v>
      </c>
      <c r="B35">
        <v>2006</v>
      </c>
      <c r="C35">
        <v>122</v>
      </c>
      <c r="D35">
        <v>0</v>
      </c>
      <c r="E35">
        <v>1800</v>
      </c>
      <c r="F35" s="7">
        <v>128.69999999999999</v>
      </c>
      <c r="G35" s="7">
        <v>9.06</v>
      </c>
      <c r="H35" s="7">
        <v>0</v>
      </c>
      <c r="I35" s="7" t="str">
        <f t="shared" si="0"/>
        <v/>
      </c>
      <c r="J35" s="7" t="str">
        <f t="shared" si="1"/>
        <v/>
      </c>
      <c r="K35" s="7">
        <v>0</v>
      </c>
      <c r="L35" s="7" t="str">
        <f t="shared" si="2"/>
        <v/>
      </c>
      <c r="M35" s="7" t="str">
        <f t="shared" si="3"/>
        <v/>
      </c>
      <c r="N35" s="7">
        <v>0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13">
        <v>153</v>
      </c>
      <c r="AE35" s="9">
        <v>33</v>
      </c>
      <c r="AF35" s="17">
        <f t="shared" ca="1" si="5"/>
        <v>0</v>
      </c>
      <c r="AG35">
        <f t="shared" ca="1" si="6"/>
        <v>0</v>
      </c>
      <c r="AI35">
        <v>2006</v>
      </c>
      <c r="AJ35">
        <v>34</v>
      </c>
      <c r="AK35">
        <v>0</v>
      </c>
      <c r="AL35">
        <v>10.14</v>
      </c>
      <c r="AM35">
        <v>22</v>
      </c>
      <c r="AN35">
        <v>15.106666666666667</v>
      </c>
      <c r="AP35">
        <v>0</v>
      </c>
      <c r="AR35">
        <v>2006</v>
      </c>
      <c r="AS35">
        <v>34</v>
      </c>
      <c r="AT35">
        <v>0</v>
      </c>
      <c r="AU35">
        <v>10.14</v>
      </c>
      <c r="AV35">
        <v>22</v>
      </c>
      <c r="AW35">
        <v>15.106666666666667</v>
      </c>
      <c r="AY35">
        <v>0</v>
      </c>
      <c r="BA35">
        <v>2006</v>
      </c>
      <c r="BB35">
        <v>34</v>
      </c>
      <c r="BC35">
        <v>0</v>
      </c>
      <c r="BD35">
        <v>7.08</v>
      </c>
      <c r="BE35">
        <v>18.489999999999998</v>
      </c>
      <c r="BF35">
        <v>13.83</v>
      </c>
      <c r="BH35">
        <v>0</v>
      </c>
      <c r="BJ35">
        <v>2006</v>
      </c>
      <c r="BK35">
        <v>34</v>
      </c>
      <c r="BL35">
        <v>0.60000000000000009</v>
      </c>
      <c r="BM35">
        <v>14.89</v>
      </c>
      <c r="BN35">
        <v>21.19</v>
      </c>
      <c r="BO35">
        <v>17.760000000000002</v>
      </c>
      <c r="BQ35">
        <v>0</v>
      </c>
      <c r="BS35">
        <v>2006</v>
      </c>
      <c r="BT35">
        <v>34</v>
      </c>
      <c r="BU35">
        <v>0.8</v>
      </c>
      <c r="BV35">
        <v>11.92</v>
      </c>
      <c r="BW35">
        <v>20.36</v>
      </c>
      <c r="BX35">
        <v>16.21875</v>
      </c>
      <c r="BZ35">
        <v>0</v>
      </c>
      <c r="CB35">
        <v>2006</v>
      </c>
      <c r="CC35">
        <v>34</v>
      </c>
      <c r="CD35">
        <v>0</v>
      </c>
      <c r="CE35">
        <v>5.1890000000000001</v>
      </c>
      <c r="CF35">
        <v>16.97</v>
      </c>
      <c r="CG35">
        <v>12.981083333333332</v>
      </c>
      <c r="CI35">
        <v>0</v>
      </c>
    </row>
    <row r="36" spans="1:87" x14ac:dyDescent="0.25">
      <c r="A36" t="b">
        <f t="shared" si="4"/>
        <v>0</v>
      </c>
      <c r="B36">
        <v>2006</v>
      </c>
      <c r="C36">
        <v>122</v>
      </c>
      <c r="D36">
        <v>0</v>
      </c>
      <c r="E36">
        <v>1900</v>
      </c>
      <c r="F36" s="7">
        <v>121.9</v>
      </c>
      <c r="G36" s="7">
        <v>9.31</v>
      </c>
      <c r="H36" s="7">
        <v>0</v>
      </c>
      <c r="I36" s="7" t="str">
        <f t="shared" si="0"/>
        <v/>
      </c>
      <c r="J36" s="7" t="str">
        <f t="shared" si="1"/>
        <v/>
      </c>
      <c r="K36" s="7">
        <v>0</v>
      </c>
      <c r="L36" s="7" t="str">
        <f t="shared" si="2"/>
        <v/>
      </c>
      <c r="M36" s="7" t="str">
        <f t="shared" si="3"/>
        <v/>
      </c>
      <c r="N36" s="7">
        <v>0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13">
        <v>154</v>
      </c>
      <c r="AE36" s="9">
        <v>34</v>
      </c>
      <c r="AF36" s="17">
        <f t="shared" ca="1" si="5"/>
        <v>0</v>
      </c>
      <c r="AG36">
        <f t="shared" ca="1" si="6"/>
        <v>0</v>
      </c>
      <c r="AI36">
        <v>2006</v>
      </c>
      <c r="AJ36">
        <v>35</v>
      </c>
      <c r="AK36">
        <v>0</v>
      </c>
      <c r="AL36">
        <v>7.08</v>
      </c>
      <c r="AM36">
        <v>18.489999999999998</v>
      </c>
      <c r="AN36">
        <v>13.83</v>
      </c>
      <c r="AP36">
        <v>0</v>
      </c>
      <c r="AR36">
        <v>2006</v>
      </c>
      <c r="AS36">
        <v>35</v>
      </c>
      <c r="AT36">
        <v>0</v>
      </c>
      <c r="AU36">
        <v>7.08</v>
      </c>
      <c r="AV36">
        <v>18.489999999999998</v>
      </c>
      <c r="AW36">
        <v>13.83</v>
      </c>
      <c r="AY36">
        <v>0</v>
      </c>
      <c r="BA36">
        <v>2006</v>
      </c>
      <c r="BB36">
        <v>35</v>
      </c>
      <c r="BC36">
        <v>0</v>
      </c>
      <c r="BD36">
        <v>7.8</v>
      </c>
      <c r="BE36">
        <v>22</v>
      </c>
      <c r="BF36">
        <v>15.237499999999997</v>
      </c>
      <c r="BH36">
        <v>0</v>
      </c>
      <c r="BJ36">
        <v>2006</v>
      </c>
      <c r="BK36">
        <v>35</v>
      </c>
      <c r="BL36">
        <v>0.8</v>
      </c>
      <c r="BM36">
        <v>11.92</v>
      </c>
      <c r="BN36">
        <v>20.36</v>
      </c>
      <c r="BO36">
        <v>16.21875</v>
      </c>
      <c r="BQ36">
        <v>0</v>
      </c>
      <c r="BS36">
        <v>2006</v>
      </c>
      <c r="BT36">
        <v>35</v>
      </c>
      <c r="BU36">
        <v>0</v>
      </c>
      <c r="BV36">
        <v>10.89</v>
      </c>
      <c r="BW36">
        <v>20.52</v>
      </c>
      <c r="BX36">
        <v>15.767499999999997</v>
      </c>
      <c r="BZ36">
        <v>0</v>
      </c>
      <c r="CB36">
        <v>2006</v>
      </c>
      <c r="CC36">
        <v>35</v>
      </c>
      <c r="CD36">
        <v>0</v>
      </c>
      <c r="CE36">
        <v>3.492</v>
      </c>
      <c r="CF36">
        <v>17.68</v>
      </c>
      <c r="CG36">
        <v>11.989208333333332</v>
      </c>
      <c r="CI36">
        <v>0</v>
      </c>
    </row>
    <row r="37" spans="1:87" x14ac:dyDescent="0.25">
      <c r="A37" t="b">
        <f t="shared" si="4"/>
        <v>0</v>
      </c>
      <c r="B37">
        <v>2006</v>
      </c>
      <c r="C37">
        <v>122</v>
      </c>
      <c r="D37">
        <v>0</v>
      </c>
      <c r="E37">
        <v>2000</v>
      </c>
      <c r="F37" s="7">
        <v>13.2</v>
      </c>
      <c r="G37" s="7">
        <v>8.44</v>
      </c>
      <c r="H37" s="7">
        <v>0</v>
      </c>
      <c r="I37" s="7" t="str">
        <f t="shared" si="0"/>
        <v/>
      </c>
      <c r="J37" s="7" t="str">
        <f t="shared" si="1"/>
        <v/>
      </c>
      <c r="K37" s="7">
        <v>0</v>
      </c>
      <c r="L37" s="7" t="str">
        <f t="shared" si="2"/>
        <v/>
      </c>
      <c r="M37" s="7" t="str">
        <f t="shared" si="3"/>
        <v/>
      </c>
      <c r="N37" s="7">
        <v>0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13">
        <v>155</v>
      </c>
      <c r="AE37" s="9">
        <v>35</v>
      </c>
      <c r="AF37" s="17">
        <f t="shared" ca="1" si="5"/>
        <v>0</v>
      </c>
      <c r="AG37">
        <f t="shared" ca="1" si="6"/>
        <v>0</v>
      </c>
      <c r="AI37">
        <v>2006</v>
      </c>
      <c r="AJ37">
        <v>36</v>
      </c>
      <c r="AK37">
        <v>0</v>
      </c>
      <c r="AL37">
        <v>7.8</v>
      </c>
      <c r="AM37">
        <v>22</v>
      </c>
      <c r="AN37">
        <v>15.237499999999997</v>
      </c>
      <c r="AP37">
        <v>0</v>
      </c>
      <c r="AR37">
        <v>2006</v>
      </c>
      <c r="AS37">
        <v>36</v>
      </c>
      <c r="AT37">
        <v>0</v>
      </c>
      <c r="AU37">
        <v>7.8</v>
      </c>
      <c r="AV37">
        <v>22</v>
      </c>
      <c r="AW37">
        <v>15.237499999999997</v>
      </c>
      <c r="AY37">
        <v>0</v>
      </c>
      <c r="BA37">
        <v>2006</v>
      </c>
      <c r="BB37">
        <v>36</v>
      </c>
      <c r="BC37">
        <v>1.4</v>
      </c>
      <c r="BD37">
        <v>9.83</v>
      </c>
      <c r="BE37">
        <v>25.82</v>
      </c>
      <c r="BF37">
        <v>17.240416666666665</v>
      </c>
      <c r="BH37">
        <v>0</v>
      </c>
      <c r="BJ37">
        <v>2006</v>
      </c>
      <c r="BK37">
        <v>36</v>
      </c>
      <c r="BL37">
        <v>0</v>
      </c>
      <c r="BM37">
        <v>10.89</v>
      </c>
      <c r="BN37">
        <v>20.52</v>
      </c>
      <c r="BO37">
        <v>15.767499999999997</v>
      </c>
      <c r="BQ37">
        <v>0</v>
      </c>
      <c r="BS37">
        <v>2006</v>
      </c>
      <c r="BT37">
        <v>36</v>
      </c>
      <c r="BU37">
        <v>0</v>
      </c>
      <c r="BV37">
        <v>5.1890000000000001</v>
      </c>
      <c r="BW37">
        <v>16.97</v>
      </c>
      <c r="BX37">
        <v>12.981083333333332</v>
      </c>
      <c r="BZ37">
        <v>0</v>
      </c>
      <c r="CB37">
        <v>2006</v>
      </c>
      <c r="CC37">
        <v>36</v>
      </c>
      <c r="CD37">
        <v>0.4</v>
      </c>
      <c r="CE37">
        <v>12.65</v>
      </c>
      <c r="CF37">
        <v>19.600000000000001</v>
      </c>
      <c r="CG37">
        <v>16.274999999999999</v>
      </c>
      <c r="CI37">
        <v>0</v>
      </c>
    </row>
    <row r="38" spans="1:87" x14ac:dyDescent="0.25">
      <c r="A38" t="b">
        <f t="shared" si="4"/>
        <v>0</v>
      </c>
      <c r="B38">
        <v>2006</v>
      </c>
      <c r="C38">
        <v>122</v>
      </c>
      <c r="D38">
        <v>0</v>
      </c>
      <c r="E38">
        <v>2100</v>
      </c>
      <c r="F38" s="7">
        <v>-1.254</v>
      </c>
      <c r="G38" s="7">
        <v>8.75</v>
      </c>
      <c r="H38" s="7">
        <v>0</v>
      </c>
      <c r="I38" s="7" t="str">
        <f t="shared" si="0"/>
        <v/>
      </c>
      <c r="J38" s="7" t="str">
        <f t="shared" si="1"/>
        <v/>
      </c>
      <c r="K38" s="7">
        <v>0</v>
      </c>
      <c r="L38" s="7" t="str">
        <f t="shared" si="2"/>
        <v/>
      </c>
      <c r="M38" s="7" t="str">
        <f t="shared" si="3"/>
        <v/>
      </c>
      <c r="N38" s="7">
        <v>0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13">
        <v>156</v>
      </c>
      <c r="AE38" s="9">
        <v>36</v>
      </c>
      <c r="AF38" s="17">
        <f t="shared" ca="1" si="5"/>
        <v>0</v>
      </c>
      <c r="AG38">
        <f t="shared" ca="1" si="6"/>
        <v>0</v>
      </c>
      <c r="AI38">
        <v>2006</v>
      </c>
      <c r="AJ38">
        <v>37</v>
      </c>
      <c r="AK38">
        <v>1.4</v>
      </c>
      <c r="AL38">
        <v>9.83</v>
      </c>
      <c r="AM38">
        <v>25.82</v>
      </c>
      <c r="AN38">
        <v>17.240416666666665</v>
      </c>
      <c r="AP38">
        <v>0</v>
      </c>
      <c r="AR38">
        <v>2006</v>
      </c>
      <c r="AS38">
        <v>37</v>
      </c>
      <c r="AT38">
        <v>1.4</v>
      </c>
      <c r="AU38">
        <v>9.83</v>
      </c>
      <c r="AV38">
        <v>25.82</v>
      </c>
      <c r="AW38">
        <v>17.240416666666665</v>
      </c>
      <c r="AY38">
        <v>0</v>
      </c>
      <c r="BA38">
        <v>2006</v>
      </c>
      <c r="BB38">
        <v>37</v>
      </c>
      <c r="BC38">
        <v>0</v>
      </c>
      <c r="BD38">
        <v>7.63</v>
      </c>
      <c r="BE38">
        <v>20.78</v>
      </c>
      <c r="BF38">
        <v>14.036250000000003</v>
      </c>
      <c r="BH38">
        <v>0</v>
      </c>
      <c r="BJ38">
        <v>2006</v>
      </c>
      <c r="BK38">
        <v>37</v>
      </c>
      <c r="BL38">
        <v>0</v>
      </c>
      <c r="BM38">
        <v>5.1890000000000001</v>
      </c>
      <c r="BN38">
        <v>16.97</v>
      </c>
      <c r="BO38">
        <v>12.981083333333332</v>
      </c>
      <c r="BQ38">
        <v>0</v>
      </c>
      <c r="BS38">
        <v>2006</v>
      </c>
      <c r="BT38">
        <v>37</v>
      </c>
      <c r="BU38">
        <v>0</v>
      </c>
      <c r="BV38">
        <v>3.492</v>
      </c>
      <c r="BW38">
        <v>17.68</v>
      </c>
      <c r="BX38">
        <v>11.989208333333332</v>
      </c>
      <c r="BZ38">
        <v>0</v>
      </c>
      <c r="CB38">
        <v>2006</v>
      </c>
      <c r="CC38">
        <v>37</v>
      </c>
      <c r="CD38">
        <v>1.4</v>
      </c>
      <c r="CE38">
        <v>12.84</v>
      </c>
      <c r="CF38">
        <v>17.18</v>
      </c>
      <c r="CG38">
        <v>15.114583333333334</v>
      </c>
      <c r="CI38">
        <v>0</v>
      </c>
    </row>
    <row r="39" spans="1:87" x14ac:dyDescent="0.25">
      <c r="A39" t="b">
        <f t="shared" si="4"/>
        <v>0</v>
      </c>
      <c r="B39">
        <v>2006</v>
      </c>
      <c r="C39">
        <v>122</v>
      </c>
      <c r="D39">
        <v>0</v>
      </c>
      <c r="E39">
        <v>2200</v>
      </c>
      <c r="F39" s="7">
        <v>-2.0350000000000001</v>
      </c>
      <c r="G39" s="7">
        <v>8.51</v>
      </c>
      <c r="H39" s="7">
        <v>0</v>
      </c>
      <c r="I39" s="7" t="str">
        <f t="shared" si="0"/>
        <v/>
      </c>
      <c r="J39" s="7" t="str">
        <f t="shared" si="1"/>
        <v/>
      </c>
      <c r="K39" s="7">
        <v>0</v>
      </c>
      <c r="L39" s="7" t="str">
        <f t="shared" si="2"/>
        <v/>
      </c>
      <c r="M39" s="7" t="str">
        <f t="shared" si="3"/>
        <v/>
      </c>
      <c r="N39" s="7">
        <v>0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13">
        <v>157</v>
      </c>
      <c r="AE39" s="9">
        <v>37</v>
      </c>
      <c r="AF39" s="17">
        <f t="shared" ca="1" si="5"/>
        <v>0</v>
      </c>
      <c r="AG39">
        <f t="shared" ca="1" si="6"/>
        <v>0</v>
      </c>
      <c r="AI39">
        <v>2006</v>
      </c>
      <c r="AJ39">
        <v>38</v>
      </c>
      <c r="AK39">
        <v>0</v>
      </c>
      <c r="AL39">
        <v>7.63</v>
      </c>
      <c r="AM39">
        <v>20.78</v>
      </c>
      <c r="AN39">
        <v>14.036250000000003</v>
      </c>
      <c r="AP39">
        <v>0</v>
      </c>
      <c r="AR39">
        <v>2006</v>
      </c>
      <c r="AS39">
        <v>38</v>
      </c>
      <c r="AT39">
        <v>0</v>
      </c>
      <c r="AU39">
        <v>7.63</v>
      </c>
      <c r="AV39">
        <v>20.78</v>
      </c>
      <c r="AW39">
        <v>14.036250000000003</v>
      </c>
      <c r="AY39">
        <v>0</v>
      </c>
      <c r="BA39">
        <v>2006</v>
      </c>
      <c r="BB39">
        <v>38</v>
      </c>
      <c r="BC39">
        <v>0</v>
      </c>
      <c r="BD39">
        <v>11.47</v>
      </c>
      <c r="BE39">
        <v>24.75</v>
      </c>
      <c r="BF39">
        <v>17.467916666666671</v>
      </c>
      <c r="BH39">
        <v>0</v>
      </c>
      <c r="BJ39">
        <v>2006</v>
      </c>
      <c r="BK39">
        <v>38</v>
      </c>
      <c r="BL39">
        <v>0</v>
      </c>
      <c r="BM39">
        <v>3.492</v>
      </c>
      <c r="BN39">
        <v>17.68</v>
      </c>
      <c r="BO39">
        <v>11.989208333333332</v>
      </c>
      <c r="BQ39">
        <v>0</v>
      </c>
      <c r="BS39">
        <v>2006</v>
      </c>
      <c r="BT39">
        <v>38</v>
      </c>
      <c r="BU39">
        <v>0.4</v>
      </c>
      <c r="BV39">
        <v>12.65</v>
      </c>
      <c r="BW39">
        <v>19.600000000000001</v>
      </c>
      <c r="BX39">
        <v>16.274999999999999</v>
      </c>
      <c r="BZ39">
        <v>0</v>
      </c>
      <c r="CB39">
        <v>2006</v>
      </c>
      <c r="CC39">
        <v>38</v>
      </c>
      <c r="CD39">
        <v>0.2</v>
      </c>
      <c r="CE39">
        <v>13.92</v>
      </c>
      <c r="CF39">
        <v>20.5</v>
      </c>
      <c r="CG39">
        <v>16.64</v>
      </c>
      <c r="CI39">
        <v>0</v>
      </c>
    </row>
    <row r="40" spans="1:87" x14ac:dyDescent="0.25">
      <c r="A40" t="b">
        <f t="shared" si="4"/>
        <v>0</v>
      </c>
      <c r="B40">
        <v>2006</v>
      </c>
      <c r="C40">
        <v>122</v>
      </c>
      <c r="D40">
        <v>0</v>
      </c>
      <c r="E40">
        <v>2300</v>
      </c>
      <c r="F40" s="7">
        <v>-2.6440000000000001</v>
      </c>
      <c r="G40" s="7">
        <v>7.74</v>
      </c>
      <c r="H40" s="7">
        <v>0</v>
      </c>
      <c r="I40" s="7" t="str">
        <f t="shared" si="0"/>
        <v/>
      </c>
      <c r="J40" s="7" t="str">
        <f t="shared" si="1"/>
        <v/>
      </c>
      <c r="K40" s="7">
        <v>0</v>
      </c>
      <c r="L40" s="7" t="str">
        <f t="shared" si="2"/>
        <v/>
      </c>
      <c r="M40" s="7" t="str">
        <f t="shared" si="3"/>
        <v/>
      </c>
      <c r="N40" s="7">
        <v>0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13">
        <v>158</v>
      </c>
      <c r="AE40" s="9">
        <v>38</v>
      </c>
      <c r="AF40" s="17">
        <f t="shared" ca="1" si="5"/>
        <v>0</v>
      </c>
      <c r="AG40">
        <f t="shared" ca="1" si="6"/>
        <v>0</v>
      </c>
      <c r="AI40">
        <v>2006</v>
      </c>
      <c r="AJ40">
        <v>39</v>
      </c>
      <c r="AK40">
        <v>0</v>
      </c>
      <c r="AL40">
        <v>11.47</v>
      </c>
      <c r="AM40">
        <v>24.75</v>
      </c>
      <c r="AN40">
        <v>17.467916666666671</v>
      </c>
      <c r="AP40">
        <v>0</v>
      </c>
      <c r="AR40">
        <v>2006</v>
      </c>
      <c r="AS40">
        <v>39</v>
      </c>
      <c r="AT40">
        <v>0</v>
      </c>
      <c r="AU40">
        <v>11.47</v>
      </c>
      <c r="AV40">
        <v>24.75</v>
      </c>
      <c r="AW40">
        <v>17.467916666666671</v>
      </c>
      <c r="AY40">
        <v>0</v>
      </c>
      <c r="BA40">
        <v>2006</v>
      </c>
      <c r="BB40">
        <v>39</v>
      </c>
      <c r="BC40">
        <v>0</v>
      </c>
      <c r="BD40">
        <v>14.79</v>
      </c>
      <c r="BE40">
        <v>23.19</v>
      </c>
      <c r="BF40">
        <v>19.203333333333337</v>
      </c>
      <c r="BH40">
        <v>0</v>
      </c>
      <c r="BJ40">
        <v>2006</v>
      </c>
      <c r="BK40">
        <v>39</v>
      </c>
      <c r="BL40">
        <v>0.4</v>
      </c>
      <c r="BM40">
        <v>12.65</v>
      </c>
      <c r="BN40">
        <v>19.600000000000001</v>
      </c>
      <c r="BO40">
        <v>16.274999999999999</v>
      </c>
      <c r="BQ40">
        <v>0</v>
      </c>
      <c r="BS40">
        <v>2006</v>
      </c>
      <c r="BT40">
        <v>39</v>
      </c>
      <c r="BU40">
        <v>1.4</v>
      </c>
      <c r="BV40">
        <v>12.84</v>
      </c>
      <c r="BW40">
        <v>17.18</v>
      </c>
      <c r="BX40">
        <v>15.114583333333334</v>
      </c>
      <c r="BZ40">
        <v>0</v>
      </c>
      <c r="CB40">
        <v>2006</v>
      </c>
      <c r="CC40">
        <v>39</v>
      </c>
      <c r="CD40">
        <v>0</v>
      </c>
      <c r="CE40">
        <v>12.03</v>
      </c>
      <c r="CF40">
        <v>16.75</v>
      </c>
      <c r="CG40">
        <v>14.067500000000001</v>
      </c>
      <c r="CI40">
        <v>0</v>
      </c>
    </row>
    <row r="41" spans="1:87" x14ac:dyDescent="0.25">
      <c r="A41" t="b">
        <f t="shared" si="4"/>
        <v>0</v>
      </c>
      <c r="B41">
        <v>2006</v>
      </c>
      <c r="C41">
        <v>122</v>
      </c>
      <c r="D41">
        <v>0</v>
      </c>
      <c r="E41">
        <v>2400</v>
      </c>
      <c r="F41" s="7">
        <v>-2.7120000000000002</v>
      </c>
      <c r="G41" s="7">
        <v>7.52</v>
      </c>
      <c r="H41" s="7">
        <v>0.2</v>
      </c>
      <c r="I41" s="7" t="str">
        <f t="shared" si="0"/>
        <v/>
      </c>
      <c r="J41" s="7" t="str">
        <f t="shared" si="1"/>
        <v/>
      </c>
      <c r="K41" s="7">
        <v>0</v>
      </c>
      <c r="L41" s="7" t="str">
        <f t="shared" si="2"/>
        <v/>
      </c>
      <c r="M41" s="7" t="str">
        <f t="shared" si="3"/>
        <v/>
      </c>
      <c r="N41" s="7">
        <v>0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3">
        <v>159</v>
      </c>
      <c r="AE41" s="9">
        <v>39</v>
      </c>
      <c r="AF41" s="17">
        <f t="shared" ca="1" si="5"/>
        <v>0</v>
      </c>
      <c r="AG41">
        <f t="shared" ca="1" si="6"/>
        <v>0</v>
      </c>
      <c r="AI41">
        <v>2006</v>
      </c>
      <c r="AJ41">
        <v>40</v>
      </c>
      <c r="AK41">
        <v>0</v>
      </c>
      <c r="AL41">
        <v>14.79</v>
      </c>
      <c r="AM41">
        <v>23.19</v>
      </c>
      <c r="AN41">
        <v>19.203333333333337</v>
      </c>
      <c r="AP41">
        <v>0</v>
      </c>
      <c r="AR41">
        <v>2006</v>
      </c>
      <c r="AS41">
        <v>40</v>
      </c>
      <c r="AT41">
        <v>0</v>
      </c>
      <c r="AU41">
        <v>14.79</v>
      </c>
      <c r="AV41">
        <v>23.19</v>
      </c>
      <c r="AW41">
        <v>19.203333333333337</v>
      </c>
      <c r="AY41">
        <v>0</v>
      </c>
      <c r="BA41">
        <v>2006</v>
      </c>
      <c r="BB41">
        <v>40</v>
      </c>
      <c r="BC41">
        <v>0.60000000000000009</v>
      </c>
      <c r="BD41">
        <v>14.89</v>
      </c>
      <c r="BE41">
        <v>21.19</v>
      </c>
      <c r="BF41">
        <v>17.760000000000002</v>
      </c>
      <c r="BH41">
        <v>0</v>
      </c>
      <c r="BJ41">
        <v>2006</v>
      </c>
      <c r="BK41">
        <v>40</v>
      </c>
      <c r="BL41">
        <v>1.4</v>
      </c>
      <c r="BM41">
        <v>12.84</v>
      </c>
      <c r="BN41">
        <v>17.18</v>
      </c>
      <c r="BO41">
        <v>15.114583333333334</v>
      </c>
      <c r="BQ41">
        <v>0</v>
      </c>
      <c r="BS41">
        <v>2006</v>
      </c>
      <c r="BT41">
        <v>40</v>
      </c>
      <c r="BU41">
        <v>0.2</v>
      </c>
      <c r="BV41">
        <v>13.92</v>
      </c>
      <c r="BW41">
        <v>20.5</v>
      </c>
      <c r="BX41">
        <v>16.64</v>
      </c>
      <c r="BZ41">
        <v>0</v>
      </c>
      <c r="CB41">
        <v>2006</v>
      </c>
      <c r="CC41">
        <v>40</v>
      </c>
      <c r="CD41">
        <v>0</v>
      </c>
      <c r="CE41">
        <v>9.94</v>
      </c>
      <c r="CF41">
        <v>15.62</v>
      </c>
      <c r="CG41">
        <v>13.307083333333331</v>
      </c>
      <c r="CI41">
        <v>0</v>
      </c>
    </row>
    <row r="42" spans="1:87" x14ac:dyDescent="0.25">
      <c r="A42" t="b">
        <f t="shared" si="4"/>
        <v>1</v>
      </c>
      <c r="B42">
        <v>2006</v>
      </c>
      <c r="C42">
        <v>123</v>
      </c>
      <c r="D42">
        <v>0</v>
      </c>
      <c r="E42">
        <v>100</v>
      </c>
      <c r="F42" s="7">
        <v>-3.4020000000000001</v>
      </c>
      <c r="G42" s="7">
        <v>6.8680000000000003</v>
      </c>
      <c r="H42" s="7">
        <v>0</v>
      </c>
      <c r="I42" s="7">
        <f t="shared" si="0"/>
        <v>8</v>
      </c>
      <c r="J42" s="7">
        <f t="shared" si="1"/>
        <v>100.74716666666667</v>
      </c>
      <c r="K42" s="7">
        <v>0</v>
      </c>
      <c r="L42" s="7">
        <f t="shared" si="2"/>
        <v>13.14</v>
      </c>
      <c r="M42" s="7">
        <f t="shared" si="3"/>
        <v>6.4649999999999999</v>
      </c>
      <c r="N42" s="7">
        <v>0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3">
        <v>160</v>
      </c>
      <c r="AE42" s="9">
        <v>40</v>
      </c>
      <c r="AF42" s="17">
        <f t="shared" ca="1" si="5"/>
        <v>0</v>
      </c>
      <c r="AG42">
        <f t="shared" ca="1" si="6"/>
        <v>0</v>
      </c>
      <c r="AI42">
        <v>2006</v>
      </c>
      <c r="AJ42">
        <v>41</v>
      </c>
      <c r="AK42">
        <v>0.60000000000000009</v>
      </c>
      <c r="AL42">
        <v>14.89</v>
      </c>
      <c r="AM42">
        <v>21.19</v>
      </c>
      <c r="AN42">
        <v>17.760000000000002</v>
      </c>
      <c r="AP42">
        <v>0</v>
      </c>
      <c r="AR42">
        <v>2006</v>
      </c>
      <c r="AS42">
        <v>41</v>
      </c>
      <c r="AT42">
        <v>0.60000000000000009</v>
      </c>
      <c r="AU42">
        <v>14.89</v>
      </c>
      <c r="AV42">
        <v>21.19</v>
      </c>
      <c r="AW42">
        <v>17.760000000000002</v>
      </c>
      <c r="AY42">
        <v>0</v>
      </c>
      <c r="BA42">
        <v>2006</v>
      </c>
      <c r="BB42">
        <v>41</v>
      </c>
      <c r="BC42">
        <v>0.8</v>
      </c>
      <c r="BD42">
        <v>11.92</v>
      </c>
      <c r="BE42">
        <v>20.36</v>
      </c>
      <c r="BF42">
        <v>16.21875</v>
      </c>
      <c r="BH42">
        <v>0</v>
      </c>
      <c r="BJ42">
        <v>2006</v>
      </c>
      <c r="BK42">
        <v>41</v>
      </c>
      <c r="BL42">
        <v>0.2</v>
      </c>
      <c r="BM42">
        <v>13.92</v>
      </c>
      <c r="BN42">
        <v>20.5</v>
      </c>
      <c r="BO42">
        <v>16.64</v>
      </c>
      <c r="BQ42">
        <v>0</v>
      </c>
      <c r="BS42">
        <v>2006</v>
      </c>
      <c r="BT42">
        <v>41</v>
      </c>
      <c r="BU42">
        <v>0</v>
      </c>
      <c r="BV42">
        <v>12.03</v>
      </c>
      <c r="BW42">
        <v>16.75</v>
      </c>
      <c r="BX42">
        <v>14.067500000000001</v>
      </c>
      <c r="BZ42">
        <v>0</v>
      </c>
      <c r="CB42">
        <v>2006</v>
      </c>
      <c r="CC42">
        <v>41</v>
      </c>
      <c r="CD42">
        <v>0</v>
      </c>
      <c r="CE42">
        <v>9.42</v>
      </c>
      <c r="CF42">
        <v>14.82</v>
      </c>
      <c r="CG42">
        <v>11.89625</v>
      </c>
      <c r="CI42">
        <v>0</v>
      </c>
    </row>
    <row r="43" spans="1:87" x14ac:dyDescent="0.25">
      <c r="A43" t="b">
        <f t="shared" si="4"/>
        <v>0</v>
      </c>
      <c r="B43">
        <v>2006</v>
      </c>
      <c r="C43">
        <v>123</v>
      </c>
      <c r="D43">
        <v>0</v>
      </c>
      <c r="E43">
        <v>200</v>
      </c>
      <c r="F43" s="7">
        <v>-3.4359999999999999</v>
      </c>
      <c r="G43" s="7">
        <v>6.4649999999999999</v>
      </c>
      <c r="H43" s="7">
        <v>0</v>
      </c>
      <c r="I43" s="7" t="str">
        <f t="shared" si="0"/>
        <v/>
      </c>
      <c r="J43" s="7" t="str">
        <f t="shared" si="1"/>
        <v/>
      </c>
      <c r="K43" s="7">
        <v>0</v>
      </c>
      <c r="L43" s="7" t="str">
        <f t="shared" si="2"/>
        <v/>
      </c>
      <c r="M43" s="7" t="str">
        <f t="shared" si="3"/>
        <v/>
      </c>
      <c r="N43" s="7">
        <v>0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13">
        <v>161</v>
      </c>
      <c r="AE43" s="9">
        <v>41</v>
      </c>
      <c r="AF43" s="17">
        <f t="shared" ca="1" si="5"/>
        <v>0</v>
      </c>
      <c r="AG43">
        <f t="shared" ca="1" si="6"/>
        <v>0</v>
      </c>
      <c r="AI43">
        <v>2006</v>
      </c>
      <c r="AJ43">
        <v>42</v>
      </c>
      <c r="AK43">
        <v>0.8</v>
      </c>
      <c r="AL43">
        <v>11.92</v>
      </c>
      <c r="AM43">
        <v>20.36</v>
      </c>
      <c r="AN43">
        <v>16.21875</v>
      </c>
      <c r="AP43">
        <v>0</v>
      </c>
      <c r="AR43">
        <v>2006</v>
      </c>
      <c r="AS43">
        <v>42</v>
      </c>
      <c r="AT43">
        <v>0.8</v>
      </c>
      <c r="AU43">
        <v>11.92</v>
      </c>
      <c r="AV43">
        <v>20.36</v>
      </c>
      <c r="AW43">
        <v>16.21875</v>
      </c>
      <c r="AY43">
        <v>0</v>
      </c>
      <c r="BA43">
        <v>2006</v>
      </c>
      <c r="BB43">
        <v>42</v>
      </c>
      <c r="BC43">
        <v>0</v>
      </c>
      <c r="BD43">
        <v>10.89</v>
      </c>
      <c r="BE43">
        <v>20.52</v>
      </c>
      <c r="BF43">
        <v>15.767499999999997</v>
      </c>
      <c r="BH43">
        <v>0</v>
      </c>
      <c r="BJ43">
        <v>2006</v>
      </c>
      <c r="BK43">
        <v>42</v>
      </c>
      <c r="BL43">
        <v>0</v>
      </c>
      <c r="BM43">
        <v>12.03</v>
      </c>
      <c r="BN43">
        <v>16.75</v>
      </c>
      <c r="BO43">
        <v>14.067500000000001</v>
      </c>
      <c r="BQ43">
        <v>0</v>
      </c>
      <c r="BS43">
        <v>2006</v>
      </c>
      <c r="BT43">
        <v>42</v>
      </c>
      <c r="BU43">
        <v>0</v>
      </c>
      <c r="BV43">
        <v>9.94</v>
      </c>
      <c r="BW43">
        <v>15.62</v>
      </c>
      <c r="BX43">
        <v>13.307083333333331</v>
      </c>
      <c r="BZ43">
        <v>0</v>
      </c>
      <c r="CB43">
        <v>2006</v>
      </c>
      <c r="CC43">
        <v>42</v>
      </c>
      <c r="CD43">
        <v>15.200000000000001</v>
      </c>
      <c r="CE43">
        <v>9.74</v>
      </c>
      <c r="CF43">
        <v>14.15</v>
      </c>
      <c r="CG43">
        <v>11.272500000000001</v>
      </c>
      <c r="CI43">
        <v>0</v>
      </c>
    </row>
    <row r="44" spans="1:87" x14ac:dyDescent="0.25">
      <c r="A44" t="b">
        <f t="shared" si="4"/>
        <v>0</v>
      </c>
      <c r="B44">
        <v>2006</v>
      </c>
      <c r="C44">
        <v>123</v>
      </c>
      <c r="D44">
        <v>0</v>
      </c>
      <c r="E44">
        <v>300</v>
      </c>
      <c r="F44" s="7">
        <v>-3.6459999999999999</v>
      </c>
      <c r="G44" s="7">
        <v>6.6120000000000001</v>
      </c>
      <c r="H44" s="7">
        <v>0</v>
      </c>
      <c r="I44" s="7" t="str">
        <f t="shared" si="0"/>
        <v/>
      </c>
      <c r="J44" s="7" t="str">
        <f t="shared" si="1"/>
        <v/>
      </c>
      <c r="K44" s="7">
        <v>0</v>
      </c>
      <c r="L44" s="7" t="str">
        <f t="shared" si="2"/>
        <v/>
      </c>
      <c r="M44" s="7" t="str">
        <f t="shared" si="3"/>
        <v/>
      </c>
      <c r="N44" s="7">
        <v>0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13">
        <v>162</v>
      </c>
      <c r="AE44" s="9">
        <v>42</v>
      </c>
      <c r="AF44" s="17">
        <f t="shared" ca="1" si="5"/>
        <v>0</v>
      </c>
      <c r="AG44">
        <f t="shared" ca="1" si="6"/>
        <v>0</v>
      </c>
      <c r="AI44">
        <v>2006</v>
      </c>
      <c r="AJ44">
        <v>43</v>
      </c>
      <c r="AK44">
        <v>0</v>
      </c>
      <c r="AL44">
        <v>10.89</v>
      </c>
      <c r="AM44">
        <v>20.52</v>
      </c>
      <c r="AN44">
        <v>15.767499999999997</v>
      </c>
      <c r="AP44">
        <v>0</v>
      </c>
      <c r="AR44">
        <v>2006</v>
      </c>
      <c r="AS44">
        <v>43</v>
      </c>
      <c r="AT44">
        <v>0</v>
      </c>
      <c r="AU44">
        <v>10.89</v>
      </c>
      <c r="AV44">
        <v>20.52</v>
      </c>
      <c r="AW44">
        <v>15.767499999999997</v>
      </c>
      <c r="AY44">
        <v>0</v>
      </c>
      <c r="BA44">
        <v>2006</v>
      </c>
      <c r="BB44">
        <v>43</v>
      </c>
      <c r="BC44">
        <v>0</v>
      </c>
      <c r="BD44">
        <v>5.1890000000000001</v>
      </c>
      <c r="BE44">
        <v>16.97</v>
      </c>
      <c r="BF44">
        <v>12.981083333333332</v>
      </c>
      <c r="BH44">
        <v>0</v>
      </c>
      <c r="BJ44">
        <v>2006</v>
      </c>
      <c r="BK44">
        <v>43</v>
      </c>
      <c r="BL44">
        <v>0</v>
      </c>
      <c r="BM44">
        <v>9.94</v>
      </c>
      <c r="BN44">
        <v>15.62</v>
      </c>
      <c r="BO44">
        <v>13.307083333333331</v>
      </c>
      <c r="BQ44">
        <v>0</v>
      </c>
      <c r="BS44">
        <v>2006</v>
      </c>
      <c r="BT44">
        <v>43</v>
      </c>
      <c r="BU44">
        <v>0</v>
      </c>
      <c r="BV44">
        <v>9.42</v>
      </c>
      <c r="BW44">
        <v>14.82</v>
      </c>
      <c r="BX44">
        <v>11.89625</v>
      </c>
      <c r="BZ44">
        <v>0</v>
      </c>
      <c r="CB44">
        <v>2006</v>
      </c>
      <c r="CC44">
        <v>43</v>
      </c>
      <c r="CD44">
        <v>1</v>
      </c>
      <c r="CE44">
        <v>8.8699999999999992</v>
      </c>
      <c r="CF44">
        <v>13.26</v>
      </c>
      <c r="CG44">
        <v>11.115833333333335</v>
      </c>
      <c r="CI44">
        <v>0</v>
      </c>
    </row>
    <row r="45" spans="1:87" x14ac:dyDescent="0.25">
      <c r="A45" t="b">
        <f t="shared" si="4"/>
        <v>0</v>
      </c>
      <c r="B45">
        <v>2006</v>
      </c>
      <c r="C45">
        <v>123</v>
      </c>
      <c r="D45">
        <v>0</v>
      </c>
      <c r="E45">
        <v>400</v>
      </c>
      <c r="F45" s="7">
        <v>-3.4929999999999999</v>
      </c>
      <c r="G45" s="7">
        <v>6.7930000000000001</v>
      </c>
      <c r="H45" s="7">
        <v>0</v>
      </c>
      <c r="I45" s="7" t="str">
        <f t="shared" si="0"/>
        <v/>
      </c>
      <c r="J45" s="7" t="str">
        <f t="shared" si="1"/>
        <v/>
      </c>
      <c r="K45" s="7">
        <v>0</v>
      </c>
      <c r="L45" s="7" t="str">
        <f t="shared" si="2"/>
        <v/>
      </c>
      <c r="M45" s="7" t="str">
        <f t="shared" si="3"/>
        <v/>
      </c>
      <c r="N45" s="7">
        <v>0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13">
        <v>163</v>
      </c>
      <c r="AE45" s="9">
        <v>43</v>
      </c>
      <c r="AF45" s="17">
        <f t="shared" ca="1" si="5"/>
        <v>0</v>
      </c>
      <c r="AG45">
        <f t="shared" ca="1" si="6"/>
        <v>0</v>
      </c>
      <c r="AI45">
        <v>2006</v>
      </c>
      <c r="AJ45">
        <v>44</v>
      </c>
      <c r="AK45">
        <v>0</v>
      </c>
      <c r="AL45">
        <v>5.1890000000000001</v>
      </c>
      <c r="AM45">
        <v>16.97</v>
      </c>
      <c r="AN45">
        <v>12.981083333333332</v>
      </c>
      <c r="AP45">
        <v>0</v>
      </c>
      <c r="AR45">
        <v>2006</v>
      </c>
      <c r="AS45">
        <v>44</v>
      </c>
      <c r="AT45">
        <v>0</v>
      </c>
      <c r="AU45">
        <v>5.1890000000000001</v>
      </c>
      <c r="AV45">
        <v>16.97</v>
      </c>
      <c r="AW45">
        <v>12.981083333333332</v>
      </c>
      <c r="AY45">
        <v>0</v>
      </c>
      <c r="BA45">
        <v>2006</v>
      </c>
      <c r="BB45">
        <v>44</v>
      </c>
      <c r="BC45">
        <v>0</v>
      </c>
      <c r="BD45">
        <v>3.492</v>
      </c>
      <c r="BE45">
        <v>17.68</v>
      </c>
      <c r="BF45">
        <v>11.989208333333332</v>
      </c>
      <c r="BH45">
        <v>0</v>
      </c>
      <c r="BJ45">
        <v>2006</v>
      </c>
      <c r="BK45">
        <v>44</v>
      </c>
      <c r="BL45">
        <v>0</v>
      </c>
      <c r="BM45">
        <v>9.42</v>
      </c>
      <c r="BN45">
        <v>14.82</v>
      </c>
      <c r="BO45">
        <v>11.89625</v>
      </c>
      <c r="BQ45">
        <v>0</v>
      </c>
      <c r="BS45">
        <v>2006</v>
      </c>
      <c r="BT45">
        <v>44</v>
      </c>
      <c r="BU45">
        <v>15.200000000000001</v>
      </c>
      <c r="BV45">
        <v>9.74</v>
      </c>
      <c r="BW45">
        <v>14.15</v>
      </c>
      <c r="BX45">
        <v>11.272500000000001</v>
      </c>
      <c r="BZ45">
        <v>0</v>
      </c>
      <c r="CB45">
        <v>2006</v>
      </c>
      <c r="CC45">
        <v>44</v>
      </c>
      <c r="CD45">
        <v>0</v>
      </c>
      <c r="CE45">
        <v>7.71</v>
      </c>
      <c r="CF45">
        <v>16.46</v>
      </c>
      <c r="CG45">
        <v>12.83</v>
      </c>
      <c r="CI45">
        <v>0</v>
      </c>
    </row>
    <row r="46" spans="1:87" x14ac:dyDescent="0.25">
      <c r="A46" t="b">
        <f t="shared" si="4"/>
        <v>0</v>
      </c>
      <c r="B46">
        <v>2006</v>
      </c>
      <c r="C46">
        <v>123</v>
      </c>
      <c r="D46">
        <v>0</v>
      </c>
      <c r="E46">
        <v>500</v>
      </c>
      <c r="F46" s="7">
        <v>-0.108</v>
      </c>
      <c r="G46" s="7">
        <v>7.19</v>
      </c>
      <c r="H46" s="7">
        <v>0</v>
      </c>
      <c r="I46" s="7" t="str">
        <f t="shared" si="0"/>
        <v/>
      </c>
      <c r="J46" s="7" t="str">
        <f t="shared" si="1"/>
        <v/>
      </c>
      <c r="K46" s="7">
        <v>0</v>
      </c>
      <c r="L46" s="7" t="str">
        <f t="shared" si="2"/>
        <v/>
      </c>
      <c r="M46" s="7" t="str">
        <f t="shared" si="3"/>
        <v/>
      </c>
      <c r="N46" s="7">
        <v>0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13">
        <v>164</v>
      </c>
      <c r="AE46" s="9">
        <v>44</v>
      </c>
      <c r="AF46" s="17">
        <f t="shared" ca="1" si="5"/>
        <v>0</v>
      </c>
      <c r="AG46">
        <f t="shared" ca="1" si="6"/>
        <v>0</v>
      </c>
      <c r="AI46">
        <v>2006</v>
      </c>
      <c r="AJ46">
        <v>45</v>
      </c>
      <c r="AK46">
        <v>0</v>
      </c>
      <c r="AL46">
        <v>3.492</v>
      </c>
      <c r="AM46">
        <v>17.68</v>
      </c>
      <c r="AN46">
        <v>11.989208333333332</v>
      </c>
      <c r="AP46">
        <v>0</v>
      </c>
      <c r="AR46">
        <v>2006</v>
      </c>
      <c r="AS46">
        <v>45</v>
      </c>
      <c r="AT46">
        <v>0</v>
      </c>
      <c r="AU46">
        <v>3.492</v>
      </c>
      <c r="AV46">
        <v>17.68</v>
      </c>
      <c r="AW46">
        <v>11.989208333333332</v>
      </c>
      <c r="AY46">
        <v>0</v>
      </c>
      <c r="BA46">
        <v>2006</v>
      </c>
      <c r="BB46">
        <v>45</v>
      </c>
      <c r="BC46">
        <v>0.4</v>
      </c>
      <c r="BD46">
        <v>12.65</v>
      </c>
      <c r="BE46">
        <v>19.600000000000001</v>
      </c>
      <c r="BF46">
        <v>16.274999999999999</v>
      </c>
      <c r="BH46">
        <v>0</v>
      </c>
      <c r="BJ46">
        <v>2006</v>
      </c>
      <c r="BK46">
        <v>45</v>
      </c>
      <c r="BL46">
        <v>15.200000000000001</v>
      </c>
      <c r="BM46">
        <v>9.74</v>
      </c>
      <c r="BN46">
        <v>14.15</v>
      </c>
      <c r="BO46">
        <v>11.272500000000001</v>
      </c>
      <c r="BQ46">
        <v>0</v>
      </c>
      <c r="BS46">
        <v>2006</v>
      </c>
      <c r="BT46">
        <v>45</v>
      </c>
      <c r="BU46">
        <v>1</v>
      </c>
      <c r="BV46">
        <v>8.8699999999999992</v>
      </c>
      <c r="BW46">
        <v>13.26</v>
      </c>
      <c r="BX46">
        <v>11.115833333333335</v>
      </c>
      <c r="BZ46">
        <v>0</v>
      </c>
      <c r="CB46">
        <v>2006</v>
      </c>
      <c r="CC46">
        <v>45</v>
      </c>
      <c r="CD46">
        <v>0</v>
      </c>
      <c r="CE46">
        <v>4.2450000000000001</v>
      </c>
      <c r="CF46">
        <v>17.43</v>
      </c>
      <c r="CG46">
        <v>11.473500000000001</v>
      </c>
      <c r="CI46">
        <v>0</v>
      </c>
    </row>
    <row r="47" spans="1:87" x14ac:dyDescent="0.25">
      <c r="A47" t="b">
        <f t="shared" si="4"/>
        <v>0</v>
      </c>
      <c r="B47">
        <v>2006</v>
      </c>
      <c r="C47">
        <v>123</v>
      </c>
      <c r="D47">
        <v>0</v>
      </c>
      <c r="E47">
        <v>600</v>
      </c>
      <c r="F47" s="7">
        <v>47.86</v>
      </c>
      <c r="G47" s="7">
        <v>7.48</v>
      </c>
      <c r="H47" s="7">
        <v>0</v>
      </c>
      <c r="I47" s="7" t="str">
        <f t="shared" si="0"/>
        <v/>
      </c>
      <c r="J47" s="7" t="str">
        <f t="shared" si="1"/>
        <v/>
      </c>
      <c r="K47" s="7">
        <v>0</v>
      </c>
      <c r="L47" s="7" t="str">
        <f t="shared" si="2"/>
        <v/>
      </c>
      <c r="M47" s="7" t="str">
        <f t="shared" si="3"/>
        <v/>
      </c>
      <c r="N47" s="7">
        <v>0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13">
        <v>165</v>
      </c>
      <c r="AE47" s="9">
        <v>45</v>
      </c>
      <c r="AF47" s="17">
        <f t="shared" ca="1" si="5"/>
        <v>0</v>
      </c>
      <c r="AG47">
        <f t="shared" ca="1" si="6"/>
        <v>0</v>
      </c>
      <c r="AI47">
        <v>2006</v>
      </c>
      <c r="AJ47">
        <v>46</v>
      </c>
      <c r="AK47">
        <v>0.4</v>
      </c>
      <c r="AL47">
        <v>12.65</v>
      </c>
      <c r="AM47">
        <v>19.600000000000001</v>
      </c>
      <c r="AN47">
        <v>16.274999999999999</v>
      </c>
      <c r="AP47">
        <v>0</v>
      </c>
      <c r="AR47">
        <v>2006</v>
      </c>
      <c r="AS47">
        <v>46</v>
      </c>
      <c r="AT47">
        <v>0.4</v>
      </c>
      <c r="AU47">
        <v>12.65</v>
      </c>
      <c r="AV47">
        <v>19.600000000000001</v>
      </c>
      <c r="AW47">
        <v>16.274999999999999</v>
      </c>
      <c r="AY47">
        <v>0</v>
      </c>
      <c r="BA47">
        <v>2006</v>
      </c>
      <c r="BB47">
        <v>46</v>
      </c>
      <c r="BC47">
        <v>1.4</v>
      </c>
      <c r="BD47">
        <v>12.84</v>
      </c>
      <c r="BE47">
        <v>17.18</v>
      </c>
      <c r="BF47">
        <v>15.114583333333334</v>
      </c>
      <c r="BH47">
        <v>0</v>
      </c>
      <c r="BJ47">
        <v>2006</v>
      </c>
      <c r="BK47">
        <v>46</v>
      </c>
      <c r="BL47">
        <v>1</v>
      </c>
      <c r="BM47">
        <v>8.8699999999999992</v>
      </c>
      <c r="BN47">
        <v>13.26</v>
      </c>
      <c r="BO47">
        <v>11.115833333333335</v>
      </c>
      <c r="BQ47">
        <v>0</v>
      </c>
      <c r="BS47">
        <v>2006</v>
      </c>
      <c r="BT47">
        <v>46</v>
      </c>
      <c r="BU47">
        <v>0</v>
      </c>
      <c r="BV47">
        <v>7.71</v>
      </c>
      <c r="BW47">
        <v>16.46</v>
      </c>
      <c r="BX47">
        <v>12.83</v>
      </c>
      <c r="BZ47">
        <v>0</v>
      </c>
      <c r="CB47">
        <v>2006</v>
      </c>
      <c r="CC47">
        <v>46</v>
      </c>
      <c r="CD47">
        <v>0</v>
      </c>
      <c r="CE47">
        <v>8.6199999999999992</v>
      </c>
      <c r="CF47">
        <v>18.48</v>
      </c>
      <c r="CG47">
        <v>13.886250000000002</v>
      </c>
      <c r="CI47">
        <v>0</v>
      </c>
    </row>
    <row r="48" spans="1:87" x14ac:dyDescent="0.25">
      <c r="A48" t="b">
        <f t="shared" si="4"/>
        <v>0</v>
      </c>
      <c r="B48">
        <v>2006</v>
      </c>
      <c r="C48">
        <v>123</v>
      </c>
      <c r="D48">
        <v>0</v>
      </c>
      <c r="E48">
        <v>700</v>
      </c>
      <c r="F48" s="7">
        <v>192</v>
      </c>
      <c r="G48" s="7">
        <v>9.07</v>
      </c>
      <c r="H48" s="7">
        <v>0</v>
      </c>
      <c r="I48" s="7" t="str">
        <f t="shared" si="0"/>
        <v/>
      </c>
      <c r="J48" s="7" t="str">
        <f t="shared" si="1"/>
        <v/>
      </c>
      <c r="K48" s="7">
        <v>0</v>
      </c>
      <c r="L48" s="7" t="str">
        <f t="shared" si="2"/>
        <v/>
      </c>
      <c r="M48" s="7" t="str">
        <f t="shared" si="3"/>
        <v/>
      </c>
      <c r="N48" s="7">
        <v>0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13">
        <v>166</v>
      </c>
      <c r="AE48" s="9">
        <v>46</v>
      </c>
      <c r="AF48" s="17">
        <f t="shared" ca="1" si="5"/>
        <v>0</v>
      </c>
      <c r="AG48">
        <f t="shared" ca="1" si="6"/>
        <v>0</v>
      </c>
      <c r="AI48">
        <v>2006</v>
      </c>
      <c r="AJ48">
        <v>47</v>
      </c>
      <c r="AK48">
        <v>1.4</v>
      </c>
      <c r="AL48">
        <v>12.84</v>
      </c>
      <c r="AM48">
        <v>17.18</v>
      </c>
      <c r="AN48">
        <v>15.114583333333334</v>
      </c>
      <c r="AP48">
        <v>0</v>
      </c>
      <c r="AR48">
        <v>2006</v>
      </c>
      <c r="AS48">
        <v>47</v>
      </c>
      <c r="AT48">
        <v>1.4</v>
      </c>
      <c r="AU48">
        <v>12.84</v>
      </c>
      <c r="AV48">
        <v>17.18</v>
      </c>
      <c r="AW48">
        <v>15.114583333333334</v>
      </c>
      <c r="AY48">
        <v>0</v>
      </c>
      <c r="BA48">
        <v>2006</v>
      </c>
      <c r="BB48">
        <v>47</v>
      </c>
      <c r="BC48">
        <v>0.2</v>
      </c>
      <c r="BD48">
        <v>13.92</v>
      </c>
      <c r="BE48">
        <v>20.5</v>
      </c>
      <c r="BF48">
        <v>16.64</v>
      </c>
      <c r="BH48">
        <v>0</v>
      </c>
      <c r="BJ48">
        <v>2006</v>
      </c>
      <c r="BK48">
        <v>47</v>
      </c>
      <c r="BL48">
        <v>0</v>
      </c>
      <c r="BM48">
        <v>7.71</v>
      </c>
      <c r="BN48">
        <v>16.46</v>
      </c>
      <c r="BO48">
        <v>12.83</v>
      </c>
      <c r="BQ48">
        <v>0</v>
      </c>
      <c r="BS48">
        <v>2006</v>
      </c>
      <c r="BT48">
        <v>47</v>
      </c>
      <c r="BU48">
        <v>0</v>
      </c>
      <c r="BV48">
        <v>4.2450000000000001</v>
      </c>
      <c r="BW48">
        <v>17.43</v>
      </c>
      <c r="BX48">
        <v>11.473500000000001</v>
      </c>
      <c r="BZ48">
        <v>0</v>
      </c>
      <c r="CB48">
        <v>2006</v>
      </c>
      <c r="CC48">
        <v>47</v>
      </c>
      <c r="CD48">
        <v>0</v>
      </c>
      <c r="CE48">
        <v>9.9600000000000009</v>
      </c>
      <c r="CF48">
        <v>15.74</v>
      </c>
      <c r="CG48">
        <v>12.971666666666664</v>
      </c>
      <c r="CI48">
        <v>0</v>
      </c>
    </row>
    <row r="49" spans="1:87" x14ac:dyDescent="0.25">
      <c r="A49" t="b">
        <f t="shared" si="4"/>
        <v>0</v>
      </c>
      <c r="B49">
        <v>2006</v>
      </c>
      <c r="C49">
        <v>123</v>
      </c>
      <c r="D49">
        <v>0</v>
      </c>
      <c r="E49">
        <v>800</v>
      </c>
      <c r="F49" s="7">
        <v>149.4</v>
      </c>
      <c r="G49" s="7">
        <v>9.8800000000000008</v>
      </c>
      <c r="H49" s="7">
        <v>0</v>
      </c>
      <c r="I49" s="7" t="str">
        <f t="shared" si="0"/>
        <v/>
      </c>
      <c r="J49" s="7" t="str">
        <f t="shared" si="1"/>
        <v/>
      </c>
      <c r="K49" s="7">
        <v>0</v>
      </c>
      <c r="L49" s="7" t="str">
        <f t="shared" si="2"/>
        <v/>
      </c>
      <c r="M49" s="7" t="str">
        <f t="shared" si="3"/>
        <v/>
      </c>
      <c r="N49" s="7">
        <v>0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13">
        <v>167</v>
      </c>
      <c r="AE49" s="9">
        <v>47</v>
      </c>
      <c r="AF49" s="17">
        <f t="shared" ca="1" si="5"/>
        <v>0</v>
      </c>
      <c r="AG49">
        <f t="shared" ca="1" si="6"/>
        <v>0</v>
      </c>
      <c r="AI49">
        <v>2006</v>
      </c>
      <c r="AJ49">
        <v>48</v>
      </c>
      <c r="AK49">
        <v>0.2</v>
      </c>
      <c r="AL49">
        <v>13.92</v>
      </c>
      <c r="AM49">
        <v>20.5</v>
      </c>
      <c r="AN49">
        <v>16.64</v>
      </c>
      <c r="AP49">
        <v>0</v>
      </c>
      <c r="AR49">
        <v>2006</v>
      </c>
      <c r="AS49">
        <v>48</v>
      </c>
      <c r="AT49">
        <v>0.2</v>
      </c>
      <c r="AU49">
        <v>13.92</v>
      </c>
      <c r="AV49">
        <v>20.5</v>
      </c>
      <c r="AW49">
        <v>16.64</v>
      </c>
      <c r="AY49">
        <v>0</v>
      </c>
      <c r="BA49">
        <v>2006</v>
      </c>
      <c r="BB49">
        <v>48</v>
      </c>
      <c r="BC49">
        <v>0</v>
      </c>
      <c r="BD49">
        <v>12.03</v>
      </c>
      <c r="BE49">
        <v>16.75</v>
      </c>
      <c r="BF49">
        <v>14.067500000000001</v>
      </c>
      <c r="BH49">
        <v>0</v>
      </c>
      <c r="BJ49">
        <v>2006</v>
      </c>
      <c r="BK49">
        <v>48</v>
      </c>
      <c r="BL49">
        <v>0</v>
      </c>
      <c r="BM49">
        <v>4.2450000000000001</v>
      </c>
      <c r="BN49">
        <v>17.43</v>
      </c>
      <c r="BO49">
        <v>11.473500000000001</v>
      </c>
      <c r="BQ49">
        <v>0</v>
      </c>
      <c r="BS49">
        <v>2006</v>
      </c>
      <c r="BT49">
        <v>48</v>
      </c>
      <c r="BU49">
        <v>0</v>
      </c>
      <c r="BV49">
        <v>8.6199999999999992</v>
      </c>
      <c r="BW49">
        <v>18.48</v>
      </c>
      <c r="BX49">
        <v>13.886250000000002</v>
      </c>
      <c r="BZ49">
        <v>0</v>
      </c>
      <c r="CB49">
        <v>2006</v>
      </c>
      <c r="CC49">
        <v>48</v>
      </c>
      <c r="CD49">
        <v>0</v>
      </c>
      <c r="CE49">
        <v>6.68</v>
      </c>
      <c r="CF49">
        <v>18.62</v>
      </c>
      <c r="CG49">
        <v>13.653208333333332</v>
      </c>
      <c r="CI49">
        <v>0</v>
      </c>
    </row>
    <row r="50" spans="1:87" x14ac:dyDescent="0.25">
      <c r="A50" t="b">
        <f t="shared" si="4"/>
        <v>0</v>
      </c>
      <c r="B50">
        <v>2006</v>
      </c>
      <c r="C50">
        <v>123</v>
      </c>
      <c r="D50">
        <v>0</v>
      </c>
      <c r="E50">
        <v>900</v>
      </c>
      <c r="F50" s="7">
        <v>128.1</v>
      </c>
      <c r="G50" s="7">
        <v>10.47</v>
      </c>
      <c r="H50" s="7">
        <v>0.2</v>
      </c>
      <c r="I50" s="7" t="str">
        <f t="shared" si="0"/>
        <v/>
      </c>
      <c r="J50" s="7" t="str">
        <f t="shared" si="1"/>
        <v/>
      </c>
      <c r="K50" s="7">
        <v>0</v>
      </c>
      <c r="L50" s="7" t="str">
        <f t="shared" si="2"/>
        <v/>
      </c>
      <c r="M50" s="7" t="str">
        <f t="shared" si="3"/>
        <v/>
      </c>
      <c r="N50" s="7">
        <v>0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13">
        <v>168</v>
      </c>
      <c r="AE50" s="9">
        <v>48</v>
      </c>
      <c r="AF50" s="17">
        <f t="shared" ca="1" si="5"/>
        <v>0</v>
      </c>
      <c r="AG50">
        <f t="shared" ca="1" si="6"/>
        <v>0</v>
      </c>
      <c r="AI50">
        <v>2006</v>
      </c>
      <c r="AJ50">
        <v>49</v>
      </c>
      <c r="AK50">
        <v>0</v>
      </c>
      <c r="AL50">
        <v>12.03</v>
      </c>
      <c r="AM50">
        <v>16.75</v>
      </c>
      <c r="AN50">
        <v>14.067500000000001</v>
      </c>
      <c r="AP50">
        <v>0</v>
      </c>
      <c r="AR50">
        <v>2006</v>
      </c>
      <c r="AS50">
        <v>49</v>
      </c>
      <c r="AT50">
        <v>0</v>
      </c>
      <c r="AU50">
        <v>12.03</v>
      </c>
      <c r="AV50">
        <v>16.75</v>
      </c>
      <c r="AW50">
        <v>14.067500000000001</v>
      </c>
      <c r="AY50">
        <v>0</v>
      </c>
      <c r="BA50">
        <v>2006</v>
      </c>
      <c r="BB50">
        <v>49</v>
      </c>
      <c r="BC50">
        <v>0</v>
      </c>
      <c r="BD50">
        <v>9.94</v>
      </c>
      <c r="BE50">
        <v>15.62</v>
      </c>
      <c r="BF50">
        <v>13.307083333333331</v>
      </c>
      <c r="BH50">
        <v>0</v>
      </c>
      <c r="BJ50">
        <v>2006</v>
      </c>
      <c r="BK50">
        <v>49</v>
      </c>
      <c r="BL50">
        <v>0</v>
      </c>
      <c r="BM50">
        <v>8.6199999999999992</v>
      </c>
      <c r="BN50">
        <v>18.48</v>
      </c>
      <c r="BO50">
        <v>13.886250000000002</v>
      </c>
      <c r="BQ50">
        <v>0</v>
      </c>
      <c r="BS50">
        <v>2006</v>
      </c>
      <c r="BT50">
        <v>49</v>
      </c>
      <c r="BU50">
        <v>0</v>
      </c>
      <c r="BV50">
        <v>9.9600000000000009</v>
      </c>
      <c r="BW50">
        <v>15.74</v>
      </c>
      <c r="BX50">
        <v>12.971666666666664</v>
      </c>
      <c r="BZ50">
        <v>0</v>
      </c>
      <c r="CB50">
        <v>2006</v>
      </c>
      <c r="CC50">
        <v>49</v>
      </c>
      <c r="CD50">
        <v>0</v>
      </c>
      <c r="CE50">
        <v>13.96</v>
      </c>
      <c r="CF50">
        <v>18.84</v>
      </c>
      <c r="CG50">
        <v>16.168749999999999</v>
      </c>
      <c r="CI50">
        <v>0</v>
      </c>
    </row>
    <row r="51" spans="1:87" x14ac:dyDescent="0.25">
      <c r="A51" t="b">
        <f t="shared" si="4"/>
        <v>0</v>
      </c>
      <c r="B51">
        <v>2006</v>
      </c>
      <c r="C51">
        <v>123</v>
      </c>
      <c r="D51">
        <v>0</v>
      </c>
      <c r="E51">
        <v>1000</v>
      </c>
      <c r="F51" s="7">
        <v>120.5</v>
      </c>
      <c r="G51" s="7">
        <v>11.06</v>
      </c>
      <c r="H51" s="7">
        <v>5</v>
      </c>
      <c r="I51" s="7" t="str">
        <f t="shared" si="0"/>
        <v/>
      </c>
      <c r="J51" s="7" t="str">
        <f t="shared" si="1"/>
        <v/>
      </c>
      <c r="K51" s="7">
        <v>0</v>
      </c>
      <c r="L51" s="7" t="str">
        <f t="shared" si="2"/>
        <v/>
      </c>
      <c r="M51" s="7" t="str">
        <f t="shared" si="3"/>
        <v/>
      </c>
      <c r="N51" s="7">
        <v>0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13">
        <v>169</v>
      </c>
      <c r="AE51" s="9">
        <v>49</v>
      </c>
      <c r="AF51" s="17">
        <f t="shared" ca="1" si="5"/>
        <v>0</v>
      </c>
      <c r="AG51">
        <f t="shared" ca="1" si="6"/>
        <v>0</v>
      </c>
      <c r="AI51">
        <v>2006</v>
      </c>
      <c r="AJ51">
        <v>50</v>
      </c>
      <c r="AK51">
        <v>0</v>
      </c>
      <c r="AL51">
        <v>9.94</v>
      </c>
      <c r="AM51">
        <v>15.62</v>
      </c>
      <c r="AN51">
        <v>13.307083333333331</v>
      </c>
      <c r="AP51">
        <v>0</v>
      </c>
      <c r="AR51">
        <v>2006</v>
      </c>
      <c r="AS51">
        <v>50</v>
      </c>
      <c r="AT51">
        <v>20</v>
      </c>
      <c r="AU51">
        <v>9.94</v>
      </c>
      <c r="AV51">
        <v>15.62</v>
      </c>
      <c r="AW51">
        <v>13.307083333333331</v>
      </c>
      <c r="AY51">
        <v>0</v>
      </c>
      <c r="BA51">
        <v>2006</v>
      </c>
      <c r="BB51">
        <v>50</v>
      </c>
      <c r="BC51">
        <v>20</v>
      </c>
      <c r="BD51">
        <v>9.42</v>
      </c>
      <c r="BE51">
        <v>14.82</v>
      </c>
      <c r="BF51">
        <v>11.89625</v>
      </c>
      <c r="BH51">
        <v>0</v>
      </c>
      <c r="BJ51">
        <v>2006</v>
      </c>
      <c r="BK51">
        <v>50</v>
      </c>
      <c r="BL51">
        <v>20</v>
      </c>
      <c r="BM51">
        <v>9.9600000000000009</v>
      </c>
      <c r="BN51">
        <v>15.74</v>
      </c>
      <c r="BO51">
        <v>12.971666666666664</v>
      </c>
      <c r="BQ51">
        <v>0</v>
      </c>
      <c r="BS51">
        <v>2006</v>
      </c>
      <c r="BT51">
        <v>50</v>
      </c>
      <c r="BU51">
        <v>20</v>
      </c>
      <c r="BV51">
        <v>6.68</v>
      </c>
      <c r="BW51">
        <v>18.62</v>
      </c>
      <c r="BX51">
        <v>13.653208333333332</v>
      </c>
      <c r="BZ51">
        <v>0</v>
      </c>
      <c r="CB51">
        <v>2006</v>
      </c>
      <c r="CC51">
        <v>50</v>
      </c>
      <c r="CD51">
        <v>22</v>
      </c>
      <c r="CE51">
        <v>13.63</v>
      </c>
      <c r="CF51">
        <v>18.21</v>
      </c>
      <c r="CG51">
        <v>15.80083333333333</v>
      </c>
      <c r="CI51">
        <v>0</v>
      </c>
    </row>
    <row r="52" spans="1:87" x14ac:dyDescent="0.25">
      <c r="A52" t="b">
        <f t="shared" si="4"/>
        <v>0</v>
      </c>
      <c r="B52">
        <v>2006</v>
      </c>
      <c r="C52">
        <v>123</v>
      </c>
      <c r="D52">
        <v>0</v>
      </c>
      <c r="E52">
        <v>1100</v>
      </c>
      <c r="F52" s="7">
        <v>230.5</v>
      </c>
      <c r="G52" s="7">
        <v>11.9</v>
      </c>
      <c r="H52" s="7">
        <v>0</v>
      </c>
      <c r="I52" s="7" t="str">
        <f t="shared" si="0"/>
        <v/>
      </c>
      <c r="J52" s="7" t="str">
        <f t="shared" si="1"/>
        <v/>
      </c>
      <c r="K52" s="7">
        <v>0</v>
      </c>
      <c r="L52" s="7" t="str">
        <f t="shared" si="2"/>
        <v/>
      </c>
      <c r="M52" s="7" t="str">
        <f t="shared" si="3"/>
        <v/>
      </c>
      <c r="N52" s="7">
        <v>0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13">
        <v>170</v>
      </c>
      <c r="AE52" s="9">
        <v>50</v>
      </c>
      <c r="AF52" s="17">
        <f t="shared" ca="1" si="5"/>
        <v>0</v>
      </c>
      <c r="AG52">
        <f t="shared" ca="1" si="6"/>
        <v>0</v>
      </c>
      <c r="AI52">
        <v>2006</v>
      </c>
      <c r="AJ52">
        <v>51</v>
      </c>
      <c r="AK52">
        <v>0</v>
      </c>
      <c r="AL52">
        <v>9.42</v>
      </c>
      <c r="AM52">
        <v>14.82</v>
      </c>
      <c r="AN52">
        <v>11.89625</v>
      </c>
      <c r="AP52">
        <v>0</v>
      </c>
    </row>
    <row r="53" spans="1:87" x14ac:dyDescent="0.25">
      <c r="A53" t="b">
        <f t="shared" si="4"/>
        <v>0</v>
      </c>
      <c r="B53">
        <v>2006</v>
      </c>
      <c r="C53">
        <v>123</v>
      </c>
      <c r="D53">
        <v>0</v>
      </c>
      <c r="E53">
        <v>1200</v>
      </c>
      <c r="F53" s="7">
        <v>336.2</v>
      </c>
      <c r="G53" s="7">
        <v>12.15</v>
      </c>
      <c r="H53" s="7">
        <v>0</v>
      </c>
      <c r="I53" s="7" t="str">
        <f t="shared" si="0"/>
        <v/>
      </c>
      <c r="J53" s="7" t="str">
        <f t="shared" si="1"/>
        <v/>
      </c>
      <c r="K53" s="7">
        <v>0</v>
      </c>
      <c r="L53" s="7" t="str">
        <f t="shared" si="2"/>
        <v/>
      </c>
      <c r="M53" s="7" t="str">
        <f t="shared" si="3"/>
        <v/>
      </c>
      <c r="N53" s="7">
        <v>0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13">
        <v>171</v>
      </c>
      <c r="AE53" s="9">
        <v>51</v>
      </c>
      <c r="AF53" s="17">
        <f t="shared" ca="1" si="5"/>
        <v>0</v>
      </c>
      <c r="AG53">
        <f t="shared" ca="1" si="6"/>
        <v>0</v>
      </c>
      <c r="AI53">
        <v>2006</v>
      </c>
      <c r="AJ53">
        <v>52</v>
      </c>
      <c r="AK53">
        <v>15.200000000000001</v>
      </c>
      <c r="AL53">
        <v>9.74</v>
      </c>
      <c r="AM53">
        <v>14.15</v>
      </c>
      <c r="AN53">
        <v>11.272500000000001</v>
      </c>
      <c r="AP53">
        <v>0</v>
      </c>
    </row>
    <row r="54" spans="1:87" x14ac:dyDescent="0.25">
      <c r="A54" t="b">
        <f t="shared" si="4"/>
        <v>0</v>
      </c>
      <c r="B54">
        <v>2006</v>
      </c>
      <c r="C54">
        <v>123</v>
      </c>
      <c r="D54">
        <v>0</v>
      </c>
      <c r="E54">
        <v>1300</v>
      </c>
      <c r="F54" s="7">
        <v>397.3</v>
      </c>
      <c r="G54" s="7">
        <v>13.14</v>
      </c>
      <c r="H54" s="7">
        <v>0</v>
      </c>
      <c r="I54" s="7" t="str">
        <f t="shared" si="0"/>
        <v/>
      </c>
      <c r="J54" s="7" t="str">
        <f t="shared" si="1"/>
        <v/>
      </c>
      <c r="K54" s="7">
        <v>0</v>
      </c>
      <c r="L54" s="7" t="str">
        <f t="shared" si="2"/>
        <v/>
      </c>
      <c r="M54" s="7" t="str">
        <f t="shared" si="3"/>
        <v/>
      </c>
      <c r="N54" s="7">
        <v>0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13">
        <v>172</v>
      </c>
      <c r="AE54" s="9">
        <v>52</v>
      </c>
      <c r="AF54" s="17">
        <f t="shared" ca="1" si="5"/>
        <v>0</v>
      </c>
      <c r="AG54">
        <f t="shared" ca="1" si="6"/>
        <v>0</v>
      </c>
      <c r="AI54">
        <v>2006</v>
      </c>
      <c r="AJ54">
        <v>53</v>
      </c>
      <c r="AK54">
        <v>1</v>
      </c>
      <c r="AL54">
        <v>8.8699999999999992</v>
      </c>
      <c r="AM54">
        <v>13.26</v>
      </c>
      <c r="AN54">
        <v>11.115833333333335</v>
      </c>
      <c r="AP54">
        <v>0</v>
      </c>
    </row>
    <row r="55" spans="1:87" x14ac:dyDescent="0.25">
      <c r="A55" t="b">
        <f t="shared" si="4"/>
        <v>0</v>
      </c>
      <c r="B55">
        <v>2006</v>
      </c>
      <c r="C55">
        <v>123</v>
      </c>
      <c r="D55">
        <v>0</v>
      </c>
      <c r="E55">
        <v>1400</v>
      </c>
      <c r="F55" s="7">
        <v>333.1</v>
      </c>
      <c r="G55" s="7">
        <v>12.94</v>
      </c>
      <c r="H55" s="7">
        <v>0</v>
      </c>
      <c r="I55" s="7" t="str">
        <f t="shared" si="0"/>
        <v/>
      </c>
      <c r="J55" s="7" t="str">
        <f t="shared" si="1"/>
        <v/>
      </c>
      <c r="K55" s="7">
        <v>0</v>
      </c>
      <c r="L55" s="7" t="str">
        <f t="shared" si="2"/>
        <v/>
      </c>
      <c r="M55" s="7" t="str">
        <f t="shared" si="3"/>
        <v/>
      </c>
      <c r="N55" s="7">
        <v>0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13">
        <v>173</v>
      </c>
      <c r="AE55" s="9">
        <v>53</v>
      </c>
      <c r="AF55" s="17">
        <f t="shared" ca="1" si="5"/>
        <v>0</v>
      </c>
      <c r="AG55">
        <f t="shared" ca="1" si="6"/>
        <v>0</v>
      </c>
      <c r="AI55">
        <v>2006</v>
      </c>
      <c r="AJ55">
        <v>54</v>
      </c>
      <c r="AK55">
        <v>0</v>
      </c>
      <c r="AL55">
        <v>7.71</v>
      </c>
      <c r="AM55">
        <v>16.46</v>
      </c>
      <c r="AN55">
        <v>12.83</v>
      </c>
      <c r="AP55">
        <v>0</v>
      </c>
    </row>
    <row r="56" spans="1:87" x14ac:dyDescent="0.25">
      <c r="A56" t="b">
        <f t="shared" si="4"/>
        <v>0</v>
      </c>
      <c r="B56">
        <v>2006</v>
      </c>
      <c r="C56">
        <v>123</v>
      </c>
      <c r="D56">
        <v>0</v>
      </c>
      <c r="E56">
        <v>1500</v>
      </c>
      <c r="F56" s="7">
        <v>82.4</v>
      </c>
      <c r="G56" s="7">
        <v>12.19</v>
      </c>
      <c r="H56" s="7">
        <v>0.4</v>
      </c>
      <c r="I56" s="7" t="str">
        <f t="shared" si="0"/>
        <v/>
      </c>
      <c r="J56" s="7" t="str">
        <f t="shared" si="1"/>
        <v/>
      </c>
      <c r="K56" s="7">
        <v>0</v>
      </c>
      <c r="L56" s="7" t="str">
        <f t="shared" si="2"/>
        <v/>
      </c>
      <c r="M56" s="7" t="str">
        <f t="shared" si="3"/>
        <v/>
      </c>
      <c r="N56" s="7">
        <v>0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13">
        <v>174</v>
      </c>
      <c r="AE56" s="9">
        <v>54</v>
      </c>
      <c r="AF56" s="17">
        <f t="shared" ca="1" si="5"/>
        <v>0</v>
      </c>
      <c r="AG56">
        <f t="shared" ca="1" si="6"/>
        <v>0</v>
      </c>
      <c r="AI56">
        <v>2006</v>
      </c>
      <c r="AJ56">
        <v>55</v>
      </c>
      <c r="AK56">
        <v>0</v>
      </c>
      <c r="AL56">
        <v>4.2450000000000001</v>
      </c>
      <c r="AM56">
        <v>17.43</v>
      </c>
      <c r="AN56">
        <v>11.473500000000001</v>
      </c>
      <c r="AP56">
        <v>0</v>
      </c>
    </row>
    <row r="57" spans="1:87" x14ac:dyDescent="0.25">
      <c r="A57" t="b">
        <f t="shared" si="4"/>
        <v>0</v>
      </c>
      <c r="B57">
        <v>2006</v>
      </c>
      <c r="C57">
        <v>123</v>
      </c>
      <c r="D57">
        <v>0</v>
      </c>
      <c r="E57">
        <v>1600</v>
      </c>
      <c r="F57" s="7">
        <v>130.30000000000001</v>
      </c>
      <c r="G57" s="7">
        <v>10.49</v>
      </c>
      <c r="H57" s="7">
        <v>1.6</v>
      </c>
      <c r="I57" s="7" t="str">
        <f t="shared" si="0"/>
        <v/>
      </c>
      <c r="J57" s="7" t="str">
        <f t="shared" si="1"/>
        <v/>
      </c>
      <c r="K57" s="7">
        <v>0</v>
      </c>
      <c r="L57" s="7" t="str">
        <f t="shared" si="2"/>
        <v/>
      </c>
      <c r="M57" s="7" t="str">
        <f t="shared" si="3"/>
        <v/>
      </c>
      <c r="N57" s="7">
        <v>0</v>
      </c>
      <c r="O57" s="7"/>
      <c r="P57" s="7"/>
      <c r="Q57" s="7"/>
      <c r="AC57" s="7"/>
      <c r="AD57" s="13">
        <v>175</v>
      </c>
      <c r="AE57" s="9">
        <v>55</v>
      </c>
      <c r="AF57" s="17">
        <f t="shared" ca="1" si="5"/>
        <v>0</v>
      </c>
      <c r="AG57">
        <f t="shared" ca="1" si="6"/>
        <v>0</v>
      </c>
      <c r="AI57">
        <v>2006</v>
      </c>
      <c r="AJ57">
        <v>56</v>
      </c>
      <c r="AK57">
        <v>0</v>
      </c>
      <c r="AL57">
        <v>8.6199999999999992</v>
      </c>
      <c r="AM57">
        <v>18.48</v>
      </c>
      <c r="AN57">
        <v>13.886250000000002</v>
      </c>
      <c r="AP57">
        <v>0</v>
      </c>
    </row>
    <row r="58" spans="1:87" x14ac:dyDescent="0.25">
      <c r="A58" t="b">
        <f t="shared" si="4"/>
        <v>0</v>
      </c>
      <c r="B58">
        <v>2006</v>
      </c>
      <c r="C58">
        <v>123</v>
      </c>
      <c r="D58">
        <v>0</v>
      </c>
      <c r="E58">
        <v>1700</v>
      </c>
      <c r="F58" s="7">
        <v>121</v>
      </c>
      <c r="G58" s="7">
        <v>11.01</v>
      </c>
      <c r="H58" s="7">
        <v>0.6</v>
      </c>
      <c r="I58" s="7" t="str">
        <f t="shared" si="0"/>
        <v/>
      </c>
      <c r="J58" s="7" t="str">
        <f t="shared" si="1"/>
        <v/>
      </c>
      <c r="K58" s="7">
        <v>0</v>
      </c>
      <c r="L58" s="7" t="str">
        <f t="shared" si="2"/>
        <v/>
      </c>
      <c r="M58" s="7" t="str">
        <f t="shared" si="3"/>
        <v/>
      </c>
      <c r="N58" s="7">
        <v>0</v>
      </c>
      <c r="O58" s="7"/>
      <c r="P58" s="7"/>
      <c r="Q58" s="7"/>
      <c r="AC58" s="7"/>
      <c r="AD58" s="13">
        <v>176</v>
      </c>
      <c r="AE58" s="9">
        <v>56</v>
      </c>
      <c r="AF58" s="17">
        <f t="shared" ca="1" si="5"/>
        <v>0</v>
      </c>
      <c r="AG58">
        <f t="shared" ca="1" si="6"/>
        <v>0</v>
      </c>
      <c r="AI58">
        <v>2006</v>
      </c>
      <c r="AJ58">
        <v>57</v>
      </c>
      <c r="AK58">
        <v>0</v>
      </c>
      <c r="AL58">
        <v>9.9600000000000009</v>
      </c>
      <c r="AM58">
        <v>15.74</v>
      </c>
      <c r="AN58">
        <v>12.971666666666664</v>
      </c>
      <c r="AP58">
        <v>0</v>
      </c>
    </row>
    <row r="59" spans="1:87" x14ac:dyDescent="0.25">
      <c r="A59" t="b">
        <f t="shared" si="4"/>
        <v>0</v>
      </c>
      <c r="B59">
        <v>2006</v>
      </c>
      <c r="C59">
        <v>123</v>
      </c>
      <c r="D59">
        <v>0</v>
      </c>
      <c r="E59">
        <v>1800</v>
      </c>
      <c r="F59" s="7">
        <v>90.9</v>
      </c>
      <c r="G59" s="7">
        <v>11.3</v>
      </c>
      <c r="H59" s="7">
        <v>0</v>
      </c>
      <c r="I59" s="7" t="str">
        <f t="shared" si="0"/>
        <v/>
      </c>
      <c r="J59" s="7" t="str">
        <f t="shared" si="1"/>
        <v/>
      </c>
      <c r="K59" s="7">
        <v>0</v>
      </c>
      <c r="L59" s="7" t="str">
        <f t="shared" si="2"/>
        <v/>
      </c>
      <c r="M59" s="7" t="str">
        <f t="shared" si="3"/>
        <v/>
      </c>
      <c r="N59" s="7">
        <v>0</v>
      </c>
      <c r="O59" s="7"/>
      <c r="P59" s="7"/>
      <c r="Q59" s="7"/>
      <c r="AC59" s="7"/>
      <c r="AD59" s="13">
        <v>177</v>
      </c>
      <c r="AE59" s="9">
        <v>57</v>
      </c>
      <c r="AF59" s="17">
        <f t="shared" ca="1" si="5"/>
        <v>0</v>
      </c>
      <c r="AG59">
        <f t="shared" ca="1" si="6"/>
        <v>0</v>
      </c>
      <c r="AI59">
        <v>2006</v>
      </c>
      <c r="AJ59">
        <v>58</v>
      </c>
      <c r="AK59">
        <v>0</v>
      </c>
      <c r="AL59">
        <v>6.68</v>
      </c>
      <c r="AM59">
        <v>18.62</v>
      </c>
      <c r="AN59">
        <v>13.653208333333332</v>
      </c>
      <c r="AP59">
        <v>0</v>
      </c>
    </row>
    <row r="60" spans="1:87" x14ac:dyDescent="0.25">
      <c r="A60" t="b">
        <f t="shared" si="4"/>
        <v>0</v>
      </c>
      <c r="B60">
        <v>2006</v>
      </c>
      <c r="C60">
        <v>123</v>
      </c>
      <c r="D60">
        <v>0</v>
      </c>
      <c r="E60">
        <v>1900</v>
      </c>
      <c r="F60" s="7">
        <v>69.489999999999995</v>
      </c>
      <c r="G60" s="7">
        <v>11.04</v>
      </c>
      <c r="H60" s="7">
        <v>0</v>
      </c>
      <c r="I60" s="7" t="str">
        <f t="shared" si="0"/>
        <v/>
      </c>
      <c r="J60" s="7" t="str">
        <f t="shared" si="1"/>
        <v/>
      </c>
      <c r="K60" s="7">
        <v>0</v>
      </c>
      <c r="L60" s="7" t="str">
        <f t="shared" si="2"/>
        <v/>
      </c>
      <c r="M60" s="7" t="str">
        <f t="shared" si="3"/>
        <v/>
      </c>
      <c r="N60" s="7">
        <v>0</v>
      </c>
      <c r="O60" s="7"/>
      <c r="P60" s="7"/>
      <c r="Q60" s="7"/>
      <c r="AC60" s="7"/>
      <c r="AD60" s="13">
        <v>178</v>
      </c>
      <c r="AE60" s="9">
        <v>58</v>
      </c>
      <c r="AF60" s="17">
        <f t="shared" ca="1" si="5"/>
        <v>0</v>
      </c>
      <c r="AG60">
        <f t="shared" ca="1" si="6"/>
        <v>0</v>
      </c>
      <c r="AI60">
        <v>2006</v>
      </c>
      <c r="AJ60">
        <v>59</v>
      </c>
      <c r="AK60">
        <v>0</v>
      </c>
      <c r="AL60">
        <v>13.96</v>
      </c>
      <c r="AM60">
        <v>18.84</v>
      </c>
      <c r="AN60">
        <v>16.168749999999999</v>
      </c>
      <c r="AP60">
        <v>0</v>
      </c>
    </row>
    <row r="61" spans="1:87" x14ac:dyDescent="0.25">
      <c r="A61" t="b">
        <f t="shared" si="4"/>
        <v>0</v>
      </c>
      <c r="B61">
        <v>2006</v>
      </c>
      <c r="C61">
        <v>123</v>
      </c>
      <c r="D61">
        <v>0</v>
      </c>
      <c r="E61">
        <v>2000</v>
      </c>
      <c r="F61" s="7">
        <v>11.79</v>
      </c>
      <c r="G61" s="7">
        <v>10.74</v>
      </c>
      <c r="H61" s="7">
        <v>0</v>
      </c>
      <c r="I61" s="7" t="str">
        <f t="shared" si="0"/>
        <v/>
      </c>
      <c r="J61" s="7" t="str">
        <f t="shared" si="1"/>
        <v/>
      </c>
      <c r="K61" s="7">
        <v>0</v>
      </c>
      <c r="L61" s="7" t="str">
        <f t="shared" si="2"/>
        <v/>
      </c>
      <c r="M61" s="7" t="str">
        <f t="shared" si="3"/>
        <v/>
      </c>
      <c r="N61" s="7">
        <v>0</v>
      </c>
      <c r="O61" s="7"/>
      <c r="P61" s="7"/>
      <c r="Q61" s="7"/>
      <c r="AC61" s="7"/>
      <c r="AD61" s="13">
        <v>179</v>
      </c>
      <c r="AE61" s="9">
        <v>59</v>
      </c>
      <c r="AF61" s="17">
        <f t="shared" ca="1" si="5"/>
        <v>0</v>
      </c>
      <c r="AG61">
        <f t="shared" ca="1" si="6"/>
        <v>0</v>
      </c>
      <c r="AI61">
        <v>2006</v>
      </c>
      <c r="AJ61">
        <v>60</v>
      </c>
      <c r="AK61">
        <v>2</v>
      </c>
      <c r="AL61">
        <v>13.63</v>
      </c>
      <c r="AM61">
        <v>18.21</v>
      </c>
      <c r="AN61">
        <v>15.80083333333333</v>
      </c>
      <c r="AP61">
        <v>0</v>
      </c>
    </row>
    <row r="62" spans="1:87" x14ac:dyDescent="0.25">
      <c r="A62" t="b">
        <f t="shared" si="4"/>
        <v>0</v>
      </c>
      <c r="B62">
        <v>2006</v>
      </c>
      <c r="C62">
        <v>123</v>
      </c>
      <c r="D62">
        <v>0</v>
      </c>
      <c r="E62">
        <v>2100</v>
      </c>
      <c r="F62" s="7">
        <v>-1.3919999999999999</v>
      </c>
      <c r="G62" s="7">
        <v>10.039999999999999</v>
      </c>
      <c r="H62" s="7">
        <v>0.2</v>
      </c>
      <c r="I62" s="7" t="str">
        <f t="shared" si="0"/>
        <v/>
      </c>
      <c r="J62" s="7" t="str">
        <f t="shared" si="1"/>
        <v/>
      </c>
      <c r="K62" s="7">
        <v>0</v>
      </c>
      <c r="L62" s="7" t="str">
        <f t="shared" si="2"/>
        <v/>
      </c>
      <c r="M62" s="7" t="str">
        <f t="shared" si="3"/>
        <v/>
      </c>
      <c r="N62" s="7">
        <v>0</v>
      </c>
      <c r="O62" s="7"/>
      <c r="P62" s="7"/>
      <c r="Q62" s="7"/>
      <c r="AC62" s="7"/>
      <c r="AD62" s="13">
        <v>180</v>
      </c>
      <c r="AE62" s="9">
        <v>60</v>
      </c>
      <c r="AF62" s="17">
        <f t="shared" ca="1" si="5"/>
        <v>0</v>
      </c>
      <c r="AG62">
        <f t="shared" ca="1" si="6"/>
        <v>0</v>
      </c>
      <c r="AI62">
        <v>2006</v>
      </c>
      <c r="AJ62">
        <v>61</v>
      </c>
      <c r="AK62">
        <v>3.6</v>
      </c>
      <c r="AL62">
        <v>11.5</v>
      </c>
      <c r="AM62">
        <v>21.44</v>
      </c>
      <c r="AN62">
        <v>16.299583333333334</v>
      </c>
      <c r="AP62">
        <v>0</v>
      </c>
    </row>
    <row r="63" spans="1:87" x14ac:dyDescent="0.25">
      <c r="A63" t="b">
        <f t="shared" si="4"/>
        <v>0</v>
      </c>
      <c r="B63">
        <v>2006</v>
      </c>
      <c r="C63">
        <v>123</v>
      </c>
      <c r="D63">
        <v>0</v>
      </c>
      <c r="E63">
        <v>2200</v>
      </c>
      <c r="F63" s="7">
        <v>-2.2450000000000001</v>
      </c>
      <c r="G63" s="7">
        <v>9.59</v>
      </c>
      <c r="H63" s="7">
        <v>0</v>
      </c>
      <c r="I63" s="7" t="str">
        <f t="shared" si="0"/>
        <v/>
      </c>
      <c r="J63" s="7" t="str">
        <f t="shared" si="1"/>
        <v/>
      </c>
      <c r="K63" s="7">
        <v>0</v>
      </c>
      <c r="L63" s="7" t="str">
        <f t="shared" si="2"/>
        <v/>
      </c>
      <c r="M63" s="7" t="str">
        <f t="shared" si="3"/>
        <v/>
      </c>
      <c r="N63" s="7">
        <v>0</v>
      </c>
      <c r="O63" s="7"/>
      <c r="P63" s="7"/>
      <c r="Q63" s="7"/>
      <c r="AC63" s="7"/>
      <c r="AD63" s="13">
        <v>181</v>
      </c>
      <c r="AE63" s="9">
        <v>61</v>
      </c>
      <c r="AF63" s="17">
        <f t="shared" ca="1" si="5"/>
        <v>0</v>
      </c>
      <c r="AG63">
        <f t="shared" ca="1" si="6"/>
        <v>0</v>
      </c>
      <c r="AI63">
        <v>2006</v>
      </c>
      <c r="AJ63">
        <v>62</v>
      </c>
      <c r="AK63">
        <v>0</v>
      </c>
      <c r="AL63">
        <v>9.58</v>
      </c>
      <c r="AM63">
        <v>22.49</v>
      </c>
      <c r="AN63">
        <v>16.875833333333336</v>
      </c>
      <c r="AP63">
        <v>0</v>
      </c>
    </row>
    <row r="64" spans="1:87" x14ac:dyDescent="0.25">
      <c r="A64" t="b">
        <f t="shared" si="4"/>
        <v>0</v>
      </c>
      <c r="B64">
        <v>2006</v>
      </c>
      <c r="C64">
        <v>123</v>
      </c>
      <c r="D64">
        <v>0</v>
      </c>
      <c r="E64">
        <v>2300</v>
      </c>
      <c r="F64" s="7">
        <v>-2.625</v>
      </c>
      <c r="G64" s="7">
        <v>9.1999999999999993</v>
      </c>
      <c r="H64" s="7">
        <v>0</v>
      </c>
      <c r="I64" s="7" t="str">
        <f t="shared" si="0"/>
        <v/>
      </c>
      <c r="J64" s="7" t="str">
        <f t="shared" si="1"/>
        <v/>
      </c>
      <c r="K64" s="7">
        <v>0</v>
      </c>
      <c r="L64" s="7" t="str">
        <f t="shared" si="2"/>
        <v/>
      </c>
      <c r="M64" s="7" t="str">
        <f t="shared" si="3"/>
        <v/>
      </c>
      <c r="N64" s="7">
        <v>0</v>
      </c>
      <c r="O64" s="7"/>
      <c r="P64" s="7"/>
      <c r="Q64" s="7"/>
      <c r="AC64" s="7"/>
      <c r="AD64" s="13">
        <v>182</v>
      </c>
      <c r="AE64" s="9">
        <v>62</v>
      </c>
      <c r="AF64" s="17">
        <f t="shared" ca="1" si="5"/>
        <v>0</v>
      </c>
      <c r="AG64">
        <f t="shared" ca="1" si="6"/>
        <v>0</v>
      </c>
      <c r="AI64">
        <v>2006</v>
      </c>
      <c r="AJ64">
        <v>63</v>
      </c>
      <c r="AK64">
        <v>0.8</v>
      </c>
      <c r="AL64">
        <v>12.08</v>
      </c>
      <c r="AM64">
        <v>22</v>
      </c>
      <c r="AN64">
        <v>16.289583333333336</v>
      </c>
      <c r="AP64">
        <v>0</v>
      </c>
    </row>
    <row r="65" spans="1:42" x14ac:dyDescent="0.25">
      <c r="A65" t="b">
        <f t="shared" si="4"/>
        <v>0</v>
      </c>
      <c r="B65">
        <v>2006</v>
      </c>
      <c r="C65">
        <v>123</v>
      </c>
      <c r="D65">
        <v>0</v>
      </c>
      <c r="E65">
        <v>2400</v>
      </c>
      <c r="F65" s="7">
        <v>-2.5609999999999999</v>
      </c>
      <c r="G65" s="7">
        <v>8.75</v>
      </c>
      <c r="H65" s="7">
        <v>0</v>
      </c>
      <c r="I65" s="7" t="str">
        <f t="shared" si="0"/>
        <v/>
      </c>
      <c r="J65" s="7" t="str">
        <f t="shared" si="1"/>
        <v/>
      </c>
      <c r="K65" s="7">
        <v>0</v>
      </c>
      <c r="L65" s="7" t="str">
        <f t="shared" si="2"/>
        <v/>
      </c>
      <c r="M65" s="7" t="str">
        <f t="shared" si="3"/>
        <v/>
      </c>
      <c r="N65" s="7">
        <v>0</v>
      </c>
      <c r="O65" s="7"/>
      <c r="P65" s="7"/>
      <c r="Q65" s="7"/>
      <c r="AC65" s="7"/>
      <c r="AD65" s="13">
        <v>183</v>
      </c>
      <c r="AE65" s="9">
        <v>63</v>
      </c>
      <c r="AF65" s="17">
        <f t="shared" ca="1" si="5"/>
        <v>0</v>
      </c>
      <c r="AG65">
        <f t="shared" ca="1" si="6"/>
        <v>0</v>
      </c>
      <c r="AI65">
        <v>2006</v>
      </c>
      <c r="AJ65">
        <v>64</v>
      </c>
      <c r="AK65">
        <v>0</v>
      </c>
      <c r="AL65">
        <v>12.66</v>
      </c>
      <c r="AM65">
        <v>21.14</v>
      </c>
      <c r="AN65">
        <v>17.685000000000002</v>
      </c>
      <c r="AP65">
        <v>0</v>
      </c>
    </row>
    <row r="66" spans="1:42" x14ac:dyDescent="0.25">
      <c r="A66" t="b">
        <f t="shared" si="4"/>
        <v>1</v>
      </c>
      <c r="B66">
        <v>2006</v>
      </c>
      <c r="C66">
        <v>124</v>
      </c>
      <c r="D66">
        <v>0</v>
      </c>
      <c r="E66">
        <v>100</v>
      </c>
      <c r="F66" s="7">
        <v>-3.3959999999999999</v>
      </c>
      <c r="G66" s="7">
        <v>8.6999999999999993</v>
      </c>
      <c r="H66" s="7">
        <v>0</v>
      </c>
      <c r="I66" s="7">
        <f t="shared" ref="I66:I129" si="7">IF(AND(B66=B65,C66=C65),"",SUMIFS($H$2:$H$1529,$B$2:$B$1529,B66,$C$2:$C$1529,C66))</f>
        <v>12.799999999999999</v>
      </c>
      <c r="J66" s="7">
        <f t="shared" ref="J66:J129" si="8">IF(AND(B66=B65,C66=C65),"",AVERAGEIFS($F$2:$F$1529,$B$2:$B$1529,B66,$C$2:$C$1529,C66))</f>
        <v>30.506166666666669</v>
      </c>
      <c r="K66" s="7">
        <v>0</v>
      </c>
      <c r="L66" s="7">
        <f t="shared" ref="L66:L129" si="9">IF(AND(B66=B65,C66=C65),"",_xlfn.MAXIFS($G$2:$G$1529,$B$2:$B$1529,B66,$C$2:$C$1529,C66))</f>
        <v>12.36</v>
      </c>
      <c r="M66" s="7">
        <f t="shared" ref="M66:M129" si="10">IF(AND(B66=B65,C66=C65),"",_xlfn.MINIFS($G$2:$G$1529,$B$2:$B$1529,B66,$C$2:$C$1529,C66))</f>
        <v>8.23</v>
      </c>
      <c r="N66" s="7">
        <v>0</v>
      </c>
      <c r="O66" s="7"/>
      <c r="P66" s="7"/>
      <c r="Q66" s="7"/>
      <c r="AC66" s="7"/>
      <c r="AD66" s="13">
        <v>184</v>
      </c>
      <c r="AE66" s="9">
        <v>64</v>
      </c>
      <c r="AF66" s="17">
        <f t="shared" ca="1" si="5"/>
        <v>0</v>
      </c>
      <c r="AG66">
        <f t="shared" ca="1" si="6"/>
        <v>0</v>
      </c>
      <c r="AI66">
        <v>2006</v>
      </c>
      <c r="AJ66">
        <v>65</v>
      </c>
      <c r="AK66">
        <v>0</v>
      </c>
      <c r="AP66">
        <v>0</v>
      </c>
    </row>
    <row r="67" spans="1:42" x14ac:dyDescent="0.25">
      <c r="A67" t="b">
        <f t="shared" ref="A67:A130" si="11">NOT(I67="")</f>
        <v>0</v>
      </c>
      <c r="B67">
        <v>2006</v>
      </c>
      <c r="C67">
        <v>124</v>
      </c>
      <c r="D67">
        <v>0</v>
      </c>
      <c r="E67">
        <v>200</v>
      </c>
      <c r="F67" s="7">
        <v>-3.1240000000000001</v>
      </c>
      <c r="G67" s="7">
        <v>8.23</v>
      </c>
      <c r="H67" s="7">
        <v>0</v>
      </c>
      <c r="I67" s="7" t="str">
        <f t="shared" si="7"/>
        <v/>
      </c>
      <c r="J67" s="7" t="str">
        <f t="shared" si="8"/>
        <v/>
      </c>
      <c r="K67" s="7">
        <v>0</v>
      </c>
      <c r="L67" s="7" t="str">
        <f t="shared" si="9"/>
        <v/>
      </c>
      <c r="M67" s="7" t="str">
        <f t="shared" si="10"/>
        <v/>
      </c>
      <c r="N67" s="7">
        <v>0</v>
      </c>
      <c r="O67" s="7"/>
      <c r="P67" s="7"/>
      <c r="Q67" s="7"/>
      <c r="AC67" s="7"/>
      <c r="AD67" s="15"/>
      <c r="AE67" s="12"/>
      <c r="AF67" s="8"/>
    </row>
    <row r="68" spans="1:42" x14ac:dyDescent="0.25">
      <c r="A68" t="b">
        <f t="shared" si="11"/>
        <v>0</v>
      </c>
      <c r="B68">
        <v>2006</v>
      </c>
      <c r="C68">
        <v>124</v>
      </c>
      <c r="D68">
        <v>0</v>
      </c>
      <c r="E68">
        <v>300</v>
      </c>
      <c r="F68" s="7">
        <v>-2.73</v>
      </c>
      <c r="G68" s="7">
        <v>8.32</v>
      </c>
      <c r="H68" s="7">
        <v>0</v>
      </c>
      <c r="I68" s="7" t="str">
        <f t="shared" si="7"/>
        <v/>
      </c>
      <c r="J68" s="7" t="str">
        <f t="shared" si="8"/>
        <v/>
      </c>
      <c r="K68" s="7">
        <v>0</v>
      </c>
      <c r="L68" s="7" t="str">
        <f t="shared" si="9"/>
        <v/>
      </c>
      <c r="M68" s="7" t="str">
        <f t="shared" si="10"/>
        <v/>
      </c>
      <c r="N68" s="7">
        <v>0</v>
      </c>
      <c r="O68" s="7"/>
      <c r="P68" s="7"/>
      <c r="Q68" s="7"/>
      <c r="AC68" s="7"/>
      <c r="AD68" s="15"/>
      <c r="AE68" s="10"/>
      <c r="AF68" s="8"/>
    </row>
    <row r="69" spans="1:42" x14ac:dyDescent="0.25">
      <c r="A69" t="b">
        <f t="shared" si="11"/>
        <v>0</v>
      </c>
      <c r="B69">
        <v>2006</v>
      </c>
      <c r="C69">
        <v>124</v>
      </c>
      <c r="D69">
        <v>0</v>
      </c>
      <c r="E69">
        <v>400</v>
      </c>
      <c r="F69" s="7">
        <v>-2.0659999999999998</v>
      </c>
      <c r="G69" s="7">
        <v>8.68</v>
      </c>
      <c r="H69" s="7">
        <v>0</v>
      </c>
      <c r="I69" s="7" t="str">
        <f t="shared" si="7"/>
        <v/>
      </c>
      <c r="J69" s="7" t="str">
        <f t="shared" si="8"/>
        <v/>
      </c>
      <c r="K69" s="7">
        <v>0</v>
      </c>
      <c r="L69" s="7" t="str">
        <f t="shared" si="9"/>
        <v/>
      </c>
      <c r="M69" s="7" t="str">
        <f t="shared" si="10"/>
        <v/>
      </c>
      <c r="N69" s="7">
        <v>0</v>
      </c>
      <c r="O69" s="7"/>
      <c r="P69" s="7"/>
      <c r="Q69" s="7"/>
      <c r="AC69" s="7"/>
      <c r="AD69" s="15"/>
      <c r="AE69" s="10"/>
      <c r="AF69" s="8"/>
    </row>
    <row r="70" spans="1:42" x14ac:dyDescent="0.25">
      <c r="A70" t="b">
        <f t="shared" si="11"/>
        <v>0</v>
      </c>
      <c r="B70">
        <v>2006</v>
      </c>
      <c r="C70">
        <v>124</v>
      </c>
      <c r="D70">
        <v>0</v>
      </c>
      <c r="E70">
        <v>500</v>
      </c>
      <c r="F70" s="7">
        <v>0.188</v>
      </c>
      <c r="G70" s="7">
        <v>9.11</v>
      </c>
      <c r="H70" s="7">
        <v>0</v>
      </c>
      <c r="I70" s="7" t="str">
        <f t="shared" si="7"/>
        <v/>
      </c>
      <c r="J70" s="7" t="str">
        <f t="shared" si="8"/>
        <v/>
      </c>
      <c r="K70" s="7">
        <v>0</v>
      </c>
      <c r="L70" s="7" t="str">
        <f t="shared" si="9"/>
        <v/>
      </c>
      <c r="M70" s="7" t="str">
        <f t="shared" si="10"/>
        <v/>
      </c>
      <c r="N70" s="7">
        <v>0</v>
      </c>
      <c r="O70" s="7"/>
      <c r="P70" s="7"/>
      <c r="Q70" s="7"/>
      <c r="AC70" s="7"/>
      <c r="AD70" s="15"/>
      <c r="AE70" s="12"/>
      <c r="AF70" s="8"/>
    </row>
    <row r="71" spans="1:42" x14ac:dyDescent="0.25">
      <c r="A71" t="b">
        <f t="shared" si="11"/>
        <v>0</v>
      </c>
      <c r="B71">
        <v>2006</v>
      </c>
      <c r="C71">
        <v>124</v>
      </c>
      <c r="D71">
        <v>0</v>
      </c>
      <c r="E71">
        <v>600</v>
      </c>
      <c r="F71" s="7">
        <v>22.39</v>
      </c>
      <c r="G71" s="7">
        <v>8.9499999999999993</v>
      </c>
      <c r="H71" s="7">
        <v>0</v>
      </c>
      <c r="I71" s="7" t="str">
        <f t="shared" si="7"/>
        <v/>
      </c>
      <c r="J71" s="7" t="str">
        <f t="shared" si="8"/>
        <v/>
      </c>
      <c r="K71" s="7">
        <v>0</v>
      </c>
      <c r="L71" s="7" t="str">
        <f t="shared" si="9"/>
        <v/>
      </c>
      <c r="M71" s="7" t="str">
        <f t="shared" si="10"/>
        <v/>
      </c>
      <c r="N71" s="7">
        <v>0</v>
      </c>
      <c r="O71" s="7"/>
      <c r="P71" s="7"/>
      <c r="Q71" s="7"/>
      <c r="AC71" s="7"/>
      <c r="AD71" s="15"/>
      <c r="AE71" s="10"/>
      <c r="AF71" s="8"/>
    </row>
    <row r="72" spans="1:42" x14ac:dyDescent="0.25">
      <c r="A72" t="b">
        <f t="shared" si="11"/>
        <v>0</v>
      </c>
      <c r="B72">
        <v>2006</v>
      </c>
      <c r="C72">
        <v>124</v>
      </c>
      <c r="D72">
        <v>0</v>
      </c>
      <c r="E72">
        <v>700</v>
      </c>
      <c r="F72" s="7">
        <v>84.5</v>
      </c>
      <c r="G72" s="7">
        <v>9.58</v>
      </c>
      <c r="H72" s="7">
        <v>0</v>
      </c>
      <c r="I72" s="7" t="str">
        <f t="shared" si="7"/>
        <v/>
      </c>
      <c r="J72" s="7" t="str">
        <f t="shared" si="8"/>
        <v/>
      </c>
      <c r="K72" s="7">
        <v>0</v>
      </c>
      <c r="L72" s="7" t="str">
        <f t="shared" si="9"/>
        <v/>
      </c>
      <c r="M72" s="7" t="str">
        <f t="shared" si="10"/>
        <v/>
      </c>
      <c r="N72" s="7">
        <v>0</v>
      </c>
      <c r="O72" s="7"/>
      <c r="P72" s="7"/>
      <c r="Q72" s="7"/>
      <c r="AC72" s="7"/>
      <c r="AD72" s="15"/>
      <c r="AE72" s="10"/>
      <c r="AF72" s="8"/>
    </row>
    <row r="73" spans="1:42" x14ac:dyDescent="0.25">
      <c r="A73" t="b">
        <f t="shared" si="11"/>
        <v>0</v>
      </c>
      <c r="B73">
        <v>2006</v>
      </c>
      <c r="C73">
        <v>124</v>
      </c>
      <c r="D73">
        <v>0</v>
      </c>
      <c r="E73">
        <v>800</v>
      </c>
      <c r="F73" s="7">
        <v>120.9</v>
      </c>
      <c r="G73" s="7">
        <v>10.49</v>
      </c>
      <c r="H73" s="7">
        <v>0</v>
      </c>
      <c r="I73" s="7" t="str">
        <f t="shared" si="7"/>
        <v/>
      </c>
      <c r="J73" s="7" t="str">
        <f t="shared" si="8"/>
        <v/>
      </c>
      <c r="K73" s="7">
        <v>0</v>
      </c>
      <c r="L73" s="7" t="str">
        <f t="shared" si="9"/>
        <v/>
      </c>
      <c r="M73" s="7" t="str">
        <f t="shared" si="10"/>
        <v/>
      </c>
      <c r="N73" s="7">
        <v>0</v>
      </c>
      <c r="O73" s="7"/>
      <c r="P73" s="7"/>
      <c r="Q73" s="7"/>
      <c r="AC73" s="7"/>
      <c r="AD73" s="15"/>
      <c r="AE73" s="12"/>
      <c r="AF73" s="8"/>
    </row>
    <row r="74" spans="1:42" x14ac:dyDescent="0.25">
      <c r="A74" t="b">
        <f t="shared" si="11"/>
        <v>0</v>
      </c>
      <c r="B74">
        <v>2006</v>
      </c>
      <c r="C74">
        <v>124</v>
      </c>
      <c r="D74">
        <v>0</v>
      </c>
      <c r="E74">
        <v>900</v>
      </c>
      <c r="F74" s="7">
        <v>65.08</v>
      </c>
      <c r="G74" s="7">
        <v>10.46</v>
      </c>
      <c r="H74" s="7">
        <v>0.8</v>
      </c>
      <c r="I74" s="7" t="str">
        <f t="shared" si="7"/>
        <v/>
      </c>
      <c r="J74" s="7" t="str">
        <f t="shared" si="8"/>
        <v/>
      </c>
      <c r="K74" s="7">
        <v>0</v>
      </c>
      <c r="L74" s="7" t="str">
        <f t="shared" si="9"/>
        <v/>
      </c>
      <c r="M74" s="7" t="str">
        <f t="shared" si="10"/>
        <v/>
      </c>
      <c r="N74" s="7">
        <v>0</v>
      </c>
      <c r="O74" s="7"/>
      <c r="P74" s="7"/>
      <c r="Q74" s="7"/>
      <c r="AC74" s="7"/>
      <c r="AD74" s="15"/>
      <c r="AE74" s="10"/>
      <c r="AF74" s="8"/>
    </row>
    <row r="75" spans="1:42" x14ac:dyDescent="0.25">
      <c r="A75" t="b">
        <f t="shared" si="11"/>
        <v>0</v>
      </c>
      <c r="B75">
        <v>2006</v>
      </c>
      <c r="C75">
        <v>124</v>
      </c>
      <c r="D75">
        <v>0</v>
      </c>
      <c r="E75">
        <v>1000</v>
      </c>
      <c r="F75" s="7">
        <v>18.87</v>
      </c>
      <c r="G75" s="7">
        <v>10.42</v>
      </c>
      <c r="H75" s="7">
        <v>0.8</v>
      </c>
      <c r="I75" s="7" t="str">
        <f t="shared" si="7"/>
        <v/>
      </c>
      <c r="J75" s="7" t="str">
        <f t="shared" si="8"/>
        <v/>
      </c>
      <c r="K75" s="7">
        <v>0</v>
      </c>
      <c r="L75" s="7" t="str">
        <f t="shared" si="9"/>
        <v/>
      </c>
      <c r="M75" s="7" t="str">
        <f t="shared" si="10"/>
        <v/>
      </c>
      <c r="N75" s="7">
        <v>0</v>
      </c>
      <c r="O75" s="7"/>
      <c r="P75" s="7"/>
      <c r="Q75" s="7"/>
      <c r="AC75" s="7"/>
      <c r="AD75" s="15"/>
      <c r="AE75" s="10"/>
      <c r="AF75" s="8"/>
    </row>
    <row r="76" spans="1:42" x14ac:dyDescent="0.25">
      <c r="A76" t="b">
        <f t="shared" si="11"/>
        <v>0</v>
      </c>
      <c r="B76">
        <v>2006</v>
      </c>
      <c r="C76">
        <v>124</v>
      </c>
      <c r="D76">
        <v>0</v>
      </c>
      <c r="E76">
        <v>1100</v>
      </c>
      <c r="F76" s="7">
        <v>24.71</v>
      </c>
      <c r="G76" s="7">
        <v>10.48</v>
      </c>
      <c r="H76" s="7">
        <v>1.2</v>
      </c>
      <c r="I76" s="7" t="str">
        <f t="shared" si="7"/>
        <v/>
      </c>
      <c r="J76" s="7" t="str">
        <f t="shared" si="8"/>
        <v/>
      </c>
      <c r="K76" s="7">
        <v>0</v>
      </c>
      <c r="L76" s="7" t="str">
        <f t="shared" si="9"/>
        <v/>
      </c>
      <c r="M76" s="7" t="str">
        <f t="shared" si="10"/>
        <v/>
      </c>
      <c r="N76" s="7">
        <v>0</v>
      </c>
      <c r="O76" s="7"/>
      <c r="P76" s="7"/>
      <c r="Q76" s="7"/>
      <c r="AC76" s="7"/>
      <c r="AD76" s="15"/>
      <c r="AE76" s="12"/>
      <c r="AF76" s="8"/>
    </row>
    <row r="77" spans="1:42" x14ac:dyDescent="0.25">
      <c r="A77" t="b">
        <f t="shared" si="11"/>
        <v>0</v>
      </c>
      <c r="B77">
        <v>2006</v>
      </c>
      <c r="C77">
        <v>124</v>
      </c>
      <c r="D77">
        <v>0</v>
      </c>
      <c r="E77">
        <v>1200</v>
      </c>
      <c r="F77" s="7">
        <v>41.98</v>
      </c>
      <c r="G77" s="7">
        <v>10.47</v>
      </c>
      <c r="H77" s="7">
        <v>6.2</v>
      </c>
      <c r="I77" s="7" t="str">
        <f t="shared" si="7"/>
        <v/>
      </c>
      <c r="J77" s="7" t="str">
        <f t="shared" si="8"/>
        <v/>
      </c>
      <c r="K77" s="7">
        <v>0</v>
      </c>
      <c r="L77" s="7" t="str">
        <f t="shared" si="9"/>
        <v/>
      </c>
      <c r="M77" s="7" t="str">
        <f t="shared" si="10"/>
        <v/>
      </c>
      <c r="N77" s="7">
        <v>0</v>
      </c>
      <c r="O77" s="7"/>
      <c r="P77" s="7"/>
      <c r="Q77" s="7"/>
      <c r="AC77" s="7"/>
      <c r="AD77" s="15"/>
      <c r="AE77" s="10"/>
      <c r="AF77" s="8"/>
    </row>
    <row r="78" spans="1:42" x14ac:dyDescent="0.25">
      <c r="A78" t="b">
        <f t="shared" si="11"/>
        <v>0</v>
      </c>
      <c r="B78">
        <v>2006</v>
      </c>
      <c r="C78">
        <v>124</v>
      </c>
      <c r="D78">
        <v>0</v>
      </c>
      <c r="E78">
        <v>1300</v>
      </c>
      <c r="F78" s="7">
        <v>49.03</v>
      </c>
      <c r="G78" s="7">
        <v>11.09</v>
      </c>
      <c r="H78" s="7">
        <v>0</v>
      </c>
      <c r="I78" s="7" t="str">
        <f t="shared" si="7"/>
        <v/>
      </c>
      <c r="J78" s="7" t="str">
        <f t="shared" si="8"/>
        <v/>
      </c>
      <c r="K78" s="7">
        <v>0</v>
      </c>
      <c r="L78" s="7" t="str">
        <f t="shared" si="9"/>
        <v/>
      </c>
      <c r="M78" s="7" t="str">
        <f t="shared" si="10"/>
        <v/>
      </c>
      <c r="N78" s="7">
        <v>0</v>
      </c>
      <c r="O78" s="7"/>
      <c r="P78" s="7"/>
      <c r="Q78" s="7"/>
      <c r="AC78" s="7"/>
      <c r="AD78" s="15"/>
      <c r="AE78" s="10"/>
      <c r="AF78" s="8"/>
    </row>
    <row r="79" spans="1:42" x14ac:dyDescent="0.25">
      <c r="A79" t="b">
        <f t="shared" si="11"/>
        <v>0</v>
      </c>
      <c r="B79">
        <v>2006</v>
      </c>
      <c r="C79">
        <v>124</v>
      </c>
      <c r="D79">
        <v>0</v>
      </c>
      <c r="E79">
        <v>1400</v>
      </c>
      <c r="F79" s="7">
        <v>78.900000000000006</v>
      </c>
      <c r="G79" s="7">
        <v>11.59</v>
      </c>
      <c r="H79" s="7">
        <v>0</v>
      </c>
      <c r="I79" s="7" t="str">
        <f t="shared" si="7"/>
        <v/>
      </c>
      <c r="J79" s="7" t="str">
        <f t="shared" si="8"/>
        <v/>
      </c>
      <c r="K79" s="7">
        <v>0</v>
      </c>
      <c r="L79" s="7" t="str">
        <f t="shared" si="9"/>
        <v/>
      </c>
      <c r="M79" s="7" t="str">
        <f t="shared" si="10"/>
        <v/>
      </c>
      <c r="N79" s="7">
        <v>0</v>
      </c>
      <c r="O79" s="7"/>
      <c r="P79" s="7"/>
      <c r="Q79" s="7"/>
      <c r="AC79" s="7"/>
      <c r="AD79" s="15"/>
      <c r="AE79" s="12"/>
      <c r="AF79" s="8"/>
    </row>
    <row r="80" spans="1:42" x14ac:dyDescent="0.25">
      <c r="A80" t="b">
        <f t="shared" si="11"/>
        <v>0</v>
      </c>
      <c r="B80">
        <v>2006</v>
      </c>
      <c r="C80">
        <v>124</v>
      </c>
      <c r="D80">
        <v>0</v>
      </c>
      <c r="E80">
        <v>1500</v>
      </c>
      <c r="F80" s="7">
        <v>100.4</v>
      </c>
      <c r="G80" s="7">
        <v>12.12</v>
      </c>
      <c r="H80" s="7">
        <v>0.2</v>
      </c>
      <c r="I80" s="7" t="str">
        <f t="shared" si="7"/>
        <v/>
      </c>
      <c r="J80" s="7" t="str">
        <f t="shared" si="8"/>
        <v/>
      </c>
      <c r="K80" s="7">
        <v>0</v>
      </c>
      <c r="L80" s="7" t="str">
        <f t="shared" si="9"/>
        <v/>
      </c>
      <c r="M80" s="7" t="str">
        <f t="shared" si="10"/>
        <v/>
      </c>
      <c r="N80" s="7">
        <v>0</v>
      </c>
      <c r="O80" s="7"/>
      <c r="P80" s="7"/>
      <c r="Q80" s="7"/>
      <c r="AC80" s="7"/>
      <c r="AD80" s="15"/>
      <c r="AE80" s="10"/>
      <c r="AF80" s="8"/>
    </row>
    <row r="81" spans="1:32" x14ac:dyDescent="0.25">
      <c r="A81" t="b">
        <f t="shared" si="11"/>
        <v>0</v>
      </c>
      <c r="B81">
        <v>2006</v>
      </c>
      <c r="C81">
        <v>124</v>
      </c>
      <c r="D81">
        <v>0</v>
      </c>
      <c r="E81">
        <v>1600</v>
      </c>
      <c r="F81" s="7">
        <v>58.75</v>
      </c>
      <c r="G81" s="7">
        <v>12.36</v>
      </c>
      <c r="H81" s="7">
        <v>0.2</v>
      </c>
      <c r="I81" s="7" t="str">
        <f t="shared" si="7"/>
        <v/>
      </c>
      <c r="J81" s="7" t="str">
        <f t="shared" si="8"/>
        <v/>
      </c>
      <c r="K81" s="7">
        <v>0</v>
      </c>
      <c r="L81" s="7" t="str">
        <f t="shared" si="9"/>
        <v/>
      </c>
      <c r="M81" s="7" t="str">
        <f t="shared" si="10"/>
        <v/>
      </c>
      <c r="N81" s="7">
        <v>0</v>
      </c>
      <c r="O81" s="7"/>
      <c r="P81" s="7"/>
      <c r="Q81" s="7"/>
      <c r="AC81" s="7"/>
      <c r="AD81" s="15"/>
      <c r="AE81" s="10"/>
      <c r="AF81" s="8"/>
    </row>
    <row r="82" spans="1:32" x14ac:dyDescent="0.25">
      <c r="A82" t="b">
        <f t="shared" si="11"/>
        <v>0</v>
      </c>
      <c r="B82">
        <v>2006</v>
      </c>
      <c r="C82">
        <v>124</v>
      </c>
      <c r="D82">
        <v>0</v>
      </c>
      <c r="E82">
        <v>1700</v>
      </c>
      <c r="F82" s="7">
        <v>28.58</v>
      </c>
      <c r="G82" s="7">
        <v>11.92</v>
      </c>
      <c r="H82" s="7">
        <v>0.4</v>
      </c>
      <c r="I82" s="7" t="str">
        <f t="shared" si="7"/>
        <v/>
      </c>
      <c r="J82" s="7" t="str">
        <f t="shared" si="8"/>
        <v/>
      </c>
      <c r="K82" s="7">
        <v>0</v>
      </c>
      <c r="L82" s="7" t="str">
        <f t="shared" si="9"/>
        <v/>
      </c>
      <c r="M82" s="7" t="str">
        <f t="shared" si="10"/>
        <v/>
      </c>
      <c r="N82" s="7">
        <v>0</v>
      </c>
      <c r="O82" s="7"/>
      <c r="P82" s="7"/>
      <c r="Q82" s="7"/>
      <c r="AC82" s="7"/>
      <c r="AD82" s="15"/>
      <c r="AE82" s="12"/>
      <c r="AF82" s="8"/>
    </row>
    <row r="83" spans="1:32" x14ac:dyDescent="0.25">
      <c r="A83" t="b">
        <f t="shared" si="11"/>
        <v>0</v>
      </c>
      <c r="B83">
        <v>2006</v>
      </c>
      <c r="C83">
        <v>124</v>
      </c>
      <c r="D83">
        <v>0</v>
      </c>
      <c r="E83">
        <v>1800</v>
      </c>
      <c r="F83" s="7">
        <v>34.1</v>
      </c>
      <c r="G83" s="7">
        <v>12.24</v>
      </c>
      <c r="H83" s="7">
        <v>1</v>
      </c>
      <c r="I83" s="7" t="str">
        <f t="shared" si="7"/>
        <v/>
      </c>
      <c r="J83" s="7" t="str">
        <f t="shared" si="8"/>
        <v/>
      </c>
      <c r="K83" s="7">
        <v>0</v>
      </c>
      <c r="L83" s="7" t="str">
        <f t="shared" si="9"/>
        <v/>
      </c>
      <c r="M83" s="7" t="str">
        <f t="shared" si="10"/>
        <v/>
      </c>
      <c r="N83" s="7">
        <v>0</v>
      </c>
      <c r="O83" s="7"/>
      <c r="P83" s="7"/>
      <c r="Q83" s="7"/>
      <c r="AC83" s="7"/>
      <c r="AD83" s="15"/>
      <c r="AE83" s="10"/>
      <c r="AF83" s="8"/>
    </row>
    <row r="84" spans="1:32" x14ac:dyDescent="0.25">
      <c r="A84" t="b">
        <f t="shared" si="11"/>
        <v>0</v>
      </c>
      <c r="B84">
        <v>2006</v>
      </c>
      <c r="C84">
        <v>124</v>
      </c>
      <c r="D84">
        <v>0</v>
      </c>
      <c r="E84">
        <v>1900</v>
      </c>
      <c r="F84" s="7">
        <v>12.11</v>
      </c>
      <c r="G84" s="7">
        <v>11.81</v>
      </c>
      <c r="H84" s="7">
        <v>1.4</v>
      </c>
      <c r="I84" s="7" t="str">
        <f t="shared" si="7"/>
        <v/>
      </c>
      <c r="J84" s="7" t="str">
        <f t="shared" si="8"/>
        <v/>
      </c>
      <c r="K84" s="7">
        <v>0</v>
      </c>
      <c r="L84" s="7" t="str">
        <f t="shared" si="9"/>
        <v/>
      </c>
      <c r="M84" s="7" t="str">
        <f t="shared" si="10"/>
        <v/>
      </c>
      <c r="N84" s="7">
        <v>0</v>
      </c>
      <c r="O84" s="7"/>
      <c r="P84" s="7"/>
      <c r="Q84" s="7"/>
      <c r="AC84" s="7"/>
      <c r="AD84" s="15"/>
      <c r="AE84" s="10"/>
      <c r="AF84" s="8"/>
    </row>
    <row r="85" spans="1:32" x14ac:dyDescent="0.25">
      <c r="A85" t="b">
        <f t="shared" si="11"/>
        <v>0</v>
      </c>
      <c r="B85">
        <v>2006</v>
      </c>
      <c r="C85">
        <v>124</v>
      </c>
      <c r="D85">
        <v>0</v>
      </c>
      <c r="E85">
        <v>2000</v>
      </c>
      <c r="F85" s="7">
        <v>5.5880000000000001</v>
      </c>
      <c r="G85" s="7">
        <v>11.56</v>
      </c>
      <c r="H85" s="7">
        <v>0.6</v>
      </c>
      <c r="I85" s="7" t="str">
        <f t="shared" si="7"/>
        <v/>
      </c>
      <c r="J85" s="7" t="str">
        <f t="shared" si="8"/>
        <v/>
      </c>
      <c r="K85" s="7">
        <v>0</v>
      </c>
      <c r="L85" s="7" t="str">
        <f t="shared" si="9"/>
        <v/>
      </c>
      <c r="M85" s="7" t="str">
        <f t="shared" si="10"/>
        <v/>
      </c>
      <c r="N85" s="7">
        <v>0</v>
      </c>
      <c r="O85" s="7"/>
      <c r="P85" s="7"/>
      <c r="Q85" s="7"/>
      <c r="AC85" s="7"/>
      <c r="AD85" s="15"/>
      <c r="AE85" s="12"/>
      <c r="AF85" s="8"/>
    </row>
    <row r="86" spans="1:32" x14ac:dyDescent="0.25">
      <c r="A86" t="b">
        <f t="shared" si="11"/>
        <v>0</v>
      </c>
      <c r="B86">
        <v>2006</v>
      </c>
      <c r="C86">
        <v>124</v>
      </c>
      <c r="D86">
        <v>0</v>
      </c>
      <c r="E86">
        <v>2100</v>
      </c>
      <c r="F86" s="7">
        <v>-0.47199999999999998</v>
      </c>
      <c r="G86" s="7">
        <v>11.42</v>
      </c>
      <c r="H86" s="7">
        <v>0</v>
      </c>
      <c r="I86" s="7" t="str">
        <f t="shared" si="7"/>
        <v/>
      </c>
      <c r="J86" s="7" t="str">
        <f t="shared" si="8"/>
        <v/>
      </c>
      <c r="K86" s="7">
        <v>0</v>
      </c>
      <c r="L86" s="7" t="str">
        <f t="shared" si="9"/>
        <v/>
      </c>
      <c r="M86" s="7" t="str">
        <f t="shared" si="10"/>
        <v/>
      </c>
      <c r="N86" s="7">
        <v>0</v>
      </c>
      <c r="O86" s="7"/>
      <c r="P86" s="7"/>
      <c r="Q86" s="7"/>
      <c r="AC86" s="7"/>
      <c r="AD86" s="15"/>
      <c r="AE86" s="10"/>
      <c r="AF86" s="8"/>
    </row>
    <row r="87" spans="1:32" x14ac:dyDescent="0.25">
      <c r="A87" t="b">
        <f t="shared" si="11"/>
        <v>0</v>
      </c>
      <c r="B87">
        <v>2006</v>
      </c>
      <c r="C87">
        <v>124</v>
      </c>
      <c r="D87">
        <v>0</v>
      </c>
      <c r="E87">
        <v>2200</v>
      </c>
      <c r="F87" s="7">
        <v>-0.55800000000000005</v>
      </c>
      <c r="G87" s="7">
        <v>11.33</v>
      </c>
      <c r="H87" s="7">
        <v>0</v>
      </c>
      <c r="I87" s="7" t="str">
        <f t="shared" si="7"/>
        <v/>
      </c>
      <c r="J87" s="7" t="str">
        <f t="shared" si="8"/>
        <v/>
      </c>
      <c r="K87" s="7">
        <v>0</v>
      </c>
      <c r="L87" s="7" t="str">
        <f t="shared" si="9"/>
        <v/>
      </c>
      <c r="M87" s="7" t="str">
        <f t="shared" si="10"/>
        <v/>
      </c>
      <c r="N87" s="7">
        <v>0</v>
      </c>
      <c r="O87" s="7"/>
      <c r="P87" s="7"/>
      <c r="Q87" s="7"/>
      <c r="AC87" s="7"/>
      <c r="AD87" s="15"/>
      <c r="AE87" s="10"/>
      <c r="AF87" s="8"/>
    </row>
    <row r="88" spans="1:32" x14ac:dyDescent="0.25">
      <c r="A88" t="b">
        <f t="shared" si="11"/>
        <v>0</v>
      </c>
      <c r="B88">
        <v>2006</v>
      </c>
      <c r="C88">
        <v>124</v>
      </c>
      <c r="D88">
        <v>0</v>
      </c>
      <c r="E88">
        <v>2300</v>
      </c>
      <c r="F88" s="7">
        <v>-0.56899999999999995</v>
      </c>
      <c r="G88" s="7">
        <v>11.09</v>
      </c>
      <c r="H88" s="7">
        <v>0</v>
      </c>
      <c r="I88" s="7" t="str">
        <f t="shared" si="7"/>
        <v/>
      </c>
      <c r="J88" s="7" t="str">
        <f t="shared" si="8"/>
        <v/>
      </c>
      <c r="K88" s="7">
        <v>0</v>
      </c>
      <c r="L88" s="7" t="str">
        <f t="shared" si="9"/>
        <v/>
      </c>
      <c r="M88" s="7" t="str">
        <f t="shared" si="10"/>
        <v/>
      </c>
      <c r="N88" s="7">
        <v>0</v>
      </c>
      <c r="O88" s="7"/>
      <c r="P88" s="7"/>
      <c r="Q88" s="7"/>
      <c r="AC88" s="7"/>
      <c r="AD88" s="15"/>
      <c r="AE88" s="12"/>
      <c r="AF88" s="8"/>
    </row>
    <row r="89" spans="1:32" x14ac:dyDescent="0.25">
      <c r="A89" t="b">
        <f t="shared" si="11"/>
        <v>0</v>
      </c>
      <c r="B89">
        <v>2006</v>
      </c>
      <c r="C89">
        <v>124</v>
      </c>
      <c r="D89">
        <v>0</v>
      </c>
      <c r="E89">
        <v>2400</v>
      </c>
      <c r="F89" s="7">
        <v>-1.0129999999999999</v>
      </c>
      <c r="G89" s="7">
        <v>10.72</v>
      </c>
      <c r="H89" s="7">
        <v>0</v>
      </c>
      <c r="I89" s="7" t="str">
        <f t="shared" si="7"/>
        <v/>
      </c>
      <c r="J89" s="7" t="str">
        <f t="shared" si="8"/>
        <v/>
      </c>
      <c r="K89" s="7">
        <v>0</v>
      </c>
      <c r="L89" s="7" t="str">
        <f t="shared" si="9"/>
        <v/>
      </c>
      <c r="M89" s="7" t="str">
        <f t="shared" si="10"/>
        <v/>
      </c>
      <c r="N89" s="7">
        <v>0</v>
      </c>
      <c r="O89" s="7"/>
      <c r="P89" s="7"/>
      <c r="Q89" s="7"/>
      <c r="AC89"/>
      <c r="AD89" s="15"/>
      <c r="AE89" s="10"/>
      <c r="AF89" s="8"/>
    </row>
    <row r="90" spans="1:32" x14ac:dyDescent="0.25">
      <c r="A90" t="b">
        <f t="shared" si="11"/>
        <v>1</v>
      </c>
      <c r="B90">
        <v>2006</v>
      </c>
      <c r="C90">
        <v>125</v>
      </c>
      <c r="D90">
        <v>0</v>
      </c>
      <c r="E90">
        <v>100</v>
      </c>
      <c r="F90" s="7">
        <v>-2.87</v>
      </c>
      <c r="G90" s="7">
        <v>9.83</v>
      </c>
      <c r="H90" s="7">
        <v>0</v>
      </c>
      <c r="I90" s="7">
        <f t="shared" si="7"/>
        <v>0</v>
      </c>
      <c r="J90" s="7">
        <f t="shared" si="8"/>
        <v>274.18625000000003</v>
      </c>
      <c r="K90" s="7">
        <v>0</v>
      </c>
      <c r="L90" s="7">
        <f t="shared" si="9"/>
        <v>14.45</v>
      </c>
      <c r="M90" s="7">
        <f t="shared" si="10"/>
        <v>4.7149999999999999</v>
      </c>
      <c r="N90" s="7">
        <v>0</v>
      </c>
      <c r="O90" s="7"/>
      <c r="P90" s="7"/>
      <c r="Q90" s="7"/>
      <c r="AC90"/>
      <c r="AD90" s="15"/>
      <c r="AE90" s="10"/>
      <c r="AF90" s="8"/>
    </row>
    <row r="91" spans="1:32" x14ac:dyDescent="0.25">
      <c r="A91" t="b">
        <f t="shared" si="11"/>
        <v>0</v>
      </c>
      <c r="B91">
        <v>2006</v>
      </c>
      <c r="C91">
        <v>125</v>
      </c>
      <c r="D91">
        <v>0</v>
      </c>
      <c r="E91">
        <v>200</v>
      </c>
      <c r="F91" s="7">
        <v>-3.145</v>
      </c>
      <c r="G91" s="7">
        <v>9.6199999999999992</v>
      </c>
      <c r="H91" s="7">
        <v>0</v>
      </c>
      <c r="I91" s="7" t="str">
        <f t="shared" si="7"/>
        <v/>
      </c>
      <c r="J91" s="7" t="str">
        <f t="shared" si="8"/>
        <v/>
      </c>
      <c r="K91" s="7">
        <v>0</v>
      </c>
      <c r="L91" s="7" t="str">
        <f t="shared" si="9"/>
        <v/>
      </c>
      <c r="M91" s="7" t="str">
        <f t="shared" si="10"/>
        <v/>
      </c>
      <c r="N91" s="7">
        <v>0</v>
      </c>
      <c r="O91" s="7"/>
      <c r="P91" s="7"/>
      <c r="Q91" s="7"/>
      <c r="AC91"/>
      <c r="AD91" s="15"/>
      <c r="AE91" s="12"/>
      <c r="AF91" s="8"/>
    </row>
    <row r="92" spans="1:32" x14ac:dyDescent="0.25">
      <c r="A92" t="b">
        <f t="shared" si="11"/>
        <v>0</v>
      </c>
      <c r="B92">
        <v>2006</v>
      </c>
      <c r="C92">
        <v>125</v>
      </c>
      <c r="D92">
        <v>0</v>
      </c>
      <c r="E92">
        <v>300</v>
      </c>
      <c r="F92" s="7">
        <v>-2.218</v>
      </c>
      <c r="G92" s="7">
        <v>9.33</v>
      </c>
      <c r="H92" s="7">
        <v>0</v>
      </c>
      <c r="I92" s="7" t="str">
        <f t="shared" si="7"/>
        <v/>
      </c>
      <c r="J92" s="7" t="str">
        <f t="shared" si="8"/>
        <v/>
      </c>
      <c r="K92" s="7">
        <v>0</v>
      </c>
      <c r="L92" s="7" t="str">
        <f t="shared" si="9"/>
        <v/>
      </c>
      <c r="M92" s="7" t="str">
        <f t="shared" si="10"/>
        <v/>
      </c>
      <c r="N92" s="7">
        <v>0</v>
      </c>
      <c r="O92" s="7"/>
      <c r="P92" s="7"/>
      <c r="Q92" s="7"/>
      <c r="AC92"/>
      <c r="AD92" s="15"/>
      <c r="AE92" s="10"/>
      <c r="AF92" s="8"/>
    </row>
    <row r="93" spans="1:32" x14ac:dyDescent="0.25">
      <c r="A93" t="b">
        <f t="shared" si="11"/>
        <v>0</v>
      </c>
      <c r="B93">
        <v>2006</v>
      </c>
      <c r="C93">
        <v>125</v>
      </c>
      <c r="D93">
        <v>0</v>
      </c>
      <c r="E93">
        <v>400</v>
      </c>
      <c r="F93" s="7">
        <v>-2.6659999999999999</v>
      </c>
      <c r="G93" s="7">
        <v>6.7809999999999997</v>
      </c>
      <c r="H93" s="7">
        <v>0</v>
      </c>
      <c r="I93" s="7" t="str">
        <f t="shared" si="7"/>
        <v/>
      </c>
      <c r="J93" s="7" t="str">
        <f t="shared" si="8"/>
        <v/>
      </c>
      <c r="K93" s="7">
        <v>0</v>
      </c>
      <c r="L93" s="7" t="str">
        <f t="shared" si="9"/>
        <v/>
      </c>
      <c r="M93" s="7" t="str">
        <f t="shared" si="10"/>
        <v/>
      </c>
      <c r="N93" s="7">
        <v>0</v>
      </c>
      <c r="O93" s="7"/>
      <c r="P93" s="7"/>
      <c r="Q93" s="7"/>
      <c r="AC93"/>
      <c r="AD93" s="15"/>
      <c r="AE93" s="10"/>
      <c r="AF93" s="8"/>
    </row>
    <row r="94" spans="1:32" x14ac:dyDescent="0.25">
      <c r="A94" t="b">
        <f t="shared" si="11"/>
        <v>0</v>
      </c>
      <c r="B94">
        <v>2006</v>
      </c>
      <c r="C94">
        <v>125</v>
      </c>
      <c r="D94">
        <v>0</v>
      </c>
      <c r="E94">
        <v>500</v>
      </c>
      <c r="F94" s="7">
        <v>0.20100000000000001</v>
      </c>
      <c r="G94" s="7">
        <v>5.1040000000000001</v>
      </c>
      <c r="H94" s="7">
        <v>0</v>
      </c>
      <c r="I94" s="7" t="str">
        <f t="shared" si="7"/>
        <v/>
      </c>
      <c r="J94" s="7" t="str">
        <f t="shared" si="8"/>
        <v/>
      </c>
      <c r="K94" s="7">
        <v>0</v>
      </c>
      <c r="L94" s="7" t="str">
        <f t="shared" si="9"/>
        <v/>
      </c>
      <c r="M94" s="7" t="str">
        <f t="shared" si="10"/>
        <v/>
      </c>
      <c r="N94" s="7">
        <v>0</v>
      </c>
      <c r="O94" s="7"/>
      <c r="P94" s="7"/>
      <c r="Q94" s="7"/>
      <c r="AC94"/>
      <c r="AD94" s="15"/>
      <c r="AE94" s="10"/>
      <c r="AF94" s="8"/>
    </row>
    <row r="95" spans="1:32" x14ac:dyDescent="0.25">
      <c r="A95" t="b">
        <f t="shared" si="11"/>
        <v>0</v>
      </c>
      <c r="B95">
        <v>2006</v>
      </c>
      <c r="C95">
        <v>125</v>
      </c>
      <c r="D95">
        <v>0</v>
      </c>
      <c r="E95">
        <v>600</v>
      </c>
      <c r="F95" s="7">
        <v>59.82</v>
      </c>
      <c r="G95" s="7">
        <v>4.7149999999999999</v>
      </c>
      <c r="H95" s="7">
        <v>0</v>
      </c>
      <c r="I95" s="7" t="str">
        <f t="shared" si="7"/>
        <v/>
      </c>
      <c r="J95" s="7" t="str">
        <f t="shared" si="8"/>
        <v/>
      </c>
      <c r="K95" s="7">
        <v>0</v>
      </c>
      <c r="L95" s="7" t="str">
        <f t="shared" si="9"/>
        <v/>
      </c>
      <c r="M95" s="7" t="str">
        <f t="shared" si="10"/>
        <v/>
      </c>
      <c r="N95" s="7">
        <v>0</v>
      </c>
      <c r="O95" s="7"/>
      <c r="P95" s="7"/>
      <c r="Q95" s="7"/>
      <c r="AC95"/>
      <c r="AD95" s="15"/>
      <c r="AE95" s="10"/>
      <c r="AF95" s="8"/>
    </row>
    <row r="96" spans="1:32" x14ac:dyDescent="0.25">
      <c r="A96" t="b">
        <f t="shared" si="11"/>
        <v>0</v>
      </c>
      <c r="B96">
        <v>2006</v>
      </c>
      <c r="C96">
        <v>125</v>
      </c>
      <c r="D96">
        <v>0</v>
      </c>
      <c r="E96">
        <v>700</v>
      </c>
      <c r="F96" s="7">
        <v>190.4</v>
      </c>
      <c r="G96" s="7">
        <v>6.9470000000000001</v>
      </c>
      <c r="H96" s="7">
        <v>0</v>
      </c>
      <c r="I96" s="7" t="str">
        <f t="shared" si="7"/>
        <v/>
      </c>
      <c r="J96" s="7" t="str">
        <f t="shared" si="8"/>
        <v/>
      </c>
      <c r="K96" s="7">
        <v>0</v>
      </c>
      <c r="L96" s="7" t="str">
        <f t="shared" si="9"/>
        <v/>
      </c>
      <c r="M96" s="7" t="str">
        <f t="shared" si="10"/>
        <v/>
      </c>
      <c r="N96" s="7">
        <v>0</v>
      </c>
      <c r="O96" s="7"/>
      <c r="P96" s="7"/>
      <c r="Q96" s="7"/>
      <c r="AC96"/>
      <c r="AD96" s="15"/>
      <c r="AE96" s="10"/>
      <c r="AF96" s="8"/>
    </row>
    <row r="97" spans="1:32" x14ac:dyDescent="0.25">
      <c r="A97" t="b">
        <f t="shared" si="11"/>
        <v>0</v>
      </c>
      <c r="B97">
        <v>2006</v>
      </c>
      <c r="C97">
        <v>125</v>
      </c>
      <c r="D97">
        <v>0</v>
      </c>
      <c r="E97">
        <v>800</v>
      </c>
      <c r="F97" s="7">
        <v>343.1</v>
      </c>
      <c r="G97" s="7">
        <v>9.26</v>
      </c>
      <c r="H97" s="7">
        <v>0</v>
      </c>
      <c r="I97" s="7" t="str">
        <f t="shared" si="7"/>
        <v/>
      </c>
      <c r="J97" s="7" t="str">
        <f t="shared" si="8"/>
        <v/>
      </c>
      <c r="K97" s="7">
        <v>0</v>
      </c>
      <c r="L97" s="7" t="str">
        <f t="shared" si="9"/>
        <v/>
      </c>
      <c r="M97" s="7" t="str">
        <f t="shared" si="10"/>
        <v/>
      </c>
      <c r="N97" s="7">
        <v>0</v>
      </c>
      <c r="O97" s="7"/>
      <c r="P97" s="7"/>
      <c r="Q97" s="7"/>
      <c r="AC97"/>
      <c r="AD97" s="15"/>
      <c r="AE97" s="10"/>
      <c r="AF97" s="8"/>
    </row>
    <row r="98" spans="1:32" x14ac:dyDescent="0.25">
      <c r="A98" t="b">
        <f t="shared" si="11"/>
        <v>0</v>
      </c>
      <c r="B98">
        <v>2006</v>
      </c>
      <c r="C98">
        <v>125</v>
      </c>
      <c r="D98">
        <v>0</v>
      </c>
      <c r="E98">
        <v>900</v>
      </c>
      <c r="F98" s="7">
        <v>486.4</v>
      </c>
      <c r="G98" s="7">
        <v>10.97</v>
      </c>
      <c r="H98" s="7">
        <v>0</v>
      </c>
      <c r="I98" s="7" t="str">
        <f t="shared" si="7"/>
        <v/>
      </c>
      <c r="J98" s="7" t="str">
        <f t="shared" si="8"/>
        <v/>
      </c>
      <c r="K98" s="7">
        <v>0</v>
      </c>
      <c r="L98" s="7" t="str">
        <f t="shared" si="9"/>
        <v/>
      </c>
      <c r="M98" s="7" t="str">
        <f t="shared" si="10"/>
        <v/>
      </c>
      <c r="N98" s="7">
        <v>0</v>
      </c>
      <c r="O98" s="7"/>
      <c r="P98" s="7"/>
      <c r="Q98" s="7"/>
      <c r="AC98"/>
      <c r="AD98" s="14"/>
    </row>
    <row r="99" spans="1:32" x14ac:dyDescent="0.25">
      <c r="A99" t="b">
        <f t="shared" si="11"/>
        <v>0</v>
      </c>
      <c r="B99">
        <v>2006</v>
      </c>
      <c r="C99">
        <v>125</v>
      </c>
      <c r="D99">
        <v>0</v>
      </c>
      <c r="E99">
        <v>1000</v>
      </c>
      <c r="F99" s="7">
        <v>632.1</v>
      </c>
      <c r="G99" s="7">
        <v>12.44</v>
      </c>
      <c r="H99" s="7">
        <v>0</v>
      </c>
      <c r="I99" s="7" t="str">
        <f t="shared" si="7"/>
        <v/>
      </c>
      <c r="J99" s="7" t="str">
        <f t="shared" si="8"/>
        <v/>
      </c>
      <c r="K99" s="7">
        <v>0</v>
      </c>
      <c r="L99" s="7" t="str">
        <f t="shared" si="9"/>
        <v/>
      </c>
      <c r="M99" s="7" t="str">
        <f t="shared" si="10"/>
        <v/>
      </c>
      <c r="N99" s="7">
        <v>0</v>
      </c>
      <c r="O99" s="7"/>
      <c r="P99" s="7"/>
      <c r="Q99" s="7"/>
      <c r="AC99"/>
      <c r="AD99" s="14"/>
    </row>
    <row r="100" spans="1:32" x14ac:dyDescent="0.25">
      <c r="A100" t="b">
        <f t="shared" si="11"/>
        <v>0</v>
      </c>
      <c r="B100">
        <v>2006</v>
      </c>
      <c r="C100">
        <v>125</v>
      </c>
      <c r="D100">
        <v>0</v>
      </c>
      <c r="E100">
        <v>1100</v>
      </c>
      <c r="F100" s="7">
        <v>659.4</v>
      </c>
      <c r="G100" s="7">
        <v>13.5</v>
      </c>
      <c r="H100" s="7">
        <v>0</v>
      </c>
      <c r="I100" s="7" t="str">
        <f t="shared" si="7"/>
        <v/>
      </c>
      <c r="J100" s="7" t="str">
        <f t="shared" si="8"/>
        <v/>
      </c>
      <c r="K100" s="7">
        <v>0</v>
      </c>
      <c r="L100" s="7" t="str">
        <f t="shared" si="9"/>
        <v/>
      </c>
      <c r="M100" s="7" t="str">
        <f t="shared" si="10"/>
        <v/>
      </c>
      <c r="N100" s="7">
        <v>0</v>
      </c>
      <c r="O100" s="7"/>
      <c r="P100" s="7"/>
      <c r="Q100" s="7"/>
      <c r="AC100"/>
      <c r="AD100" s="14"/>
    </row>
    <row r="101" spans="1:32" x14ac:dyDescent="0.25">
      <c r="A101" t="b">
        <f t="shared" si="11"/>
        <v>0</v>
      </c>
      <c r="B101">
        <v>2006</v>
      </c>
      <c r="C101">
        <v>125</v>
      </c>
      <c r="D101">
        <v>0</v>
      </c>
      <c r="E101">
        <v>1200</v>
      </c>
      <c r="F101" s="7">
        <v>757</v>
      </c>
      <c r="G101" s="7">
        <v>14</v>
      </c>
      <c r="H101" s="7">
        <v>0</v>
      </c>
      <c r="I101" s="7" t="str">
        <f t="shared" si="7"/>
        <v/>
      </c>
      <c r="J101" s="7" t="str">
        <f t="shared" si="8"/>
        <v/>
      </c>
      <c r="K101" s="7">
        <v>0</v>
      </c>
      <c r="L101" s="7" t="str">
        <f t="shared" si="9"/>
        <v/>
      </c>
      <c r="M101" s="7" t="str">
        <f t="shared" si="10"/>
        <v/>
      </c>
      <c r="N101" s="7">
        <v>0</v>
      </c>
      <c r="O101" s="7"/>
      <c r="P101" s="7"/>
      <c r="Q101" s="7"/>
      <c r="AC101"/>
      <c r="AD101" s="14"/>
    </row>
    <row r="102" spans="1:32" x14ac:dyDescent="0.25">
      <c r="A102" t="b">
        <f t="shared" si="11"/>
        <v>0</v>
      </c>
      <c r="B102">
        <v>2006</v>
      </c>
      <c r="C102">
        <v>125</v>
      </c>
      <c r="D102">
        <v>0</v>
      </c>
      <c r="E102">
        <v>1300</v>
      </c>
      <c r="F102" s="7">
        <v>802</v>
      </c>
      <c r="G102" s="7">
        <v>14.45</v>
      </c>
      <c r="H102" s="7">
        <v>0</v>
      </c>
      <c r="I102" s="7" t="str">
        <f t="shared" si="7"/>
        <v/>
      </c>
      <c r="J102" s="7" t="str">
        <f t="shared" si="8"/>
        <v/>
      </c>
      <c r="K102" s="7">
        <v>0</v>
      </c>
      <c r="L102" s="7" t="str">
        <f t="shared" si="9"/>
        <v/>
      </c>
      <c r="M102" s="7" t="str">
        <f t="shared" si="10"/>
        <v/>
      </c>
      <c r="N102" s="7">
        <v>0</v>
      </c>
      <c r="O102" s="7"/>
      <c r="P102" s="7"/>
      <c r="Q102" s="7"/>
      <c r="AC102"/>
      <c r="AD102" s="14"/>
    </row>
    <row r="103" spans="1:32" x14ac:dyDescent="0.25">
      <c r="A103" t="b">
        <f t="shared" si="11"/>
        <v>0</v>
      </c>
      <c r="B103">
        <v>2006</v>
      </c>
      <c r="C103">
        <v>125</v>
      </c>
      <c r="D103">
        <v>0</v>
      </c>
      <c r="E103">
        <v>1400</v>
      </c>
      <c r="F103" s="7">
        <v>734</v>
      </c>
      <c r="G103" s="7">
        <v>14.42</v>
      </c>
      <c r="H103" s="7">
        <v>0</v>
      </c>
      <c r="I103" s="7" t="str">
        <f t="shared" si="7"/>
        <v/>
      </c>
      <c r="J103" s="7" t="str">
        <f t="shared" si="8"/>
        <v/>
      </c>
      <c r="K103" s="7">
        <v>0</v>
      </c>
      <c r="L103" s="7" t="str">
        <f t="shared" si="9"/>
        <v/>
      </c>
      <c r="M103" s="7" t="str">
        <f t="shared" si="10"/>
        <v/>
      </c>
      <c r="N103" s="7">
        <v>0</v>
      </c>
      <c r="O103" s="7"/>
      <c r="P103" s="7"/>
      <c r="Q103" s="7"/>
      <c r="AC103"/>
      <c r="AD103" s="14"/>
    </row>
    <row r="104" spans="1:32" x14ac:dyDescent="0.25">
      <c r="A104" t="b">
        <f t="shared" si="11"/>
        <v>0</v>
      </c>
      <c r="B104">
        <v>2006</v>
      </c>
      <c r="C104">
        <v>125</v>
      </c>
      <c r="D104">
        <v>0</v>
      </c>
      <c r="E104">
        <v>1500</v>
      </c>
      <c r="F104" s="7">
        <v>706</v>
      </c>
      <c r="G104" s="7">
        <v>13.59</v>
      </c>
      <c r="H104" s="7">
        <v>0</v>
      </c>
      <c r="I104" s="7" t="str">
        <f t="shared" si="7"/>
        <v/>
      </c>
      <c r="J104" s="7" t="str">
        <f t="shared" si="8"/>
        <v/>
      </c>
      <c r="K104" s="7">
        <v>0</v>
      </c>
      <c r="L104" s="7" t="str">
        <f t="shared" si="9"/>
        <v/>
      </c>
      <c r="M104" s="7" t="str">
        <f t="shared" si="10"/>
        <v/>
      </c>
      <c r="N104" s="7">
        <v>0</v>
      </c>
      <c r="O104" s="7"/>
      <c r="P104" s="7"/>
      <c r="Q104" s="7"/>
      <c r="AC104"/>
      <c r="AD104" s="14"/>
    </row>
    <row r="105" spans="1:32" x14ac:dyDescent="0.25">
      <c r="A105" t="b">
        <f t="shared" si="11"/>
        <v>0</v>
      </c>
      <c r="B105">
        <v>2006</v>
      </c>
      <c r="C105">
        <v>125</v>
      </c>
      <c r="D105">
        <v>0</v>
      </c>
      <c r="E105">
        <v>1600</v>
      </c>
      <c r="F105" s="7">
        <v>524.79999999999995</v>
      </c>
      <c r="G105" s="7">
        <v>13.75</v>
      </c>
      <c r="H105" s="7">
        <v>0</v>
      </c>
      <c r="I105" s="7" t="str">
        <f t="shared" si="7"/>
        <v/>
      </c>
      <c r="J105" s="7" t="str">
        <f t="shared" si="8"/>
        <v/>
      </c>
      <c r="K105" s="7">
        <v>0</v>
      </c>
      <c r="L105" s="7" t="str">
        <f t="shared" si="9"/>
        <v/>
      </c>
      <c r="M105" s="7" t="str">
        <f t="shared" si="10"/>
        <v/>
      </c>
      <c r="N105" s="7">
        <v>0</v>
      </c>
      <c r="O105" s="7"/>
      <c r="P105" s="7"/>
      <c r="Q105" s="7"/>
      <c r="AC105"/>
      <c r="AD105" s="14"/>
    </row>
    <row r="106" spans="1:32" x14ac:dyDescent="0.25">
      <c r="A106" t="b">
        <f t="shared" si="11"/>
        <v>0</v>
      </c>
      <c r="B106">
        <v>2006</v>
      </c>
      <c r="C106">
        <v>125</v>
      </c>
      <c r="D106">
        <v>0</v>
      </c>
      <c r="E106">
        <v>1700</v>
      </c>
      <c r="F106" s="7">
        <v>371.7</v>
      </c>
      <c r="G106" s="7">
        <v>13.26</v>
      </c>
      <c r="H106" s="7">
        <v>0</v>
      </c>
      <c r="I106" s="7" t="str">
        <f t="shared" si="7"/>
        <v/>
      </c>
      <c r="J106" s="7" t="str">
        <f t="shared" si="8"/>
        <v/>
      </c>
      <c r="K106" s="7">
        <v>0</v>
      </c>
      <c r="L106" s="7" t="str">
        <f t="shared" si="9"/>
        <v/>
      </c>
      <c r="M106" s="7" t="str">
        <f t="shared" si="10"/>
        <v/>
      </c>
      <c r="N106" s="7">
        <v>0</v>
      </c>
      <c r="O106" s="7"/>
      <c r="P106" s="7"/>
      <c r="Q106" s="7"/>
      <c r="AC106"/>
      <c r="AD106" s="14"/>
    </row>
    <row r="107" spans="1:32" x14ac:dyDescent="0.25">
      <c r="A107" t="b">
        <f t="shared" si="11"/>
        <v>0</v>
      </c>
      <c r="B107">
        <v>2006</v>
      </c>
      <c r="C107">
        <v>125</v>
      </c>
      <c r="D107">
        <v>0</v>
      </c>
      <c r="E107">
        <v>1800</v>
      </c>
      <c r="F107" s="7">
        <v>181.4</v>
      </c>
      <c r="G107" s="7">
        <v>12.16</v>
      </c>
      <c r="H107" s="7">
        <v>0</v>
      </c>
      <c r="I107" s="7" t="str">
        <f t="shared" si="7"/>
        <v/>
      </c>
      <c r="J107" s="7" t="str">
        <f t="shared" si="8"/>
        <v/>
      </c>
      <c r="K107" s="7">
        <v>0</v>
      </c>
      <c r="L107" s="7" t="str">
        <f t="shared" si="9"/>
        <v/>
      </c>
      <c r="M107" s="7" t="str">
        <f t="shared" si="10"/>
        <v/>
      </c>
      <c r="N107" s="7">
        <v>0</v>
      </c>
      <c r="O107" s="7"/>
      <c r="P107" s="7"/>
      <c r="Q107" s="7"/>
      <c r="AC107"/>
      <c r="AD107" s="14"/>
    </row>
    <row r="108" spans="1:32" x14ac:dyDescent="0.25">
      <c r="A108" t="b">
        <f t="shared" si="11"/>
        <v>0</v>
      </c>
      <c r="B108">
        <v>2006</v>
      </c>
      <c r="C108">
        <v>125</v>
      </c>
      <c r="D108">
        <v>0</v>
      </c>
      <c r="E108">
        <v>1900</v>
      </c>
      <c r="F108" s="7">
        <v>129.80000000000001</v>
      </c>
      <c r="G108" s="7">
        <v>11.79</v>
      </c>
      <c r="H108" s="7">
        <v>0</v>
      </c>
      <c r="I108" s="7" t="str">
        <f t="shared" si="7"/>
        <v/>
      </c>
      <c r="J108" s="7" t="str">
        <f t="shared" si="8"/>
        <v/>
      </c>
      <c r="K108" s="7">
        <v>0</v>
      </c>
      <c r="L108" s="7" t="str">
        <f t="shared" si="9"/>
        <v/>
      </c>
      <c r="M108" s="7" t="str">
        <f t="shared" si="10"/>
        <v/>
      </c>
      <c r="N108" s="7">
        <v>0</v>
      </c>
      <c r="O108" s="7"/>
      <c r="P108" s="7"/>
      <c r="Q108" s="7"/>
      <c r="AC108"/>
      <c r="AD108" s="14"/>
    </row>
    <row r="109" spans="1:32" x14ac:dyDescent="0.25">
      <c r="A109" t="b">
        <f t="shared" si="11"/>
        <v>0</v>
      </c>
      <c r="B109">
        <v>2006</v>
      </c>
      <c r="C109">
        <v>125</v>
      </c>
      <c r="D109">
        <v>0</v>
      </c>
      <c r="E109">
        <v>2000</v>
      </c>
      <c r="F109" s="7">
        <v>24.35</v>
      </c>
      <c r="G109" s="7">
        <v>10.72</v>
      </c>
      <c r="H109" s="7">
        <v>0</v>
      </c>
      <c r="I109" s="7" t="str">
        <f t="shared" si="7"/>
        <v/>
      </c>
      <c r="J109" s="7" t="str">
        <f t="shared" si="8"/>
        <v/>
      </c>
      <c r="K109" s="7">
        <v>0</v>
      </c>
      <c r="L109" s="7" t="str">
        <f t="shared" si="9"/>
        <v/>
      </c>
      <c r="M109" s="7" t="str">
        <f t="shared" si="10"/>
        <v/>
      </c>
      <c r="N109" s="7">
        <v>0</v>
      </c>
      <c r="O109" s="7"/>
      <c r="P109" s="7"/>
      <c r="Q109" s="7"/>
      <c r="AC109"/>
      <c r="AD109" s="14"/>
    </row>
    <row r="110" spans="1:32" x14ac:dyDescent="0.25">
      <c r="A110" t="b">
        <f t="shared" si="11"/>
        <v>0</v>
      </c>
      <c r="B110">
        <v>2006</v>
      </c>
      <c r="C110">
        <v>125</v>
      </c>
      <c r="D110">
        <v>0</v>
      </c>
      <c r="E110">
        <v>2100</v>
      </c>
      <c r="F110" s="7">
        <v>-2.0590000000000002</v>
      </c>
      <c r="G110" s="7">
        <v>9.94</v>
      </c>
      <c r="H110" s="7">
        <v>0</v>
      </c>
      <c r="I110" s="7" t="str">
        <f t="shared" si="7"/>
        <v/>
      </c>
      <c r="J110" s="7" t="str">
        <f t="shared" si="8"/>
        <v/>
      </c>
      <c r="K110" s="7">
        <v>0</v>
      </c>
      <c r="L110" s="7" t="str">
        <f t="shared" si="9"/>
        <v/>
      </c>
      <c r="M110" s="7" t="str">
        <f t="shared" si="10"/>
        <v/>
      </c>
      <c r="N110" s="7">
        <v>0</v>
      </c>
      <c r="O110" s="7"/>
      <c r="P110" s="7"/>
      <c r="Q110" s="7"/>
      <c r="AC110"/>
      <c r="AD110" s="14"/>
    </row>
    <row r="111" spans="1:32" x14ac:dyDescent="0.25">
      <c r="A111" t="b">
        <f t="shared" si="11"/>
        <v>0</v>
      </c>
      <c r="B111">
        <v>2006</v>
      </c>
      <c r="C111">
        <v>125</v>
      </c>
      <c r="D111">
        <v>0</v>
      </c>
      <c r="E111">
        <v>2200</v>
      </c>
      <c r="F111" s="7">
        <v>-3.1840000000000002</v>
      </c>
      <c r="G111" s="7">
        <v>9.1999999999999993</v>
      </c>
      <c r="H111" s="7">
        <v>0</v>
      </c>
      <c r="I111" s="7" t="str">
        <f t="shared" si="7"/>
        <v/>
      </c>
      <c r="J111" s="7" t="str">
        <f t="shared" si="8"/>
        <v/>
      </c>
      <c r="K111" s="7">
        <v>0</v>
      </c>
      <c r="L111" s="7" t="str">
        <f t="shared" si="9"/>
        <v/>
      </c>
      <c r="M111" s="7" t="str">
        <f t="shared" si="10"/>
        <v/>
      </c>
      <c r="N111" s="7">
        <v>0</v>
      </c>
      <c r="O111" s="7"/>
      <c r="P111" s="7"/>
      <c r="Q111" s="7"/>
      <c r="AC111"/>
      <c r="AD111" s="14"/>
    </row>
    <row r="112" spans="1:32" x14ac:dyDescent="0.25">
      <c r="A112" t="b">
        <f t="shared" si="11"/>
        <v>0</v>
      </c>
      <c r="B112">
        <v>2006</v>
      </c>
      <c r="C112">
        <v>125</v>
      </c>
      <c r="D112">
        <v>0</v>
      </c>
      <c r="E112">
        <v>2300</v>
      </c>
      <c r="F112" s="7">
        <v>-3.0880000000000001</v>
      </c>
      <c r="G112" s="7">
        <v>9.43</v>
      </c>
      <c r="H112" s="7">
        <v>0</v>
      </c>
      <c r="I112" s="7" t="str">
        <f t="shared" si="7"/>
        <v/>
      </c>
      <c r="J112" s="7" t="str">
        <f t="shared" si="8"/>
        <v/>
      </c>
      <c r="K112" s="7">
        <v>0</v>
      </c>
      <c r="L112" s="7" t="str">
        <f t="shared" si="9"/>
        <v/>
      </c>
      <c r="M112" s="7" t="str">
        <f t="shared" si="10"/>
        <v/>
      </c>
      <c r="N112" s="7">
        <v>0</v>
      </c>
      <c r="O112" s="7"/>
      <c r="P112" s="7"/>
      <c r="Q112" s="7"/>
      <c r="AC112"/>
      <c r="AD112" s="14"/>
    </row>
    <row r="113" spans="1:30" x14ac:dyDescent="0.25">
      <c r="A113" t="b">
        <f t="shared" si="11"/>
        <v>0</v>
      </c>
      <c r="B113">
        <v>2006</v>
      </c>
      <c r="C113">
        <v>125</v>
      </c>
      <c r="D113">
        <v>0</v>
      </c>
      <c r="E113">
        <v>2400</v>
      </c>
      <c r="F113" s="7">
        <v>-2.7709999999999999</v>
      </c>
      <c r="G113" s="7">
        <v>10</v>
      </c>
      <c r="H113" s="7">
        <v>0</v>
      </c>
      <c r="I113" s="7" t="str">
        <f t="shared" si="7"/>
        <v/>
      </c>
      <c r="J113" s="7" t="str">
        <f t="shared" si="8"/>
        <v/>
      </c>
      <c r="K113" s="7">
        <v>0</v>
      </c>
      <c r="L113" s="7" t="str">
        <f t="shared" si="9"/>
        <v/>
      </c>
      <c r="M113" s="7" t="str">
        <f t="shared" si="10"/>
        <v/>
      </c>
      <c r="N113" s="7">
        <v>0</v>
      </c>
      <c r="O113" s="7"/>
      <c r="P113" s="7"/>
      <c r="Q113" s="7"/>
      <c r="AC113"/>
      <c r="AD113" s="14"/>
    </row>
    <row r="114" spans="1:30" x14ac:dyDescent="0.25">
      <c r="A114" t="b">
        <f t="shared" si="11"/>
        <v>1</v>
      </c>
      <c r="B114">
        <v>2006</v>
      </c>
      <c r="C114">
        <v>126</v>
      </c>
      <c r="D114">
        <v>0</v>
      </c>
      <c r="E114">
        <v>100</v>
      </c>
      <c r="F114" s="7">
        <v>-2.2999999999999998</v>
      </c>
      <c r="G114" s="7">
        <v>9.67</v>
      </c>
      <c r="H114" s="7">
        <v>0</v>
      </c>
      <c r="I114" s="7">
        <f t="shared" si="7"/>
        <v>0</v>
      </c>
      <c r="J114" s="7">
        <f t="shared" si="8"/>
        <v>217.75887500000007</v>
      </c>
      <c r="K114" s="7">
        <v>0</v>
      </c>
      <c r="L114" s="7">
        <f t="shared" si="9"/>
        <v>14.99</v>
      </c>
      <c r="M114" s="7">
        <f t="shared" si="10"/>
        <v>8.32</v>
      </c>
      <c r="N114" s="7">
        <v>0</v>
      </c>
      <c r="O114" s="7"/>
      <c r="P114" s="7"/>
      <c r="Q114" s="7"/>
      <c r="AC114"/>
      <c r="AD114" s="14"/>
    </row>
    <row r="115" spans="1:30" x14ac:dyDescent="0.25">
      <c r="A115" t="b">
        <f t="shared" si="11"/>
        <v>0</v>
      </c>
      <c r="B115">
        <v>2006</v>
      </c>
      <c r="C115">
        <v>126</v>
      </c>
      <c r="D115">
        <v>0</v>
      </c>
      <c r="E115">
        <v>200</v>
      </c>
      <c r="F115" s="7">
        <v>-2.552</v>
      </c>
      <c r="G115" s="7">
        <v>8.98</v>
      </c>
      <c r="H115" s="7">
        <v>0</v>
      </c>
      <c r="I115" s="7" t="str">
        <f t="shared" si="7"/>
        <v/>
      </c>
      <c r="J115" s="7" t="str">
        <f t="shared" si="8"/>
        <v/>
      </c>
      <c r="K115" s="7">
        <v>0</v>
      </c>
      <c r="L115" s="7" t="str">
        <f t="shared" si="9"/>
        <v/>
      </c>
      <c r="M115" s="7" t="str">
        <f t="shared" si="10"/>
        <v/>
      </c>
      <c r="N115" s="7">
        <v>0</v>
      </c>
      <c r="O115" s="7"/>
      <c r="P115" s="7"/>
      <c r="Q115" s="7"/>
      <c r="AC115"/>
      <c r="AD115" s="14"/>
    </row>
    <row r="116" spans="1:30" x14ac:dyDescent="0.25">
      <c r="A116" t="b">
        <f t="shared" si="11"/>
        <v>0</v>
      </c>
      <c r="B116">
        <v>2006</v>
      </c>
      <c r="C116">
        <v>126</v>
      </c>
      <c r="D116">
        <v>0</v>
      </c>
      <c r="E116">
        <v>300</v>
      </c>
      <c r="F116" s="7">
        <v>-2.8570000000000002</v>
      </c>
      <c r="G116" s="7">
        <v>8.74</v>
      </c>
      <c r="H116" s="7">
        <v>0</v>
      </c>
      <c r="I116" s="7" t="str">
        <f t="shared" si="7"/>
        <v/>
      </c>
      <c r="J116" s="7" t="str">
        <f t="shared" si="8"/>
        <v/>
      </c>
      <c r="K116" s="7">
        <v>0</v>
      </c>
      <c r="L116" s="7" t="str">
        <f t="shared" si="9"/>
        <v/>
      </c>
      <c r="M116" s="7" t="str">
        <f t="shared" si="10"/>
        <v/>
      </c>
      <c r="N116" s="7">
        <v>0</v>
      </c>
      <c r="O116" s="7"/>
      <c r="P116" s="7"/>
      <c r="Q116" s="7"/>
      <c r="AC116"/>
      <c r="AD116" s="14"/>
    </row>
    <row r="117" spans="1:30" x14ac:dyDescent="0.25">
      <c r="A117" t="b">
        <f t="shared" si="11"/>
        <v>0</v>
      </c>
      <c r="B117">
        <v>2006</v>
      </c>
      <c r="C117">
        <v>126</v>
      </c>
      <c r="D117">
        <v>0</v>
      </c>
      <c r="E117">
        <v>400</v>
      </c>
      <c r="F117" s="7">
        <v>-2.8639999999999999</v>
      </c>
      <c r="G117" s="7">
        <v>8.5299999999999994</v>
      </c>
      <c r="H117" s="7">
        <v>0</v>
      </c>
      <c r="I117" s="7" t="str">
        <f t="shared" si="7"/>
        <v/>
      </c>
      <c r="J117" s="7" t="str">
        <f t="shared" si="8"/>
        <v/>
      </c>
      <c r="K117" s="7">
        <v>0</v>
      </c>
      <c r="L117" s="7" t="str">
        <f t="shared" si="9"/>
        <v/>
      </c>
      <c r="M117" s="7" t="str">
        <f t="shared" si="10"/>
        <v/>
      </c>
      <c r="N117" s="7">
        <v>0</v>
      </c>
      <c r="O117" s="7"/>
      <c r="P117" s="7"/>
      <c r="Q117" s="7"/>
      <c r="AC117"/>
      <c r="AD117" s="14"/>
    </row>
    <row r="118" spans="1:30" x14ac:dyDescent="0.25">
      <c r="A118" t="b">
        <f t="shared" si="11"/>
        <v>0</v>
      </c>
      <c r="B118">
        <v>2006</v>
      </c>
      <c r="C118">
        <v>126</v>
      </c>
      <c r="D118">
        <v>0</v>
      </c>
      <c r="E118">
        <v>500</v>
      </c>
      <c r="F118" s="7">
        <v>0.34499999999999997</v>
      </c>
      <c r="G118" s="7">
        <v>8.32</v>
      </c>
      <c r="H118" s="7">
        <v>0</v>
      </c>
      <c r="I118" s="7" t="str">
        <f t="shared" si="7"/>
        <v/>
      </c>
      <c r="J118" s="7" t="str">
        <f t="shared" si="8"/>
        <v/>
      </c>
      <c r="K118" s="7">
        <v>0</v>
      </c>
      <c r="L118" s="7" t="str">
        <f t="shared" si="9"/>
        <v/>
      </c>
      <c r="M118" s="7" t="str">
        <f t="shared" si="10"/>
        <v/>
      </c>
      <c r="N118" s="7">
        <v>0</v>
      </c>
      <c r="O118" s="7"/>
      <c r="P118" s="7"/>
      <c r="Q118" s="7"/>
      <c r="AC118"/>
      <c r="AD118" s="14"/>
    </row>
    <row r="119" spans="1:30" x14ac:dyDescent="0.25">
      <c r="A119" t="b">
        <f t="shared" si="11"/>
        <v>0</v>
      </c>
      <c r="B119">
        <v>2006</v>
      </c>
      <c r="C119">
        <v>126</v>
      </c>
      <c r="D119">
        <v>0</v>
      </c>
      <c r="E119">
        <v>600</v>
      </c>
      <c r="F119" s="7">
        <v>36.68</v>
      </c>
      <c r="G119" s="7">
        <v>8.39</v>
      </c>
      <c r="H119" s="7">
        <v>0</v>
      </c>
      <c r="I119" s="7" t="str">
        <f t="shared" si="7"/>
        <v/>
      </c>
      <c r="J119" s="7" t="str">
        <f t="shared" si="8"/>
        <v/>
      </c>
      <c r="K119" s="7">
        <v>0</v>
      </c>
      <c r="L119" s="7" t="str">
        <f t="shared" si="9"/>
        <v/>
      </c>
      <c r="M119" s="7" t="str">
        <f t="shared" si="10"/>
        <v/>
      </c>
      <c r="N119" s="7">
        <v>0</v>
      </c>
      <c r="O119" s="7"/>
      <c r="P119" s="7"/>
      <c r="Q119" s="7"/>
      <c r="AC119"/>
      <c r="AD119" s="14"/>
    </row>
    <row r="120" spans="1:30" x14ac:dyDescent="0.25">
      <c r="A120" t="b">
        <f t="shared" si="11"/>
        <v>0</v>
      </c>
      <c r="B120">
        <v>2006</v>
      </c>
      <c r="C120">
        <v>126</v>
      </c>
      <c r="D120">
        <v>0</v>
      </c>
      <c r="E120">
        <v>700</v>
      </c>
      <c r="F120" s="7">
        <v>155</v>
      </c>
      <c r="G120" s="7">
        <v>9.3800000000000008</v>
      </c>
      <c r="H120" s="7">
        <v>0</v>
      </c>
      <c r="I120" s="7" t="str">
        <f t="shared" si="7"/>
        <v/>
      </c>
      <c r="J120" s="7" t="str">
        <f t="shared" si="8"/>
        <v/>
      </c>
      <c r="K120" s="7">
        <v>0</v>
      </c>
      <c r="L120" s="7" t="str">
        <f t="shared" si="9"/>
        <v/>
      </c>
      <c r="M120" s="7" t="str">
        <f t="shared" si="10"/>
        <v/>
      </c>
      <c r="N120" s="7">
        <v>0</v>
      </c>
      <c r="O120" s="7"/>
      <c r="P120" s="7"/>
      <c r="Q120" s="7"/>
      <c r="AC120"/>
      <c r="AD120" s="14"/>
    </row>
    <row r="121" spans="1:30" x14ac:dyDescent="0.25">
      <c r="A121" t="b">
        <f t="shared" si="11"/>
        <v>0</v>
      </c>
      <c r="B121">
        <v>2006</v>
      </c>
      <c r="C121">
        <v>126</v>
      </c>
      <c r="D121">
        <v>0</v>
      </c>
      <c r="E121">
        <v>800</v>
      </c>
      <c r="F121" s="7">
        <v>256.2</v>
      </c>
      <c r="G121" s="7">
        <v>10.81</v>
      </c>
      <c r="H121" s="7">
        <v>0</v>
      </c>
      <c r="I121" s="7" t="str">
        <f t="shared" si="7"/>
        <v/>
      </c>
      <c r="J121" s="7" t="str">
        <f t="shared" si="8"/>
        <v/>
      </c>
      <c r="K121" s="7">
        <v>0</v>
      </c>
      <c r="L121" s="7" t="str">
        <f t="shared" si="9"/>
        <v/>
      </c>
      <c r="M121" s="7" t="str">
        <f t="shared" si="10"/>
        <v/>
      </c>
      <c r="N121" s="7">
        <v>0</v>
      </c>
      <c r="O121" s="7"/>
      <c r="P121" s="7"/>
      <c r="Q121" s="7"/>
      <c r="AC121"/>
      <c r="AD121" s="14"/>
    </row>
    <row r="122" spans="1:30" x14ac:dyDescent="0.25">
      <c r="A122" t="b">
        <f t="shared" si="11"/>
        <v>0</v>
      </c>
      <c r="B122">
        <v>2006</v>
      </c>
      <c r="C122">
        <v>126</v>
      </c>
      <c r="D122">
        <v>0</v>
      </c>
      <c r="E122">
        <v>900</v>
      </c>
      <c r="F122" s="7">
        <v>396</v>
      </c>
      <c r="G122" s="7">
        <v>11.86</v>
      </c>
      <c r="H122" s="7">
        <v>0</v>
      </c>
      <c r="I122" s="7" t="str">
        <f t="shared" si="7"/>
        <v/>
      </c>
      <c r="J122" s="7" t="str">
        <f t="shared" si="8"/>
        <v/>
      </c>
      <c r="K122" s="7">
        <v>0</v>
      </c>
      <c r="L122" s="7" t="str">
        <f t="shared" si="9"/>
        <v/>
      </c>
      <c r="M122" s="7" t="str">
        <f t="shared" si="10"/>
        <v/>
      </c>
      <c r="N122" s="7">
        <v>0</v>
      </c>
      <c r="O122" s="7"/>
      <c r="P122" s="7"/>
      <c r="Q122" s="7"/>
      <c r="AC122"/>
      <c r="AD122" s="14"/>
    </row>
    <row r="123" spans="1:30" x14ac:dyDescent="0.25">
      <c r="A123" t="b">
        <f t="shared" si="11"/>
        <v>0</v>
      </c>
      <c r="B123">
        <v>2006</v>
      </c>
      <c r="C123">
        <v>126</v>
      </c>
      <c r="D123">
        <v>0</v>
      </c>
      <c r="E123">
        <v>1000</v>
      </c>
      <c r="F123" s="7">
        <v>613.9</v>
      </c>
      <c r="G123" s="7">
        <v>12.58</v>
      </c>
      <c r="H123" s="7">
        <v>0</v>
      </c>
      <c r="I123" s="7" t="str">
        <f t="shared" si="7"/>
        <v/>
      </c>
      <c r="J123" s="7" t="str">
        <f t="shared" si="8"/>
        <v/>
      </c>
      <c r="K123" s="7">
        <v>0</v>
      </c>
      <c r="L123" s="7" t="str">
        <f t="shared" si="9"/>
        <v/>
      </c>
      <c r="M123" s="7" t="str">
        <f t="shared" si="10"/>
        <v/>
      </c>
      <c r="N123" s="7">
        <v>0</v>
      </c>
      <c r="O123" s="7"/>
      <c r="P123" s="7"/>
      <c r="Q123" s="7"/>
      <c r="AC123"/>
      <c r="AD123" s="14"/>
    </row>
    <row r="124" spans="1:30" x14ac:dyDescent="0.25">
      <c r="A124" t="b">
        <f t="shared" si="11"/>
        <v>0</v>
      </c>
      <c r="B124">
        <v>2006</v>
      </c>
      <c r="C124">
        <v>126</v>
      </c>
      <c r="D124">
        <v>0</v>
      </c>
      <c r="E124">
        <v>1100</v>
      </c>
      <c r="F124" s="7">
        <v>710</v>
      </c>
      <c r="G124" s="7">
        <v>13.69</v>
      </c>
      <c r="H124" s="7">
        <v>0</v>
      </c>
      <c r="I124" s="7" t="str">
        <f t="shared" si="7"/>
        <v/>
      </c>
      <c r="J124" s="7" t="str">
        <f t="shared" si="8"/>
        <v/>
      </c>
      <c r="K124" s="7">
        <v>0</v>
      </c>
      <c r="L124" s="7" t="str">
        <f t="shared" si="9"/>
        <v/>
      </c>
      <c r="M124" s="7" t="str">
        <f t="shared" si="10"/>
        <v/>
      </c>
      <c r="N124" s="7">
        <v>0</v>
      </c>
      <c r="O124" s="7"/>
      <c r="P124" s="7"/>
      <c r="Q124" s="7"/>
      <c r="AC124"/>
      <c r="AD124" s="14"/>
    </row>
    <row r="125" spans="1:30" x14ac:dyDescent="0.25">
      <c r="A125" t="b">
        <f t="shared" si="11"/>
        <v>0</v>
      </c>
      <c r="B125">
        <v>2006</v>
      </c>
      <c r="C125">
        <v>126</v>
      </c>
      <c r="D125">
        <v>0</v>
      </c>
      <c r="E125">
        <v>1200</v>
      </c>
      <c r="F125" s="7">
        <v>682.7</v>
      </c>
      <c r="G125" s="7">
        <v>13.91</v>
      </c>
      <c r="H125" s="7">
        <v>0</v>
      </c>
      <c r="I125" s="7" t="str">
        <f t="shared" si="7"/>
        <v/>
      </c>
      <c r="J125" s="7" t="str">
        <f t="shared" si="8"/>
        <v/>
      </c>
      <c r="K125" s="7">
        <v>0</v>
      </c>
      <c r="L125" s="7" t="str">
        <f t="shared" si="9"/>
        <v/>
      </c>
      <c r="M125" s="7" t="str">
        <f t="shared" si="10"/>
        <v/>
      </c>
      <c r="N125" s="7">
        <v>0</v>
      </c>
      <c r="O125" s="7"/>
      <c r="P125" s="7"/>
      <c r="Q125" s="7"/>
      <c r="AC125"/>
      <c r="AD125" s="14"/>
    </row>
    <row r="126" spans="1:30" x14ac:dyDescent="0.25">
      <c r="A126" t="b">
        <f t="shared" si="11"/>
        <v>0</v>
      </c>
      <c r="B126">
        <v>2006</v>
      </c>
      <c r="C126">
        <v>126</v>
      </c>
      <c r="D126">
        <v>0</v>
      </c>
      <c r="E126">
        <v>1300</v>
      </c>
      <c r="F126" s="7">
        <v>811</v>
      </c>
      <c r="G126" s="7">
        <v>14.4</v>
      </c>
      <c r="H126" s="7">
        <v>0</v>
      </c>
      <c r="I126" s="7" t="str">
        <f t="shared" si="7"/>
        <v/>
      </c>
      <c r="J126" s="7" t="str">
        <f t="shared" si="8"/>
        <v/>
      </c>
      <c r="K126" s="7">
        <v>0</v>
      </c>
      <c r="L126" s="7" t="str">
        <f t="shared" si="9"/>
        <v/>
      </c>
      <c r="M126" s="7" t="str">
        <f t="shared" si="10"/>
        <v/>
      </c>
      <c r="N126" s="7">
        <v>0</v>
      </c>
      <c r="O126" s="7"/>
      <c r="P126" s="7"/>
      <c r="Q126" s="7"/>
      <c r="AC126"/>
      <c r="AD126" s="14"/>
    </row>
    <row r="127" spans="1:30" x14ac:dyDescent="0.25">
      <c r="A127" t="b">
        <f t="shared" si="11"/>
        <v>0</v>
      </c>
      <c r="B127">
        <v>2006</v>
      </c>
      <c r="C127">
        <v>126</v>
      </c>
      <c r="D127">
        <v>0</v>
      </c>
      <c r="E127">
        <v>1400</v>
      </c>
      <c r="F127" s="7">
        <v>719</v>
      </c>
      <c r="G127" s="7">
        <v>14.99</v>
      </c>
      <c r="H127" s="7">
        <v>0</v>
      </c>
      <c r="I127" s="7" t="str">
        <f t="shared" si="7"/>
        <v/>
      </c>
      <c r="J127" s="7" t="str">
        <f t="shared" si="8"/>
        <v/>
      </c>
      <c r="K127" s="7">
        <v>0</v>
      </c>
      <c r="L127" s="7" t="str">
        <f t="shared" si="9"/>
        <v/>
      </c>
      <c r="M127" s="7" t="str">
        <f t="shared" si="10"/>
        <v/>
      </c>
      <c r="N127" s="7">
        <v>0</v>
      </c>
      <c r="O127" s="7"/>
      <c r="P127" s="7"/>
      <c r="Q127" s="7"/>
      <c r="AC127"/>
      <c r="AD127" s="14"/>
    </row>
    <row r="128" spans="1:30" x14ac:dyDescent="0.25">
      <c r="A128" t="b">
        <f t="shared" si="11"/>
        <v>0</v>
      </c>
      <c r="B128">
        <v>2006</v>
      </c>
      <c r="C128">
        <v>126</v>
      </c>
      <c r="D128">
        <v>0</v>
      </c>
      <c r="E128">
        <v>1500</v>
      </c>
      <c r="F128" s="7">
        <v>320.89999999999998</v>
      </c>
      <c r="G128" s="7">
        <v>13.87</v>
      </c>
      <c r="H128" s="7">
        <v>0</v>
      </c>
      <c r="I128" s="7" t="str">
        <f t="shared" si="7"/>
        <v/>
      </c>
      <c r="J128" s="7" t="str">
        <f t="shared" si="8"/>
        <v/>
      </c>
      <c r="K128" s="7">
        <v>0</v>
      </c>
      <c r="L128" s="7" t="str">
        <f t="shared" si="9"/>
        <v/>
      </c>
      <c r="M128" s="7" t="str">
        <f t="shared" si="10"/>
        <v/>
      </c>
      <c r="N128" s="7">
        <v>0</v>
      </c>
      <c r="O128" s="7"/>
      <c r="P128" s="7"/>
      <c r="Q128" s="7"/>
      <c r="AC128"/>
      <c r="AD128" s="14"/>
    </row>
    <row r="129" spans="1:30" x14ac:dyDescent="0.25">
      <c r="A129" t="b">
        <f t="shared" si="11"/>
        <v>0</v>
      </c>
      <c r="B129">
        <v>2006</v>
      </c>
      <c r="C129">
        <v>126</v>
      </c>
      <c r="D129">
        <v>0</v>
      </c>
      <c r="E129">
        <v>1600</v>
      </c>
      <c r="F129" s="7">
        <v>138</v>
      </c>
      <c r="G129" s="7">
        <v>12.93</v>
      </c>
      <c r="H129" s="7">
        <v>0</v>
      </c>
      <c r="I129" s="7" t="str">
        <f t="shared" si="7"/>
        <v/>
      </c>
      <c r="J129" s="7" t="str">
        <f t="shared" si="8"/>
        <v/>
      </c>
      <c r="K129" s="7">
        <v>0</v>
      </c>
      <c r="L129" s="7" t="str">
        <f t="shared" si="9"/>
        <v/>
      </c>
      <c r="M129" s="7" t="str">
        <f t="shared" si="10"/>
        <v/>
      </c>
      <c r="N129" s="7">
        <v>0</v>
      </c>
      <c r="O129" s="7"/>
      <c r="P129" s="7"/>
      <c r="Q129" s="7"/>
      <c r="AC129"/>
      <c r="AD129" s="14"/>
    </row>
    <row r="130" spans="1:30" x14ac:dyDescent="0.25">
      <c r="A130" t="b">
        <f t="shared" si="11"/>
        <v>0</v>
      </c>
      <c r="B130">
        <v>2006</v>
      </c>
      <c r="C130">
        <v>126</v>
      </c>
      <c r="D130">
        <v>0</v>
      </c>
      <c r="E130">
        <v>1700</v>
      </c>
      <c r="F130" s="7">
        <v>192.1</v>
      </c>
      <c r="G130" s="7">
        <v>11.38</v>
      </c>
      <c r="H130" s="7">
        <v>0</v>
      </c>
      <c r="I130" s="7" t="str">
        <f t="shared" ref="I130:I193" si="12">IF(AND(B130=B129,C130=C129),"",SUMIFS($H$2:$H$1529,$B$2:$B$1529,B130,$C$2:$C$1529,C130))</f>
        <v/>
      </c>
      <c r="J130" s="7" t="str">
        <f t="shared" ref="J130:J193" si="13">IF(AND(B130=B129,C130=C129),"",AVERAGEIFS($F$2:$F$1529,$B$2:$B$1529,B130,$C$2:$C$1529,C130))</f>
        <v/>
      </c>
      <c r="K130" s="7">
        <v>0</v>
      </c>
      <c r="L130" s="7" t="str">
        <f t="shared" ref="L130:L193" si="14">IF(AND(B130=B129,C130=C129),"",_xlfn.MAXIFS($G$2:$G$1529,$B$2:$B$1529,B130,$C$2:$C$1529,C130))</f>
        <v/>
      </c>
      <c r="M130" s="7" t="str">
        <f t="shared" ref="M130:M193" si="15">IF(AND(B130=B129,C130=C129),"",_xlfn.MINIFS($G$2:$G$1529,$B$2:$B$1529,B130,$C$2:$C$1529,C130))</f>
        <v/>
      </c>
      <c r="N130" s="7">
        <v>0</v>
      </c>
      <c r="O130" s="7"/>
      <c r="P130" s="7"/>
      <c r="Q130" s="7"/>
      <c r="AC130"/>
      <c r="AD130" s="14"/>
    </row>
    <row r="131" spans="1:30" x14ac:dyDescent="0.25">
      <c r="A131" t="b">
        <f t="shared" ref="A131:A194" si="16">NOT(I131="")</f>
        <v>0</v>
      </c>
      <c r="B131">
        <v>2006</v>
      </c>
      <c r="C131">
        <v>126</v>
      </c>
      <c r="D131">
        <v>0</v>
      </c>
      <c r="E131">
        <v>1800</v>
      </c>
      <c r="F131" s="7">
        <v>121.8</v>
      </c>
      <c r="G131" s="7">
        <v>10.89</v>
      </c>
      <c r="H131" s="7">
        <v>0</v>
      </c>
      <c r="I131" s="7" t="str">
        <f t="shared" si="12"/>
        <v/>
      </c>
      <c r="J131" s="7" t="str">
        <f t="shared" si="13"/>
        <v/>
      </c>
      <c r="K131" s="7">
        <v>0</v>
      </c>
      <c r="L131" s="7" t="str">
        <f t="shared" si="14"/>
        <v/>
      </c>
      <c r="M131" s="7" t="str">
        <f t="shared" si="15"/>
        <v/>
      </c>
      <c r="N131" s="7">
        <v>0</v>
      </c>
      <c r="O131" s="7"/>
      <c r="P131" s="7"/>
      <c r="Q131" s="7"/>
      <c r="AC131"/>
      <c r="AD131" s="14"/>
    </row>
    <row r="132" spans="1:30" x14ac:dyDescent="0.25">
      <c r="A132" t="b">
        <f t="shared" si="16"/>
        <v>0</v>
      </c>
      <c r="B132">
        <v>2006</v>
      </c>
      <c r="C132">
        <v>126</v>
      </c>
      <c r="D132">
        <v>0</v>
      </c>
      <c r="E132">
        <v>1900</v>
      </c>
      <c r="F132" s="7">
        <v>58.26</v>
      </c>
      <c r="G132" s="7">
        <v>10.31</v>
      </c>
      <c r="H132" s="7">
        <v>0</v>
      </c>
      <c r="I132" s="7" t="str">
        <f t="shared" si="12"/>
        <v/>
      </c>
      <c r="J132" s="7" t="str">
        <f t="shared" si="13"/>
        <v/>
      </c>
      <c r="K132" s="7">
        <v>0</v>
      </c>
      <c r="L132" s="7" t="str">
        <f t="shared" si="14"/>
        <v/>
      </c>
      <c r="M132" s="7" t="str">
        <f t="shared" si="15"/>
        <v/>
      </c>
      <c r="N132" s="7">
        <v>0</v>
      </c>
      <c r="O132" s="7"/>
      <c r="P132" s="7"/>
      <c r="Q132" s="7"/>
      <c r="AC132"/>
      <c r="AD132" s="14"/>
    </row>
    <row r="133" spans="1:30" x14ac:dyDescent="0.25">
      <c r="A133" t="b">
        <f t="shared" si="16"/>
        <v>0</v>
      </c>
      <c r="B133">
        <v>2006</v>
      </c>
      <c r="C133">
        <v>126</v>
      </c>
      <c r="D133">
        <v>0</v>
      </c>
      <c r="E133">
        <v>2000</v>
      </c>
      <c r="F133" s="7">
        <v>35.17</v>
      </c>
      <c r="G133" s="7">
        <v>10.01</v>
      </c>
      <c r="H133" s="7">
        <v>0</v>
      </c>
      <c r="I133" s="7" t="str">
        <f t="shared" si="12"/>
        <v/>
      </c>
      <c r="J133" s="7" t="str">
        <f t="shared" si="13"/>
        <v/>
      </c>
      <c r="K133" s="7">
        <v>0</v>
      </c>
      <c r="L133" s="7" t="str">
        <f t="shared" si="14"/>
        <v/>
      </c>
      <c r="M133" s="7" t="str">
        <f t="shared" si="15"/>
        <v/>
      </c>
      <c r="N133" s="7">
        <v>0</v>
      </c>
      <c r="O133" s="7"/>
      <c r="P133" s="7"/>
      <c r="Q133" s="7"/>
      <c r="AC133"/>
      <c r="AD133" s="14"/>
    </row>
    <row r="134" spans="1:30" x14ac:dyDescent="0.25">
      <c r="A134" t="b">
        <f t="shared" si="16"/>
        <v>0</v>
      </c>
      <c r="B134">
        <v>2006</v>
      </c>
      <c r="C134">
        <v>126</v>
      </c>
      <c r="D134">
        <v>0</v>
      </c>
      <c r="E134">
        <v>2100</v>
      </c>
      <c r="F134" s="7">
        <v>-0.26800000000000002</v>
      </c>
      <c r="G134" s="7">
        <v>9.32</v>
      </c>
      <c r="H134" s="7">
        <v>0</v>
      </c>
      <c r="I134" s="7" t="str">
        <f t="shared" si="12"/>
        <v/>
      </c>
      <c r="J134" s="7" t="str">
        <f t="shared" si="13"/>
        <v/>
      </c>
      <c r="K134" s="7">
        <v>0</v>
      </c>
      <c r="L134" s="7" t="str">
        <f t="shared" si="14"/>
        <v/>
      </c>
      <c r="M134" s="7" t="str">
        <f t="shared" si="15"/>
        <v/>
      </c>
      <c r="N134" s="7">
        <v>0</v>
      </c>
      <c r="O134" s="7"/>
      <c r="P134" s="7"/>
      <c r="Q134" s="7"/>
      <c r="AC134"/>
      <c r="AD134" s="14"/>
    </row>
    <row r="135" spans="1:30" x14ac:dyDescent="0.25">
      <c r="A135" t="b">
        <f t="shared" si="16"/>
        <v>0</v>
      </c>
      <c r="B135">
        <v>2006</v>
      </c>
      <c r="C135">
        <v>126</v>
      </c>
      <c r="D135">
        <v>0</v>
      </c>
      <c r="E135">
        <v>2200</v>
      </c>
      <c r="F135" s="7">
        <v>-3.431</v>
      </c>
      <c r="G135" s="7">
        <v>8.5399999999999991</v>
      </c>
      <c r="H135" s="7">
        <v>0</v>
      </c>
      <c r="I135" s="7" t="str">
        <f t="shared" si="12"/>
        <v/>
      </c>
      <c r="J135" s="7" t="str">
        <f t="shared" si="13"/>
        <v/>
      </c>
      <c r="K135" s="7">
        <v>0</v>
      </c>
      <c r="L135" s="7" t="str">
        <f t="shared" si="14"/>
        <v/>
      </c>
      <c r="M135" s="7" t="str">
        <f t="shared" si="15"/>
        <v/>
      </c>
      <c r="N135" s="7">
        <v>0</v>
      </c>
      <c r="O135" s="7"/>
      <c r="P135" s="7"/>
      <c r="Q135" s="7"/>
      <c r="AC135"/>
      <c r="AD135" s="14"/>
    </row>
    <row r="136" spans="1:30" x14ac:dyDescent="0.25">
      <c r="A136" t="b">
        <f t="shared" si="16"/>
        <v>0</v>
      </c>
      <c r="B136">
        <v>2006</v>
      </c>
      <c r="C136">
        <v>126</v>
      </c>
      <c r="D136">
        <v>0</v>
      </c>
      <c r="E136">
        <v>2300</v>
      </c>
      <c r="F136" s="7">
        <v>-3.5710000000000002</v>
      </c>
      <c r="G136" s="7">
        <v>8.4700000000000006</v>
      </c>
      <c r="H136" s="7">
        <v>0</v>
      </c>
      <c r="I136" s="7" t="str">
        <f t="shared" si="12"/>
        <v/>
      </c>
      <c r="J136" s="7" t="str">
        <f t="shared" si="13"/>
        <v/>
      </c>
      <c r="K136" s="7">
        <v>0</v>
      </c>
      <c r="L136" s="7" t="str">
        <f t="shared" si="14"/>
        <v/>
      </c>
      <c r="M136" s="7" t="str">
        <f t="shared" si="15"/>
        <v/>
      </c>
      <c r="N136" s="7">
        <v>0</v>
      </c>
      <c r="O136" s="7"/>
      <c r="P136" s="7"/>
      <c r="Q136" s="7"/>
      <c r="AC136"/>
      <c r="AD136" s="14"/>
    </row>
    <row r="137" spans="1:30" x14ac:dyDescent="0.25">
      <c r="A137" t="b">
        <f t="shared" si="16"/>
        <v>0</v>
      </c>
      <c r="B137">
        <v>2006</v>
      </c>
      <c r="C137">
        <v>126</v>
      </c>
      <c r="D137">
        <v>0</v>
      </c>
      <c r="E137">
        <v>2400</v>
      </c>
      <c r="F137" s="7">
        <v>-2.9990000000000001</v>
      </c>
      <c r="G137" s="7">
        <v>8.5399999999999991</v>
      </c>
      <c r="H137" s="7">
        <v>0</v>
      </c>
      <c r="I137" s="7" t="str">
        <f t="shared" si="12"/>
        <v/>
      </c>
      <c r="J137" s="7" t="str">
        <f t="shared" si="13"/>
        <v/>
      </c>
      <c r="K137" s="7">
        <v>0</v>
      </c>
      <c r="L137" s="7" t="str">
        <f t="shared" si="14"/>
        <v/>
      </c>
      <c r="M137" s="7" t="str">
        <f t="shared" si="15"/>
        <v/>
      </c>
      <c r="N137" s="7">
        <v>0</v>
      </c>
      <c r="O137" s="7"/>
      <c r="P137" s="7"/>
      <c r="Q137" s="7"/>
      <c r="AC137"/>
      <c r="AD137" s="14"/>
    </row>
    <row r="138" spans="1:30" x14ac:dyDescent="0.25">
      <c r="A138" t="b">
        <f t="shared" si="16"/>
        <v>1</v>
      </c>
      <c r="B138">
        <v>2006</v>
      </c>
      <c r="C138">
        <v>127</v>
      </c>
      <c r="D138">
        <v>0</v>
      </c>
      <c r="E138">
        <v>100</v>
      </c>
      <c r="F138" s="7">
        <v>-3.35</v>
      </c>
      <c r="G138" s="7">
        <v>8.14</v>
      </c>
      <c r="H138" s="7">
        <v>0</v>
      </c>
      <c r="I138" s="7">
        <f t="shared" si="12"/>
        <v>0</v>
      </c>
      <c r="J138" s="7">
        <f t="shared" si="13"/>
        <v>273.510875</v>
      </c>
      <c r="K138" s="7">
        <v>0</v>
      </c>
      <c r="L138" s="7">
        <f t="shared" si="14"/>
        <v>14.95</v>
      </c>
      <c r="M138" s="7">
        <f t="shared" si="15"/>
        <v>5.8849999999999998</v>
      </c>
      <c r="N138" s="7">
        <v>0</v>
      </c>
      <c r="O138" s="7"/>
      <c r="P138" s="7"/>
      <c r="Q138" s="7"/>
      <c r="AC138"/>
      <c r="AD138" s="14"/>
    </row>
    <row r="139" spans="1:30" x14ac:dyDescent="0.25">
      <c r="A139" t="b">
        <f t="shared" si="16"/>
        <v>0</v>
      </c>
      <c r="B139">
        <v>2006</v>
      </c>
      <c r="C139">
        <v>127</v>
      </c>
      <c r="D139">
        <v>0</v>
      </c>
      <c r="E139">
        <v>200</v>
      </c>
      <c r="F139" s="7">
        <v>-3.2639999999999998</v>
      </c>
      <c r="G139" s="7">
        <v>7.99</v>
      </c>
      <c r="H139" s="7">
        <v>0</v>
      </c>
      <c r="I139" s="7" t="str">
        <f t="shared" si="12"/>
        <v/>
      </c>
      <c r="J139" s="7" t="str">
        <f t="shared" si="13"/>
        <v/>
      </c>
      <c r="K139" s="7">
        <v>0</v>
      </c>
      <c r="L139" s="7" t="str">
        <f t="shared" si="14"/>
        <v/>
      </c>
      <c r="M139" s="7" t="str">
        <f t="shared" si="15"/>
        <v/>
      </c>
      <c r="N139" s="7">
        <v>0</v>
      </c>
      <c r="O139" s="7"/>
      <c r="P139" s="7"/>
      <c r="Q139" s="7"/>
      <c r="AC139"/>
      <c r="AD139" s="14"/>
    </row>
    <row r="140" spans="1:30" x14ac:dyDescent="0.25">
      <c r="A140" t="b">
        <f t="shared" si="16"/>
        <v>0</v>
      </c>
      <c r="B140">
        <v>2006</v>
      </c>
      <c r="C140">
        <v>127</v>
      </c>
      <c r="D140">
        <v>0</v>
      </c>
      <c r="E140">
        <v>300</v>
      </c>
      <c r="F140" s="7">
        <v>-3.21</v>
      </c>
      <c r="G140" s="7">
        <v>7.86</v>
      </c>
      <c r="H140" s="7">
        <v>0</v>
      </c>
      <c r="I140" s="7" t="str">
        <f t="shared" si="12"/>
        <v/>
      </c>
      <c r="J140" s="7" t="str">
        <f t="shared" si="13"/>
        <v/>
      </c>
      <c r="K140" s="7">
        <v>0</v>
      </c>
      <c r="L140" s="7" t="str">
        <f t="shared" si="14"/>
        <v/>
      </c>
      <c r="M140" s="7" t="str">
        <f t="shared" si="15"/>
        <v/>
      </c>
      <c r="N140" s="7">
        <v>0</v>
      </c>
      <c r="O140" s="7"/>
      <c r="P140" s="7"/>
      <c r="Q140" s="7"/>
      <c r="AC140"/>
      <c r="AD140" s="14"/>
    </row>
    <row r="141" spans="1:30" x14ac:dyDescent="0.25">
      <c r="A141" t="b">
        <f t="shared" si="16"/>
        <v>0</v>
      </c>
      <c r="B141">
        <v>2006</v>
      </c>
      <c r="C141">
        <v>127</v>
      </c>
      <c r="D141">
        <v>0</v>
      </c>
      <c r="E141">
        <v>400</v>
      </c>
      <c r="F141" s="7">
        <v>-3.1080000000000001</v>
      </c>
      <c r="G141" s="7">
        <v>6.36</v>
      </c>
      <c r="H141" s="7">
        <v>0</v>
      </c>
      <c r="I141" s="7" t="str">
        <f t="shared" si="12"/>
        <v/>
      </c>
      <c r="J141" s="7" t="str">
        <f t="shared" si="13"/>
        <v/>
      </c>
      <c r="K141" s="7">
        <v>0</v>
      </c>
      <c r="L141" s="7" t="str">
        <f t="shared" si="14"/>
        <v/>
      </c>
      <c r="M141" s="7" t="str">
        <f t="shared" si="15"/>
        <v/>
      </c>
      <c r="N141" s="7">
        <v>0</v>
      </c>
      <c r="O141" s="7"/>
      <c r="P141" s="7"/>
      <c r="Q141" s="7"/>
      <c r="AC141"/>
      <c r="AD141" s="14"/>
    </row>
    <row r="142" spans="1:30" x14ac:dyDescent="0.25">
      <c r="A142" t="b">
        <f t="shared" si="16"/>
        <v>0</v>
      </c>
      <c r="B142">
        <v>2006</v>
      </c>
      <c r="C142">
        <v>127</v>
      </c>
      <c r="D142">
        <v>0</v>
      </c>
      <c r="E142">
        <v>500</v>
      </c>
      <c r="F142" s="7">
        <v>0.50600000000000001</v>
      </c>
      <c r="G142" s="7">
        <v>5.8849999999999998</v>
      </c>
      <c r="H142" s="7">
        <v>0</v>
      </c>
      <c r="I142" s="7" t="str">
        <f t="shared" si="12"/>
        <v/>
      </c>
      <c r="J142" s="7" t="str">
        <f t="shared" si="13"/>
        <v/>
      </c>
      <c r="K142" s="7">
        <v>0</v>
      </c>
      <c r="L142" s="7" t="str">
        <f t="shared" si="14"/>
        <v/>
      </c>
      <c r="M142" s="7" t="str">
        <f t="shared" si="15"/>
        <v/>
      </c>
      <c r="N142" s="7">
        <v>0</v>
      </c>
      <c r="O142" s="7"/>
      <c r="P142" s="7"/>
      <c r="Q142" s="7"/>
      <c r="AC142"/>
      <c r="AD142" s="14"/>
    </row>
    <row r="143" spans="1:30" x14ac:dyDescent="0.25">
      <c r="A143" t="b">
        <f t="shared" si="16"/>
        <v>0</v>
      </c>
      <c r="B143">
        <v>2006</v>
      </c>
      <c r="C143">
        <v>127</v>
      </c>
      <c r="D143">
        <v>0</v>
      </c>
      <c r="E143">
        <v>600</v>
      </c>
      <c r="F143" s="7">
        <v>59.11</v>
      </c>
      <c r="G143" s="7">
        <v>6.4610000000000003</v>
      </c>
      <c r="H143" s="7">
        <v>0</v>
      </c>
      <c r="I143" s="7" t="str">
        <f t="shared" si="12"/>
        <v/>
      </c>
      <c r="J143" s="7" t="str">
        <f t="shared" si="13"/>
        <v/>
      </c>
      <c r="K143" s="7">
        <v>0</v>
      </c>
      <c r="L143" s="7" t="str">
        <f t="shared" si="14"/>
        <v/>
      </c>
      <c r="M143" s="7" t="str">
        <f t="shared" si="15"/>
        <v/>
      </c>
      <c r="N143" s="7">
        <v>0</v>
      </c>
      <c r="O143" s="7"/>
      <c r="P143" s="7"/>
      <c r="Q143" s="7"/>
      <c r="AC143"/>
      <c r="AD143" s="14"/>
    </row>
    <row r="144" spans="1:30" x14ac:dyDescent="0.25">
      <c r="A144" t="b">
        <f t="shared" si="16"/>
        <v>0</v>
      </c>
      <c r="B144">
        <v>2006</v>
      </c>
      <c r="C144">
        <v>127</v>
      </c>
      <c r="D144">
        <v>0</v>
      </c>
      <c r="E144">
        <v>700</v>
      </c>
      <c r="F144" s="7">
        <v>191.2</v>
      </c>
      <c r="G144" s="7">
        <v>9.42</v>
      </c>
      <c r="H144" s="7">
        <v>0</v>
      </c>
      <c r="I144" s="7" t="str">
        <f t="shared" si="12"/>
        <v/>
      </c>
      <c r="J144" s="7" t="str">
        <f t="shared" si="13"/>
        <v/>
      </c>
      <c r="K144" s="7">
        <v>0</v>
      </c>
      <c r="L144" s="7" t="str">
        <f t="shared" si="14"/>
        <v/>
      </c>
      <c r="M144" s="7" t="str">
        <f t="shared" si="15"/>
        <v/>
      </c>
      <c r="N144" s="7">
        <v>0</v>
      </c>
      <c r="O144" s="7"/>
      <c r="P144" s="7"/>
      <c r="Q144" s="7"/>
      <c r="AC144"/>
      <c r="AD144" s="14"/>
    </row>
    <row r="145" spans="1:30" x14ac:dyDescent="0.25">
      <c r="A145" t="b">
        <f t="shared" si="16"/>
        <v>0</v>
      </c>
      <c r="B145">
        <v>2006</v>
      </c>
      <c r="C145">
        <v>127</v>
      </c>
      <c r="D145">
        <v>0</v>
      </c>
      <c r="E145">
        <v>800</v>
      </c>
      <c r="F145" s="7">
        <v>312.3</v>
      </c>
      <c r="G145" s="7">
        <v>10.93</v>
      </c>
      <c r="H145" s="7">
        <v>0</v>
      </c>
      <c r="I145" s="7" t="str">
        <f t="shared" si="12"/>
        <v/>
      </c>
      <c r="J145" s="7" t="str">
        <f t="shared" si="13"/>
        <v/>
      </c>
      <c r="K145" s="7">
        <v>0</v>
      </c>
      <c r="L145" s="7" t="str">
        <f t="shared" si="14"/>
        <v/>
      </c>
      <c r="M145" s="7" t="str">
        <f t="shared" si="15"/>
        <v/>
      </c>
      <c r="N145" s="7">
        <v>0</v>
      </c>
      <c r="O145" s="7"/>
      <c r="P145" s="7"/>
      <c r="Q145" s="7"/>
      <c r="AC145"/>
      <c r="AD145" s="14"/>
    </row>
    <row r="146" spans="1:30" x14ac:dyDescent="0.25">
      <c r="A146" t="b">
        <f t="shared" si="16"/>
        <v>0</v>
      </c>
      <c r="B146">
        <v>2006</v>
      </c>
      <c r="C146">
        <v>127</v>
      </c>
      <c r="D146">
        <v>0</v>
      </c>
      <c r="E146">
        <v>900</v>
      </c>
      <c r="F146" s="7">
        <v>476.2</v>
      </c>
      <c r="G146" s="7">
        <v>12.26</v>
      </c>
      <c r="H146" s="7">
        <v>0</v>
      </c>
      <c r="I146" s="7" t="str">
        <f t="shared" si="12"/>
        <v/>
      </c>
      <c r="J146" s="7" t="str">
        <f t="shared" si="13"/>
        <v/>
      </c>
      <c r="K146" s="7">
        <v>0</v>
      </c>
      <c r="L146" s="7" t="str">
        <f t="shared" si="14"/>
        <v/>
      </c>
      <c r="M146" s="7" t="str">
        <f t="shared" si="15"/>
        <v/>
      </c>
      <c r="N146" s="7">
        <v>0</v>
      </c>
      <c r="O146" s="7"/>
      <c r="P146" s="7"/>
      <c r="Q146" s="7"/>
      <c r="AC146"/>
      <c r="AD146" s="14"/>
    </row>
    <row r="147" spans="1:30" x14ac:dyDescent="0.25">
      <c r="A147" t="b">
        <f t="shared" si="16"/>
        <v>0</v>
      </c>
      <c r="B147">
        <v>2006</v>
      </c>
      <c r="C147">
        <v>127</v>
      </c>
      <c r="D147">
        <v>0</v>
      </c>
      <c r="E147">
        <v>1000</v>
      </c>
      <c r="F147" s="7">
        <v>617.20000000000005</v>
      </c>
      <c r="G147" s="7">
        <v>13.64</v>
      </c>
      <c r="H147" s="7">
        <v>0</v>
      </c>
      <c r="I147" s="7" t="str">
        <f t="shared" si="12"/>
        <v/>
      </c>
      <c r="J147" s="7" t="str">
        <f t="shared" si="13"/>
        <v/>
      </c>
      <c r="K147" s="7">
        <v>0</v>
      </c>
      <c r="L147" s="7" t="str">
        <f t="shared" si="14"/>
        <v/>
      </c>
      <c r="M147" s="7" t="str">
        <f t="shared" si="15"/>
        <v/>
      </c>
      <c r="N147" s="7">
        <v>0</v>
      </c>
      <c r="O147" s="7"/>
      <c r="P147" s="7"/>
      <c r="Q147" s="7"/>
      <c r="AC147"/>
      <c r="AD147" s="14"/>
    </row>
    <row r="148" spans="1:30" x14ac:dyDescent="0.25">
      <c r="A148" t="b">
        <f t="shared" si="16"/>
        <v>0</v>
      </c>
      <c r="B148">
        <v>2006</v>
      </c>
      <c r="C148">
        <v>127</v>
      </c>
      <c r="D148">
        <v>0</v>
      </c>
      <c r="E148">
        <v>1100</v>
      </c>
      <c r="F148" s="7">
        <v>576</v>
      </c>
      <c r="G148" s="7">
        <v>13.66</v>
      </c>
      <c r="H148" s="7">
        <v>0</v>
      </c>
      <c r="I148" s="7" t="str">
        <f t="shared" si="12"/>
        <v/>
      </c>
      <c r="J148" s="7" t="str">
        <f t="shared" si="13"/>
        <v/>
      </c>
      <c r="K148" s="7">
        <v>0</v>
      </c>
      <c r="L148" s="7" t="str">
        <f t="shared" si="14"/>
        <v/>
      </c>
      <c r="M148" s="7" t="str">
        <f t="shared" si="15"/>
        <v/>
      </c>
      <c r="N148" s="7">
        <v>0</v>
      </c>
      <c r="O148" s="7"/>
      <c r="P148" s="7"/>
      <c r="Q148" s="7"/>
      <c r="AC148"/>
      <c r="AD148" s="14"/>
    </row>
    <row r="149" spans="1:30" x14ac:dyDescent="0.25">
      <c r="A149" t="b">
        <f t="shared" si="16"/>
        <v>0</v>
      </c>
      <c r="B149">
        <v>2006</v>
      </c>
      <c r="C149">
        <v>127</v>
      </c>
      <c r="D149">
        <v>0</v>
      </c>
      <c r="E149">
        <v>1200</v>
      </c>
      <c r="F149" s="7">
        <v>710</v>
      </c>
      <c r="G149" s="7">
        <v>13.93</v>
      </c>
      <c r="H149" s="7">
        <v>0</v>
      </c>
      <c r="I149" s="7" t="str">
        <f t="shared" si="12"/>
        <v/>
      </c>
      <c r="J149" s="7" t="str">
        <f t="shared" si="13"/>
        <v/>
      </c>
      <c r="K149" s="7">
        <v>0</v>
      </c>
      <c r="L149" s="7" t="str">
        <f t="shared" si="14"/>
        <v/>
      </c>
      <c r="M149" s="7" t="str">
        <f t="shared" si="15"/>
        <v/>
      </c>
      <c r="N149" s="7">
        <v>0</v>
      </c>
      <c r="O149" s="7"/>
      <c r="P149" s="7"/>
      <c r="Q149" s="7"/>
      <c r="AC149"/>
      <c r="AD149" s="14"/>
    </row>
    <row r="150" spans="1:30" x14ac:dyDescent="0.25">
      <c r="A150" t="b">
        <f t="shared" si="16"/>
        <v>0</v>
      </c>
      <c r="B150">
        <v>2006</v>
      </c>
      <c r="C150">
        <v>127</v>
      </c>
      <c r="D150">
        <v>0</v>
      </c>
      <c r="E150">
        <v>1300</v>
      </c>
      <c r="F150" s="7">
        <v>732</v>
      </c>
      <c r="G150" s="7">
        <v>14.52</v>
      </c>
      <c r="H150" s="7">
        <v>0</v>
      </c>
      <c r="I150" s="7" t="str">
        <f t="shared" si="12"/>
        <v/>
      </c>
      <c r="J150" s="7" t="str">
        <f t="shared" si="13"/>
        <v/>
      </c>
      <c r="K150" s="7">
        <v>0</v>
      </c>
      <c r="L150" s="7" t="str">
        <f t="shared" si="14"/>
        <v/>
      </c>
      <c r="M150" s="7" t="str">
        <f t="shared" si="15"/>
        <v/>
      </c>
      <c r="N150" s="7">
        <v>0</v>
      </c>
      <c r="O150" s="7"/>
      <c r="P150" s="7"/>
      <c r="Q150" s="7"/>
      <c r="AC150"/>
      <c r="AD150" s="14"/>
    </row>
    <row r="151" spans="1:30" x14ac:dyDescent="0.25">
      <c r="A151" t="b">
        <f t="shared" si="16"/>
        <v>0</v>
      </c>
      <c r="B151">
        <v>2006</v>
      </c>
      <c r="C151">
        <v>127</v>
      </c>
      <c r="D151">
        <v>0</v>
      </c>
      <c r="E151">
        <v>1400</v>
      </c>
      <c r="F151" s="7">
        <v>720</v>
      </c>
      <c r="G151" s="7">
        <v>14.69</v>
      </c>
      <c r="H151" s="7">
        <v>0</v>
      </c>
      <c r="I151" s="7" t="str">
        <f t="shared" si="12"/>
        <v/>
      </c>
      <c r="J151" s="7" t="str">
        <f t="shared" si="13"/>
        <v/>
      </c>
      <c r="K151" s="7">
        <v>0</v>
      </c>
      <c r="L151" s="7" t="str">
        <f t="shared" si="14"/>
        <v/>
      </c>
      <c r="M151" s="7" t="str">
        <f t="shared" si="15"/>
        <v/>
      </c>
      <c r="N151" s="7">
        <v>0</v>
      </c>
      <c r="O151" s="7"/>
      <c r="P151" s="7"/>
      <c r="Q151" s="7"/>
      <c r="AC151"/>
      <c r="AD151" s="14"/>
    </row>
    <row r="152" spans="1:30" x14ac:dyDescent="0.25">
      <c r="A152" t="b">
        <f t="shared" si="16"/>
        <v>0</v>
      </c>
      <c r="B152">
        <v>2006</v>
      </c>
      <c r="C152">
        <v>127</v>
      </c>
      <c r="D152">
        <v>0</v>
      </c>
      <c r="E152">
        <v>1500</v>
      </c>
      <c r="F152" s="7">
        <v>714</v>
      </c>
      <c r="G152" s="7">
        <v>14.95</v>
      </c>
      <c r="H152" s="7">
        <v>0</v>
      </c>
      <c r="I152" s="7" t="str">
        <f t="shared" si="12"/>
        <v/>
      </c>
      <c r="J152" s="7" t="str">
        <f t="shared" si="13"/>
        <v/>
      </c>
      <c r="K152" s="7">
        <v>0</v>
      </c>
      <c r="L152" s="7" t="str">
        <f t="shared" si="14"/>
        <v/>
      </c>
      <c r="M152" s="7" t="str">
        <f t="shared" si="15"/>
        <v/>
      </c>
      <c r="N152" s="7">
        <v>0</v>
      </c>
      <c r="O152" s="7"/>
      <c r="P152" s="7"/>
      <c r="Q152" s="7"/>
      <c r="AC152"/>
      <c r="AD152" s="14"/>
    </row>
    <row r="153" spans="1:30" x14ac:dyDescent="0.25">
      <c r="A153" t="b">
        <f t="shared" si="16"/>
        <v>0</v>
      </c>
      <c r="B153">
        <v>2006</v>
      </c>
      <c r="C153">
        <v>127</v>
      </c>
      <c r="D153">
        <v>0</v>
      </c>
      <c r="E153">
        <v>1600</v>
      </c>
      <c r="F153" s="7">
        <v>571</v>
      </c>
      <c r="G153" s="7">
        <v>14.79</v>
      </c>
      <c r="H153" s="7">
        <v>0</v>
      </c>
      <c r="I153" s="7" t="str">
        <f t="shared" si="12"/>
        <v/>
      </c>
      <c r="J153" s="7" t="str">
        <f t="shared" si="13"/>
        <v/>
      </c>
      <c r="K153" s="7">
        <v>0</v>
      </c>
      <c r="L153" s="7" t="str">
        <f t="shared" si="14"/>
        <v/>
      </c>
      <c r="M153" s="7" t="str">
        <f t="shared" si="15"/>
        <v/>
      </c>
      <c r="N153" s="7">
        <v>0</v>
      </c>
      <c r="O153" s="7"/>
      <c r="P153" s="7"/>
      <c r="Q153" s="7"/>
      <c r="AC153"/>
      <c r="AD153" s="14"/>
    </row>
    <row r="154" spans="1:30" x14ac:dyDescent="0.25">
      <c r="A154" t="b">
        <f t="shared" si="16"/>
        <v>0</v>
      </c>
      <c r="B154">
        <v>2006</v>
      </c>
      <c r="C154">
        <v>127</v>
      </c>
      <c r="D154">
        <v>0</v>
      </c>
      <c r="E154">
        <v>1700</v>
      </c>
      <c r="F154" s="7">
        <v>444</v>
      </c>
      <c r="G154" s="7">
        <v>14.77</v>
      </c>
      <c r="H154" s="7">
        <v>0</v>
      </c>
      <c r="I154" s="7" t="str">
        <f t="shared" si="12"/>
        <v/>
      </c>
      <c r="J154" s="7" t="str">
        <f t="shared" si="13"/>
        <v/>
      </c>
      <c r="K154" s="7">
        <v>0</v>
      </c>
      <c r="L154" s="7" t="str">
        <f t="shared" si="14"/>
        <v/>
      </c>
      <c r="M154" s="7" t="str">
        <f t="shared" si="15"/>
        <v/>
      </c>
      <c r="N154" s="7">
        <v>0</v>
      </c>
      <c r="O154" s="7"/>
      <c r="P154" s="7"/>
      <c r="Q154" s="7"/>
      <c r="AC154"/>
      <c r="AD154" s="14"/>
    </row>
    <row r="155" spans="1:30" x14ac:dyDescent="0.25">
      <c r="A155" t="b">
        <f t="shared" si="16"/>
        <v>0</v>
      </c>
      <c r="B155">
        <v>2006</v>
      </c>
      <c r="C155">
        <v>127</v>
      </c>
      <c r="D155">
        <v>0</v>
      </c>
      <c r="E155">
        <v>1800</v>
      </c>
      <c r="F155" s="7">
        <v>340</v>
      </c>
      <c r="G155" s="7">
        <v>14.47</v>
      </c>
      <c r="H155" s="7">
        <v>0</v>
      </c>
      <c r="I155" s="7" t="str">
        <f t="shared" si="12"/>
        <v/>
      </c>
      <c r="J155" s="7" t="str">
        <f t="shared" si="13"/>
        <v/>
      </c>
      <c r="K155" s="7">
        <v>0</v>
      </c>
      <c r="L155" s="7" t="str">
        <f t="shared" si="14"/>
        <v/>
      </c>
      <c r="M155" s="7" t="str">
        <f t="shared" si="15"/>
        <v/>
      </c>
      <c r="N155" s="7">
        <v>0</v>
      </c>
      <c r="O155" s="7"/>
      <c r="P155" s="7"/>
      <c r="Q155" s="7"/>
      <c r="AC155"/>
      <c r="AD155" s="14"/>
    </row>
    <row r="156" spans="1:30" x14ac:dyDescent="0.25">
      <c r="A156" t="b">
        <f t="shared" si="16"/>
        <v>0</v>
      </c>
      <c r="B156">
        <v>2006</v>
      </c>
      <c r="C156">
        <v>127</v>
      </c>
      <c r="D156">
        <v>0</v>
      </c>
      <c r="E156">
        <v>1900</v>
      </c>
      <c r="F156" s="7">
        <v>108.3</v>
      </c>
      <c r="G156" s="7">
        <v>13.4</v>
      </c>
      <c r="H156" s="7">
        <v>0</v>
      </c>
      <c r="I156" s="7" t="str">
        <f t="shared" si="12"/>
        <v/>
      </c>
      <c r="J156" s="7" t="str">
        <f t="shared" si="13"/>
        <v/>
      </c>
      <c r="K156" s="7">
        <v>0</v>
      </c>
      <c r="L156" s="7" t="str">
        <f t="shared" si="14"/>
        <v/>
      </c>
      <c r="M156" s="7" t="str">
        <f t="shared" si="15"/>
        <v/>
      </c>
      <c r="N156" s="7">
        <v>0</v>
      </c>
      <c r="O156" s="7"/>
      <c r="P156" s="7"/>
      <c r="Q156" s="7"/>
      <c r="AC156"/>
      <c r="AD156" s="14"/>
    </row>
    <row r="157" spans="1:30" x14ac:dyDescent="0.25">
      <c r="A157" t="b">
        <f t="shared" si="16"/>
        <v>0</v>
      </c>
      <c r="B157">
        <v>2006</v>
      </c>
      <c r="C157">
        <v>127</v>
      </c>
      <c r="D157">
        <v>0</v>
      </c>
      <c r="E157">
        <v>2000</v>
      </c>
      <c r="F157" s="7">
        <v>10.45</v>
      </c>
      <c r="G157" s="7">
        <v>11.8</v>
      </c>
      <c r="H157" s="7">
        <v>0</v>
      </c>
      <c r="I157" s="7" t="str">
        <f t="shared" si="12"/>
        <v/>
      </c>
      <c r="J157" s="7" t="str">
        <f t="shared" si="13"/>
        <v/>
      </c>
      <c r="K157" s="7">
        <v>0</v>
      </c>
      <c r="L157" s="7" t="str">
        <f t="shared" si="14"/>
        <v/>
      </c>
      <c r="M157" s="7" t="str">
        <f t="shared" si="15"/>
        <v/>
      </c>
      <c r="N157" s="7">
        <v>0</v>
      </c>
      <c r="O157" s="7"/>
      <c r="P157" s="7"/>
      <c r="Q157" s="7"/>
      <c r="AC157"/>
      <c r="AD157" s="14"/>
    </row>
    <row r="158" spans="1:30" x14ac:dyDescent="0.25">
      <c r="A158" t="b">
        <f t="shared" si="16"/>
        <v>0</v>
      </c>
      <c r="B158">
        <v>2006</v>
      </c>
      <c r="C158">
        <v>127</v>
      </c>
      <c r="D158">
        <v>0</v>
      </c>
      <c r="E158">
        <v>2100</v>
      </c>
      <c r="F158" s="7">
        <v>-1.518</v>
      </c>
      <c r="G158" s="7">
        <v>11.24</v>
      </c>
      <c r="H158" s="7">
        <v>0</v>
      </c>
      <c r="I158" s="7" t="str">
        <f t="shared" si="12"/>
        <v/>
      </c>
      <c r="J158" s="7" t="str">
        <f t="shared" si="13"/>
        <v/>
      </c>
      <c r="K158" s="7">
        <v>0</v>
      </c>
      <c r="L158" s="7" t="str">
        <f t="shared" si="14"/>
        <v/>
      </c>
      <c r="M158" s="7" t="str">
        <f t="shared" si="15"/>
        <v/>
      </c>
      <c r="N158" s="7">
        <v>0</v>
      </c>
      <c r="O158" s="7"/>
      <c r="P158" s="7"/>
      <c r="Q158" s="7"/>
      <c r="AC158"/>
      <c r="AD158" s="14"/>
    </row>
    <row r="159" spans="1:30" x14ac:dyDescent="0.25">
      <c r="A159" t="b">
        <f t="shared" si="16"/>
        <v>0</v>
      </c>
      <c r="B159">
        <v>2006</v>
      </c>
      <c r="C159">
        <v>127</v>
      </c>
      <c r="D159">
        <v>0</v>
      </c>
      <c r="E159">
        <v>2200</v>
      </c>
      <c r="F159" s="7">
        <v>-1.651</v>
      </c>
      <c r="G159" s="7">
        <v>11.07</v>
      </c>
      <c r="H159" s="7">
        <v>0</v>
      </c>
      <c r="I159" s="7" t="str">
        <f t="shared" si="12"/>
        <v/>
      </c>
      <c r="J159" s="7" t="str">
        <f t="shared" si="13"/>
        <v/>
      </c>
      <c r="K159" s="7">
        <v>0</v>
      </c>
      <c r="L159" s="7" t="str">
        <f t="shared" si="14"/>
        <v/>
      </c>
      <c r="M159" s="7" t="str">
        <f t="shared" si="15"/>
        <v/>
      </c>
      <c r="N159" s="7">
        <v>0</v>
      </c>
      <c r="O159" s="7"/>
      <c r="P159" s="7"/>
      <c r="Q159" s="7"/>
      <c r="AC159"/>
      <c r="AD159" s="14"/>
    </row>
    <row r="160" spans="1:30" x14ac:dyDescent="0.25">
      <c r="A160" t="b">
        <f t="shared" si="16"/>
        <v>0</v>
      </c>
      <c r="B160">
        <v>2006</v>
      </c>
      <c r="C160">
        <v>127</v>
      </c>
      <c r="D160">
        <v>0</v>
      </c>
      <c r="E160">
        <v>2300</v>
      </c>
      <c r="F160" s="7">
        <v>-1.1579999999999999</v>
      </c>
      <c r="G160" s="7">
        <v>10.9</v>
      </c>
      <c r="H160" s="7">
        <v>0</v>
      </c>
      <c r="I160" s="7" t="str">
        <f t="shared" si="12"/>
        <v/>
      </c>
      <c r="J160" s="7" t="str">
        <f t="shared" si="13"/>
        <v/>
      </c>
      <c r="K160" s="7">
        <v>0</v>
      </c>
      <c r="L160" s="7" t="str">
        <f t="shared" si="14"/>
        <v/>
      </c>
      <c r="M160" s="7" t="str">
        <f t="shared" si="15"/>
        <v/>
      </c>
      <c r="N160" s="7">
        <v>0</v>
      </c>
      <c r="O160" s="7"/>
      <c r="P160" s="7"/>
      <c r="Q160" s="7"/>
      <c r="AC160"/>
      <c r="AD160" s="14"/>
    </row>
    <row r="161" spans="1:30" x14ac:dyDescent="0.25">
      <c r="A161" t="b">
        <f t="shared" si="16"/>
        <v>0</v>
      </c>
      <c r="B161">
        <v>2006</v>
      </c>
      <c r="C161">
        <v>127</v>
      </c>
      <c r="D161">
        <v>0</v>
      </c>
      <c r="E161">
        <v>2400</v>
      </c>
      <c r="F161" s="7">
        <v>-0.746</v>
      </c>
      <c r="G161" s="7">
        <v>10.83</v>
      </c>
      <c r="H161" s="7">
        <v>0</v>
      </c>
      <c r="I161" s="7" t="str">
        <f t="shared" si="12"/>
        <v/>
      </c>
      <c r="J161" s="7" t="str">
        <f t="shared" si="13"/>
        <v/>
      </c>
      <c r="K161" s="7">
        <v>0</v>
      </c>
      <c r="L161" s="7" t="str">
        <f t="shared" si="14"/>
        <v/>
      </c>
      <c r="M161" s="7" t="str">
        <f t="shared" si="15"/>
        <v/>
      </c>
      <c r="N161" s="7">
        <v>0</v>
      </c>
      <c r="O161" s="7"/>
      <c r="P161" s="7"/>
      <c r="Q161" s="7"/>
      <c r="AC161"/>
      <c r="AD161" s="14"/>
    </row>
    <row r="162" spans="1:30" x14ac:dyDescent="0.25">
      <c r="A162" t="b">
        <f t="shared" si="16"/>
        <v>1</v>
      </c>
      <c r="B162">
        <v>2006</v>
      </c>
      <c r="C162">
        <v>128</v>
      </c>
      <c r="D162">
        <v>0</v>
      </c>
      <c r="E162">
        <v>100</v>
      </c>
      <c r="F162" s="7">
        <v>-0.875</v>
      </c>
      <c r="G162" s="7">
        <v>10.39</v>
      </c>
      <c r="H162" s="7">
        <v>0</v>
      </c>
      <c r="I162" s="7">
        <f t="shared" si="12"/>
        <v>9.4</v>
      </c>
      <c r="J162" s="7">
        <f t="shared" si="13"/>
        <v>120.22891666666663</v>
      </c>
      <c r="K162" s="7">
        <v>0</v>
      </c>
      <c r="L162" s="7">
        <f t="shared" si="14"/>
        <v>17.53</v>
      </c>
      <c r="M162" s="7">
        <f t="shared" si="15"/>
        <v>9.1999999999999993</v>
      </c>
      <c r="N162" s="7">
        <v>0</v>
      </c>
      <c r="O162" s="7"/>
      <c r="P162" s="7"/>
      <c r="Q162" s="7"/>
      <c r="AC162"/>
      <c r="AD162" s="14"/>
    </row>
    <row r="163" spans="1:30" x14ac:dyDescent="0.25">
      <c r="A163" t="b">
        <f t="shared" si="16"/>
        <v>0</v>
      </c>
      <c r="B163">
        <v>2006</v>
      </c>
      <c r="C163">
        <v>128</v>
      </c>
      <c r="D163">
        <v>0</v>
      </c>
      <c r="E163">
        <v>200</v>
      </c>
      <c r="F163" s="7">
        <v>-0.92200000000000004</v>
      </c>
      <c r="G163" s="7">
        <v>10.16</v>
      </c>
      <c r="H163" s="7">
        <v>0</v>
      </c>
      <c r="I163" s="7" t="str">
        <f t="shared" si="12"/>
        <v/>
      </c>
      <c r="J163" s="7" t="str">
        <f t="shared" si="13"/>
        <v/>
      </c>
      <c r="K163" s="7">
        <v>0</v>
      </c>
      <c r="L163" s="7" t="str">
        <f t="shared" si="14"/>
        <v/>
      </c>
      <c r="M163" s="7" t="str">
        <f t="shared" si="15"/>
        <v/>
      </c>
      <c r="N163" s="7">
        <v>0</v>
      </c>
      <c r="O163" s="7"/>
      <c r="P163" s="7"/>
      <c r="Q163" s="7"/>
      <c r="AC163"/>
      <c r="AD163" s="14"/>
    </row>
    <row r="164" spans="1:30" x14ac:dyDescent="0.25">
      <c r="A164" t="b">
        <f t="shared" si="16"/>
        <v>0</v>
      </c>
      <c r="B164">
        <v>2006</v>
      </c>
      <c r="C164">
        <v>128</v>
      </c>
      <c r="D164">
        <v>0</v>
      </c>
      <c r="E164">
        <v>300</v>
      </c>
      <c r="F164" s="7">
        <v>-1.4079999999999999</v>
      </c>
      <c r="G164" s="7">
        <v>9.9600000000000009</v>
      </c>
      <c r="H164" s="7">
        <v>0.2</v>
      </c>
      <c r="I164" s="7" t="str">
        <f t="shared" si="12"/>
        <v/>
      </c>
      <c r="J164" s="7" t="str">
        <f t="shared" si="13"/>
        <v/>
      </c>
      <c r="K164" s="7">
        <v>0</v>
      </c>
      <c r="L164" s="7" t="str">
        <f t="shared" si="14"/>
        <v/>
      </c>
      <c r="M164" s="7" t="str">
        <f t="shared" si="15"/>
        <v/>
      </c>
      <c r="N164" s="7">
        <v>0</v>
      </c>
      <c r="O164" s="7"/>
      <c r="P164" s="7"/>
      <c r="Q164" s="7"/>
      <c r="AC164"/>
      <c r="AD164" s="14"/>
    </row>
    <row r="165" spans="1:30" x14ac:dyDescent="0.25">
      <c r="A165" t="b">
        <f t="shared" si="16"/>
        <v>0</v>
      </c>
      <c r="B165">
        <v>2006</v>
      </c>
      <c r="C165">
        <v>128</v>
      </c>
      <c r="D165">
        <v>0</v>
      </c>
      <c r="E165">
        <v>400</v>
      </c>
      <c r="F165" s="7">
        <v>-2.0939999999999999</v>
      </c>
      <c r="G165" s="7">
        <v>9.1999999999999993</v>
      </c>
      <c r="H165" s="7">
        <v>0</v>
      </c>
      <c r="I165" s="7" t="str">
        <f t="shared" si="12"/>
        <v/>
      </c>
      <c r="J165" s="7" t="str">
        <f t="shared" si="13"/>
        <v/>
      </c>
      <c r="K165" s="7">
        <v>0</v>
      </c>
      <c r="L165" s="7" t="str">
        <f t="shared" si="14"/>
        <v/>
      </c>
      <c r="M165" s="7" t="str">
        <f t="shared" si="15"/>
        <v/>
      </c>
      <c r="N165" s="7">
        <v>0</v>
      </c>
      <c r="O165" s="7"/>
      <c r="P165" s="7"/>
      <c r="Q165" s="7"/>
      <c r="AC165"/>
      <c r="AD165" s="14"/>
    </row>
    <row r="166" spans="1:30" x14ac:dyDescent="0.25">
      <c r="A166" t="b">
        <f t="shared" si="16"/>
        <v>0</v>
      </c>
      <c r="B166">
        <v>2006</v>
      </c>
      <c r="C166">
        <v>128</v>
      </c>
      <c r="D166">
        <v>0</v>
      </c>
      <c r="E166">
        <v>500</v>
      </c>
      <c r="F166" s="7">
        <v>2.0510000000000002</v>
      </c>
      <c r="G166" s="7">
        <v>9.2100000000000009</v>
      </c>
      <c r="H166" s="7">
        <v>0</v>
      </c>
      <c r="I166" s="7" t="str">
        <f t="shared" si="12"/>
        <v/>
      </c>
      <c r="J166" s="7" t="str">
        <f t="shared" si="13"/>
        <v/>
      </c>
      <c r="K166" s="7">
        <v>0</v>
      </c>
      <c r="L166" s="7" t="str">
        <f t="shared" si="14"/>
        <v/>
      </c>
      <c r="M166" s="7" t="str">
        <f t="shared" si="15"/>
        <v/>
      </c>
      <c r="N166" s="7">
        <v>0</v>
      </c>
      <c r="O166" s="7"/>
      <c r="P166" s="7"/>
      <c r="Q166" s="7"/>
      <c r="AC166"/>
      <c r="AD166" s="14"/>
    </row>
    <row r="167" spans="1:30" x14ac:dyDescent="0.25">
      <c r="A167" t="b">
        <f t="shared" si="16"/>
        <v>0</v>
      </c>
      <c r="B167">
        <v>2006</v>
      </c>
      <c r="C167">
        <v>128</v>
      </c>
      <c r="D167">
        <v>0</v>
      </c>
      <c r="E167">
        <v>600</v>
      </c>
      <c r="F167" s="7">
        <v>28.24</v>
      </c>
      <c r="G167" s="7">
        <v>9.2799999999999994</v>
      </c>
      <c r="H167" s="7">
        <v>0</v>
      </c>
      <c r="I167" s="7" t="str">
        <f t="shared" si="12"/>
        <v/>
      </c>
      <c r="J167" s="7" t="str">
        <f t="shared" si="13"/>
        <v/>
      </c>
      <c r="K167" s="7">
        <v>0</v>
      </c>
      <c r="L167" s="7" t="str">
        <f t="shared" si="14"/>
        <v/>
      </c>
      <c r="M167" s="7" t="str">
        <f t="shared" si="15"/>
        <v/>
      </c>
      <c r="N167" s="7">
        <v>0</v>
      </c>
      <c r="O167" s="7"/>
      <c r="P167" s="7"/>
      <c r="Q167" s="7"/>
      <c r="AC167"/>
      <c r="AD167" s="14"/>
    </row>
    <row r="168" spans="1:30" x14ac:dyDescent="0.25">
      <c r="A168" t="b">
        <f t="shared" si="16"/>
        <v>0</v>
      </c>
      <c r="B168">
        <v>2006</v>
      </c>
      <c r="C168">
        <v>128</v>
      </c>
      <c r="D168">
        <v>0</v>
      </c>
      <c r="E168">
        <v>700</v>
      </c>
      <c r="F168" s="7">
        <v>35.78</v>
      </c>
      <c r="G168" s="7">
        <v>9.98</v>
      </c>
      <c r="H168" s="7">
        <v>0</v>
      </c>
      <c r="I168" s="7" t="str">
        <f t="shared" si="12"/>
        <v/>
      </c>
      <c r="J168" s="7" t="str">
        <f t="shared" si="13"/>
        <v/>
      </c>
      <c r="K168" s="7">
        <v>0</v>
      </c>
      <c r="L168" s="7" t="str">
        <f t="shared" si="14"/>
        <v/>
      </c>
      <c r="M168" s="7" t="str">
        <f t="shared" si="15"/>
        <v/>
      </c>
      <c r="N168" s="7">
        <v>0</v>
      </c>
      <c r="O168" s="7"/>
      <c r="P168" s="7"/>
      <c r="Q168" s="7"/>
      <c r="AC168"/>
      <c r="AD168" s="14"/>
    </row>
    <row r="169" spans="1:30" x14ac:dyDescent="0.25">
      <c r="A169" t="b">
        <f t="shared" si="16"/>
        <v>0</v>
      </c>
      <c r="B169">
        <v>2006</v>
      </c>
      <c r="C169">
        <v>128</v>
      </c>
      <c r="D169">
        <v>0</v>
      </c>
      <c r="E169">
        <v>800</v>
      </c>
      <c r="F169" s="7">
        <v>37.630000000000003</v>
      </c>
      <c r="G169" s="7">
        <v>10.51</v>
      </c>
      <c r="H169" s="7">
        <v>1.2</v>
      </c>
      <c r="I169" s="7" t="str">
        <f t="shared" si="12"/>
        <v/>
      </c>
      <c r="J169" s="7" t="str">
        <f t="shared" si="13"/>
        <v/>
      </c>
      <c r="K169" s="7">
        <v>0</v>
      </c>
      <c r="L169" s="7" t="str">
        <f t="shared" si="14"/>
        <v/>
      </c>
      <c r="M169" s="7" t="str">
        <f t="shared" si="15"/>
        <v/>
      </c>
      <c r="N169" s="7">
        <v>0</v>
      </c>
      <c r="O169" s="7"/>
      <c r="P169" s="7"/>
      <c r="Q169" s="7"/>
      <c r="AC169"/>
      <c r="AD169" s="14"/>
    </row>
    <row r="170" spans="1:30" x14ac:dyDescent="0.25">
      <c r="A170" t="b">
        <f t="shared" si="16"/>
        <v>0</v>
      </c>
      <c r="B170">
        <v>2006</v>
      </c>
      <c r="C170">
        <v>128</v>
      </c>
      <c r="D170">
        <v>0</v>
      </c>
      <c r="E170">
        <v>900</v>
      </c>
      <c r="F170" s="7">
        <v>58.16</v>
      </c>
      <c r="G170" s="7">
        <v>10.17</v>
      </c>
      <c r="H170" s="7">
        <v>3</v>
      </c>
      <c r="I170" s="7" t="str">
        <f t="shared" si="12"/>
        <v/>
      </c>
      <c r="J170" s="7" t="str">
        <f t="shared" si="13"/>
        <v/>
      </c>
      <c r="K170" s="7">
        <v>0</v>
      </c>
      <c r="L170" s="7" t="str">
        <f t="shared" si="14"/>
        <v/>
      </c>
      <c r="M170" s="7" t="str">
        <f t="shared" si="15"/>
        <v/>
      </c>
      <c r="N170" s="7">
        <v>0</v>
      </c>
      <c r="O170" s="7"/>
      <c r="P170" s="7"/>
      <c r="Q170" s="7"/>
      <c r="AC170"/>
      <c r="AD170" s="14"/>
    </row>
    <row r="171" spans="1:30" x14ac:dyDescent="0.25">
      <c r="A171" t="b">
        <f t="shared" si="16"/>
        <v>0</v>
      </c>
      <c r="B171">
        <v>2006</v>
      </c>
      <c r="C171">
        <v>128</v>
      </c>
      <c r="D171">
        <v>0</v>
      </c>
      <c r="E171">
        <v>1000</v>
      </c>
      <c r="F171" s="7">
        <v>56.64</v>
      </c>
      <c r="G171" s="7">
        <v>10.36</v>
      </c>
      <c r="H171" s="7">
        <v>1.2</v>
      </c>
      <c r="I171" s="7" t="str">
        <f t="shared" si="12"/>
        <v/>
      </c>
      <c r="J171" s="7" t="str">
        <f t="shared" si="13"/>
        <v/>
      </c>
      <c r="K171" s="7">
        <v>0</v>
      </c>
      <c r="L171" s="7" t="str">
        <f t="shared" si="14"/>
        <v/>
      </c>
      <c r="M171" s="7" t="str">
        <f t="shared" si="15"/>
        <v/>
      </c>
      <c r="N171" s="7">
        <v>0</v>
      </c>
      <c r="O171" s="7"/>
      <c r="P171" s="7"/>
      <c r="Q171" s="7"/>
      <c r="AC171"/>
      <c r="AD171" s="14"/>
    </row>
    <row r="172" spans="1:30" x14ac:dyDescent="0.25">
      <c r="A172" t="b">
        <f t="shared" si="16"/>
        <v>0</v>
      </c>
      <c r="B172">
        <v>2006</v>
      </c>
      <c r="C172">
        <v>128</v>
      </c>
      <c r="D172">
        <v>0</v>
      </c>
      <c r="E172">
        <v>1100</v>
      </c>
      <c r="F172" s="7">
        <v>170.6</v>
      </c>
      <c r="G172" s="7">
        <v>11.34</v>
      </c>
      <c r="H172" s="7">
        <v>0.6</v>
      </c>
      <c r="I172" s="7" t="str">
        <f t="shared" si="12"/>
        <v/>
      </c>
      <c r="J172" s="7" t="str">
        <f t="shared" si="13"/>
        <v/>
      </c>
      <c r="K172" s="7">
        <v>0</v>
      </c>
      <c r="L172" s="7" t="str">
        <f t="shared" si="14"/>
        <v/>
      </c>
      <c r="M172" s="7" t="str">
        <f t="shared" si="15"/>
        <v/>
      </c>
      <c r="N172" s="7">
        <v>0</v>
      </c>
      <c r="O172" s="7"/>
      <c r="P172" s="7"/>
      <c r="Q172" s="7"/>
      <c r="AC172"/>
      <c r="AD172" s="14"/>
    </row>
    <row r="173" spans="1:30" x14ac:dyDescent="0.25">
      <c r="A173" t="b">
        <f t="shared" si="16"/>
        <v>0</v>
      </c>
      <c r="B173">
        <v>2006</v>
      </c>
      <c r="C173">
        <v>128</v>
      </c>
      <c r="D173">
        <v>0</v>
      </c>
      <c r="E173">
        <v>1200</v>
      </c>
      <c r="F173" s="7">
        <v>155.30000000000001</v>
      </c>
      <c r="G173" s="7">
        <v>11.96</v>
      </c>
      <c r="H173" s="7">
        <v>0.2</v>
      </c>
      <c r="I173" s="7" t="str">
        <f t="shared" si="12"/>
        <v/>
      </c>
      <c r="J173" s="7" t="str">
        <f t="shared" si="13"/>
        <v/>
      </c>
      <c r="K173" s="7">
        <v>0</v>
      </c>
      <c r="L173" s="7" t="str">
        <f t="shared" si="14"/>
        <v/>
      </c>
      <c r="M173" s="7" t="str">
        <f t="shared" si="15"/>
        <v/>
      </c>
      <c r="N173" s="7">
        <v>0</v>
      </c>
      <c r="O173" s="7"/>
      <c r="P173" s="7"/>
      <c r="Q173" s="7"/>
      <c r="AC173"/>
      <c r="AD173" s="14"/>
    </row>
    <row r="174" spans="1:30" x14ac:dyDescent="0.25">
      <c r="A174" t="b">
        <f t="shared" si="16"/>
        <v>0</v>
      </c>
      <c r="B174">
        <v>2006</v>
      </c>
      <c r="C174">
        <v>128</v>
      </c>
      <c r="D174">
        <v>0</v>
      </c>
      <c r="E174">
        <v>1300</v>
      </c>
      <c r="F174" s="7">
        <v>532.79999999999995</v>
      </c>
      <c r="G174" s="7">
        <v>14.49</v>
      </c>
      <c r="H174" s="7">
        <v>0</v>
      </c>
      <c r="I174" s="7" t="str">
        <f t="shared" si="12"/>
        <v/>
      </c>
      <c r="J174" s="7" t="str">
        <f t="shared" si="13"/>
        <v/>
      </c>
      <c r="K174" s="7">
        <v>0</v>
      </c>
      <c r="L174" s="7" t="str">
        <f t="shared" si="14"/>
        <v/>
      </c>
      <c r="M174" s="7" t="str">
        <f t="shared" si="15"/>
        <v/>
      </c>
      <c r="N174" s="7">
        <v>0</v>
      </c>
      <c r="O174" s="7"/>
      <c r="P174" s="7"/>
      <c r="Q174" s="7"/>
      <c r="AC174"/>
      <c r="AD174" s="14"/>
    </row>
    <row r="175" spans="1:30" x14ac:dyDescent="0.25">
      <c r="A175" t="b">
        <f t="shared" si="16"/>
        <v>0</v>
      </c>
      <c r="B175">
        <v>2006</v>
      </c>
      <c r="C175">
        <v>128</v>
      </c>
      <c r="D175">
        <v>0</v>
      </c>
      <c r="E175">
        <v>1400</v>
      </c>
      <c r="F175" s="7">
        <v>387.2</v>
      </c>
      <c r="G175" s="7">
        <v>16.760000000000002</v>
      </c>
      <c r="H175" s="7">
        <v>0</v>
      </c>
      <c r="I175" s="7" t="str">
        <f t="shared" si="12"/>
        <v/>
      </c>
      <c r="J175" s="7" t="str">
        <f t="shared" si="13"/>
        <v/>
      </c>
      <c r="K175" s="7">
        <v>0</v>
      </c>
      <c r="L175" s="7" t="str">
        <f t="shared" si="14"/>
        <v/>
      </c>
      <c r="M175" s="7" t="str">
        <f t="shared" si="15"/>
        <v/>
      </c>
      <c r="N175" s="7">
        <v>0</v>
      </c>
      <c r="O175" s="7"/>
      <c r="P175" s="7"/>
      <c r="Q175" s="7"/>
      <c r="AC175"/>
      <c r="AD175" s="14"/>
    </row>
    <row r="176" spans="1:30" x14ac:dyDescent="0.25">
      <c r="A176" t="b">
        <f t="shared" si="16"/>
        <v>0</v>
      </c>
      <c r="B176">
        <v>2006</v>
      </c>
      <c r="C176">
        <v>128</v>
      </c>
      <c r="D176">
        <v>0</v>
      </c>
      <c r="E176">
        <v>1500</v>
      </c>
      <c r="F176" s="7">
        <v>388.4</v>
      </c>
      <c r="G176" s="7">
        <v>16.97</v>
      </c>
      <c r="H176" s="7">
        <v>0</v>
      </c>
      <c r="I176" s="7" t="str">
        <f t="shared" si="12"/>
        <v/>
      </c>
      <c r="J176" s="7" t="str">
        <f t="shared" si="13"/>
        <v/>
      </c>
      <c r="K176" s="7">
        <v>0</v>
      </c>
      <c r="L176" s="7" t="str">
        <f t="shared" si="14"/>
        <v/>
      </c>
      <c r="M176" s="7" t="str">
        <f t="shared" si="15"/>
        <v/>
      </c>
      <c r="N176" s="7">
        <v>0</v>
      </c>
      <c r="O176" s="7"/>
      <c r="P176" s="7"/>
      <c r="Q176" s="7"/>
      <c r="AC176"/>
      <c r="AD176" s="14"/>
    </row>
    <row r="177" spans="1:30" x14ac:dyDescent="0.25">
      <c r="A177" t="b">
        <f t="shared" si="16"/>
        <v>0</v>
      </c>
      <c r="B177">
        <v>2006</v>
      </c>
      <c r="C177">
        <v>128</v>
      </c>
      <c r="D177">
        <v>0</v>
      </c>
      <c r="E177">
        <v>1600</v>
      </c>
      <c r="F177" s="7">
        <v>469.2</v>
      </c>
      <c r="G177" s="7">
        <v>17.53</v>
      </c>
      <c r="H177" s="7">
        <v>0</v>
      </c>
      <c r="I177" s="7" t="str">
        <f t="shared" si="12"/>
        <v/>
      </c>
      <c r="J177" s="7" t="str">
        <f t="shared" si="13"/>
        <v/>
      </c>
      <c r="K177" s="7">
        <v>0</v>
      </c>
      <c r="L177" s="7" t="str">
        <f t="shared" si="14"/>
        <v/>
      </c>
      <c r="M177" s="7" t="str">
        <f t="shared" si="15"/>
        <v/>
      </c>
      <c r="N177" s="7">
        <v>0</v>
      </c>
      <c r="O177" s="7"/>
      <c r="P177" s="7"/>
      <c r="Q177" s="7"/>
      <c r="AC177"/>
      <c r="AD177" s="14"/>
    </row>
    <row r="178" spans="1:30" x14ac:dyDescent="0.25">
      <c r="A178" t="b">
        <f t="shared" si="16"/>
        <v>0</v>
      </c>
      <c r="B178">
        <v>2006</v>
      </c>
      <c r="C178">
        <v>128</v>
      </c>
      <c r="D178">
        <v>0</v>
      </c>
      <c r="E178">
        <v>1700</v>
      </c>
      <c r="F178" s="7">
        <v>407.9</v>
      </c>
      <c r="G178" s="7">
        <v>16.36</v>
      </c>
      <c r="H178" s="7">
        <v>0</v>
      </c>
      <c r="I178" s="7" t="str">
        <f t="shared" si="12"/>
        <v/>
      </c>
      <c r="J178" s="7" t="str">
        <f t="shared" si="13"/>
        <v/>
      </c>
      <c r="K178" s="7">
        <v>0</v>
      </c>
      <c r="L178" s="7" t="str">
        <f t="shared" si="14"/>
        <v/>
      </c>
      <c r="M178" s="7" t="str">
        <f t="shared" si="15"/>
        <v/>
      </c>
      <c r="N178" s="7">
        <v>0</v>
      </c>
      <c r="O178" s="7"/>
      <c r="P178" s="7"/>
      <c r="Q178" s="7"/>
      <c r="AC178"/>
      <c r="AD178" s="14"/>
    </row>
    <row r="179" spans="1:30" x14ac:dyDescent="0.25">
      <c r="A179" t="b">
        <f t="shared" si="16"/>
        <v>0</v>
      </c>
      <c r="B179">
        <v>2006</v>
      </c>
      <c r="C179">
        <v>128</v>
      </c>
      <c r="D179">
        <v>0</v>
      </c>
      <c r="E179">
        <v>1800</v>
      </c>
      <c r="F179" s="7">
        <v>122.2</v>
      </c>
      <c r="G179" s="7">
        <v>14.48</v>
      </c>
      <c r="H179" s="7">
        <v>0.2</v>
      </c>
      <c r="I179" s="7" t="str">
        <f t="shared" si="12"/>
        <v/>
      </c>
      <c r="J179" s="7" t="str">
        <f t="shared" si="13"/>
        <v/>
      </c>
      <c r="K179" s="7">
        <v>0</v>
      </c>
      <c r="L179" s="7" t="str">
        <f t="shared" si="14"/>
        <v/>
      </c>
      <c r="M179" s="7" t="str">
        <f t="shared" si="15"/>
        <v/>
      </c>
      <c r="N179" s="7">
        <v>0</v>
      </c>
      <c r="O179" s="7"/>
      <c r="P179" s="7"/>
      <c r="Q179" s="7"/>
      <c r="AC179"/>
      <c r="AD179" s="14"/>
    </row>
    <row r="180" spans="1:30" x14ac:dyDescent="0.25">
      <c r="A180" t="b">
        <f t="shared" si="16"/>
        <v>0</v>
      </c>
      <c r="B180">
        <v>2006</v>
      </c>
      <c r="C180">
        <v>128</v>
      </c>
      <c r="D180">
        <v>0</v>
      </c>
      <c r="E180">
        <v>1900</v>
      </c>
      <c r="F180" s="7">
        <v>27.45</v>
      </c>
      <c r="G180" s="7">
        <v>12.29</v>
      </c>
      <c r="H180" s="7">
        <v>1.8</v>
      </c>
      <c r="I180" s="7" t="str">
        <f t="shared" si="12"/>
        <v/>
      </c>
      <c r="J180" s="7" t="str">
        <f t="shared" si="13"/>
        <v/>
      </c>
      <c r="K180" s="7">
        <v>0</v>
      </c>
      <c r="L180" s="7" t="str">
        <f t="shared" si="14"/>
        <v/>
      </c>
      <c r="M180" s="7" t="str">
        <f t="shared" si="15"/>
        <v/>
      </c>
      <c r="N180" s="7">
        <v>0</v>
      </c>
      <c r="O180" s="7"/>
      <c r="P180" s="7"/>
      <c r="Q180" s="7"/>
      <c r="AC180"/>
      <c r="AD180" s="14"/>
    </row>
    <row r="181" spans="1:30" x14ac:dyDescent="0.25">
      <c r="A181" t="b">
        <f t="shared" si="16"/>
        <v>0</v>
      </c>
      <c r="B181">
        <v>2006</v>
      </c>
      <c r="C181">
        <v>128</v>
      </c>
      <c r="D181">
        <v>0</v>
      </c>
      <c r="E181">
        <v>2000</v>
      </c>
      <c r="F181" s="7">
        <v>14.68</v>
      </c>
      <c r="G181" s="7">
        <v>11.49</v>
      </c>
      <c r="H181" s="7">
        <v>0</v>
      </c>
      <c r="I181" s="7" t="str">
        <f t="shared" si="12"/>
        <v/>
      </c>
      <c r="J181" s="7" t="str">
        <f t="shared" si="13"/>
        <v/>
      </c>
      <c r="K181" s="7">
        <v>0</v>
      </c>
      <c r="L181" s="7" t="str">
        <f t="shared" si="14"/>
        <v/>
      </c>
      <c r="M181" s="7" t="str">
        <f t="shared" si="15"/>
        <v/>
      </c>
      <c r="N181" s="7">
        <v>0</v>
      </c>
      <c r="O181" s="7"/>
      <c r="P181" s="7"/>
      <c r="Q181" s="7"/>
      <c r="AC181"/>
      <c r="AD181" s="14"/>
    </row>
    <row r="182" spans="1:30" x14ac:dyDescent="0.25">
      <c r="A182" t="b">
        <f t="shared" si="16"/>
        <v>0</v>
      </c>
      <c r="B182">
        <v>2006</v>
      </c>
      <c r="C182">
        <v>128</v>
      </c>
      <c r="D182">
        <v>0</v>
      </c>
      <c r="E182">
        <v>2100</v>
      </c>
      <c r="F182" s="7">
        <v>-0.28499999999999998</v>
      </c>
      <c r="G182" s="7">
        <v>11.38</v>
      </c>
      <c r="H182" s="7">
        <v>0</v>
      </c>
      <c r="I182" s="7" t="str">
        <f t="shared" si="12"/>
        <v/>
      </c>
      <c r="J182" s="7" t="str">
        <f t="shared" si="13"/>
        <v/>
      </c>
      <c r="K182" s="7">
        <v>0</v>
      </c>
      <c r="L182" s="7" t="str">
        <f t="shared" si="14"/>
        <v/>
      </c>
      <c r="M182" s="7" t="str">
        <f t="shared" si="15"/>
        <v/>
      </c>
      <c r="N182" s="7">
        <v>0</v>
      </c>
      <c r="O182" s="7"/>
      <c r="P182" s="7"/>
      <c r="Q182" s="7"/>
      <c r="AC182"/>
      <c r="AD182" s="14"/>
    </row>
    <row r="183" spans="1:30" x14ac:dyDescent="0.25">
      <c r="A183" t="b">
        <f t="shared" si="16"/>
        <v>0</v>
      </c>
      <c r="B183">
        <v>2006</v>
      </c>
      <c r="C183">
        <v>128</v>
      </c>
      <c r="D183">
        <v>0</v>
      </c>
      <c r="E183">
        <v>2200</v>
      </c>
      <c r="F183" s="7">
        <v>-0.92400000000000004</v>
      </c>
      <c r="G183" s="7">
        <v>11.43</v>
      </c>
      <c r="H183" s="7">
        <v>0</v>
      </c>
      <c r="I183" s="7" t="str">
        <f t="shared" si="12"/>
        <v/>
      </c>
      <c r="J183" s="7" t="str">
        <f t="shared" si="13"/>
        <v/>
      </c>
      <c r="K183" s="7">
        <v>0</v>
      </c>
      <c r="L183" s="7" t="str">
        <f t="shared" si="14"/>
        <v/>
      </c>
      <c r="M183" s="7" t="str">
        <f t="shared" si="15"/>
        <v/>
      </c>
      <c r="N183" s="7">
        <v>0</v>
      </c>
      <c r="O183" s="7"/>
      <c r="P183" s="7"/>
      <c r="Q183" s="7"/>
      <c r="AC183"/>
      <c r="AD183" s="14"/>
    </row>
    <row r="184" spans="1:30" x14ac:dyDescent="0.25">
      <c r="A184" t="b">
        <f t="shared" si="16"/>
        <v>0</v>
      </c>
      <c r="B184">
        <v>2006</v>
      </c>
      <c r="C184">
        <v>128</v>
      </c>
      <c r="D184">
        <v>0</v>
      </c>
      <c r="E184">
        <v>2300</v>
      </c>
      <c r="F184" s="7">
        <v>-1.3959999999999999</v>
      </c>
      <c r="G184" s="7">
        <v>11.4</v>
      </c>
      <c r="H184" s="7">
        <v>0</v>
      </c>
      <c r="I184" s="7" t="str">
        <f t="shared" si="12"/>
        <v/>
      </c>
      <c r="J184" s="7" t="str">
        <f t="shared" si="13"/>
        <v/>
      </c>
      <c r="K184" s="7">
        <v>0</v>
      </c>
      <c r="L184" s="7" t="str">
        <f t="shared" si="14"/>
        <v/>
      </c>
      <c r="M184" s="7" t="str">
        <f t="shared" si="15"/>
        <v/>
      </c>
      <c r="N184" s="7">
        <v>0</v>
      </c>
      <c r="O184" s="7"/>
      <c r="P184" s="7"/>
      <c r="Q184" s="7"/>
      <c r="AC184"/>
      <c r="AD184" s="14"/>
    </row>
    <row r="185" spans="1:30" x14ac:dyDescent="0.25">
      <c r="A185" t="b">
        <f t="shared" si="16"/>
        <v>0</v>
      </c>
      <c r="B185">
        <v>2006</v>
      </c>
      <c r="C185">
        <v>128</v>
      </c>
      <c r="D185">
        <v>0</v>
      </c>
      <c r="E185">
        <v>2400</v>
      </c>
      <c r="F185" s="7">
        <v>-0.83299999999999996</v>
      </c>
      <c r="G185" s="7">
        <v>10.63</v>
      </c>
      <c r="H185" s="7">
        <v>1</v>
      </c>
      <c r="I185" s="7" t="str">
        <f t="shared" si="12"/>
        <v/>
      </c>
      <c r="J185" s="7" t="str">
        <f t="shared" si="13"/>
        <v/>
      </c>
      <c r="K185" s="7">
        <v>0</v>
      </c>
      <c r="L185" s="7" t="str">
        <f t="shared" si="14"/>
        <v/>
      </c>
      <c r="M185" s="7" t="str">
        <f t="shared" si="15"/>
        <v/>
      </c>
      <c r="N185" s="7">
        <v>0</v>
      </c>
      <c r="O185" s="7"/>
      <c r="P185" s="7"/>
      <c r="Q185" s="7"/>
      <c r="AC185"/>
      <c r="AD185" s="14"/>
    </row>
    <row r="186" spans="1:30" x14ac:dyDescent="0.25">
      <c r="A186" t="b">
        <f t="shared" si="16"/>
        <v>1</v>
      </c>
      <c r="B186">
        <v>2006</v>
      </c>
      <c r="C186">
        <v>129</v>
      </c>
      <c r="D186">
        <v>0</v>
      </c>
      <c r="E186">
        <v>100</v>
      </c>
      <c r="F186" s="7">
        <v>-0.78400000000000003</v>
      </c>
      <c r="G186" s="7">
        <v>10</v>
      </c>
      <c r="H186" s="7">
        <v>0.2</v>
      </c>
      <c r="I186" s="7">
        <f t="shared" si="12"/>
        <v>0.2</v>
      </c>
      <c r="J186" s="7">
        <f t="shared" si="13"/>
        <v>234.52854166666665</v>
      </c>
      <c r="K186" s="7">
        <v>0</v>
      </c>
      <c r="L186" s="7">
        <f t="shared" si="14"/>
        <v>18.34</v>
      </c>
      <c r="M186" s="7">
        <f t="shared" si="15"/>
        <v>8.56</v>
      </c>
      <c r="N186" s="7">
        <v>0</v>
      </c>
      <c r="O186" s="7"/>
      <c r="P186" s="7"/>
      <c r="Q186" s="7"/>
      <c r="AC186"/>
      <c r="AD186" s="14"/>
    </row>
    <row r="187" spans="1:30" x14ac:dyDescent="0.25">
      <c r="A187" t="b">
        <f t="shared" si="16"/>
        <v>0</v>
      </c>
      <c r="B187">
        <v>2006</v>
      </c>
      <c r="C187">
        <v>129</v>
      </c>
      <c r="D187">
        <v>0</v>
      </c>
      <c r="E187">
        <v>200</v>
      </c>
      <c r="F187" s="7">
        <v>-1.405</v>
      </c>
      <c r="G187" s="7">
        <v>9.4</v>
      </c>
      <c r="H187" s="7">
        <v>0</v>
      </c>
      <c r="I187" s="7" t="str">
        <f t="shared" si="12"/>
        <v/>
      </c>
      <c r="J187" s="7" t="str">
        <f t="shared" si="13"/>
        <v/>
      </c>
      <c r="K187" s="7">
        <v>0</v>
      </c>
      <c r="L187" s="7" t="str">
        <f t="shared" si="14"/>
        <v/>
      </c>
      <c r="M187" s="7" t="str">
        <f t="shared" si="15"/>
        <v/>
      </c>
      <c r="N187" s="7">
        <v>0</v>
      </c>
      <c r="O187" s="7"/>
      <c r="P187" s="7"/>
      <c r="Q187" s="7"/>
      <c r="AC187"/>
      <c r="AD187" s="14"/>
    </row>
    <row r="188" spans="1:30" x14ac:dyDescent="0.25">
      <c r="A188" t="b">
        <f t="shared" si="16"/>
        <v>0</v>
      </c>
      <c r="B188">
        <v>2006</v>
      </c>
      <c r="C188">
        <v>129</v>
      </c>
      <c r="D188">
        <v>0</v>
      </c>
      <c r="E188">
        <v>300</v>
      </c>
      <c r="F188" s="7">
        <v>-1.2949999999999999</v>
      </c>
      <c r="G188" s="7">
        <v>8.9600000000000009</v>
      </c>
      <c r="H188" s="7">
        <v>0</v>
      </c>
      <c r="I188" s="7" t="str">
        <f t="shared" si="12"/>
        <v/>
      </c>
      <c r="J188" s="7" t="str">
        <f t="shared" si="13"/>
        <v/>
      </c>
      <c r="K188" s="7">
        <v>0</v>
      </c>
      <c r="L188" s="7" t="str">
        <f t="shared" si="14"/>
        <v/>
      </c>
      <c r="M188" s="7" t="str">
        <f t="shared" si="15"/>
        <v/>
      </c>
      <c r="N188" s="7">
        <v>0</v>
      </c>
      <c r="O188" s="7"/>
      <c r="P188" s="7"/>
      <c r="Q188" s="7"/>
      <c r="AC188"/>
      <c r="AD188" s="14"/>
    </row>
    <row r="189" spans="1:30" x14ac:dyDescent="0.25">
      <c r="A189" t="b">
        <f t="shared" si="16"/>
        <v>0</v>
      </c>
      <c r="B189">
        <v>2006</v>
      </c>
      <c r="C189">
        <v>129</v>
      </c>
      <c r="D189">
        <v>0</v>
      </c>
      <c r="E189">
        <v>400</v>
      </c>
      <c r="F189" s="7">
        <v>-0.94799999999999995</v>
      </c>
      <c r="G189" s="7">
        <v>8.8000000000000007</v>
      </c>
      <c r="H189" s="7">
        <v>0</v>
      </c>
      <c r="I189" s="7" t="str">
        <f t="shared" si="12"/>
        <v/>
      </c>
      <c r="J189" s="7" t="str">
        <f t="shared" si="13"/>
        <v/>
      </c>
      <c r="K189" s="7">
        <v>0</v>
      </c>
      <c r="L189" s="7" t="str">
        <f t="shared" si="14"/>
        <v/>
      </c>
      <c r="M189" s="7" t="str">
        <f t="shared" si="15"/>
        <v/>
      </c>
      <c r="N189" s="7">
        <v>0</v>
      </c>
      <c r="O189" s="7"/>
      <c r="P189" s="7"/>
      <c r="Q189" s="7"/>
      <c r="AC189"/>
      <c r="AD189" s="14"/>
    </row>
    <row r="190" spans="1:30" x14ac:dyDescent="0.25">
      <c r="A190" t="b">
        <f t="shared" si="16"/>
        <v>0</v>
      </c>
      <c r="B190">
        <v>2006</v>
      </c>
      <c r="C190">
        <v>129</v>
      </c>
      <c r="D190">
        <v>0</v>
      </c>
      <c r="E190">
        <v>500</v>
      </c>
      <c r="F190" s="7">
        <v>2.4239999999999999</v>
      </c>
      <c r="G190" s="7">
        <v>8.89</v>
      </c>
      <c r="H190" s="7">
        <v>0</v>
      </c>
      <c r="I190" s="7" t="str">
        <f t="shared" si="12"/>
        <v/>
      </c>
      <c r="J190" s="7" t="str">
        <f t="shared" si="13"/>
        <v/>
      </c>
      <c r="K190" s="7">
        <v>0</v>
      </c>
      <c r="L190" s="7" t="str">
        <f t="shared" si="14"/>
        <v/>
      </c>
      <c r="M190" s="7" t="str">
        <f t="shared" si="15"/>
        <v/>
      </c>
      <c r="N190" s="7">
        <v>0</v>
      </c>
      <c r="O190" s="7"/>
      <c r="P190" s="7"/>
      <c r="Q190" s="7"/>
      <c r="AC190"/>
      <c r="AD190" s="14"/>
    </row>
    <row r="191" spans="1:30" x14ac:dyDescent="0.25">
      <c r="A191" t="b">
        <f t="shared" si="16"/>
        <v>0</v>
      </c>
      <c r="B191">
        <v>2006</v>
      </c>
      <c r="C191">
        <v>129</v>
      </c>
      <c r="D191">
        <v>0</v>
      </c>
      <c r="E191">
        <v>600</v>
      </c>
      <c r="F191" s="7">
        <v>37.729999999999997</v>
      </c>
      <c r="G191" s="7">
        <v>9.02</v>
      </c>
      <c r="H191" s="7">
        <v>0</v>
      </c>
      <c r="I191" s="7" t="str">
        <f t="shared" si="12"/>
        <v/>
      </c>
      <c r="J191" s="7" t="str">
        <f t="shared" si="13"/>
        <v/>
      </c>
      <c r="K191" s="7">
        <v>0</v>
      </c>
      <c r="L191" s="7" t="str">
        <f t="shared" si="14"/>
        <v/>
      </c>
      <c r="M191" s="7" t="str">
        <f t="shared" si="15"/>
        <v/>
      </c>
      <c r="N191" s="7">
        <v>0</v>
      </c>
      <c r="O191" s="7"/>
      <c r="P191" s="7"/>
      <c r="Q191" s="7"/>
      <c r="AC191"/>
      <c r="AD191" s="14"/>
    </row>
    <row r="192" spans="1:30" x14ac:dyDescent="0.25">
      <c r="A192" t="b">
        <f t="shared" si="16"/>
        <v>0</v>
      </c>
      <c r="B192">
        <v>2006</v>
      </c>
      <c r="C192">
        <v>129</v>
      </c>
      <c r="D192">
        <v>0</v>
      </c>
      <c r="E192">
        <v>700</v>
      </c>
      <c r="F192" s="7">
        <v>51.54</v>
      </c>
      <c r="G192" s="7">
        <v>9.24</v>
      </c>
      <c r="H192" s="7">
        <v>0</v>
      </c>
      <c r="I192" s="7" t="str">
        <f t="shared" si="12"/>
        <v/>
      </c>
      <c r="J192" s="7" t="str">
        <f t="shared" si="13"/>
        <v/>
      </c>
      <c r="K192" s="7">
        <v>0</v>
      </c>
      <c r="L192" s="7" t="str">
        <f t="shared" si="14"/>
        <v/>
      </c>
      <c r="M192" s="7" t="str">
        <f t="shared" si="15"/>
        <v/>
      </c>
      <c r="N192" s="7">
        <v>0</v>
      </c>
      <c r="O192" s="7"/>
      <c r="P192" s="7"/>
      <c r="Q192" s="7"/>
      <c r="AC192"/>
      <c r="AD192" s="14"/>
    </row>
    <row r="193" spans="1:30" x14ac:dyDescent="0.25">
      <c r="A193" t="b">
        <f t="shared" si="16"/>
        <v>0</v>
      </c>
      <c r="B193">
        <v>2006</v>
      </c>
      <c r="C193">
        <v>129</v>
      </c>
      <c r="D193">
        <v>0</v>
      </c>
      <c r="E193">
        <v>800</v>
      </c>
      <c r="F193" s="7">
        <v>49.65</v>
      </c>
      <c r="G193" s="7">
        <v>9.61</v>
      </c>
      <c r="H193" s="7">
        <v>0</v>
      </c>
      <c r="I193" s="7" t="str">
        <f t="shared" si="12"/>
        <v/>
      </c>
      <c r="J193" s="7" t="str">
        <f t="shared" si="13"/>
        <v/>
      </c>
      <c r="K193" s="7">
        <v>0</v>
      </c>
      <c r="L193" s="7" t="str">
        <f t="shared" si="14"/>
        <v/>
      </c>
      <c r="M193" s="7" t="str">
        <f t="shared" si="15"/>
        <v/>
      </c>
      <c r="N193" s="7">
        <v>0</v>
      </c>
      <c r="O193" s="7"/>
      <c r="P193" s="7"/>
      <c r="Q193" s="7"/>
      <c r="AC193"/>
      <c r="AD193" s="14"/>
    </row>
    <row r="194" spans="1:30" x14ac:dyDescent="0.25">
      <c r="A194" t="b">
        <f t="shared" si="16"/>
        <v>0</v>
      </c>
      <c r="B194">
        <v>2006</v>
      </c>
      <c r="C194">
        <v>129</v>
      </c>
      <c r="D194">
        <v>0</v>
      </c>
      <c r="E194">
        <v>900</v>
      </c>
      <c r="F194" s="7">
        <v>265.10000000000002</v>
      </c>
      <c r="G194" s="7">
        <v>11.04</v>
      </c>
      <c r="H194" s="7">
        <v>0</v>
      </c>
      <c r="I194" s="7" t="str">
        <f t="shared" ref="I194:I257" si="17">IF(AND(B194=B193,C194=C193),"",SUMIFS($H$2:$H$1529,$B$2:$B$1529,B194,$C$2:$C$1529,C194))</f>
        <v/>
      </c>
      <c r="J194" s="7" t="str">
        <f t="shared" ref="J194:J257" si="18">IF(AND(B194=B193,C194=C193),"",AVERAGEIFS($F$2:$F$1529,$B$2:$B$1529,B194,$C$2:$C$1529,C194))</f>
        <v/>
      </c>
      <c r="K194" s="7">
        <v>0</v>
      </c>
      <c r="L194" s="7" t="str">
        <f t="shared" ref="L194:L257" si="19">IF(AND(B194=B193,C194=C193),"",_xlfn.MAXIFS($G$2:$G$1529,$B$2:$B$1529,B194,$C$2:$C$1529,C194))</f>
        <v/>
      </c>
      <c r="M194" s="7" t="str">
        <f t="shared" ref="M194:M257" si="20">IF(AND(B194=B193,C194=C193),"",_xlfn.MINIFS($G$2:$G$1529,$B$2:$B$1529,B194,$C$2:$C$1529,C194))</f>
        <v/>
      </c>
      <c r="N194" s="7">
        <v>0</v>
      </c>
      <c r="O194" s="7"/>
      <c r="P194" s="7"/>
      <c r="Q194" s="7"/>
      <c r="AC194"/>
      <c r="AD194" s="14"/>
    </row>
    <row r="195" spans="1:30" x14ac:dyDescent="0.25">
      <c r="A195" t="b">
        <f t="shared" ref="A195:A258" si="21">NOT(I195="")</f>
        <v>0</v>
      </c>
      <c r="B195">
        <v>2006</v>
      </c>
      <c r="C195">
        <v>129</v>
      </c>
      <c r="D195">
        <v>0</v>
      </c>
      <c r="E195">
        <v>1000</v>
      </c>
      <c r="F195" s="7">
        <v>532.6</v>
      </c>
      <c r="G195" s="7">
        <v>13.47</v>
      </c>
      <c r="H195" s="7">
        <v>0</v>
      </c>
      <c r="I195" s="7" t="str">
        <f t="shared" si="17"/>
        <v/>
      </c>
      <c r="J195" s="7" t="str">
        <f t="shared" si="18"/>
        <v/>
      </c>
      <c r="K195" s="7">
        <v>0</v>
      </c>
      <c r="L195" s="7" t="str">
        <f t="shared" si="19"/>
        <v/>
      </c>
      <c r="M195" s="7" t="str">
        <f t="shared" si="20"/>
        <v/>
      </c>
      <c r="N195" s="7">
        <v>0</v>
      </c>
      <c r="O195" s="7"/>
      <c r="P195" s="7"/>
      <c r="Q195" s="7"/>
      <c r="AC195"/>
      <c r="AD195" s="14"/>
    </row>
    <row r="196" spans="1:30" x14ac:dyDescent="0.25">
      <c r="A196" t="b">
        <f t="shared" si="21"/>
        <v>0</v>
      </c>
      <c r="B196">
        <v>2006</v>
      </c>
      <c r="C196">
        <v>129</v>
      </c>
      <c r="D196">
        <v>0</v>
      </c>
      <c r="E196">
        <v>1100</v>
      </c>
      <c r="F196" s="7">
        <v>677.7</v>
      </c>
      <c r="G196" s="7">
        <v>15.26</v>
      </c>
      <c r="H196" s="7">
        <v>0</v>
      </c>
      <c r="I196" s="7" t="str">
        <f t="shared" si="17"/>
        <v/>
      </c>
      <c r="J196" s="7" t="str">
        <f t="shared" si="18"/>
        <v/>
      </c>
      <c r="K196" s="7">
        <v>0</v>
      </c>
      <c r="L196" s="7" t="str">
        <f t="shared" si="19"/>
        <v/>
      </c>
      <c r="M196" s="7" t="str">
        <f t="shared" si="20"/>
        <v/>
      </c>
      <c r="N196" s="7">
        <v>0</v>
      </c>
      <c r="O196" s="7"/>
      <c r="P196" s="7"/>
      <c r="Q196" s="7"/>
      <c r="AC196"/>
      <c r="AD196" s="14"/>
    </row>
    <row r="197" spans="1:30" x14ac:dyDescent="0.25">
      <c r="A197" t="b">
        <f t="shared" si="21"/>
        <v>0</v>
      </c>
      <c r="B197">
        <v>2006</v>
      </c>
      <c r="C197">
        <v>129</v>
      </c>
      <c r="D197">
        <v>0</v>
      </c>
      <c r="E197">
        <v>1200</v>
      </c>
      <c r="F197" s="7">
        <v>593.70000000000005</v>
      </c>
      <c r="G197" s="7">
        <v>15.82</v>
      </c>
      <c r="H197" s="7">
        <v>0</v>
      </c>
      <c r="I197" s="7" t="str">
        <f t="shared" si="17"/>
        <v/>
      </c>
      <c r="J197" s="7" t="str">
        <f t="shared" si="18"/>
        <v/>
      </c>
      <c r="K197" s="7">
        <v>0</v>
      </c>
      <c r="L197" s="7" t="str">
        <f t="shared" si="19"/>
        <v/>
      </c>
      <c r="M197" s="7" t="str">
        <f t="shared" si="20"/>
        <v/>
      </c>
      <c r="N197" s="7">
        <v>0</v>
      </c>
      <c r="O197" s="7"/>
      <c r="P197" s="7"/>
      <c r="Q197" s="7"/>
      <c r="AC197"/>
      <c r="AD197" s="14"/>
    </row>
    <row r="198" spans="1:30" x14ac:dyDescent="0.25">
      <c r="A198" t="b">
        <f t="shared" si="21"/>
        <v>0</v>
      </c>
      <c r="B198">
        <v>2006</v>
      </c>
      <c r="C198">
        <v>129</v>
      </c>
      <c r="D198">
        <v>0</v>
      </c>
      <c r="E198">
        <v>1300</v>
      </c>
      <c r="F198" s="7">
        <v>747</v>
      </c>
      <c r="G198" s="7">
        <v>16.87</v>
      </c>
      <c r="H198" s="7">
        <v>0</v>
      </c>
      <c r="I198" s="7" t="str">
        <f t="shared" si="17"/>
        <v/>
      </c>
      <c r="J198" s="7" t="str">
        <f t="shared" si="18"/>
        <v/>
      </c>
      <c r="K198" s="7">
        <v>0</v>
      </c>
      <c r="L198" s="7" t="str">
        <f t="shared" si="19"/>
        <v/>
      </c>
      <c r="M198" s="7" t="str">
        <f t="shared" si="20"/>
        <v/>
      </c>
      <c r="N198" s="7">
        <v>0</v>
      </c>
      <c r="O198" s="7"/>
      <c r="P198" s="7"/>
      <c r="Q198" s="7"/>
      <c r="AC198"/>
      <c r="AD198" s="14"/>
    </row>
    <row r="199" spans="1:30" x14ac:dyDescent="0.25">
      <c r="A199" t="b">
        <f t="shared" si="21"/>
        <v>0</v>
      </c>
      <c r="B199">
        <v>2006</v>
      </c>
      <c r="C199">
        <v>129</v>
      </c>
      <c r="D199">
        <v>0</v>
      </c>
      <c r="E199">
        <v>1400</v>
      </c>
      <c r="F199" s="7">
        <v>673.1</v>
      </c>
      <c r="G199" s="7">
        <v>17.57</v>
      </c>
      <c r="H199" s="7">
        <v>0</v>
      </c>
      <c r="I199" s="7" t="str">
        <f t="shared" si="17"/>
        <v/>
      </c>
      <c r="J199" s="7" t="str">
        <f t="shared" si="18"/>
        <v/>
      </c>
      <c r="K199" s="7">
        <v>0</v>
      </c>
      <c r="L199" s="7" t="str">
        <f t="shared" si="19"/>
        <v/>
      </c>
      <c r="M199" s="7" t="str">
        <f t="shared" si="20"/>
        <v/>
      </c>
      <c r="N199" s="7">
        <v>0</v>
      </c>
      <c r="O199" s="7"/>
      <c r="P199" s="7"/>
      <c r="Q199" s="7"/>
      <c r="AC199"/>
      <c r="AD199" s="14"/>
    </row>
    <row r="200" spans="1:30" x14ac:dyDescent="0.25">
      <c r="A200" t="b">
        <f t="shared" si="21"/>
        <v>0</v>
      </c>
      <c r="B200">
        <v>2006</v>
      </c>
      <c r="C200">
        <v>129</v>
      </c>
      <c r="D200">
        <v>0</v>
      </c>
      <c r="E200">
        <v>1500</v>
      </c>
      <c r="F200" s="7">
        <v>618.29999999999995</v>
      </c>
      <c r="G200" s="7">
        <v>17.95</v>
      </c>
      <c r="H200" s="7">
        <v>0</v>
      </c>
      <c r="I200" s="7" t="str">
        <f t="shared" si="17"/>
        <v/>
      </c>
      <c r="J200" s="7" t="str">
        <f t="shared" si="18"/>
        <v/>
      </c>
      <c r="K200" s="7">
        <v>0</v>
      </c>
      <c r="L200" s="7" t="str">
        <f t="shared" si="19"/>
        <v/>
      </c>
      <c r="M200" s="7" t="str">
        <f t="shared" si="20"/>
        <v/>
      </c>
      <c r="N200" s="7">
        <v>0</v>
      </c>
      <c r="O200" s="7"/>
      <c r="P200" s="7"/>
      <c r="Q200" s="7"/>
      <c r="AC200"/>
      <c r="AD200" s="14"/>
    </row>
    <row r="201" spans="1:30" x14ac:dyDescent="0.25">
      <c r="A201" t="b">
        <f t="shared" si="21"/>
        <v>0</v>
      </c>
      <c r="B201">
        <v>2006</v>
      </c>
      <c r="C201">
        <v>129</v>
      </c>
      <c r="D201">
        <v>0</v>
      </c>
      <c r="E201">
        <v>1600</v>
      </c>
      <c r="F201" s="7">
        <v>547.4</v>
      </c>
      <c r="G201" s="7">
        <v>18.34</v>
      </c>
      <c r="H201" s="7">
        <v>0</v>
      </c>
      <c r="I201" s="7" t="str">
        <f t="shared" si="17"/>
        <v/>
      </c>
      <c r="J201" s="7" t="str">
        <f t="shared" si="18"/>
        <v/>
      </c>
      <c r="K201" s="7">
        <v>0</v>
      </c>
      <c r="L201" s="7" t="str">
        <f t="shared" si="19"/>
        <v/>
      </c>
      <c r="M201" s="7" t="str">
        <f t="shared" si="20"/>
        <v/>
      </c>
      <c r="N201" s="7">
        <v>0</v>
      </c>
      <c r="O201" s="7"/>
      <c r="P201" s="7"/>
      <c r="Q201" s="7"/>
      <c r="AC201"/>
      <c r="AD201" s="14"/>
    </row>
    <row r="202" spans="1:30" x14ac:dyDescent="0.25">
      <c r="A202" t="b">
        <f t="shared" si="21"/>
        <v>0</v>
      </c>
      <c r="B202">
        <v>2006</v>
      </c>
      <c r="C202">
        <v>129</v>
      </c>
      <c r="D202">
        <v>0</v>
      </c>
      <c r="E202">
        <v>1700</v>
      </c>
      <c r="F202" s="7">
        <v>410.7</v>
      </c>
      <c r="G202" s="7">
        <v>18.29</v>
      </c>
      <c r="H202" s="7">
        <v>0</v>
      </c>
      <c r="I202" s="7" t="str">
        <f t="shared" si="17"/>
        <v/>
      </c>
      <c r="J202" s="7" t="str">
        <f t="shared" si="18"/>
        <v/>
      </c>
      <c r="K202" s="7">
        <v>0</v>
      </c>
      <c r="L202" s="7" t="str">
        <f t="shared" si="19"/>
        <v/>
      </c>
      <c r="M202" s="7" t="str">
        <f t="shared" si="20"/>
        <v/>
      </c>
      <c r="N202" s="7">
        <v>0</v>
      </c>
      <c r="O202" s="7"/>
      <c r="P202" s="7"/>
      <c r="Q202" s="7"/>
      <c r="AC202"/>
      <c r="AD202" s="14"/>
    </row>
    <row r="203" spans="1:30" x14ac:dyDescent="0.25">
      <c r="A203" t="b">
        <f t="shared" si="21"/>
        <v>0</v>
      </c>
      <c r="B203">
        <v>2006</v>
      </c>
      <c r="C203">
        <v>129</v>
      </c>
      <c r="D203">
        <v>0</v>
      </c>
      <c r="E203">
        <v>1800</v>
      </c>
      <c r="F203" s="7">
        <v>270.60000000000002</v>
      </c>
      <c r="G203" s="7">
        <v>18.05</v>
      </c>
      <c r="H203" s="7">
        <v>0</v>
      </c>
      <c r="I203" s="7" t="str">
        <f t="shared" si="17"/>
        <v/>
      </c>
      <c r="J203" s="7" t="str">
        <f t="shared" si="18"/>
        <v/>
      </c>
      <c r="K203" s="7">
        <v>0</v>
      </c>
      <c r="L203" s="7" t="str">
        <f t="shared" si="19"/>
        <v/>
      </c>
      <c r="M203" s="7" t="str">
        <f t="shared" si="20"/>
        <v/>
      </c>
      <c r="N203" s="7">
        <v>0</v>
      </c>
      <c r="O203" s="7"/>
      <c r="P203" s="7"/>
      <c r="Q203" s="7"/>
      <c r="AC203"/>
      <c r="AD203" s="14"/>
    </row>
    <row r="204" spans="1:30" x14ac:dyDescent="0.25">
      <c r="A204" t="b">
        <f t="shared" si="21"/>
        <v>0</v>
      </c>
      <c r="B204">
        <v>2006</v>
      </c>
      <c r="C204">
        <v>129</v>
      </c>
      <c r="D204">
        <v>0</v>
      </c>
      <c r="E204">
        <v>1900</v>
      </c>
      <c r="F204" s="7">
        <v>134.19999999999999</v>
      </c>
      <c r="G204" s="7">
        <v>17.420000000000002</v>
      </c>
      <c r="H204" s="7">
        <v>0</v>
      </c>
      <c r="I204" s="7" t="str">
        <f t="shared" si="17"/>
        <v/>
      </c>
      <c r="J204" s="7" t="str">
        <f t="shared" si="18"/>
        <v/>
      </c>
      <c r="K204" s="7">
        <v>0</v>
      </c>
      <c r="L204" s="7" t="str">
        <f t="shared" si="19"/>
        <v/>
      </c>
      <c r="M204" s="7" t="str">
        <f t="shared" si="20"/>
        <v/>
      </c>
      <c r="N204" s="7">
        <v>0</v>
      </c>
      <c r="O204" s="7"/>
      <c r="P204" s="7"/>
      <c r="Q204" s="7"/>
      <c r="AC204"/>
      <c r="AD204" s="14"/>
    </row>
    <row r="205" spans="1:30" x14ac:dyDescent="0.25">
      <c r="A205" t="b">
        <f t="shared" si="21"/>
        <v>0</v>
      </c>
      <c r="B205">
        <v>2006</v>
      </c>
      <c r="C205">
        <v>129</v>
      </c>
      <c r="D205">
        <v>0</v>
      </c>
      <c r="E205">
        <v>2000</v>
      </c>
      <c r="F205" s="7">
        <v>32.75</v>
      </c>
      <c r="G205" s="7">
        <v>14.32</v>
      </c>
      <c r="H205" s="7">
        <v>0</v>
      </c>
      <c r="I205" s="7" t="str">
        <f t="shared" si="17"/>
        <v/>
      </c>
      <c r="J205" s="7" t="str">
        <f t="shared" si="18"/>
        <v/>
      </c>
      <c r="K205" s="7">
        <v>0</v>
      </c>
      <c r="L205" s="7" t="str">
        <f t="shared" si="19"/>
        <v/>
      </c>
      <c r="M205" s="7" t="str">
        <f t="shared" si="20"/>
        <v/>
      </c>
      <c r="N205" s="7">
        <v>0</v>
      </c>
      <c r="O205" s="7"/>
      <c r="P205" s="7"/>
      <c r="Q205" s="7"/>
      <c r="AC205"/>
      <c r="AD205" s="14"/>
    </row>
    <row r="206" spans="1:30" x14ac:dyDescent="0.25">
      <c r="A206" t="b">
        <f t="shared" si="21"/>
        <v>0</v>
      </c>
      <c r="B206">
        <v>2006</v>
      </c>
      <c r="C206">
        <v>129</v>
      </c>
      <c r="D206">
        <v>0</v>
      </c>
      <c r="E206">
        <v>2100</v>
      </c>
      <c r="F206" s="7">
        <v>-2.335</v>
      </c>
      <c r="G206" s="7">
        <v>10.4</v>
      </c>
      <c r="H206" s="7">
        <v>0</v>
      </c>
      <c r="I206" s="7" t="str">
        <f t="shared" si="17"/>
        <v/>
      </c>
      <c r="J206" s="7" t="str">
        <f t="shared" si="18"/>
        <v/>
      </c>
      <c r="K206" s="7">
        <v>0</v>
      </c>
      <c r="L206" s="7" t="str">
        <f t="shared" si="19"/>
        <v/>
      </c>
      <c r="M206" s="7" t="str">
        <f t="shared" si="20"/>
        <v/>
      </c>
      <c r="N206" s="7">
        <v>0</v>
      </c>
      <c r="O206" s="7"/>
      <c r="P206" s="7"/>
      <c r="Q206" s="7"/>
      <c r="AC206"/>
      <c r="AD206" s="14"/>
    </row>
    <row r="207" spans="1:30" x14ac:dyDescent="0.25">
      <c r="A207" t="b">
        <f t="shared" si="21"/>
        <v>0</v>
      </c>
      <c r="B207">
        <v>2006</v>
      </c>
      <c r="C207">
        <v>129</v>
      </c>
      <c r="D207">
        <v>0</v>
      </c>
      <c r="E207">
        <v>2200</v>
      </c>
      <c r="F207" s="7">
        <v>-3.03</v>
      </c>
      <c r="G207" s="7">
        <v>9.19</v>
      </c>
      <c r="H207" s="7">
        <v>0</v>
      </c>
      <c r="I207" s="7" t="str">
        <f t="shared" si="17"/>
        <v/>
      </c>
      <c r="J207" s="7" t="str">
        <f t="shared" si="18"/>
        <v/>
      </c>
      <c r="K207" s="7">
        <v>0</v>
      </c>
      <c r="L207" s="7" t="str">
        <f t="shared" si="19"/>
        <v/>
      </c>
      <c r="M207" s="7" t="str">
        <f t="shared" si="20"/>
        <v/>
      </c>
      <c r="N207" s="7">
        <v>0</v>
      </c>
      <c r="O207" s="7"/>
      <c r="P207" s="7"/>
      <c r="Q207" s="7"/>
      <c r="AC207"/>
      <c r="AD207" s="14"/>
    </row>
    <row r="208" spans="1:30" x14ac:dyDescent="0.25">
      <c r="A208" t="b">
        <f t="shared" si="21"/>
        <v>0</v>
      </c>
      <c r="B208">
        <v>2006</v>
      </c>
      <c r="C208">
        <v>129</v>
      </c>
      <c r="D208">
        <v>0</v>
      </c>
      <c r="E208">
        <v>2300</v>
      </c>
      <c r="F208" s="7">
        <v>-2.573</v>
      </c>
      <c r="G208" s="7">
        <v>8.56</v>
      </c>
      <c r="H208" s="7">
        <v>0</v>
      </c>
      <c r="I208" s="7" t="str">
        <f t="shared" si="17"/>
        <v/>
      </c>
      <c r="J208" s="7" t="str">
        <f t="shared" si="18"/>
        <v/>
      </c>
      <c r="K208" s="7">
        <v>0</v>
      </c>
      <c r="L208" s="7" t="str">
        <f t="shared" si="19"/>
        <v/>
      </c>
      <c r="M208" s="7" t="str">
        <f t="shared" si="20"/>
        <v/>
      </c>
      <c r="N208" s="7">
        <v>0</v>
      </c>
      <c r="O208" s="7"/>
      <c r="P208" s="7"/>
      <c r="Q208" s="7"/>
      <c r="AC208"/>
      <c r="AD208" s="14"/>
    </row>
    <row r="209" spans="1:30" x14ac:dyDescent="0.25">
      <c r="A209" t="b">
        <f t="shared" si="21"/>
        <v>0</v>
      </c>
      <c r="B209">
        <v>2006</v>
      </c>
      <c r="C209">
        <v>129</v>
      </c>
      <c r="D209">
        <v>0</v>
      </c>
      <c r="E209">
        <v>2400</v>
      </c>
      <c r="F209" s="7">
        <v>-3.4390000000000001</v>
      </c>
      <c r="G209" s="7">
        <v>10.5</v>
      </c>
      <c r="H209" s="7">
        <v>0</v>
      </c>
      <c r="I209" s="7" t="str">
        <f t="shared" si="17"/>
        <v/>
      </c>
      <c r="J209" s="7" t="str">
        <f t="shared" si="18"/>
        <v/>
      </c>
      <c r="K209" s="7">
        <v>0</v>
      </c>
      <c r="L209" s="7" t="str">
        <f t="shared" si="19"/>
        <v/>
      </c>
      <c r="M209" s="7" t="str">
        <f t="shared" si="20"/>
        <v/>
      </c>
      <c r="N209" s="7">
        <v>0</v>
      </c>
      <c r="O209" s="7"/>
      <c r="P209" s="7"/>
      <c r="Q209" s="7"/>
      <c r="AC209"/>
      <c r="AD209" s="14"/>
    </row>
    <row r="210" spans="1:30" x14ac:dyDescent="0.25">
      <c r="A210" t="b">
        <f t="shared" si="21"/>
        <v>1</v>
      </c>
      <c r="B210">
        <v>2006</v>
      </c>
      <c r="C210">
        <v>130</v>
      </c>
      <c r="D210">
        <v>0</v>
      </c>
      <c r="E210">
        <v>100</v>
      </c>
      <c r="F210" s="7">
        <v>-3.532</v>
      </c>
      <c r="G210" s="7">
        <v>11.59</v>
      </c>
      <c r="H210" s="7">
        <v>0</v>
      </c>
      <c r="I210" s="7">
        <f t="shared" si="17"/>
        <v>0</v>
      </c>
      <c r="J210" s="7">
        <f t="shared" si="18"/>
        <v>278.28179166666672</v>
      </c>
      <c r="K210" s="7">
        <v>0</v>
      </c>
      <c r="L210" s="7">
        <f t="shared" si="19"/>
        <v>19.670000000000002</v>
      </c>
      <c r="M210" s="7">
        <f t="shared" si="20"/>
        <v>6.0620000000000003</v>
      </c>
      <c r="N210" s="7">
        <v>0</v>
      </c>
      <c r="O210" s="7"/>
      <c r="P210" s="7"/>
      <c r="Q210" s="7"/>
      <c r="AC210"/>
      <c r="AD210" s="14"/>
    </row>
    <row r="211" spans="1:30" x14ac:dyDescent="0.25">
      <c r="A211" t="b">
        <f t="shared" si="21"/>
        <v>0</v>
      </c>
      <c r="B211">
        <v>2006</v>
      </c>
      <c r="C211">
        <v>130</v>
      </c>
      <c r="D211">
        <v>0</v>
      </c>
      <c r="E211">
        <v>200</v>
      </c>
      <c r="F211" s="7">
        <v>-2.891</v>
      </c>
      <c r="G211" s="7">
        <v>10.73</v>
      </c>
      <c r="H211" s="7">
        <v>0</v>
      </c>
      <c r="I211" s="7" t="str">
        <f t="shared" si="17"/>
        <v/>
      </c>
      <c r="J211" s="7" t="str">
        <f t="shared" si="18"/>
        <v/>
      </c>
      <c r="K211" s="7">
        <v>0</v>
      </c>
      <c r="L211" s="7" t="str">
        <f t="shared" si="19"/>
        <v/>
      </c>
      <c r="M211" s="7" t="str">
        <f t="shared" si="20"/>
        <v/>
      </c>
      <c r="N211" s="7">
        <v>0</v>
      </c>
      <c r="O211" s="7"/>
      <c r="P211" s="7"/>
      <c r="Q211" s="7"/>
      <c r="AC211"/>
      <c r="AD211" s="14"/>
    </row>
    <row r="212" spans="1:30" x14ac:dyDescent="0.25">
      <c r="A212" t="b">
        <f t="shared" si="21"/>
        <v>0</v>
      </c>
      <c r="B212">
        <v>2006</v>
      </c>
      <c r="C212">
        <v>130</v>
      </c>
      <c r="D212">
        <v>0</v>
      </c>
      <c r="E212">
        <v>300</v>
      </c>
      <c r="F212" s="7">
        <v>-2.9910000000000001</v>
      </c>
      <c r="G212" s="7">
        <v>9.52</v>
      </c>
      <c r="H212" s="7">
        <v>0</v>
      </c>
      <c r="I212" s="7" t="str">
        <f t="shared" si="17"/>
        <v/>
      </c>
      <c r="J212" s="7" t="str">
        <f t="shared" si="18"/>
        <v/>
      </c>
      <c r="K212" s="7">
        <v>0</v>
      </c>
      <c r="L212" s="7" t="str">
        <f t="shared" si="19"/>
        <v/>
      </c>
      <c r="M212" s="7" t="str">
        <f t="shared" si="20"/>
        <v/>
      </c>
      <c r="N212" s="7">
        <v>0</v>
      </c>
      <c r="O212" s="7"/>
      <c r="P212" s="7"/>
      <c r="Q212" s="7"/>
      <c r="AC212"/>
      <c r="AD212" s="14"/>
    </row>
    <row r="213" spans="1:30" x14ac:dyDescent="0.25">
      <c r="A213" t="b">
        <f t="shared" si="21"/>
        <v>0</v>
      </c>
      <c r="B213">
        <v>2006</v>
      </c>
      <c r="C213">
        <v>130</v>
      </c>
      <c r="D213">
        <v>0</v>
      </c>
      <c r="E213">
        <v>400</v>
      </c>
      <c r="F213" s="7">
        <v>-2.8889999999999998</v>
      </c>
      <c r="G213" s="7">
        <v>9.15</v>
      </c>
      <c r="H213" s="7">
        <v>0</v>
      </c>
      <c r="I213" s="7" t="str">
        <f t="shared" si="17"/>
        <v/>
      </c>
      <c r="J213" s="7" t="str">
        <f t="shared" si="18"/>
        <v/>
      </c>
      <c r="K213" s="7">
        <v>0</v>
      </c>
      <c r="L213" s="7" t="str">
        <f t="shared" si="19"/>
        <v/>
      </c>
      <c r="M213" s="7" t="str">
        <f t="shared" si="20"/>
        <v/>
      </c>
      <c r="N213" s="7">
        <v>0</v>
      </c>
      <c r="O213" s="7"/>
      <c r="P213" s="7"/>
      <c r="Q213" s="7"/>
      <c r="AC213"/>
      <c r="AD213" s="14"/>
    </row>
    <row r="214" spans="1:30" x14ac:dyDescent="0.25">
      <c r="A214" t="b">
        <f t="shared" si="21"/>
        <v>0</v>
      </c>
      <c r="B214">
        <v>2006</v>
      </c>
      <c r="C214">
        <v>130</v>
      </c>
      <c r="D214">
        <v>0</v>
      </c>
      <c r="E214">
        <v>500</v>
      </c>
      <c r="F214" s="7">
        <v>2.9649999999999999</v>
      </c>
      <c r="G214" s="7">
        <v>8.64</v>
      </c>
      <c r="H214" s="7">
        <v>0</v>
      </c>
      <c r="I214" s="7" t="str">
        <f t="shared" si="17"/>
        <v/>
      </c>
      <c r="J214" s="7" t="str">
        <f t="shared" si="18"/>
        <v/>
      </c>
      <c r="K214" s="7">
        <v>0</v>
      </c>
      <c r="L214" s="7" t="str">
        <f t="shared" si="19"/>
        <v/>
      </c>
      <c r="M214" s="7" t="str">
        <f t="shared" si="20"/>
        <v/>
      </c>
      <c r="N214" s="7">
        <v>0</v>
      </c>
      <c r="O214" s="7"/>
      <c r="P214" s="7"/>
      <c r="Q214" s="7"/>
      <c r="AC214"/>
      <c r="AD214" s="14"/>
    </row>
    <row r="215" spans="1:30" x14ac:dyDescent="0.25">
      <c r="A215" t="b">
        <f t="shared" si="21"/>
        <v>0</v>
      </c>
      <c r="B215">
        <v>2006</v>
      </c>
      <c r="C215">
        <v>130</v>
      </c>
      <c r="D215">
        <v>0</v>
      </c>
      <c r="E215">
        <v>600</v>
      </c>
      <c r="F215" s="7">
        <v>55.61</v>
      </c>
      <c r="G215" s="7">
        <v>9.3800000000000008</v>
      </c>
      <c r="H215" s="7">
        <v>0</v>
      </c>
      <c r="I215" s="7" t="str">
        <f t="shared" si="17"/>
        <v/>
      </c>
      <c r="J215" s="7" t="str">
        <f t="shared" si="18"/>
        <v/>
      </c>
      <c r="K215" s="7">
        <v>0</v>
      </c>
      <c r="L215" s="7" t="str">
        <f t="shared" si="19"/>
        <v/>
      </c>
      <c r="M215" s="7" t="str">
        <f t="shared" si="20"/>
        <v/>
      </c>
      <c r="N215" s="7">
        <v>0</v>
      </c>
      <c r="O215" s="7"/>
      <c r="P215" s="7"/>
      <c r="Q215" s="7"/>
      <c r="AC215"/>
      <c r="AD215" s="14"/>
    </row>
    <row r="216" spans="1:30" x14ac:dyDescent="0.25">
      <c r="A216" t="b">
        <f t="shared" si="21"/>
        <v>0</v>
      </c>
      <c r="B216">
        <v>2006</v>
      </c>
      <c r="C216">
        <v>130</v>
      </c>
      <c r="D216">
        <v>0</v>
      </c>
      <c r="E216">
        <v>700</v>
      </c>
      <c r="F216" s="7">
        <v>169.2</v>
      </c>
      <c r="G216" s="7">
        <v>10.44</v>
      </c>
      <c r="H216" s="7">
        <v>0</v>
      </c>
      <c r="I216" s="7" t="str">
        <f t="shared" si="17"/>
        <v/>
      </c>
      <c r="J216" s="7" t="str">
        <f t="shared" si="18"/>
        <v/>
      </c>
      <c r="K216" s="7">
        <v>0</v>
      </c>
      <c r="L216" s="7" t="str">
        <f t="shared" si="19"/>
        <v/>
      </c>
      <c r="M216" s="7" t="str">
        <f t="shared" si="20"/>
        <v/>
      </c>
      <c r="N216" s="7">
        <v>0</v>
      </c>
      <c r="O216" s="7"/>
      <c r="P216" s="7"/>
      <c r="Q216" s="7"/>
      <c r="AC216"/>
      <c r="AD216" s="14"/>
    </row>
    <row r="217" spans="1:30" x14ac:dyDescent="0.25">
      <c r="A217" t="b">
        <f t="shared" si="21"/>
        <v>0</v>
      </c>
      <c r="B217">
        <v>2006</v>
      </c>
      <c r="C217">
        <v>130</v>
      </c>
      <c r="D217">
        <v>0</v>
      </c>
      <c r="E217">
        <v>800</v>
      </c>
      <c r="F217" s="7">
        <v>308.60000000000002</v>
      </c>
      <c r="G217" s="7">
        <v>12.17</v>
      </c>
      <c r="H217" s="7">
        <v>0</v>
      </c>
      <c r="I217" s="7" t="str">
        <f t="shared" si="17"/>
        <v/>
      </c>
      <c r="J217" s="7" t="str">
        <f t="shared" si="18"/>
        <v/>
      </c>
      <c r="K217" s="7">
        <v>0</v>
      </c>
      <c r="L217" s="7" t="str">
        <f t="shared" si="19"/>
        <v/>
      </c>
      <c r="M217" s="7" t="str">
        <f t="shared" si="20"/>
        <v/>
      </c>
      <c r="N217" s="7">
        <v>0</v>
      </c>
      <c r="O217" s="7"/>
      <c r="P217" s="7"/>
      <c r="Q217" s="7"/>
      <c r="AC217"/>
      <c r="AD217" s="14"/>
    </row>
    <row r="218" spans="1:30" x14ac:dyDescent="0.25">
      <c r="A218" t="b">
        <f t="shared" si="21"/>
        <v>0</v>
      </c>
      <c r="B218">
        <v>2006</v>
      </c>
      <c r="C218">
        <v>130</v>
      </c>
      <c r="D218">
        <v>0</v>
      </c>
      <c r="E218">
        <v>900</v>
      </c>
      <c r="F218" s="7">
        <v>454.2</v>
      </c>
      <c r="G218" s="7">
        <v>13.72</v>
      </c>
      <c r="H218" s="7">
        <v>0</v>
      </c>
      <c r="I218" s="7" t="str">
        <f t="shared" si="17"/>
        <v/>
      </c>
      <c r="J218" s="7" t="str">
        <f t="shared" si="18"/>
        <v/>
      </c>
      <c r="K218" s="7">
        <v>0</v>
      </c>
      <c r="L218" s="7" t="str">
        <f t="shared" si="19"/>
        <v/>
      </c>
      <c r="M218" s="7" t="str">
        <f t="shared" si="20"/>
        <v/>
      </c>
      <c r="N218" s="7">
        <v>0</v>
      </c>
      <c r="O218" s="7"/>
      <c r="P218" s="7"/>
      <c r="Q218" s="7"/>
      <c r="AC218"/>
      <c r="AD218" s="14"/>
    </row>
    <row r="219" spans="1:30" x14ac:dyDescent="0.25">
      <c r="A219" t="b">
        <f t="shared" si="21"/>
        <v>0</v>
      </c>
      <c r="B219">
        <v>2006</v>
      </c>
      <c r="C219">
        <v>130</v>
      </c>
      <c r="D219">
        <v>0</v>
      </c>
      <c r="E219">
        <v>1000</v>
      </c>
      <c r="F219" s="7">
        <v>583.29999999999995</v>
      </c>
      <c r="G219" s="7">
        <v>15.73</v>
      </c>
      <c r="H219" s="7">
        <v>0</v>
      </c>
      <c r="I219" s="7" t="str">
        <f t="shared" si="17"/>
        <v/>
      </c>
      <c r="J219" s="7" t="str">
        <f t="shared" si="18"/>
        <v/>
      </c>
      <c r="K219" s="7">
        <v>0</v>
      </c>
      <c r="L219" s="7" t="str">
        <f t="shared" si="19"/>
        <v/>
      </c>
      <c r="M219" s="7" t="str">
        <f t="shared" si="20"/>
        <v/>
      </c>
      <c r="N219" s="7">
        <v>0</v>
      </c>
      <c r="O219" s="7"/>
      <c r="P219" s="7"/>
      <c r="Q219" s="7"/>
      <c r="AC219"/>
      <c r="AD219" s="14"/>
    </row>
    <row r="220" spans="1:30" x14ac:dyDescent="0.25">
      <c r="A220" t="b">
        <f t="shared" si="21"/>
        <v>0</v>
      </c>
      <c r="B220">
        <v>2006</v>
      </c>
      <c r="C220">
        <v>130</v>
      </c>
      <c r="D220">
        <v>0</v>
      </c>
      <c r="E220">
        <v>1100</v>
      </c>
      <c r="F220" s="7">
        <v>687</v>
      </c>
      <c r="G220" s="7">
        <v>17.54</v>
      </c>
      <c r="H220" s="7">
        <v>0</v>
      </c>
      <c r="I220" s="7" t="str">
        <f t="shared" si="17"/>
        <v/>
      </c>
      <c r="J220" s="7" t="str">
        <f t="shared" si="18"/>
        <v/>
      </c>
      <c r="K220" s="7">
        <v>0</v>
      </c>
      <c r="L220" s="7" t="str">
        <f t="shared" si="19"/>
        <v/>
      </c>
      <c r="M220" s="7" t="str">
        <f t="shared" si="20"/>
        <v/>
      </c>
      <c r="N220" s="7">
        <v>0</v>
      </c>
      <c r="O220" s="7"/>
      <c r="P220" s="7"/>
      <c r="Q220" s="7"/>
      <c r="AC220"/>
      <c r="AD220" s="14"/>
    </row>
    <row r="221" spans="1:30" x14ac:dyDescent="0.25">
      <c r="A221" t="b">
        <f t="shared" si="21"/>
        <v>0</v>
      </c>
      <c r="B221">
        <v>2006</v>
      </c>
      <c r="C221">
        <v>130</v>
      </c>
      <c r="D221">
        <v>0</v>
      </c>
      <c r="E221">
        <v>1200</v>
      </c>
      <c r="F221" s="7">
        <v>747</v>
      </c>
      <c r="G221" s="7">
        <v>18.059999999999999</v>
      </c>
      <c r="H221" s="7">
        <v>0</v>
      </c>
      <c r="I221" s="7" t="str">
        <f t="shared" si="17"/>
        <v/>
      </c>
      <c r="J221" s="7" t="str">
        <f t="shared" si="18"/>
        <v/>
      </c>
      <c r="K221" s="7">
        <v>0</v>
      </c>
      <c r="L221" s="7" t="str">
        <f t="shared" si="19"/>
        <v/>
      </c>
      <c r="M221" s="7" t="str">
        <f t="shared" si="20"/>
        <v/>
      </c>
      <c r="N221" s="7">
        <v>0</v>
      </c>
      <c r="O221" s="7"/>
      <c r="P221" s="7"/>
      <c r="Q221" s="7"/>
      <c r="AC221"/>
      <c r="AD221" s="14"/>
    </row>
    <row r="222" spans="1:30" x14ac:dyDescent="0.25">
      <c r="A222" t="b">
        <f t="shared" si="21"/>
        <v>0</v>
      </c>
      <c r="B222">
        <v>2006</v>
      </c>
      <c r="C222">
        <v>130</v>
      </c>
      <c r="D222">
        <v>0</v>
      </c>
      <c r="E222">
        <v>1300</v>
      </c>
      <c r="F222" s="7">
        <v>768</v>
      </c>
      <c r="G222" s="7">
        <v>18.7</v>
      </c>
      <c r="H222" s="7">
        <v>0</v>
      </c>
      <c r="I222" s="7" t="str">
        <f t="shared" si="17"/>
        <v/>
      </c>
      <c r="J222" s="7" t="str">
        <f t="shared" si="18"/>
        <v/>
      </c>
      <c r="K222" s="7">
        <v>0</v>
      </c>
      <c r="L222" s="7" t="str">
        <f t="shared" si="19"/>
        <v/>
      </c>
      <c r="M222" s="7" t="str">
        <f t="shared" si="20"/>
        <v/>
      </c>
      <c r="N222" s="7">
        <v>0</v>
      </c>
      <c r="O222" s="7"/>
      <c r="P222" s="7"/>
      <c r="Q222" s="7"/>
      <c r="AC222"/>
      <c r="AD222" s="14"/>
    </row>
    <row r="223" spans="1:30" x14ac:dyDescent="0.25">
      <c r="A223" t="b">
        <f t="shared" si="21"/>
        <v>0</v>
      </c>
      <c r="B223">
        <v>2006</v>
      </c>
      <c r="C223">
        <v>130</v>
      </c>
      <c r="D223">
        <v>0</v>
      </c>
      <c r="E223">
        <v>1400</v>
      </c>
      <c r="F223" s="7">
        <v>746</v>
      </c>
      <c r="G223" s="7">
        <v>19.18</v>
      </c>
      <c r="H223" s="7">
        <v>0</v>
      </c>
      <c r="I223" s="7" t="str">
        <f t="shared" si="17"/>
        <v/>
      </c>
      <c r="J223" s="7" t="str">
        <f t="shared" si="18"/>
        <v/>
      </c>
      <c r="K223" s="7">
        <v>0</v>
      </c>
      <c r="L223" s="7" t="str">
        <f t="shared" si="19"/>
        <v/>
      </c>
      <c r="M223" s="7" t="str">
        <f t="shared" si="20"/>
        <v/>
      </c>
      <c r="N223" s="7">
        <v>0</v>
      </c>
      <c r="O223" s="7"/>
      <c r="P223" s="7"/>
      <c r="Q223" s="7"/>
      <c r="AC223"/>
      <c r="AD223" s="14"/>
    </row>
    <row r="224" spans="1:30" x14ac:dyDescent="0.25">
      <c r="A224" t="b">
        <f t="shared" si="21"/>
        <v>0</v>
      </c>
      <c r="B224">
        <v>2006</v>
      </c>
      <c r="C224">
        <v>130</v>
      </c>
      <c r="D224">
        <v>0</v>
      </c>
      <c r="E224">
        <v>1500</v>
      </c>
      <c r="F224" s="7">
        <v>678.3</v>
      </c>
      <c r="G224" s="7">
        <v>19.59</v>
      </c>
      <c r="H224" s="7">
        <v>0</v>
      </c>
      <c r="I224" s="7" t="str">
        <f t="shared" si="17"/>
        <v/>
      </c>
      <c r="J224" s="7" t="str">
        <f t="shared" si="18"/>
        <v/>
      </c>
      <c r="K224" s="7">
        <v>0</v>
      </c>
      <c r="L224" s="7" t="str">
        <f t="shared" si="19"/>
        <v/>
      </c>
      <c r="M224" s="7" t="str">
        <f t="shared" si="20"/>
        <v/>
      </c>
      <c r="N224" s="7">
        <v>0</v>
      </c>
      <c r="O224" s="7"/>
      <c r="P224" s="7"/>
      <c r="Q224" s="7"/>
      <c r="AC224"/>
      <c r="AD224" s="14"/>
    </row>
    <row r="225" spans="1:30" x14ac:dyDescent="0.25">
      <c r="A225" t="b">
        <f t="shared" si="21"/>
        <v>0</v>
      </c>
      <c r="B225">
        <v>2006</v>
      </c>
      <c r="C225">
        <v>130</v>
      </c>
      <c r="D225">
        <v>0</v>
      </c>
      <c r="E225">
        <v>1600</v>
      </c>
      <c r="F225" s="7">
        <v>576.20000000000005</v>
      </c>
      <c r="G225" s="7">
        <v>19.670000000000002</v>
      </c>
      <c r="H225" s="7">
        <v>0</v>
      </c>
      <c r="I225" s="7" t="str">
        <f t="shared" si="17"/>
        <v/>
      </c>
      <c r="J225" s="7" t="str">
        <f t="shared" si="18"/>
        <v/>
      </c>
      <c r="K225" s="7">
        <v>0</v>
      </c>
      <c r="L225" s="7" t="str">
        <f t="shared" si="19"/>
        <v/>
      </c>
      <c r="M225" s="7" t="str">
        <f t="shared" si="20"/>
        <v/>
      </c>
      <c r="N225" s="7">
        <v>0</v>
      </c>
      <c r="O225" s="7"/>
      <c r="P225" s="7"/>
      <c r="Q225" s="7"/>
      <c r="AC225"/>
      <c r="AD225" s="14"/>
    </row>
    <row r="226" spans="1:30" x14ac:dyDescent="0.25">
      <c r="A226" t="b">
        <f t="shared" si="21"/>
        <v>0</v>
      </c>
      <c r="B226">
        <v>2006</v>
      </c>
      <c r="C226">
        <v>130</v>
      </c>
      <c r="D226">
        <v>0</v>
      </c>
      <c r="E226">
        <v>1700</v>
      </c>
      <c r="F226" s="7">
        <v>445.7</v>
      </c>
      <c r="G226" s="7">
        <v>19.43</v>
      </c>
      <c r="H226" s="7">
        <v>0</v>
      </c>
      <c r="I226" s="7" t="str">
        <f t="shared" si="17"/>
        <v/>
      </c>
      <c r="J226" s="7" t="str">
        <f t="shared" si="18"/>
        <v/>
      </c>
      <c r="K226" s="7">
        <v>0</v>
      </c>
      <c r="L226" s="7" t="str">
        <f t="shared" si="19"/>
        <v/>
      </c>
      <c r="M226" s="7" t="str">
        <f t="shared" si="20"/>
        <v/>
      </c>
      <c r="N226" s="7">
        <v>0</v>
      </c>
      <c r="O226" s="7"/>
      <c r="P226" s="7"/>
      <c r="Q226" s="7"/>
      <c r="AC226"/>
      <c r="AD226" s="14"/>
    </row>
    <row r="227" spans="1:30" x14ac:dyDescent="0.25">
      <c r="A227" t="b">
        <f t="shared" si="21"/>
        <v>0</v>
      </c>
      <c r="B227">
        <v>2006</v>
      </c>
      <c r="C227">
        <v>130</v>
      </c>
      <c r="D227">
        <v>0</v>
      </c>
      <c r="E227">
        <v>1800</v>
      </c>
      <c r="F227" s="7">
        <v>293.60000000000002</v>
      </c>
      <c r="G227" s="7">
        <v>18.68</v>
      </c>
      <c r="H227" s="7">
        <v>0</v>
      </c>
      <c r="I227" s="7" t="str">
        <f t="shared" si="17"/>
        <v/>
      </c>
      <c r="J227" s="7" t="str">
        <f t="shared" si="18"/>
        <v/>
      </c>
      <c r="K227" s="7">
        <v>0</v>
      </c>
      <c r="L227" s="7" t="str">
        <f t="shared" si="19"/>
        <v/>
      </c>
      <c r="M227" s="7" t="str">
        <f t="shared" si="20"/>
        <v/>
      </c>
      <c r="N227" s="7">
        <v>0</v>
      </c>
      <c r="O227" s="7"/>
      <c r="P227" s="7"/>
      <c r="Q227" s="7"/>
      <c r="AC227"/>
      <c r="AD227" s="14"/>
    </row>
    <row r="228" spans="1:30" x14ac:dyDescent="0.25">
      <c r="A228" t="b">
        <f t="shared" si="21"/>
        <v>0</v>
      </c>
      <c r="B228">
        <v>2006</v>
      </c>
      <c r="C228">
        <v>130</v>
      </c>
      <c r="D228">
        <v>0</v>
      </c>
      <c r="E228">
        <v>1900</v>
      </c>
      <c r="F228" s="7">
        <v>149.5</v>
      </c>
      <c r="G228" s="7">
        <v>17.350000000000001</v>
      </c>
      <c r="H228" s="7">
        <v>0</v>
      </c>
      <c r="I228" s="7" t="str">
        <f t="shared" si="17"/>
        <v/>
      </c>
      <c r="J228" s="7" t="str">
        <f t="shared" si="18"/>
        <v/>
      </c>
      <c r="K228" s="7">
        <v>0</v>
      </c>
      <c r="L228" s="7" t="str">
        <f t="shared" si="19"/>
        <v/>
      </c>
      <c r="M228" s="7" t="str">
        <f t="shared" si="20"/>
        <v/>
      </c>
      <c r="N228" s="7">
        <v>0</v>
      </c>
      <c r="O228" s="7"/>
      <c r="P228" s="7"/>
      <c r="Q228" s="7"/>
      <c r="AC228"/>
      <c r="AD228" s="14"/>
    </row>
    <row r="229" spans="1:30" x14ac:dyDescent="0.25">
      <c r="A229" t="b">
        <f t="shared" si="21"/>
        <v>0</v>
      </c>
      <c r="B229">
        <v>2006</v>
      </c>
      <c r="C229">
        <v>130</v>
      </c>
      <c r="D229">
        <v>0</v>
      </c>
      <c r="E229">
        <v>2000</v>
      </c>
      <c r="F229" s="7">
        <v>37.880000000000003</v>
      </c>
      <c r="G229" s="7">
        <v>14</v>
      </c>
      <c r="H229" s="7">
        <v>0</v>
      </c>
      <c r="I229" s="7" t="str">
        <f t="shared" si="17"/>
        <v/>
      </c>
      <c r="J229" s="7" t="str">
        <f t="shared" si="18"/>
        <v/>
      </c>
      <c r="K229" s="7">
        <v>0</v>
      </c>
      <c r="L229" s="7" t="str">
        <f t="shared" si="19"/>
        <v/>
      </c>
      <c r="M229" s="7" t="str">
        <f t="shared" si="20"/>
        <v/>
      </c>
      <c r="N229" s="7">
        <v>0</v>
      </c>
      <c r="O229" s="7"/>
      <c r="P229" s="7"/>
      <c r="Q229" s="7"/>
      <c r="AC229"/>
      <c r="AD229" s="14"/>
    </row>
    <row r="230" spans="1:30" x14ac:dyDescent="0.25">
      <c r="A230" t="b">
        <f t="shared" si="21"/>
        <v>0</v>
      </c>
      <c r="B230">
        <v>2006</v>
      </c>
      <c r="C230">
        <v>130</v>
      </c>
      <c r="D230">
        <v>0</v>
      </c>
      <c r="E230">
        <v>2100</v>
      </c>
      <c r="F230" s="7">
        <v>-2.6829999999999998</v>
      </c>
      <c r="G230" s="7">
        <v>10.08</v>
      </c>
      <c r="H230" s="7">
        <v>0</v>
      </c>
      <c r="I230" s="7" t="str">
        <f t="shared" si="17"/>
        <v/>
      </c>
      <c r="J230" s="7" t="str">
        <f t="shared" si="18"/>
        <v/>
      </c>
      <c r="K230" s="7">
        <v>0</v>
      </c>
      <c r="L230" s="7" t="str">
        <f t="shared" si="19"/>
        <v/>
      </c>
      <c r="M230" s="7" t="str">
        <f t="shared" si="20"/>
        <v/>
      </c>
      <c r="N230" s="7">
        <v>0</v>
      </c>
      <c r="O230" s="7"/>
      <c r="P230" s="7"/>
      <c r="Q230" s="7"/>
      <c r="AC230"/>
      <c r="AD230" s="14"/>
    </row>
    <row r="231" spans="1:30" x14ac:dyDescent="0.25">
      <c r="A231" t="b">
        <f t="shared" si="21"/>
        <v>0</v>
      </c>
      <c r="B231">
        <v>2006</v>
      </c>
      <c r="C231">
        <v>130</v>
      </c>
      <c r="D231">
        <v>0</v>
      </c>
      <c r="E231">
        <v>2200</v>
      </c>
      <c r="F231" s="7">
        <v>-3.5179999999999998</v>
      </c>
      <c r="G231" s="7">
        <v>8.16</v>
      </c>
      <c r="H231" s="7">
        <v>0</v>
      </c>
      <c r="I231" s="7" t="str">
        <f t="shared" si="17"/>
        <v/>
      </c>
      <c r="J231" s="7" t="str">
        <f t="shared" si="18"/>
        <v/>
      </c>
      <c r="K231" s="7">
        <v>0</v>
      </c>
      <c r="L231" s="7" t="str">
        <f t="shared" si="19"/>
        <v/>
      </c>
      <c r="M231" s="7" t="str">
        <f t="shared" si="20"/>
        <v/>
      </c>
      <c r="N231" s="7">
        <v>0</v>
      </c>
      <c r="O231" s="7"/>
      <c r="P231" s="7"/>
      <c r="Q231" s="7"/>
      <c r="AC231"/>
      <c r="AD231" s="14"/>
    </row>
    <row r="232" spans="1:30" x14ac:dyDescent="0.25">
      <c r="A232" t="b">
        <f t="shared" si="21"/>
        <v>0</v>
      </c>
      <c r="B232">
        <v>2006</v>
      </c>
      <c r="C232">
        <v>130</v>
      </c>
      <c r="D232">
        <v>0</v>
      </c>
      <c r="E232">
        <v>2300</v>
      </c>
      <c r="F232" s="7">
        <v>-2.99</v>
      </c>
      <c r="G232" s="7">
        <v>6.7220000000000004</v>
      </c>
      <c r="H232" s="7">
        <v>0</v>
      </c>
      <c r="I232" s="7" t="str">
        <f t="shared" si="17"/>
        <v/>
      </c>
      <c r="J232" s="7" t="str">
        <f t="shared" si="18"/>
        <v/>
      </c>
      <c r="K232" s="7">
        <v>0</v>
      </c>
      <c r="L232" s="7" t="str">
        <f t="shared" si="19"/>
        <v/>
      </c>
      <c r="M232" s="7" t="str">
        <f t="shared" si="20"/>
        <v/>
      </c>
      <c r="N232" s="7">
        <v>0</v>
      </c>
      <c r="O232" s="7"/>
      <c r="P232" s="7"/>
      <c r="Q232" s="7"/>
      <c r="AC232"/>
      <c r="AD232" s="14"/>
    </row>
    <row r="233" spans="1:30" x14ac:dyDescent="0.25">
      <c r="A233" t="b">
        <f t="shared" si="21"/>
        <v>0</v>
      </c>
      <c r="B233">
        <v>2006</v>
      </c>
      <c r="C233">
        <v>130</v>
      </c>
      <c r="D233">
        <v>0</v>
      </c>
      <c r="E233">
        <v>2400</v>
      </c>
      <c r="F233" s="7">
        <v>-2.798</v>
      </c>
      <c r="G233" s="7">
        <v>6.0620000000000003</v>
      </c>
      <c r="H233" s="7">
        <v>0</v>
      </c>
      <c r="I233" s="7" t="str">
        <f t="shared" si="17"/>
        <v/>
      </c>
      <c r="J233" s="7" t="str">
        <f t="shared" si="18"/>
        <v/>
      </c>
      <c r="K233" s="7">
        <v>0</v>
      </c>
      <c r="L233" s="7" t="str">
        <f t="shared" si="19"/>
        <v/>
      </c>
      <c r="M233" s="7" t="str">
        <f t="shared" si="20"/>
        <v/>
      </c>
      <c r="N233" s="7">
        <v>0</v>
      </c>
      <c r="O233" s="7"/>
      <c r="P233" s="7"/>
      <c r="Q233" s="7"/>
      <c r="AC233"/>
      <c r="AD233" s="14"/>
    </row>
    <row r="234" spans="1:30" x14ac:dyDescent="0.25">
      <c r="A234" t="b">
        <f t="shared" si="21"/>
        <v>1</v>
      </c>
      <c r="B234">
        <v>2006</v>
      </c>
      <c r="C234">
        <v>131</v>
      </c>
      <c r="D234">
        <v>0</v>
      </c>
      <c r="E234">
        <v>100</v>
      </c>
      <c r="F234" s="7">
        <v>-2.5449999999999999</v>
      </c>
      <c r="G234" s="7">
        <v>5.577</v>
      </c>
      <c r="H234" s="7">
        <v>0</v>
      </c>
      <c r="I234" s="7">
        <f t="shared" si="17"/>
        <v>0</v>
      </c>
      <c r="J234" s="7">
        <f t="shared" si="18"/>
        <v>250.22929166666674</v>
      </c>
      <c r="K234" s="7">
        <v>0</v>
      </c>
      <c r="L234" s="7">
        <f t="shared" si="19"/>
        <v>21.34</v>
      </c>
      <c r="M234" s="7">
        <f t="shared" si="20"/>
        <v>4.282</v>
      </c>
      <c r="N234" s="7">
        <v>0</v>
      </c>
      <c r="O234" s="7"/>
      <c r="P234" s="7"/>
      <c r="Q234" s="7"/>
      <c r="AC234"/>
      <c r="AD234" s="14"/>
    </row>
    <row r="235" spans="1:30" x14ac:dyDescent="0.25">
      <c r="A235" t="b">
        <f t="shared" si="21"/>
        <v>0</v>
      </c>
      <c r="B235">
        <v>2006</v>
      </c>
      <c r="C235">
        <v>131</v>
      </c>
      <c r="D235">
        <v>0</v>
      </c>
      <c r="E235">
        <v>200</v>
      </c>
      <c r="F235" s="7">
        <v>-2.4569999999999999</v>
      </c>
      <c r="G235" s="7">
        <v>5.0960000000000001</v>
      </c>
      <c r="H235" s="7">
        <v>0</v>
      </c>
      <c r="I235" s="7" t="str">
        <f t="shared" si="17"/>
        <v/>
      </c>
      <c r="J235" s="7" t="str">
        <f t="shared" si="18"/>
        <v/>
      </c>
      <c r="K235" s="7">
        <v>0</v>
      </c>
      <c r="L235" s="7" t="str">
        <f t="shared" si="19"/>
        <v/>
      </c>
      <c r="M235" s="7" t="str">
        <f t="shared" si="20"/>
        <v/>
      </c>
      <c r="N235" s="7">
        <v>0</v>
      </c>
      <c r="O235" s="7"/>
      <c r="P235" s="7"/>
      <c r="Q235" s="7"/>
      <c r="AC235"/>
      <c r="AD235" s="14"/>
    </row>
    <row r="236" spans="1:30" x14ac:dyDescent="0.25">
      <c r="A236" t="b">
        <f t="shared" si="21"/>
        <v>0</v>
      </c>
      <c r="B236">
        <v>2006</v>
      </c>
      <c r="C236">
        <v>131</v>
      </c>
      <c r="D236">
        <v>0</v>
      </c>
      <c r="E236">
        <v>300</v>
      </c>
      <c r="F236" s="7">
        <v>-2.4</v>
      </c>
      <c r="G236" s="7">
        <v>4.5839999999999996</v>
      </c>
      <c r="H236" s="7">
        <v>0</v>
      </c>
      <c r="I236" s="7" t="str">
        <f t="shared" si="17"/>
        <v/>
      </c>
      <c r="J236" s="7" t="str">
        <f t="shared" si="18"/>
        <v/>
      </c>
      <c r="K236" s="7">
        <v>0</v>
      </c>
      <c r="L236" s="7" t="str">
        <f t="shared" si="19"/>
        <v/>
      </c>
      <c r="M236" s="7" t="str">
        <f t="shared" si="20"/>
        <v/>
      </c>
      <c r="N236" s="7">
        <v>0</v>
      </c>
      <c r="O236" s="7"/>
      <c r="P236" s="7"/>
      <c r="Q236" s="7"/>
      <c r="AC236"/>
      <c r="AD236" s="14"/>
    </row>
    <row r="237" spans="1:30" x14ac:dyDescent="0.25">
      <c r="A237" t="b">
        <f t="shared" si="21"/>
        <v>0</v>
      </c>
      <c r="B237">
        <v>2006</v>
      </c>
      <c r="C237">
        <v>131</v>
      </c>
      <c r="D237">
        <v>0</v>
      </c>
      <c r="E237">
        <v>400</v>
      </c>
      <c r="F237" s="7">
        <v>-2.2949999999999999</v>
      </c>
      <c r="G237" s="7">
        <v>4.282</v>
      </c>
      <c r="H237" s="7">
        <v>0</v>
      </c>
      <c r="I237" s="7" t="str">
        <f t="shared" si="17"/>
        <v/>
      </c>
      <c r="J237" s="7" t="str">
        <f t="shared" si="18"/>
        <v/>
      </c>
      <c r="K237" s="7">
        <v>0</v>
      </c>
      <c r="L237" s="7" t="str">
        <f t="shared" si="19"/>
        <v/>
      </c>
      <c r="M237" s="7" t="str">
        <f t="shared" si="20"/>
        <v/>
      </c>
      <c r="N237" s="7">
        <v>0</v>
      </c>
      <c r="O237" s="7"/>
      <c r="P237" s="7"/>
      <c r="Q237" s="7"/>
      <c r="AC237"/>
      <c r="AD237" s="14"/>
    </row>
    <row r="238" spans="1:30" x14ac:dyDescent="0.25">
      <c r="A238" t="b">
        <f t="shared" si="21"/>
        <v>0</v>
      </c>
      <c r="B238">
        <v>2006</v>
      </c>
      <c r="C238">
        <v>131</v>
      </c>
      <c r="D238">
        <v>0</v>
      </c>
      <c r="E238">
        <v>500</v>
      </c>
      <c r="F238" s="7">
        <v>6.109</v>
      </c>
      <c r="G238" s="7">
        <v>4.4450000000000003</v>
      </c>
      <c r="H238" s="7">
        <v>0</v>
      </c>
      <c r="I238" s="7" t="str">
        <f t="shared" si="17"/>
        <v/>
      </c>
      <c r="J238" s="7" t="str">
        <f t="shared" si="18"/>
        <v/>
      </c>
      <c r="K238" s="7">
        <v>0</v>
      </c>
      <c r="L238" s="7" t="str">
        <f t="shared" si="19"/>
        <v/>
      </c>
      <c r="M238" s="7" t="str">
        <f t="shared" si="20"/>
        <v/>
      </c>
      <c r="N238" s="7">
        <v>0</v>
      </c>
      <c r="O238" s="7"/>
      <c r="P238" s="7"/>
      <c r="Q238" s="7"/>
      <c r="AC238"/>
      <c r="AD238" s="14"/>
    </row>
    <row r="239" spans="1:30" x14ac:dyDescent="0.25">
      <c r="A239" t="b">
        <f t="shared" si="21"/>
        <v>0</v>
      </c>
      <c r="B239">
        <v>2006</v>
      </c>
      <c r="C239">
        <v>131</v>
      </c>
      <c r="D239">
        <v>0</v>
      </c>
      <c r="E239">
        <v>600</v>
      </c>
      <c r="F239" s="7">
        <v>70.900000000000006</v>
      </c>
      <c r="G239" s="7">
        <v>6.0179999999999998</v>
      </c>
      <c r="H239" s="7">
        <v>0</v>
      </c>
      <c r="I239" s="7" t="str">
        <f t="shared" si="17"/>
        <v/>
      </c>
      <c r="J239" s="7" t="str">
        <f t="shared" si="18"/>
        <v/>
      </c>
      <c r="K239" s="7">
        <v>0</v>
      </c>
      <c r="L239" s="7" t="str">
        <f t="shared" si="19"/>
        <v/>
      </c>
      <c r="M239" s="7" t="str">
        <f t="shared" si="20"/>
        <v/>
      </c>
      <c r="N239" s="7">
        <v>0</v>
      </c>
      <c r="O239" s="7"/>
      <c r="P239" s="7"/>
      <c r="Q239" s="7"/>
      <c r="AC239"/>
      <c r="AD239" s="14"/>
    </row>
    <row r="240" spans="1:30" x14ac:dyDescent="0.25">
      <c r="A240" t="b">
        <f t="shared" si="21"/>
        <v>0</v>
      </c>
      <c r="B240">
        <v>2006</v>
      </c>
      <c r="C240">
        <v>131</v>
      </c>
      <c r="D240">
        <v>0</v>
      </c>
      <c r="E240">
        <v>700</v>
      </c>
      <c r="F240" s="7">
        <v>186.4</v>
      </c>
      <c r="G240" s="7">
        <v>11.48</v>
      </c>
      <c r="H240" s="7">
        <v>0</v>
      </c>
      <c r="I240" s="7" t="str">
        <f t="shared" si="17"/>
        <v/>
      </c>
      <c r="J240" s="7" t="str">
        <f t="shared" si="18"/>
        <v/>
      </c>
      <c r="K240" s="7">
        <v>0</v>
      </c>
      <c r="L240" s="7" t="str">
        <f t="shared" si="19"/>
        <v/>
      </c>
      <c r="M240" s="7" t="str">
        <f t="shared" si="20"/>
        <v/>
      </c>
      <c r="N240" s="7">
        <v>0</v>
      </c>
      <c r="O240" s="7"/>
      <c r="P240" s="7"/>
      <c r="Q240" s="7"/>
      <c r="AC240"/>
      <c r="AD240" s="14"/>
    </row>
    <row r="241" spans="1:30" x14ac:dyDescent="0.25">
      <c r="A241" t="b">
        <f t="shared" si="21"/>
        <v>0</v>
      </c>
      <c r="B241">
        <v>2006</v>
      </c>
      <c r="C241">
        <v>131</v>
      </c>
      <c r="D241">
        <v>0</v>
      </c>
      <c r="E241">
        <v>800</v>
      </c>
      <c r="F241" s="7">
        <v>307.8</v>
      </c>
      <c r="G241" s="7">
        <v>14.07</v>
      </c>
      <c r="H241" s="7">
        <v>0</v>
      </c>
      <c r="I241" s="7" t="str">
        <f t="shared" si="17"/>
        <v/>
      </c>
      <c r="J241" s="7" t="str">
        <f t="shared" si="18"/>
        <v/>
      </c>
      <c r="K241" s="7">
        <v>0</v>
      </c>
      <c r="L241" s="7" t="str">
        <f t="shared" si="19"/>
        <v/>
      </c>
      <c r="M241" s="7" t="str">
        <f t="shared" si="20"/>
        <v/>
      </c>
      <c r="N241" s="7">
        <v>0</v>
      </c>
      <c r="O241" s="7"/>
      <c r="P241" s="7"/>
      <c r="Q241" s="7"/>
      <c r="AC241"/>
      <c r="AD241" s="14"/>
    </row>
    <row r="242" spans="1:30" x14ac:dyDescent="0.25">
      <c r="A242" t="b">
        <f t="shared" si="21"/>
        <v>0</v>
      </c>
      <c r="B242">
        <v>2006</v>
      </c>
      <c r="C242">
        <v>131</v>
      </c>
      <c r="D242">
        <v>0</v>
      </c>
      <c r="E242">
        <v>900</v>
      </c>
      <c r="F242" s="7">
        <v>463.2</v>
      </c>
      <c r="G242" s="7">
        <v>17.02</v>
      </c>
      <c r="H242" s="7">
        <v>0</v>
      </c>
      <c r="I242" s="7" t="str">
        <f t="shared" si="17"/>
        <v/>
      </c>
      <c r="J242" s="7" t="str">
        <f t="shared" si="18"/>
        <v/>
      </c>
      <c r="K242" s="7">
        <v>0</v>
      </c>
      <c r="L242" s="7" t="str">
        <f t="shared" si="19"/>
        <v/>
      </c>
      <c r="M242" s="7" t="str">
        <f t="shared" si="20"/>
        <v/>
      </c>
      <c r="N242" s="7">
        <v>0</v>
      </c>
      <c r="O242" s="7"/>
      <c r="P242" s="7"/>
      <c r="Q242" s="7"/>
      <c r="AC242"/>
      <c r="AD242" s="14"/>
    </row>
    <row r="243" spans="1:30" x14ac:dyDescent="0.25">
      <c r="A243" t="b">
        <f t="shared" si="21"/>
        <v>0</v>
      </c>
      <c r="B243">
        <v>2006</v>
      </c>
      <c r="C243">
        <v>131</v>
      </c>
      <c r="D243">
        <v>0</v>
      </c>
      <c r="E243">
        <v>1000</v>
      </c>
      <c r="F243" s="7">
        <v>569.4</v>
      </c>
      <c r="G243" s="7">
        <v>18.440000000000001</v>
      </c>
      <c r="H243" s="7">
        <v>0</v>
      </c>
      <c r="I243" s="7" t="str">
        <f t="shared" si="17"/>
        <v/>
      </c>
      <c r="J243" s="7" t="str">
        <f t="shared" si="18"/>
        <v/>
      </c>
      <c r="K243" s="7">
        <v>0</v>
      </c>
      <c r="L243" s="7" t="str">
        <f t="shared" si="19"/>
        <v/>
      </c>
      <c r="M243" s="7" t="str">
        <f t="shared" si="20"/>
        <v/>
      </c>
      <c r="N243" s="7">
        <v>0</v>
      </c>
      <c r="O243" s="7"/>
      <c r="P243" s="7"/>
      <c r="Q243" s="7"/>
      <c r="AC243"/>
      <c r="AD243" s="14"/>
    </row>
    <row r="244" spans="1:30" x14ac:dyDescent="0.25">
      <c r="A244" t="b">
        <f t="shared" si="21"/>
        <v>0</v>
      </c>
      <c r="B244">
        <v>2006</v>
      </c>
      <c r="C244">
        <v>131</v>
      </c>
      <c r="D244">
        <v>0</v>
      </c>
      <c r="E244">
        <v>1100</v>
      </c>
      <c r="F244" s="7">
        <v>638.1</v>
      </c>
      <c r="G244" s="7">
        <v>20.25</v>
      </c>
      <c r="H244" s="7">
        <v>0</v>
      </c>
      <c r="I244" s="7" t="str">
        <f t="shared" si="17"/>
        <v/>
      </c>
      <c r="J244" s="7" t="str">
        <f t="shared" si="18"/>
        <v/>
      </c>
      <c r="K244" s="7">
        <v>0</v>
      </c>
      <c r="L244" s="7" t="str">
        <f t="shared" si="19"/>
        <v/>
      </c>
      <c r="M244" s="7" t="str">
        <f t="shared" si="20"/>
        <v/>
      </c>
      <c r="N244" s="7">
        <v>0</v>
      </c>
      <c r="O244" s="7"/>
      <c r="P244" s="7"/>
      <c r="Q244" s="7"/>
      <c r="AC244"/>
      <c r="AD244" s="14"/>
    </row>
    <row r="245" spans="1:30" x14ac:dyDescent="0.25">
      <c r="A245" t="b">
        <f t="shared" si="21"/>
        <v>0</v>
      </c>
      <c r="B245">
        <v>2006</v>
      </c>
      <c r="C245">
        <v>131</v>
      </c>
      <c r="D245">
        <v>0</v>
      </c>
      <c r="E245">
        <v>1200</v>
      </c>
      <c r="F245" s="7">
        <v>504.8</v>
      </c>
      <c r="G245" s="7">
        <v>20.69</v>
      </c>
      <c r="H245" s="7">
        <v>0</v>
      </c>
      <c r="I245" s="7" t="str">
        <f t="shared" si="17"/>
        <v/>
      </c>
      <c r="J245" s="7" t="str">
        <f t="shared" si="18"/>
        <v/>
      </c>
      <c r="K245" s="7">
        <v>0</v>
      </c>
      <c r="L245" s="7" t="str">
        <f t="shared" si="19"/>
        <v/>
      </c>
      <c r="M245" s="7" t="str">
        <f t="shared" si="20"/>
        <v/>
      </c>
      <c r="N245" s="7">
        <v>0</v>
      </c>
      <c r="O245" s="7"/>
      <c r="P245" s="7"/>
      <c r="Q245" s="7"/>
      <c r="AC245"/>
      <c r="AD245" s="14"/>
    </row>
    <row r="246" spans="1:30" x14ac:dyDescent="0.25">
      <c r="A246" t="b">
        <f t="shared" si="21"/>
        <v>0</v>
      </c>
      <c r="B246">
        <v>2006</v>
      </c>
      <c r="C246">
        <v>131</v>
      </c>
      <c r="D246">
        <v>0</v>
      </c>
      <c r="E246">
        <v>1300</v>
      </c>
      <c r="F246" s="7">
        <v>520.29999999999995</v>
      </c>
      <c r="G246" s="7">
        <v>20.079999999999998</v>
      </c>
      <c r="H246" s="7">
        <v>0</v>
      </c>
      <c r="I246" s="7" t="str">
        <f t="shared" si="17"/>
        <v/>
      </c>
      <c r="J246" s="7" t="str">
        <f t="shared" si="18"/>
        <v/>
      </c>
      <c r="K246" s="7">
        <v>0</v>
      </c>
      <c r="L246" s="7" t="str">
        <f t="shared" si="19"/>
        <v/>
      </c>
      <c r="M246" s="7" t="str">
        <f t="shared" si="20"/>
        <v/>
      </c>
      <c r="N246" s="7">
        <v>0</v>
      </c>
      <c r="O246" s="7"/>
      <c r="P246" s="7"/>
      <c r="Q246" s="7"/>
      <c r="AC246"/>
      <c r="AD246" s="14"/>
    </row>
    <row r="247" spans="1:30" x14ac:dyDescent="0.25">
      <c r="A247" t="b">
        <f t="shared" si="21"/>
        <v>0</v>
      </c>
      <c r="B247">
        <v>2006</v>
      </c>
      <c r="C247">
        <v>131</v>
      </c>
      <c r="D247">
        <v>0</v>
      </c>
      <c r="E247">
        <v>1400</v>
      </c>
      <c r="F247" s="7">
        <v>720</v>
      </c>
      <c r="G247" s="7">
        <v>21.34</v>
      </c>
      <c r="H247" s="7">
        <v>0</v>
      </c>
      <c r="I247" s="7" t="str">
        <f t="shared" si="17"/>
        <v/>
      </c>
      <c r="J247" s="7" t="str">
        <f t="shared" si="18"/>
        <v/>
      </c>
      <c r="K247" s="7">
        <v>0</v>
      </c>
      <c r="L247" s="7" t="str">
        <f t="shared" si="19"/>
        <v/>
      </c>
      <c r="M247" s="7" t="str">
        <f t="shared" si="20"/>
        <v/>
      </c>
      <c r="N247" s="7">
        <v>0</v>
      </c>
      <c r="O247" s="7"/>
      <c r="P247" s="7"/>
      <c r="Q247" s="7"/>
      <c r="AC247"/>
      <c r="AD247" s="14"/>
    </row>
    <row r="248" spans="1:30" x14ac:dyDescent="0.25">
      <c r="A248" t="b">
        <f t="shared" si="21"/>
        <v>0</v>
      </c>
      <c r="B248">
        <v>2006</v>
      </c>
      <c r="C248">
        <v>131</v>
      </c>
      <c r="D248">
        <v>0</v>
      </c>
      <c r="E248">
        <v>1500</v>
      </c>
      <c r="F248" s="7">
        <v>671.7</v>
      </c>
      <c r="G248" s="7">
        <v>21.29</v>
      </c>
      <c r="H248" s="7">
        <v>0</v>
      </c>
      <c r="I248" s="7" t="str">
        <f t="shared" si="17"/>
        <v/>
      </c>
      <c r="J248" s="7" t="str">
        <f t="shared" si="18"/>
        <v/>
      </c>
      <c r="K248" s="7">
        <v>0</v>
      </c>
      <c r="L248" s="7" t="str">
        <f t="shared" si="19"/>
        <v/>
      </c>
      <c r="M248" s="7" t="str">
        <f t="shared" si="20"/>
        <v/>
      </c>
      <c r="N248" s="7">
        <v>0</v>
      </c>
      <c r="O248" s="7"/>
      <c r="P248" s="7"/>
      <c r="Q248" s="7"/>
      <c r="AC248"/>
      <c r="AD248" s="14"/>
    </row>
    <row r="249" spans="1:30" x14ac:dyDescent="0.25">
      <c r="A249" t="b">
        <f t="shared" si="21"/>
        <v>0</v>
      </c>
      <c r="B249">
        <v>2006</v>
      </c>
      <c r="C249">
        <v>131</v>
      </c>
      <c r="D249">
        <v>0</v>
      </c>
      <c r="E249">
        <v>1600</v>
      </c>
      <c r="F249" s="7">
        <v>569</v>
      </c>
      <c r="G249" s="7">
        <v>21.14</v>
      </c>
      <c r="H249" s="7">
        <v>0</v>
      </c>
      <c r="I249" s="7" t="str">
        <f t="shared" si="17"/>
        <v/>
      </c>
      <c r="J249" s="7" t="str">
        <f t="shared" si="18"/>
        <v/>
      </c>
      <c r="K249" s="7">
        <v>0</v>
      </c>
      <c r="L249" s="7" t="str">
        <f t="shared" si="19"/>
        <v/>
      </c>
      <c r="M249" s="7" t="str">
        <f t="shared" si="20"/>
        <v/>
      </c>
      <c r="N249" s="7">
        <v>0</v>
      </c>
      <c r="O249" s="7"/>
      <c r="P249" s="7"/>
      <c r="Q249" s="7"/>
      <c r="AC249"/>
      <c r="AD249" s="14"/>
    </row>
    <row r="250" spans="1:30" x14ac:dyDescent="0.25">
      <c r="A250" t="b">
        <f t="shared" si="21"/>
        <v>0</v>
      </c>
      <c r="B250">
        <v>2006</v>
      </c>
      <c r="C250">
        <v>131</v>
      </c>
      <c r="D250">
        <v>0</v>
      </c>
      <c r="E250">
        <v>1700</v>
      </c>
      <c r="F250" s="7">
        <v>415</v>
      </c>
      <c r="G250" s="7">
        <v>20.87</v>
      </c>
      <c r="H250" s="7">
        <v>0</v>
      </c>
      <c r="I250" s="7" t="str">
        <f t="shared" si="17"/>
        <v/>
      </c>
      <c r="J250" s="7" t="str">
        <f t="shared" si="18"/>
        <v/>
      </c>
      <c r="K250" s="7">
        <v>0</v>
      </c>
      <c r="L250" s="7" t="str">
        <f t="shared" si="19"/>
        <v/>
      </c>
      <c r="M250" s="7" t="str">
        <f t="shared" si="20"/>
        <v/>
      </c>
      <c r="N250" s="7">
        <v>0</v>
      </c>
      <c r="O250" s="7"/>
      <c r="P250" s="7"/>
      <c r="Q250" s="7"/>
      <c r="AC250"/>
      <c r="AD250" s="14"/>
    </row>
    <row r="251" spans="1:30" x14ac:dyDescent="0.25">
      <c r="A251" t="b">
        <f t="shared" si="21"/>
        <v>0</v>
      </c>
      <c r="B251">
        <v>2006</v>
      </c>
      <c r="C251">
        <v>131</v>
      </c>
      <c r="D251">
        <v>0</v>
      </c>
      <c r="E251">
        <v>1800</v>
      </c>
      <c r="F251" s="7">
        <v>276.8</v>
      </c>
      <c r="G251" s="7">
        <v>20.11</v>
      </c>
      <c r="H251" s="7">
        <v>0</v>
      </c>
      <c r="I251" s="7" t="str">
        <f t="shared" si="17"/>
        <v/>
      </c>
      <c r="J251" s="7" t="str">
        <f t="shared" si="18"/>
        <v/>
      </c>
      <c r="K251" s="7">
        <v>0</v>
      </c>
      <c r="L251" s="7" t="str">
        <f t="shared" si="19"/>
        <v/>
      </c>
      <c r="M251" s="7" t="str">
        <f t="shared" si="20"/>
        <v/>
      </c>
      <c r="N251" s="7">
        <v>0</v>
      </c>
      <c r="O251" s="7"/>
      <c r="P251" s="7"/>
      <c r="Q251" s="7"/>
      <c r="AC251"/>
      <c r="AD251" s="14"/>
    </row>
    <row r="252" spans="1:30" x14ac:dyDescent="0.25">
      <c r="A252" t="b">
        <f t="shared" si="21"/>
        <v>0</v>
      </c>
      <c r="B252">
        <v>2006</v>
      </c>
      <c r="C252">
        <v>131</v>
      </c>
      <c r="D252">
        <v>0</v>
      </c>
      <c r="E252">
        <v>1900</v>
      </c>
      <c r="F252" s="7">
        <v>91.6</v>
      </c>
      <c r="G252" s="7">
        <v>18.52</v>
      </c>
      <c r="H252" s="7">
        <v>0</v>
      </c>
      <c r="I252" s="7" t="str">
        <f t="shared" si="17"/>
        <v/>
      </c>
      <c r="J252" s="7" t="str">
        <f t="shared" si="18"/>
        <v/>
      </c>
      <c r="K252" s="7">
        <v>0</v>
      </c>
      <c r="L252" s="7" t="str">
        <f t="shared" si="19"/>
        <v/>
      </c>
      <c r="M252" s="7" t="str">
        <f t="shared" si="20"/>
        <v/>
      </c>
      <c r="N252" s="7">
        <v>0</v>
      </c>
      <c r="O252" s="7"/>
      <c r="P252" s="7"/>
      <c r="Q252" s="7"/>
      <c r="AC252"/>
      <c r="AD252" s="14"/>
    </row>
    <row r="253" spans="1:30" x14ac:dyDescent="0.25">
      <c r="A253" t="b">
        <f t="shared" si="21"/>
        <v>0</v>
      </c>
      <c r="B253">
        <v>2006</v>
      </c>
      <c r="C253">
        <v>131</v>
      </c>
      <c r="D253">
        <v>0</v>
      </c>
      <c r="E253">
        <v>2000</v>
      </c>
      <c r="F253" s="7">
        <v>13.96</v>
      </c>
      <c r="G253" s="7">
        <v>15.94</v>
      </c>
      <c r="H253" s="7">
        <v>0</v>
      </c>
      <c r="I253" s="7" t="str">
        <f t="shared" si="17"/>
        <v/>
      </c>
      <c r="J253" s="7" t="str">
        <f t="shared" si="18"/>
        <v/>
      </c>
      <c r="K253" s="7">
        <v>0</v>
      </c>
      <c r="L253" s="7" t="str">
        <f t="shared" si="19"/>
        <v/>
      </c>
      <c r="M253" s="7" t="str">
        <f t="shared" si="20"/>
        <v/>
      </c>
      <c r="N253" s="7">
        <v>0</v>
      </c>
      <c r="O253" s="7"/>
      <c r="P253" s="7"/>
      <c r="Q253" s="7"/>
      <c r="AC253"/>
      <c r="AD253" s="14"/>
    </row>
    <row r="254" spans="1:30" x14ac:dyDescent="0.25">
      <c r="A254" t="b">
        <f t="shared" si="21"/>
        <v>0</v>
      </c>
      <c r="B254">
        <v>2006</v>
      </c>
      <c r="C254">
        <v>131</v>
      </c>
      <c r="D254">
        <v>0</v>
      </c>
      <c r="E254">
        <v>2100</v>
      </c>
      <c r="F254" s="7">
        <v>-1.2969999999999999</v>
      </c>
      <c r="G254" s="7">
        <v>13.94</v>
      </c>
      <c r="H254" s="7">
        <v>0</v>
      </c>
      <c r="I254" s="7" t="str">
        <f t="shared" si="17"/>
        <v/>
      </c>
      <c r="J254" s="7" t="str">
        <f t="shared" si="18"/>
        <v/>
      </c>
      <c r="K254" s="7">
        <v>0</v>
      </c>
      <c r="L254" s="7" t="str">
        <f t="shared" si="19"/>
        <v/>
      </c>
      <c r="M254" s="7" t="str">
        <f t="shared" si="20"/>
        <v/>
      </c>
      <c r="N254" s="7">
        <v>0</v>
      </c>
      <c r="O254" s="7"/>
      <c r="P254" s="7"/>
      <c r="Q254" s="7"/>
      <c r="AC254"/>
      <c r="AD254" s="14"/>
    </row>
    <row r="255" spans="1:30" x14ac:dyDescent="0.25">
      <c r="A255" t="b">
        <f t="shared" si="21"/>
        <v>0</v>
      </c>
      <c r="B255">
        <v>2006</v>
      </c>
      <c r="C255">
        <v>131</v>
      </c>
      <c r="D255">
        <v>0</v>
      </c>
      <c r="E255">
        <v>2200</v>
      </c>
      <c r="F255" s="7">
        <v>-3.4780000000000002</v>
      </c>
      <c r="G255" s="7">
        <v>12.09</v>
      </c>
      <c r="H255" s="7">
        <v>0</v>
      </c>
      <c r="I255" s="7" t="str">
        <f t="shared" si="17"/>
        <v/>
      </c>
      <c r="J255" s="7" t="str">
        <f t="shared" si="18"/>
        <v/>
      </c>
      <c r="K255" s="7">
        <v>0</v>
      </c>
      <c r="L255" s="7" t="str">
        <f t="shared" si="19"/>
        <v/>
      </c>
      <c r="M255" s="7" t="str">
        <f t="shared" si="20"/>
        <v/>
      </c>
      <c r="N255" s="7">
        <v>0</v>
      </c>
      <c r="O255" s="7"/>
      <c r="P255" s="7"/>
      <c r="Q255" s="7"/>
      <c r="AC255"/>
      <c r="AD255" s="14"/>
    </row>
    <row r="256" spans="1:30" x14ac:dyDescent="0.25">
      <c r="A256" t="b">
        <f t="shared" si="21"/>
        <v>0</v>
      </c>
      <c r="B256">
        <v>2006</v>
      </c>
      <c r="C256">
        <v>131</v>
      </c>
      <c r="D256">
        <v>0</v>
      </c>
      <c r="E256">
        <v>2300</v>
      </c>
      <c r="F256" s="7">
        <v>-2.806</v>
      </c>
      <c r="G256" s="7">
        <v>10.43</v>
      </c>
      <c r="H256" s="7">
        <v>0</v>
      </c>
      <c r="I256" s="7" t="str">
        <f t="shared" si="17"/>
        <v/>
      </c>
      <c r="J256" s="7" t="str">
        <f t="shared" si="18"/>
        <v/>
      </c>
      <c r="K256" s="7">
        <v>0</v>
      </c>
      <c r="L256" s="7" t="str">
        <f t="shared" si="19"/>
        <v/>
      </c>
      <c r="M256" s="7" t="str">
        <f t="shared" si="20"/>
        <v/>
      </c>
      <c r="N256" s="7">
        <v>0</v>
      </c>
      <c r="O256" s="7"/>
      <c r="P256" s="7"/>
      <c r="Q256" s="7"/>
      <c r="AC256"/>
      <c r="AD256" s="14"/>
    </row>
    <row r="257" spans="1:30" x14ac:dyDescent="0.25">
      <c r="A257" t="b">
        <f t="shared" si="21"/>
        <v>0</v>
      </c>
      <c r="B257">
        <v>2006</v>
      </c>
      <c r="C257">
        <v>131</v>
      </c>
      <c r="D257">
        <v>0</v>
      </c>
      <c r="E257">
        <v>2400</v>
      </c>
      <c r="F257" s="7">
        <v>-2.2879999999999998</v>
      </c>
      <c r="G257" s="7">
        <v>10.35</v>
      </c>
      <c r="H257" s="7">
        <v>0</v>
      </c>
      <c r="I257" s="7" t="str">
        <f t="shared" si="17"/>
        <v/>
      </c>
      <c r="J257" s="7" t="str">
        <f t="shared" si="18"/>
        <v/>
      </c>
      <c r="K257" s="7">
        <v>0</v>
      </c>
      <c r="L257" s="7" t="str">
        <f t="shared" si="19"/>
        <v/>
      </c>
      <c r="M257" s="7" t="str">
        <f t="shared" si="20"/>
        <v/>
      </c>
      <c r="N257" s="7">
        <v>0</v>
      </c>
      <c r="O257" s="7"/>
      <c r="P257" s="7"/>
      <c r="Q257" s="7"/>
      <c r="AC257"/>
      <c r="AD257" s="14"/>
    </row>
    <row r="258" spans="1:30" x14ac:dyDescent="0.25">
      <c r="A258" t="b">
        <f t="shared" si="21"/>
        <v>1</v>
      </c>
      <c r="B258">
        <v>2006</v>
      </c>
      <c r="C258">
        <v>132</v>
      </c>
      <c r="D258">
        <v>0</v>
      </c>
      <c r="E258">
        <v>100</v>
      </c>
      <c r="F258" s="7">
        <v>-2.3660000000000001</v>
      </c>
      <c r="G258" s="7">
        <v>9.4700000000000006</v>
      </c>
      <c r="H258" s="7">
        <v>0</v>
      </c>
      <c r="I258" s="7">
        <f t="shared" ref="I258:I321" si="22">IF(AND(B258=B257,C258=C257),"",SUMIFS($H$2:$H$1529,$B$2:$B$1529,B258,$C$2:$C$1529,C258))</f>
        <v>1.7999999999999998</v>
      </c>
      <c r="J258" s="7">
        <f t="shared" ref="J258:J321" si="23">IF(AND(B258=B257,C258=C257),"",AVERAGEIFS($F$2:$F$1529,$B$2:$B$1529,B258,$C$2:$C$1529,C258))</f>
        <v>165.30487499999995</v>
      </c>
      <c r="K258" s="7">
        <v>0</v>
      </c>
      <c r="L258" s="7">
        <f t="shared" ref="L258:L321" si="24">IF(AND(B258=B257,C258=C257),"",_xlfn.MAXIFS($G$2:$G$1529,$B$2:$B$1529,B258,$C$2:$C$1529,C258))</f>
        <v>17.399999999999999</v>
      </c>
      <c r="M258" s="7">
        <f t="shared" ref="M258:M321" si="25">IF(AND(B258=B257,C258=C257),"",_xlfn.MINIFS($G$2:$G$1529,$B$2:$B$1529,B258,$C$2:$C$1529,C258))</f>
        <v>5.899</v>
      </c>
      <c r="N258" s="7">
        <v>0</v>
      </c>
      <c r="O258" s="7"/>
      <c r="P258" s="7"/>
      <c r="Q258" s="7"/>
      <c r="AC258"/>
      <c r="AD258" s="14"/>
    </row>
    <row r="259" spans="1:30" x14ac:dyDescent="0.25">
      <c r="A259" t="b">
        <f t="shared" ref="A259:A322" si="26">NOT(I259="")</f>
        <v>0</v>
      </c>
      <c r="B259">
        <v>2006</v>
      </c>
      <c r="C259">
        <v>132</v>
      </c>
      <c r="D259">
        <v>0</v>
      </c>
      <c r="E259">
        <v>200</v>
      </c>
      <c r="F259" s="7">
        <v>-2.5539999999999998</v>
      </c>
      <c r="G259" s="7">
        <v>8.1999999999999993</v>
      </c>
      <c r="H259" s="7">
        <v>0</v>
      </c>
      <c r="I259" s="7" t="str">
        <f t="shared" si="22"/>
        <v/>
      </c>
      <c r="J259" s="7" t="str">
        <f t="shared" si="23"/>
        <v/>
      </c>
      <c r="K259" s="7">
        <v>0</v>
      </c>
      <c r="L259" s="7" t="str">
        <f t="shared" si="24"/>
        <v/>
      </c>
      <c r="M259" s="7" t="str">
        <f t="shared" si="25"/>
        <v/>
      </c>
      <c r="N259" s="7">
        <v>0</v>
      </c>
      <c r="O259" s="7"/>
      <c r="P259" s="7"/>
      <c r="Q259" s="7"/>
      <c r="AC259"/>
      <c r="AD259" s="14"/>
    </row>
    <row r="260" spans="1:30" x14ac:dyDescent="0.25">
      <c r="A260" t="b">
        <f t="shared" si="26"/>
        <v>0</v>
      </c>
      <c r="B260">
        <v>2006</v>
      </c>
      <c r="C260">
        <v>132</v>
      </c>
      <c r="D260">
        <v>0</v>
      </c>
      <c r="E260">
        <v>300</v>
      </c>
      <c r="F260" s="7">
        <v>-1.4</v>
      </c>
      <c r="G260" s="7">
        <v>8.26</v>
      </c>
      <c r="H260" s="7">
        <v>0</v>
      </c>
      <c r="I260" s="7" t="str">
        <f t="shared" si="22"/>
        <v/>
      </c>
      <c r="J260" s="7" t="str">
        <f t="shared" si="23"/>
        <v/>
      </c>
      <c r="K260" s="7">
        <v>0</v>
      </c>
      <c r="L260" s="7" t="str">
        <f t="shared" si="24"/>
        <v/>
      </c>
      <c r="M260" s="7" t="str">
        <f t="shared" si="25"/>
        <v/>
      </c>
      <c r="N260" s="7">
        <v>0</v>
      </c>
      <c r="O260" s="7"/>
      <c r="P260" s="7"/>
      <c r="Q260" s="7"/>
      <c r="AC260"/>
      <c r="AD260" s="14"/>
    </row>
    <row r="261" spans="1:30" x14ac:dyDescent="0.25">
      <c r="A261" t="b">
        <f t="shared" si="26"/>
        <v>0</v>
      </c>
      <c r="B261">
        <v>2006</v>
      </c>
      <c r="C261">
        <v>132</v>
      </c>
      <c r="D261">
        <v>0</v>
      </c>
      <c r="E261">
        <v>400</v>
      </c>
      <c r="F261" s="7">
        <v>-1.71</v>
      </c>
      <c r="G261" s="7">
        <v>8.3800000000000008</v>
      </c>
      <c r="H261" s="7">
        <v>0</v>
      </c>
      <c r="I261" s="7" t="str">
        <f t="shared" si="22"/>
        <v/>
      </c>
      <c r="J261" s="7" t="str">
        <f t="shared" si="23"/>
        <v/>
      </c>
      <c r="K261" s="7">
        <v>0</v>
      </c>
      <c r="L261" s="7" t="str">
        <f t="shared" si="24"/>
        <v/>
      </c>
      <c r="M261" s="7" t="str">
        <f t="shared" si="25"/>
        <v/>
      </c>
      <c r="N261" s="7">
        <v>0</v>
      </c>
      <c r="O261" s="7"/>
      <c r="P261" s="7"/>
      <c r="Q261" s="7"/>
      <c r="AC261"/>
      <c r="AD261" s="14"/>
    </row>
    <row r="262" spans="1:30" x14ac:dyDescent="0.25">
      <c r="A262" t="b">
        <f t="shared" si="26"/>
        <v>0</v>
      </c>
      <c r="B262">
        <v>2006</v>
      </c>
      <c r="C262">
        <v>132</v>
      </c>
      <c r="D262">
        <v>0</v>
      </c>
      <c r="E262">
        <v>500</v>
      </c>
      <c r="F262" s="7">
        <v>3.5910000000000002</v>
      </c>
      <c r="G262" s="7">
        <v>8.73</v>
      </c>
      <c r="H262" s="7">
        <v>0</v>
      </c>
      <c r="I262" s="7" t="str">
        <f t="shared" si="22"/>
        <v/>
      </c>
      <c r="J262" s="7" t="str">
        <f t="shared" si="23"/>
        <v/>
      </c>
      <c r="K262" s="7">
        <v>0</v>
      </c>
      <c r="L262" s="7" t="str">
        <f t="shared" si="24"/>
        <v/>
      </c>
      <c r="M262" s="7" t="str">
        <f t="shared" si="25"/>
        <v/>
      </c>
      <c r="N262" s="7">
        <v>0</v>
      </c>
      <c r="O262" s="7"/>
      <c r="P262" s="7"/>
      <c r="Q262" s="7"/>
      <c r="AC262"/>
      <c r="AD262" s="14"/>
    </row>
    <row r="263" spans="1:30" x14ac:dyDescent="0.25">
      <c r="A263" t="b">
        <f t="shared" si="26"/>
        <v>0</v>
      </c>
      <c r="B263">
        <v>2006</v>
      </c>
      <c r="C263">
        <v>132</v>
      </c>
      <c r="D263">
        <v>0</v>
      </c>
      <c r="E263">
        <v>600</v>
      </c>
      <c r="F263" s="7">
        <v>28.66</v>
      </c>
      <c r="G263" s="7">
        <v>10.5</v>
      </c>
      <c r="H263" s="7">
        <v>0</v>
      </c>
      <c r="I263" s="7" t="str">
        <f t="shared" si="22"/>
        <v/>
      </c>
      <c r="J263" s="7" t="str">
        <f t="shared" si="23"/>
        <v/>
      </c>
      <c r="K263" s="7">
        <v>0</v>
      </c>
      <c r="L263" s="7" t="str">
        <f t="shared" si="24"/>
        <v/>
      </c>
      <c r="M263" s="7" t="str">
        <f t="shared" si="25"/>
        <v/>
      </c>
      <c r="N263" s="7">
        <v>0</v>
      </c>
      <c r="O263" s="7"/>
      <c r="P263" s="7"/>
      <c r="Q263" s="7"/>
      <c r="AC263"/>
      <c r="AD263" s="14"/>
    </row>
    <row r="264" spans="1:30" x14ac:dyDescent="0.25">
      <c r="A264" t="b">
        <f t="shared" si="26"/>
        <v>0</v>
      </c>
      <c r="B264">
        <v>2006</v>
      </c>
      <c r="C264">
        <v>132</v>
      </c>
      <c r="D264">
        <v>0</v>
      </c>
      <c r="E264">
        <v>700</v>
      </c>
      <c r="F264" s="7">
        <v>75.400000000000006</v>
      </c>
      <c r="G264" s="7">
        <v>11.76</v>
      </c>
      <c r="H264" s="7">
        <v>0</v>
      </c>
      <c r="I264" s="7" t="str">
        <f t="shared" si="22"/>
        <v/>
      </c>
      <c r="J264" s="7" t="str">
        <f t="shared" si="23"/>
        <v/>
      </c>
      <c r="K264" s="7">
        <v>0</v>
      </c>
      <c r="L264" s="7" t="str">
        <f t="shared" si="24"/>
        <v/>
      </c>
      <c r="M264" s="7" t="str">
        <f t="shared" si="25"/>
        <v/>
      </c>
      <c r="N264" s="7">
        <v>0</v>
      </c>
      <c r="O264" s="7"/>
      <c r="P264" s="7"/>
      <c r="Q264" s="7"/>
      <c r="AC264"/>
      <c r="AD264" s="14"/>
    </row>
    <row r="265" spans="1:30" x14ac:dyDescent="0.25">
      <c r="A265" t="b">
        <f t="shared" si="26"/>
        <v>0</v>
      </c>
      <c r="B265">
        <v>2006</v>
      </c>
      <c r="C265">
        <v>132</v>
      </c>
      <c r="D265">
        <v>0</v>
      </c>
      <c r="E265">
        <v>800</v>
      </c>
      <c r="F265" s="7">
        <v>131.6</v>
      </c>
      <c r="G265" s="7">
        <v>13.12</v>
      </c>
      <c r="H265" s="7">
        <v>0</v>
      </c>
      <c r="I265" s="7" t="str">
        <f t="shared" si="22"/>
        <v/>
      </c>
      <c r="J265" s="7" t="str">
        <f t="shared" si="23"/>
        <v/>
      </c>
      <c r="K265" s="7">
        <v>0</v>
      </c>
      <c r="L265" s="7" t="str">
        <f t="shared" si="24"/>
        <v/>
      </c>
      <c r="M265" s="7" t="str">
        <f t="shared" si="25"/>
        <v/>
      </c>
      <c r="N265" s="7">
        <v>0</v>
      </c>
      <c r="O265" s="7"/>
      <c r="P265" s="7"/>
      <c r="Q265" s="7"/>
      <c r="AC265"/>
      <c r="AD265" s="14"/>
    </row>
    <row r="266" spans="1:30" x14ac:dyDescent="0.25">
      <c r="A266" t="b">
        <f t="shared" si="26"/>
        <v>0</v>
      </c>
      <c r="B266">
        <v>2006</v>
      </c>
      <c r="C266">
        <v>132</v>
      </c>
      <c r="D266">
        <v>0</v>
      </c>
      <c r="E266">
        <v>900</v>
      </c>
      <c r="F266" s="7">
        <v>95</v>
      </c>
      <c r="G266" s="7">
        <v>13.09</v>
      </c>
      <c r="H266" s="7">
        <v>0.6</v>
      </c>
      <c r="I266" s="7" t="str">
        <f t="shared" si="22"/>
        <v/>
      </c>
      <c r="J266" s="7" t="str">
        <f t="shared" si="23"/>
        <v/>
      </c>
      <c r="K266" s="7">
        <v>0</v>
      </c>
      <c r="L266" s="7" t="str">
        <f t="shared" si="24"/>
        <v/>
      </c>
      <c r="M266" s="7" t="str">
        <f t="shared" si="25"/>
        <v/>
      </c>
      <c r="N266" s="7">
        <v>0</v>
      </c>
      <c r="O266" s="7"/>
      <c r="P266" s="7"/>
      <c r="Q266" s="7"/>
      <c r="AC266"/>
      <c r="AD266" s="14"/>
    </row>
    <row r="267" spans="1:30" x14ac:dyDescent="0.25">
      <c r="A267" t="b">
        <f t="shared" si="26"/>
        <v>0</v>
      </c>
      <c r="B267">
        <v>2006</v>
      </c>
      <c r="C267">
        <v>132</v>
      </c>
      <c r="D267">
        <v>0</v>
      </c>
      <c r="E267">
        <v>1000</v>
      </c>
      <c r="F267" s="7">
        <v>313.39999999999998</v>
      </c>
      <c r="G267" s="7">
        <v>13.64</v>
      </c>
      <c r="H267" s="7">
        <v>1.2</v>
      </c>
      <c r="I267" s="7" t="str">
        <f t="shared" si="22"/>
        <v/>
      </c>
      <c r="J267" s="7" t="str">
        <f t="shared" si="23"/>
        <v/>
      </c>
      <c r="K267" s="7">
        <v>0</v>
      </c>
      <c r="L267" s="7" t="str">
        <f t="shared" si="24"/>
        <v/>
      </c>
      <c r="M267" s="7" t="str">
        <f t="shared" si="25"/>
        <v/>
      </c>
      <c r="N267" s="7">
        <v>0</v>
      </c>
      <c r="O267" s="7"/>
      <c r="P267" s="7"/>
      <c r="Q267" s="7"/>
      <c r="AC267"/>
      <c r="AD267" s="14"/>
    </row>
    <row r="268" spans="1:30" x14ac:dyDescent="0.25">
      <c r="A268" t="b">
        <f t="shared" si="26"/>
        <v>0</v>
      </c>
      <c r="B268">
        <v>2006</v>
      </c>
      <c r="C268">
        <v>132</v>
      </c>
      <c r="D268">
        <v>0</v>
      </c>
      <c r="E268">
        <v>1100</v>
      </c>
      <c r="F268" s="7">
        <v>509.1</v>
      </c>
      <c r="G268" s="7">
        <v>15.89</v>
      </c>
      <c r="H268" s="7">
        <v>0</v>
      </c>
      <c r="I268" s="7" t="str">
        <f t="shared" si="22"/>
        <v/>
      </c>
      <c r="J268" s="7" t="str">
        <f t="shared" si="23"/>
        <v/>
      </c>
      <c r="K268" s="7">
        <v>0</v>
      </c>
      <c r="L268" s="7" t="str">
        <f t="shared" si="24"/>
        <v/>
      </c>
      <c r="M268" s="7" t="str">
        <f t="shared" si="25"/>
        <v/>
      </c>
      <c r="N268" s="7">
        <v>0</v>
      </c>
      <c r="O268" s="7"/>
      <c r="P268" s="7"/>
      <c r="Q268" s="7"/>
      <c r="AC268"/>
      <c r="AD268" s="14"/>
    </row>
    <row r="269" spans="1:30" x14ac:dyDescent="0.25">
      <c r="A269" t="b">
        <f t="shared" si="26"/>
        <v>0</v>
      </c>
      <c r="B269">
        <v>2006</v>
      </c>
      <c r="C269">
        <v>132</v>
      </c>
      <c r="D269">
        <v>0</v>
      </c>
      <c r="E269">
        <v>1200</v>
      </c>
      <c r="F269" s="7">
        <v>341.6</v>
      </c>
      <c r="G269" s="7">
        <v>15.29</v>
      </c>
      <c r="H269" s="7">
        <v>0</v>
      </c>
      <c r="I269" s="7" t="str">
        <f t="shared" si="22"/>
        <v/>
      </c>
      <c r="J269" s="7" t="str">
        <f t="shared" si="23"/>
        <v/>
      </c>
      <c r="K269" s="7">
        <v>0</v>
      </c>
      <c r="L269" s="7" t="str">
        <f t="shared" si="24"/>
        <v/>
      </c>
      <c r="M269" s="7" t="str">
        <f t="shared" si="25"/>
        <v/>
      </c>
      <c r="N269" s="7">
        <v>0</v>
      </c>
      <c r="O269" s="7"/>
      <c r="P269" s="7"/>
      <c r="Q269" s="7"/>
      <c r="AC269"/>
      <c r="AD269" s="14"/>
    </row>
    <row r="270" spans="1:30" x14ac:dyDescent="0.25">
      <c r="A270" t="b">
        <f t="shared" si="26"/>
        <v>0</v>
      </c>
      <c r="B270">
        <v>2006</v>
      </c>
      <c r="C270">
        <v>132</v>
      </c>
      <c r="D270">
        <v>0</v>
      </c>
      <c r="E270">
        <v>1300</v>
      </c>
      <c r="F270" s="7">
        <v>706</v>
      </c>
      <c r="G270" s="7">
        <v>17.22</v>
      </c>
      <c r="H270" s="7">
        <v>0</v>
      </c>
      <c r="I270" s="7" t="str">
        <f t="shared" si="22"/>
        <v/>
      </c>
      <c r="J270" s="7" t="str">
        <f t="shared" si="23"/>
        <v/>
      </c>
      <c r="K270" s="7">
        <v>0</v>
      </c>
      <c r="L270" s="7" t="str">
        <f t="shared" si="24"/>
        <v/>
      </c>
      <c r="M270" s="7" t="str">
        <f t="shared" si="25"/>
        <v/>
      </c>
      <c r="N270" s="7">
        <v>0</v>
      </c>
      <c r="O270" s="7"/>
      <c r="P270" s="7"/>
      <c r="Q270" s="7"/>
      <c r="AC270"/>
      <c r="AD270" s="14"/>
    </row>
    <row r="271" spans="1:30" x14ac:dyDescent="0.25">
      <c r="A271" t="b">
        <f t="shared" si="26"/>
        <v>0</v>
      </c>
      <c r="B271">
        <v>2006</v>
      </c>
      <c r="C271">
        <v>132</v>
      </c>
      <c r="D271">
        <v>0</v>
      </c>
      <c r="E271">
        <v>1400</v>
      </c>
      <c r="F271" s="7">
        <v>544.20000000000005</v>
      </c>
      <c r="G271" s="7">
        <v>17.399999999999999</v>
      </c>
      <c r="H271" s="7">
        <v>0</v>
      </c>
      <c r="I271" s="7" t="str">
        <f t="shared" si="22"/>
        <v/>
      </c>
      <c r="J271" s="7" t="str">
        <f t="shared" si="23"/>
        <v/>
      </c>
      <c r="K271" s="7">
        <v>0</v>
      </c>
      <c r="L271" s="7" t="str">
        <f t="shared" si="24"/>
        <v/>
      </c>
      <c r="M271" s="7" t="str">
        <f t="shared" si="25"/>
        <v/>
      </c>
      <c r="N271" s="7">
        <v>0</v>
      </c>
      <c r="O271" s="7"/>
      <c r="P271" s="7"/>
      <c r="Q271" s="7"/>
      <c r="AC271"/>
      <c r="AD271" s="14"/>
    </row>
    <row r="272" spans="1:30" x14ac:dyDescent="0.25">
      <c r="A272" t="b">
        <f t="shared" si="26"/>
        <v>0</v>
      </c>
      <c r="B272">
        <v>2006</v>
      </c>
      <c r="C272">
        <v>132</v>
      </c>
      <c r="D272">
        <v>0</v>
      </c>
      <c r="E272">
        <v>1500</v>
      </c>
      <c r="F272" s="7">
        <v>292.89999999999998</v>
      </c>
      <c r="G272" s="7">
        <v>15.67</v>
      </c>
      <c r="H272" s="7">
        <v>0</v>
      </c>
      <c r="I272" s="7" t="str">
        <f t="shared" si="22"/>
        <v/>
      </c>
      <c r="J272" s="7" t="str">
        <f t="shared" si="23"/>
        <v/>
      </c>
      <c r="K272" s="7">
        <v>0</v>
      </c>
      <c r="L272" s="7" t="str">
        <f t="shared" si="24"/>
        <v/>
      </c>
      <c r="M272" s="7" t="str">
        <f t="shared" si="25"/>
        <v/>
      </c>
      <c r="N272" s="7">
        <v>0</v>
      </c>
      <c r="O272" s="7"/>
      <c r="P272" s="7"/>
      <c r="Q272" s="7"/>
      <c r="AC272"/>
      <c r="AD272" s="14"/>
    </row>
    <row r="273" spans="1:30" x14ac:dyDescent="0.25">
      <c r="A273" t="b">
        <f t="shared" si="26"/>
        <v>0</v>
      </c>
      <c r="B273">
        <v>2006</v>
      </c>
      <c r="C273">
        <v>132</v>
      </c>
      <c r="D273">
        <v>0</v>
      </c>
      <c r="E273">
        <v>1600</v>
      </c>
      <c r="F273" s="7">
        <v>306.2</v>
      </c>
      <c r="G273" s="7">
        <v>14.01</v>
      </c>
      <c r="H273" s="7">
        <v>0</v>
      </c>
      <c r="I273" s="7" t="str">
        <f t="shared" si="22"/>
        <v/>
      </c>
      <c r="J273" s="7" t="str">
        <f t="shared" si="23"/>
        <v/>
      </c>
      <c r="K273" s="7">
        <v>0</v>
      </c>
      <c r="L273" s="7" t="str">
        <f t="shared" si="24"/>
        <v/>
      </c>
      <c r="M273" s="7" t="str">
        <f t="shared" si="25"/>
        <v/>
      </c>
      <c r="N273" s="7">
        <v>0</v>
      </c>
      <c r="O273" s="7"/>
      <c r="P273" s="7"/>
      <c r="Q273" s="7"/>
      <c r="AC273"/>
      <c r="AD273" s="14"/>
    </row>
    <row r="274" spans="1:30" x14ac:dyDescent="0.25">
      <c r="A274" t="b">
        <f t="shared" si="26"/>
        <v>0</v>
      </c>
      <c r="B274">
        <v>2006</v>
      </c>
      <c r="C274">
        <v>132</v>
      </c>
      <c r="D274">
        <v>0</v>
      </c>
      <c r="E274">
        <v>1700</v>
      </c>
      <c r="F274" s="7">
        <v>421.2</v>
      </c>
      <c r="G274" s="7">
        <v>13.46</v>
      </c>
      <c r="H274" s="7">
        <v>0</v>
      </c>
      <c r="I274" s="7" t="str">
        <f t="shared" si="22"/>
        <v/>
      </c>
      <c r="J274" s="7" t="str">
        <f t="shared" si="23"/>
        <v/>
      </c>
      <c r="K274" s="7">
        <v>0</v>
      </c>
      <c r="L274" s="7" t="str">
        <f t="shared" si="24"/>
        <v/>
      </c>
      <c r="M274" s="7" t="str">
        <f t="shared" si="25"/>
        <v/>
      </c>
      <c r="N274" s="7">
        <v>0</v>
      </c>
      <c r="O274" s="7"/>
      <c r="P274" s="7"/>
      <c r="Q274" s="7"/>
      <c r="AC274"/>
      <c r="AD274" s="14"/>
    </row>
    <row r="275" spans="1:30" x14ac:dyDescent="0.25">
      <c r="A275" t="b">
        <f t="shared" si="26"/>
        <v>0</v>
      </c>
      <c r="B275">
        <v>2006</v>
      </c>
      <c r="C275">
        <v>132</v>
      </c>
      <c r="D275">
        <v>0</v>
      </c>
      <c r="E275">
        <v>1800</v>
      </c>
      <c r="F275" s="7">
        <v>138.5</v>
      </c>
      <c r="G275" s="7">
        <v>10.96</v>
      </c>
      <c r="H275" s="7">
        <v>0</v>
      </c>
      <c r="I275" s="7" t="str">
        <f t="shared" si="22"/>
        <v/>
      </c>
      <c r="J275" s="7" t="str">
        <f t="shared" si="23"/>
        <v/>
      </c>
      <c r="K275" s="7">
        <v>0</v>
      </c>
      <c r="L275" s="7" t="str">
        <f t="shared" si="24"/>
        <v/>
      </c>
      <c r="M275" s="7" t="str">
        <f t="shared" si="25"/>
        <v/>
      </c>
      <c r="N275" s="7">
        <v>0</v>
      </c>
      <c r="O275" s="7"/>
      <c r="P275" s="7"/>
      <c r="Q275" s="7"/>
      <c r="AC275"/>
      <c r="AD275" s="14"/>
    </row>
    <row r="276" spans="1:30" x14ac:dyDescent="0.25">
      <c r="A276" t="b">
        <f t="shared" si="26"/>
        <v>0</v>
      </c>
      <c r="B276">
        <v>2006</v>
      </c>
      <c r="C276">
        <v>132</v>
      </c>
      <c r="D276">
        <v>0</v>
      </c>
      <c r="E276">
        <v>1900</v>
      </c>
      <c r="F276" s="7">
        <v>54.41</v>
      </c>
      <c r="G276" s="7">
        <v>9.86</v>
      </c>
      <c r="H276" s="7">
        <v>0</v>
      </c>
      <c r="I276" s="7" t="str">
        <f t="shared" si="22"/>
        <v/>
      </c>
      <c r="J276" s="7" t="str">
        <f t="shared" si="23"/>
        <v/>
      </c>
      <c r="K276" s="7">
        <v>0</v>
      </c>
      <c r="L276" s="7" t="str">
        <f t="shared" si="24"/>
        <v/>
      </c>
      <c r="M276" s="7" t="str">
        <f t="shared" si="25"/>
        <v/>
      </c>
      <c r="N276" s="7">
        <v>0</v>
      </c>
      <c r="O276" s="7"/>
      <c r="P276" s="7"/>
      <c r="Q276" s="7"/>
      <c r="AC276"/>
      <c r="AD276" s="14"/>
    </row>
    <row r="277" spans="1:30" x14ac:dyDescent="0.25">
      <c r="A277" t="b">
        <f t="shared" si="26"/>
        <v>0</v>
      </c>
      <c r="B277">
        <v>2006</v>
      </c>
      <c r="C277">
        <v>132</v>
      </c>
      <c r="D277">
        <v>0</v>
      </c>
      <c r="E277">
        <v>2000</v>
      </c>
      <c r="F277" s="7">
        <v>17.829999999999998</v>
      </c>
      <c r="G277" s="7">
        <v>8.7799999999999994</v>
      </c>
      <c r="H277" s="7">
        <v>0</v>
      </c>
      <c r="I277" s="7" t="str">
        <f t="shared" si="22"/>
        <v/>
      </c>
      <c r="J277" s="7" t="str">
        <f t="shared" si="23"/>
        <v/>
      </c>
      <c r="K277" s="7">
        <v>0</v>
      </c>
      <c r="L277" s="7" t="str">
        <f t="shared" si="24"/>
        <v/>
      </c>
      <c r="M277" s="7" t="str">
        <f t="shared" si="25"/>
        <v/>
      </c>
      <c r="N277" s="7">
        <v>0</v>
      </c>
      <c r="O277" s="7"/>
      <c r="P277" s="7"/>
      <c r="Q277" s="7"/>
      <c r="AC277"/>
      <c r="AD277" s="14"/>
    </row>
    <row r="278" spans="1:30" x14ac:dyDescent="0.25">
      <c r="A278" t="b">
        <f t="shared" si="26"/>
        <v>0</v>
      </c>
      <c r="B278">
        <v>2006</v>
      </c>
      <c r="C278">
        <v>132</v>
      </c>
      <c r="D278">
        <v>0</v>
      </c>
      <c r="E278">
        <v>2100</v>
      </c>
      <c r="F278" s="7">
        <v>2.2410000000000001</v>
      </c>
      <c r="G278" s="7">
        <v>8.1</v>
      </c>
      <c r="H278" s="7">
        <v>0</v>
      </c>
      <c r="I278" s="7" t="str">
        <f t="shared" si="22"/>
        <v/>
      </c>
      <c r="J278" s="7" t="str">
        <f t="shared" si="23"/>
        <v/>
      </c>
      <c r="K278" s="7">
        <v>0</v>
      </c>
      <c r="L278" s="7" t="str">
        <f t="shared" si="24"/>
        <v/>
      </c>
      <c r="M278" s="7" t="str">
        <f t="shared" si="25"/>
        <v/>
      </c>
      <c r="N278" s="7">
        <v>0</v>
      </c>
      <c r="O278" s="7"/>
      <c r="P278" s="7"/>
      <c r="Q278" s="7"/>
      <c r="AC278"/>
      <c r="AD278" s="14"/>
    </row>
    <row r="279" spans="1:30" x14ac:dyDescent="0.25">
      <c r="A279" t="b">
        <f t="shared" si="26"/>
        <v>0</v>
      </c>
      <c r="B279">
        <v>2006</v>
      </c>
      <c r="C279">
        <v>132</v>
      </c>
      <c r="D279">
        <v>0</v>
      </c>
      <c r="E279">
        <v>2200</v>
      </c>
      <c r="F279" s="7">
        <v>-1.637</v>
      </c>
      <c r="G279" s="7">
        <v>7.28</v>
      </c>
      <c r="H279" s="7">
        <v>0</v>
      </c>
      <c r="I279" s="7" t="str">
        <f t="shared" si="22"/>
        <v/>
      </c>
      <c r="J279" s="7" t="str">
        <f t="shared" si="23"/>
        <v/>
      </c>
      <c r="K279" s="7">
        <v>0</v>
      </c>
      <c r="L279" s="7" t="str">
        <f t="shared" si="24"/>
        <v/>
      </c>
      <c r="M279" s="7" t="str">
        <f t="shared" si="25"/>
        <v/>
      </c>
      <c r="N279" s="7">
        <v>0</v>
      </c>
      <c r="O279" s="7"/>
      <c r="P279" s="7"/>
      <c r="Q279" s="7"/>
      <c r="AC279"/>
      <c r="AD279" s="14"/>
    </row>
    <row r="280" spans="1:30" x14ac:dyDescent="0.25">
      <c r="A280" t="b">
        <f t="shared" si="26"/>
        <v>0</v>
      </c>
      <c r="B280">
        <v>2006</v>
      </c>
      <c r="C280">
        <v>132</v>
      </c>
      <c r="D280">
        <v>0</v>
      </c>
      <c r="E280">
        <v>2300</v>
      </c>
      <c r="F280" s="7">
        <v>-2.2290000000000001</v>
      </c>
      <c r="G280" s="7">
        <v>6.51</v>
      </c>
      <c r="H280" s="7">
        <v>0</v>
      </c>
      <c r="I280" s="7" t="str">
        <f t="shared" si="22"/>
        <v/>
      </c>
      <c r="J280" s="7" t="str">
        <f t="shared" si="23"/>
        <v/>
      </c>
      <c r="K280" s="7">
        <v>0</v>
      </c>
      <c r="L280" s="7" t="str">
        <f t="shared" si="24"/>
        <v/>
      </c>
      <c r="M280" s="7" t="str">
        <f t="shared" si="25"/>
        <v/>
      </c>
      <c r="N280" s="7">
        <v>0</v>
      </c>
      <c r="O280" s="7"/>
      <c r="P280" s="7"/>
      <c r="Q280" s="7"/>
      <c r="AC280"/>
      <c r="AD280" s="14"/>
    </row>
    <row r="281" spans="1:30" x14ac:dyDescent="0.25">
      <c r="A281" t="b">
        <f t="shared" si="26"/>
        <v>0</v>
      </c>
      <c r="B281">
        <v>2006</v>
      </c>
      <c r="C281">
        <v>132</v>
      </c>
      <c r="D281">
        <v>0</v>
      </c>
      <c r="E281">
        <v>2400</v>
      </c>
      <c r="F281" s="7">
        <v>-2.6190000000000002</v>
      </c>
      <c r="G281" s="7">
        <v>5.899</v>
      </c>
      <c r="H281" s="7">
        <v>0</v>
      </c>
      <c r="I281" s="7" t="str">
        <f t="shared" si="22"/>
        <v/>
      </c>
      <c r="J281" s="7" t="str">
        <f t="shared" si="23"/>
        <v/>
      </c>
      <c r="K281" s="7">
        <v>0</v>
      </c>
      <c r="L281" s="7" t="str">
        <f t="shared" si="24"/>
        <v/>
      </c>
      <c r="M281" s="7" t="str">
        <f t="shared" si="25"/>
        <v/>
      </c>
      <c r="N281" s="7">
        <v>0</v>
      </c>
      <c r="O281" s="7"/>
      <c r="P281" s="7"/>
      <c r="Q281" s="7"/>
      <c r="AC281"/>
      <c r="AD281" s="14"/>
    </row>
    <row r="282" spans="1:30" x14ac:dyDescent="0.25">
      <c r="A282" t="b">
        <f t="shared" si="26"/>
        <v>1</v>
      </c>
      <c r="B282">
        <v>2006</v>
      </c>
      <c r="C282">
        <v>133</v>
      </c>
      <c r="D282">
        <v>0</v>
      </c>
      <c r="E282">
        <v>100</v>
      </c>
      <c r="F282" s="7">
        <v>-2.915</v>
      </c>
      <c r="G282" s="7">
        <v>4.8170000000000002</v>
      </c>
      <c r="H282" s="7">
        <v>0</v>
      </c>
      <c r="I282" s="7">
        <f t="shared" si="22"/>
        <v>0</v>
      </c>
      <c r="J282" s="7">
        <f t="shared" si="23"/>
        <v>241.08025000000001</v>
      </c>
      <c r="K282" s="7">
        <v>0</v>
      </c>
      <c r="L282" s="7">
        <f t="shared" si="24"/>
        <v>13.56</v>
      </c>
      <c r="M282" s="7">
        <f t="shared" si="25"/>
        <v>3.4340000000000002</v>
      </c>
      <c r="N282" s="7">
        <v>0</v>
      </c>
      <c r="O282" s="7"/>
      <c r="P282" s="7"/>
      <c r="Q282" s="7"/>
      <c r="AC282"/>
      <c r="AD282" s="14"/>
    </row>
    <row r="283" spans="1:30" x14ac:dyDescent="0.25">
      <c r="A283" t="b">
        <f t="shared" si="26"/>
        <v>0</v>
      </c>
      <c r="B283">
        <v>2006</v>
      </c>
      <c r="C283">
        <v>133</v>
      </c>
      <c r="D283">
        <v>0</v>
      </c>
      <c r="E283">
        <v>200</v>
      </c>
      <c r="F283" s="7">
        <v>-2.9140000000000001</v>
      </c>
      <c r="G283" s="7">
        <v>3.4340000000000002</v>
      </c>
      <c r="H283" s="7">
        <v>0</v>
      </c>
      <c r="I283" s="7" t="str">
        <f t="shared" si="22"/>
        <v/>
      </c>
      <c r="J283" s="7" t="str">
        <f t="shared" si="23"/>
        <v/>
      </c>
      <c r="K283" s="7">
        <v>0</v>
      </c>
      <c r="L283" s="7" t="str">
        <f t="shared" si="24"/>
        <v/>
      </c>
      <c r="M283" s="7" t="str">
        <f t="shared" si="25"/>
        <v/>
      </c>
      <c r="N283" s="7">
        <v>0</v>
      </c>
      <c r="O283" s="7"/>
      <c r="P283" s="7"/>
      <c r="Q283" s="7"/>
      <c r="AC283"/>
      <c r="AD283" s="14"/>
    </row>
    <row r="284" spans="1:30" x14ac:dyDescent="0.25">
      <c r="A284" t="b">
        <f t="shared" si="26"/>
        <v>0</v>
      </c>
      <c r="B284">
        <v>2006</v>
      </c>
      <c r="C284">
        <v>133</v>
      </c>
      <c r="D284">
        <v>0</v>
      </c>
      <c r="E284">
        <v>300</v>
      </c>
      <c r="F284" s="7">
        <v>-2.6739999999999999</v>
      </c>
      <c r="G284" s="7">
        <v>3.556</v>
      </c>
      <c r="H284" s="7">
        <v>0</v>
      </c>
      <c r="I284" s="7" t="str">
        <f t="shared" si="22"/>
        <v/>
      </c>
      <c r="J284" s="7" t="str">
        <f t="shared" si="23"/>
        <v/>
      </c>
      <c r="K284" s="7">
        <v>0</v>
      </c>
      <c r="L284" s="7" t="str">
        <f t="shared" si="24"/>
        <v/>
      </c>
      <c r="M284" s="7" t="str">
        <f t="shared" si="25"/>
        <v/>
      </c>
      <c r="N284" s="7">
        <v>0</v>
      </c>
      <c r="O284" s="7"/>
      <c r="P284" s="7"/>
      <c r="Q284" s="7"/>
      <c r="AC284"/>
      <c r="AD284" s="14"/>
    </row>
    <row r="285" spans="1:30" x14ac:dyDescent="0.25">
      <c r="A285" t="b">
        <f t="shared" si="26"/>
        <v>0</v>
      </c>
      <c r="B285">
        <v>2006</v>
      </c>
      <c r="C285">
        <v>133</v>
      </c>
      <c r="D285">
        <v>0</v>
      </c>
      <c r="E285">
        <v>400</v>
      </c>
      <c r="F285" s="7">
        <v>-0.66500000000000004</v>
      </c>
      <c r="G285" s="7">
        <v>4.7009999999999996</v>
      </c>
      <c r="H285" s="7">
        <v>0</v>
      </c>
      <c r="I285" s="7" t="str">
        <f t="shared" si="22"/>
        <v/>
      </c>
      <c r="J285" s="7" t="str">
        <f t="shared" si="23"/>
        <v/>
      </c>
      <c r="K285" s="7">
        <v>0</v>
      </c>
      <c r="L285" s="7" t="str">
        <f t="shared" si="24"/>
        <v/>
      </c>
      <c r="M285" s="7" t="str">
        <f t="shared" si="25"/>
        <v/>
      </c>
      <c r="N285" s="7">
        <v>0</v>
      </c>
      <c r="O285" s="7"/>
      <c r="P285" s="7"/>
      <c r="Q285" s="7"/>
      <c r="AC285"/>
      <c r="AD285" s="14"/>
    </row>
    <row r="286" spans="1:30" x14ac:dyDescent="0.25">
      <c r="A286" t="b">
        <f t="shared" si="26"/>
        <v>0</v>
      </c>
      <c r="B286">
        <v>2006</v>
      </c>
      <c r="C286">
        <v>133</v>
      </c>
      <c r="D286">
        <v>0</v>
      </c>
      <c r="E286">
        <v>500</v>
      </c>
      <c r="F286" s="7">
        <v>3.5070000000000001</v>
      </c>
      <c r="G286" s="7">
        <v>5.3810000000000002</v>
      </c>
      <c r="H286" s="7">
        <v>0</v>
      </c>
      <c r="I286" s="7" t="str">
        <f t="shared" si="22"/>
        <v/>
      </c>
      <c r="J286" s="7" t="str">
        <f t="shared" si="23"/>
        <v/>
      </c>
      <c r="K286" s="7">
        <v>0</v>
      </c>
      <c r="L286" s="7" t="str">
        <f t="shared" si="24"/>
        <v/>
      </c>
      <c r="M286" s="7" t="str">
        <f t="shared" si="25"/>
        <v/>
      </c>
      <c r="N286" s="7">
        <v>0</v>
      </c>
      <c r="O286" s="7"/>
      <c r="P286" s="7"/>
      <c r="Q286" s="7"/>
      <c r="AC286"/>
      <c r="AD286" s="14"/>
    </row>
    <row r="287" spans="1:30" x14ac:dyDescent="0.25">
      <c r="A287" t="b">
        <f t="shared" si="26"/>
        <v>0</v>
      </c>
      <c r="B287">
        <v>2006</v>
      </c>
      <c r="C287">
        <v>133</v>
      </c>
      <c r="D287">
        <v>0</v>
      </c>
      <c r="E287">
        <v>600</v>
      </c>
      <c r="F287" s="7">
        <v>36.270000000000003</v>
      </c>
      <c r="G287" s="7">
        <v>6.3940000000000001</v>
      </c>
      <c r="H287" s="7">
        <v>0</v>
      </c>
      <c r="I287" s="7" t="str">
        <f t="shared" si="22"/>
        <v/>
      </c>
      <c r="J287" s="7" t="str">
        <f t="shared" si="23"/>
        <v/>
      </c>
      <c r="K287" s="7">
        <v>0</v>
      </c>
      <c r="L287" s="7" t="str">
        <f t="shared" si="24"/>
        <v/>
      </c>
      <c r="M287" s="7" t="str">
        <f t="shared" si="25"/>
        <v/>
      </c>
      <c r="N287" s="7">
        <v>0</v>
      </c>
      <c r="O287" s="7"/>
      <c r="P287" s="7"/>
      <c r="Q287" s="7"/>
      <c r="AC287"/>
      <c r="AD287" s="14"/>
    </row>
    <row r="288" spans="1:30" x14ac:dyDescent="0.25">
      <c r="A288" t="b">
        <f t="shared" si="26"/>
        <v>0</v>
      </c>
      <c r="B288">
        <v>2006</v>
      </c>
      <c r="C288">
        <v>133</v>
      </c>
      <c r="D288">
        <v>0</v>
      </c>
      <c r="E288">
        <v>700</v>
      </c>
      <c r="F288" s="7">
        <v>73.5</v>
      </c>
      <c r="G288" s="7">
        <v>7.58</v>
      </c>
      <c r="H288" s="7">
        <v>0</v>
      </c>
      <c r="I288" s="7" t="str">
        <f t="shared" si="22"/>
        <v/>
      </c>
      <c r="J288" s="7" t="str">
        <f t="shared" si="23"/>
        <v/>
      </c>
      <c r="K288" s="7">
        <v>0</v>
      </c>
      <c r="L288" s="7" t="str">
        <f t="shared" si="24"/>
        <v/>
      </c>
      <c r="M288" s="7" t="str">
        <f t="shared" si="25"/>
        <v/>
      </c>
      <c r="N288" s="7">
        <v>0</v>
      </c>
      <c r="O288" s="7"/>
      <c r="P288" s="7"/>
      <c r="Q288" s="7"/>
      <c r="AC288"/>
      <c r="AD288" s="14"/>
    </row>
    <row r="289" spans="1:30" x14ac:dyDescent="0.25">
      <c r="A289" t="b">
        <f t="shared" si="26"/>
        <v>0</v>
      </c>
      <c r="B289">
        <v>2006</v>
      </c>
      <c r="C289">
        <v>133</v>
      </c>
      <c r="D289">
        <v>0</v>
      </c>
      <c r="E289">
        <v>800</v>
      </c>
      <c r="F289" s="7">
        <v>246.4</v>
      </c>
      <c r="G289" s="7">
        <v>9.1</v>
      </c>
      <c r="H289" s="7">
        <v>0</v>
      </c>
      <c r="I289" s="7" t="str">
        <f t="shared" si="22"/>
        <v/>
      </c>
      <c r="J289" s="7" t="str">
        <f t="shared" si="23"/>
        <v/>
      </c>
      <c r="K289" s="7">
        <v>0</v>
      </c>
      <c r="L289" s="7" t="str">
        <f t="shared" si="24"/>
        <v/>
      </c>
      <c r="M289" s="7" t="str">
        <f t="shared" si="25"/>
        <v/>
      </c>
      <c r="N289" s="7">
        <v>0</v>
      </c>
      <c r="O289" s="7"/>
      <c r="P289" s="7"/>
      <c r="Q289" s="7"/>
      <c r="AC289"/>
      <c r="AD289" s="14"/>
    </row>
    <row r="290" spans="1:30" x14ac:dyDescent="0.25">
      <c r="A290" t="b">
        <f t="shared" si="26"/>
        <v>0</v>
      </c>
      <c r="B290">
        <v>2006</v>
      </c>
      <c r="C290">
        <v>133</v>
      </c>
      <c r="D290">
        <v>0</v>
      </c>
      <c r="E290">
        <v>900</v>
      </c>
      <c r="F290" s="7">
        <v>294.10000000000002</v>
      </c>
      <c r="G290" s="7">
        <v>10.16</v>
      </c>
      <c r="H290" s="7">
        <v>0</v>
      </c>
      <c r="I290" s="7" t="str">
        <f t="shared" si="22"/>
        <v/>
      </c>
      <c r="J290" s="7" t="str">
        <f t="shared" si="23"/>
        <v/>
      </c>
      <c r="K290" s="7">
        <v>0</v>
      </c>
      <c r="L290" s="7" t="str">
        <f t="shared" si="24"/>
        <v/>
      </c>
      <c r="M290" s="7" t="str">
        <f t="shared" si="25"/>
        <v/>
      </c>
      <c r="N290" s="7">
        <v>0</v>
      </c>
      <c r="O290" s="7"/>
      <c r="P290" s="7"/>
      <c r="Q290" s="7"/>
      <c r="AC290"/>
      <c r="AD290" s="14"/>
    </row>
    <row r="291" spans="1:30" x14ac:dyDescent="0.25">
      <c r="A291" t="b">
        <f t="shared" si="26"/>
        <v>0</v>
      </c>
      <c r="B291">
        <v>2006</v>
      </c>
      <c r="C291">
        <v>133</v>
      </c>
      <c r="D291">
        <v>0</v>
      </c>
      <c r="E291">
        <v>1000</v>
      </c>
      <c r="F291" s="7">
        <v>582.4</v>
      </c>
      <c r="G291" s="7">
        <v>11.94</v>
      </c>
      <c r="H291" s="7">
        <v>0</v>
      </c>
      <c r="I291" s="7" t="str">
        <f t="shared" si="22"/>
        <v/>
      </c>
      <c r="J291" s="7" t="str">
        <f t="shared" si="23"/>
        <v/>
      </c>
      <c r="K291" s="7">
        <v>0</v>
      </c>
      <c r="L291" s="7" t="str">
        <f t="shared" si="24"/>
        <v/>
      </c>
      <c r="M291" s="7" t="str">
        <f t="shared" si="25"/>
        <v/>
      </c>
      <c r="N291" s="7">
        <v>0</v>
      </c>
      <c r="O291" s="7"/>
      <c r="P291" s="7"/>
      <c r="Q291" s="7"/>
      <c r="AC291"/>
      <c r="AD291" s="14"/>
    </row>
    <row r="292" spans="1:30" x14ac:dyDescent="0.25">
      <c r="A292" t="b">
        <f t="shared" si="26"/>
        <v>0</v>
      </c>
      <c r="B292">
        <v>2006</v>
      </c>
      <c r="C292">
        <v>133</v>
      </c>
      <c r="D292">
        <v>0</v>
      </c>
      <c r="E292">
        <v>1100</v>
      </c>
      <c r="F292" s="7">
        <v>745</v>
      </c>
      <c r="G292" s="7">
        <v>13.02</v>
      </c>
      <c r="H292" s="7">
        <v>0</v>
      </c>
      <c r="I292" s="7" t="str">
        <f t="shared" si="22"/>
        <v/>
      </c>
      <c r="J292" s="7" t="str">
        <f t="shared" si="23"/>
        <v/>
      </c>
      <c r="K292" s="7">
        <v>0</v>
      </c>
      <c r="L292" s="7" t="str">
        <f t="shared" si="24"/>
        <v/>
      </c>
      <c r="M292" s="7" t="str">
        <f t="shared" si="25"/>
        <v/>
      </c>
      <c r="N292" s="7">
        <v>0</v>
      </c>
      <c r="O292" s="7"/>
      <c r="P292" s="7"/>
      <c r="Q292" s="7"/>
      <c r="AC292"/>
      <c r="AD292" s="14"/>
    </row>
    <row r="293" spans="1:30" x14ac:dyDescent="0.25">
      <c r="A293" t="b">
        <f t="shared" si="26"/>
        <v>0</v>
      </c>
      <c r="B293">
        <v>2006</v>
      </c>
      <c r="C293">
        <v>133</v>
      </c>
      <c r="D293">
        <v>0</v>
      </c>
      <c r="E293">
        <v>1200</v>
      </c>
      <c r="F293" s="7">
        <v>786</v>
      </c>
      <c r="G293" s="7">
        <v>12.93</v>
      </c>
      <c r="H293" s="7">
        <v>0</v>
      </c>
      <c r="I293" s="7" t="str">
        <f t="shared" si="22"/>
        <v/>
      </c>
      <c r="J293" s="7" t="str">
        <f t="shared" si="23"/>
        <v/>
      </c>
      <c r="K293" s="7">
        <v>0</v>
      </c>
      <c r="L293" s="7" t="str">
        <f t="shared" si="24"/>
        <v/>
      </c>
      <c r="M293" s="7" t="str">
        <f t="shared" si="25"/>
        <v/>
      </c>
      <c r="N293" s="7">
        <v>0</v>
      </c>
      <c r="O293" s="7"/>
      <c r="P293" s="7"/>
      <c r="Q293" s="7"/>
      <c r="AC293"/>
      <c r="AD293" s="14"/>
    </row>
    <row r="294" spans="1:30" x14ac:dyDescent="0.25">
      <c r="A294" t="b">
        <f t="shared" si="26"/>
        <v>0</v>
      </c>
      <c r="B294">
        <v>2006</v>
      </c>
      <c r="C294">
        <v>133</v>
      </c>
      <c r="D294">
        <v>0</v>
      </c>
      <c r="E294">
        <v>1300</v>
      </c>
      <c r="F294" s="7">
        <v>668.5</v>
      </c>
      <c r="G294" s="7">
        <v>12.8</v>
      </c>
      <c r="H294" s="7">
        <v>0</v>
      </c>
      <c r="I294" s="7" t="str">
        <f t="shared" si="22"/>
        <v/>
      </c>
      <c r="J294" s="7" t="str">
        <f t="shared" si="23"/>
        <v/>
      </c>
      <c r="K294" s="7">
        <v>0</v>
      </c>
      <c r="L294" s="7" t="str">
        <f t="shared" si="24"/>
        <v/>
      </c>
      <c r="M294" s="7" t="str">
        <f t="shared" si="25"/>
        <v/>
      </c>
      <c r="N294" s="7">
        <v>0</v>
      </c>
      <c r="O294" s="7"/>
      <c r="P294" s="7"/>
      <c r="Q294" s="7"/>
      <c r="AC294"/>
      <c r="AD294" s="14"/>
    </row>
    <row r="295" spans="1:30" x14ac:dyDescent="0.25">
      <c r="A295" t="b">
        <f t="shared" si="26"/>
        <v>0</v>
      </c>
      <c r="B295">
        <v>2006</v>
      </c>
      <c r="C295">
        <v>133</v>
      </c>
      <c r="D295">
        <v>0</v>
      </c>
      <c r="E295">
        <v>1400</v>
      </c>
      <c r="F295" s="7">
        <v>499.6</v>
      </c>
      <c r="G295" s="7">
        <v>12.8</v>
      </c>
      <c r="H295" s="7">
        <v>0</v>
      </c>
      <c r="I295" s="7" t="str">
        <f t="shared" si="22"/>
        <v/>
      </c>
      <c r="J295" s="7" t="str">
        <f t="shared" si="23"/>
        <v/>
      </c>
      <c r="K295" s="7">
        <v>0</v>
      </c>
      <c r="L295" s="7" t="str">
        <f t="shared" si="24"/>
        <v/>
      </c>
      <c r="M295" s="7" t="str">
        <f t="shared" si="25"/>
        <v/>
      </c>
      <c r="N295" s="7">
        <v>0</v>
      </c>
      <c r="O295" s="7"/>
      <c r="P295" s="7"/>
      <c r="Q295" s="7"/>
      <c r="AC295"/>
      <c r="AD295" s="14"/>
    </row>
    <row r="296" spans="1:30" x14ac:dyDescent="0.25">
      <c r="A296" t="b">
        <f t="shared" si="26"/>
        <v>0</v>
      </c>
      <c r="B296">
        <v>2006</v>
      </c>
      <c r="C296">
        <v>133</v>
      </c>
      <c r="D296">
        <v>0</v>
      </c>
      <c r="E296">
        <v>1500</v>
      </c>
      <c r="F296" s="7">
        <v>692.4</v>
      </c>
      <c r="G296" s="7">
        <v>13.56</v>
      </c>
      <c r="H296" s="7">
        <v>0</v>
      </c>
      <c r="I296" s="7" t="str">
        <f t="shared" si="22"/>
        <v/>
      </c>
      <c r="J296" s="7" t="str">
        <f t="shared" si="23"/>
        <v/>
      </c>
      <c r="K296" s="7">
        <v>0</v>
      </c>
      <c r="L296" s="7" t="str">
        <f t="shared" si="24"/>
        <v/>
      </c>
      <c r="M296" s="7" t="str">
        <f t="shared" si="25"/>
        <v/>
      </c>
      <c r="N296" s="7">
        <v>0</v>
      </c>
      <c r="O296" s="7"/>
      <c r="P296" s="7"/>
      <c r="Q296" s="7"/>
      <c r="AC296"/>
      <c r="AD296" s="14"/>
    </row>
    <row r="297" spans="1:30" x14ac:dyDescent="0.25">
      <c r="A297" t="b">
        <f t="shared" si="26"/>
        <v>0</v>
      </c>
      <c r="B297">
        <v>2006</v>
      </c>
      <c r="C297">
        <v>133</v>
      </c>
      <c r="D297">
        <v>0</v>
      </c>
      <c r="E297">
        <v>1600</v>
      </c>
      <c r="F297" s="7">
        <v>360</v>
      </c>
      <c r="G297" s="7">
        <v>12.85</v>
      </c>
      <c r="H297" s="7">
        <v>0</v>
      </c>
      <c r="I297" s="7" t="str">
        <f t="shared" si="22"/>
        <v/>
      </c>
      <c r="J297" s="7" t="str">
        <f t="shared" si="23"/>
        <v/>
      </c>
      <c r="K297" s="7">
        <v>0</v>
      </c>
      <c r="L297" s="7" t="str">
        <f t="shared" si="24"/>
        <v/>
      </c>
      <c r="M297" s="7" t="str">
        <f t="shared" si="25"/>
        <v/>
      </c>
      <c r="N297" s="7">
        <v>0</v>
      </c>
      <c r="O297" s="7"/>
      <c r="P297" s="7"/>
      <c r="Q297" s="7"/>
      <c r="AC297"/>
      <c r="AD297" s="14"/>
    </row>
    <row r="298" spans="1:30" x14ac:dyDescent="0.25">
      <c r="A298" t="b">
        <f t="shared" si="26"/>
        <v>0</v>
      </c>
      <c r="B298">
        <v>2006</v>
      </c>
      <c r="C298">
        <v>133</v>
      </c>
      <c r="D298">
        <v>0</v>
      </c>
      <c r="E298">
        <v>1700</v>
      </c>
      <c r="F298" s="7">
        <v>356.1</v>
      </c>
      <c r="G298" s="7">
        <v>12.83</v>
      </c>
      <c r="H298" s="7">
        <v>0</v>
      </c>
      <c r="I298" s="7" t="str">
        <f t="shared" si="22"/>
        <v/>
      </c>
      <c r="J298" s="7" t="str">
        <f t="shared" si="23"/>
        <v/>
      </c>
      <c r="K298" s="7">
        <v>0</v>
      </c>
      <c r="L298" s="7" t="str">
        <f t="shared" si="24"/>
        <v/>
      </c>
      <c r="M298" s="7" t="str">
        <f t="shared" si="25"/>
        <v/>
      </c>
      <c r="N298" s="7">
        <v>0</v>
      </c>
      <c r="O298" s="7"/>
      <c r="P298" s="7"/>
      <c r="Q298" s="7"/>
      <c r="AC298"/>
      <c r="AD298" s="14"/>
    </row>
    <row r="299" spans="1:30" x14ac:dyDescent="0.25">
      <c r="A299" t="b">
        <f t="shared" si="26"/>
        <v>0</v>
      </c>
      <c r="B299">
        <v>2006</v>
      </c>
      <c r="C299">
        <v>133</v>
      </c>
      <c r="D299">
        <v>0</v>
      </c>
      <c r="E299">
        <v>1800</v>
      </c>
      <c r="F299" s="7">
        <v>271.10000000000002</v>
      </c>
      <c r="G299" s="7">
        <v>12.07</v>
      </c>
      <c r="H299" s="7">
        <v>0</v>
      </c>
      <c r="I299" s="7" t="str">
        <f t="shared" si="22"/>
        <v/>
      </c>
      <c r="J299" s="7" t="str">
        <f t="shared" si="23"/>
        <v/>
      </c>
      <c r="K299" s="7">
        <v>0</v>
      </c>
      <c r="L299" s="7" t="str">
        <f t="shared" si="24"/>
        <v/>
      </c>
      <c r="M299" s="7" t="str">
        <f t="shared" si="25"/>
        <v/>
      </c>
      <c r="N299" s="7">
        <v>0</v>
      </c>
      <c r="O299" s="7"/>
      <c r="P299" s="7"/>
      <c r="Q299" s="7"/>
      <c r="AC299"/>
      <c r="AD299" s="14"/>
    </row>
    <row r="300" spans="1:30" x14ac:dyDescent="0.25">
      <c r="A300" t="b">
        <f t="shared" si="26"/>
        <v>0</v>
      </c>
      <c r="B300">
        <v>2006</v>
      </c>
      <c r="C300">
        <v>133</v>
      </c>
      <c r="D300">
        <v>0</v>
      </c>
      <c r="E300">
        <v>1900</v>
      </c>
      <c r="F300" s="7">
        <v>130.19999999999999</v>
      </c>
      <c r="G300" s="7">
        <v>11.21</v>
      </c>
      <c r="H300" s="7">
        <v>0</v>
      </c>
      <c r="I300" s="7" t="str">
        <f t="shared" si="22"/>
        <v/>
      </c>
      <c r="J300" s="7" t="str">
        <f t="shared" si="23"/>
        <v/>
      </c>
      <c r="K300" s="7">
        <v>0</v>
      </c>
      <c r="L300" s="7" t="str">
        <f t="shared" si="24"/>
        <v/>
      </c>
      <c r="M300" s="7" t="str">
        <f t="shared" si="25"/>
        <v/>
      </c>
      <c r="N300" s="7">
        <v>0</v>
      </c>
      <c r="O300" s="7"/>
      <c r="P300" s="7"/>
      <c r="Q300" s="7"/>
      <c r="AC300"/>
      <c r="AD300" s="14"/>
    </row>
    <row r="301" spans="1:30" x14ac:dyDescent="0.25">
      <c r="A301" t="b">
        <f t="shared" si="26"/>
        <v>0</v>
      </c>
      <c r="B301">
        <v>2006</v>
      </c>
      <c r="C301">
        <v>133</v>
      </c>
      <c r="D301">
        <v>0</v>
      </c>
      <c r="E301">
        <v>2000</v>
      </c>
      <c r="F301" s="7">
        <v>56.84</v>
      </c>
      <c r="G301" s="7">
        <v>9.9</v>
      </c>
      <c r="H301" s="7">
        <v>0</v>
      </c>
      <c r="I301" s="7" t="str">
        <f t="shared" si="22"/>
        <v/>
      </c>
      <c r="J301" s="7" t="str">
        <f t="shared" si="23"/>
        <v/>
      </c>
      <c r="K301" s="7">
        <v>0</v>
      </c>
      <c r="L301" s="7" t="str">
        <f t="shared" si="24"/>
        <v/>
      </c>
      <c r="M301" s="7" t="str">
        <f t="shared" si="25"/>
        <v/>
      </c>
      <c r="N301" s="7">
        <v>0</v>
      </c>
      <c r="O301" s="7"/>
      <c r="P301" s="7"/>
      <c r="Q301" s="7"/>
      <c r="AC301"/>
      <c r="AD301" s="14"/>
    </row>
    <row r="302" spans="1:30" x14ac:dyDescent="0.25">
      <c r="A302" t="b">
        <f t="shared" si="26"/>
        <v>0</v>
      </c>
      <c r="B302">
        <v>2006</v>
      </c>
      <c r="C302">
        <v>133</v>
      </c>
      <c r="D302">
        <v>0</v>
      </c>
      <c r="E302">
        <v>2100</v>
      </c>
      <c r="F302" s="7">
        <v>-0.18</v>
      </c>
      <c r="G302" s="7">
        <v>8.19</v>
      </c>
      <c r="H302" s="7">
        <v>0</v>
      </c>
      <c r="I302" s="7" t="str">
        <f t="shared" si="22"/>
        <v/>
      </c>
      <c r="J302" s="7" t="str">
        <f t="shared" si="23"/>
        <v/>
      </c>
      <c r="K302" s="7">
        <v>0</v>
      </c>
      <c r="L302" s="7" t="str">
        <f t="shared" si="24"/>
        <v/>
      </c>
      <c r="M302" s="7" t="str">
        <f t="shared" si="25"/>
        <v/>
      </c>
      <c r="N302" s="7">
        <v>0</v>
      </c>
      <c r="O302" s="7"/>
      <c r="P302" s="7"/>
      <c r="Q302" s="7"/>
      <c r="AC302"/>
      <c r="AD302" s="14"/>
    </row>
    <row r="303" spans="1:30" x14ac:dyDescent="0.25">
      <c r="A303" t="b">
        <f t="shared" si="26"/>
        <v>0</v>
      </c>
      <c r="B303">
        <v>2006</v>
      </c>
      <c r="C303">
        <v>133</v>
      </c>
      <c r="D303">
        <v>0</v>
      </c>
      <c r="E303">
        <v>2200</v>
      </c>
      <c r="F303" s="7">
        <v>-2.653</v>
      </c>
      <c r="G303" s="7">
        <v>7.54</v>
      </c>
      <c r="H303" s="7">
        <v>0</v>
      </c>
      <c r="I303" s="7" t="str">
        <f t="shared" si="22"/>
        <v/>
      </c>
      <c r="J303" s="7" t="str">
        <f t="shared" si="23"/>
        <v/>
      </c>
      <c r="K303" s="7">
        <v>0</v>
      </c>
      <c r="L303" s="7" t="str">
        <f t="shared" si="24"/>
        <v/>
      </c>
      <c r="M303" s="7" t="str">
        <f t="shared" si="25"/>
        <v/>
      </c>
      <c r="N303" s="7">
        <v>0</v>
      </c>
      <c r="O303" s="7"/>
      <c r="P303" s="7"/>
      <c r="Q303" s="7"/>
      <c r="AC303"/>
      <c r="AD303" s="14"/>
    </row>
    <row r="304" spans="1:30" x14ac:dyDescent="0.25">
      <c r="A304" t="b">
        <f t="shared" si="26"/>
        <v>0</v>
      </c>
      <c r="B304">
        <v>2006</v>
      </c>
      <c r="C304">
        <v>133</v>
      </c>
      <c r="D304">
        <v>0</v>
      </c>
      <c r="E304">
        <v>2300</v>
      </c>
      <c r="F304" s="7">
        <v>-2.351</v>
      </c>
      <c r="G304" s="7">
        <v>6.9939999999999998</v>
      </c>
      <c r="H304" s="7">
        <v>0</v>
      </c>
      <c r="I304" s="7" t="str">
        <f t="shared" si="22"/>
        <v/>
      </c>
      <c r="J304" s="7" t="str">
        <f t="shared" si="23"/>
        <v/>
      </c>
      <c r="K304" s="7">
        <v>0</v>
      </c>
      <c r="L304" s="7" t="str">
        <f t="shared" si="24"/>
        <v/>
      </c>
      <c r="M304" s="7" t="str">
        <f t="shared" si="25"/>
        <v/>
      </c>
      <c r="N304" s="7">
        <v>0</v>
      </c>
      <c r="O304" s="7"/>
      <c r="P304" s="7"/>
      <c r="Q304" s="7"/>
      <c r="AC304"/>
      <c r="AD304" s="14"/>
    </row>
    <row r="305" spans="1:30" x14ac:dyDescent="0.25">
      <c r="A305" t="b">
        <f t="shared" si="26"/>
        <v>0</v>
      </c>
      <c r="B305">
        <v>2006</v>
      </c>
      <c r="C305">
        <v>133</v>
      </c>
      <c r="D305">
        <v>0</v>
      </c>
      <c r="E305">
        <v>2400</v>
      </c>
      <c r="F305" s="7">
        <v>-1.639</v>
      </c>
      <c r="G305" s="7">
        <v>7.4</v>
      </c>
      <c r="H305" s="7">
        <v>0</v>
      </c>
      <c r="I305" s="7" t="str">
        <f t="shared" si="22"/>
        <v/>
      </c>
      <c r="J305" s="7" t="str">
        <f t="shared" si="23"/>
        <v/>
      </c>
      <c r="K305" s="7">
        <v>0</v>
      </c>
      <c r="L305" s="7" t="str">
        <f t="shared" si="24"/>
        <v/>
      </c>
      <c r="M305" s="7" t="str">
        <f t="shared" si="25"/>
        <v/>
      </c>
      <c r="N305" s="7">
        <v>0</v>
      </c>
      <c r="O305" s="7"/>
      <c r="P305" s="7"/>
      <c r="Q305" s="7"/>
      <c r="AC305"/>
      <c r="AD305" s="14"/>
    </row>
    <row r="306" spans="1:30" x14ac:dyDescent="0.25">
      <c r="A306" t="b">
        <f t="shared" si="26"/>
        <v>1</v>
      </c>
      <c r="B306">
        <v>2006</v>
      </c>
      <c r="C306">
        <v>134</v>
      </c>
      <c r="D306">
        <v>0</v>
      </c>
      <c r="E306">
        <v>100</v>
      </c>
      <c r="F306" s="7">
        <v>-1.2250000000000001</v>
      </c>
      <c r="G306" s="7">
        <v>7.2</v>
      </c>
      <c r="H306" s="7">
        <v>0</v>
      </c>
      <c r="I306" s="7">
        <f t="shared" si="22"/>
        <v>6.6000000000000005</v>
      </c>
      <c r="J306" s="7">
        <f t="shared" si="23"/>
        <v>81.753458333333313</v>
      </c>
      <c r="K306" s="7">
        <v>0</v>
      </c>
      <c r="L306" s="7">
        <f t="shared" si="24"/>
        <v>10.65</v>
      </c>
      <c r="M306" s="7">
        <f t="shared" si="25"/>
        <v>7.09</v>
      </c>
      <c r="N306" s="7">
        <v>0</v>
      </c>
      <c r="O306" s="7"/>
      <c r="P306" s="7"/>
      <c r="Q306" s="7"/>
      <c r="AC306"/>
      <c r="AD306" s="14"/>
    </row>
    <row r="307" spans="1:30" x14ac:dyDescent="0.25">
      <c r="A307" t="b">
        <f t="shared" si="26"/>
        <v>0</v>
      </c>
      <c r="B307">
        <v>2006</v>
      </c>
      <c r="C307">
        <v>134</v>
      </c>
      <c r="D307">
        <v>0</v>
      </c>
      <c r="E307">
        <v>200</v>
      </c>
      <c r="F307" s="7">
        <v>-0.82299999999999995</v>
      </c>
      <c r="G307" s="7">
        <v>7.3</v>
      </c>
      <c r="H307" s="7">
        <v>0.2</v>
      </c>
      <c r="I307" s="7" t="str">
        <f t="shared" si="22"/>
        <v/>
      </c>
      <c r="J307" s="7" t="str">
        <f t="shared" si="23"/>
        <v/>
      </c>
      <c r="K307" s="7">
        <v>0</v>
      </c>
      <c r="L307" s="7" t="str">
        <f t="shared" si="24"/>
        <v/>
      </c>
      <c r="M307" s="7" t="str">
        <f t="shared" si="25"/>
        <v/>
      </c>
      <c r="N307" s="7">
        <v>0</v>
      </c>
      <c r="O307" s="7"/>
      <c r="P307" s="7"/>
      <c r="Q307" s="7"/>
      <c r="AC307"/>
      <c r="AD307" s="14"/>
    </row>
    <row r="308" spans="1:30" x14ac:dyDescent="0.25">
      <c r="A308" t="b">
        <f t="shared" si="26"/>
        <v>0</v>
      </c>
      <c r="B308">
        <v>2006</v>
      </c>
      <c r="C308">
        <v>134</v>
      </c>
      <c r="D308">
        <v>0</v>
      </c>
      <c r="E308">
        <v>300</v>
      </c>
      <c r="F308" s="7">
        <v>-1.1439999999999999</v>
      </c>
      <c r="G308" s="7">
        <v>7.09</v>
      </c>
      <c r="H308" s="7">
        <v>0.4</v>
      </c>
      <c r="I308" s="7" t="str">
        <f t="shared" si="22"/>
        <v/>
      </c>
      <c r="J308" s="7" t="str">
        <f t="shared" si="23"/>
        <v/>
      </c>
      <c r="K308" s="7">
        <v>0</v>
      </c>
      <c r="L308" s="7" t="str">
        <f t="shared" si="24"/>
        <v/>
      </c>
      <c r="M308" s="7" t="str">
        <f t="shared" si="25"/>
        <v/>
      </c>
      <c r="N308" s="7">
        <v>0</v>
      </c>
      <c r="O308" s="7"/>
      <c r="P308" s="7"/>
      <c r="Q308" s="7"/>
      <c r="AC308"/>
      <c r="AD308" s="14"/>
    </row>
    <row r="309" spans="1:30" x14ac:dyDescent="0.25">
      <c r="A309" t="b">
        <f t="shared" si="26"/>
        <v>0</v>
      </c>
      <c r="B309">
        <v>2006</v>
      </c>
      <c r="C309">
        <v>134</v>
      </c>
      <c r="D309">
        <v>0</v>
      </c>
      <c r="E309">
        <v>400</v>
      </c>
      <c r="F309" s="7">
        <v>-0.748</v>
      </c>
      <c r="G309" s="7">
        <v>7.37</v>
      </c>
      <c r="H309" s="7">
        <v>0.6</v>
      </c>
      <c r="I309" s="7" t="str">
        <f t="shared" si="22"/>
        <v/>
      </c>
      <c r="J309" s="7" t="str">
        <f t="shared" si="23"/>
        <v/>
      </c>
      <c r="K309" s="7">
        <v>0</v>
      </c>
      <c r="L309" s="7" t="str">
        <f t="shared" si="24"/>
        <v/>
      </c>
      <c r="M309" s="7" t="str">
        <f t="shared" si="25"/>
        <v/>
      </c>
      <c r="N309" s="7">
        <v>0</v>
      </c>
      <c r="O309" s="7"/>
      <c r="P309" s="7"/>
      <c r="Q309" s="7"/>
      <c r="AC309"/>
      <c r="AD309" s="14"/>
    </row>
    <row r="310" spans="1:30" x14ac:dyDescent="0.25">
      <c r="A310" t="b">
        <f t="shared" si="26"/>
        <v>0</v>
      </c>
      <c r="B310">
        <v>2006</v>
      </c>
      <c r="C310">
        <v>134</v>
      </c>
      <c r="D310">
        <v>0</v>
      </c>
      <c r="E310">
        <v>500</v>
      </c>
      <c r="F310" s="7">
        <v>0.59399999999999997</v>
      </c>
      <c r="G310" s="7">
        <v>7.83</v>
      </c>
      <c r="H310" s="7">
        <v>0.6</v>
      </c>
      <c r="I310" s="7" t="str">
        <f t="shared" si="22"/>
        <v/>
      </c>
      <c r="J310" s="7" t="str">
        <f t="shared" si="23"/>
        <v/>
      </c>
      <c r="K310" s="7">
        <v>0</v>
      </c>
      <c r="L310" s="7" t="str">
        <f t="shared" si="24"/>
        <v/>
      </c>
      <c r="M310" s="7" t="str">
        <f t="shared" si="25"/>
        <v/>
      </c>
      <c r="N310" s="7">
        <v>0</v>
      </c>
      <c r="O310" s="7"/>
      <c r="P310" s="7"/>
      <c r="Q310" s="7"/>
      <c r="AC310"/>
      <c r="AD310" s="14"/>
    </row>
    <row r="311" spans="1:30" x14ac:dyDescent="0.25">
      <c r="A311" t="b">
        <f t="shared" si="26"/>
        <v>0</v>
      </c>
      <c r="B311">
        <v>2006</v>
      </c>
      <c r="C311">
        <v>134</v>
      </c>
      <c r="D311">
        <v>0</v>
      </c>
      <c r="E311">
        <v>600</v>
      </c>
      <c r="F311" s="7">
        <v>14.93</v>
      </c>
      <c r="G311" s="7">
        <v>8.42</v>
      </c>
      <c r="H311" s="7">
        <v>0.2</v>
      </c>
      <c r="I311" s="7" t="str">
        <f t="shared" si="22"/>
        <v/>
      </c>
      <c r="J311" s="7" t="str">
        <f t="shared" si="23"/>
        <v/>
      </c>
      <c r="K311" s="7">
        <v>0</v>
      </c>
      <c r="L311" s="7" t="str">
        <f t="shared" si="24"/>
        <v/>
      </c>
      <c r="M311" s="7" t="str">
        <f t="shared" si="25"/>
        <v/>
      </c>
      <c r="N311" s="7">
        <v>0</v>
      </c>
      <c r="O311" s="7"/>
      <c r="P311" s="7"/>
      <c r="Q311" s="7"/>
      <c r="AC311"/>
      <c r="AD311" s="14"/>
    </row>
    <row r="312" spans="1:30" x14ac:dyDescent="0.25">
      <c r="A312" t="b">
        <f t="shared" si="26"/>
        <v>0</v>
      </c>
      <c r="B312">
        <v>2006</v>
      </c>
      <c r="C312">
        <v>134</v>
      </c>
      <c r="D312">
        <v>0</v>
      </c>
      <c r="E312">
        <v>700</v>
      </c>
      <c r="F312" s="7">
        <v>38.54</v>
      </c>
      <c r="G312" s="7">
        <v>8.7100000000000009</v>
      </c>
      <c r="H312" s="7">
        <v>0.4</v>
      </c>
      <c r="I312" s="7" t="str">
        <f t="shared" si="22"/>
        <v/>
      </c>
      <c r="J312" s="7" t="str">
        <f t="shared" si="23"/>
        <v/>
      </c>
      <c r="K312" s="7">
        <v>0</v>
      </c>
      <c r="L312" s="7" t="str">
        <f t="shared" si="24"/>
        <v/>
      </c>
      <c r="M312" s="7" t="str">
        <f t="shared" si="25"/>
        <v/>
      </c>
      <c r="N312" s="7">
        <v>0</v>
      </c>
      <c r="O312" s="7"/>
      <c r="P312" s="7"/>
      <c r="Q312" s="7"/>
      <c r="AC312"/>
      <c r="AD312" s="14"/>
    </row>
    <row r="313" spans="1:30" x14ac:dyDescent="0.25">
      <c r="A313" t="b">
        <f t="shared" si="26"/>
        <v>0</v>
      </c>
      <c r="B313">
        <v>2006</v>
      </c>
      <c r="C313">
        <v>134</v>
      </c>
      <c r="D313">
        <v>0</v>
      </c>
      <c r="E313">
        <v>800</v>
      </c>
      <c r="F313" s="7">
        <v>44.45</v>
      </c>
      <c r="G313" s="7">
        <v>8.7799999999999994</v>
      </c>
      <c r="H313" s="7">
        <v>0</v>
      </c>
      <c r="I313" s="7" t="str">
        <f t="shared" si="22"/>
        <v/>
      </c>
      <c r="J313" s="7" t="str">
        <f t="shared" si="23"/>
        <v/>
      </c>
      <c r="K313" s="7">
        <v>0</v>
      </c>
      <c r="L313" s="7" t="str">
        <f t="shared" si="24"/>
        <v/>
      </c>
      <c r="M313" s="7" t="str">
        <f t="shared" si="25"/>
        <v/>
      </c>
      <c r="N313" s="7">
        <v>0</v>
      </c>
      <c r="O313" s="7"/>
      <c r="P313" s="7"/>
      <c r="Q313" s="7"/>
      <c r="AC313"/>
      <c r="AD313" s="14"/>
    </row>
    <row r="314" spans="1:30" x14ac:dyDescent="0.25">
      <c r="A314" t="b">
        <f t="shared" si="26"/>
        <v>0</v>
      </c>
      <c r="B314">
        <v>2006</v>
      </c>
      <c r="C314">
        <v>134</v>
      </c>
      <c r="D314">
        <v>0</v>
      </c>
      <c r="E314">
        <v>900</v>
      </c>
      <c r="F314" s="7">
        <v>102.3</v>
      </c>
      <c r="G314" s="7">
        <v>9.27</v>
      </c>
      <c r="H314" s="7">
        <v>0</v>
      </c>
      <c r="I314" s="7" t="str">
        <f t="shared" si="22"/>
        <v/>
      </c>
      <c r="J314" s="7" t="str">
        <f t="shared" si="23"/>
        <v/>
      </c>
      <c r="K314" s="7">
        <v>0</v>
      </c>
      <c r="L314" s="7" t="str">
        <f t="shared" si="24"/>
        <v/>
      </c>
      <c r="M314" s="7" t="str">
        <f t="shared" si="25"/>
        <v/>
      </c>
      <c r="N314" s="7">
        <v>0</v>
      </c>
      <c r="O314" s="7"/>
      <c r="P314" s="7"/>
      <c r="Q314" s="7"/>
      <c r="AC314"/>
      <c r="AD314" s="14"/>
    </row>
    <row r="315" spans="1:30" x14ac:dyDescent="0.25">
      <c r="A315" t="b">
        <f t="shared" si="26"/>
        <v>0</v>
      </c>
      <c r="B315">
        <v>2006</v>
      </c>
      <c r="C315">
        <v>134</v>
      </c>
      <c r="D315">
        <v>0</v>
      </c>
      <c r="E315">
        <v>1000</v>
      </c>
      <c r="F315" s="7">
        <v>190.8</v>
      </c>
      <c r="G315" s="7">
        <v>9.4499999999999993</v>
      </c>
      <c r="H315" s="7">
        <v>0</v>
      </c>
      <c r="I315" s="7" t="str">
        <f t="shared" si="22"/>
        <v/>
      </c>
      <c r="J315" s="7" t="str">
        <f t="shared" si="23"/>
        <v/>
      </c>
      <c r="K315" s="7">
        <v>0</v>
      </c>
      <c r="L315" s="7" t="str">
        <f t="shared" si="24"/>
        <v/>
      </c>
      <c r="M315" s="7" t="str">
        <f t="shared" si="25"/>
        <v/>
      </c>
      <c r="N315" s="7">
        <v>0</v>
      </c>
      <c r="O315" s="7"/>
      <c r="P315" s="7"/>
      <c r="Q315" s="7"/>
      <c r="AC315"/>
      <c r="AD315" s="14"/>
    </row>
    <row r="316" spans="1:30" x14ac:dyDescent="0.25">
      <c r="A316" t="b">
        <f t="shared" si="26"/>
        <v>0</v>
      </c>
      <c r="B316">
        <v>2006</v>
      </c>
      <c r="C316">
        <v>134</v>
      </c>
      <c r="D316">
        <v>0</v>
      </c>
      <c r="E316">
        <v>1100</v>
      </c>
      <c r="F316" s="7">
        <v>203.9</v>
      </c>
      <c r="G316" s="7">
        <v>9.65</v>
      </c>
      <c r="H316" s="7">
        <v>0</v>
      </c>
      <c r="I316" s="7" t="str">
        <f t="shared" si="22"/>
        <v/>
      </c>
      <c r="J316" s="7" t="str">
        <f t="shared" si="23"/>
        <v/>
      </c>
      <c r="K316" s="7">
        <v>0</v>
      </c>
      <c r="L316" s="7" t="str">
        <f t="shared" si="24"/>
        <v/>
      </c>
      <c r="M316" s="7" t="str">
        <f t="shared" si="25"/>
        <v/>
      </c>
      <c r="N316" s="7">
        <v>0</v>
      </c>
      <c r="O316" s="7"/>
      <c r="P316" s="7"/>
      <c r="Q316" s="7"/>
      <c r="AC316"/>
      <c r="AD316" s="14"/>
    </row>
    <row r="317" spans="1:30" x14ac:dyDescent="0.25">
      <c r="A317" t="b">
        <f t="shared" si="26"/>
        <v>0</v>
      </c>
      <c r="B317">
        <v>2006</v>
      </c>
      <c r="C317">
        <v>134</v>
      </c>
      <c r="D317">
        <v>0</v>
      </c>
      <c r="E317">
        <v>1200</v>
      </c>
      <c r="F317" s="7">
        <v>238.4</v>
      </c>
      <c r="G317" s="7">
        <v>9.8800000000000008</v>
      </c>
      <c r="H317" s="7">
        <v>0</v>
      </c>
      <c r="I317" s="7" t="str">
        <f t="shared" si="22"/>
        <v/>
      </c>
      <c r="J317" s="7" t="str">
        <f t="shared" si="23"/>
        <v/>
      </c>
      <c r="K317" s="7">
        <v>0</v>
      </c>
      <c r="L317" s="7" t="str">
        <f t="shared" si="24"/>
        <v/>
      </c>
      <c r="M317" s="7" t="str">
        <f t="shared" si="25"/>
        <v/>
      </c>
      <c r="N317" s="7">
        <v>0</v>
      </c>
      <c r="O317" s="7"/>
      <c r="P317" s="7"/>
      <c r="Q317" s="7"/>
      <c r="AC317"/>
      <c r="AD317" s="14"/>
    </row>
    <row r="318" spans="1:30" x14ac:dyDescent="0.25">
      <c r="A318" t="b">
        <f t="shared" si="26"/>
        <v>0</v>
      </c>
      <c r="B318">
        <v>2006</v>
      </c>
      <c r="C318">
        <v>134</v>
      </c>
      <c r="D318">
        <v>0</v>
      </c>
      <c r="E318">
        <v>1300</v>
      </c>
      <c r="F318" s="7">
        <v>228.1</v>
      </c>
      <c r="G318" s="7">
        <v>10.35</v>
      </c>
      <c r="H318" s="7">
        <v>0</v>
      </c>
      <c r="I318" s="7" t="str">
        <f t="shared" si="22"/>
        <v/>
      </c>
      <c r="J318" s="7" t="str">
        <f t="shared" si="23"/>
        <v/>
      </c>
      <c r="K318" s="7">
        <v>0</v>
      </c>
      <c r="L318" s="7" t="str">
        <f t="shared" si="24"/>
        <v/>
      </c>
      <c r="M318" s="7" t="str">
        <f t="shared" si="25"/>
        <v/>
      </c>
      <c r="N318" s="7">
        <v>0</v>
      </c>
      <c r="O318" s="7"/>
      <c r="P318" s="7"/>
      <c r="Q318" s="7"/>
      <c r="AC318"/>
      <c r="AD318" s="14"/>
    </row>
    <row r="319" spans="1:30" x14ac:dyDescent="0.25">
      <c r="A319" t="b">
        <f t="shared" si="26"/>
        <v>0</v>
      </c>
      <c r="B319">
        <v>2006</v>
      </c>
      <c r="C319">
        <v>134</v>
      </c>
      <c r="D319">
        <v>0</v>
      </c>
      <c r="E319">
        <v>1400</v>
      </c>
      <c r="F319" s="7">
        <v>214.6</v>
      </c>
      <c r="G319" s="7">
        <v>10.4</v>
      </c>
      <c r="H319" s="7">
        <v>0</v>
      </c>
      <c r="I319" s="7" t="str">
        <f t="shared" si="22"/>
        <v/>
      </c>
      <c r="J319" s="7" t="str">
        <f t="shared" si="23"/>
        <v/>
      </c>
      <c r="K319" s="7">
        <v>0</v>
      </c>
      <c r="L319" s="7" t="str">
        <f t="shared" si="24"/>
        <v/>
      </c>
      <c r="M319" s="7" t="str">
        <f t="shared" si="25"/>
        <v/>
      </c>
      <c r="N319" s="7">
        <v>0</v>
      </c>
      <c r="O319" s="7"/>
      <c r="P319" s="7"/>
      <c r="Q319" s="7"/>
      <c r="AC319"/>
      <c r="AD319" s="14"/>
    </row>
    <row r="320" spans="1:30" x14ac:dyDescent="0.25">
      <c r="A320" t="b">
        <f t="shared" si="26"/>
        <v>0</v>
      </c>
      <c r="B320">
        <v>2006</v>
      </c>
      <c r="C320">
        <v>134</v>
      </c>
      <c r="D320">
        <v>0</v>
      </c>
      <c r="E320">
        <v>1500</v>
      </c>
      <c r="F320" s="7">
        <v>245.4</v>
      </c>
      <c r="G320" s="7">
        <v>10.52</v>
      </c>
      <c r="H320" s="7">
        <v>0</v>
      </c>
      <c r="I320" s="7" t="str">
        <f t="shared" si="22"/>
        <v/>
      </c>
      <c r="J320" s="7" t="str">
        <f t="shared" si="23"/>
        <v/>
      </c>
      <c r="K320" s="7">
        <v>0</v>
      </c>
      <c r="L320" s="7" t="str">
        <f t="shared" si="24"/>
        <v/>
      </c>
      <c r="M320" s="7" t="str">
        <f t="shared" si="25"/>
        <v/>
      </c>
      <c r="N320" s="7">
        <v>0</v>
      </c>
      <c r="O320" s="7"/>
      <c r="P320" s="7"/>
      <c r="Q320" s="7"/>
      <c r="AC320"/>
      <c r="AD320" s="14"/>
    </row>
    <row r="321" spans="1:30" x14ac:dyDescent="0.25">
      <c r="A321" t="b">
        <f t="shared" si="26"/>
        <v>0</v>
      </c>
      <c r="B321">
        <v>2006</v>
      </c>
      <c r="C321">
        <v>134</v>
      </c>
      <c r="D321">
        <v>0</v>
      </c>
      <c r="E321">
        <v>1600</v>
      </c>
      <c r="F321" s="7">
        <v>172.8</v>
      </c>
      <c r="G321" s="7">
        <v>10.09</v>
      </c>
      <c r="H321" s="7">
        <v>0.4</v>
      </c>
      <c r="I321" s="7" t="str">
        <f t="shared" si="22"/>
        <v/>
      </c>
      <c r="J321" s="7" t="str">
        <f t="shared" si="23"/>
        <v/>
      </c>
      <c r="K321" s="7">
        <v>0</v>
      </c>
      <c r="L321" s="7" t="str">
        <f t="shared" si="24"/>
        <v/>
      </c>
      <c r="M321" s="7" t="str">
        <f t="shared" si="25"/>
        <v/>
      </c>
      <c r="N321" s="7">
        <v>0</v>
      </c>
      <c r="O321" s="7"/>
      <c r="P321" s="7"/>
      <c r="Q321" s="7"/>
      <c r="AC321"/>
      <c r="AD321" s="14"/>
    </row>
    <row r="322" spans="1:30" x14ac:dyDescent="0.25">
      <c r="A322" t="b">
        <f t="shared" si="26"/>
        <v>0</v>
      </c>
      <c r="B322">
        <v>2006</v>
      </c>
      <c r="C322">
        <v>134</v>
      </c>
      <c r="D322">
        <v>0</v>
      </c>
      <c r="E322">
        <v>1700</v>
      </c>
      <c r="F322" s="7">
        <v>111.6</v>
      </c>
      <c r="G322" s="7">
        <v>10.16</v>
      </c>
      <c r="H322" s="7">
        <v>0.6</v>
      </c>
      <c r="I322" s="7" t="str">
        <f t="shared" ref="I322:I385" si="27">IF(AND(B322=B321,C322=C321),"",SUMIFS($H$2:$H$1529,$B$2:$B$1529,B322,$C$2:$C$1529,C322))</f>
        <v/>
      </c>
      <c r="J322" s="7" t="str">
        <f t="shared" ref="J322:J385" si="28">IF(AND(B322=B321,C322=C321),"",AVERAGEIFS($F$2:$F$1529,$B$2:$B$1529,B322,$C$2:$C$1529,C322))</f>
        <v/>
      </c>
      <c r="K322" s="7">
        <v>0</v>
      </c>
      <c r="L322" s="7" t="str">
        <f t="shared" ref="L322:L385" si="29">IF(AND(B322=B321,C322=C321),"",_xlfn.MAXIFS($G$2:$G$1529,$B$2:$B$1529,B322,$C$2:$C$1529,C322))</f>
        <v/>
      </c>
      <c r="M322" s="7" t="str">
        <f t="shared" ref="M322:M385" si="30">IF(AND(B322=B321,C322=C321),"",_xlfn.MINIFS($G$2:$G$1529,$B$2:$B$1529,B322,$C$2:$C$1529,C322))</f>
        <v/>
      </c>
      <c r="N322" s="7">
        <v>0</v>
      </c>
      <c r="O322" s="7"/>
      <c r="P322" s="7"/>
      <c r="Q322" s="7"/>
      <c r="AC322"/>
      <c r="AD322" s="14"/>
    </row>
    <row r="323" spans="1:30" x14ac:dyDescent="0.25">
      <c r="A323" t="b">
        <f t="shared" ref="A323:A386" si="31">NOT(I323="")</f>
        <v>0</v>
      </c>
      <c r="B323">
        <v>2006</v>
      </c>
      <c r="C323">
        <v>134</v>
      </c>
      <c r="D323">
        <v>0</v>
      </c>
      <c r="E323">
        <v>1800</v>
      </c>
      <c r="F323" s="7">
        <v>84.7</v>
      </c>
      <c r="G323" s="7">
        <v>10.48</v>
      </c>
      <c r="H323" s="7">
        <v>0.4</v>
      </c>
      <c r="I323" s="7" t="str">
        <f t="shared" si="27"/>
        <v/>
      </c>
      <c r="J323" s="7" t="str">
        <f t="shared" si="28"/>
        <v/>
      </c>
      <c r="K323" s="7">
        <v>0</v>
      </c>
      <c r="L323" s="7" t="str">
        <f t="shared" si="29"/>
        <v/>
      </c>
      <c r="M323" s="7" t="str">
        <f t="shared" si="30"/>
        <v/>
      </c>
      <c r="N323" s="7">
        <v>0</v>
      </c>
      <c r="O323" s="7"/>
      <c r="P323" s="7"/>
      <c r="Q323" s="7"/>
      <c r="AC323"/>
      <c r="AD323" s="14"/>
    </row>
    <row r="324" spans="1:30" x14ac:dyDescent="0.25">
      <c r="A324" t="b">
        <f t="shared" si="31"/>
        <v>0</v>
      </c>
      <c r="B324">
        <v>2006</v>
      </c>
      <c r="C324">
        <v>134</v>
      </c>
      <c r="D324">
        <v>0</v>
      </c>
      <c r="E324">
        <v>1900</v>
      </c>
      <c r="F324" s="7">
        <v>57.4</v>
      </c>
      <c r="G324" s="7">
        <v>10.65</v>
      </c>
      <c r="H324" s="7">
        <v>0.4</v>
      </c>
      <c r="I324" s="7" t="str">
        <f t="shared" si="27"/>
        <v/>
      </c>
      <c r="J324" s="7" t="str">
        <f t="shared" si="28"/>
        <v/>
      </c>
      <c r="K324" s="7">
        <v>0</v>
      </c>
      <c r="L324" s="7" t="str">
        <f t="shared" si="29"/>
        <v/>
      </c>
      <c r="M324" s="7" t="str">
        <f t="shared" si="30"/>
        <v/>
      </c>
      <c r="N324" s="7">
        <v>0</v>
      </c>
      <c r="O324" s="7"/>
      <c r="P324" s="7"/>
      <c r="Q324" s="7"/>
      <c r="AC324"/>
      <c r="AD324" s="14"/>
    </row>
    <row r="325" spans="1:30" x14ac:dyDescent="0.25">
      <c r="A325" t="b">
        <f t="shared" si="31"/>
        <v>0</v>
      </c>
      <c r="B325">
        <v>2006</v>
      </c>
      <c r="C325">
        <v>134</v>
      </c>
      <c r="D325">
        <v>0</v>
      </c>
      <c r="E325">
        <v>2000</v>
      </c>
      <c r="F325" s="7">
        <v>18.25</v>
      </c>
      <c r="G325" s="7">
        <v>10.64</v>
      </c>
      <c r="H325" s="7">
        <v>0.2</v>
      </c>
      <c r="I325" s="7" t="str">
        <f t="shared" si="27"/>
        <v/>
      </c>
      <c r="J325" s="7" t="str">
        <f t="shared" si="28"/>
        <v/>
      </c>
      <c r="K325" s="7">
        <v>0</v>
      </c>
      <c r="L325" s="7" t="str">
        <f t="shared" si="29"/>
        <v/>
      </c>
      <c r="M325" s="7" t="str">
        <f t="shared" si="30"/>
        <v/>
      </c>
      <c r="N325" s="7">
        <v>0</v>
      </c>
      <c r="O325" s="7"/>
      <c r="P325" s="7"/>
      <c r="Q325" s="7"/>
      <c r="AC325"/>
      <c r="AD325" s="14"/>
    </row>
    <row r="326" spans="1:30" x14ac:dyDescent="0.25">
      <c r="A326" t="b">
        <f t="shared" si="31"/>
        <v>0</v>
      </c>
      <c r="B326">
        <v>2006</v>
      </c>
      <c r="C326">
        <v>134</v>
      </c>
      <c r="D326">
        <v>0</v>
      </c>
      <c r="E326">
        <v>2100</v>
      </c>
      <c r="F326" s="7">
        <v>1.1259999999999999</v>
      </c>
      <c r="G326" s="7">
        <v>10.43</v>
      </c>
      <c r="H326" s="7">
        <v>0.2</v>
      </c>
      <c r="I326" s="7" t="str">
        <f t="shared" si="27"/>
        <v/>
      </c>
      <c r="J326" s="7" t="str">
        <f t="shared" si="28"/>
        <v/>
      </c>
      <c r="K326" s="7">
        <v>0</v>
      </c>
      <c r="L326" s="7" t="str">
        <f t="shared" si="29"/>
        <v/>
      </c>
      <c r="M326" s="7" t="str">
        <f t="shared" si="30"/>
        <v/>
      </c>
      <c r="N326" s="7">
        <v>0</v>
      </c>
      <c r="O326" s="7"/>
      <c r="P326" s="7"/>
      <c r="Q326" s="7"/>
      <c r="AC326"/>
      <c r="AD326" s="14"/>
    </row>
    <row r="327" spans="1:30" x14ac:dyDescent="0.25">
      <c r="A327" t="b">
        <f t="shared" si="31"/>
        <v>0</v>
      </c>
      <c r="B327">
        <v>2006</v>
      </c>
      <c r="C327">
        <v>134</v>
      </c>
      <c r="D327">
        <v>0</v>
      </c>
      <c r="E327">
        <v>2200</v>
      </c>
      <c r="F327" s="7">
        <v>-0.57299999999999995</v>
      </c>
      <c r="G327" s="7">
        <v>10.47</v>
      </c>
      <c r="H327" s="7">
        <v>1</v>
      </c>
      <c r="I327" s="7" t="str">
        <f t="shared" si="27"/>
        <v/>
      </c>
      <c r="J327" s="7" t="str">
        <f t="shared" si="28"/>
        <v/>
      </c>
      <c r="K327" s="7">
        <v>0</v>
      </c>
      <c r="L327" s="7" t="str">
        <f t="shared" si="29"/>
        <v/>
      </c>
      <c r="M327" s="7" t="str">
        <f t="shared" si="30"/>
        <v/>
      </c>
      <c r="N327" s="7">
        <v>0</v>
      </c>
      <c r="O327" s="7"/>
      <c r="P327" s="7"/>
      <c r="Q327" s="7"/>
      <c r="AC327"/>
      <c r="AD327" s="14"/>
    </row>
    <row r="328" spans="1:30" x14ac:dyDescent="0.25">
      <c r="A328" t="b">
        <f t="shared" si="31"/>
        <v>0</v>
      </c>
      <c r="B328">
        <v>2006</v>
      </c>
      <c r="C328">
        <v>134</v>
      </c>
      <c r="D328">
        <v>0</v>
      </c>
      <c r="E328">
        <v>2300</v>
      </c>
      <c r="F328" s="7">
        <v>-0.57299999999999995</v>
      </c>
      <c r="G328" s="7">
        <v>10.47</v>
      </c>
      <c r="H328" s="7">
        <v>0.4</v>
      </c>
      <c r="I328" s="7" t="str">
        <f t="shared" si="27"/>
        <v/>
      </c>
      <c r="J328" s="7" t="str">
        <f t="shared" si="28"/>
        <v/>
      </c>
      <c r="K328" s="7">
        <v>0</v>
      </c>
      <c r="L328" s="7" t="str">
        <f t="shared" si="29"/>
        <v/>
      </c>
      <c r="M328" s="7" t="str">
        <f t="shared" si="30"/>
        <v/>
      </c>
      <c r="N328" s="7">
        <v>0</v>
      </c>
      <c r="O328" s="7"/>
      <c r="P328" s="7"/>
      <c r="Q328" s="7"/>
      <c r="AC328"/>
      <c r="AD328" s="14"/>
    </row>
    <row r="329" spans="1:30" x14ac:dyDescent="0.25">
      <c r="A329" t="b">
        <f t="shared" si="31"/>
        <v>0</v>
      </c>
      <c r="B329">
        <v>2006</v>
      </c>
      <c r="C329">
        <v>134</v>
      </c>
      <c r="D329">
        <v>0</v>
      </c>
      <c r="E329">
        <v>2400</v>
      </c>
      <c r="F329" s="7">
        <v>-0.72099999999999997</v>
      </c>
      <c r="G329" s="7">
        <v>10.57</v>
      </c>
      <c r="H329" s="7">
        <v>0.6</v>
      </c>
      <c r="I329" s="7" t="str">
        <f t="shared" si="27"/>
        <v/>
      </c>
      <c r="J329" s="7" t="str">
        <f t="shared" si="28"/>
        <v/>
      </c>
      <c r="K329" s="7">
        <v>0</v>
      </c>
      <c r="L329" s="7" t="str">
        <f t="shared" si="29"/>
        <v/>
      </c>
      <c r="M329" s="7" t="str">
        <f t="shared" si="30"/>
        <v/>
      </c>
      <c r="N329" s="7">
        <v>0</v>
      </c>
      <c r="O329" s="7"/>
      <c r="P329" s="7"/>
      <c r="Q329" s="7"/>
      <c r="AC329"/>
      <c r="AD329" s="14"/>
    </row>
    <row r="330" spans="1:30" x14ac:dyDescent="0.25">
      <c r="A330" t="b">
        <f t="shared" si="31"/>
        <v>1</v>
      </c>
      <c r="B330">
        <v>2006</v>
      </c>
      <c r="C330">
        <v>135</v>
      </c>
      <c r="D330">
        <v>0</v>
      </c>
      <c r="E330">
        <v>100</v>
      </c>
      <c r="F330" s="7">
        <v>-0.65400000000000003</v>
      </c>
      <c r="G330" s="7">
        <v>10.78</v>
      </c>
      <c r="H330" s="7">
        <v>0</v>
      </c>
      <c r="I330" s="7">
        <f t="shared" si="27"/>
        <v>5.6000000000000005</v>
      </c>
      <c r="J330" s="7">
        <f t="shared" si="28"/>
        <v>78.143916666666669</v>
      </c>
      <c r="K330" s="7">
        <v>0</v>
      </c>
      <c r="L330" s="7">
        <f t="shared" si="29"/>
        <v>12.18</v>
      </c>
      <c r="M330" s="7">
        <f t="shared" si="30"/>
        <v>10.31</v>
      </c>
      <c r="N330" s="7">
        <v>0</v>
      </c>
      <c r="O330" s="7"/>
      <c r="P330" s="7"/>
      <c r="Q330" s="7"/>
      <c r="AC330"/>
      <c r="AD330" s="14"/>
    </row>
    <row r="331" spans="1:30" x14ac:dyDescent="0.25">
      <c r="A331" t="b">
        <f t="shared" si="31"/>
        <v>0</v>
      </c>
      <c r="B331">
        <v>2006</v>
      </c>
      <c r="C331">
        <v>135</v>
      </c>
      <c r="D331">
        <v>0</v>
      </c>
      <c r="E331">
        <v>200</v>
      </c>
      <c r="F331" s="7">
        <v>-0.84499999999999997</v>
      </c>
      <c r="G331" s="7">
        <v>11.01</v>
      </c>
      <c r="H331" s="7">
        <v>0</v>
      </c>
      <c r="I331" s="7" t="str">
        <f t="shared" si="27"/>
        <v/>
      </c>
      <c r="J331" s="7" t="str">
        <f t="shared" si="28"/>
        <v/>
      </c>
      <c r="K331" s="7">
        <v>0</v>
      </c>
      <c r="L331" s="7" t="str">
        <f t="shared" si="29"/>
        <v/>
      </c>
      <c r="M331" s="7" t="str">
        <f t="shared" si="30"/>
        <v/>
      </c>
      <c r="N331" s="7">
        <v>0</v>
      </c>
      <c r="O331" s="7"/>
      <c r="P331" s="7"/>
      <c r="Q331" s="7"/>
      <c r="AC331"/>
      <c r="AD331" s="14"/>
    </row>
    <row r="332" spans="1:30" x14ac:dyDescent="0.25">
      <c r="A332" t="b">
        <f t="shared" si="31"/>
        <v>0</v>
      </c>
      <c r="B332">
        <v>2006</v>
      </c>
      <c r="C332">
        <v>135</v>
      </c>
      <c r="D332">
        <v>0</v>
      </c>
      <c r="E332">
        <v>300</v>
      </c>
      <c r="F332" s="7">
        <v>-1.115</v>
      </c>
      <c r="G332" s="7">
        <v>10.48</v>
      </c>
      <c r="H332" s="7">
        <v>0.2</v>
      </c>
      <c r="I332" s="7" t="str">
        <f t="shared" si="27"/>
        <v/>
      </c>
      <c r="J332" s="7" t="str">
        <f t="shared" si="28"/>
        <v/>
      </c>
      <c r="K332" s="7">
        <v>0</v>
      </c>
      <c r="L332" s="7" t="str">
        <f t="shared" si="29"/>
        <v/>
      </c>
      <c r="M332" s="7" t="str">
        <f t="shared" si="30"/>
        <v/>
      </c>
      <c r="N332" s="7">
        <v>0</v>
      </c>
      <c r="O332" s="7"/>
      <c r="P332" s="7"/>
      <c r="Q332" s="7"/>
      <c r="AC332"/>
      <c r="AD332" s="14"/>
    </row>
    <row r="333" spans="1:30" x14ac:dyDescent="0.25">
      <c r="A333" t="b">
        <f t="shared" si="31"/>
        <v>0</v>
      </c>
      <c r="B333">
        <v>2006</v>
      </c>
      <c r="C333">
        <v>135</v>
      </c>
      <c r="D333">
        <v>0</v>
      </c>
      <c r="E333">
        <v>400</v>
      </c>
      <c r="F333" s="7">
        <v>-0.61899999999999999</v>
      </c>
      <c r="G333" s="7">
        <v>10.38</v>
      </c>
      <c r="H333" s="7">
        <v>0</v>
      </c>
      <c r="I333" s="7" t="str">
        <f t="shared" si="27"/>
        <v/>
      </c>
      <c r="J333" s="7" t="str">
        <f t="shared" si="28"/>
        <v/>
      </c>
      <c r="K333" s="7">
        <v>0</v>
      </c>
      <c r="L333" s="7" t="str">
        <f t="shared" si="29"/>
        <v/>
      </c>
      <c r="M333" s="7" t="str">
        <f t="shared" si="30"/>
        <v/>
      </c>
      <c r="N333" s="7">
        <v>0</v>
      </c>
      <c r="O333" s="7"/>
      <c r="P333" s="7"/>
      <c r="Q333" s="7"/>
      <c r="AC333"/>
      <c r="AD333" s="14"/>
    </row>
    <row r="334" spans="1:30" x14ac:dyDescent="0.25">
      <c r="A334" t="b">
        <f t="shared" si="31"/>
        <v>0</v>
      </c>
      <c r="B334">
        <v>2006</v>
      </c>
      <c r="C334">
        <v>135</v>
      </c>
      <c r="D334">
        <v>0</v>
      </c>
      <c r="E334">
        <v>500</v>
      </c>
      <c r="F334" s="7">
        <v>2.98</v>
      </c>
      <c r="G334" s="7">
        <v>10.31</v>
      </c>
      <c r="H334" s="7">
        <v>0</v>
      </c>
      <c r="I334" s="7" t="str">
        <f t="shared" si="27"/>
        <v/>
      </c>
      <c r="J334" s="7" t="str">
        <f t="shared" si="28"/>
        <v/>
      </c>
      <c r="K334" s="7">
        <v>0</v>
      </c>
      <c r="L334" s="7" t="str">
        <f t="shared" si="29"/>
        <v/>
      </c>
      <c r="M334" s="7" t="str">
        <f t="shared" si="30"/>
        <v/>
      </c>
      <c r="N334" s="7">
        <v>0</v>
      </c>
      <c r="O334" s="7"/>
      <c r="P334" s="7"/>
      <c r="Q334" s="7"/>
      <c r="AC334"/>
      <c r="AD334" s="14"/>
    </row>
    <row r="335" spans="1:30" x14ac:dyDescent="0.25">
      <c r="A335" t="b">
        <f t="shared" si="31"/>
        <v>0</v>
      </c>
      <c r="B335">
        <v>2006</v>
      </c>
      <c r="C335">
        <v>135</v>
      </c>
      <c r="D335">
        <v>0</v>
      </c>
      <c r="E335">
        <v>600</v>
      </c>
      <c r="F335" s="7">
        <v>34.51</v>
      </c>
      <c r="G335" s="7">
        <v>10.39</v>
      </c>
      <c r="H335" s="7">
        <v>0</v>
      </c>
      <c r="I335" s="7" t="str">
        <f t="shared" si="27"/>
        <v/>
      </c>
      <c r="J335" s="7" t="str">
        <f t="shared" si="28"/>
        <v/>
      </c>
      <c r="K335" s="7">
        <v>0</v>
      </c>
      <c r="L335" s="7" t="str">
        <f t="shared" si="29"/>
        <v/>
      </c>
      <c r="M335" s="7" t="str">
        <f t="shared" si="30"/>
        <v/>
      </c>
      <c r="N335" s="7">
        <v>0</v>
      </c>
      <c r="O335" s="7"/>
      <c r="P335" s="7"/>
      <c r="Q335" s="7"/>
      <c r="AC335"/>
      <c r="AD335" s="14"/>
    </row>
    <row r="336" spans="1:30" x14ac:dyDescent="0.25">
      <c r="A336" t="b">
        <f t="shared" si="31"/>
        <v>0</v>
      </c>
      <c r="B336">
        <v>2006</v>
      </c>
      <c r="C336">
        <v>135</v>
      </c>
      <c r="D336">
        <v>0</v>
      </c>
      <c r="E336">
        <v>700</v>
      </c>
      <c r="F336" s="7">
        <v>50.12</v>
      </c>
      <c r="G336" s="7">
        <v>10.82</v>
      </c>
      <c r="H336" s="7">
        <v>0</v>
      </c>
      <c r="I336" s="7" t="str">
        <f t="shared" si="27"/>
        <v/>
      </c>
      <c r="J336" s="7" t="str">
        <f t="shared" si="28"/>
        <v/>
      </c>
      <c r="K336" s="7">
        <v>0</v>
      </c>
      <c r="L336" s="7" t="str">
        <f t="shared" si="29"/>
        <v/>
      </c>
      <c r="M336" s="7" t="str">
        <f t="shared" si="30"/>
        <v/>
      </c>
      <c r="N336" s="7">
        <v>0</v>
      </c>
      <c r="O336" s="7"/>
      <c r="P336" s="7"/>
      <c r="Q336" s="7"/>
      <c r="AC336"/>
      <c r="AD336" s="14"/>
    </row>
    <row r="337" spans="1:30" x14ac:dyDescent="0.25">
      <c r="A337" t="b">
        <f t="shared" si="31"/>
        <v>0</v>
      </c>
      <c r="B337">
        <v>2006</v>
      </c>
      <c r="C337">
        <v>135</v>
      </c>
      <c r="D337">
        <v>0</v>
      </c>
      <c r="E337">
        <v>800</v>
      </c>
      <c r="F337" s="7">
        <v>79.400000000000006</v>
      </c>
      <c r="G337" s="7">
        <v>11.09</v>
      </c>
      <c r="H337" s="7">
        <v>0</v>
      </c>
      <c r="I337" s="7" t="str">
        <f t="shared" si="27"/>
        <v/>
      </c>
      <c r="J337" s="7" t="str">
        <f t="shared" si="28"/>
        <v/>
      </c>
      <c r="K337" s="7">
        <v>0</v>
      </c>
      <c r="L337" s="7" t="str">
        <f t="shared" si="29"/>
        <v/>
      </c>
      <c r="M337" s="7" t="str">
        <f t="shared" si="30"/>
        <v/>
      </c>
      <c r="N337" s="7">
        <v>0</v>
      </c>
      <c r="O337" s="7"/>
      <c r="P337" s="7"/>
      <c r="Q337" s="7"/>
      <c r="AC337"/>
      <c r="AD337" s="14"/>
    </row>
    <row r="338" spans="1:30" x14ac:dyDescent="0.25">
      <c r="A338" t="b">
        <f t="shared" si="31"/>
        <v>0</v>
      </c>
      <c r="B338">
        <v>2006</v>
      </c>
      <c r="C338">
        <v>135</v>
      </c>
      <c r="D338">
        <v>0</v>
      </c>
      <c r="E338">
        <v>900</v>
      </c>
      <c r="F338" s="7">
        <v>134.30000000000001</v>
      </c>
      <c r="G338" s="7">
        <v>11.57</v>
      </c>
      <c r="H338" s="7">
        <v>0.2</v>
      </c>
      <c r="I338" s="7" t="str">
        <f t="shared" si="27"/>
        <v/>
      </c>
      <c r="J338" s="7" t="str">
        <f t="shared" si="28"/>
        <v/>
      </c>
      <c r="K338" s="7">
        <v>0</v>
      </c>
      <c r="L338" s="7" t="str">
        <f t="shared" si="29"/>
        <v/>
      </c>
      <c r="M338" s="7" t="str">
        <f t="shared" si="30"/>
        <v/>
      </c>
      <c r="N338" s="7">
        <v>0</v>
      </c>
      <c r="O338" s="7"/>
      <c r="P338" s="7"/>
      <c r="Q338" s="7"/>
      <c r="AC338"/>
      <c r="AD338" s="14"/>
    </row>
    <row r="339" spans="1:30" x14ac:dyDescent="0.25">
      <c r="A339" t="b">
        <f t="shared" si="31"/>
        <v>0</v>
      </c>
      <c r="B339">
        <v>2006</v>
      </c>
      <c r="C339">
        <v>135</v>
      </c>
      <c r="D339">
        <v>0</v>
      </c>
      <c r="E339">
        <v>1000</v>
      </c>
      <c r="F339" s="7">
        <v>175.6</v>
      </c>
      <c r="G339" s="7">
        <v>11.51</v>
      </c>
      <c r="H339" s="7">
        <v>0.4</v>
      </c>
      <c r="I339" s="7" t="str">
        <f t="shared" si="27"/>
        <v/>
      </c>
      <c r="J339" s="7" t="str">
        <f t="shared" si="28"/>
        <v/>
      </c>
      <c r="K339" s="7">
        <v>0</v>
      </c>
      <c r="L339" s="7" t="str">
        <f t="shared" si="29"/>
        <v/>
      </c>
      <c r="M339" s="7" t="str">
        <f t="shared" si="30"/>
        <v/>
      </c>
      <c r="N339" s="7">
        <v>0</v>
      </c>
      <c r="O339" s="7"/>
      <c r="P339" s="7"/>
      <c r="Q339" s="7"/>
      <c r="AC339"/>
      <c r="AD339" s="14"/>
    </row>
    <row r="340" spans="1:30" x14ac:dyDescent="0.25">
      <c r="A340" t="b">
        <f t="shared" si="31"/>
        <v>0</v>
      </c>
      <c r="B340">
        <v>2006</v>
      </c>
      <c r="C340">
        <v>135</v>
      </c>
      <c r="D340">
        <v>0</v>
      </c>
      <c r="E340">
        <v>1100</v>
      </c>
      <c r="F340" s="7">
        <v>260.89999999999998</v>
      </c>
      <c r="G340" s="7">
        <v>11.83</v>
      </c>
      <c r="H340" s="7">
        <v>0</v>
      </c>
      <c r="I340" s="7" t="str">
        <f t="shared" si="27"/>
        <v/>
      </c>
      <c r="J340" s="7" t="str">
        <f t="shared" si="28"/>
        <v/>
      </c>
      <c r="K340" s="7">
        <v>0</v>
      </c>
      <c r="L340" s="7" t="str">
        <f t="shared" si="29"/>
        <v/>
      </c>
      <c r="M340" s="7" t="str">
        <f t="shared" si="30"/>
        <v/>
      </c>
      <c r="N340" s="7">
        <v>0</v>
      </c>
      <c r="O340" s="7"/>
      <c r="P340" s="7"/>
      <c r="Q340" s="7"/>
      <c r="AC340"/>
      <c r="AD340" s="14"/>
    </row>
    <row r="341" spans="1:30" x14ac:dyDescent="0.25">
      <c r="A341" t="b">
        <f t="shared" si="31"/>
        <v>0</v>
      </c>
      <c r="B341">
        <v>2006</v>
      </c>
      <c r="C341">
        <v>135</v>
      </c>
      <c r="D341">
        <v>0</v>
      </c>
      <c r="E341">
        <v>1200</v>
      </c>
      <c r="F341" s="7">
        <v>149.1</v>
      </c>
      <c r="G341" s="7">
        <v>11.52</v>
      </c>
      <c r="H341" s="7">
        <v>1.2</v>
      </c>
      <c r="I341" s="7" t="str">
        <f t="shared" si="27"/>
        <v/>
      </c>
      <c r="J341" s="7" t="str">
        <f t="shared" si="28"/>
        <v/>
      </c>
      <c r="K341" s="7">
        <v>0</v>
      </c>
      <c r="L341" s="7" t="str">
        <f t="shared" si="29"/>
        <v/>
      </c>
      <c r="M341" s="7" t="str">
        <f t="shared" si="30"/>
        <v/>
      </c>
      <c r="N341" s="7">
        <v>0</v>
      </c>
      <c r="O341" s="7"/>
      <c r="P341" s="7"/>
      <c r="Q341" s="7"/>
      <c r="AC341"/>
      <c r="AD341" s="14"/>
    </row>
    <row r="342" spans="1:30" x14ac:dyDescent="0.25">
      <c r="A342" t="b">
        <f t="shared" si="31"/>
        <v>0</v>
      </c>
      <c r="B342">
        <v>2006</v>
      </c>
      <c r="C342">
        <v>135</v>
      </c>
      <c r="D342">
        <v>0</v>
      </c>
      <c r="E342">
        <v>1300</v>
      </c>
      <c r="F342" s="7">
        <v>161.1</v>
      </c>
      <c r="G342" s="7">
        <v>11.35</v>
      </c>
      <c r="H342" s="7">
        <v>0.6</v>
      </c>
      <c r="I342" s="7" t="str">
        <f t="shared" si="27"/>
        <v/>
      </c>
      <c r="J342" s="7" t="str">
        <f t="shared" si="28"/>
        <v/>
      </c>
      <c r="K342" s="7">
        <v>0</v>
      </c>
      <c r="L342" s="7" t="str">
        <f t="shared" si="29"/>
        <v/>
      </c>
      <c r="M342" s="7" t="str">
        <f t="shared" si="30"/>
        <v/>
      </c>
      <c r="N342" s="7">
        <v>0</v>
      </c>
      <c r="O342" s="7"/>
      <c r="P342" s="7"/>
      <c r="Q342" s="7"/>
      <c r="AC342"/>
      <c r="AD342" s="14"/>
    </row>
    <row r="343" spans="1:30" x14ac:dyDescent="0.25">
      <c r="A343" t="b">
        <f t="shared" si="31"/>
        <v>0</v>
      </c>
      <c r="B343">
        <v>2006</v>
      </c>
      <c r="C343">
        <v>135</v>
      </c>
      <c r="D343">
        <v>0</v>
      </c>
      <c r="E343">
        <v>1400</v>
      </c>
      <c r="F343" s="7">
        <v>184.1</v>
      </c>
      <c r="G343" s="7">
        <v>11.13</v>
      </c>
      <c r="H343" s="7">
        <v>0.8</v>
      </c>
      <c r="I343" s="7" t="str">
        <f t="shared" si="27"/>
        <v/>
      </c>
      <c r="J343" s="7" t="str">
        <f t="shared" si="28"/>
        <v/>
      </c>
      <c r="K343" s="7">
        <v>0</v>
      </c>
      <c r="L343" s="7" t="str">
        <f t="shared" si="29"/>
        <v/>
      </c>
      <c r="M343" s="7" t="str">
        <f t="shared" si="30"/>
        <v/>
      </c>
      <c r="N343" s="7">
        <v>0</v>
      </c>
      <c r="O343" s="7"/>
      <c r="P343" s="7"/>
      <c r="Q343" s="7"/>
      <c r="AC343"/>
      <c r="AD343" s="14"/>
    </row>
    <row r="344" spans="1:30" x14ac:dyDescent="0.25">
      <c r="A344" t="b">
        <f t="shared" si="31"/>
        <v>0</v>
      </c>
      <c r="B344">
        <v>2006</v>
      </c>
      <c r="C344">
        <v>135</v>
      </c>
      <c r="D344">
        <v>0</v>
      </c>
      <c r="E344">
        <v>1500</v>
      </c>
      <c r="F344" s="7">
        <v>200</v>
      </c>
      <c r="G344" s="7">
        <v>11.21</v>
      </c>
      <c r="H344" s="7">
        <v>0.4</v>
      </c>
      <c r="I344" s="7" t="str">
        <f t="shared" si="27"/>
        <v/>
      </c>
      <c r="J344" s="7" t="str">
        <f t="shared" si="28"/>
        <v/>
      </c>
      <c r="K344" s="7">
        <v>0</v>
      </c>
      <c r="L344" s="7" t="str">
        <f t="shared" si="29"/>
        <v/>
      </c>
      <c r="M344" s="7" t="str">
        <f t="shared" si="30"/>
        <v/>
      </c>
      <c r="N344" s="7">
        <v>0</v>
      </c>
      <c r="O344" s="7"/>
      <c r="P344" s="7"/>
      <c r="Q344" s="7"/>
      <c r="AC344"/>
      <c r="AD344" s="14"/>
    </row>
    <row r="345" spans="1:30" x14ac:dyDescent="0.25">
      <c r="A345" t="b">
        <f t="shared" si="31"/>
        <v>0</v>
      </c>
      <c r="B345">
        <v>2006</v>
      </c>
      <c r="C345">
        <v>135</v>
      </c>
      <c r="D345">
        <v>0</v>
      </c>
      <c r="E345">
        <v>1600</v>
      </c>
      <c r="F345" s="7">
        <v>169.8</v>
      </c>
      <c r="G345" s="7">
        <v>11.61</v>
      </c>
      <c r="H345" s="7">
        <v>0.2</v>
      </c>
      <c r="I345" s="7" t="str">
        <f t="shared" si="27"/>
        <v/>
      </c>
      <c r="J345" s="7" t="str">
        <f t="shared" si="28"/>
        <v/>
      </c>
      <c r="K345" s="7">
        <v>0</v>
      </c>
      <c r="L345" s="7" t="str">
        <f t="shared" si="29"/>
        <v/>
      </c>
      <c r="M345" s="7" t="str">
        <f t="shared" si="30"/>
        <v/>
      </c>
      <c r="N345" s="7">
        <v>0</v>
      </c>
      <c r="O345" s="7"/>
      <c r="P345" s="7"/>
      <c r="Q345" s="7"/>
      <c r="AC345"/>
      <c r="AD345" s="14"/>
    </row>
    <row r="346" spans="1:30" x14ac:dyDescent="0.25">
      <c r="A346" t="b">
        <f t="shared" si="31"/>
        <v>0</v>
      </c>
      <c r="B346">
        <v>2006</v>
      </c>
      <c r="C346">
        <v>135</v>
      </c>
      <c r="D346">
        <v>0</v>
      </c>
      <c r="E346">
        <v>1700</v>
      </c>
      <c r="F346" s="7">
        <v>132.69999999999999</v>
      </c>
      <c r="G346" s="7">
        <v>12.18</v>
      </c>
      <c r="H346" s="7">
        <v>0.2</v>
      </c>
      <c r="I346" s="7" t="str">
        <f t="shared" si="27"/>
        <v/>
      </c>
      <c r="J346" s="7" t="str">
        <f t="shared" si="28"/>
        <v/>
      </c>
      <c r="K346" s="7">
        <v>0</v>
      </c>
      <c r="L346" s="7" t="str">
        <f t="shared" si="29"/>
        <v/>
      </c>
      <c r="M346" s="7" t="str">
        <f t="shared" si="30"/>
        <v/>
      </c>
      <c r="N346" s="7">
        <v>0</v>
      </c>
      <c r="O346" s="7"/>
      <c r="P346" s="7"/>
      <c r="Q346" s="7"/>
      <c r="AC346"/>
      <c r="AD346" s="14"/>
    </row>
    <row r="347" spans="1:30" x14ac:dyDescent="0.25">
      <c r="A347" t="b">
        <f t="shared" si="31"/>
        <v>0</v>
      </c>
      <c r="B347">
        <v>2006</v>
      </c>
      <c r="C347">
        <v>135</v>
      </c>
      <c r="D347">
        <v>0</v>
      </c>
      <c r="E347">
        <v>1800</v>
      </c>
      <c r="F347" s="7">
        <v>76.400000000000006</v>
      </c>
      <c r="G347" s="7">
        <v>12.07</v>
      </c>
      <c r="H347" s="7">
        <v>0.2</v>
      </c>
      <c r="I347" s="7" t="str">
        <f t="shared" si="27"/>
        <v/>
      </c>
      <c r="J347" s="7" t="str">
        <f t="shared" si="28"/>
        <v/>
      </c>
      <c r="K347" s="7">
        <v>0</v>
      </c>
      <c r="L347" s="7" t="str">
        <f t="shared" si="29"/>
        <v/>
      </c>
      <c r="M347" s="7" t="str">
        <f t="shared" si="30"/>
        <v/>
      </c>
      <c r="N347" s="7">
        <v>0</v>
      </c>
      <c r="O347" s="7"/>
      <c r="P347" s="7"/>
      <c r="Q347" s="7"/>
      <c r="AC347"/>
      <c r="AD347" s="14"/>
    </row>
    <row r="348" spans="1:30" x14ac:dyDescent="0.25">
      <c r="A348" t="b">
        <f t="shared" si="31"/>
        <v>0</v>
      </c>
      <c r="B348">
        <v>2006</v>
      </c>
      <c r="C348">
        <v>135</v>
      </c>
      <c r="D348">
        <v>0</v>
      </c>
      <c r="E348">
        <v>1900</v>
      </c>
      <c r="F348" s="7">
        <v>57.68</v>
      </c>
      <c r="G348" s="7">
        <v>12.05</v>
      </c>
      <c r="H348" s="7">
        <v>0.2</v>
      </c>
      <c r="I348" s="7" t="str">
        <f t="shared" si="27"/>
        <v/>
      </c>
      <c r="J348" s="7" t="str">
        <f t="shared" si="28"/>
        <v/>
      </c>
      <c r="K348" s="7">
        <v>0</v>
      </c>
      <c r="L348" s="7" t="str">
        <f t="shared" si="29"/>
        <v/>
      </c>
      <c r="M348" s="7" t="str">
        <f t="shared" si="30"/>
        <v/>
      </c>
      <c r="N348" s="7">
        <v>0</v>
      </c>
      <c r="O348" s="7"/>
      <c r="P348" s="7"/>
      <c r="Q348" s="7"/>
      <c r="AC348"/>
      <c r="AD348" s="14"/>
    </row>
    <row r="349" spans="1:30" x14ac:dyDescent="0.25">
      <c r="A349" t="b">
        <f t="shared" si="31"/>
        <v>0</v>
      </c>
      <c r="B349">
        <v>2006</v>
      </c>
      <c r="C349">
        <v>135</v>
      </c>
      <c r="D349">
        <v>0</v>
      </c>
      <c r="E349">
        <v>2000</v>
      </c>
      <c r="F349" s="7">
        <v>12.25</v>
      </c>
      <c r="G349" s="7">
        <v>11.82</v>
      </c>
      <c r="H349" s="7">
        <v>0</v>
      </c>
      <c r="I349" s="7" t="str">
        <f t="shared" si="27"/>
        <v/>
      </c>
      <c r="J349" s="7" t="str">
        <f t="shared" si="28"/>
        <v/>
      </c>
      <c r="K349" s="7">
        <v>0</v>
      </c>
      <c r="L349" s="7" t="str">
        <f t="shared" si="29"/>
        <v/>
      </c>
      <c r="M349" s="7" t="str">
        <f t="shared" si="30"/>
        <v/>
      </c>
      <c r="N349" s="7">
        <v>0</v>
      </c>
      <c r="O349" s="7"/>
      <c r="P349" s="7"/>
      <c r="Q349" s="7"/>
      <c r="AC349"/>
      <c r="AD349" s="14"/>
    </row>
    <row r="350" spans="1:30" x14ac:dyDescent="0.25">
      <c r="A350" t="b">
        <f t="shared" si="31"/>
        <v>0</v>
      </c>
      <c r="B350">
        <v>2006</v>
      </c>
      <c r="C350">
        <v>135</v>
      </c>
      <c r="D350">
        <v>0</v>
      </c>
      <c r="E350">
        <v>2100</v>
      </c>
      <c r="F350" s="7">
        <v>0.67600000000000005</v>
      </c>
      <c r="G350" s="7">
        <v>11.8</v>
      </c>
      <c r="H350" s="7">
        <v>0.2</v>
      </c>
      <c r="I350" s="7" t="str">
        <f t="shared" si="27"/>
        <v/>
      </c>
      <c r="J350" s="7" t="str">
        <f t="shared" si="28"/>
        <v/>
      </c>
      <c r="K350" s="7">
        <v>0</v>
      </c>
      <c r="L350" s="7" t="str">
        <f t="shared" si="29"/>
        <v/>
      </c>
      <c r="M350" s="7" t="str">
        <f t="shared" si="30"/>
        <v/>
      </c>
      <c r="N350" s="7">
        <v>0</v>
      </c>
      <c r="O350" s="7"/>
      <c r="P350" s="7"/>
      <c r="Q350" s="7"/>
      <c r="AC350"/>
      <c r="AD350" s="14"/>
    </row>
    <row r="351" spans="1:30" x14ac:dyDescent="0.25">
      <c r="A351" t="b">
        <f t="shared" si="31"/>
        <v>0</v>
      </c>
      <c r="B351">
        <v>2006</v>
      </c>
      <c r="C351">
        <v>135</v>
      </c>
      <c r="D351">
        <v>0</v>
      </c>
      <c r="E351">
        <v>2200</v>
      </c>
      <c r="F351" s="7">
        <v>-0.86199999999999999</v>
      </c>
      <c r="G351" s="7">
        <v>11.83</v>
      </c>
      <c r="H351" s="7">
        <v>0.6</v>
      </c>
      <c r="I351" s="7" t="str">
        <f t="shared" si="27"/>
        <v/>
      </c>
      <c r="J351" s="7" t="str">
        <f t="shared" si="28"/>
        <v/>
      </c>
      <c r="K351" s="7">
        <v>0</v>
      </c>
      <c r="L351" s="7" t="str">
        <f t="shared" si="29"/>
        <v/>
      </c>
      <c r="M351" s="7" t="str">
        <f t="shared" si="30"/>
        <v/>
      </c>
      <c r="N351" s="7">
        <v>0</v>
      </c>
      <c r="O351" s="7"/>
      <c r="P351" s="7"/>
      <c r="Q351" s="7"/>
      <c r="AC351"/>
      <c r="AD351" s="14"/>
    </row>
    <row r="352" spans="1:30" x14ac:dyDescent="0.25">
      <c r="A352" t="b">
        <f t="shared" si="31"/>
        <v>0</v>
      </c>
      <c r="B352">
        <v>2006</v>
      </c>
      <c r="C352">
        <v>135</v>
      </c>
      <c r="D352">
        <v>0</v>
      </c>
      <c r="E352">
        <v>2300</v>
      </c>
      <c r="F352" s="7">
        <v>-0.73299999999999998</v>
      </c>
      <c r="G352" s="7">
        <v>11.6</v>
      </c>
      <c r="H352" s="7">
        <v>0.2</v>
      </c>
      <c r="I352" s="7" t="str">
        <f t="shared" si="27"/>
        <v/>
      </c>
      <c r="J352" s="7" t="str">
        <f t="shared" si="28"/>
        <v/>
      </c>
      <c r="K352" s="7">
        <v>0</v>
      </c>
      <c r="L352" s="7" t="str">
        <f t="shared" si="29"/>
        <v/>
      </c>
      <c r="M352" s="7" t="str">
        <f t="shared" si="30"/>
        <v/>
      </c>
      <c r="N352" s="7">
        <v>0</v>
      </c>
      <c r="O352" s="7"/>
      <c r="P352" s="7"/>
      <c r="Q352" s="7"/>
      <c r="AC352"/>
      <c r="AD352" s="14"/>
    </row>
    <row r="353" spans="1:30" x14ac:dyDescent="0.25">
      <c r="A353" t="b">
        <f t="shared" si="31"/>
        <v>0</v>
      </c>
      <c r="B353">
        <v>2006</v>
      </c>
      <c r="C353">
        <v>135</v>
      </c>
      <c r="D353">
        <v>0</v>
      </c>
      <c r="E353">
        <v>2400</v>
      </c>
      <c r="F353" s="7">
        <v>-1.3340000000000001</v>
      </c>
      <c r="G353" s="7">
        <v>11.13</v>
      </c>
      <c r="H353" s="7">
        <v>0</v>
      </c>
      <c r="I353" s="7" t="str">
        <f t="shared" si="27"/>
        <v/>
      </c>
      <c r="J353" s="7" t="str">
        <f t="shared" si="28"/>
        <v/>
      </c>
      <c r="K353" s="7">
        <v>0</v>
      </c>
      <c r="L353" s="7" t="str">
        <f t="shared" si="29"/>
        <v/>
      </c>
      <c r="M353" s="7" t="str">
        <f t="shared" si="30"/>
        <v/>
      </c>
      <c r="N353" s="7">
        <v>0</v>
      </c>
      <c r="O353" s="7"/>
      <c r="P353" s="7"/>
      <c r="Q353" s="7"/>
      <c r="AC353"/>
      <c r="AD353" s="14"/>
    </row>
    <row r="354" spans="1:30" x14ac:dyDescent="0.25">
      <c r="A354" t="b">
        <f t="shared" si="31"/>
        <v>1</v>
      </c>
      <c r="B354">
        <v>2006</v>
      </c>
      <c r="C354">
        <v>136</v>
      </c>
      <c r="D354">
        <v>0</v>
      </c>
      <c r="E354">
        <v>100</v>
      </c>
      <c r="F354" s="7">
        <v>-2.0649999999999999</v>
      </c>
      <c r="G354" s="7">
        <v>10.26</v>
      </c>
      <c r="H354" s="7">
        <v>0</v>
      </c>
      <c r="I354" s="7">
        <f t="shared" si="27"/>
        <v>7.2000000000000011</v>
      </c>
      <c r="J354" s="7">
        <f t="shared" si="28"/>
        <v>146.39383333333333</v>
      </c>
      <c r="K354" s="7">
        <v>0</v>
      </c>
      <c r="L354" s="7">
        <f t="shared" si="29"/>
        <v>16.329999999999998</v>
      </c>
      <c r="M354" s="7">
        <f t="shared" si="30"/>
        <v>8.2200000000000006</v>
      </c>
      <c r="N354" s="7">
        <v>0</v>
      </c>
      <c r="O354" s="7"/>
      <c r="P354" s="7"/>
      <c r="Q354" s="7"/>
      <c r="AC354"/>
      <c r="AD354" s="14"/>
    </row>
    <row r="355" spans="1:30" x14ac:dyDescent="0.25">
      <c r="A355" t="b">
        <f t="shared" si="31"/>
        <v>0</v>
      </c>
      <c r="B355">
        <v>2006</v>
      </c>
      <c r="C355">
        <v>136</v>
      </c>
      <c r="D355">
        <v>0</v>
      </c>
      <c r="E355">
        <v>200</v>
      </c>
      <c r="F355" s="7">
        <v>-1.403</v>
      </c>
      <c r="G355" s="7">
        <v>10.38</v>
      </c>
      <c r="H355" s="7">
        <v>0</v>
      </c>
      <c r="I355" s="7" t="str">
        <f t="shared" si="27"/>
        <v/>
      </c>
      <c r="J355" s="7" t="str">
        <f t="shared" si="28"/>
        <v/>
      </c>
      <c r="K355" s="7">
        <v>0</v>
      </c>
      <c r="L355" s="7" t="str">
        <f t="shared" si="29"/>
        <v/>
      </c>
      <c r="M355" s="7" t="str">
        <f t="shared" si="30"/>
        <v/>
      </c>
      <c r="N355" s="7">
        <v>0</v>
      </c>
      <c r="O355" s="7"/>
      <c r="P355" s="7"/>
      <c r="Q355" s="7"/>
      <c r="AC355"/>
      <c r="AD355" s="14"/>
    </row>
    <row r="356" spans="1:30" x14ac:dyDescent="0.25">
      <c r="A356" t="b">
        <f t="shared" si="31"/>
        <v>0</v>
      </c>
      <c r="B356">
        <v>2006</v>
      </c>
      <c r="C356">
        <v>136</v>
      </c>
      <c r="D356">
        <v>0</v>
      </c>
      <c r="E356">
        <v>300</v>
      </c>
      <c r="F356" s="7">
        <v>-2.5339999999999998</v>
      </c>
      <c r="G356" s="7">
        <v>8.56</v>
      </c>
      <c r="H356" s="7">
        <v>0</v>
      </c>
      <c r="I356" s="7" t="str">
        <f t="shared" si="27"/>
        <v/>
      </c>
      <c r="J356" s="7" t="str">
        <f t="shared" si="28"/>
        <v/>
      </c>
      <c r="K356" s="7">
        <v>0</v>
      </c>
      <c r="L356" s="7" t="str">
        <f t="shared" si="29"/>
        <v/>
      </c>
      <c r="M356" s="7" t="str">
        <f t="shared" si="30"/>
        <v/>
      </c>
      <c r="N356" s="7">
        <v>0</v>
      </c>
      <c r="O356" s="7"/>
      <c r="P356" s="7"/>
      <c r="Q356" s="7"/>
      <c r="AC356"/>
      <c r="AD356" s="14"/>
    </row>
    <row r="357" spans="1:30" x14ac:dyDescent="0.25">
      <c r="A357" t="b">
        <f t="shared" si="31"/>
        <v>0</v>
      </c>
      <c r="B357">
        <v>2006</v>
      </c>
      <c r="C357">
        <v>136</v>
      </c>
      <c r="D357">
        <v>0</v>
      </c>
      <c r="E357">
        <v>400</v>
      </c>
      <c r="F357" s="7">
        <v>-2.2719999999999998</v>
      </c>
      <c r="G357" s="7">
        <v>8.2200000000000006</v>
      </c>
      <c r="H357" s="7">
        <v>0</v>
      </c>
      <c r="I357" s="7" t="str">
        <f t="shared" si="27"/>
        <v/>
      </c>
      <c r="J357" s="7" t="str">
        <f t="shared" si="28"/>
        <v/>
      </c>
      <c r="K357" s="7">
        <v>0</v>
      </c>
      <c r="L357" s="7" t="str">
        <f t="shared" si="29"/>
        <v/>
      </c>
      <c r="M357" s="7" t="str">
        <f t="shared" si="30"/>
        <v/>
      </c>
      <c r="N357" s="7">
        <v>0</v>
      </c>
      <c r="O357" s="7"/>
      <c r="P357" s="7"/>
      <c r="Q357" s="7"/>
      <c r="AC357"/>
      <c r="AD357" s="14"/>
    </row>
    <row r="358" spans="1:30" x14ac:dyDescent="0.25">
      <c r="A358" t="b">
        <f t="shared" si="31"/>
        <v>0</v>
      </c>
      <c r="B358">
        <v>2006</v>
      </c>
      <c r="C358">
        <v>136</v>
      </c>
      <c r="D358">
        <v>0</v>
      </c>
      <c r="E358">
        <v>500</v>
      </c>
      <c r="F358" s="7">
        <v>10.220000000000001</v>
      </c>
      <c r="G358" s="7">
        <v>8.76</v>
      </c>
      <c r="H358" s="7">
        <v>0</v>
      </c>
      <c r="I358" s="7" t="str">
        <f t="shared" si="27"/>
        <v/>
      </c>
      <c r="J358" s="7" t="str">
        <f t="shared" si="28"/>
        <v/>
      </c>
      <c r="K358" s="7">
        <v>0</v>
      </c>
      <c r="L358" s="7" t="str">
        <f t="shared" si="29"/>
        <v/>
      </c>
      <c r="M358" s="7" t="str">
        <f t="shared" si="30"/>
        <v/>
      </c>
      <c r="N358" s="7">
        <v>0</v>
      </c>
      <c r="O358" s="7"/>
      <c r="P358" s="7"/>
      <c r="Q358" s="7"/>
      <c r="AC358"/>
      <c r="AD358" s="14"/>
    </row>
    <row r="359" spans="1:30" x14ac:dyDescent="0.25">
      <c r="A359" t="b">
        <f t="shared" si="31"/>
        <v>0</v>
      </c>
      <c r="B359">
        <v>2006</v>
      </c>
      <c r="C359">
        <v>136</v>
      </c>
      <c r="D359">
        <v>0</v>
      </c>
      <c r="E359">
        <v>600</v>
      </c>
      <c r="F359" s="7">
        <v>61.88</v>
      </c>
      <c r="G359" s="7">
        <v>10.38</v>
      </c>
      <c r="H359" s="7">
        <v>0</v>
      </c>
      <c r="I359" s="7" t="str">
        <f t="shared" si="27"/>
        <v/>
      </c>
      <c r="J359" s="7" t="str">
        <f t="shared" si="28"/>
        <v/>
      </c>
      <c r="K359" s="7">
        <v>0</v>
      </c>
      <c r="L359" s="7" t="str">
        <f t="shared" si="29"/>
        <v/>
      </c>
      <c r="M359" s="7" t="str">
        <f t="shared" si="30"/>
        <v/>
      </c>
      <c r="N359" s="7">
        <v>0</v>
      </c>
      <c r="O359" s="7"/>
      <c r="P359" s="7"/>
      <c r="Q359" s="7"/>
      <c r="AC359"/>
      <c r="AD359" s="14"/>
    </row>
    <row r="360" spans="1:30" x14ac:dyDescent="0.25">
      <c r="A360" t="b">
        <f t="shared" si="31"/>
        <v>0</v>
      </c>
      <c r="B360">
        <v>2006</v>
      </c>
      <c r="C360">
        <v>136</v>
      </c>
      <c r="D360">
        <v>0</v>
      </c>
      <c r="E360">
        <v>700</v>
      </c>
      <c r="F360" s="7">
        <v>124.2</v>
      </c>
      <c r="G360" s="7">
        <v>11.49</v>
      </c>
      <c r="H360" s="7">
        <v>0</v>
      </c>
      <c r="I360" s="7" t="str">
        <f t="shared" si="27"/>
        <v/>
      </c>
      <c r="J360" s="7" t="str">
        <f t="shared" si="28"/>
        <v/>
      </c>
      <c r="K360" s="7">
        <v>0</v>
      </c>
      <c r="L360" s="7" t="str">
        <f t="shared" si="29"/>
        <v/>
      </c>
      <c r="M360" s="7" t="str">
        <f t="shared" si="30"/>
        <v/>
      </c>
      <c r="N360" s="7">
        <v>0</v>
      </c>
      <c r="O360" s="7"/>
      <c r="P360" s="7"/>
      <c r="Q360" s="7"/>
      <c r="AC360"/>
      <c r="AD360" s="14"/>
    </row>
    <row r="361" spans="1:30" x14ac:dyDescent="0.25">
      <c r="A361" t="b">
        <f t="shared" si="31"/>
        <v>0</v>
      </c>
      <c r="B361">
        <v>2006</v>
      </c>
      <c r="C361">
        <v>136</v>
      </c>
      <c r="D361">
        <v>0</v>
      </c>
      <c r="E361">
        <v>800</v>
      </c>
      <c r="F361" s="7">
        <v>204.2</v>
      </c>
      <c r="G361" s="7">
        <v>12.47</v>
      </c>
      <c r="H361" s="7">
        <v>0</v>
      </c>
      <c r="I361" s="7" t="str">
        <f t="shared" si="27"/>
        <v/>
      </c>
      <c r="J361" s="7" t="str">
        <f t="shared" si="28"/>
        <v/>
      </c>
      <c r="K361" s="7">
        <v>0</v>
      </c>
      <c r="L361" s="7" t="str">
        <f t="shared" si="29"/>
        <v/>
      </c>
      <c r="M361" s="7" t="str">
        <f t="shared" si="30"/>
        <v/>
      </c>
      <c r="N361" s="7">
        <v>0</v>
      </c>
      <c r="O361" s="7"/>
      <c r="P361" s="7"/>
      <c r="Q361" s="7"/>
      <c r="AC361"/>
      <c r="AD361" s="14"/>
    </row>
    <row r="362" spans="1:30" x14ac:dyDescent="0.25">
      <c r="A362" t="b">
        <f t="shared" si="31"/>
        <v>0</v>
      </c>
      <c r="B362">
        <v>2006</v>
      </c>
      <c r="C362">
        <v>136</v>
      </c>
      <c r="D362">
        <v>0</v>
      </c>
      <c r="E362">
        <v>900</v>
      </c>
      <c r="F362" s="7">
        <v>274</v>
      </c>
      <c r="G362" s="7">
        <v>13.77</v>
      </c>
      <c r="H362" s="7">
        <v>0</v>
      </c>
      <c r="I362" s="7" t="str">
        <f t="shared" si="27"/>
        <v/>
      </c>
      <c r="J362" s="7" t="str">
        <f t="shared" si="28"/>
        <v/>
      </c>
      <c r="K362" s="7">
        <v>0</v>
      </c>
      <c r="L362" s="7" t="str">
        <f t="shared" si="29"/>
        <v/>
      </c>
      <c r="M362" s="7" t="str">
        <f t="shared" si="30"/>
        <v/>
      </c>
      <c r="N362" s="7">
        <v>0</v>
      </c>
      <c r="O362" s="7"/>
      <c r="P362" s="7"/>
      <c r="Q362" s="7"/>
      <c r="AC362"/>
      <c r="AD362" s="14"/>
    </row>
    <row r="363" spans="1:30" x14ac:dyDescent="0.25">
      <c r="A363" t="b">
        <f t="shared" si="31"/>
        <v>0</v>
      </c>
      <c r="B363">
        <v>2006</v>
      </c>
      <c r="C363">
        <v>136</v>
      </c>
      <c r="D363">
        <v>0</v>
      </c>
      <c r="E363">
        <v>1000</v>
      </c>
      <c r="F363" s="7">
        <v>486.1</v>
      </c>
      <c r="G363" s="7">
        <v>14.86</v>
      </c>
      <c r="H363" s="7">
        <v>0</v>
      </c>
      <c r="I363" s="7" t="str">
        <f t="shared" si="27"/>
        <v/>
      </c>
      <c r="J363" s="7" t="str">
        <f t="shared" si="28"/>
        <v/>
      </c>
      <c r="K363" s="7">
        <v>0</v>
      </c>
      <c r="L363" s="7" t="str">
        <f t="shared" si="29"/>
        <v/>
      </c>
      <c r="M363" s="7" t="str">
        <f t="shared" si="30"/>
        <v/>
      </c>
      <c r="N363" s="7">
        <v>0</v>
      </c>
      <c r="O363" s="7"/>
      <c r="P363" s="7"/>
      <c r="Q363" s="7"/>
      <c r="AC363"/>
      <c r="AD363" s="14"/>
    </row>
    <row r="364" spans="1:30" x14ac:dyDescent="0.25">
      <c r="A364" t="b">
        <f t="shared" si="31"/>
        <v>0</v>
      </c>
      <c r="B364">
        <v>2006</v>
      </c>
      <c r="C364">
        <v>136</v>
      </c>
      <c r="D364">
        <v>0</v>
      </c>
      <c r="E364">
        <v>1100</v>
      </c>
      <c r="F364" s="7">
        <v>367.6</v>
      </c>
      <c r="G364" s="7">
        <v>15.75</v>
      </c>
      <c r="H364" s="7">
        <v>0</v>
      </c>
      <c r="I364" s="7" t="str">
        <f t="shared" si="27"/>
        <v/>
      </c>
      <c r="J364" s="7" t="str">
        <f t="shared" si="28"/>
        <v/>
      </c>
      <c r="K364" s="7">
        <v>0</v>
      </c>
      <c r="L364" s="7" t="str">
        <f t="shared" si="29"/>
        <v/>
      </c>
      <c r="M364" s="7" t="str">
        <f t="shared" si="30"/>
        <v/>
      </c>
      <c r="N364" s="7">
        <v>0</v>
      </c>
      <c r="O364" s="7"/>
      <c r="P364" s="7"/>
      <c r="Q364" s="7"/>
      <c r="AC364"/>
      <c r="AD364" s="14"/>
    </row>
    <row r="365" spans="1:30" x14ac:dyDescent="0.25">
      <c r="A365" t="b">
        <f t="shared" si="31"/>
        <v>0</v>
      </c>
      <c r="B365">
        <v>2006</v>
      </c>
      <c r="C365">
        <v>136</v>
      </c>
      <c r="D365">
        <v>0</v>
      </c>
      <c r="E365">
        <v>1200</v>
      </c>
      <c r="F365" s="7">
        <v>400.1</v>
      </c>
      <c r="G365" s="7">
        <v>15.77</v>
      </c>
      <c r="H365" s="7">
        <v>0</v>
      </c>
      <c r="I365" s="7" t="str">
        <f t="shared" si="27"/>
        <v/>
      </c>
      <c r="J365" s="7" t="str">
        <f t="shared" si="28"/>
        <v/>
      </c>
      <c r="K365" s="7">
        <v>0</v>
      </c>
      <c r="L365" s="7" t="str">
        <f t="shared" si="29"/>
        <v/>
      </c>
      <c r="M365" s="7" t="str">
        <f t="shared" si="30"/>
        <v/>
      </c>
      <c r="N365" s="7">
        <v>0</v>
      </c>
      <c r="O365" s="7"/>
      <c r="P365" s="7"/>
      <c r="Q365" s="7"/>
      <c r="AC365"/>
      <c r="AD365" s="14"/>
    </row>
    <row r="366" spans="1:30" x14ac:dyDescent="0.25">
      <c r="A366" t="b">
        <f t="shared" si="31"/>
        <v>0</v>
      </c>
      <c r="B366">
        <v>2006</v>
      </c>
      <c r="C366">
        <v>136</v>
      </c>
      <c r="D366">
        <v>0</v>
      </c>
      <c r="E366">
        <v>1300</v>
      </c>
      <c r="F366" s="7">
        <v>469.3</v>
      </c>
      <c r="G366" s="7">
        <v>16.329999999999998</v>
      </c>
      <c r="H366" s="7">
        <v>0</v>
      </c>
      <c r="I366" s="7" t="str">
        <f t="shared" si="27"/>
        <v/>
      </c>
      <c r="J366" s="7" t="str">
        <f t="shared" si="28"/>
        <v/>
      </c>
      <c r="K366" s="7">
        <v>0</v>
      </c>
      <c r="L366" s="7" t="str">
        <f t="shared" si="29"/>
        <v/>
      </c>
      <c r="M366" s="7" t="str">
        <f t="shared" si="30"/>
        <v/>
      </c>
      <c r="N366" s="7">
        <v>0</v>
      </c>
      <c r="O366" s="7"/>
      <c r="P366" s="7"/>
      <c r="Q366" s="7"/>
      <c r="AC366"/>
      <c r="AD366" s="14"/>
    </row>
    <row r="367" spans="1:30" x14ac:dyDescent="0.25">
      <c r="A367" t="b">
        <f t="shared" si="31"/>
        <v>0</v>
      </c>
      <c r="B367">
        <v>2006</v>
      </c>
      <c r="C367">
        <v>136</v>
      </c>
      <c r="D367">
        <v>0</v>
      </c>
      <c r="E367">
        <v>1400</v>
      </c>
      <c r="F367" s="7">
        <v>272.3</v>
      </c>
      <c r="G367" s="7">
        <v>15.14</v>
      </c>
      <c r="H367" s="7">
        <v>0.8</v>
      </c>
      <c r="I367" s="7" t="str">
        <f t="shared" si="27"/>
        <v/>
      </c>
      <c r="J367" s="7" t="str">
        <f t="shared" si="28"/>
        <v/>
      </c>
      <c r="K367" s="7">
        <v>0</v>
      </c>
      <c r="L367" s="7" t="str">
        <f t="shared" si="29"/>
        <v/>
      </c>
      <c r="M367" s="7" t="str">
        <f t="shared" si="30"/>
        <v/>
      </c>
      <c r="N367" s="7">
        <v>0</v>
      </c>
      <c r="O367" s="7"/>
      <c r="P367" s="7"/>
      <c r="Q367" s="7"/>
      <c r="AC367"/>
      <c r="AD367" s="14"/>
    </row>
    <row r="368" spans="1:30" x14ac:dyDescent="0.25">
      <c r="A368" t="b">
        <f t="shared" si="31"/>
        <v>0</v>
      </c>
      <c r="B368">
        <v>2006</v>
      </c>
      <c r="C368">
        <v>136</v>
      </c>
      <c r="D368">
        <v>0</v>
      </c>
      <c r="E368">
        <v>1500</v>
      </c>
      <c r="F368" s="7">
        <v>62.74</v>
      </c>
      <c r="G368" s="7">
        <v>13.16</v>
      </c>
      <c r="H368" s="7">
        <v>3.6</v>
      </c>
      <c r="I368" s="7" t="str">
        <f t="shared" si="27"/>
        <v/>
      </c>
      <c r="J368" s="7" t="str">
        <f t="shared" si="28"/>
        <v/>
      </c>
      <c r="K368" s="7">
        <v>0</v>
      </c>
      <c r="L368" s="7" t="str">
        <f t="shared" si="29"/>
        <v/>
      </c>
      <c r="M368" s="7" t="str">
        <f t="shared" si="30"/>
        <v/>
      </c>
      <c r="N368" s="7">
        <v>0</v>
      </c>
      <c r="O368" s="7"/>
      <c r="P368" s="7"/>
      <c r="Q368" s="7"/>
      <c r="AC368"/>
      <c r="AD368" s="14"/>
    </row>
    <row r="369" spans="1:30" x14ac:dyDescent="0.25">
      <c r="A369" t="b">
        <f t="shared" si="31"/>
        <v>0</v>
      </c>
      <c r="B369">
        <v>2006</v>
      </c>
      <c r="C369">
        <v>136</v>
      </c>
      <c r="D369">
        <v>0</v>
      </c>
      <c r="E369">
        <v>1600</v>
      </c>
      <c r="F369" s="7">
        <v>61.29</v>
      </c>
      <c r="G369" s="7">
        <v>13.08</v>
      </c>
      <c r="H369" s="7">
        <v>1.4</v>
      </c>
      <c r="I369" s="7" t="str">
        <f t="shared" si="27"/>
        <v/>
      </c>
      <c r="J369" s="7" t="str">
        <f t="shared" si="28"/>
        <v/>
      </c>
      <c r="K369" s="7">
        <v>0</v>
      </c>
      <c r="L369" s="7" t="str">
        <f t="shared" si="29"/>
        <v/>
      </c>
      <c r="M369" s="7" t="str">
        <f t="shared" si="30"/>
        <v/>
      </c>
      <c r="N369" s="7">
        <v>0</v>
      </c>
      <c r="O369" s="7"/>
      <c r="P369" s="7"/>
      <c r="Q369" s="7"/>
      <c r="AC369"/>
      <c r="AD369" s="14"/>
    </row>
    <row r="370" spans="1:30" x14ac:dyDescent="0.25">
      <c r="A370" t="b">
        <f t="shared" si="31"/>
        <v>0</v>
      </c>
      <c r="B370">
        <v>2006</v>
      </c>
      <c r="C370">
        <v>136</v>
      </c>
      <c r="D370">
        <v>0</v>
      </c>
      <c r="E370">
        <v>1700</v>
      </c>
      <c r="F370" s="7">
        <v>233.1</v>
      </c>
      <c r="G370" s="7">
        <v>14.66</v>
      </c>
      <c r="H370" s="7">
        <v>0.4</v>
      </c>
      <c r="I370" s="7" t="str">
        <f t="shared" si="27"/>
        <v/>
      </c>
      <c r="J370" s="7" t="str">
        <f t="shared" si="28"/>
        <v/>
      </c>
      <c r="K370" s="7">
        <v>0</v>
      </c>
      <c r="L370" s="7" t="str">
        <f t="shared" si="29"/>
        <v/>
      </c>
      <c r="M370" s="7" t="str">
        <f t="shared" si="30"/>
        <v/>
      </c>
      <c r="N370" s="7">
        <v>0</v>
      </c>
      <c r="O370" s="7"/>
      <c r="P370" s="7"/>
      <c r="Q370" s="7"/>
      <c r="AC370"/>
      <c r="AD370" s="14"/>
    </row>
    <row r="371" spans="1:30" x14ac:dyDescent="0.25">
      <c r="A371" t="b">
        <f t="shared" si="31"/>
        <v>0</v>
      </c>
      <c r="B371">
        <v>2006</v>
      </c>
      <c r="C371">
        <v>136</v>
      </c>
      <c r="D371">
        <v>0</v>
      </c>
      <c r="E371">
        <v>1800</v>
      </c>
      <c r="F371" s="7">
        <v>296.60000000000002</v>
      </c>
      <c r="G371" s="7">
        <v>15.52</v>
      </c>
      <c r="H371" s="7">
        <v>0</v>
      </c>
      <c r="I371" s="7" t="str">
        <f t="shared" si="27"/>
        <v/>
      </c>
      <c r="J371" s="7" t="str">
        <f t="shared" si="28"/>
        <v/>
      </c>
      <c r="K371" s="7">
        <v>0</v>
      </c>
      <c r="L371" s="7" t="str">
        <f t="shared" si="29"/>
        <v/>
      </c>
      <c r="M371" s="7" t="str">
        <f t="shared" si="30"/>
        <v/>
      </c>
      <c r="N371" s="7">
        <v>0</v>
      </c>
      <c r="O371" s="7"/>
      <c r="P371" s="7"/>
      <c r="Q371" s="7"/>
      <c r="AC371"/>
      <c r="AD371" s="14"/>
    </row>
    <row r="372" spans="1:30" x14ac:dyDescent="0.25">
      <c r="A372" t="b">
        <f t="shared" si="31"/>
        <v>0</v>
      </c>
      <c r="B372">
        <v>2006</v>
      </c>
      <c r="C372">
        <v>136</v>
      </c>
      <c r="D372">
        <v>0</v>
      </c>
      <c r="E372">
        <v>1900</v>
      </c>
      <c r="F372" s="7">
        <v>178.3</v>
      </c>
      <c r="G372" s="7">
        <v>15.08</v>
      </c>
      <c r="H372" s="7">
        <v>0</v>
      </c>
      <c r="I372" s="7" t="str">
        <f t="shared" si="27"/>
        <v/>
      </c>
      <c r="J372" s="7" t="str">
        <f t="shared" si="28"/>
        <v/>
      </c>
      <c r="K372" s="7">
        <v>0</v>
      </c>
      <c r="L372" s="7" t="str">
        <f t="shared" si="29"/>
        <v/>
      </c>
      <c r="M372" s="7" t="str">
        <f t="shared" si="30"/>
        <v/>
      </c>
      <c r="N372" s="7">
        <v>0</v>
      </c>
      <c r="O372" s="7"/>
      <c r="P372" s="7"/>
      <c r="Q372" s="7"/>
      <c r="AC372"/>
      <c r="AD372" s="14"/>
    </row>
    <row r="373" spans="1:30" x14ac:dyDescent="0.25">
      <c r="A373" t="b">
        <f t="shared" si="31"/>
        <v>0</v>
      </c>
      <c r="B373">
        <v>2006</v>
      </c>
      <c r="C373">
        <v>136</v>
      </c>
      <c r="D373">
        <v>0</v>
      </c>
      <c r="E373">
        <v>2000</v>
      </c>
      <c r="F373" s="7">
        <v>25.18</v>
      </c>
      <c r="G373" s="7">
        <v>13.81</v>
      </c>
      <c r="H373" s="7">
        <v>0</v>
      </c>
      <c r="I373" s="7" t="str">
        <f t="shared" si="27"/>
        <v/>
      </c>
      <c r="J373" s="7" t="str">
        <f t="shared" si="28"/>
        <v/>
      </c>
      <c r="K373" s="7">
        <v>0</v>
      </c>
      <c r="L373" s="7" t="str">
        <f t="shared" si="29"/>
        <v/>
      </c>
      <c r="M373" s="7" t="str">
        <f t="shared" si="30"/>
        <v/>
      </c>
      <c r="N373" s="7">
        <v>0</v>
      </c>
      <c r="O373" s="7"/>
      <c r="P373" s="7"/>
      <c r="Q373" s="7"/>
      <c r="AC373"/>
      <c r="AD373" s="14"/>
    </row>
    <row r="374" spans="1:30" x14ac:dyDescent="0.25">
      <c r="A374" t="b">
        <f t="shared" si="31"/>
        <v>0</v>
      </c>
      <c r="B374">
        <v>2006</v>
      </c>
      <c r="C374">
        <v>136</v>
      </c>
      <c r="D374">
        <v>0</v>
      </c>
      <c r="E374">
        <v>2100</v>
      </c>
      <c r="F374" s="7">
        <v>1.645</v>
      </c>
      <c r="G374" s="7">
        <v>13.11</v>
      </c>
      <c r="H374" s="7">
        <v>1</v>
      </c>
      <c r="I374" s="7" t="str">
        <f t="shared" si="27"/>
        <v/>
      </c>
      <c r="J374" s="7" t="str">
        <f t="shared" si="28"/>
        <v/>
      </c>
      <c r="K374" s="7">
        <v>0</v>
      </c>
      <c r="L374" s="7" t="str">
        <f t="shared" si="29"/>
        <v/>
      </c>
      <c r="M374" s="7" t="str">
        <f t="shared" si="30"/>
        <v/>
      </c>
      <c r="N374" s="7">
        <v>0</v>
      </c>
      <c r="O374" s="7"/>
      <c r="P374" s="7"/>
      <c r="Q374" s="7"/>
      <c r="AC374"/>
      <c r="AD374" s="14"/>
    </row>
    <row r="375" spans="1:30" x14ac:dyDescent="0.25">
      <c r="A375" t="b">
        <f t="shared" si="31"/>
        <v>0</v>
      </c>
      <c r="B375">
        <v>2006</v>
      </c>
      <c r="C375">
        <v>136</v>
      </c>
      <c r="D375">
        <v>0</v>
      </c>
      <c r="E375">
        <v>2200</v>
      </c>
      <c r="F375" s="7">
        <v>-1.98</v>
      </c>
      <c r="G375" s="7">
        <v>12.47</v>
      </c>
      <c r="H375" s="7">
        <v>0</v>
      </c>
      <c r="I375" s="7" t="str">
        <f t="shared" si="27"/>
        <v/>
      </c>
      <c r="J375" s="7" t="str">
        <f t="shared" si="28"/>
        <v/>
      </c>
      <c r="K375" s="7">
        <v>0</v>
      </c>
      <c r="L375" s="7" t="str">
        <f t="shared" si="29"/>
        <v/>
      </c>
      <c r="M375" s="7" t="str">
        <f t="shared" si="30"/>
        <v/>
      </c>
      <c r="N375" s="7">
        <v>0</v>
      </c>
      <c r="O375" s="7"/>
      <c r="P375" s="7"/>
      <c r="Q375" s="7"/>
      <c r="AC375"/>
      <c r="AD375" s="14"/>
    </row>
    <row r="376" spans="1:30" x14ac:dyDescent="0.25">
      <c r="A376" t="b">
        <f t="shared" si="31"/>
        <v>0</v>
      </c>
      <c r="B376">
        <v>2006</v>
      </c>
      <c r="C376">
        <v>136</v>
      </c>
      <c r="D376">
        <v>0</v>
      </c>
      <c r="E376">
        <v>2300</v>
      </c>
      <c r="F376" s="7">
        <v>-2.4950000000000001</v>
      </c>
      <c r="G376" s="7">
        <v>11.66</v>
      </c>
      <c r="H376" s="7">
        <v>0</v>
      </c>
      <c r="I376" s="7" t="str">
        <f t="shared" si="27"/>
        <v/>
      </c>
      <c r="J376" s="7" t="str">
        <f t="shared" si="28"/>
        <v/>
      </c>
      <c r="K376" s="7">
        <v>0</v>
      </c>
      <c r="L376" s="7" t="str">
        <f t="shared" si="29"/>
        <v/>
      </c>
      <c r="M376" s="7" t="str">
        <f t="shared" si="30"/>
        <v/>
      </c>
      <c r="N376" s="7">
        <v>0</v>
      </c>
      <c r="O376" s="7"/>
      <c r="P376" s="7"/>
      <c r="Q376" s="7"/>
      <c r="AC376"/>
      <c r="AD376" s="14"/>
    </row>
    <row r="377" spans="1:30" x14ac:dyDescent="0.25">
      <c r="A377" t="b">
        <f t="shared" si="31"/>
        <v>0</v>
      </c>
      <c r="B377">
        <v>2006</v>
      </c>
      <c r="C377">
        <v>136</v>
      </c>
      <c r="D377">
        <v>0</v>
      </c>
      <c r="E377">
        <v>2400</v>
      </c>
      <c r="F377" s="7">
        <v>-2.5539999999999998</v>
      </c>
      <c r="G377" s="7">
        <v>10.93</v>
      </c>
      <c r="H377" s="7">
        <v>0</v>
      </c>
      <c r="I377" s="7" t="str">
        <f t="shared" si="27"/>
        <v/>
      </c>
      <c r="J377" s="7" t="str">
        <f t="shared" si="28"/>
        <v/>
      </c>
      <c r="K377" s="7">
        <v>0</v>
      </c>
      <c r="L377" s="7" t="str">
        <f t="shared" si="29"/>
        <v/>
      </c>
      <c r="M377" s="7" t="str">
        <f t="shared" si="30"/>
        <v/>
      </c>
      <c r="N377" s="7">
        <v>0</v>
      </c>
      <c r="O377" s="7"/>
      <c r="P377" s="7"/>
      <c r="Q377" s="7"/>
      <c r="AC377"/>
      <c r="AD377" s="14"/>
    </row>
    <row r="378" spans="1:30" x14ac:dyDescent="0.25">
      <c r="A378" t="b">
        <f t="shared" si="31"/>
        <v>1</v>
      </c>
      <c r="B378">
        <v>2006</v>
      </c>
      <c r="C378">
        <v>137</v>
      </c>
      <c r="D378">
        <v>0</v>
      </c>
      <c r="E378">
        <v>100</v>
      </c>
      <c r="F378" s="7">
        <v>-2.4</v>
      </c>
      <c r="G378" s="7">
        <v>10.47</v>
      </c>
      <c r="H378" s="7">
        <v>0</v>
      </c>
      <c r="I378" s="7">
        <f t="shared" si="27"/>
        <v>7.6000000000000005</v>
      </c>
      <c r="J378" s="7">
        <f t="shared" si="28"/>
        <v>76.721208333333337</v>
      </c>
      <c r="K378" s="7">
        <v>0</v>
      </c>
      <c r="L378" s="7">
        <f t="shared" si="29"/>
        <v>13.94</v>
      </c>
      <c r="M378" s="7">
        <f t="shared" si="30"/>
        <v>10.39</v>
      </c>
      <c r="N378" s="7">
        <v>0</v>
      </c>
      <c r="O378" s="7"/>
      <c r="P378" s="7"/>
      <c r="Q378" s="7"/>
      <c r="AC378"/>
      <c r="AD378" s="14"/>
    </row>
    <row r="379" spans="1:30" x14ac:dyDescent="0.25">
      <c r="A379" t="b">
        <f t="shared" si="31"/>
        <v>0</v>
      </c>
      <c r="B379">
        <v>2006</v>
      </c>
      <c r="C379">
        <v>137</v>
      </c>
      <c r="D379">
        <v>0</v>
      </c>
      <c r="E379">
        <v>200</v>
      </c>
      <c r="F379" s="7">
        <v>-2.3690000000000002</v>
      </c>
      <c r="G379" s="7">
        <v>10.39</v>
      </c>
      <c r="H379" s="7">
        <v>0</v>
      </c>
      <c r="I379" s="7" t="str">
        <f t="shared" si="27"/>
        <v/>
      </c>
      <c r="J379" s="7" t="str">
        <f t="shared" si="28"/>
        <v/>
      </c>
      <c r="K379" s="7">
        <v>0</v>
      </c>
      <c r="L379" s="7" t="str">
        <f t="shared" si="29"/>
        <v/>
      </c>
      <c r="M379" s="7" t="str">
        <f t="shared" si="30"/>
        <v/>
      </c>
      <c r="N379" s="7">
        <v>0</v>
      </c>
      <c r="O379" s="7"/>
      <c r="P379" s="7"/>
      <c r="Q379" s="7"/>
      <c r="AC379"/>
      <c r="AD379" s="14"/>
    </row>
    <row r="380" spans="1:30" x14ac:dyDescent="0.25">
      <c r="A380" t="b">
        <f t="shared" si="31"/>
        <v>0</v>
      </c>
      <c r="B380">
        <v>2006</v>
      </c>
      <c r="C380">
        <v>137</v>
      </c>
      <c r="D380">
        <v>0</v>
      </c>
      <c r="E380">
        <v>300</v>
      </c>
      <c r="F380" s="7">
        <v>-1.351</v>
      </c>
      <c r="G380" s="7">
        <v>10.8</v>
      </c>
      <c r="H380" s="7">
        <v>0</v>
      </c>
      <c r="I380" s="7" t="str">
        <f t="shared" si="27"/>
        <v/>
      </c>
      <c r="J380" s="7" t="str">
        <f t="shared" si="28"/>
        <v/>
      </c>
      <c r="K380" s="7">
        <v>0</v>
      </c>
      <c r="L380" s="7" t="str">
        <f t="shared" si="29"/>
        <v/>
      </c>
      <c r="M380" s="7" t="str">
        <f t="shared" si="30"/>
        <v/>
      </c>
      <c r="N380" s="7">
        <v>0</v>
      </c>
      <c r="O380" s="7"/>
      <c r="P380" s="7"/>
      <c r="Q380" s="7"/>
      <c r="AC380"/>
      <c r="AD380" s="14"/>
    </row>
    <row r="381" spans="1:30" x14ac:dyDescent="0.25">
      <c r="A381" t="b">
        <f t="shared" si="31"/>
        <v>0</v>
      </c>
      <c r="B381">
        <v>2006</v>
      </c>
      <c r="C381">
        <v>137</v>
      </c>
      <c r="D381">
        <v>0</v>
      </c>
      <c r="E381">
        <v>400</v>
      </c>
      <c r="F381" s="7">
        <v>-1.1100000000000001</v>
      </c>
      <c r="G381" s="7">
        <v>11.22</v>
      </c>
      <c r="H381" s="7">
        <v>0</v>
      </c>
      <c r="I381" s="7" t="str">
        <f t="shared" si="27"/>
        <v/>
      </c>
      <c r="J381" s="7" t="str">
        <f t="shared" si="28"/>
        <v/>
      </c>
      <c r="K381" s="7">
        <v>0</v>
      </c>
      <c r="L381" s="7" t="str">
        <f t="shared" si="29"/>
        <v/>
      </c>
      <c r="M381" s="7" t="str">
        <f t="shared" si="30"/>
        <v/>
      </c>
      <c r="N381" s="7">
        <v>0</v>
      </c>
      <c r="O381" s="7"/>
      <c r="P381" s="7"/>
      <c r="Q381" s="7"/>
      <c r="AC381"/>
      <c r="AD381" s="14"/>
    </row>
    <row r="382" spans="1:30" x14ac:dyDescent="0.25">
      <c r="A382" t="b">
        <f t="shared" si="31"/>
        <v>0</v>
      </c>
      <c r="B382">
        <v>2006</v>
      </c>
      <c r="C382">
        <v>137</v>
      </c>
      <c r="D382">
        <v>0</v>
      </c>
      <c r="E382">
        <v>500</v>
      </c>
      <c r="F382" s="7">
        <v>5.9969999999999999</v>
      </c>
      <c r="G382" s="7">
        <v>11.55</v>
      </c>
      <c r="H382" s="7">
        <v>0</v>
      </c>
      <c r="I382" s="7" t="str">
        <f t="shared" si="27"/>
        <v/>
      </c>
      <c r="J382" s="7" t="str">
        <f t="shared" si="28"/>
        <v/>
      </c>
      <c r="K382" s="7">
        <v>0</v>
      </c>
      <c r="L382" s="7" t="str">
        <f t="shared" si="29"/>
        <v/>
      </c>
      <c r="M382" s="7" t="str">
        <f t="shared" si="30"/>
        <v/>
      </c>
      <c r="N382" s="7">
        <v>0</v>
      </c>
      <c r="O382" s="7"/>
      <c r="P382" s="7"/>
      <c r="Q382" s="7"/>
      <c r="AC382"/>
      <c r="AD382" s="14"/>
    </row>
    <row r="383" spans="1:30" x14ac:dyDescent="0.25">
      <c r="A383" t="b">
        <f t="shared" si="31"/>
        <v>0</v>
      </c>
      <c r="B383">
        <v>2006</v>
      </c>
      <c r="C383">
        <v>137</v>
      </c>
      <c r="D383">
        <v>0</v>
      </c>
      <c r="E383">
        <v>600</v>
      </c>
      <c r="F383" s="7">
        <v>24.32</v>
      </c>
      <c r="G383" s="7">
        <v>11.71</v>
      </c>
      <c r="H383" s="7">
        <v>0</v>
      </c>
      <c r="I383" s="7" t="str">
        <f t="shared" si="27"/>
        <v/>
      </c>
      <c r="J383" s="7" t="str">
        <f t="shared" si="28"/>
        <v/>
      </c>
      <c r="K383" s="7">
        <v>0</v>
      </c>
      <c r="L383" s="7" t="str">
        <f t="shared" si="29"/>
        <v/>
      </c>
      <c r="M383" s="7" t="str">
        <f t="shared" si="30"/>
        <v/>
      </c>
      <c r="N383" s="7">
        <v>0</v>
      </c>
      <c r="O383" s="7"/>
      <c r="P383" s="7"/>
      <c r="Q383" s="7"/>
      <c r="AC383"/>
      <c r="AD383" s="14"/>
    </row>
    <row r="384" spans="1:30" x14ac:dyDescent="0.25">
      <c r="A384" t="b">
        <f t="shared" si="31"/>
        <v>0</v>
      </c>
      <c r="B384">
        <v>2006</v>
      </c>
      <c r="C384">
        <v>137</v>
      </c>
      <c r="D384">
        <v>0</v>
      </c>
      <c r="E384">
        <v>700</v>
      </c>
      <c r="F384" s="7">
        <v>124</v>
      </c>
      <c r="G384" s="7">
        <v>12.17</v>
      </c>
      <c r="H384" s="7">
        <v>0</v>
      </c>
      <c r="I384" s="7" t="str">
        <f t="shared" si="27"/>
        <v/>
      </c>
      <c r="J384" s="7" t="str">
        <f t="shared" si="28"/>
        <v/>
      </c>
      <c r="K384" s="7">
        <v>0</v>
      </c>
      <c r="L384" s="7" t="str">
        <f t="shared" si="29"/>
        <v/>
      </c>
      <c r="M384" s="7" t="str">
        <f t="shared" si="30"/>
        <v/>
      </c>
      <c r="N384" s="7">
        <v>0</v>
      </c>
      <c r="O384" s="7"/>
      <c r="P384" s="7"/>
      <c r="Q384" s="7"/>
      <c r="AC384"/>
      <c r="AD384" s="14"/>
    </row>
    <row r="385" spans="1:30" x14ac:dyDescent="0.25">
      <c r="A385" t="b">
        <f t="shared" si="31"/>
        <v>0</v>
      </c>
      <c r="B385">
        <v>2006</v>
      </c>
      <c r="C385">
        <v>137</v>
      </c>
      <c r="D385">
        <v>0</v>
      </c>
      <c r="E385">
        <v>800</v>
      </c>
      <c r="F385" s="7">
        <v>283.60000000000002</v>
      </c>
      <c r="G385" s="7">
        <v>13.66</v>
      </c>
      <c r="H385" s="7">
        <v>0</v>
      </c>
      <c r="I385" s="7" t="str">
        <f t="shared" si="27"/>
        <v/>
      </c>
      <c r="J385" s="7" t="str">
        <f t="shared" si="28"/>
        <v/>
      </c>
      <c r="K385" s="7">
        <v>0</v>
      </c>
      <c r="L385" s="7" t="str">
        <f t="shared" si="29"/>
        <v/>
      </c>
      <c r="M385" s="7" t="str">
        <f t="shared" si="30"/>
        <v/>
      </c>
      <c r="N385" s="7">
        <v>0</v>
      </c>
      <c r="O385" s="7"/>
      <c r="P385" s="7"/>
      <c r="Q385" s="7"/>
      <c r="AC385"/>
      <c r="AD385" s="14"/>
    </row>
    <row r="386" spans="1:30" x14ac:dyDescent="0.25">
      <c r="A386" t="b">
        <f t="shared" si="31"/>
        <v>0</v>
      </c>
      <c r="B386">
        <v>2006</v>
      </c>
      <c r="C386">
        <v>137</v>
      </c>
      <c r="D386">
        <v>0</v>
      </c>
      <c r="E386">
        <v>900</v>
      </c>
      <c r="F386" s="7">
        <v>235.8</v>
      </c>
      <c r="G386" s="7">
        <v>13.78</v>
      </c>
      <c r="H386" s="7">
        <v>0</v>
      </c>
      <c r="I386" s="7" t="str">
        <f t="shared" ref="I386:I449" si="32">IF(AND(B386=B385,C386=C385),"",SUMIFS($H$2:$H$1529,$B$2:$B$1529,B386,$C$2:$C$1529,C386))</f>
        <v/>
      </c>
      <c r="J386" s="7" t="str">
        <f t="shared" ref="J386:J449" si="33">IF(AND(B386=B385,C386=C385),"",AVERAGEIFS($F$2:$F$1529,$B$2:$B$1529,B386,$C$2:$C$1529,C386))</f>
        <v/>
      </c>
      <c r="K386" s="7">
        <v>0</v>
      </c>
      <c r="L386" s="7" t="str">
        <f t="shared" ref="L386:L449" si="34">IF(AND(B386=B385,C386=C385),"",_xlfn.MAXIFS($G$2:$G$1529,$B$2:$B$1529,B386,$C$2:$C$1529,C386))</f>
        <v/>
      </c>
      <c r="M386" s="7" t="str">
        <f t="shared" ref="M386:M449" si="35">IF(AND(B386=B385,C386=C385),"",_xlfn.MINIFS($G$2:$G$1529,$B$2:$B$1529,B386,$C$2:$C$1529,C386))</f>
        <v/>
      </c>
      <c r="N386" s="7">
        <v>0</v>
      </c>
      <c r="O386" s="7"/>
      <c r="P386" s="7"/>
      <c r="Q386" s="7"/>
      <c r="AC386"/>
      <c r="AD386" s="14"/>
    </row>
    <row r="387" spans="1:30" x14ac:dyDescent="0.25">
      <c r="A387" t="b">
        <f t="shared" ref="A387:A450" si="36">NOT(I387="")</f>
        <v>0</v>
      </c>
      <c r="B387">
        <v>2006</v>
      </c>
      <c r="C387">
        <v>137</v>
      </c>
      <c r="D387">
        <v>0</v>
      </c>
      <c r="E387">
        <v>1000</v>
      </c>
      <c r="F387" s="7">
        <v>252.7</v>
      </c>
      <c r="G387" s="7">
        <v>13.94</v>
      </c>
      <c r="H387" s="7">
        <v>0</v>
      </c>
      <c r="I387" s="7" t="str">
        <f t="shared" si="32"/>
        <v/>
      </c>
      <c r="J387" s="7" t="str">
        <f t="shared" si="33"/>
        <v/>
      </c>
      <c r="K387" s="7">
        <v>0</v>
      </c>
      <c r="L387" s="7" t="str">
        <f t="shared" si="34"/>
        <v/>
      </c>
      <c r="M387" s="7" t="str">
        <f t="shared" si="35"/>
        <v/>
      </c>
      <c r="N387" s="7">
        <v>0</v>
      </c>
      <c r="O387" s="7"/>
      <c r="P387" s="7"/>
      <c r="Q387" s="7"/>
      <c r="AC387"/>
      <c r="AD387" s="14"/>
    </row>
    <row r="388" spans="1:30" x14ac:dyDescent="0.25">
      <c r="A388" t="b">
        <f t="shared" si="36"/>
        <v>0</v>
      </c>
      <c r="B388">
        <v>2006</v>
      </c>
      <c r="C388">
        <v>137</v>
      </c>
      <c r="D388">
        <v>0</v>
      </c>
      <c r="E388">
        <v>1100</v>
      </c>
      <c r="F388" s="7">
        <v>227.2</v>
      </c>
      <c r="G388" s="7">
        <v>13.31</v>
      </c>
      <c r="H388" s="7">
        <v>0</v>
      </c>
      <c r="I388" s="7" t="str">
        <f t="shared" si="32"/>
        <v/>
      </c>
      <c r="J388" s="7" t="str">
        <f t="shared" si="33"/>
        <v/>
      </c>
      <c r="K388" s="7">
        <v>0</v>
      </c>
      <c r="L388" s="7" t="str">
        <f t="shared" si="34"/>
        <v/>
      </c>
      <c r="M388" s="7" t="str">
        <f t="shared" si="35"/>
        <v/>
      </c>
      <c r="N388" s="7">
        <v>0</v>
      </c>
      <c r="O388" s="7"/>
      <c r="P388" s="7"/>
      <c r="Q388" s="7"/>
      <c r="AC388"/>
      <c r="AD388" s="14"/>
    </row>
    <row r="389" spans="1:30" x14ac:dyDescent="0.25">
      <c r="A389" t="b">
        <f t="shared" si="36"/>
        <v>0</v>
      </c>
      <c r="B389">
        <v>2006</v>
      </c>
      <c r="C389">
        <v>137</v>
      </c>
      <c r="D389">
        <v>0</v>
      </c>
      <c r="E389">
        <v>1200</v>
      </c>
      <c r="F389" s="7">
        <v>151.6</v>
      </c>
      <c r="G389" s="7">
        <v>12.76</v>
      </c>
      <c r="H389" s="7">
        <v>0.2</v>
      </c>
      <c r="I389" s="7" t="str">
        <f t="shared" si="32"/>
        <v/>
      </c>
      <c r="J389" s="7" t="str">
        <f t="shared" si="33"/>
        <v/>
      </c>
      <c r="K389" s="7">
        <v>0</v>
      </c>
      <c r="L389" s="7" t="str">
        <f t="shared" si="34"/>
        <v/>
      </c>
      <c r="M389" s="7" t="str">
        <f t="shared" si="35"/>
        <v/>
      </c>
      <c r="N389" s="7">
        <v>0</v>
      </c>
      <c r="O389" s="7"/>
      <c r="P389" s="7"/>
      <c r="Q389" s="7"/>
      <c r="AC389"/>
      <c r="AD389" s="14"/>
    </row>
    <row r="390" spans="1:30" x14ac:dyDescent="0.25">
      <c r="A390" t="b">
        <f t="shared" si="36"/>
        <v>0</v>
      </c>
      <c r="B390">
        <v>2006</v>
      </c>
      <c r="C390">
        <v>137</v>
      </c>
      <c r="D390">
        <v>0</v>
      </c>
      <c r="E390">
        <v>1300</v>
      </c>
      <c r="F390" s="7">
        <v>117.4</v>
      </c>
      <c r="G390" s="7">
        <v>12.24</v>
      </c>
      <c r="H390" s="7">
        <v>0.8</v>
      </c>
      <c r="I390" s="7" t="str">
        <f t="shared" si="32"/>
        <v/>
      </c>
      <c r="J390" s="7" t="str">
        <f t="shared" si="33"/>
        <v/>
      </c>
      <c r="K390" s="7">
        <v>0</v>
      </c>
      <c r="L390" s="7" t="str">
        <f t="shared" si="34"/>
        <v/>
      </c>
      <c r="M390" s="7" t="str">
        <f t="shared" si="35"/>
        <v/>
      </c>
      <c r="N390" s="7">
        <v>0</v>
      </c>
      <c r="O390" s="7"/>
      <c r="P390" s="7"/>
      <c r="Q390" s="7"/>
      <c r="AC390"/>
      <c r="AD390" s="14"/>
    </row>
    <row r="391" spans="1:30" x14ac:dyDescent="0.25">
      <c r="A391" t="b">
        <f t="shared" si="36"/>
        <v>0</v>
      </c>
      <c r="B391">
        <v>2006</v>
      </c>
      <c r="C391">
        <v>137</v>
      </c>
      <c r="D391">
        <v>0</v>
      </c>
      <c r="E391">
        <v>1400</v>
      </c>
      <c r="F391" s="7">
        <v>102.5</v>
      </c>
      <c r="G391" s="7">
        <v>12.24</v>
      </c>
      <c r="H391" s="7">
        <v>0.8</v>
      </c>
      <c r="I391" s="7" t="str">
        <f t="shared" si="32"/>
        <v/>
      </c>
      <c r="J391" s="7" t="str">
        <f t="shared" si="33"/>
        <v/>
      </c>
      <c r="K391" s="7">
        <v>0</v>
      </c>
      <c r="L391" s="7" t="str">
        <f t="shared" si="34"/>
        <v/>
      </c>
      <c r="M391" s="7" t="str">
        <f t="shared" si="35"/>
        <v/>
      </c>
      <c r="N391" s="7">
        <v>0</v>
      </c>
      <c r="O391" s="7"/>
      <c r="P391" s="7"/>
      <c r="Q391" s="7"/>
      <c r="AC391"/>
      <c r="AD391" s="14"/>
    </row>
    <row r="392" spans="1:30" x14ac:dyDescent="0.25">
      <c r="A392" t="b">
        <f t="shared" si="36"/>
        <v>0</v>
      </c>
      <c r="B392">
        <v>2006</v>
      </c>
      <c r="C392">
        <v>137</v>
      </c>
      <c r="D392">
        <v>0</v>
      </c>
      <c r="E392">
        <v>1500</v>
      </c>
      <c r="F392" s="7">
        <v>98.2</v>
      </c>
      <c r="G392" s="7">
        <v>12.38</v>
      </c>
      <c r="H392" s="7">
        <v>1.2</v>
      </c>
      <c r="I392" s="7" t="str">
        <f t="shared" si="32"/>
        <v/>
      </c>
      <c r="J392" s="7" t="str">
        <f t="shared" si="33"/>
        <v/>
      </c>
      <c r="K392" s="7">
        <v>0</v>
      </c>
      <c r="L392" s="7" t="str">
        <f t="shared" si="34"/>
        <v/>
      </c>
      <c r="M392" s="7" t="str">
        <f t="shared" si="35"/>
        <v/>
      </c>
      <c r="N392" s="7">
        <v>0</v>
      </c>
      <c r="O392" s="7"/>
      <c r="P392" s="7"/>
      <c r="Q392" s="7"/>
      <c r="AC392"/>
      <c r="AD392" s="14"/>
    </row>
    <row r="393" spans="1:30" x14ac:dyDescent="0.25">
      <c r="A393" t="b">
        <f t="shared" si="36"/>
        <v>0</v>
      </c>
      <c r="B393">
        <v>2006</v>
      </c>
      <c r="C393">
        <v>137</v>
      </c>
      <c r="D393">
        <v>0</v>
      </c>
      <c r="E393">
        <v>1600</v>
      </c>
      <c r="F393" s="7">
        <v>73.8</v>
      </c>
      <c r="G393" s="7">
        <v>12.43</v>
      </c>
      <c r="H393" s="7">
        <v>2.2000000000000002</v>
      </c>
      <c r="I393" s="7" t="str">
        <f t="shared" si="32"/>
        <v/>
      </c>
      <c r="J393" s="7" t="str">
        <f t="shared" si="33"/>
        <v/>
      </c>
      <c r="K393" s="7">
        <v>0</v>
      </c>
      <c r="L393" s="7" t="str">
        <f t="shared" si="34"/>
        <v/>
      </c>
      <c r="M393" s="7" t="str">
        <f t="shared" si="35"/>
        <v/>
      </c>
      <c r="N393" s="7">
        <v>0</v>
      </c>
      <c r="O393" s="7"/>
      <c r="P393" s="7"/>
      <c r="Q393" s="7"/>
      <c r="AC393"/>
      <c r="AD393" s="14"/>
    </row>
    <row r="394" spans="1:30" x14ac:dyDescent="0.25">
      <c r="A394" t="b">
        <f t="shared" si="36"/>
        <v>0</v>
      </c>
      <c r="B394">
        <v>2006</v>
      </c>
      <c r="C394">
        <v>137</v>
      </c>
      <c r="D394">
        <v>0</v>
      </c>
      <c r="E394">
        <v>1700</v>
      </c>
      <c r="F394" s="7">
        <v>28.91</v>
      </c>
      <c r="G394" s="7">
        <v>12.18</v>
      </c>
      <c r="H394" s="7">
        <v>2</v>
      </c>
      <c r="I394" s="7" t="str">
        <f t="shared" si="32"/>
        <v/>
      </c>
      <c r="J394" s="7" t="str">
        <f t="shared" si="33"/>
        <v/>
      </c>
      <c r="K394" s="7">
        <v>0</v>
      </c>
      <c r="L394" s="7" t="str">
        <f t="shared" si="34"/>
        <v/>
      </c>
      <c r="M394" s="7" t="str">
        <f t="shared" si="35"/>
        <v/>
      </c>
      <c r="N394" s="7">
        <v>0</v>
      </c>
      <c r="O394" s="7"/>
      <c r="P394" s="7"/>
      <c r="Q394" s="7"/>
      <c r="AC394"/>
      <c r="AD394" s="14"/>
    </row>
    <row r="395" spans="1:30" x14ac:dyDescent="0.25">
      <c r="A395" t="b">
        <f t="shared" si="36"/>
        <v>0</v>
      </c>
      <c r="B395">
        <v>2006</v>
      </c>
      <c r="C395">
        <v>137</v>
      </c>
      <c r="D395">
        <v>0</v>
      </c>
      <c r="E395">
        <v>1800</v>
      </c>
      <c r="F395" s="7">
        <v>38.89</v>
      </c>
      <c r="G395" s="7">
        <v>12.23</v>
      </c>
      <c r="H395" s="7">
        <v>0.2</v>
      </c>
      <c r="I395" s="7" t="str">
        <f t="shared" si="32"/>
        <v/>
      </c>
      <c r="J395" s="7" t="str">
        <f t="shared" si="33"/>
        <v/>
      </c>
      <c r="K395" s="7">
        <v>0</v>
      </c>
      <c r="L395" s="7" t="str">
        <f t="shared" si="34"/>
        <v/>
      </c>
      <c r="M395" s="7" t="str">
        <f t="shared" si="35"/>
        <v/>
      </c>
      <c r="N395" s="7">
        <v>0</v>
      </c>
      <c r="O395" s="7"/>
      <c r="P395" s="7"/>
      <c r="Q395" s="7"/>
      <c r="AC395"/>
      <c r="AD395" s="14"/>
    </row>
    <row r="396" spans="1:30" x14ac:dyDescent="0.25">
      <c r="A396" t="b">
        <f t="shared" si="36"/>
        <v>0</v>
      </c>
      <c r="B396">
        <v>2006</v>
      </c>
      <c r="C396">
        <v>137</v>
      </c>
      <c r="D396">
        <v>0</v>
      </c>
      <c r="E396">
        <v>1900</v>
      </c>
      <c r="F396" s="7">
        <v>60.5</v>
      </c>
      <c r="G396" s="7">
        <v>12.46</v>
      </c>
      <c r="H396" s="7">
        <v>0</v>
      </c>
      <c r="I396" s="7" t="str">
        <f t="shared" si="32"/>
        <v/>
      </c>
      <c r="J396" s="7" t="str">
        <f t="shared" si="33"/>
        <v/>
      </c>
      <c r="K396" s="7">
        <v>0</v>
      </c>
      <c r="L396" s="7" t="str">
        <f t="shared" si="34"/>
        <v/>
      </c>
      <c r="M396" s="7" t="str">
        <f t="shared" si="35"/>
        <v/>
      </c>
      <c r="N396" s="7">
        <v>0</v>
      </c>
      <c r="O396" s="7"/>
      <c r="P396" s="7"/>
      <c r="Q396" s="7"/>
      <c r="AC396"/>
      <c r="AD396" s="14"/>
    </row>
    <row r="397" spans="1:30" x14ac:dyDescent="0.25">
      <c r="A397" t="b">
        <f t="shared" si="36"/>
        <v>0</v>
      </c>
      <c r="B397">
        <v>2006</v>
      </c>
      <c r="C397">
        <v>137</v>
      </c>
      <c r="D397">
        <v>0</v>
      </c>
      <c r="E397">
        <v>2000</v>
      </c>
      <c r="F397" s="7">
        <v>28.83</v>
      </c>
      <c r="G397" s="7">
        <v>12.61</v>
      </c>
      <c r="H397" s="7">
        <v>0.2</v>
      </c>
      <c r="I397" s="7" t="str">
        <f t="shared" si="32"/>
        <v/>
      </c>
      <c r="J397" s="7" t="str">
        <f t="shared" si="33"/>
        <v/>
      </c>
      <c r="K397" s="7">
        <v>0</v>
      </c>
      <c r="L397" s="7" t="str">
        <f t="shared" si="34"/>
        <v/>
      </c>
      <c r="M397" s="7" t="str">
        <f t="shared" si="35"/>
        <v/>
      </c>
      <c r="N397" s="7">
        <v>0</v>
      </c>
      <c r="O397" s="7"/>
      <c r="P397" s="7"/>
      <c r="Q397" s="7"/>
      <c r="AC397"/>
      <c r="AD397" s="14"/>
    </row>
    <row r="398" spans="1:30" x14ac:dyDescent="0.25">
      <c r="A398" t="b">
        <f t="shared" si="36"/>
        <v>0</v>
      </c>
      <c r="B398">
        <v>2006</v>
      </c>
      <c r="C398">
        <v>137</v>
      </c>
      <c r="D398">
        <v>0</v>
      </c>
      <c r="E398">
        <v>2100</v>
      </c>
      <c r="F398" s="7">
        <v>0.21</v>
      </c>
      <c r="G398" s="7">
        <v>12.66</v>
      </c>
      <c r="H398" s="7">
        <v>0</v>
      </c>
      <c r="I398" s="7" t="str">
        <f t="shared" si="32"/>
        <v/>
      </c>
      <c r="J398" s="7" t="str">
        <f t="shared" si="33"/>
        <v/>
      </c>
      <c r="K398" s="7">
        <v>0</v>
      </c>
      <c r="L398" s="7" t="str">
        <f t="shared" si="34"/>
        <v/>
      </c>
      <c r="M398" s="7" t="str">
        <f t="shared" si="35"/>
        <v/>
      </c>
      <c r="N398" s="7">
        <v>0</v>
      </c>
      <c r="O398" s="7"/>
      <c r="P398" s="7"/>
      <c r="Q398" s="7"/>
      <c r="AC398"/>
      <c r="AD398" s="14"/>
    </row>
    <row r="399" spans="1:30" x14ac:dyDescent="0.25">
      <c r="A399" t="b">
        <f t="shared" si="36"/>
        <v>0</v>
      </c>
      <c r="B399">
        <v>2006</v>
      </c>
      <c r="C399">
        <v>137</v>
      </c>
      <c r="D399">
        <v>0</v>
      </c>
      <c r="E399">
        <v>2200</v>
      </c>
      <c r="F399" s="7">
        <v>-2.343</v>
      </c>
      <c r="G399" s="7">
        <v>12.91</v>
      </c>
      <c r="H399" s="7">
        <v>0</v>
      </c>
      <c r="I399" s="7" t="str">
        <f t="shared" si="32"/>
        <v/>
      </c>
      <c r="J399" s="7" t="str">
        <f t="shared" si="33"/>
        <v/>
      </c>
      <c r="K399" s="7">
        <v>0</v>
      </c>
      <c r="L399" s="7" t="str">
        <f t="shared" si="34"/>
        <v/>
      </c>
      <c r="M399" s="7" t="str">
        <f t="shared" si="35"/>
        <v/>
      </c>
      <c r="N399" s="7">
        <v>0</v>
      </c>
      <c r="O399" s="7"/>
      <c r="P399" s="7"/>
      <c r="Q399" s="7"/>
      <c r="AC399"/>
      <c r="AD399" s="14"/>
    </row>
    <row r="400" spans="1:30" x14ac:dyDescent="0.25">
      <c r="A400" t="b">
        <f t="shared" si="36"/>
        <v>0</v>
      </c>
      <c r="B400">
        <v>2006</v>
      </c>
      <c r="C400">
        <v>137</v>
      </c>
      <c r="D400">
        <v>0</v>
      </c>
      <c r="E400">
        <v>2300</v>
      </c>
      <c r="F400" s="7">
        <v>-2.2029999999999998</v>
      </c>
      <c r="G400" s="7">
        <v>12.82</v>
      </c>
      <c r="H400" s="7">
        <v>0</v>
      </c>
      <c r="I400" s="7" t="str">
        <f t="shared" si="32"/>
        <v/>
      </c>
      <c r="J400" s="7" t="str">
        <f t="shared" si="33"/>
        <v/>
      </c>
      <c r="K400" s="7">
        <v>0</v>
      </c>
      <c r="L400" s="7" t="str">
        <f t="shared" si="34"/>
        <v/>
      </c>
      <c r="M400" s="7" t="str">
        <f t="shared" si="35"/>
        <v/>
      </c>
      <c r="N400" s="7">
        <v>0</v>
      </c>
      <c r="O400" s="7"/>
      <c r="P400" s="7"/>
      <c r="Q400" s="7"/>
      <c r="AC400"/>
      <c r="AD400" s="14"/>
    </row>
    <row r="401" spans="1:30" x14ac:dyDescent="0.25">
      <c r="A401" t="b">
        <f t="shared" si="36"/>
        <v>0</v>
      </c>
      <c r="B401">
        <v>2006</v>
      </c>
      <c r="C401">
        <v>137</v>
      </c>
      <c r="D401">
        <v>0</v>
      </c>
      <c r="E401">
        <v>2400</v>
      </c>
      <c r="F401" s="7">
        <v>-1.3720000000000001</v>
      </c>
      <c r="G401" s="7">
        <v>12.9</v>
      </c>
      <c r="H401" s="7">
        <v>0</v>
      </c>
      <c r="I401" s="7" t="str">
        <f t="shared" si="32"/>
        <v/>
      </c>
      <c r="J401" s="7" t="str">
        <f t="shared" si="33"/>
        <v/>
      </c>
      <c r="K401" s="7">
        <v>0</v>
      </c>
      <c r="L401" s="7" t="str">
        <f t="shared" si="34"/>
        <v/>
      </c>
      <c r="M401" s="7" t="str">
        <f t="shared" si="35"/>
        <v/>
      </c>
      <c r="N401" s="7">
        <v>0</v>
      </c>
      <c r="O401" s="7"/>
      <c r="P401" s="7"/>
      <c r="Q401" s="7"/>
      <c r="AC401"/>
      <c r="AD401" s="14"/>
    </row>
    <row r="402" spans="1:30" x14ac:dyDescent="0.25">
      <c r="A402" t="b">
        <f t="shared" si="36"/>
        <v>1</v>
      </c>
      <c r="B402">
        <v>2006</v>
      </c>
      <c r="C402">
        <v>138</v>
      </c>
      <c r="D402">
        <v>0</v>
      </c>
      <c r="E402">
        <v>100</v>
      </c>
      <c r="F402" s="7">
        <v>-1.4339999999999999</v>
      </c>
      <c r="G402" s="7">
        <v>12.65</v>
      </c>
      <c r="H402" s="7">
        <v>0</v>
      </c>
      <c r="I402" s="7">
        <f t="shared" si="32"/>
        <v>1.2000000000000002</v>
      </c>
      <c r="J402" s="7">
        <f t="shared" si="33"/>
        <v>208.83874999999998</v>
      </c>
      <c r="K402" s="7">
        <v>0</v>
      </c>
      <c r="L402" s="7">
        <f t="shared" si="34"/>
        <v>15.77</v>
      </c>
      <c r="M402" s="7">
        <f t="shared" si="35"/>
        <v>9.39</v>
      </c>
      <c r="N402" s="7">
        <v>0</v>
      </c>
      <c r="O402" s="7"/>
      <c r="P402" s="7"/>
      <c r="Q402" s="7"/>
      <c r="AC402"/>
      <c r="AD402" s="14"/>
    </row>
    <row r="403" spans="1:30" x14ac:dyDescent="0.25">
      <c r="A403" t="b">
        <f t="shared" si="36"/>
        <v>0</v>
      </c>
      <c r="B403">
        <v>2006</v>
      </c>
      <c r="C403">
        <v>138</v>
      </c>
      <c r="D403">
        <v>0</v>
      </c>
      <c r="E403">
        <v>200</v>
      </c>
      <c r="F403" s="7">
        <v>-1.105</v>
      </c>
      <c r="G403" s="7">
        <v>12.36</v>
      </c>
      <c r="H403" s="7">
        <v>0</v>
      </c>
      <c r="I403" s="7" t="str">
        <f t="shared" si="32"/>
        <v/>
      </c>
      <c r="J403" s="7" t="str">
        <f t="shared" si="33"/>
        <v/>
      </c>
      <c r="K403" s="7">
        <v>0</v>
      </c>
      <c r="L403" s="7" t="str">
        <f t="shared" si="34"/>
        <v/>
      </c>
      <c r="M403" s="7" t="str">
        <f t="shared" si="35"/>
        <v/>
      </c>
      <c r="N403" s="7">
        <v>0</v>
      </c>
      <c r="O403" s="7"/>
      <c r="P403" s="7"/>
      <c r="Q403" s="7"/>
      <c r="AC403"/>
      <c r="AD403" s="14"/>
    </row>
    <row r="404" spans="1:30" x14ac:dyDescent="0.25">
      <c r="A404" t="b">
        <f t="shared" si="36"/>
        <v>0</v>
      </c>
      <c r="B404">
        <v>2006</v>
      </c>
      <c r="C404">
        <v>138</v>
      </c>
      <c r="D404">
        <v>0</v>
      </c>
      <c r="E404">
        <v>300</v>
      </c>
      <c r="F404" s="7">
        <v>-1.407</v>
      </c>
      <c r="G404" s="7">
        <v>11.96</v>
      </c>
      <c r="H404" s="7">
        <v>0</v>
      </c>
      <c r="I404" s="7" t="str">
        <f t="shared" si="32"/>
        <v/>
      </c>
      <c r="J404" s="7" t="str">
        <f t="shared" si="33"/>
        <v/>
      </c>
      <c r="K404" s="7">
        <v>0</v>
      </c>
      <c r="L404" s="7" t="str">
        <f t="shared" si="34"/>
        <v/>
      </c>
      <c r="M404" s="7" t="str">
        <f t="shared" si="35"/>
        <v/>
      </c>
      <c r="N404" s="7">
        <v>0</v>
      </c>
      <c r="O404" s="7"/>
      <c r="P404" s="7"/>
      <c r="Q404" s="7"/>
      <c r="AC404"/>
      <c r="AD404" s="14"/>
    </row>
    <row r="405" spans="1:30" x14ac:dyDescent="0.25">
      <c r="A405" t="b">
        <f t="shared" si="36"/>
        <v>0</v>
      </c>
      <c r="B405">
        <v>2006</v>
      </c>
      <c r="C405">
        <v>138</v>
      </c>
      <c r="D405">
        <v>0</v>
      </c>
      <c r="E405">
        <v>400</v>
      </c>
      <c r="F405" s="7">
        <v>-1.633</v>
      </c>
      <c r="G405" s="7">
        <v>11.22</v>
      </c>
      <c r="H405" s="7">
        <v>0</v>
      </c>
      <c r="I405" s="7" t="str">
        <f t="shared" si="32"/>
        <v/>
      </c>
      <c r="J405" s="7" t="str">
        <f t="shared" si="33"/>
        <v/>
      </c>
      <c r="K405" s="7">
        <v>0</v>
      </c>
      <c r="L405" s="7" t="str">
        <f t="shared" si="34"/>
        <v/>
      </c>
      <c r="M405" s="7" t="str">
        <f t="shared" si="35"/>
        <v/>
      </c>
      <c r="N405" s="7">
        <v>0</v>
      </c>
      <c r="O405" s="7"/>
      <c r="P405" s="7"/>
      <c r="Q405" s="7"/>
      <c r="AC405"/>
      <c r="AD405" s="14"/>
    </row>
    <row r="406" spans="1:30" x14ac:dyDescent="0.25">
      <c r="A406" t="b">
        <f t="shared" si="36"/>
        <v>0</v>
      </c>
      <c r="B406">
        <v>2006</v>
      </c>
      <c r="C406">
        <v>138</v>
      </c>
      <c r="D406">
        <v>0</v>
      </c>
      <c r="E406">
        <v>500</v>
      </c>
      <c r="F406" s="7">
        <v>9.09</v>
      </c>
      <c r="G406" s="7">
        <v>10.29</v>
      </c>
      <c r="H406" s="7">
        <v>0</v>
      </c>
      <c r="I406" s="7" t="str">
        <f t="shared" si="32"/>
        <v/>
      </c>
      <c r="J406" s="7" t="str">
        <f t="shared" si="33"/>
        <v/>
      </c>
      <c r="K406" s="7">
        <v>0</v>
      </c>
      <c r="L406" s="7" t="str">
        <f t="shared" si="34"/>
        <v/>
      </c>
      <c r="M406" s="7" t="str">
        <f t="shared" si="35"/>
        <v/>
      </c>
      <c r="N406" s="7">
        <v>0</v>
      </c>
      <c r="O406" s="7"/>
      <c r="P406" s="7"/>
      <c r="Q406" s="7"/>
      <c r="AC406"/>
      <c r="AD406" s="14"/>
    </row>
    <row r="407" spans="1:30" x14ac:dyDescent="0.25">
      <c r="A407" t="b">
        <f t="shared" si="36"/>
        <v>0</v>
      </c>
      <c r="B407">
        <v>2006</v>
      </c>
      <c r="C407">
        <v>138</v>
      </c>
      <c r="D407">
        <v>0</v>
      </c>
      <c r="E407">
        <v>600</v>
      </c>
      <c r="F407" s="7">
        <v>85</v>
      </c>
      <c r="G407" s="7">
        <v>10.45</v>
      </c>
      <c r="H407" s="7">
        <v>0</v>
      </c>
      <c r="I407" s="7" t="str">
        <f t="shared" si="32"/>
        <v/>
      </c>
      <c r="J407" s="7" t="str">
        <f t="shared" si="33"/>
        <v/>
      </c>
      <c r="K407" s="7">
        <v>0</v>
      </c>
      <c r="L407" s="7" t="str">
        <f t="shared" si="34"/>
        <v/>
      </c>
      <c r="M407" s="7" t="str">
        <f t="shared" si="35"/>
        <v/>
      </c>
      <c r="N407" s="7">
        <v>0</v>
      </c>
      <c r="O407" s="7"/>
      <c r="P407" s="7"/>
      <c r="Q407" s="7"/>
      <c r="AC407"/>
      <c r="AD407" s="14"/>
    </row>
    <row r="408" spans="1:30" x14ac:dyDescent="0.25">
      <c r="A408" t="b">
        <f t="shared" si="36"/>
        <v>0</v>
      </c>
      <c r="B408">
        <v>2006</v>
      </c>
      <c r="C408">
        <v>138</v>
      </c>
      <c r="D408">
        <v>0</v>
      </c>
      <c r="E408">
        <v>700</v>
      </c>
      <c r="F408" s="7">
        <v>248.8</v>
      </c>
      <c r="G408" s="7">
        <v>11.5</v>
      </c>
      <c r="H408" s="7">
        <v>0</v>
      </c>
      <c r="I408" s="7" t="str">
        <f t="shared" si="32"/>
        <v/>
      </c>
      <c r="J408" s="7" t="str">
        <f t="shared" si="33"/>
        <v/>
      </c>
      <c r="K408" s="7">
        <v>0</v>
      </c>
      <c r="L408" s="7" t="str">
        <f t="shared" si="34"/>
        <v/>
      </c>
      <c r="M408" s="7" t="str">
        <f t="shared" si="35"/>
        <v/>
      </c>
      <c r="N408" s="7">
        <v>0</v>
      </c>
      <c r="O408" s="7"/>
      <c r="P408" s="7"/>
      <c r="Q408" s="7"/>
      <c r="AC408"/>
      <c r="AD408" s="14"/>
    </row>
    <row r="409" spans="1:30" x14ac:dyDescent="0.25">
      <c r="A409" t="b">
        <f t="shared" si="36"/>
        <v>0</v>
      </c>
      <c r="B409">
        <v>2006</v>
      </c>
      <c r="C409">
        <v>138</v>
      </c>
      <c r="D409">
        <v>0</v>
      </c>
      <c r="E409">
        <v>800</v>
      </c>
      <c r="F409" s="7">
        <v>334.9</v>
      </c>
      <c r="G409" s="7">
        <v>12.29</v>
      </c>
      <c r="H409" s="7">
        <v>0</v>
      </c>
      <c r="I409" s="7" t="str">
        <f t="shared" si="32"/>
        <v/>
      </c>
      <c r="J409" s="7" t="str">
        <f t="shared" si="33"/>
        <v/>
      </c>
      <c r="K409" s="7">
        <v>0</v>
      </c>
      <c r="L409" s="7" t="str">
        <f t="shared" si="34"/>
        <v/>
      </c>
      <c r="M409" s="7" t="str">
        <f t="shared" si="35"/>
        <v/>
      </c>
      <c r="N409" s="7">
        <v>0</v>
      </c>
      <c r="O409" s="7"/>
      <c r="P409" s="7"/>
      <c r="Q409" s="7"/>
      <c r="AC409"/>
      <c r="AD409" s="14"/>
    </row>
    <row r="410" spans="1:30" x14ac:dyDescent="0.25">
      <c r="A410" t="b">
        <f t="shared" si="36"/>
        <v>0</v>
      </c>
      <c r="B410">
        <v>2006</v>
      </c>
      <c r="C410">
        <v>138</v>
      </c>
      <c r="D410">
        <v>0</v>
      </c>
      <c r="E410">
        <v>900</v>
      </c>
      <c r="F410" s="7">
        <v>329.4</v>
      </c>
      <c r="G410" s="7">
        <v>12.65</v>
      </c>
      <c r="H410" s="7">
        <v>0</v>
      </c>
      <c r="I410" s="7" t="str">
        <f t="shared" si="32"/>
        <v/>
      </c>
      <c r="J410" s="7" t="str">
        <f t="shared" si="33"/>
        <v/>
      </c>
      <c r="K410" s="7">
        <v>0</v>
      </c>
      <c r="L410" s="7" t="str">
        <f t="shared" si="34"/>
        <v/>
      </c>
      <c r="M410" s="7" t="str">
        <f t="shared" si="35"/>
        <v/>
      </c>
      <c r="N410" s="7">
        <v>0</v>
      </c>
      <c r="O410" s="7"/>
      <c r="P410" s="7"/>
      <c r="Q410" s="7"/>
      <c r="AC410"/>
      <c r="AD410" s="14"/>
    </row>
    <row r="411" spans="1:30" x14ac:dyDescent="0.25">
      <c r="A411" t="b">
        <f t="shared" si="36"/>
        <v>0</v>
      </c>
      <c r="B411">
        <v>2006</v>
      </c>
      <c r="C411">
        <v>138</v>
      </c>
      <c r="D411">
        <v>0</v>
      </c>
      <c r="E411">
        <v>1000</v>
      </c>
      <c r="F411" s="7">
        <v>531.4</v>
      </c>
      <c r="G411" s="7">
        <v>14.26</v>
      </c>
      <c r="H411" s="7">
        <v>0</v>
      </c>
      <c r="I411" s="7" t="str">
        <f t="shared" si="32"/>
        <v/>
      </c>
      <c r="J411" s="7" t="str">
        <f t="shared" si="33"/>
        <v/>
      </c>
      <c r="K411" s="7">
        <v>0</v>
      </c>
      <c r="L411" s="7" t="str">
        <f t="shared" si="34"/>
        <v/>
      </c>
      <c r="M411" s="7" t="str">
        <f t="shared" si="35"/>
        <v/>
      </c>
      <c r="N411" s="7">
        <v>0</v>
      </c>
      <c r="O411" s="7"/>
      <c r="P411" s="7"/>
      <c r="Q411" s="7"/>
      <c r="AC411"/>
      <c r="AD411" s="14"/>
    </row>
    <row r="412" spans="1:30" x14ac:dyDescent="0.25">
      <c r="A412" t="b">
        <f t="shared" si="36"/>
        <v>0</v>
      </c>
      <c r="B412">
        <v>2006</v>
      </c>
      <c r="C412">
        <v>138</v>
      </c>
      <c r="D412">
        <v>0</v>
      </c>
      <c r="E412">
        <v>1100</v>
      </c>
      <c r="F412" s="7">
        <v>545.29999999999995</v>
      </c>
      <c r="G412" s="7">
        <v>15.06</v>
      </c>
      <c r="H412" s="7">
        <v>0</v>
      </c>
      <c r="I412" s="7" t="str">
        <f t="shared" si="32"/>
        <v/>
      </c>
      <c r="J412" s="7" t="str">
        <f t="shared" si="33"/>
        <v/>
      </c>
      <c r="K412" s="7">
        <v>0</v>
      </c>
      <c r="L412" s="7" t="str">
        <f t="shared" si="34"/>
        <v/>
      </c>
      <c r="M412" s="7" t="str">
        <f t="shared" si="35"/>
        <v/>
      </c>
      <c r="N412" s="7">
        <v>0</v>
      </c>
      <c r="O412" s="7"/>
      <c r="P412" s="7"/>
      <c r="Q412" s="7"/>
      <c r="AC412"/>
      <c r="AD412" s="14"/>
    </row>
    <row r="413" spans="1:30" x14ac:dyDescent="0.25">
      <c r="A413" t="b">
        <f t="shared" si="36"/>
        <v>0</v>
      </c>
      <c r="B413">
        <v>2006</v>
      </c>
      <c r="C413">
        <v>138</v>
      </c>
      <c r="D413">
        <v>0</v>
      </c>
      <c r="E413">
        <v>1200</v>
      </c>
      <c r="F413" s="7">
        <v>683.8</v>
      </c>
      <c r="G413" s="7">
        <v>15.77</v>
      </c>
      <c r="H413" s="7">
        <v>0</v>
      </c>
      <c r="I413" s="7" t="str">
        <f t="shared" si="32"/>
        <v/>
      </c>
      <c r="J413" s="7" t="str">
        <f t="shared" si="33"/>
        <v/>
      </c>
      <c r="K413" s="7">
        <v>0</v>
      </c>
      <c r="L413" s="7" t="str">
        <f t="shared" si="34"/>
        <v/>
      </c>
      <c r="M413" s="7" t="str">
        <f t="shared" si="35"/>
        <v/>
      </c>
      <c r="N413" s="7">
        <v>0</v>
      </c>
      <c r="O413" s="7"/>
      <c r="P413" s="7"/>
      <c r="Q413" s="7"/>
      <c r="AC413"/>
      <c r="AD413" s="14"/>
    </row>
    <row r="414" spans="1:30" x14ac:dyDescent="0.25">
      <c r="A414" t="b">
        <f t="shared" si="36"/>
        <v>0</v>
      </c>
      <c r="B414">
        <v>2006</v>
      </c>
      <c r="C414">
        <v>138</v>
      </c>
      <c r="D414">
        <v>0</v>
      </c>
      <c r="E414">
        <v>1300</v>
      </c>
      <c r="F414" s="7">
        <v>459.2</v>
      </c>
      <c r="G414" s="7">
        <v>15.41</v>
      </c>
      <c r="H414" s="7">
        <v>0</v>
      </c>
      <c r="I414" s="7" t="str">
        <f t="shared" si="32"/>
        <v/>
      </c>
      <c r="J414" s="7" t="str">
        <f t="shared" si="33"/>
        <v/>
      </c>
      <c r="K414" s="7">
        <v>0</v>
      </c>
      <c r="L414" s="7" t="str">
        <f t="shared" si="34"/>
        <v/>
      </c>
      <c r="M414" s="7" t="str">
        <f t="shared" si="35"/>
        <v/>
      </c>
      <c r="N414" s="7">
        <v>0</v>
      </c>
      <c r="O414" s="7"/>
      <c r="P414" s="7"/>
      <c r="Q414" s="7"/>
      <c r="AC414"/>
      <c r="AD414" s="14"/>
    </row>
    <row r="415" spans="1:30" x14ac:dyDescent="0.25">
      <c r="A415" t="b">
        <f t="shared" si="36"/>
        <v>0</v>
      </c>
      <c r="B415">
        <v>2006</v>
      </c>
      <c r="C415">
        <v>138</v>
      </c>
      <c r="D415">
        <v>0</v>
      </c>
      <c r="E415">
        <v>1400</v>
      </c>
      <c r="F415" s="7">
        <v>323.7</v>
      </c>
      <c r="G415" s="7">
        <v>13.65</v>
      </c>
      <c r="H415" s="7">
        <v>0.4</v>
      </c>
      <c r="I415" s="7" t="str">
        <f t="shared" si="32"/>
        <v/>
      </c>
      <c r="J415" s="7" t="str">
        <f t="shared" si="33"/>
        <v/>
      </c>
      <c r="K415" s="7">
        <v>0</v>
      </c>
      <c r="L415" s="7" t="str">
        <f t="shared" si="34"/>
        <v/>
      </c>
      <c r="M415" s="7" t="str">
        <f t="shared" si="35"/>
        <v/>
      </c>
      <c r="N415" s="7">
        <v>0</v>
      </c>
      <c r="O415" s="7"/>
      <c r="P415" s="7"/>
      <c r="Q415" s="7"/>
      <c r="AC415"/>
      <c r="AD415" s="14"/>
    </row>
    <row r="416" spans="1:30" x14ac:dyDescent="0.25">
      <c r="A416" t="b">
        <f t="shared" si="36"/>
        <v>0</v>
      </c>
      <c r="B416">
        <v>2006</v>
      </c>
      <c r="C416">
        <v>138</v>
      </c>
      <c r="D416">
        <v>0</v>
      </c>
      <c r="E416">
        <v>1500</v>
      </c>
      <c r="F416" s="7">
        <v>252.4</v>
      </c>
      <c r="G416" s="7">
        <v>11.52</v>
      </c>
      <c r="H416" s="7">
        <v>0.2</v>
      </c>
      <c r="I416" s="7" t="str">
        <f t="shared" si="32"/>
        <v/>
      </c>
      <c r="J416" s="7" t="str">
        <f t="shared" si="33"/>
        <v/>
      </c>
      <c r="K416" s="7">
        <v>0</v>
      </c>
      <c r="L416" s="7" t="str">
        <f t="shared" si="34"/>
        <v/>
      </c>
      <c r="M416" s="7" t="str">
        <f t="shared" si="35"/>
        <v/>
      </c>
      <c r="N416" s="7">
        <v>0</v>
      </c>
      <c r="O416" s="7"/>
      <c r="P416" s="7"/>
      <c r="Q416" s="7"/>
      <c r="AC416"/>
      <c r="AD416" s="14"/>
    </row>
    <row r="417" spans="1:30" x14ac:dyDescent="0.25">
      <c r="A417" t="b">
        <f t="shared" si="36"/>
        <v>0</v>
      </c>
      <c r="B417">
        <v>2006</v>
      </c>
      <c r="C417">
        <v>138</v>
      </c>
      <c r="D417">
        <v>0</v>
      </c>
      <c r="E417">
        <v>1600</v>
      </c>
      <c r="F417" s="7">
        <v>402.9</v>
      </c>
      <c r="G417" s="7">
        <v>13.05</v>
      </c>
      <c r="H417" s="7">
        <v>0</v>
      </c>
      <c r="I417" s="7" t="str">
        <f t="shared" si="32"/>
        <v/>
      </c>
      <c r="J417" s="7" t="str">
        <f t="shared" si="33"/>
        <v/>
      </c>
      <c r="K417" s="7">
        <v>0</v>
      </c>
      <c r="L417" s="7" t="str">
        <f t="shared" si="34"/>
        <v/>
      </c>
      <c r="M417" s="7" t="str">
        <f t="shared" si="35"/>
        <v/>
      </c>
      <c r="N417" s="7">
        <v>0</v>
      </c>
      <c r="O417" s="7"/>
      <c r="P417" s="7"/>
      <c r="Q417" s="7"/>
      <c r="AC417"/>
      <c r="AD417" s="14"/>
    </row>
    <row r="418" spans="1:30" x14ac:dyDescent="0.25">
      <c r="A418" t="b">
        <f t="shared" si="36"/>
        <v>0</v>
      </c>
      <c r="B418">
        <v>2006</v>
      </c>
      <c r="C418">
        <v>138</v>
      </c>
      <c r="D418">
        <v>0</v>
      </c>
      <c r="E418">
        <v>1700</v>
      </c>
      <c r="F418" s="7">
        <v>377.2</v>
      </c>
      <c r="G418" s="7">
        <v>13.94</v>
      </c>
      <c r="H418" s="7">
        <v>0</v>
      </c>
      <c r="I418" s="7" t="str">
        <f t="shared" si="32"/>
        <v/>
      </c>
      <c r="J418" s="7" t="str">
        <f t="shared" si="33"/>
        <v/>
      </c>
      <c r="K418" s="7">
        <v>0</v>
      </c>
      <c r="L418" s="7" t="str">
        <f t="shared" si="34"/>
        <v/>
      </c>
      <c r="M418" s="7" t="str">
        <f t="shared" si="35"/>
        <v/>
      </c>
      <c r="N418" s="7">
        <v>0</v>
      </c>
      <c r="O418" s="7"/>
      <c r="P418" s="7"/>
      <c r="Q418" s="7"/>
      <c r="AC418"/>
      <c r="AD418" s="14"/>
    </row>
    <row r="419" spans="1:30" x14ac:dyDescent="0.25">
      <c r="A419" t="b">
        <f t="shared" si="36"/>
        <v>0</v>
      </c>
      <c r="B419">
        <v>2006</v>
      </c>
      <c r="C419">
        <v>138</v>
      </c>
      <c r="D419">
        <v>0</v>
      </c>
      <c r="E419">
        <v>1800</v>
      </c>
      <c r="F419" s="7">
        <v>274.2</v>
      </c>
      <c r="G419" s="7">
        <v>12.89</v>
      </c>
      <c r="H419" s="7">
        <v>0</v>
      </c>
      <c r="I419" s="7" t="str">
        <f t="shared" si="32"/>
        <v/>
      </c>
      <c r="J419" s="7" t="str">
        <f t="shared" si="33"/>
        <v/>
      </c>
      <c r="K419" s="7">
        <v>0</v>
      </c>
      <c r="L419" s="7" t="str">
        <f t="shared" si="34"/>
        <v/>
      </c>
      <c r="M419" s="7" t="str">
        <f t="shared" si="35"/>
        <v/>
      </c>
      <c r="N419" s="7">
        <v>0</v>
      </c>
      <c r="O419" s="7"/>
      <c r="P419" s="7"/>
      <c r="Q419" s="7"/>
      <c r="AC419"/>
      <c r="AD419" s="14"/>
    </row>
    <row r="420" spans="1:30" x14ac:dyDescent="0.25">
      <c r="A420" t="b">
        <f t="shared" si="36"/>
        <v>0</v>
      </c>
      <c r="B420">
        <v>2006</v>
      </c>
      <c r="C420">
        <v>138</v>
      </c>
      <c r="D420">
        <v>0</v>
      </c>
      <c r="E420">
        <v>1900</v>
      </c>
      <c r="F420" s="7">
        <v>118.9</v>
      </c>
      <c r="G420" s="7">
        <v>12.25</v>
      </c>
      <c r="H420" s="7">
        <v>0</v>
      </c>
      <c r="I420" s="7" t="str">
        <f t="shared" si="32"/>
        <v/>
      </c>
      <c r="J420" s="7" t="str">
        <f t="shared" si="33"/>
        <v/>
      </c>
      <c r="K420" s="7">
        <v>0</v>
      </c>
      <c r="L420" s="7" t="str">
        <f t="shared" si="34"/>
        <v/>
      </c>
      <c r="M420" s="7" t="str">
        <f t="shared" si="35"/>
        <v/>
      </c>
      <c r="N420" s="7">
        <v>0</v>
      </c>
      <c r="O420" s="7"/>
      <c r="P420" s="7"/>
      <c r="Q420" s="7"/>
      <c r="AC420"/>
      <c r="AD420" s="14"/>
    </row>
    <row r="421" spans="1:30" x14ac:dyDescent="0.25">
      <c r="A421" t="b">
        <f t="shared" si="36"/>
        <v>0</v>
      </c>
      <c r="B421">
        <v>2006</v>
      </c>
      <c r="C421">
        <v>138</v>
      </c>
      <c r="D421">
        <v>0</v>
      </c>
      <c r="E421">
        <v>2000</v>
      </c>
      <c r="F421" s="7">
        <v>46.94</v>
      </c>
      <c r="G421" s="7">
        <v>11.68</v>
      </c>
      <c r="H421" s="7">
        <v>0</v>
      </c>
      <c r="I421" s="7" t="str">
        <f t="shared" si="32"/>
        <v/>
      </c>
      <c r="J421" s="7" t="str">
        <f t="shared" si="33"/>
        <v/>
      </c>
      <c r="K421" s="7">
        <v>0</v>
      </c>
      <c r="L421" s="7" t="str">
        <f t="shared" si="34"/>
        <v/>
      </c>
      <c r="M421" s="7" t="str">
        <f t="shared" si="35"/>
        <v/>
      </c>
      <c r="N421" s="7">
        <v>0</v>
      </c>
      <c r="O421" s="7"/>
      <c r="P421" s="7"/>
      <c r="Q421" s="7"/>
      <c r="AC421"/>
      <c r="AD421" s="14"/>
    </row>
    <row r="422" spans="1:30" x14ac:dyDescent="0.25">
      <c r="A422" t="b">
        <f t="shared" si="36"/>
        <v>0</v>
      </c>
      <c r="B422">
        <v>2006</v>
      </c>
      <c r="C422">
        <v>138</v>
      </c>
      <c r="D422">
        <v>0</v>
      </c>
      <c r="E422">
        <v>2100</v>
      </c>
      <c r="F422" s="7">
        <v>0.97499999999999998</v>
      </c>
      <c r="G422" s="7">
        <v>10.52</v>
      </c>
      <c r="H422" s="7">
        <v>0</v>
      </c>
      <c r="I422" s="7" t="str">
        <f t="shared" si="32"/>
        <v/>
      </c>
      <c r="J422" s="7" t="str">
        <f t="shared" si="33"/>
        <v/>
      </c>
      <c r="K422" s="7">
        <v>0</v>
      </c>
      <c r="L422" s="7" t="str">
        <f t="shared" si="34"/>
        <v/>
      </c>
      <c r="M422" s="7" t="str">
        <f t="shared" si="35"/>
        <v/>
      </c>
      <c r="N422" s="7">
        <v>0</v>
      </c>
      <c r="O422" s="7"/>
      <c r="P422" s="7"/>
      <c r="Q422" s="7"/>
      <c r="AC422"/>
      <c r="AD422" s="14"/>
    </row>
    <row r="423" spans="1:30" x14ac:dyDescent="0.25">
      <c r="A423" t="b">
        <f t="shared" si="36"/>
        <v>0</v>
      </c>
      <c r="B423">
        <v>2006</v>
      </c>
      <c r="C423">
        <v>138</v>
      </c>
      <c r="D423">
        <v>0</v>
      </c>
      <c r="E423">
        <v>2200</v>
      </c>
      <c r="F423" s="7">
        <v>-3.4460000000000002</v>
      </c>
      <c r="G423" s="7">
        <v>9.51</v>
      </c>
      <c r="H423" s="7">
        <v>0</v>
      </c>
      <c r="I423" s="7" t="str">
        <f t="shared" si="32"/>
        <v/>
      </c>
      <c r="J423" s="7" t="str">
        <f t="shared" si="33"/>
        <v/>
      </c>
      <c r="K423" s="7">
        <v>0</v>
      </c>
      <c r="L423" s="7" t="str">
        <f t="shared" si="34"/>
        <v/>
      </c>
      <c r="M423" s="7" t="str">
        <f t="shared" si="35"/>
        <v/>
      </c>
      <c r="N423" s="7">
        <v>0</v>
      </c>
      <c r="O423" s="7"/>
      <c r="P423" s="7"/>
      <c r="Q423" s="7"/>
      <c r="AC423"/>
      <c r="AD423" s="14"/>
    </row>
    <row r="424" spans="1:30" x14ac:dyDescent="0.25">
      <c r="A424" t="b">
        <f t="shared" si="36"/>
        <v>0</v>
      </c>
      <c r="B424">
        <v>2006</v>
      </c>
      <c r="C424">
        <v>138</v>
      </c>
      <c r="D424">
        <v>0</v>
      </c>
      <c r="E424">
        <v>2300</v>
      </c>
      <c r="F424" s="7">
        <v>-1.8979999999999999</v>
      </c>
      <c r="G424" s="7">
        <v>9.39</v>
      </c>
      <c r="H424" s="7">
        <v>0</v>
      </c>
      <c r="I424" s="7" t="str">
        <f t="shared" si="32"/>
        <v/>
      </c>
      <c r="J424" s="7" t="str">
        <f t="shared" si="33"/>
        <v/>
      </c>
      <c r="K424" s="7">
        <v>0</v>
      </c>
      <c r="L424" s="7" t="str">
        <f t="shared" si="34"/>
        <v/>
      </c>
      <c r="M424" s="7" t="str">
        <f t="shared" si="35"/>
        <v/>
      </c>
      <c r="N424" s="7">
        <v>0</v>
      </c>
      <c r="O424" s="7"/>
      <c r="P424" s="7"/>
      <c r="Q424" s="7"/>
      <c r="AC424"/>
      <c r="AD424" s="14"/>
    </row>
    <row r="425" spans="1:30" x14ac:dyDescent="0.25">
      <c r="A425" t="b">
        <f t="shared" si="36"/>
        <v>0</v>
      </c>
      <c r="B425">
        <v>2006</v>
      </c>
      <c r="C425">
        <v>138</v>
      </c>
      <c r="D425">
        <v>0</v>
      </c>
      <c r="E425">
        <v>2400</v>
      </c>
      <c r="F425" s="7">
        <v>-1.052</v>
      </c>
      <c r="G425" s="7">
        <v>9.5500000000000007</v>
      </c>
      <c r="H425" s="7">
        <v>0.6</v>
      </c>
      <c r="I425" s="7" t="str">
        <f t="shared" si="32"/>
        <v/>
      </c>
      <c r="J425" s="7" t="str">
        <f t="shared" si="33"/>
        <v/>
      </c>
      <c r="K425" s="7">
        <v>0</v>
      </c>
      <c r="L425" s="7" t="str">
        <f t="shared" si="34"/>
        <v/>
      </c>
      <c r="M425" s="7" t="str">
        <f t="shared" si="35"/>
        <v/>
      </c>
      <c r="N425" s="7">
        <v>0</v>
      </c>
      <c r="O425" s="7"/>
      <c r="P425" s="7"/>
      <c r="Q425" s="7"/>
      <c r="AC425"/>
      <c r="AD425" s="14"/>
    </row>
    <row r="426" spans="1:30" x14ac:dyDescent="0.25">
      <c r="A426" t="b">
        <f t="shared" si="36"/>
        <v>1</v>
      </c>
      <c r="B426">
        <v>2006</v>
      </c>
      <c r="C426">
        <v>139</v>
      </c>
      <c r="D426">
        <v>0</v>
      </c>
      <c r="E426">
        <v>100</v>
      </c>
      <c r="F426" s="7">
        <v>-0.57299999999999995</v>
      </c>
      <c r="G426" s="7">
        <v>9.6300000000000008</v>
      </c>
      <c r="H426" s="7">
        <v>0.2</v>
      </c>
      <c r="I426" s="7">
        <f t="shared" si="32"/>
        <v>3.0000000000000004</v>
      </c>
      <c r="J426" s="7">
        <f t="shared" si="33"/>
        <v>137.8079166666667</v>
      </c>
      <c r="K426" s="7">
        <v>0</v>
      </c>
      <c r="L426" s="7">
        <f t="shared" si="34"/>
        <v>14.67</v>
      </c>
      <c r="M426" s="7">
        <f t="shared" si="35"/>
        <v>9.5500000000000007</v>
      </c>
      <c r="N426" s="7">
        <v>0</v>
      </c>
      <c r="O426" s="7"/>
      <c r="P426" s="7"/>
      <c r="Q426" s="7"/>
      <c r="AC426"/>
      <c r="AD426" s="14"/>
    </row>
    <row r="427" spans="1:30" x14ac:dyDescent="0.25">
      <c r="A427" t="b">
        <f t="shared" si="36"/>
        <v>0</v>
      </c>
      <c r="B427">
        <v>2006</v>
      </c>
      <c r="C427">
        <v>139</v>
      </c>
      <c r="D427">
        <v>0</v>
      </c>
      <c r="E427">
        <v>200</v>
      </c>
      <c r="F427" s="7">
        <v>-0.57299999999999995</v>
      </c>
      <c r="G427" s="7">
        <v>10.08</v>
      </c>
      <c r="H427" s="7">
        <v>0.2</v>
      </c>
      <c r="I427" s="7" t="str">
        <f t="shared" si="32"/>
        <v/>
      </c>
      <c r="J427" s="7" t="str">
        <f t="shared" si="33"/>
        <v/>
      </c>
      <c r="K427" s="7">
        <v>0</v>
      </c>
      <c r="L427" s="7" t="str">
        <f t="shared" si="34"/>
        <v/>
      </c>
      <c r="M427" s="7" t="str">
        <f t="shared" si="35"/>
        <v/>
      </c>
      <c r="N427" s="7">
        <v>0</v>
      </c>
      <c r="O427" s="7"/>
      <c r="P427" s="7"/>
      <c r="Q427" s="7"/>
      <c r="AC427"/>
      <c r="AD427" s="14"/>
    </row>
    <row r="428" spans="1:30" x14ac:dyDescent="0.25">
      <c r="A428" t="b">
        <f t="shared" si="36"/>
        <v>0</v>
      </c>
      <c r="B428">
        <v>2006</v>
      </c>
      <c r="C428">
        <v>139</v>
      </c>
      <c r="D428">
        <v>0</v>
      </c>
      <c r="E428">
        <v>300</v>
      </c>
      <c r="F428" s="7">
        <v>-0.625</v>
      </c>
      <c r="G428" s="7">
        <v>10.44</v>
      </c>
      <c r="H428" s="7">
        <v>0.2</v>
      </c>
      <c r="I428" s="7" t="str">
        <f t="shared" si="32"/>
        <v/>
      </c>
      <c r="J428" s="7" t="str">
        <f t="shared" si="33"/>
        <v/>
      </c>
      <c r="K428" s="7">
        <v>0</v>
      </c>
      <c r="L428" s="7" t="str">
        <f t="shared" si="34"/>
        <v/>
      </c>
      <c r="M428" s="7" t="str">
        <f t="shared" si="35"/>
        <v/>
      </c>
      <c r="N428" s="7">
        <v>0</v>
      </c>
      <c r="O428" s="7"/>
      <c r="P428" s="7"/>
      <c r="Q428" s="7"/>
      <c r="AC428"/>
      <c r="AD428" s="14"/>
    </row>
    <row r="429" spans="1:30" x14ac:dyDescent="0.25">
      <c r="A429" t="b">
        <f t="shared" si="36"/>
        <v>0</v>
      </c>
      <c r="B429">
        <v>2006</v>
      </c>
      <c r="C429">
        <v>139</v>
      </c>
      <c r="D429">
        <v>0</v>
      </c>
      <c r="E429">
        <v>400</v>
      </c>
      <c r="F429" s="7">
        <v>-0.51200000000000001</v>
      </c>
      <c r="G429" s="7">
        <v>10.41</v>
      </c>
      <c r="H429" s="7">
        <v>0</v>
      </c>
      <c r="I429" s="7" t="str">
        <f t="shared" si="32"/>
        <v/>
      </c>
      <c r="J429" s="7" t="str">
        <f t="shared" si="33"/>
        <v/>
      </c>
      <c r="K429" s="7">
        <v>0</v>
      </c>
      <c r="L429" s="7" t="str">
        <f t="shared" si="34"/>
        <v/>
      </c>
      <c r="M429" s="7" t="str">
        <f t="shared" si="35"/>
        <v/>
      </c>
      <c r="N429" s="7">
        <v>0</v>
      </c>
      <c r="O429" s="7"/>
      <c r="P429" s="7"/>
      <c r="Q429" s="7"/>
      <c r="AC429"/>
      <c r="AD429" s="14"/>
    </row>
    <row r="430" spans="1:30" x14ac:dyDescent="0.25">
      <c r="A430" t="b">
        <f t="shared" si="36"/>
        <v>0</v>
      </c>
      <c r="B430">
        <v>2006</v>
      </c>
      <c r="C430">
        <v>139</v>
      </c>
      <c r="D430">
        <v>0</v>
      </c>
      <c r="E430">
        <v>500</v>
      </c>
      <c r="F430" s="7">
        <v>3.0150000000000001</v>
      </c>
      <c r="G430" s="7">
        <v>9.84</v>
      </c>
      <c r="H430" s="7">
        <v>0</v>
      </c>
      <c r="I430" s="7" t="str">
        <f t="shared" si="32"/>
        <v/>
      </c>
      <c r="J430" s="7" t="str">
        <f t="shared" si="33"/>
        <v/>
      </c>
      <c r="K430" s="7">
        <v>0</v>
      </c>
      <c r="L430" s="7" t="str">
        <f t="shared" si="34"/>
        <v/>
      </c>
      <c r="M430" s="7" t="str">
        <f t="shared" si="35"/>
        <v/>
      </c>
      <c r="N430" s="7">
        <v>0</v>
      </c>
      <c r="O430" s="7"/>
      <c r="P430" s="7"/>
      <c r="Q430" s="7"/>
      <c r="AC430"/>
      <c r="AD430" s="14"/>
    </row>
    <row r="431" spans="1:30" x14ac:dyDescent="0.25">
      <c r="A431" t="b">
        <f t="shared" si="36"/>
        <v>0</v>
      </c>
      <c r="B431">
        <v>2006</v>
      </c>
      <c r="C431">
        <v>139</v>
      </c>
      <c r="D431">
        <v>0</v>
      </c>
      <c r="E431">
        <v>600</v>
      </c>
      <c r="F431" s="7">
        <v>33.57</v>
      </c>
      <c r="G431" s="7">
        <v>9.5500000000000007</v>
      </c>
      <c r="H431" s="7">
        <v>0</v>
      </c>
      <c r="I431" s="7" t="str">
        <f t="shared" si="32"/>
        <v/>
      </c>
      <c r="J431" s="7" t="str">
        <f t="shared" si="33"/>
        <v/>
      </c>
      <c r="K431" s="7">
        <v>0</v>
      </c>
      <c r="L431" s="7" t="str">
        <f t="shared" si="34"/>
        <v/>
      </c>
      <c r="M431" s="7" t="str">
        <f t="shared" si="35"/>
        <v/>
      </c>
      <c r="N431" s="7">
        <v>0</v>
      </c>
      <c r="O431" s="7"/>
      <c r="P431" s="7"/>
      <c r="Q431" s="7"/>
      <c r="AC431"/>
      <c r="AD431" s="14"/>
    </row>
    <row r="432" spans="1:30" x14ac:dyDescent="0.25">
      <c r="A432" t="b">
        <f t="shared" si="36"/>
        <v>0</v>
      </c>
      <c r="B432">
        <v>2006</v>
      </c>
      <c r="C432">
        <v>139</v>
      </c>
      <c r="D432">
        <v>0</v>
      </c>
      <c r="E432">
        <v>700</v>
      </c>
      <c r="F432" s="7">
        <v>67.739999999999995</v>
      </c>
      <c r="G432" s="7">
        <v>9.64</v>
      </c>
      <c r="H432" s="7">
        <v>0</v>
      </c>
      <c r="I432" s="7" t="str">
        <f t="shared" si="32"/>
        <v/>
      </c>
      <c r="J432" s="7" t="str">
        <f t="shared" si="33"/>
        <v/>
      </c>
      <c r="K432" s="7">
        <v>0</v>
      </c>
      <c r="L432" s="7" t="str">
        <f t="shared" si="34"/>
        <v/>
      </c>
      <c r="M432" s="7" t="str">
        <f t="shared" si="35"/>
        <v/>
      </c>
      <c r="N432" s="7">
        <v>0</v>
      </c>
      <c r="O432" s="7"/>
      <c r="P432" s="7"/>
      <c r="Q432" s="7"/>
      <c r="AC432"/>
      <c r="AD432" s="14"/>
    </row>
    <row r="433" spans="1:30" x14ac:dyDescent="0.25">
      <c r="A433" t="b">
        <f t="shared" si="36"/>
        <v>0</v>
      </c>
      <c r="B433">
        <v>2006</v>
      </c>
      <c r="C433">
        <v>139</v>
      </c>
      <c r="D433">
        <v>0</v>
      </c>
      <c r="E433">
        <v>800</v>
      </c>
      <c r="F433" s="7">
        <v>52.8</v>
      </c>
      <c r="G433" s="7">
        <v>9.6199999999999992</v>
      </c>
      <c r="H433" s="7">
        <v>0</v>
      </c>
      <c r="I433" s="7" t="str">
        <f t="shared" si="32"/>
        <v/>
      </c>
      <c r="J433" s="7" t="str">
        <f t="shared" si="33"/>
        <v/>
      </c>
      <c r="K433" s="7">
        <v>0</v>
      </c>
      <c r="L433" s="7" t="str">
        <f t="shared" si="34"/>
        <v/>
      </c>
      <c r="M433" s="7" t="str">
        <f t="shared" si="35"/>
        <v/>
      </c>
      <c r="N433" s="7">
        <v>0</v>
      </c>
      <c r="O433" s="7"/>
      <c r="P433" s="7"/>
      <c r="Q433" s="7"/>
      <c r="AC433"/>
      <c r="AD433" s="14"/>
    </row>
    <row r="434" spans="1:30" x14ac:dyDescent="0.25">
      <c r="A434" t="b">
        <f t="shared" si="36"/>
        <v>0</v>
      </c>
      <c r="B434">
        <v>2006</v>
      </c>
      <c r="C434">
        <v>139</v>
      </c>
      <c r="D434">
        <v>0</v>
      </c>
      <c r="E434">
        <v>900</v>
      </c>
      <c r="F434" s="7">
        <v>111.8</v>
      </c>
      <c r="G434" s="7">
        <v>10.199999999999999</v>
      </c>
      <c r="H434" s="7">
        <v>0</v>
      </c>
      <c r="I434" s="7" t="str">
        <f t="shared" si="32"/>
        <v/>
      </c>
      <c r="J434" s="7" t="str">
        <f t="shared" si="33"/>
        <v/>
      </c>
      <c r="K434" s="7">
        <v>0</v>
      </c>
      <c r="L434" s="7" t="str">
        <f t="shared" si="34"/>
        <v/>
      </c>
      <c r="M434" s="7" t="str">
        <f t="shared" si="35"/>
        <v/>
      </c>
      <c r="N434" s="7">
        <v>0</v>
      </c>
      <c r="O434" s="7"/>
      <c r="P434" s="7"/>
      <c r="Q434" s="7"/>
      <c r="AC434"/>
      <c r="AD434" s="14"/>
    </row>
    <row r="435" spans="1:30" x14ac:dyDescent="0.25">
      <c r="A435" t="b">
        <f t="shared" si="36"/>
        <v>0</v>
      </c>
      <c r="B435">
        <v>2006</v>
      </c>
      <c r="C435">
        <v>139</v>
      </c>
      <c r="D435">
        <v>0</v>
      </c>
      <c r="E435">
        <v>1000</v>
      </c>
      <c r="F435" s="7">
        <v>207.5</v>
      </c>
      <c r="G435" s="7">
        <v>10.67</v>
      </c>
      <c r="H435" s="7">
        <v>0</v>
      </c>
      <c r="I435" s="7" t="str">
        <f t="shared" si="32"/>
        <v/>
      </c>
      <c r="J435" s="7" t="str">
        <f t="shared" si="33"/>
        <v/>
      </c>
      <c r="K435" s="7">
        <v>0</v>
      </c>
      <c r="L435" s="7" t="str">
        <f t="shared" si="34"/>
        <v/>
      </c>
      <c r="M435" s="7" t="str">
        <f t="shared" si="35"/>
        <v/>
      </c>
      <c r="N435" s="7">
        <v>0</v>
      </c>
      <c r="O435" s="7"/>
      <c r="P435" s="7"/>
      <c r="Q435" s="7"/>
      <c r="AC435"/>
      <c r="AD435" s="14"/>
    </row>
    <row r="436" spans="1:30" x14ac:dyDescent="0.25">
      <c r="A436" t="b">
        <f t="shared" si="36"/>
        <v>0</v>
      </c>
      <c r="B436">
        <v>2006</v>
      </c>
      <c r="C436">
        <v>139</v>
      </c>
      <c r="D436">
        <v>0</v>
      </c>
      <c r="E436">
        <v>1100</v>
      </c>
      <c r="F436" s="7">
        <v>326.7</v>
      </c>
      <c r="G436" s="7">
        <v>11.68</v>
      </c>
      <c r="H436" s="7">
        <v>0</v>
      </c>
      <c r="I436" s="7" t="str">
        <f t="shared" si="32"/>
        <v/>
      </c>
      <c r="J436" s="7" t="str">
        <f t="shared" si="33"/>
        <v/>
      </c>
      <c r="K436" s="7">
        <v>0</v>
      </c>
      <c r="L436" s="7" t="str">
        <f t="shared" si="34"/>
        <v/>
      </c>
      <c r="M436" s="7" t="str">
        <f t="shared" si="35"/>
        <v/>
      </c>
      <c r="N436" s="7">
        <v>0</v>
      </c>
      <c r="O436" s="7"/>
      <c r="P436" s="7"/>
      <c r="Q436" s="7"/>
      <c r="AC436"/>
      <c r="AD436" s="14"/>
    </row>
    <row r="437" spans="1:30" x14ac:dyDescent="0.25">
      <c r="A437" t="b">
        <f t="shared" si="36"/>
        <v>0</v>
      </c>
      <c r="B437">
        <v>2006</v>
      </c>
      <c r="C437">
        <v>139</v>
      </c>
      <c r="D437">
        <v>0</v>
      </c>
      <c r="E437">
        <v>1200</v>
      </c>
      <c r="F437" s="7">
        <v>316.39999999999998</v>
      </c>
      <c r="G437" s="7">
        <v>12.17</v>
      </c>
      <c r="H437" s="7">
        <v>0</v>
      </c>
      <c r="I437" s="7" t="str">
        <f t="shared" si="32"/>
        <v/>
      </c>
      <c r="J437" s="7" t="str">
        <f t="shared" si="33"/>
        <v/>
      </c>
      <c r="K437" s="7">
        <v>0</v>
      </c>
      <c r="L437" s="7" t="str">
        <f t="shared" si="34"/>
        <v/>
      </c>
      <c r="M437" s="7" t="str">
        <f t="shared" si="35"/>
        <v/>
      </c>
      <c r="N437" s="7">
        <v>0</v>
      </c>
      <c r="O437" s="7"/>
      <c r="P437" s="7"/>
      <c r="Q437" s="7"/>
      <c r="AC437"/>
      <c r="AD437" s="14"/>
    </row>
    <row r="438" spans="1:30" x14ac:dyDescent="0.25">
      <c r="A438" t="b">
        <f t="shared" si="36"/>
        <v>0</v>
      </c>
      <c r="B438">
        <v>2006</v>
      </c>
      <c r="C438">
        <v>139</v>
      </c>
      <c r="D438">
        <v>0</v>
      </c>
      <c r="E438">
        <v>1300</v>
      </c>
      <c r="F438" s="7">
        <v>501.7</v>
      </c>
      <c r="G438" s="7">
        <v>13.28</v>
      </c>
      <c r="H438" s="7">
        <v>0</v>
      </c>
      <c r="I438" s="7" t="str">
        <f t="shared" si="32"/>
        <v/>
      </c>
      <c r="J438" s="7" t="str">
        <f t="shared" si="33"/>
        <v/>
      </c>
      <c r="K438" s="7">
        <v>0</v>
      </c>
      <c r="L438" s="7" t="str">
        <f t="shared" si="34"/>
        <v/>
      </c>
      <c r="M438" s="7" t="str">
        <f t="shared" si="35"/>
        <v/>
      </c>
      <c r="N438" s="7">
        <v>0</v>
      </c>
      <c r="O438" s="7"/>
      <c r="P438" s="7"/>
      <c r="Q438" s="7"/>
      <c r="AC438"/>
      <c r="AD438" s="14"/>
    </row>
    <row r="439" spans="1:30" x14ac:dyDescent="0.25">
      <c r="A439" t="b">
        <f t="shared" si="36"/>
        <v>0</v>
      </c>
      <c r="B439">
        <v>2006</v>
      </c>
      <c r="C439">
        <v>139</v>
      </c>
      <c r="D439">
        <v>0</v>
      </c>
      <c r="E439">
        <v>1400</v>
      </c>
      <c r="F439" s="7">
        <v>375.2</v>
      </c>
      <c r="G439" s="7">
        <v>13.63</v>
      </c>
      <c r="H439" s="7">
        <v>0</v>
      </c>
      <c r="I439" s="7" t="str">
        <f t="shared" si="32"/>
        <v/>
      </c>
      <c r="J439" s="7" t="str">
        <f t="shared" si="33"/>
        <v/>
      </c>
      <c r="K439" s="7">
        <v>0</v>
      </c>
      <c r="L439" s="7" t="str">
        <f t="shared" si="34"/>
        <v/>
      </c>
      <c r="M439" s="7" t="str">
        <f t="shared" si="35"/>
        <v/>
      </c>
      <c r="N439" s="7">
        <v>0</v>
      </c>
      <c r="O439" s="7"/>
      <c r="P439" s="7"/>
      <c r="Q439" s="7"/>
      <c r="AC439"/>
      <c r="AD439" s="14"/>
    </row>
    <row r="440" spans="1:30" x14ac:dyDescent="0.25">
      <c r="A440" t="b">
        <f t="shared" si="36"/>
        <v>0</v>
      </c>
      <c r="B440">
        <v>2006</v>
      </c>
      <c r="C440">
        <v>139</v>
      </c>
      <c r="D440">
        <v>0</v>
      </c>
      <c r="E440">
        <v>1500</v>
      </c>
      <c r="F440" s="7">
        <v>418.1</v>
      </c>
      <c r="G440" s="7">
        <v>14.08</v>
      </c>
      <c r="H440" s="7">
        <v>0</v>
      </c>
      <c r="I440" s="7" t="str">
        <f t="shared" si="32"/>
        <v/>
      </c>
      <c r="J440" s="7" t="str">
        <f t="shared" si="33"/>
        <v/>
      </c>
      <c r="K440" s="7">
        <v>0</v>
      </c>
      <c r="L440" s="7" t="str">
        <f t="shared" si="34"/>
        <v/>
      </c>
      <c r="M440" s="7" t="str">
        <f t="shared" si="35"/>
        <v/>
      </c>
      <c r="N440" s="7">
        <v>0</v>
      </c>
      <c r="O440" s="7"/>
      <c r="P440" s="7"/>
      <c r="Q440" s="7"/>
      <c r="AC440"/>
      <c r="AD440" s="14"/>
    </row>
    <row r="441" spans="1:30" x14ac:dyDescent="0.25">
      <c r="A441" t="b">
        <f t="shared" si="36"/>
        <v>0</v>
      </c>
      <c r="B441">
        <v>2006</v>
      </c>
      <c r="C441">
        <v>139</v>
      </c>
      <c r="D441">
        <v>0</v>
      </c>
      <c r="E441">
        <v>1600</v>
      </c>
      <c r="F441" s="7">
        <v>528.29999999999995</v>
      </c>
      <c r="G441" s="7">
        <v>14.67</v>
      </c>
      <c r="H441" s="7">
        <v>0</v>
      </c>
      <c r="I441" s="7" t="str">
        <f t="shared" si="32"/>
        <v/>
      </c>
      <c r="J441" s="7" t="str">
        <f t="shared" si="33"/>
        <v/>
      </c>
      <c r="K441" s="7">
        <v>0</v>
      </c>
      <c r="L441" s="7" t="str">
        <f t="shared" si="34"/>
        <v/>
      </c>
      <c r="M441" s="7" t="str">
        <f t="shared" si="35"/>
        <v/>
      </c>
      <c r="N441" s="7">
        <v>0</v>
      </c>
      <c r="O441" s="7"/>
      <c r="P441" s="7"/>
      <c r="Q441" s="7"/>
      <c r="AC441"/>
      <c r="AD441" s="14"/>
    </row>
    <row r="442" spans="1:30" x14ac:dyDescent="0.25">
      <c r="A442" t="b">
        <f t="shared" si="36"/>
        <v>0</v>
      </c>
      <c r="B442">
        <v>2006</v>
      </c>
      <c r="C442">
        <v>139</v>
      </c>
      <c r="D442">
        <v>0</v>
      </c>
      <c r="E442">
        <v>1700</v>
      </c>
      <c r="F442" s="7">
        <v>243.6</v>
      </c>
      <c r="G442" s="7">
        <v>14.51</v>
      </c>
      <c r="H442" s="7">
        <v>0</v>
      </c>
      <c r="I442" s="7" t="str">
        <f t="shared" si="32"/>
        <v/>
      </c>
      <c r="J442" s="7" t="str">
        <f t="shared" si="33"/>
        <v/>
      </c>
      <c r="K442" s="7">
        <v>0</v>
      </c>
      <c r="L442" s="7" t="str">
        <f t="shared" si="34"/>
        <v/>
      </c>
      <c r="M442" s="7" t="str">
        <f t="shared" si="35"/>
        <v/>
      </c>
      <c r="N442" s="7">
        <v>0</v>
      </c>
      <c r="O442" s="7"/>
      <c r="P442" s="7"/>
      <c r="Q442" s="7"/>
      <c r="AC442"/>
      <c r="AD442" s="14"/>
    </row>
    <row r="443" spans="1:30" x14ac:dyDescent="0.25">
      <c r="A443" t="b">
        <f t="shared" si="36"/>
        <v>0</v>
      </c>
      <c r="B443">
        <v>2006</v>
      </c>
      <c r="C443">
        <v>139</v>
      </c>
      <c r="D443">
        <v>0</v>
      </c>
      <c r="E443">
        <v>1800</v>
      </c>
      <c r="F443" s="7">
        <v>57.03</v>
      </c>
      <c r="G443" s="7">
        <v>13.09</v>
      </c>
      <c r="H443" s="7">
        <v>0</v>
      </c>
      <c r="I443" s="7" t="str">
        <f t="shared" si="32"/>
        <v/>
      </c>
      <c r="J443" s="7" t="str">
        <f t="shared" si="33"/>
        <v/>
      </c>
      <c r="K443" s="7">
        <v>0</v>
      </c>
      <c r="L443" s="7" t="str">
        <f t="shared" si="34"/>
        <v/>
      </c>
      <c r="M443" s="7" t="str">
        <f t="shared" si="35"/>
        <v/>
      </c>
      <c r="N443" s="7">
        <v>0</v>
      </c>
      <c r="O443" s="7"/>
      <c r="P443" s="7"/>
      <c r="Q443" s="7"/>
      <c r="AC443"/>
      <c r="AD443" s="14"/>
    </row>
    <row r="444" spans="1:30" x14ac:dyDescent="0.25">
      <c r="A444" t="b">
        <f t="shared" si="36"/>
        <v>0</v>
      </c>
      <c r="B444">
        <v>2006</v>
      </c>
      <c r="C444">
        <v>139</v>
      </c>
      <c r="D444">
        <v>0</v>
      </c>
      <c r="E444">
        <v>1900</v>
      </c>
      <c r="F444" s="7">
        <v>59.02</v>
      </c>
      <c r="G444" s="7">
        <v>12.94</v>
      </c>
      <c r="H444" s="7">
        <v>0</v>
      </c>
      <c r="I444" s="7" t="str">
        <f t="shared" si="32"/>
        <v/>
      </c>
      <c r="J444" s="7" t="str">
        <f t="shared" si="33"/>
        <v/>
      </c>
      <c r="K444" s="7">
        <v>0</v>
      </c>
      <c r="L444" s="7" t="str">
        <f t="shared" si="34"/>
        <v/>
      </c>
      <c r="M444" s="7" t="str">
        <f t="shared" si="35"/>
        <v/>
      </c>
      <c r="N444" s="7">
        <v>0</v>
      </c>
      <c r="O444" s="7"/>
      <c r="P444" s="7"/>
      <c r="Q444" s="7"/>
      <c r="AC444"/>
      <c r="AD444" s="14"/>
    </row>
    <row r="445" spans="1:30" x14ac:dyDescent="0.25">
      <c r="A445" t="b">
        <f t="shared" si="36"/>
        <v>0</v>
      </c>
      <c r="B445">
        <v>2006</v>
      </c>
      <c r="C445">
        <v>139</v>
      </c>
      <c r="D445">
        <v>0</v>
      </c>
      <c r="E445">
        <v>2000</v>
      </c>
      <c r="F445" s="7">
        <v>8.6300000000000008</v>
      </c>
      <c r="G445" s="7">
        <v>12.24</v>
      </c>
      <c r="H445" s="7">
        <v>1.6</v>
      </c>
      <c r="I445" s="7" t="str">
        <f t="shared" si="32"/>
        <v/>
      </c>
      <c r="J445" s="7" t="str">
        <f t="shared" si="33"/>
        <v/>
      </c>
      <c r="K445" s="7">
        <v>0</v>
      </c>
      <c r="L445" s="7" t="str">
        <f t="shared" si="34"/>
        <v/>
      </c>
      <c r="M445" s="7" t="str">
        <f t="shared" si="35"/>
        <v/>
      </c>
      <c r="N445" s="7">
        <v>0</v>
      </c>
      <c r="O445" s="7"/>
      <c r="P445" s="7"/>
      <c r="Q445" s="7"/>
      <c r="AC445"/>
      <c r="AD445" s="14"/>
    </row>
    <row r="446" spans="1:30" x14ac:dyDescent="0.25">
      <c r="A446" t="b">
        <f t="shared" si="36"/>
        <v>0</v>
      </c>
      <c r="B446">
        <v>2006</v>
      </c>
      <c r="C446">
        <v>139</v>
      </c>
      <c r="D446">
        <v>0</v>
      </c>
      <c r="E446">
        <v>2100</v>
      </c>
      <c r="F446" s="7">
        <v>0.68500000000000005</v>
      </c>
      <c r="G446" s="7">
        <v>10.86</v>
      </c>
      <c r="H446" s="7">
        <v>0.6</v>
      </c>
      <c r="I446" s="7" t="str">
        <f t="shared" si="32"/>
        <v/>
      </c>
      <c r="J446" s="7" t="str">
        <f t="shared" si="33"/>
        <v/>
      </c>
      <c r="K446" s="7">
        <v>0</v>
      </c>
      <c r="L446" s="7" t="str">
        <f t="shared" si="34"/>
        <v/>
      </c>
      <c r="M446" s="7" t="str">
        <f t="shared" si="35"/>
        <v/>
      </c>
      <c r="N446" s="7">
        <v>0</v>
      </c>
      <c r="O446" s="7"/>
      <c r="P446" s="7"/>
      <c r="Q446" s="7"/>
      <c r="AC446"/>
      <c r="AD446" s="14"/>
    </row>
    <row r="447" spans="1:30" x14ac:dyDescent="0.25">
      <c r="A447" t="b">
        <f t="shared" si="36"/>
        <v>0</v>
      </c>
      <c r="B447">
        <v>2006</v>
      </c>
      <c r="C447">
        <v>139</v>
      </c>
      <c r="D447">
        <v>0</v>
      </c>
      <c r="E447">
        <v>2200</v>
      </c>
      <c r="F447" s="7">
        <v>-0.96799999999999997</v>
      </c>
      <c r="G447" s="7">
        <v>10.35</v>
      </c>
      <c r="H447" s="7">
        <v>0.2</v>
      </c>
      <c r="I447" s="7" t="str">
        <f t="shared" si="32"/>
        <v/>
      </c>
      <c r="J447" s="7" t="str">
        <f t="shared" si="33"/>
        <v/>
      </c>
      <c r="K447" s="7">
        <v>0</v>
      </c>
      <c r="L447" s="7" t="str">
        <f t="shared" si="34"/>
        <v/>
      </c>
      <c r="M447" s="7" t="str">
        <f t="shared" si="35"/>
        <v/>
      </c>
      <c r="N447" s="7">
        <v>0</v>
      </c>
      <c r="O447" s="7"/>
      <c r="P447" s="7"/>
      <c r="Q447" s="7"/>
      <c r="AC447"/>
      <c r="AD447" s="14"/>
    </row>
    <row r="448" spans="1:30" x14ac:dyDescent="0.25">
      <c r="A448" t="b">
        <f t="shared" si="36"/>
        <v>0</v>
      </c>
      <c r="B448">
        <v>2006</v>
      </c>
      <c r="C448">
        <v>139</v>
      </c>
      <c r="D448">
        <v>0</v>
      </c>
      <c r="E448">
        <v>2300</v>
      </c>
      <c r="F448" s="7">
        <v>-0.57299999999999995</v>
      </c>
      <c r="G448" s="7">
        <v>9.92</v>
      </c>
      <c r="H448" s="7">
        <v>0</v>
      </c>
      <c r="I448" s="7" t="str">
        <f t="shared" si="32"/>
        <v/>
      </c>
      <c r="J448" s="7" t="str">
        <f t="shared" si="33"/>
        <v/>
      </c>
      <c r="K448" s="7">
        <v>0</v>
      </c>
      <c r="L448" s="7" t="str">
        <f t="shared" si="34"/>
        <v/>
      </c>
      <c r="M448" s="7" t="str">
        <f t="shared" si="35"/>
        <v/>
      </c>
      <c r="N448" s="7">
        <v>0</v>
      </c>
      <c r="O448" s="7"/>
      <c r="P448" s="7"/>
      <c r="Q448" s="7"/>
      <c r="AC448"/>
      <c r="AD448" s="14"/>
    </row>
    <row r="449" spans="1:30" x14ac:dyDescent="0.25">
      <c r="A449" t="b">
        <f t="shared" si="36"/>
        <v>0</v>
      </c>
      <c r="B449">
        <v>2006</v>
      </c>
      <c r="C449">
        <v>139</v>
      </c>
      <c r="D449">
        <v>0</v>
      </c>
      <c r="E449">
        <v>2400</v>
      </c>
      <c r="F449" s="7">
        <v>-0.57599999999999996</v>
      </c>
      <c r="G449" s="7">
        <v>9.7200000000000006</v>
      </c>
      <c r="H449" s="7">
        <v>0</v>
      </c>
      <c r="I449" s="7" t="str">
        <f t="shared" si="32"/>
        <v/>
      </c>
      <c r="J449" s="7" t="str">
        <f t="shared" si="33"/>
        <v/>
      </c>
      <c r="K449" s="7">
        <v>0</v>
      </c>
      <c r="L449" s="7" t="str">
        <f t="shared" si="34"/>
        <v/>
      </c>
      <c r="M449" s="7" t="str">
        <f t="shared" si="35"/>
        <v/>
      </c>
      <c r="N449" s="7">
        <v>0</v>
      </c>
      <c r="O449" s="7"/>
      <c r="P449" s="7"/>
      <c r="Q449" s="7"/>
      <c r="AC449"/>
      <c r="AD449" s="14"/>
    </row>
    <row r="450" spans="1:30" x14ac:dyDescent="0.25">
      <c r="A450" t="b">
        <f t="shared" si="36"/>
        <v>1</v>
      </c>
      <c r="B450">
        <v>2006</v>
      </c>
      <c r="C450">
        <v>140</v>
      </c>
      <c r="D450">
        <v>0</v>
      </c>
      <c r="E450">
        <v>100</v>
      </c>
      <c r="F450" s="7">
        <v>-0.56999999999999995</v>
      </c>
      <c r="G450" s="7">
        <v>9.69</v>
      </c>
      <c r="H450" s="7">
        <v>0</v>
      </c>
      <c r="I450" s="7">
        <f t="shared" ref="I450:I513" si="37">IF(AND(B450=B449,C450=C449),"",SUMIFS($H$2:$H$1529,$B$2:$B$1529,B450,$C$2:$C$1529,C450))</f>
        <v>3</v>
      </c>
      <c r="J450" s="7">
        <f t="shared" ref="J450:J513" si="38">IF(AND(B450=B449,C450=C449),"",AVERAGEIFS($F$2:$F$1529,$B$2:$B$1529,B450,$C$2:$C$1529,C450))</f>
        <v>142.93362500000003</v>
      </c>
      <c r="K450" s="7">
        <v>0</v>
      </c>
      <c r="L450" s="7">
        <f t="shared" ref="L450:L513" si="39">IF(AND(B450=B449,C450=C449),"",_xlfn.MAXIFS($G$2:$G$1529,$B$2:$B$1529,B450,$C$2:$C$1529,C450))</f>
        <v>11.4</v>
      </c>
      <c r="M450" s="7">
        <f t="shared" ref="M450:M513" si="40">IF(AND(B450=B449,C450=C449),"",_xlfn.MINIFS($G$2:$G$1529,$B$2:$B$1529,B450,$C$2:$C$1529,C450))</f>
        <v>3.1960000000000002</v>
      </c>
      <c r="N450" s="7">
        <v>0</v>
      </c>
      <c r="O450" s="7"/>
      <c r="P450" s="7"/>
      <c r="Q450" s="7"/>
      <c r="AC450"/>
      <c r="AD450" s="14"/>
    </row>
    <row r="451" spans="1:30" x14ac:dyDescent="0.25">
      <c r="A451" t="b">
        <f t="shared" ref="A451:A514" si="41">NOT(I451="")</f>
        <v>0</v>
      </c>
      <c r="B451">
        <v>2006</v>
      </c>
      <c r="C451">
        <v>140</v>
      </c>
      <c r="D451">
        <v>0</v>
      </c>
      <c r="E451">
        <v>200</v>
      </c>
      <c r="F451" s="7">
        <v>-0.41199999999999998</v>
      </c>
      <c r="G451" s="7">
        <v>9.68</v>
      </c>
      <c r="H451" s="7">
        <v>0.8</v>
      </c>
      <c r="I451" s="7" t="str">
        <f t="shared" si="37"/>
        <v/>
      </c>
      <c r="J451" s="7" t="str">
        <f t="shared" si="38"/>
        <v/>
      </c>
      <c r="K451" s="7">
        <v>0</v>
      </c>
      <c r="L451" s="7" t="str">
        <f t="shared" si="39"/>
        <v/>
      </c>
      <c r="M451" s="7" t="str">
        <f t="shared" si="40"/>
        <v/>
      </c>
      <c r="N451" s="7">
        <v>0</v>
      </c>
      <c r="O451" s="7"/>
      <c r="P451" s="7"/>
      <c r="Q451" s="7"/>
      <c r="AC451"/>
      <c r="AD451" s="14"/>
    </row>
    <row r="452" spans="1:30" x14ac:dyDescent="0.25">
      <c r="A452" t="b">
        <f t="shared" si="41"/>
        <v>0</v>
      </c>
      <c r="B452">
        <v>2006</v>
      </c>
      <c r="C452">
        <v>140</v>
      </c>
      <c r="D452">
        <v>0</v>
      </c>
      <c r="E452">
        <v>300</v>
      </c>
      <c r="F452" s="7">
        <v>-0.42799999999999999</v>
      </c>
      <c r="G452" s="7">
        <v>9.35</v>
      </c>
      <c r="H452" s="7">
        <v>0.4</v>
      </c>
      <c r="I452" s="7" t="str">
        <f t="shared" si="37"/>
        <v/>
      </c>
      <c r="J452" s="7" t="str">
        <f t="shared" si="38"/>
        <v/>
      </c>
      <c r="K452" s="7">
        <v>0</v>
      </c>
      <c r="L452" s="7" t="str">
        <f t="shared" si="39"/>
        <v/>
      </c>
      <c r="M452" s="7" t="str">
        <f t="shared" si="40"/>
        <v/>
      </c>
      <c r="N452" s="7">
        <v>0</v>
      </c>
      <c r="O452" s="7"/>
      <c r="P452" s="7"/>
      <c r="Q452" s="7"/>
      <c r="AC452"/>
      <c r="AD452" s="14"/>
    </row>
    <row r="453" spans="1:30" x14ac:dyDescent="0.25">
      <c r="A453" t="b">
        <f t="shared" si="41"/>
        <v>0</v>
      </c>
      <c r="B453">
        <v>2006</v>
      </c>
      <c r="C453">
        <v>140</v>
      </c>
      <c r="D453">
        <v>0</v>
      </c>
      <c r="E453">
        <v>400</v>
      </c>
      <c r="F453" s="7">
        <v>-0.307</v>
      </c>
      <c r="G453" s="7">
        <v>9.19</v>
      </c>
      <c r="H453" s="7">
        <v>0.4</v>
      </c>
      <c r="I453" s="7" t="str">
        <f t="shared" si="37"/>
        <v/>
      </c>
      <c r="J453" s="7" t="str">
        <f t="shared" si="38"/>
        <v/>
      </c>
      <c r="K453" s="7">
        <v>0</v>
      </c>
      <c r="L453" s="7" t="str">
        <f t="shared" si="39"/>
        <v/>
      </c>
      <c r="M453" s="7" t="str">
        <f t="shared" si="40"/>
        <v/>
      </c>
      <c r="N453" s="7">
        <v>0</v>
      </c>
      <c r="O453" s="7"/>
      <c r="P453" s="7"/>
      <c r="Q453" s="7"/>
      <c r="AC453"/>
      <c r="AD453" s="14"/>
    </row>
    <row r="454" spans="1:30" x14ac:dyDescent="0.25">
      <c r="A454" t="b">
        <f t="shared" si="41"/>
        <v>0</v>
      </c>
      <c r="B454">
        <v>2006</v>
      </c>
      <c r="C454">
        <v>140</v>
      </c>
      <c r="D454">
        <v>0</v>
      </c>
      <c r="E454">
        <v>500</v>
      </c>
      <c r="F454" s="7">
        <v>2.242</v>
      </c>
      <c r="G454" s="7">
        <v>9.2200000000000006</v>
      </c>
      <c r="H454" s="7">
        <v>0.2</v>
      </c>
      <c r="I454" s="7" t="str">
        <f t="shared" si="37"/>
        <v/>
      </c>
      <c r="J454" s="7" t="str">
        <f t="shared" si="38"/>
        <v/>
      </c>
      <c r="K454" s="7">
        <v>0</v>
      </c>
      <c r="L454" s="7" t="str">
        <f t="shared" si="39"/>
        <v/>
      </c>
      <c r="M454" s="7" t="str">
        <f t="shared" si="40"/>
        <v/>
      </c>
      <c r="N454" s="7">
        <v>0</v>
      </c>
      <c r="O454" s="7"/>
      <c r="P454" s="7"/>
      <c r="Q454" s="7"/>
      <c r="AC454"/>
      <c r="AD454" s="14"/>
    </row>
    <row r="455" spans="1:30" x14ac:dyDescent="0.25">
      <c r="A455" t="b">
        <f t="shared" si="41"/>
        <v>0</v>
      </c>
      <c r="B455">
        <v>2006</v>
      </c>
      <c r="C455">
        <v>140</v>
      </c>
      <c r="D455">
        <v>0</v>
      </c>
      <c r="E455">
        <v>600</v>
      </c>
      <c r="F455" s="7">
        <v>15.35</v>
      </c>
      <c r="G455" s="7">
        <v>9.4</v>
      </c>
      <c r="H455" s="7">
        <v>0.4</v>
      </c>
      <c r="I455" s="7" t="str">
        <f t="shared" si="37"/>
        <v/>
      </c>
      <c r="J455" s="7" t="str">
        <f t="shared" si="38"/>
        <v/>
      </c>
      <c r="K455" s="7">
        <v>0</v>
      </c>
      <c r="L455" s="7" t="str">
        <f t="shared" si="39"/>
        <v/>
      </c>
      <c r="M455" s="7" t="str">
        <f t="shared" si="40"/>
        <v/>
      </c>
      <c r="N455" s="7">
        <v>0</v>
      </c>
      <c r="O455" s="7"/>
      <c r="P455" s="7"/>
      <c r="Q455" s="7"/>
      <c r="AC455"/>
      <c r="AD455" s="14"/>
    </row>
    <row r="456" spans="1:30" x14ac:dyDescent="0.25">
      <c r="A456" t="b">
        <f t="shared" si="41"/>
        <v>0</v>
      </c>
      <c r="B456">
        <v>2006</v>
      </c>
      <c r="C456">
        <v>140</v>
      </c>
      <c r="D456">
        <v>0</v>
      </c>
      <c r="E456">
        <v>700</v>
      </c>
      <c r="F456" s="7">
        <v>26.03</v>
      </c>
      <c r="G456" s="7">
        <v>9.41</v>
      </c>
      <c r="H456" s="7">
        <v>0.8</v>
      </c>
      <c r="I456" s="7" t="str">
        <f t="shared" si="37"/>
        <v/>
      </c>
      <c r="J456" s="7" t="str">
        <f t="shared" si="38"/>
        <v/>
      </c>
      <c r="K456" s="7">
        <v>0</v>
      </c>
      <c r="L456" s="7" t="str">
        <f t="shared" si="39"/>
        <v/>
      </c>
      <c r="M456" s="7" t="str">
        <f t="shared" si="40"/>
        <v/>
      </c>
      <c r="N456" s="7">
        <v>0</v>
      </c>
      <c r="O456" s="7"/>
      <c r="P456" s="7"/>
      <c r="Q456" s="7"/>
      <c r="AC456"/>
      <c r="AD456" s="14"/>
    </row>
    <row r="457" spans="1:30" x14ac:dyDescent="0.25">
      <c r="A457" t="b">
        <f t="shared" si="41"/>
        <v>0</v>
      </c>
      <c r="B457">
        <v>2006</v>
      </c>
      <c r="C457">
        <v>140</v>
      </c>
      <c r="D457">
        <v>0</v>
      </c>
      <c r="E457">
        <v>800</v>
      </c>
      <c r="F457" s="7">
        <v>207.8</v>
      </c>
      <c r="G457" s="7">
        <v>10.19</v>
      </c>
      <c r="H457" s="7">
        <v>0</v>
      </c>
      <c r="I457" s="7" t="str">
        <f t="shared" si="37"/>
        <v/>
      </c>
      <c r="J457" s="7" t="str">
        <f t="shared" si="38"/>
        <v/>
      </c>
      <c r="K457" s="7">
        <v>0</v>
      </c>
      <c r="L457" s="7" t="str">
        <f t="shared" si="39"/>
        <v/>
      </c>
      <c r="M457" s="7" t="str">
        <f t="shared" si="40"/>
        <v/>
      </c>
      <c r="N457" s="7">
        <v>0</v>
      </c>
      <c r="O457" s="7"/>
      <c r="P457" s="7"/>
      <c r="Q457" s="7"/>
      <c r="AC457"/>
      <c r="AD457" s="14"/>
    </row>
    <row r="458" spans="1:30" x14ac:dyDescent="0.25">
      <c r="A458" t="b">
        <f t="shared" si="41"/>
        <v>0</v>
      </c>
      <c r="B458">
        <v>2006</v>
      </c>
      <c r="C458">
        <v>140</v>
      </c>
      <c r="D458">
        <v>0</v>
      </c>
      <c r="E458">
        <v>900</v>
      </c>
      <c r="F458" s="7">
        <v>393.9</v>
      </c>
      <c r="G458" s="7">
        <v>11.3</v>
      </c>
      <c r="H458" s="7">
        <v>0</v>
      </c>
      <c r="I458" s="7" t="str">
        <f t="shared" si="37"/>
        <v/>
      </c>
      <c r="J458" s="7" t="str">
        <f t="shared" si="38"/>
        <v/>
      </c>
      <c r="K458" s="7">
        <v>0</v>
      </c>
      <c r="L458" s="7" t="str">
        <f t="shared" si="39"/>
        <v/>
      </c>
      <c r="M458" s="7" t="str">
        <f t="shared" si="40"/>
        <v/>
      </c>
      <c r="N458" s="7">
        <v>0</v>
      </c>
      <c r="O458" s="7"/>
      <c r="P458" s="7"/>
      <c r="Q458" s="7"/>
      <c r="AC458"/>
      <c r="AD458" s="14"/>
    </row>
    <row r="459" spans="1:30" x14ac:dyDescent="0.25">
      <c r="A459" t="b">
        <f t="shared" si="41"/>
        <v>0</v>
      </c>
      <c r="B459">
        <v>2006</v>
      </c>
      <c r="C459">
        <v>140</v>
      </c>
      <c r="D459">
        <v>0</v>
      </c>
      <c r="E459">
        <v>1000</v>
      </c>
      <c r="F459" s="7">
        <v>240</v>
      </c>
      <c r="G459" s="7">
        <v>11.4</v>
      </c>
      <c r="H459" s="7">
        <v>0</v>
      </c>
      <c r="I459" s="7" t="str">
        <f t="shared" si="37"/>
        <v/>
      </c>
      <c r="J459" s="7" t="str">
        <f t="shared" si="38"/>
        <v/>
      </c>
      <c r="K459" s="7">
        <v>0</v>
      </c>
      <c r="L459" s="7" t="str">
        <f t="shared" si="39"/>
        <v/>
      </c>
      <c r="M459" s="7" t="str">
        <f t="shared" si="40"/>
        <v/>
      </c>
      <c r="N459" s="7">
        <v>0</v>
      </c>
      <c r="O459" s="7"/>
      <c r="P459" s="7"/>
      <c r="Q459" s="7"/>
      <c r="AC459"/>
      <c r="AD459" s="14"/>
    </row>
    <row r="460" spans="1:30" x14ac:dyDescent="0.25">
      <c r="A460" t="b">
        <f t="shared" si="41"/>
        <v>0</v>
      </c>
      <c r="B460">
        <v>2006</v>
      </c>
      <c r="C460">
        <v>140</v>
      </c>
      <c r="D460">
        <v>0</v>
      </c>
      <c r="E460">
        <v>1100</v>
      </c>
      <c r="F460" s="7">
        <v>184.9</v>
      </c>
      <c r="G460" s="7">
        <v>10.55</v>
      </c>
      <c r="H460" s="7">
        <v>0</v>
      </c>
      <c r="I460" s="7" t="str">
        <f t="shared" si="37"/>
        <v/>
      </c>
      <c r="J460" s="7" t="str">
        <f t="shared" si="38"/>
        <v/>
      </c>
      <c r="K460" s="7">
        <v>0</v>
      </c>
      <c r="L460" s="7" t="str">
        <f t="shared" si="39"/>
        <v/>
      </c>
      <c r="M460" s="7" t="str">
        <f t="shared" si="40"/>
        <v/>
      </c>
      <c r="N460" s="7">
        <v>0</v>
      </c>
      <c r="O460" s="7"/>
      <c r="P460" s="7"/>
      <c r="Q460" s="7"/>
      <c r="AC460"/>
      <c r="AD460" s="14"/>
    </row>
    <row r="461" spans="1:30" x14ac:dyDescent="0.25">
      <c r="A461" t="b">
        <f t="shared" si="41"/>
        <v>0</v>
      </c>
      <c r="B461">
        <v>2006</v>
      </c>
      <c r="C461">
        <v>140</v>
      </c>
      <c r="D461">
        <v>0</v>
      </c>
      <c r="E461">
        <v>1200</v>
      </c>
      <c r="F461" s="7">
        <v>187.6</v>
      </c>
      <c r="G461" s="7">
        <v>10.26</v>
      </c>
      <c r="H461" s="7">
        <v>0</v>
      </c>
      <c r="I461" s="7" t="str">
        <f t="shared" si="37"/>
        <v/>
      </c>
      <c r="J461" s="7" t="str">
        <f t="shared" si="38"/>
        <v/>
      </c>
      <c r="K461" s="7">
        <v>0</v>
      </c>
      <c r="L461" s="7" t="str">
        <f t="shared" si="39"/>
        <v/>
      </c>
      <c r="M461" s="7" t="str">
        <f t="shared" si="40"/>
        <v/>
      </c>
      <c r="N461" s="7">
        <v>0</v>
      </c>
      <c r="O461" s="7"/>
      <c r="P461" s="7"/>
      <c r="Q461" s="7"/>
      <c r="AC461"/>
      <c r="AD461" s="14"/>
    </row>
    <row r="462" spans="1:30" x14ac:dyDescent="0.25">
      <c r="A462" t="b">
        <f t="shared" si="41"/>
        <v>0</v>
      </c>
      <c r="B462">
        <v>2006</v>
      </c>
      <c r="C462">
        <v>140</v>
      </c>
      <c r="D462">
        <v>0</v>
      </c>
      <c r="E462">
        <v>1300</v>
      </c>
      <c r="F462" s="7">
        <v>264.5</v>
      </c>
      <c r="G462" s="7">
        <v>9.93</v>
      </c>
      <c r="H462" s="7">
        <v>0</v>
      </c>
      <c r="I462" s="7" t="str">
        <f t="shared" si="37"/>
        <v/>
      </c>
      <c r="J462" s="7" t="str">
        <f t="shared" si="38"/>
        <v/>
      </c>
      <c r="K462" s="7">
        <v>0</v>
      </c>
      <c r="L462" s="7" t="str">
        <f t="shared" si="39"/>
        <v/>
      </c>
      <c r="M462" s="7" t="str">
        <f t="shared" si="40"/>
        <v/>
      </c>
      <c r="N462" s="7">
        <v>0</v>
      </c>
      <c r="O462" s="7"/>
      <c r="P462" s="7"/>
      <c r="Q462" s="7"/>
      <c r="AC462"/>
      <c r="AD462" s="14"/>
    </row>
    <row r="463" spans="1:30" x14ac:dyDescent="0.25">
      <c r="A463" t="b">
        <f t="shared" si="41"/>
        <v>0</v>
      </c>
      <c r="B463">
        <v>2006</v>
      </c>
      <c r="C463">
        <v>140</v>
      </c>
      <c r="D463">
        <v>0</v>
      </c>
      <c r="E463">
        <v>1400</v>
      </c>
      <c r="F463" s="7">
        <v>316.7</v>
      </c>
      <c r="G463" s="7">
        <v>10.16</v>
      </c>
      <c r="H463" s="7">
        <v>0</v>
      </c>
      <c r="I463" s="7" t="str">
        <f t="shared" si="37"/>
        <v/>
      </c>
      <c r="J463" s="7" t="str">
        <f t="shared" si="38"/>
        <v/>
      </c>
      <c r="K463" s="7">
        <v>0</v>
      </c>
      <c r="L463" s="7" t="str">
        <f t="shared" si="39"/>
        <v/>
      </c>
      <c r="M463" s="7" t="str">
        <f t="shared" si="40"/>
        <v/>
      </c>
      <c r="N463" s="7">
        <v>0</v>
      </c>
      <c r="O463" s="7"/>
      <c r="P463" s="7"/>
      <c r="Q463" s="7"/>
      <c r="AC463"/>
      <c r="AD463" s="14"/>
    </row>
    <row r="464" spans="1:30" x14ac:dyDescent="0.25">
      <c r="A464" t="b">
        <f t="shared" si="41"/>
        <v>0</v>
      </c>
      <c r="B464">
        <v>2006</v>
      </c>
      <c r="C464">
        <v>140</v>
      </c>
      <c r="D464">
        <v>0</v>
      </c>
      <c r="E464">
        <v>1500</v>
      </c>
      <c r="F464" s="7">
        <v>571</v>
      </c>
      <c r="G464" s="7">
        <v>11.23</v>
      </c>
      <c r="H464" s="7">
        <v>0</v>
      </c>
      <c r="I464" s="7" t="str">
        <f t="shared" si="37"/>
        <v/>
      </c>
      <c r="J464" s="7" t="str">
        <f t="shared" si="38"/>
        <v/>
      </c>
      <c r="K464" s="7">
        <v>0</v>
      </c>
      <c r="L464" s="7" t="str">
        <f t="shared" si="39"/>
        <v/>
      </c>
      <c r="M464" s="7" t="str">
        <f t="shared" si="40"/>
        <v/>
      </c>
      <c r="N464" s="7">
        <v>0</v>
      </c>
      <c r="O464" s="7"/>
      <c r="P464" s="7"/>
      <c r="Q464" s="7"/>
      <c r="AC464"/>
      <c r="AD464" s="14"/>
    </row>
    <row r="465" spans="1:30" x14ac:dyDescent="0.25">
      <c r="A465" t="b">
        <f t="shared" si="41"/>
        <v>0</v>
      </c>
      <c r="B465">
        <v>2006</v>
      </c>
      <c r="C465">
        <v>140</v>
      </c>
      <c r="D465">
        <v>0</v>
      </c>
      <c r="E465">
        <v>1600</v>
      </c>
      <c r="F465" s="7">
        <v>379.3</v>
      </c>
      <c r="G465" s="7">
        <v>11.22</v>
      </c>
      <c r="H465" s="7">
        <v>0</v>
      </c>
      <c r="I465" s="7" t="str">
        <f t="shared" si="37"/>
        <v/>
      </c>
      <c r="J465" s="7" t="str">
        <f t="shared" si="38"/>
        <v/>
      </c>
      <c r="K465" s="7">
        <v>0</v>
      </c>
      <c r="L465" s="7" t="str">
        <f t="shared" si="39"/>
        <v/>
      </c>
      <c r="M465" s="7" t="str">
        <f t="shared" si="40"/>
        <v/>
      </c>
      <c r="N465" s="7">
        <v>0</v>
      </c>
      <c r="O465" s="7"/>
      <c r="P465" s="7"/>
      <c r="Q465" s="7"/>
      <c r="AC465"/>
      <c r="AD465" s="14"/>
    </row>
    <row r="466" spans="1:30" x14ac:dyDescent="0.25">
      <c r="A466" t="b">
        <f t="shared" si="41"/>
        <v>0</v>
      </c>
      <c r="B466">
        <v>2006</v>
      </c>
      <c r="C466">
        <v>140</v>
      </c>
      <c r="D466">
        <v>0</v>
      </c>
      <c r="E466">
        <v>1700</v>
      </c>
      <c r="F466" s="7">
        <v>230.5</v>
      </c>
      <c r="G466" s="7">
        <v>10.67</v>
      </c>
      <c r="H466" s="7">
        <v>0</v>
      </c>
      <c r="I466" s="7" t="str">
        <f t="shared" si="37"/>
        <v/>
      </c>
      <c r="J466" s="7" t="str">
        <f t="shared" si="38"/>
        <v/>
      </c>
      <c r="K466" s="7">
        <v>0</v>
      </c>
      <c r="L466" s="7" t="str">
        <f t="shared" si="39"/>
        <v/>
      </c>
      <c r="M466" s="7" t="str">
        <f t="shared" si="40"/>
        <v/>
      </c>
      <c r="N466" s="7">
        <v>0</v>
      </c>
      <c r="O466" s="7"/>
      <c r="P466" s="7"/>
      <c r="Q466" s="7"/>
      <c r="AC466"/>
      <c r="AD466" s="14"/>
    </row>
    <row r="467" spans="1:30" x14ac:dyDescent="0.25">
      <c r="A467" t="b">
        <f t="shared" si="41"/>
        <v>0</v>
      </c>
      <c r="B467">
        <v>2006</v>
      </c>
      <c r="C467">
        <v>140</v>
      </c>
      <c r="D467">
        <v>0</v>
      </c>
      <c r="E467">
        <v>1800</v>
      </c>
      <c r="F467" s="7">
        <v>244</v>
      </c>
      <c r="G467" s="7">
        <v>10.52</v>
      </c>
      <c r="H467" s="7">
        <v>0</v>
      </c>
      <c r="I467" s="7" t="str">
        <f t="shared" si="37"/>
        <v/>
      </c>
      <c r="J467" s="7" t="str">
        <f t="shared" si="38"/>
        <v/>
      </c>
      <c r="K467" s="7">
        <v>0</v>
      </c>
      <c r="L467" s="7" t="str">
        <f t="shared" si="39"/>
        <v/>
      </c>
      <c r="M467" s="7" t="str">
        <f t="shared" si="40"/>
        <v/>
      </c>
      <c r="N467" s="7">
        <v>0</v>
      </c>
      <c r="O467" s="7"/>
      <c r="P467" s="7"/>
      <c r="Q467" s="7"/>
      <c r="AC467"/>
      <c r="AD467" s="14"/>
    </row>
    <row r="468" spans="1:30" x14ac:dyDescent="0.25">
      <c r="A468" t="b">
        <f t="shared" si="41"/>
        <v>0</v>
      </c>
      <c r="B468">
        <v>2006</v>
      </c>
      <c r="C468">
        <v>140</v>
      </c>
      <c r="D468">
        <v>0</v>
      </c>
      <c r="E468">
        <v>1900</v>
      </c>
      <c r="F468" s="7">
        <v>130</v>
      </c>
      <c r="G468" s="7">
        <v>9.64</v>
      </c>
      <c r="H468" s="7">
        <v>0</v>
      </c>
      <c r="I468" s="7" t="str">
        <f t="shared" si="37"/>
        <v/>
      </c>
      <c r="J468" s="7" t="str">
        <f t="shared" si="38"/>
        <v/>
      </c>
      <c r="K468" s="7">
        <v>0</v>
      </c>
      <c r="L468" s="7" t="str">
        <f t="shared" si="39"/>
        <v/>
      </c>
      <c r="M468" s="7" t="str">
        <f t="shared" si="40"/>
        <v/>
      </c>
      <c r="N468" s="7">
        <v>0</v>
      </c>
      <c r="O468" s="7"/>
      <c r="P468" s="7"/>
      <c r="Q468" s="7"/>
      <c r="AC468"/>
      <c r="AD468" s="14"/>
    </row>
    <row r="469" spans="1:30" x14ac:dyDescent="0.25">
      <c r="A469" t="b">
        <f t="shared" si="41"/>
        <v>0</v>
      </c>
      <c r="B469">
        <v>2006</v>
      </c>
      <c r="C469">
        <v>140</v>
      </c>
      <c r="D469">
        <v>0</v>
      </c>
      <c r="E469">
        <v>2000</v>
      </c>
      <c r="F469" s="7">
        <v>44.71</v>
      </c>
      <c r="G469" s="7">
        <v>8.33</v>
      </c>
      <c r="H469" s="7">
        <v>0</v>
      </c>
      <c r="I469" s="7" t="str">
        <f t="shared" si="37"/>
        <v/>
      </c>
      <c r="J469" s="7" t="str">
        <f t="shared" si="38"/>
        <v/>
      </c>
      <c r="K469" s="7">
        <v>0</v>
      </c>
      <c r="L469" s="7" t="str">
        <f t="shared" si="39"/>
        <v/>
      </c>
      <c r="M469" s="7" t="str">
        <f t="shared" si="40"/>
        <v/>
      </c>
      <c r="N469" s="7">
        <v>0</v>
      </c>
      <c r="O469" s="7"/>
      <c r="P469" s="7"/>
      <c r="Q469" s="7"/>
      <c r="AC469"/>
      <c r="AD469" s="14"/>
    </row>
    <row r="470" spans="1:30" x14ac:dyDescent="0.25">
      <c r="A470" t="b">
        <f t="shared" si="41"/>
        <v>0</v>
      </c>
      <c r="B470">
        <v>2006</v>
      </c>
      <c r="C470">
        <v>140</v>
      </c>
      <c r="D470">
        <v>0</v>
      </c>
      <c r="E470">
        <v>2100</v>
      </c>
      <c r="F470" s="7">
        <v>2.6850000000000001</v>
      </c>
      <c r="G470" s="7">
        <v>7.6</v>
      </c>
      <c r="H470" s="7">
        <v>0</v>
      </c>
      <c r="I470" s="7" t="str">
        <f t="shared" si="37"/>
        <v/>
      </c>
      <c r="J470" s="7" t="str">
        <f t="shared" si="38"/>
        <v/>
      </c>
      <c r="K470" s="7">
        <v>0</v>
      </c>
      <c r="L470" s="7" t="str">
        <f t="shared" si="39"/>
        <v/>
      </c>
      <c r="M470" s="7" t="str">
        <f t="shared" si="40"/>
        <v/>
      </c>
      <c r="N470" s="7">
        <v>0</v>
      </c>
      <c r="O470" s="7"/>
      <c r="P470" s="7"/>
      <c r="Q470" s="7"/>
      <c r="AC470"/>
      <c r="AD470" s="14"/>
    </row>
    <row r="471" spans="1:30" x14ac:dyDescent="0.25">
      <c r="A471" t="b">
        <f t="shared" si="41"/>
        <v>0</v>
      </c>
      <c r="B471">
        <v>2006</v>
      </c>
      <c r="C471">
        <v>140</v>
      </c>
      <c r="D471">
        <v>0</v>
      </c>
      <c r="E471">
        <v>2200</v>
      </c>
      <c r="F471" s="7">
        <v>-3.7559999999999998</v>
      </c>
      <c r="G471" s="7">
        <v>5.734</v>
      </c>
      <c r="H471" s="7">
        <v>0</v>
      </c>
      <c r="I471" s="7" t="str">
        <f t="shared" si="37"/>
        <v/>
      </c>
      <c r="J471" s="7" t="str">
        <f t="shared" si="38"/>
        <v/>
      </c>
      <c r="K471" s="7">
        <v>0</v>
      </c>
      <c r="L471" s="7" t="str">
        <f t="shared" si="39"/>
        <v/>
      </c>
      <c r="M471" s="7" t="str">
        <f t="shared" si="40"/>
        <v/>
      </c>
      <c r="N471" s="7">
        <v>0</v>
      </c>
      <c r="O471" s="7"/>
      <c r="P471" s="7"/>
      <c r="Q471" s="7"/>
      <c r="AC471"/>
      <c r="AD471" s="14"/>
    </row>
    <row r="472" spans="1:30" x14ac:dyDescent="0.25">
      <c r="A472" t="b">
        <f t="shared" si="41"/>
        <v>0</v>
      </c>
      <c r="B472">
        <v>2006</v>
      </c>
      <c r="C472">
        <v>140</v>
      </c>
      <c r="D472">
        <v>0</v>
      </c>
      <c r="E472">
        <v>2300</v>
      </c>
      <c r="F472" s="7">
        <v>-3.5129999999999999</v>
      </c>
      <c r="G472" s="7">
        <v>3.3119999999999998</v>
      </c>
      <c r="H472" s="7">
        <v>0</v>
      </c>
      <c r="I472" s="7" t="str">
        <f t="shared" si="37"/>
        <v/>
      </c>
      <c r="J472" s="7" t="str">
        <f t="shared" si="38"/>
        <v/>
      </c>
      <c r="K472" s="7">
        <v>0</v>
      </c>
      <c r="L472" s="7" t="str">
        <f t="shared" si="39"/>
        <v/>
      </c>
      <c r="M472" s="7" t="str">
        <f t="shared" si="40"/>
        <v/>
      </c>
      <c r="N472" s="7">
        <v>0</v>
      </c>
      <c r="O472" s="7"/>
      <c r="P472" s="7"/>
      <c r="Q472" s="7"/>
      <c r="AC472"/>
      <c r="AD472" s="14"/>
    </row>
    <row r="473" spans="1:30" x14ac:dyDescent="0.25">
      <c r="A473" t="b">
        <f t="shared" si="41"/>
        <v>0</v>
      </c>
      <c r="B473">
        <v>2006</v>
      </c>
      <c r="C473">
        <v>140</v>
      </c>
      <c r="D473">
        <v>0</v>
      </c>
      <c r="E473">
        <v>2400</v>
      </c>
      <c r="F473" s="7">
        <v>-1.8240000000000001</v>
      </c>
      <c r="G473" s="7">
        <v>3.1960000000000002</v>
      </c>
      <c r="H473" s="7">
        <v>0</v>
      </c>
      <c r="I473" s="7" t="str">
        <f t="shared" si="37"/>
        <v/>
      </c>
      <c r="J473" s="7" t="str">
        <f t="shared" si="38"/>
        <v/>
      </c>
      <c r="K473" s="7">
        <v>0</v>
      </c>
      <c r="L473" s="7" t="str">
        <f t="shared" si="39"/>
        <v/>
      </c>
      <c r="M473" s="7" t="str">
        <f t="shared" si="40"/>
        <v/>
      </c>
      <c r="N473" s="7">
        <v>0</v>
      </c>
      <c r="O473" s="7"/>
      <c r="P473" s="7"/>
      <c r="Q473" s="7"/>
      <c r="AC473"/>
      <c r="AD473" s="14"/>
    </row>
    <row r="474" spans="1:30" x14ac:dyDescent="0.25">
      <c r="A474" t="b">
        <f t="shared" si="41"/>
        <v>1</v>
      </c>
      <c r="B474">
        <v>2006</v>
      </c>
      <c r="C474">
        <v>141</v>
      </c>
      <c r="D474">
        <v>0</v>
      </c>
      <c r="E474">
        <v>100</v>
      </c>
      <c r="F474" s="7">
        <v>-3.2570000000000001</v>
      </c>
      <c r="G474" s="7">
        <v>2.335</v>
      </c>
      <c r="H474" s="7">
        <v>0</v>
      </c>
      <c r="I474" s="7">
        <f t="shared" si="37"/>
        <v>7.6</v>
      </c>
      <c r="J474" s="7">
        <f t="shared" si="38"/>
        <v>88.032291666666666</v>
      </c>
      <c r="K474" s="7">
        <v>0</v>
      </c>
      <c r="L474" s="7">
        <f t="shared" si="39"/>
        <v>9.18</v>
      </c>
      <c r="M474" s="7">
        <f t="shared" si="40"/>
        <v>0.33100000000000002</v>
      </c>
      <c r="N474" s="7">
        <v>0</v>
      </c>
      <c r="O474" s="7"/>
      <c r="P474" s="7"/>
      <c r="Q474" s="7"/>
      <c r="AC474"/>
      <c r="AD474" s="14"/>
    </row>
    <row r="475" spans="1:30" x14ac:dyDescent="0.25">
      <c r="A475" t="b">
        <f t="shared" si="41"/>
        <v>0</v>
      </c>
      <c r="B475">
        <v>2006</v>
      </c>
      <c r="C475">
        <v>141</v>
      </c>
      <c r="D475">
        <v>0</v>
      </c>
      <c r="E475">
        <v>200</v>
      </c>
      <c r="F475" s="7">
        <v>-2.9180000000000001</v>
      </c>
      <c r="G475" s="7">
        <v>1.077</v>
      </c>
      <c r="H475" s="7">
        <v>0</v>
      </c>
      <c r="I475" s="7" t="str">
        <f t="shared" si="37"/>
        <v/>
      </c>
      <c r="J475" s="7" t="str">
        <f t="shared" si="38"/>
        <v/>
      </c>
      <c r="K475" s="7">
        <v>0</v>
      </c>
      <c r="L475" s="7" t="str">
        <f t="shared" si="39"/>
        <v/>
      </c>
      <c r="M475" s="7" t="str">
        <f t="shared" si="40"/>
        <v/>
      </c>
      <c r="N475" s="7">
        <v>0</v>
      </c>
      <c r="O475" s="7"/>
      <c r="P475" s="7"/>
      <c r="Q475" s="7"/>
      <c r="AC475"/>
      <c r="AD475" s="14"/>
    </row>
    <row r="476" spans="1:30" x14ac:dyDescent="0.25">
      <c r="A476" t="b">
        <f t="shared" si="41"/>
        <v>0</v>
      </c>
      <c r="B476">
        <v>2006</v>
      </c>
      <c r="C476">
        <v>141</v>
      </c>
      <c r="D476">
        <v>0</v>
      </c>
      <c r="E476">
        <v>300</v>
      </c>
      <c r="F476" s="7">
        <v>-2.6349999999999998</v>
      </c>
      <c r="G476" s="7">
        <v>1.36</v>
      </c>
      <c r="H476" s="7">
        <v>0</v>
      </c>
      <c r="I476" s="7" t="str">
        <f t="shared" si="37"/>
        <v/>
      </c>
      <c r="J476" s="7" t="str">
        <f t="shared" si="38"/>
        <v/>
      </c>
      <c r="K476" s="7">
        <v>0</v>
      </c>
      <c r="L476" s="7" t="str">
        <f t="shared" si="39"/>
        <v/>
      </c>
      <c r="M476" s="7" t="str">
        <f t="shared" si="40"/>
        <v/>
      </c>
      <c r="N476" s="7">
        <v>0</v>
      </c>
      <c r="O476" s="7"/>
      <c r="P476" s="7"/>
      <c r="Q476" s="7"/>
      <c r="AC476"/>
      <c r="AD476" s="14"/>
    </row>
    <row r="477" spans="1:30" x14ac:dyDescent="0.25">
      <c r="A477" t="b">
        <f t="shared" si="41"/>
        <v>0</v>
      </c>
      <c r="B477">
        <v>2006</v>
      </c>
      <c r="C477">
        <v>141</v>
      </c>
      <c r="D477">
        <v>0</v>
      </c>
      <c r="E477">
        <v>400</v>
      </c>
      <c r="F477" s="7">
        <v>-2.2200000000000002</v>
      </c>
      <c r="G477" s="7">
        <v>0.33100000000000002</v>
      </c>
      <c r="H477" s="7">
        <v>0</v>
      </c>
      <c r="I477" s="7" t="str">
        <f t="shared" si="37"/>
        <v/>
      </c>
      <c r="J477" s="7" t="str">
        <f t="shared" si="38"/>
        <v/>
      </c>
      <c r="K477" s="7">
        <v>0</v>
      </c>
      <c r="L477" s="7" t="str">
        <f t="shared" si="39"/>
        <v/>
      </c>
      <c r="M477" s="7" t="str">
        <f t="shared" si="40"/>
        <v/>
      </c>
      <c r="N477" s="7">
        <v>0</v>
      </c>
      <c r="O477" s="7"/>
      <c r="P477" s="7"/>
      <c r="Q477" s="7"/>
      <c r="AC477"/>
      <c r="AD477" s="14"/>
    </row>
    <row r="478" spans="1:30" x14ac:dyDescent="0.25">
      <c r="A478" t="b">
        <f t="shared" si="41"/>
        <v>0</v>
      </c>
      <c r="B478">
        <v>2006</v>
      </c>
      <c r="C478">
        <v>141</v>
      </c>
      <c r="D478">
        <v>0</v>
      </c>
      <c r="E478">
        <v>500</v>
      </c>
      <c r="F478" s="7">
        <v>11.08</v>
      </c>
      <c r="G478" s="7">
        <v>0.89500000000000002</v>
      </c>
      <c r="H478" s="7">
        <v>0</v>
      </c>
      <c r="I478" s="7" t="str">
        <f t="shared" si="37"/>
        <v/>
      </c>
      <c r="J478" s="7" t="str">
        <f t="shared" si="38"/>
        <v/>
      </c>
      <c r="K478" s="7">
        <v>0</v>
      </c>
      <c r="L478" s="7" t="str">
        <f t="shared" si="39"/>
        <v/>
      </c>
      <c r="M478" s="7" t="str">
        <f t="shared" si="40"/>
        <v/>
      </c>
      <c r="N478" s="7">
        <v>0</v>
      </c>
      <c r="O478" s="7"/>
      <c r="P478" s="7"/>
      <c r="Q478" s="7"/>
      <c r="AC478"/>
      <c r="AD478" s="14"/>
    </row>
    <row r="479" spans="1:30" x14ac:dyDescent="0.25">
      <c r="A479" t="b">
        <f t="shared" si="41"/>
        <v>0</v>
      </c>
      <c r="B479">
        <v>2006</v>
      </c>
      <c r="C479">
        <v>141</v>
      </c>
      <c r="D479">
        <v>0</v>
      </c>
      <c r="E479">
        <v>600</v>
      </c>
      <c r="F479" s="7">
        <v>60.82</v>
      </c>
      <c r="G479" s="7">
        <v>3.1930000000000001</v>
      </c>
      <c r="H479" s="7">
        <v>0</v>
      </c>
      <c r="I479" s="7" t="str">
        <f t="shared" si="37"/>
        <v/>
      </c>
      <c r="J479" s="7" t="str">
        <f t="shared" si="38"/>
        <v/>
      </c>
      <c r="K479" s="7">
        <v>0</v>
      </c>
      <c r="L479" s="7" t="str">
        <f t="shared" si="39"/>
        <v/>
      </c>
      <c r="M479" s="7" t="str">
        <f t="shared" si="40"/>
        <v/>
      </c>
      <c r="N479" s="7">
        <v>0</v>
      </c>
      <c r="O479" s="7"/>
      <c r="P479" s="7"/>
      <c r="Q479" s="7"/>
      <c r="AC479"/>
      <c r="AD479" s="14"/>
    </row>
    <row r="480" spans="1:30" x14ac:dyDescent="0.25">
      <c r="A480" t="b">
        <f t="shared" si="41"/>
        <v>0</v>
      </c>
      <c r="B480">
        <v>2006</v>
      </c>
      <c r="C480">
        <v>141</v>
      </c>
      <c r="D480">
        <v>0</v>
      </c>
      <c r="E480">
        <v>700</v>
      </c>
      <c r="F480" s="7">
        <v>166.9</v>
      </c>
      <c r="G480" s="7">
        <v>5.9909999999999997</v>
      </c>
      <c r="H480" s="7">
        <v>0</v>
      </c>
      <c r="I480" s="7" t="str">
        <f t="shared" si="37"/>
        <v/>
      </c>
      <c r="J480" s="7" t="str">
        <f t="shared" si="38"/>
        <v/>
      </c>
      <c r="K480" s="7">
        <v>0</v>
      </c>
      <c r="L480" s="7" t="str">
        <f t="shared" si="39"/>
        <v/>
      </c>
      <c r="M480" s="7" t="str">
        <f t="shared" si="40"/>
        <v/>
      </c>
      <c r="N480" s="7">
        <v>0</v>
      </c>
      <c r="O480" s="7"/>
      <c r="P480" s="7"/>
      <c r="Q480" s="7"/>
      <c r="AC480"/>
      <c r="AD480" s="14"/>
    </row>
    <row r="481" spans="1:30" x14ac:dyDescent="0.25">
      <c r="A481" t="b">
        <f t="shared" si="41"/>
        <v>0</v>
      </c>
      <c r="B481">
        <v>2006</v>
      </c>
      <c r="C481">
        <v>141</v>
      </c>
      <c r="D481">
        <v>0</v>
      </c>
      <c r="E481">
        <v>800</v>
      </c>
      <c r="F481" s="7">
        <v>348.2</v>
      </c>
      <c r="G481" s="7">
        <v>8.1999999999999993</v>
      </c>
      <c r="H481" s="7">
        <v>0</v>
      </c>
      <c r="I481" s="7" t="str">
        <f t="shared" si="37"/>
        <v/>
      </c>
      <c r="J481" s="7" t="str">
        <f t="shared" si="38"/>
        <v/>
      </c>
      <c r="K481" s="7">
        <v>0</v>
      </c>
      <c r="L481" s="7" t="str">
        <f t="shared" si="39"/>
        <v/>
      </c>
      <c r="M481" s="7" t="str">
        <f t="shared" si="40"/>
        <v/>
      </c>
      <c r="N481" s="7">
        <v>0</v>
      </c>
      <c r="O481" s="7"/>
      <c r="P481" s="7"/>
      <c r="Q481" s="7"/>
      <c r="AC481"/>
      <c r="AD481" s="14"/>
    </row>
    <row r="482" spans="1:30" x14ac:dyDescent="0.25">
      <c r="A482" t="b">
        <f t="shared" si="41"/>
        <v>0</v>
      </c>
      <c r="B482">
        <v>2006</v>
      </c>
      <c r="C482">
        <v>141</v>
      </c>
      <c r="D482">
        <v>0</v>
      </c>
      <c r="E482">
        <v>900</v>
      </c>
      <c r="F482" s="7">
        <v>304.2</v>
      </c>
      <c r="G482" s="7">
        <v>8.94</v>
      </c>
      <c r="H482" s="7">
        <v>0</v>
      </c>
      <c r="I482" s="7" t="str">
        <f t="shared" si="37"/>
        <v/>
      </c>
      <c r="J482" s="7" t="str">
        <f t="shared" si="38"/>
        <v/>
      </c>
      <c r="K482" s="7">
        <v>0</v>
      </c>
      <c r="L482" s="7" t="str">
        <f t="shared" si="39"/>
        <v/>
      </c>
      <c r="M482" s="7" t="str">
        <f t="shared" si="40"/>
        <v/>
      </c>
      <c r="N482" s="7">
        <v>0</v>
      </c>
      <c r="O482" s="7"/>
      <c r="P482" s="7"/>
      <c r="Q482" s="7"/>
      <c r="AC482"/>
      <c r="AD482" s="14"/>
    </row>
    <row r="483" spans="1:30" x14ac:dyDescent="0.25">
      <c r="A483" t="b">
        <f t="shared" si="41"/>
        <v>0</v>
      </c>
      <c r="B483">
        <v>2006</v>
      </c>
      <c r="C483">
        <v>141</v>
      </c>
      <c r="D483">
        <v>0</v>
      </c>
      <c r="E483">
        <v>1000</v>
      </c>
      <c r="F483" s="7">
        <v>275</v>
      </c>
      <c r="G483" s="7">
        <v>8.99</v>
      </c>
      <c r="H483" s="7">
        <v>0</v>
      </c>
      <c r="I483" s="7" t="str">
        <f t="shared" si="37"/>
        <v/>
      </c>
      <c r="J483" s="7" t="str">
        <f t="shared" si="38"/>
        <v/>
      </c>
      <c r="K483" s="7">
        <v>0</v>
      </c>
      <c r="L483" s="7" t="str">
        <f t="shared" si="39"/>
        <v/>
      </c>
      <c r="M483" s="7" t="str">
        <f t="shared" si="40"/>
        <v/>
      </c>
      <c r="N483" s="7">
        <v>0</v>
      </c>
      <c r="O483" s="7"/>
      <c r="P483" s="7"/>
      <c r="Q483" s="7"/>
      <c r="AC483"/>
      <c r="AD483" s="14"/>
    </row>
    <row r="484" spans="1:30" x14ac:dyDescent="0.25">
      <c r="A484" t="b">
        <f t="shared" si="41"/>
        <v>0</v>
      </c>
      <c r="B484">
        <v>2006</v>
      </c>
      <c r="C484">
        <v>141</v>
      </c>
      <c r="D484">
        <v>0</v>
      </c>
      <c r="E484">
        <v>1100</v>
      </c>
      <c r="F484" s="7">
        <v>280.89999999999998</v>
      </c>
      <c r="G484" s="7">
        <v>9.18</v>
      </c>
      <c r="H484" s="7">
        <v>0</v>
      </c>
      <c r="I484" s="7" t="str">
        <f t="shared" si="37"/>
        <v/>
      </c>
      <c r="J484" s="7" t="str">
        <f t="shared" si="38"/>
        <v/>
      </c>
      <c r="K484" s="7">
        <v>0</v>
      </c>
      <c r="L484" s="7" t="str">
        <f t="shared" si="39"/>
        <v/>
      </c>
      <c r="M484" s="7" t="str">
        <f t="shared" si="40"/>
        <v/>
      </c>
      <c r="N484" s="7">
        <v>0</v>
      </c>
      <c r="O484" s="7"/>
      <c r="P484" s="7"/>
      <c r="Q484" s="7"/>
      <c r="AC484"/>
      <c r="AD484" s="14"/>
    </row>
    <row r="485" spans="1:30" x14ac:dyDescent="0.25">
      <c r="A485" t="b">
        <f t="shared" si="41"/>
        <v>0</v>
      </c>
      <c r="B485">
        <v>2006</v>
      </c>
      <c r="C485">
        <v>141</v>
      </c>
      <c r="D485">
        <v>0</v>
      </c>
      <c r="E485">
        <v>1200</v>
      </c>
      <c r="F485" s="7">
        <v>161</v>
      </c>
      <c r="G485" s="7">
        <v>8.43</v>
      </c>
      <c r="H485" s="7">
        <v>0</v>
      </c>
      <c r="I485" s="7" t="str">
        <f t="shared" si="37"/>
        <v/>
      </c>
      <c r="J485" s="7" t="str">
        <f t="shared" si="38"/>
        <v/>
      </c>
      <c r="K485" s="7">
        <v>0</v>
      </c>
      <c r="L485" s="7" t="str">
        <f t="shared" si="39"/>
        <v/>
      </c>
      <c r="M485" s="7" t="str">
        <f t="shared" si="40"/>
        <v/>
      </c>
      <c r="N485" s="7">
        <v>0</v>
      </c>
      <c r="O485" s="7"/>
      <c r="P485" s="7"/>
      <c r="Q485" s="7"/>
      <c r="AC485"/>
      <c r="AD485" s="14"/>
    </row>
    <row r="486" spans="1:30" x14ac:dyDescent="0.25">
      <c r="A486" t="b">
        <f t="shared" si="41"/>
        <v>0</v>
      </c>
      <c r="B486">
        <v>2006</v>
      </c>
      <c r="C486">
        <v>141</v>
      </c>
      <c r="D486">
        <v>0</v>
      </c>
      <c r="E486">
        <v>1300</v>
      </c>
      <c r="F486" s="7">
        <v>120.2</v>
      </c>
      <c r="G486" s="7">
        <v>7.16</v>
      </c>
      <c r="H486" s="7">
        <v>1</v>
      </c>
      <c r="I486" s="7" t="str">
        <f t="shared" si="37"/>
        <v/>
      </c>
      <c r="J486" s="7" t="str">
        <f t="shared" si="38"/>
        <v/>
      </c>
      <c r="K486" s="7">
        <v>0</v>
      </c>
      <c r="L486" s="7" t="str">
        <f t="shared" si="39"/>
        <v/>
      </c>
      <c r="M486" s="7" t="str">
        <f t="shared" si="40"/>
        <v/>
      </c>
      <c r="N486" s="7">
        <v>0</v>
      </c>
      <c r="O486" s="7"/>
      <c r="P486" s="7"/>
      <c r="Q486" s="7"/>
      <c r="AC486"/>
      <c r="AD486" s="14"/>
    </row>
    <row r="487" spans="1:30" x14ac:dyDescent="0.25">
      <c r="A487" t="b">
        <f t="shared" si="41"/>
        <v>0</v>
      </c>
      <c r="B487">
        <v>2006</v>
      </c>
      <c r="C487">
        <v>141</v>
      </c>
      <c r="D487">
        <v>0</v>
      </c>
      <c r="E487">
        <v>1400</v>
      </c>
      <c r="F487" s="7">
        <v>119.9</v>
      </c>
      <c r="G487" s="7">
        <v>6.407</v>
      </c>
      <c r="H487" s="7">
        <v>0.8</v>
      </c>
      <c r="I487" s="7" t="str">
        <f t="shared" si="37"/>
        <v/>
      </c>
      <c r="J487" s="7" t="str">
        <f t="shared" si="38"/>
        <v/>
      </c>
      <c r="K487" s="7">
        <v>0</v>
      </c>
      <c r="L487" s="7" t="str">
        <f t="shared" si="39"/>
        <v/>
      </c>
      <c r="M487" s="7" t="str">
        <f t="shared" si="40"/>
        <v/>
      </c>
      <c r="N487" s="7">
        <v>0</v>
      </c>
      <c r="O487" s="7"/>
      <c r="P487" s="7"/>
      <c r="Q487" s="7"/>
      <c r="AC487"/>
      <c r="AD487" s="14"/>
    </row>
    <row r="488" spans="1:30" x14ac:dyDescent="0.25">
      <c r="A488" t="b">
        <f t="shared" si="41"/>
        <v>0</v>
      </c>
      <c r="B488">
        <v>2006</v>
      </c>
      <c r="C488">
        <v>141</v>
      </c>
      <c r="D488">
        <v>0</v>
      </c>
      <c r="E488">
        <v>1500</v>
      </c>
      <c r="F488" s="7">
        <v>87.4</v>
      </c>
      <c r="G488" s="7">
        <v>6.0209999999999999</v>
      </c>
      <c r="H488" s="7">
        <v>1</v>
      </c>
      <c r="I488" s="7" t="str">
        <f t="shared" si="37"/>
        <v/>
      </c>
      <c r="J488" s="7" t="str">
        <f t="shared" si="38"/>
        <v/>
      </c>
      <c r="K488" s="7">
        <v>0</v>
      </c>
      <c r="L488" s="7" t="str">
        <f t="shared" si="39"/>
        <v/>
      </c>
      <c r="M488" s="7" t="str">
        <f t="shared" si="40"/>
        <v/>
      </c>
      <c r="N488" s="7">
        <v>0</v>
      </c>
      <c r="O488" s="7"/>
      <c r="P488" s="7"/>
      <c r="Q488" s="7"/>
      <c r="AC488"/>
      <c r="AD488" s="14"/>
    </row>
    <row r="489" spans="1:30" x14ac:dyDescent="0.25">
      <c r="A489" t="b">
        <f t="shared" si="41"/>
        <v>0</v>
      </c>
      <c r="B489">
        <v>2006</v>
      </c>
      <c r="C489">
        <v>141</v>
      </c>
      <c r="D489">
        <v>0</v>
      </c>
      <c r="E489">
        <v>1600</v>
      </c>
      <c r="F489" s="7">
        <v>75.400000000000006</v>
      </c>
      <c r="G489" s="7">
        <v>6.1029999999999998</v>
      </c>
      <c r="H489" s="7">
        <v>0.4</v>
      </c>
      <c r="I489" s="7" t="str">
        <f t="shared" si="37"/>
        <v/>
      </c>
      <c r="J489" s="7" t="str">
        <f t="shared" si="38"/>
        <v/>
      </c>
      <c r="K489" s="7">
        <v>0</v>
      </c>
      <c r="L489" s="7" t="str">
        <f t="shared" si="39"/>
        <v/>
      </c>
      <c r="M489" s="7" t="str">
        <f t="shared" si="40"/>
        <v/>
      </c>
      <c r="N489" s="7">
        <v>0</v>
      </c>
      <c r="O489" s="7"/>
      <c r="P489" s="7"/>
      <c r="Q489" s="7"/>
      <c r="AC489"/>
      <c r="AD489" s="14"/>
    </row>
    <row r="490" spans="1:30" x14ac:dyDescent="0.25">
      <c r="A490" t="b">
        <f t="shared" si="41"/>
        <v>0</v>
      </c>
      <c r="B490">
        <v>2006</v>
      </c>
      <c r="C490">
        <v>141</v>
      </c>
      <c r="D490">
        <v>0</v>
      </c>
      <c r="E490">
        <v>1700</v>
      </c>
      <c r="F490" s="7">
        <v>44.23</v>
      </c>
      <c r="G490" s="7">
        <v>5.9249999999999998</v>
      </c>
      <c r="H490" s="7">
        <v>1.4</v>
      </c>
      <c r="I490" s="7" t="str">
        <f t="shared" si="37"/>
        <v/>
      </c>
      <c r="J490" s="7" t="str">
        <f t="shared" si="38"/>
        <v/>
      </c>
      <c r="K490" s="7">
        <v>0</v>
      </c>
      <c r="L490" s="7" t="str">
        <f t="shared" si="39"/>
        <v/>
      </c>
      <c r="M490" s="7" t="str">
        <f t="shared" si="40"/>
        <v/>
      </c>
      <c r="N490" s="7">
        <v>0</v>
      </c>
      <c r="O490" s="7"/>
      <c r="P490" s="7"/>
      <c r="Q490" s="7"/>
      <c r="AC490"/>
      <c r="AD490" s="14"/>
    </row>
    <row r="491" spans="1:30" x14ac:dyDescent="0.25">
      <c r="A491" t="b">
        <f t="shared" si="41"/>
        <v>0</v>
      </c>
      <c r="B491">
        <v>2006</v>
      </c>
      <c r="C491">
        <v>141</v>
      </c>
      <c r="D491">
        <v>0</v>
      </c>
      <c r="E491">
        <v>1800</v>
      </c>
      <c r="F491" s="7">
        <v>40.229999999999997</v>
      </c>
      <c r="G491" s="7">
        <v>6.4619999999999997</v>
      </c>
      <c r="H491" s="7">
        <v>0.8</v>
      </c>
      <c r="I491" s="7" t="str">
        <f t="shared" si="37"/>
        <v/>
      </c>
      <c r="J491" s="7" t="str">
        <f t="shared" si="38"/>
        <v/>
      </c>
      <c r="K491" s="7">
        <v>0</v>
      </c>
      <c r="L491" s="7" t="str">
        <f t="shared" si="39"/>
        <v/>
      </c>
      <c r="M491" s="7" t="str">
        <f t="shared" si="40"/>
        <v/>
      </c>
      <c r="N491" s="7">
        <v>0</v>
      </c>
      <c r="O491" s="7"/>
      <c r="P491" s="7"/>
      <c r="Q491" s="7"/>
      <c r="AC491"/>
      <c r="AD491" s="14"/>
    </row>
    <row r="492" spans="1:30" x14ac:dyDescent="0.25">
      <c r="A492" t="b">
        <f t="shared" si="41"/>
        <v>0</v>
      </c>
      <c r="B492">
        <v>2006</v>
      </c>
      <c r="C492">
        <v>141</v>
      </c>
      <c r="D492">
        <v>0</v>
      </c>
      <c r="E492">
        <v>1900</v>
      </c>
      <c r="F492" s="7">
        <v>25.2</v>
      </c>
      <c r="G492" s="7">
        <v>6.4219999999999997</v>
      </c>
      <c r="H492" s="7">
        <v>0.6</v>
      </c>
      <c r="I492" s="7" t="str">
        <f t="shared" si="37"/>
        <v/>
      </c>
      <c r="J492" s="7" t="str">
        <f t="shared" si="38"/>
        <v/>
      </c>
      <c r="K492" s="7">
        <v>0</v>
      </c>
      <c r="L492" s="7" t="str">
        <f t="shared" si="39"/>
        <v/>
      </c>
      <c r="M492" s="7" t="str">
        <f t="shared" si="40"/>
        <v/>
      </c>
      <c r="N492" s="7">
        <v>0</v>
      </c>
      <c r="O492" s="7"/>
      <c r="P492" s="7"/>
      <c r="Q492" s="7"/>
      <c r="AC492"/>
      <c r="AD492" s="14"/>
    </row>
    <row r="493" spans="1:30" x14ac:dyDescent="0.25">
      <c r="A493" t="b">
        <f t="shared" si="41"/>
        <v>0</v>
      </c>
      <c r="B493">
        <v>2006</v>
      </c>
      <c r="C493">
        <v>141</v>
      </c>
      <c r="D493">
        <v>0</v>
      </c>
      <c r="E493">
        <v>2000</v>
      </c>
      <c r="F493" s="7">
        <v>3.8929999999999998</v>
      </c>
      <c r="G493" s="7">
        <v>6.3630000000000004</v>
      </c>
      <c r="H493" s="7">
        <v>0.4</v>
      </c>
      <c r="I493" s="7" t="str">
        <f t="shared" si="37"/>
        <v/>
      </c>
      <c r="J493" s="7" t="str">
        <f t="shared" si="38"/>
        <v/>
      </c>
      <c r="K493" s="7">
        <v>0</v>
      </c>
      <c r="L493" s="7" t="str">
        <f t="shared" si="39"/>
        <v/>
      </c>
      <c r="M493" s="7" t="str">
        <f t="shared" si="40"/>
        <v/>
      </c>
      <c r="N493" s="7">
        <v>0</v>
      </c>
      <c r="O493" s="7"/>
      <c r="P493" s="7"/>
      <c r="Q493" s="7"/>
      <c r="AC493"/>
      <c r="AD493" s="14"/>
    </row>
    <row r="494" spans="1:30" x14ac:dyDescent="0.25">
      <c r="A494" t="b">
        <f t="shared" si="41"/>
        <v>0</v>
      </c>
      <c r="B494">
        <v>2006</v>
      </c>
      <c r="C494">
        <v>141</v>
      </c>
      <c r="D494">
        <v>0</v>
      </c>
      <c r="E494">
        <v>2100</v>
      </c>
      <c r="F494" s="7">
        <v>0.11799999999999999</v>
      </c>
      <c r="G494" s="7">
        <v>6.5140000000000002</v>
      </c>
      <c r="H494" s="7">
        <v>0.8</v>
      </c>
      <c r="I494" s="7" t="str">
        <f t="shared" si="37"/>
        <v/>
      </c>
      <c r="J494" s="7" t="str">
        <f t="shared" si="38"/>
        <v/>
      </c>
      <c r="K494" s="7">
        <v>0</v>
      </c>
      <c r="L494" s="7" t="str">
        <f t="shared" si="39"/>
        <v/>
      </c>
      <c r="M494" s="7" t="str">
        <f t="shared" si="40"/>
        <v/>
      </c>
      <c r="N494" s="7">
        <v>0</v>
      </c>
      <c r="O494" s="7"/>
      <c r="P494" s="7"/>
      <c r="Q494" s="7"/>
      <c r="AC494"/>
      <c r="AD494" s="14"/>
    </row>
    <row r="495" spans="1:30" x14ac:dyDescent="0.25">
      <c r="A495" t="b">
        <f t="shared" si="41"/>
        <v>0</v>
      </c>
      <c r="B495">
        <v>2006</v>
      </c>
      <c r="C495">
        <v>141</v>
      </c>
      <c r="D495">
        <v>0</v>
      </c>
      <c r="E495">
        <v>2200</v>
      </c>
      <c r="F495" s="7">
        <v>-0.377</v>
      </c>
      <c r="G495" s="7">
        <v>6.8959999999999999</v>
      </c>
      <c r="H495" s="7">
        <v>0.4</v>
      </c>
      <c r="I495" s="7" t="str">
        <f t="shared" si="37"/>
        <v/>
      </c>
      <c r="J495" s="7" t="str">
        <f t="shared" si="38"/>
        <v/>
      </c>
      <c r="K495" s="7">
        <v>0</v>
      </c>
      <c r="L495" s="7" t="str">
        <f t="shared" si="39"/>
        <v/>
      </c>
      <c r="M495" s="7" t="str">
        <f t="shared" si="40"/>
        <v/>
      </c>
      <c r="N495" s="7">
        <v>0</v>
      </c>
      <c r="O495" s="7"/>
      <c r="P495" s="7"/>
      <c r="Q495" s="7"/>
      <c r="AC495"/>
      <c r="AD495" s="14"/>
    </row>
    <row r="496" spans="1:30" x14ac:dyDescent="0.25">
      <c r="A496" t="b">
        <f t="shared" si="41"/>
        <v>0</v>
      </c>
      <c r="B496">
        <v>2006</v>
      </c>
      <c r="C496">
        <v>141</v>
      </c>
      <c r="D496">
        <v>0</v>
      </c>
      <c r="E496">
        <v>2300</v>
      </c>
      <c r="F496" s="7">
        <v>-0.20100000000000001</v>
      </c>
      <c r="G496" s="7">
        <v>6.7460000000000004</v>
      </c>
      <c r="H496" s="7">
        <v>0</v>
      </c>
      <c r="I496" s="7" t="str">
        <f t="shared" si="37"/>
        <v/>
      </c>
      <c r="J496" s="7" t="str">
        <f t="shared" si="38"/>
        <v/>
      </c>
      <c r="K496" s="7">
        <v>0</v>
      </c>
      <c r="L496" s="7" t="str">
        <f t="shared" si="39"/>
        <v/>
      </c>
      <c r="M496" s="7" t="str">
        <f t="shared" si="40"/>
        <v/>
      </c>
      <c r="N496" s="7">
        <v>0</v>
      </c>
      <c r="O496" s="7"/>
      <c r="P496" s="7"/>
      <c r="Q496" s="7"/>
      <c r="AC496"/>
      <c r="AD496" s="14"/>
    </row>
    <row r="497" spans="1:30" x14ac:dyDescent="0.25">
      <c r="A497" t="b">
        <f t="shared" si="41"/>
        <v>0</v>
      </c>
      <c r="B497">
        <v>2006</v>
      </c>
      <c r="C497">
        <v>141</v>
      </c>
      <c r="D497">
        <v>0</v>
      </c>
      <c r="E497">
        <v>2400</v>
      </c>
      <c r="F497" s="7">
        <v>-0.28799999999999998</v>
      </c>
      <c r="G497" s="7">
        <v>6.4219999999999997</v>
      </c>
      <c r="H497" s="7">
        <v>0</v>
      </c>
      <c r="I497" s="7" t="str">
        <f t="shared" si="37"/>
        <v/>
      </c>
      <c r="J497" s="7" t="str">
        <f t="shared" si="38"/>
        <v/>
      </c>
      <c r="K497" s="7">
        <v>0</v>
      </c>
      <c r="L497" s="7" t="str">
        <f t="shared" si="39"/>
        <v/>
      </c>
      <c r="M497" s="7" t="str">
        <f t="shared" si="40"/>
        <v/>
      </c>
      <c r="N497" s="7">
        <v>0</v>
      </c>
      <c r="O497" s="7"/>
      <c r="P497" s="7"/>
      <c r="Q497" s="7"/>
      <c r="AC497"/>
      <c r="AD497" s="14"/>
    </row>
    <row r="498" spans="1:30" x14ac:dyDescent="0.25">
      <c r="A498" t="b">
        <f t="shared" si="41"/>
        <v>1</v>
      </c>
      <c r="B498">
        <v>2006</v>
      </c>
      <c r="C498">
        <v>142</v>
      </c>
      <c r="D498">
        <v>0</v>
      </c>
      <c r="E498">
        <v>100</v>
      </c>
      <c r="F498" s="7">
        <v>-0.52</v>
      </c>
      <c r="G498" s="7">
        <v>6.1710000000000003</v>
      </c>
      <c r="H498" s="7">
        <v>0.2</v>
      </c>
      <c r="I498" s="7">
        <f t="shared" si="37"/>
        <v>0.60000000000000009</v>
      </c>
      <c r="J498" s="7">
        <f t="shared" si="38"/>
        <v>158.50641666666667</v>
      </c>
      <c r="K498" s="7">
        <v>0</v>
      </c>
      <c r="L498" s="7">
        <f t="shared" si="39"/>
        <v>10.06</v>
      </c>
      <c r="M498" s="7">
        <f t="shared" si="40"/>
        <v>1.74</v>
      </c>
      <c r="N498" s="7">
        <v>0</v>
      </c>
      <c r="O498" s="7"/>
      <c r="P498" s="7"/>
      <c r="Q498" s="7"/>
      <c r="AC498"/>
      <c r="AD498" s="14"/>
    </row>
    <row r="499" spans="1:30" x14ac:dyDescent="0.25">
      <c r="A499" t="b">
        <f t="shared" si="41"/>
        <v>0</v>
      </c>
      <c r="B499">
        <v>2006</v>
      </c>
      <c r="C499">
        <v>142</v>
      </c>
      <c r="D499">
        <v>0</v>
      </c>
      <c r="E499">
        <v>200</v>
      </c>
      <c r="F499" s="7">
        <v>-0.45400000000000001</v>
      </c>
      <c r="G499" s="7">
        <v>6.12</v>
      </c>
      <c r="H499" s="7">
        <v>0</v>
      </c>
      <c r="I499" s="7" t="str">
        <f t="shared" si="37"/>
        <v/>
      </c>
      <c r="J499" s="7" t="str">
        <f t="shared" si="38"/>
        <v/>
      </c>
      <c r="K499" s="7">
        <v>0</v>
      </c>
      <c r="L499" s="7" t="str">
        <f t="shared" si="39"/>
        <v/>
      </c>
      <c r="M499" s="7" t="str">
        <f t="shared" si="40"/>
        <v/>
      </c>
      <c r="N499" s="7">
        <v>0</v>
      </c>
      <c r="O499" s="7"/>
      <c r="P499" s="7"/>
      <c r="Q499" s="7"/>
      <c r="AC499"/>
      <c r="AD499" s="14"/>
    </row>
    <row r="500" spans="1:30" x14ac:dyDescent="0.25">
      <c r="A500" t="b">
        <f t="shared" si="41"/>
        <v>0</v>
      </c>
      <c r="B500">
        <v>2006</v>
      </c>
      <c r="C500">
        <v>142</v>
      </c>
      <c r="D500">
        <v>0</v>
      </c>
      <c r="E500">
        <v>300</v>
      </c>
      <c r="F500" s="7">
        <v>-0.57099999999999995</v>
      </c>
      <c r="G500" s="7">
        <v>6.21</v>
      </c>
      <c r="H500" s="7">
        <v>0.2</v>
      </c>
      <c r="I500" s="7" t="str">
        <f t="shared" si="37"/>
        <v/>
      </c>
      <c r="J500" s="7" t="str">
        <f t="shared" si="38"/>
        <v/>
      </c>
      <c r="K500" s="7">
        <v>0</v>
      </c>
      <c r="L500" s="7" t="str">
        <f t="shared" si="39"/>
        <v/>
      </c>
      <c r="M500" s="7" t="str">
        <f t="shared" si="40"/>
        <v/>
      </c>
      <c r="N500" s="7">
        <v>0</v>
      </c>
      <c r="O500" s="7"/>
      <c r="P500" s="7"/>
      <c r="Q500" s="7"/>
      <c r="AC500"/>
      <c r="AD500" s="14"/>
    </row>
    <row r="501" spans="1:30" x14ac:dyDescent="0.25">
      <c r="A501" t="b">
        <f t="shared" si="41"/>
        <v>0</v>
      </c>
      <c r="B501">
        <v>2006</v>
      </c>
      <c r="C501">
        <v>142</v>
      </c>
      <c r="D501">
        <v>0</v>
      </c>
      <c r="E501">
        <v>400</v>
      </c>
      <c r="F501" s="7">
        <v>-0.55100000000000005</v>
      </c>
      <c r="G501" s="7">
        <v>6.4160000000000004</v>
      </c>
      <c r="H501" s="7">
        <v>0</v>
      </c>
      <c r="I501" s="7" t="str">
        <f t="shared" si="37"/>
        <v/>
      </c>
      <c r="J501" s="7" t="str">
        <f t="shared" si="38"/>
        <v/>
      </c>
      <c r="K501" s="7">
        <v>0</v>
      </c>
      <c r="L501" s="7" t="str">
        <f t="shared" si="39"/>
        <v/>
      </c>
      <c r="M501" s="7" t="str">
        <f t="shared" si="40"/>
        <v/>
      </c>
      <c r="N501" s="7">
        <v>0</v>
      </c>
      <c r="O501" s="7"/>
      <c r="P501" s="7"/>
      <c r="Q501" s="7"/>
      <c r="AC501"/>
      <c r="AD501" s="14"/>
    </row>
    <row r="502" spans="1:30" x14ac:dyDescent="0.25">
      <c r="A502" t="b">
        <f t="shared" si="41"/>
        <v>0</v>
      </c>
      <c r="B502">
        <v>2006</v>
      </c>
      <c r="C502">
        <v>142</v>
      </c>
      <c r="D502">
        <v>0</v>
      </c>
      <c r="E502">
        <v>500</v>
      </c>
      <c r="F502" s="7">
        <v>1.052</v>
      </c>
      <c r="G502" s="7">
        <v>6.1840000000000002</v>
      </c>
      <c r="H502" s="7">
        <v>0</v>
      </c>
      <c r="I502" s="7" t="str">
        <f t="shared" si="37"/>
        <v/>
      </c>
      <c r="J502" s="7" t="str">
        <f t="shared" si="38"/>
        <v/>
      </c>
      <c r="K502" s="7">
        <v>0</v>
      </c>
      <c r="L502" s="7" t="str">
        <f t="shared" si="39"/>
        <v/>
      </c>
      <c r="M502" s="7" t="str">
        <f t="shared" si="40"/>
        <v/>
      </c>
      <c r="N502" s="7">
        <v>0</v>
      </c>
      <c r="O502" s="7"/>
      <c r="P502" s="7"/>
      <c r="Q502" s="7"/>
      <c r="AC502"/>
      <c r="AD502" s="14"/>
    </row>
    <row r="503" spans="1:30" x14ac:dyDescent="0.25">
      <c r="A503" t="b">
        <f t="shared" si="41"/>
        <v>0</v>
      </c>
      <c r="B503">
        <v>2006</v>
      </c>
      <c r="C503">
        <v>142</v>
      </c>
      <c r="D503">
        <v>0</v>
      </c>
      <c r="E503">
        <v>600</v>
      </c>
      <c r="F503" s="7">
        <v>8.16</v>
      </c>
      <c r="G503" s="7">
        <v>5.9870000000000001</v>
      </c>
      <c r="H503" s="7">
        <v>0</v>
      </c>
      <c r="I503" s="7" t="str">
        <f t="shared" si="37"/>
        <v/>
      </c>
      <c r="J503" s="7" t="str">
        <f t="shared" si="38"/>
        <v/>
      </c>
      <c r="K503" s="7">
        <v>0</v>
      </c>
      <c r="L503" s="7" t="str">
        <f t="shared" si="39"/>
        <v/>
      </c>
      <c r="M503" s="7" t="str">
        <f t="shared" si="40"/>
        <v/>
      </c>
      <c r="N503" s="7">
        <v>0</v>
      </c>
      <c r="O503" s="7"/>
      <c r="P503" s="7"/>
      <c r="Q503" s="7"/>
      <c r="AC503"/>
      <c r="AD503" s="14"/>
    </row>
    <row r="504" spans="1:30" x14ac:dyDescent="0.25">
      <c r="A504" t="b">
        <f t="shared" si="41"/>
        <v>0</v>
      </c>
      <c r="B504">
        <v>2006</v>
      </c>
      <c r="C504">
        <v>142</v>
      </c>
      <c r="D504">
        <v>0</v>
      </c>
      <c r="E504">
        <v>700</v>
      </c>
      <c r="F504" s="7">
        <v>20.02</v>
      </c>
      <c r="G504" s="7">
        <v>6.0410000000000004</v>
      </c>
      <c r="H504" s="7">
        <v>0</v>
      </c>
      <c r="I504" s="7" t="str">
        <f t="shared" si="37"/>
        <v/>
      </c>
      <c r="J504" s="7" t="str">
        <f t="shared" si="38"/>
        <v/>
      </c>
      <c r="K504" s="7">
        <v>0</v>
      </c>
      <c r="L504" s="7" t="str">
        <f t="shared" si="39"/>
        <v/>
      </c>
      <c r="M504" s="7" t="str">
        <f t="shared" si="40"/>
        <v/>
      </c>
      <c r="N504" s="7">
        <v>0</v>
      </c>
      <c r="O504" s="7"/>
      <c r="P504" s="7"/>
      <c r="Q504" s="7"/>
      <c r="AC504"/>
      <c r="AD504" s="14"/>
    </row>
    <row r="505" spans="1:30" x14ac:dyDescent="0.25">
      <c r="A505" t="b">
        <f t="shared" si="41"/>
        <v>0</v>
      </c>
      <c r="B505">
        <v>2006</v>
      </c>
      <c r="C505">
        <v>142</v>
      </c>
      <c r="D505">
        <v>0</v>
      </c>
      <c r="E505">
        <v>800</v>
      </c>
      <c r="F505" s="7">
        <v>33.86</v>
      </c>
      <c r="G505" s="7">
        <v>6.1849999999999996</v>
      </c>
      <c r="H505" s="7">
        <v>0</v>
      </c>
      <c r="I505" s="7" t="str">
        <f t="shared" si="37"/>
        <v/>
      </c>
      <c r="J505" s="7" t="str">
        <f t="shared" si="38"/>
        <v/>
      </c>
      <c r="K505" s="7">
        <v>0</v>
      </c>
      <c r="L505" s="7" t="str">
        <f t="shared" si="39"/>
        <v/>
      </c>
      <c r="M505" s="7" t="str">
        <f t="shared" si="40"/>
        <v/>
      </c>
      <c r="N505" s="7">
        <v>0</v>
      </c>
      <c r="O505" s="7"/>
      <c r="P505" s="7"/>
      <c r="Q505" s="7"/>
      <c r="AC505"/>
      <c r="AD505" s="14"/>
    </row>
    <row r="506" spans="1:30" x14ac:dyDescent="0.25">
      <c r="A506" t="b">
        <f t="shared" si="41"/>
        <v>0</v>
      </c>
      <c r="B506">
        <v>2006</v>
      </c>
      <c r="C506">
        <v>142</v>
      </c>
      <c r="D506">
        <v>0</v>
      </c>
      <c r="E506">
        <v>900</v>
      </c>
      <c r="F506" s="7">
        <v>77.7</v>
      </c>
      <c r="G506" s="7">
        <v>6.43</v>
      </c>
      <c r="H506" s="7">
        <v>0</v>
      </c>
      <c r="I506" s="7" t="str">
        <f t="shared" si="37"/>
        <v/>
      </c>
      <c r="J506" s="7" t="str">
        <f t="shared" si="38"/>
        <v/>
      </c>
      <c r="K506" s="7">
        <v>0</v>
      </c>
      <c r="L506" s="7" t="str">
        <f t="shared" si="39"/>
        <v/>
      </c>
      <c r="M506" s="7" t="str">
        <f t="shared" si="40"/>
        <v/>
      </c>
      <c r="N506" s="7">
        <v>0</v>
      </c>
      <c r="O506" s="7"/>
      <c r="P506" s="7"/>
      <c r="Q506" s="7"/>
      <c r="AC506"/>
      <c r="AD506" s="14"/>
    </row>
    <row r="507" spans="1:30" x14ac:dyDescent="0.25">
      <c r="A507" t="b">
        <f t="shared" si="41"/>
        <v>0</v>
      </c>
      <c r="B507">
        <v>2006</v>
      </c>
      <c r="C507">
        <v>142</v>
      </c>
      <c r="D507">
        <v>0</v>
      </c>
      <c r="E507">
        <v>1000</v>
      </c>
      <c r="F507" s="7">
        <v>144.6</v>
      </c>
      <c r="G507" s="7">
        <v>6.6660000000000004</v>
      </c>
      <c r="H507" s="7">
        <v>0</v>
      </c>
      <c r="I507" s="7" t="str">
        <f t="shared" si="37"/>
        <v/>
      </c>
      <c r="J507" s="7" t="str">
        <f t="shared" si="38"/>
        <v/>
      </c>
      <c r="K507" s="7">
        <v>0</v>
      </c>
      <c r="L507" s="7" t="str">
        <f t="shared" si="39"/>
        <v/>
      </c>
      <c r="M507" s="7" t="str">
        <f t="shared" si="40"/>
        <v/>
      </c>
      <c r="N507" s="7">
        <v>0</v>
      </c>
      <c r="O507" s="7"/>
      <c r="P507" s="7"/>
      <c r="Q507" s="7"/>
      <c r="AC507"/>
      <c r="AD507" s="14"/>
    </row>
    <row r="508" spans="1:30" x14ac:dyDescent="0.25">
      <c r="A508" t="b">
        <f t="shared" si="41"/>
        <v>0</v>
      </c>
      <c r="B508">
        <v>2006</v>
      </c>
      <c r="C508">
        <v>142</v>
      </c>
      <c r="D508">
        <v>0</v>
      </c>
      <c r="E508">
        <v>1100</v>
      </c>
      <c r="F508" s="7">
        <v>218.1</v>
      </c>
      <c r="G508" s="7">
        <v>7.46</v>
      </c>
      <c r="H508" s="7">
        <v>0</v>
      </c>
      <c r="I508" s="7" t="str">
        <f t="shared" si="37"/>
        <v/>
      </c>
      <c r="J508" s="7" t="str">
        <f t="shared" si="38"/>
        <v/>
      </c>
      <c r="K508" s="7">
        <v>0</v>
      </c>
      <c r="L508" s="7" t="str">
        <f t="shared" si="39"/>
        <v/>
      </c>
      <c r="M508" s="7" t="str">
        <f t="shared" si="40"/>
        <v/>
      </c>
      <c r="N508" s="7">
        <v>0</v>
      </c>
      <c r="O508" s="7"/>
      <c r="P508" s="7"/>
      <c r="Q508" s="7"/>
      <c r="AC508"/>
      <c r="AD508" s="14"/>
    </row>
    <row r="509" spans="1:30" x14ac:dyDescent="0.25">
      <c r="A509" t="b">
        <f t="shared" si="41"/>
        <v>0</v>
      </c>
      <c r="B509">
        <v>2006</v>
      </c>
      <c r="C509">
        <v>142</v>
      </c>
      <c r="D509">
        <v>0</v>
      </c>
      <c r="E509">
        <v>1200</v>
      </c>
      <c r="F509" s="7">
        <v>315.10000000000002</v>
      </c>
      <c r="G509" s="7">
        <v>8.32</v>
      </c>
      <c r="H509" s="7">
        <v>0</v>
      </c>
      <c r="I509" s="7" t="str">
        <f t="shared" si="37"/>
        <v/>
      </c>
      <c r="J509" s="7" t="str">
        <f t="shared" si="38"/>
        <v/>
      </c>
      <c r="K509" s="7">
        <v>0</v>
      </c>
      <c r="L509" s="7" t="str">
        <f t="shared" si="39"/>
        <v/>
      </c>
      <c r="M509" s="7" t="str">
        <f t="shared" si="40"/>
        <v/>
      </c>
      <c r="N509" s="7">
        <v>0</v>
      </c>
      <c r="O509" s="7"/>
      <c r="P509" s="7"/>
      <c r="Q509" s="7"/>
      <c r="AC509"/>
      <c r="AD509" s="14"/>
    </row>
    <row r="510" spans="1:30" x14ac:dyDescent="0.25">
      <c r="A510" t="b">
        <f t="shared" si="41"/>
        <v>0</v>
      </c>
      <c r="B510">
        <v>2006</v>
      </c>
      <c r="C510">
        <v>142</v>
      </c>
      <c r="D510">
        <v>0</v>
      </c>
      <c r="E510">
        <v>1300</v>
      </c>
      <c r="F510" s="7">
        <v>276.7</v>
      </c>
      <c r="G510" s="7">
        <v>8.19</v>
      </c>
      <c r="H510" s="7">
        <v>0.2</v>
      </c>
      <c r="I510" s="7" t="str">
        <f t="shared" si="37"/>
        <v/>
      </c>
      <c r="J510" s="7" t="str">
        <f t="shared" si="38"/>
        <v/>
      </c>
      <c r="K510" s="7">
        <v>0</v>
      </c>
      <c r="L510" s="7" t="str">
        <f t="shared" si="39"/>
        <v/>
      </c>
      <c r="M510" s="7" t="str">
        <f t="shared" si="40"/>
        <v/>
      </c>
      <c r="N510" s="7">
        <v>0</v>
      </c>
      <c r="O510" s="7"/>
      <c r="P510" s="7"/>
      <c r="Q510" s="7"/>
      <c r="AC510"/>
      <c r="AD510" s="14"/>
    </row>
    <row r="511" spans="1:30" x14ac:dyDescent="0.25">
      <c r="A511" t="b">
        <f t="shared" si="41"/>
        <v>0</v>
      </c>
      <c r="B511">
        <v>2006</v>
      </c>
      <c r="C511">
        <v>142</v>
      </c>
      <c r="D511">
        <v>0</v>
      </c>
      <c r="E511">
        <v>1400</v>
      </c>
      <c r="F511" s="7">
        <v>357.6</v>
      </c>
      <c r="G511" s="7">
        <v>8.98</v>
      </c>
      <c r="H511" s="7">
        <v>0</v>
      </c>
      <c r="I511" s="7" t="str">
        <f t="shared" si="37"/>
        <v/>
      </c>
      <c r="J511" s="7" t="str">
        <f t="shared" si="38"/>
        <v/>
      </c>
      <c r="K511" s="7">
        <v>0</v>
      </c>
      <c r="L511" s="7" t="str">
        <f t="shared" si="39"/>
        <v/>
      </c>
      <c r="M511" s="7" t="str">
        <f t="shared" si="40"/>
        <v/>
      </c>
      <c r="N511" s="7">
        <v>0</v>
      </c>
      <c r="O511" s="7"/>
      <c r="P511" s="7"/>
      <c r="Q511" s="7"/>
      <c r="AC511"/>
      <c r="AD511" s="14"/>
    </row>
    <row r="512" spans="1:30" x14ac:dyDescent="0.25">
      <c r="A512" t="b">
        <f t="shared" si="41"/>
        <v>0</v>
      </c>
      <c r="B512">
        <v>2006</v>
      </c>
      <c r="C512">
        <v>142</v>
      </c>
      <c r="D512">
        <v>0</v>
      </c>
      <c r="E512">
        <v>1500</v>
      </c>
      <c r="F512" s="7">
        <v>636.4</v>
      </c>
      <c r="G512" s="7">
        <v>10.06</v>
      </c>
      <c r="H512" s="7">
        <v>0</v>
      </c>
      <c r="I512" s="7" t="str">
        <f t="shared" si="37"/>
        <v/>
      </c>
      <c r="J512" s="7" t="str">
        <f t="shared" si="38"/>
        <v/>
      </c>
      <c r="K512" s="7">
        <v>0</v>
      </c>
      <c r="L512" s="7" t="str">
        <f t="shared" si="39"/>
        <v/>
      </c>
      <c r="M512" s="7" t="str">
        <f t="shared" si="40"/>
        <v/>
      </c>
      <c r="N512" s="7">
        <v>0</v>
      </c>
      <c r="O512" s="7"/>
      <c r="P512" s="7"/>
      <c r="Q512" s="7"/>
      <c r="AC512"/>
      <c r="AD512" s="14"/>
    </row>
    <row r="513" spans="1:30" x14ac:dyDescent="0.25">
      <c r="A513" t="b">
        <f t="shared" si="41"/>
        <v>0</v>
      </c>
      <c r="B513">
        <v>2006</v>
      </c>
      <c r="C513">
        <v>142</v>
      </c>
      <c r="D513">
        <v>0</v>
      </c>
      <c r="E513">
        <v>1600</v>
      </c>
      <c r="F513" s="7">
        <v>555.20000000000005</v>
      </c>
      <c r="G513" s="7">
        <v>10.039999999999999</v>
      </c>
      <c r="H513" s="7">
        <v>0</v>
      </c>
      <c r="I513" s="7" t="str">
        <f t="shared" si="37"/>
        <v/>
      </c>
      <c r="J513" s="7" t="str">
        <f t="shared" si="38"/>
        <v/>
      </c>
      <c r="K513" s="7">
        <v>0</v>
      </c>
      <c r="L513" s="7" t="str">
        <f t="shared" si="39"/>
        <v/>
      </c>
      <c r="M513" s="7" t="str">
        <f t="shared" si="40"/>
        <v/>
      </c>
      <c r="N513" s="7">
        <v>0</v>
      </c>
      <c r="O513" s="7"/>
      <c r="P513" s="7"/>
      <c r="Q513" s="7"/>
      <c r="AC513"/>
      <c r="AD513" s="14"/>
    </row>
    <row r="514" spans="1:30" x14ac:dyDescent="0.25">
      <c r="A514" t="b">
        <f t="shared" si="41"/>
        <v>0</v>
      </c>
      <c r="B514">
        <v>2006</v>
      </c>
      <c r="C514">
        <v>142</v>
      </c>
      <c r="D514">
        <v>0</v>
      </c>
      <c r="E514">
        <v>1700</v>
      </c>
      <c r="F514" s="7">
        <v>480.3</v>
      </c>
      <c r="G514" s="7">
        <v>9.65</v>
      </c>
      <c r="H514" s="7">
        <v>0</v>
      </c>
      <c r="I514" s="7" t="str">
        <f t="shared" ref="I514:I577" si="42">IF(AND(B514=B513,C514=C513),"",SUMIFS($H$2:$H$1529,$B$2:$B$1529,B514,$C$2:$C$1529,C514))</f>
        <v/>
      </c>
      <c r="J514" s="7" t="str">
        <f t="shared" ref="J514:J577" si="43">IF(AND(B514=B513,C514=C513),"",AVERAGEIFS($F$2:$F$1529,$B$2:$B$1529,B514,$C$2:$C$1529,C514))</f>
        <v/>
      </c>
      <c r="K514" s="7">
        <v>0</v>
      </c>
      <c r="L514" s="7" t="str">
        <f t="shared" ref="L514:L577" si="44">IF(AND(B514=B513,C514=C513),"",_xlfn.MAXIFS($G$2:$G$1529,$B$2:$B$1529,B514,$C$2:$C$1529,C514))</f>
        <v/>
      </c>
      <c r="M514" s="7" t="str">
        <f t="shared" ref="M514:M577" si="45">IF(AND(B514=B513,C514=C513),"",_xlfn.MINIFS($G$2:$G$1529,$B$2:$B$1529,B514,$C$2:$C$1529,C514))</f>
        <v/>
      </c>
      <c r="N514" s="7">
        <v>0</v>
      </c>
      <c r="O514" s="7"/>
      <c r="P514" s="7"/>
      <c r="Q514" s="7"/>
      <c r="AC514"/>
      <c r="AD514" s="14"/>
    </row>
    <row r="515" spans="1:30" x14ac:dyDescent="0.25">
      <c r="A515" t="b">
        <f t="shared" ref="A515:A578" si="46">NOT(I515="")</f>
        <v>0</v>
      </c>
      <c r="B515">
        <v>2006</v>
      </c>
      <c r="C515">
        <v>142</v>
      </c>
      <c r="D515">
        <v>0</v>
      </c>
      <c r="E515">
        <v>1800</v>
      </c>
      <c r="F515" s="7">
        <v>387</v>
      </c>
      <c r="G515" s="7">
        <v>9.0500000000000007</v>
      </c>
      <c r="H515" s="7">
        <v>0</v>
      </c>
      <c r="I515" s="7" t="str">
        <f t="shared" si="42"/>
        <v/>
      </c>
      <c r="J515" s="7" t="str">
        <f t="shared" si="43"/>
        <v/>
      </c>
      <c r="K515" s="7">
        <v>0</v>
      </c>
      <c r="L515" s="7" t="str">
        <f t="shared" si="44"/>
        <v/>
      </c>
      <c r="M515" s="7" t="str">
        <f t="shared" si="45"/>
        <v/>
      </c>
      <c r="N515" s="7">
        <v>0</v>
      </c>
      <c r="O515" s="7"/>
      <c r="P515" s="7"/>
      <c r="Q515" s="7"/>
      <c r="AC515"/>
      <c r="AD515" s="14"/>
    </row>
    <row r="516" spans="1:30" x14ac:dyDescent="0.25">
      <c r="A516" t="b">
        <f t="shared" si="46"/>
        <v>0</v>
      </c>
      <c r="B516">
        <v>2006</v>
      </c>
      <c r="C516">
        <v>142</v>
      </c>
      <c r="D516">
        <v>0</v>
      </c>
      <c r="E516">
        <v>1900</v>
      </c>
      <c r="F516" s="7">
        <v>230.6</v>
      </c>
      <c r="G516" s="7">
        <v>8.18</v>
      </c>
      <c r="H516" s="7">
        <v>0</v>
      </c>
      <c r="I516" s="7" t="str">
        <f t="shared" si="42"/>
        <v/>
      </c>
      <c r="J516" s="7" t="str">
        <f t="shared" si="43"/>
        <v/>
      </c>
      <c r="K516" s="7">
        <v>0</v>
      </c>
      <c r="L516" s="7" t="str">
        <f t="shared" si="44"/>
        <v/>
      </c>
      <c r="M516" s="7" t="str">
        <f t="shared" si="45"/>
        <v/>
      </c>
      <c r="N516" s="7">
        <v>0</v>
      </c>
      <c r="O516" s="7"/>
      <c r="P516" s="7"/>
      <c r="Q516" s="7"/>
      <c r="AC516"/>
      <c r="AD516" s="14"/>
    </row>
    <row r="517" spans="1:30" x14ac:dyDescent="0.25">
      <c r="A517" t="b">
        <f t="shared" si="46"/>
        <v>0</v>
      </c>
      <c r="B517">
        <v>2006</v>
      </c>
      <c r="C517">
        <v>142</v>
      </c>
      <c r="D517">
        <v>0</v>
      </c>
      <c r="E517">
        <v>2000</v>
      </c>
      <c r="F517" s="7">
        <v>70.599999999999994</v>
      </c>
      <c r="G517" s="7">
        <v>6.7240000000000002</v>
      </c>
      <c r="H517" s="7">
        <v>0</v>
      </c>
      <c r="I517" s="7" t="str">
        <f t="shared" si="42"/>
        <v/>
      </c>
      <c r="J517" s="7" t="str">
        <f t="shared" si="43"/>
        <v/>
      </c>
      <c r="K517" s="7">
        <v>0</v>
      </c>
      <c r="L517" s="7" t="str">
        <f t="shared" si="44"/>
        <v/>
      </c>
      <c r="M517" s="7" t="str">
        <f t="shared" si="45"/>
        <v/>
      </c>
      <c r="N517" s="7">
        <v>0</v>
      </c>
      <c r="O517" s="7"/>
      <c r="P517" s="7"/>
      <c r="Q517" s="7"/>
      <c r="AC517"/>
      <c r="AD517" s="14"/>
    </row>
    <row r="518" spans="1:30" x14ac:dyDescent="0.25">
      <c r="A518" t="b">
        <f t="shared" si="46"/>
        <v>0</v>
      </c>
      <c r="B518">
        <v>2006</v>
      </c>
      <c r="C518">
        <v>142</v>
      </c>
      <c r="D518">
        <v>0</v>
      </c>
      <c r="E518">
        <v>2100</v>
      </c>
      <c r="F518" s="7">
        <v>3.8290000000000002</v>
      </c>
      <c r="G518" s="7">
        <v>4.4269999999999996</v>
      </c>
      <c r="H518" s="7">
        <v>0</v>
      </c>
      <c r="I518" s="7" t="str">
        <f t="shared" si="42"/>
        <v/>
      </c>
      <c r="J518" s="7" t="str">
        <f t="shared" si="43"/>
        <v/>
      </c>
      <c r="K518" s="7">
        <v>0</v>
      </c>
      <c r="L518" s="7" t="str">
        <f t="shared" si="44"/>
        <v/>
      </c>
      <c r="M518" s="7" t="str">
        <f t="shared" si="45"/>
        <v/>
      </c>
      <c r="N518" s="7">
        <v>0</v>
      </c>
      <c r="O518" s="7"/>
      <c r="P518" s="7"/>
      <c r="Q518" s="7"/>
      <c r="AC518"/>
      <c r="AD518" s="14"/>
    </row>
    <row r="519" spans="1:30" x14ac:dyDescent="0.25">
      <c r="A519" t="b">
        <f t="shared" si="46"/>
        <v>0</v>
      </c>
      <c r="B519">
        <v>2006</v>
      </c>
      <c r="C519">
        <v>142</v>
      </c>
      <c r="D519">
        <v>0</v>
      </c>
      <c r="E519">
        <v>2200</v>
      </c>
      <c r="F519" s="7">
        <v>-3.9039999999999999</v>
      </c>
      <c r="G519" s="7">
        <v>1.74</v>
      </c>
      <c r="H519" s="7">
        <v>0</v>
      </c>
      <c r="I519" s="7" t="str">
        <f t="shared" si="42"/>
        <v/>
      </c>
      <c r="J519" s="7" t="str">
        <f t="shared" si="43"/>
        <v/>
      </c>
      <c r="K519" s="7">
        <v>0</v>
      </c>
      <c r="L519" s="7" t="str">
        <f t="shared" si="44"/>
        <v/>
      </c>
      <c r="M519" s="7" t="str">
        <f t="shared" si="45"/>
        <v/>
      </c>
      <c r="N519" s="7">
        <v>0</v>
      </c>
      <c r="O519" s="7"/>
      <c r="P519" s="7"/>
      <c r="Q519" s="7"/>
      <c r="AC519"/>
      <c r="AD519" s="14"/>
    </row>
    <row r="520" spans="1:30" x14ac:dyDescent="0.25">
      <c r="A520" t="b">
        <f t="shared" si="46"/>
        <v>0</v>
      </c>
      <c r="B520">
        <v>2006</v>
      </c>
      <c r="C520">
        <v>142</v>
      </c>
      <c r="D520">
        <v>0</v>
      </c>
      <c r="E520">
        <v>2300</v>
      </c>
      <c r="F520" s="7">
        <v>-3.37</v>
      </c>
      <c r="G520" s="7">
        <v>1.756</v>
      </c>
      <c r="H520" s="7">
        <v>0</v>
      </c>
      <c r="I520" s="7" t="str">
        <f t="shared" si="42"/>
        <v/>
      </c>
      <c r="J520" s="7" t="str">
        <f t="shared" si="43"/>
        <v/>
      </c>
      <c r="K520" s="7">
        <v>0</v>
      </c>
      <c r="L520" s="7" t="str">
        <f t="shared" si="44"/>
        <v/>
      </c>
      <c r="M520" s="7" t="str">
        <f t="shared" si="45"/>
        <v/>
      </c>
      <c r="N520" s="7">
        <v>0</v>
      </c>
      <c r="O520" s="7"/>
      <c r="P520" s="7"/>
      <c r="Q520" s="7"/>
      <c r="AC520"/>
      <c r="AD520" s="14"/>
    </row>
    <row r="521" spans="1:30" x14ac:dyDescent="0.25">
      <c r="A521" t="b">
        <f t="shared" si="46"/>
        <v>0</v>
      </c>
      <c r="B521">
        <v>2006</v>
      </c>
      <c r="C521">
        <v>142</v>
      </c>
      <c r="D521">
        <v>0</v>
      </c>
      <c r="E521">
        <v>2400</v>
      </c>
      <c r="F521" s="7">
        <v>-3.2970000000000002</v>
      </c>
      <c r="G521" s="7">
        <v>2.0459999999999998</v>
      </c>
      <c r="H521" s="7">
        <v>0</v>
      </c>
      <c r="I521" s="7" t="str">
        <f t="shared" si="42"/>
        <v/>
      </c>
      <c r="J521" s="7" t="str">
        <f t="shared" si="43"/>
        <v/>
      </c>
      <c r="K521" s="7">
        <v>0</v>
      </c>
      <c r="L521" s="7" t="str">
        <f t="shared" si="44"/>
        <v/>
      </c>
      <c r="M521" s="7" t="str">
        <f t="shared" si="45"/>
        <v/>
      </c>
      <c r="N521" s="7">
        <v>0</v>
      </c>
      <c r="O521" s="7"/>
      <c r="P521" s="7"/>
      <c r="Q521" s="7"/>
      <c r="AC521"/>
      <c r="AD521" s="14"/>
    </row>
    <row r="522" spans="1:30" x14ac:dyDescent="0.25">
      <c r="A522" t="b">
        <f t="shared" si="46"/>
        <v>1</v>
      </c>
      <c r="B522">
        <v>2006</v>
      </c>
      <c r="C522">
        <v>143</v>
      </c>
      <c r="D522">
        <v>0</v>
      </c>
      <c r="E522">
        <v>100</v>
      </c>
      <c r="F522" s="7">
        <v>-2.9169999999999998</v>
      </c>
      <c r="G522" s="7">
        <v>2.1869999999999998</v>
      </c>
      <c r="H522" s="7">
        <v>0</v>
      </c>
      <c r="I522" s="7">
        <f t="shared" si="42"/>
        <v>5.8000000000000007</v>
      </c>
      <c r="J522" s="7">
        <f t="shared" si="43"/>
        <v>192.62549999999996</v>
      </c>
      <c r="K522" s="7">
        <v>0</v>
      </c>
      <c r="L522" s="7">
        <f t="shared" si="44"/>
        <v>11.61</v>
      </c>
      <c r="M522" s="7">
        <f t="shared" si="45"/>
        <v>2.008</v>
      </c>
      <c r="N522" s="7">
        <v>0</v>
      </c>
      <c r="O522" s="7"/>
      <c r="P522" s="7"/>
      <c r="Q522" s="7"/>
      <c r="AC522"/>
      <c r="AD522" s="14"/>
    </row>
    <row r="523" spans="1:30" x14ac:dyDescent="0.25">
      <c r="A523" t="b">
        <f t="shared" si="46"/>
        <v>0</v>
      </c>
      <c r="B523">
        <v>2006</v>
      </c>
      <c r="C523">
        <v>143</v>
      </c>
      <c r="D523">
        <v>0</v>
      </c>
      <c r="E523">
        <v>200</v>
      </c>
      <c r="F523" s="7">
        <v>-2.6909999999999998</v>
      </c>
      <c r="G523" s="7">
        <v>2.29</v>
      </c>
      <c r="H523" s="7">
        <v>0</v>
      </c>
      <c r="I523" s="7" t="str">
        <f t="shared" si="42"/>
        <v/>
      </c>
      <c r="J523" s="7" t="str">
        <f t="shared" si="43"/>
        <v/>
      </c>
      <c r="K523" s="7">
        <v>0</v>
      </c>
      <c r="L523" s="7" t="str">
        <f t="shared" si="44"/>
        <v/>
      </c>
      <c r="M523" s="7" t="str">
        <f t="shared" si="45"/>
        <v/>
      </c>
      <c r="N523" s="7">
        <v>0</v>
      </c>
      <c r="O523" s="7"/>
      <c r="P523" s="7"/>
      <c r="Q523" s="7"/>
      <c r="AC523"/>
      <c r="AD523" s="14"/>
    </row>
    <row r="524" spans="1:30" x14ac:dyDescent="0.25">
      <c r="A524" t="b">
        <f t="shared" si="46"/>
        <v>0</v>
      </c>
      <c r="B524">
        <v>2006</v>
      </c>
      <c r="C524">
        <v>143</v>
      </c>
      <c r="D524">
        <v>0</v>
      </c>
      <c r="E524">
        <v>300</v>
      </c>
      <c r="F524" s="7">
        <v>-2.8410000000000002</v>
      </c>
      <c r="G524" s="7">
        <v>2.008</v>
      </c>
      <c r="H524" s="7">
        <v>0</v>
      </c>
      <c r="I524" s="7" t="str">
        <f t="shared" si="42"/>
        <v/>
      </c>
      <c r="J524" s="7" t="str">
        <f t="shared" si="43"/>
        <v/>
      </c>
      <c r="K524" s="7">
        <v>0</v>
      </c>
      <c r="L524" s="7" t="str">
        <f t="shared" si="44"/>
        <v/>
      </c>
      <c r="M524" s="7" t="str">
        <f t="shared" si="45"/>
        <v/>
      </c>
      <c r="N524" s="7">
        <v>0</v>
      </c>
      <c r="O524" s="7"/>
      <c r="P524" s="7"/>
      <c r="Q524" s="7"/>
      <c r="AC524"/>
      <c r="AD524" s="14"/>
    </row>
    <row r="525" spans="1:30" x14ac:dyDescent="0.25">
      <c r="A525" t="b">
        <f t="shared" si="46"/>
        <v>0</v>
      </c>
      <c r="B525">
        <v>2006</v>
      </c>
      <c r="C525">
        <v>143</v>
      </c>
      <c r="D525">
        <v>0</v>
      </c>
      <c r="E525">
        <v>400</v>
      </c>
      <c r="F525" s="7">
        <v>-2.6179999999999999</v>
      </c>
      <c r="G525" s="7">
        <v>2.0270000000000001</v>
      </c>
      <c r="H525" s="7">
        <v>0</v>
      </c>
      <c r="I525" s="7" t="str">
        <f t="shared" si="42"/>
        <v/>
      </c>
      <c r="J525" s="7" t="str">
        <f t="shared" si="43"/>
        <v/>
      </c>
      <c r="K525" s="7">
        <v>0</v>
      </c>
      <c r="L525" s="7" t="str">
        <f t="shared" si="44"/>
        <v/>
      </c>
      <c r="M525" s="7" t="str">
        <f t="shared" si="45"/>
        <v/>
      </c>
      <c r="N525" s="7">
        <v>0</v>
      </c>
      <c r="O525" s="7"/>
      <c r="P525" s="7"/>
      <c r="Q525" s="7"/>
      <c r="AC525"/>
      <c r="AD525" s="14"/>
    </row>
    <row r="526" spans="1:30" x14ac:dyDescent="0.25">
      <c r="A526" t="b">
        <f t="shared" si="46"/>
        <v>0</v>
      </c>
      <c r="B526">
        <v>2006</v>
      </c>
      <c r="C526">
        <v>143</v>
      </c>
      <c r="D526">
        <v>0</v>
      </c>
      <c r="E526">
        <v>500</v>
      </c>
      <c r="F526" s="7">
        <v>11.9</v>
      </c>
      <c r="G526" s="7">
        <v>2.161</v>
      </c>
      <c r="H526" s="7">
        <v>0</v>
      </c>
      <c r="I526" s="7" t="str">
        <f t="shared" si="42"/>
        <v/>
      </c>
      <c r="J526" s="7" t="str">
        <f t="shared" si="43"/>
        <v/>
      </c>
      <c r="K526" s="7">
        <v>0</v>
      </c>
      <c r="L526" s="7" t="str">
        <f t="shared" si="44"/>
        <v/>
      </c>
      <c r="M526" s="7" t="str">
        <f t="shared" si="45"/>
        <v/>
      </c>
      <c r="N526" s="7">
        <v>0</v>
      </c>
      <c r="O526" s="7"/>
      <c r="P526" s="7"/>
      <c r="Q526" s="7"/>
      <c r="AC526"/>
      <c r="AD526" s="14"/>
    </row>
    <row r="527" spans="1:30" x14ac:dyDescent="0.25">
      <c r="A527" t="b">
        <f t="shared" si="46"/>
        <v>0</v>
      </c>
      <c r="B527">
        <v>2006</v>
      </c>
      <c r="C527">
        <v>143</v>
      </c>
      <c r="D527">
        <v>0</v>
      </c>
      <c r="E527">
        <v>600</v>
      </c>
      <c r="F527" s="7">
        <v>91.4</v>
      </c>
      <c r="G527" s="7">
        <v>3.226</v>
      </c>
      <c r="H527" s="7">
        <v>0</v>
      </c>
      <c r="I527" s="7" t="str">
        <f t="shared" si="42"/>
        <v/>
      </c>
      <c r="J527" s="7" t="str">
        <f t="shared" si="43"/>
        <v/>
      </c>
      <c r="K527" s="7">
        <v>0</v>
      </c>
      <c r="L527" s="7" t="str">
        <f t="shared" si="44"/>
        <v/>
      </c>
      <c r="M527" s="7" t="str">
        <f t="shared" si="45"/>
        <v/>
      </c>
      <c r="N527" s="7">
        <v>0</v>
      </c>
      <c r="O527" s="7"/>
      <c r="P527" s="7"/>
      <c r="Q527" s="7"/>
      <c r="AC527"/>
      <c r="AD527" s="14"/>
    </row>
    <row r="528" spans="1:30" x14ac:dyDescent="0.25">
      <c r="A528" t="b">
        <f t="shared" si="46"/>
        <v>0</v>
      </c>
      <c r="B528">
        <v>2006</v>
      </c>
      <c r="C528">
        <v>143</v>
      </c>
      <c r="D528">
        <v>0</v>
      </c>
      <c r="E528">
        <v>700</v>
      </c>
      <c r="F528" s="7">
        <v>237.9</v>
      </c>
      <c r="G528" s="7">
        <v>5.1100000000000003</v>
      </c>
      <c r="H528" s="7">
        <v>0</v>
      </c>
      <c r="I528" s="7" t="str">
        <f t="shared" si="42"/>
        <v/>
      </c>
      <c r="J528" s="7" t="str">
        <f t="shared" si="43"/>
        <v/>
      </c>
      <c r="K528" s="7">
        <v>0</v>
      </c>
      <c r="L528" s="7" t="str">
        <f t="shared" si="44"/>
        <v/>
      </c>
      <c r="M528" s="7" t="str">
        <f t="shared" si="45"/>
        <v/>
      </c>
      <c r="N528" s="7">
        <v>0</v>
      </c>
      <c r="O528" s="7"/>
      <c r="P528" s="7"/>
      <c r="Q528" s="7"/>
      <c r="AC528"/>
      <c r="AD528" s="14"/>
    </row>
    <row r="529" spans="1:30" x14ac:dyDescent="0.25">
      <c r="A529" t="b">
        <f t="shared" si="46"/>
        <v>0</v>
      </c>
      <c r="B529">
        <v>2006</v>
      </c>
      <c r="C529">
        <v>143</v>
      </c>
      <c r="D529">
        <v>0</v>
      </c>
      <c r="E529">
        <v>800</v>
      </c>
      <c r="F529" s="7">
        <v>396.3</v>
      </c>
      <c r="G529" s="7">
        <v>7.19</v>
      </c>
      <c r="H529" s="7">
        <v>0</v>
      </c>
      <c r="I529" s="7" t="str">
        <f t="shared" si="42"/>
        <v/>
      </c>
      <c r="J529" s="7" t="str">
        <f t="shared" si="43"/>
        <v/>
      </c>
      <c r="K529" s="7">
        <v>0</v>
      </c>
      <c r="L529" s="7" t="str">
        <f t="shared" si="44"/>
        <v/>
      </c>
      <c r="M529" s="7" t="str">
        <f t="shared" si="45"/>
        <v/>
      </c>
      <c r="N529" s="7">
        <v>0</v>
      </c>
      <c r="O529" s="7"/>
      <c r="P529" s="7"/>
      <c r="Q529" s="7"/>
      <c r="AC529"/>
      <c r="AD529" s="14"/>
    </row>
    <row r="530" spans="1:30" x14ac:dyDescent="0.25">
      <c r="A530" t="b">
        <f t="shared" si="46"/>
        <v>0</v>
      </c>
      <c r="B530">
        <v>2006</v>
      </c>
      <c r="C530">
        <v>143</v>
      </c>
      <c r="D530">
        <v>0</v>
      </c>
      <c r="E530">
        <v>900</v>
      </c>
      <c r="F530" s="7">
        <v>513.4</v>
      </c>
      <c r="G530" s="7">
        <v>8.68</v>
      </c>
      <c r="H530" s="7">
        <v>0</v>
      </c>
      <c r="I530" s="7" t="str">
        <f t="shared" si="42"/>
        <v/>
      </c>
      <c r="J530" s="7" t="str">
        <f t="shared" si="43"/>
        <v/>
      </c>
      <c r="K530" s="7">
        <v>0</v>
      </c>
      <c r="L530" s="7" t="str">
        <f t="shared" si="44"/>
        <v/>
      </c>
      <c r="M530" s="7" t="str">
        <f t="shared" si="45"/>
        <v/>
      </c>
      <c r="N530" s="7">
        <v>0</v>
      </c>
      <c r="O530" s="7"/>
      <c r="P530" s="7"/>
      <c r="Q530" s="7"/>
      <c r="AC530"/>
      <c r="AD530" s="14"/>
    </row>
    <row r="531" spans="1:30" x14ac:dyDescent="0.25">
      <c r="A531" t="b">
        <f t="shared" si="46"/>
        <v>0</v>
      </c>
      <c r="B531">
        <v>2006</v>
      </c>
      <c r="C531">
        <v>143</v>
      </c>
      <c r="D531">
        <v>0</v>
      </c>
      <c r="E531">
        <v>1000</v>
      </c>
      <c r="F531" s="7">
        <v>569.5</v>
      </c>
      <c r="G531" s="7">
        <v>10.19</v>
      </c>
      <c r="H531" s="7">
        <v>0</v>
      </c>
      <c r="I531" s="7" t="str">
        <f t="shared" si="42"/>
        <v/>
      </c>
      <c r="J531" s="7" t="str">
        <f t="shared" si="43"/>
        <v/>
      </c>
      <c r="K531" s="7">
        <v>0</v>
      </c>
      <c r="L531" s="7" t="str">
        <f t="shared" si="44"/>
        <v/>
      </c>
      <c r="M531" s="7" t="str">
        <f t="shared" si="45"/>
        <v/>
      </c>
      <c r="N531" s="7">
        <v>0</v>
      </c>
      <c r="O531" s="7"/>
      <c r="P531" s="7"/>
      <c r="Q531" s="7"/>
      <c r="AC531"/>
      <c r="AD531" s="14"/>
    </row>
    <row r="532" spans="1:30" x14ac:dyDescent="0.25">
      <c r="A532" t="b">
        <f t="shared" si="46"/>
        <v>0</v>
      </c>
      <c r="B532">
        <v>2006</v>
      </c>
      <c r="C532">
        <v>143</v>
      </c>
      <c r="D532">
        <v>0</v>
      </c>
      <c r="E532">
        <v>1100</v>
      </c>
      <c r="F532" s="7">
        <v>665.9</v>
      </c>
      <c r="G532" s="7">
        <v>11.61</v>
      </c>
      <c r="H532" s="7">
        <v>0</v>
      </c>
      <c r="I532" s="7" t="str">
        <f t="shared" si="42"/>
        <v/>
      </c>
      <c r="J532" s="7" t="str">
        <f t="shared" si="43"/>
        <v/>
      </c>
      <c r="K532" s="7">
        <v>0</v>
      </c>
      <c r="L532" s="7" t="str">
        <f t="shared" si="44"/>
        <v/>
      </c>
      <c r="M532" s="7" t="str">
        <f t="shared" si="45"/>
        <v/>
      </c>
      <c r="N532" s="7">
        <v>0</v>
      </c>
      <c r="O532" s="7"/>
      <c r="P532" s="7"/>
      <c r="Q532" s="7"/>
      <c r="AC532"/>
      <c r="AD532" s="14"/>
    </row>
    <row r="533" spans="1:30" x14ac:dyDescent="0.25">
      <c r="A533" t="b">
        <f t="shared" si="46"/>
        <v>0</v>
      </c>
      <c r="B533">
        <v>2006</v>
      </c>
      <c r="C533">
        <v>143</v>
      </c>
      <c r="D533">
        <v>0</v>
      </c>
      <c r="E533">
        <v>1200</v>
      </c>
      <c r="F533" s="7">
        <v>263.39999999999998</v>
      </c>
      <c r="G533" s="7">
        <v>10.130000000000001</v>
      </c>
      <c r="H533" s="7">
        <v>0</v>
      </c>
      <c r="I533" s="7" t="str">
        <f t="shared" si="42"/>
        <v/>
      </c>
      <c r="J533" s="7" t="str">
        <f t="shared" si="43"/>
        <v/>
      </c>
      <c r="K533" s="7">
        <v>0</v>
      </c>
      <c r="L533" s="7" t="str">
        <f t="shared" si="44"/>
        <v/>
      </c>
      <c r="M533" s="7" t="str">
        <f t="shared" si="45"/>
        <v/>
      </c>
      <c r="N533" s="7">
        <v>0</v>
      </c>
      <c r="O533" s="7"/>
      <c r="P533" s="7"/>
      <c r="Q533" s="7"/>
      <c r="AC533"/>
      <c r="AD533" s="14"/>
    </row>
    <row r="534" spans="1:30" x14ac:dyDescent="0.25">
      <c r="A534" t="b">
        <f t="shared" si="46"/>
        <v>0</v>
      </c>
      <c r="B534">
        <v>2006</v>
      </c>
      <c r="C534">
        <v>143</v>
      </c>
      <c r="D534">
        <v>0</v>
      </c>
      <c r="E534">
        <v>1300</v>
      </c>
      <c r="F534" s="7">
        <v>111.5</v>
      </c>
      <c r="G534" s="7">
        <v>7.78</v>
      </c>
      <c r="H534" s="7">
        <v>4.5999999999999996</v>
      </c>
      <c r="I534" s="7" t="str">
        <f t="shared" si="42"/>
        <v/>
      </c>
      <c r="J534" s="7" t="str">
        <f t="shared" si="43"/>
        <v/>
      </c>
      <c r="K534" s="7">
        <v>0</v>
      </c>
      <c r="L534" s="7" t="str">
        <f t="shared" si="44"/>
        <v/>
      </c>
      <c r="M534" s="7" t="str">
        <f t="shared" si="45"/>
        <v/>
      </c>
      <c r="N534" s="7">
        <v>0</v>
      </c>
      <c r="O534" s="7"/>
      <c r="P534" s="7"/>
      <c r="Q534" s="7"/>
      <c r="AC534"/>
      <c r="AD534" s="14"/>
    </row>
    <row r="535" spans="1:30" x14ac:dyDescent="0.25">
      <c r="A535" t="b">
        <f t="shared" si="46"/>
        <v>0</v>
      </c>
      <c r="B535">
        <v>2006</v>
      </c>
      <c r="C535">
        <v>143</v>
      </c>
      <c r="D535">
        <v>0</v>
      </c>
      <c r="E535">
        <v>1400</v>
      </c>
      <c r="F535" s="7">
        <v>551.5</v>
      </c>
      <c r="G535" s="7">
        <v>8.7100000000000009</v>
      </c>
      <c r="H535" s="7">
        <v>0.2</v>
      </c>
      <c r="I535" s="7" t="str">
        <f t="shared" si="42"/>
        <v/>
      </c>
      <c r="J535" s="7" t="str">
        <f t="shared" si="43"/>
        <v/>
      </c>
      <c r="K535" s="7">
        <v>0</v>
      </c>
      <c r="L535" s="7" t="str">
        <f t="shared" si="44"/>
        <v/>
      </c>
      <c r="M535" s="7" t="str">
        <f t="shared" si="45"/>
        <v/>
      </c>
      <c r="N535" s="7">
        <v>0</v>
      </c>
      <c r="O535" s="7"/>
      <c r="P535" s="7"/>
      <c r="Q535" s="7"/>
      <c r="AC535"/>
      <c r="AD535" s="14"/>
    </row>
    <row r="536" spans="1:30" x14ac:dyDescent="0.25">
      <c r="A536" t="b">
        <f t="shared" si="46"/>
        <v>0</v>
      </c>
      <c r="B536">
        <v>2006</v>
      </c>
      <c r="C536">
        <v>143</v>
      </c>
      <c r="D536">
        <v>0</v>
      </c>
      <c r="E536">
        <v>1500</v>
      </c>
      <c r="F536" s="7">
        <v>345.7</v>
      </c>
      <c r="G536" s="7">
        <v>9.31</v>
      </c>
      <c r="H536" s="7">
        <v>0.4</v>
      </c>
      <c r="I536" s="7" t="str">
        <f t="shared" si="42"/>
        <v/>
      </c>
      <c r="J536" s="7" t="str">
        <f t="shared" si="43"/>
        <v/>
      </c>
      <c r="K536" s="7">
        <v>0</v>
      </c>
      <c r="L536" s="7" t="str">
        <f t="shared" si="44"/>
        <v/>
      </c>
      <c r="M536" s="7" t="str">
        <f t="shared" si="45"/>
        <v/>
      </c>
      <c r="N536" s="7">
        <v>0</v>
      </c>
      <c r="O536" s="7"/>
      <c r="P536" s="7"/>
      <c r="Q536" s="7"/>
      <c r="AC536"/>
      <c r="AD536" s="14"/>
    </row>
    <row r="537" spans="1:30" x14ac:dyDescent="0.25">
      <c r="A537" t="b">
        <f t="shared" si="46"/>
        <v>0</v>
      </c>
      <c r="B537">
        <v>2006</v>
      </c>
      <c r="C537">
        <v>143</v>
      </c>
      <c r="D537">
        <v>0</v>
      </c>
      <c r="E537">
        <v>1600</v>
      </c>
      <c r="F537" s="7">
        <v>292.60000000000002</v>
      </c>
      <c r="G537" s="7">
        <v>9.01</v>
      </c>
      <c r="H537" s="7">
        <v>0.4</v>
      </c>
      <c r="I537" s="7" t="str">
        <f t="shared" si="42"/>
        <v/>
      </c>
      <c r="J537" s="7" t="str">
        <f t="shared" si="43"/>
        <v/>
      </c>
      <c r="K537" s="7">
        <v>0</v>
      </c>
      <c r="L537" s="7" t="str">
        <f t="shared" si="44"/>
        <v/>
      </c>
      <c r="M537" s="7" t="str">
        <f t="shared" si="45"/>
        <v/>
      </c>
      <c r="N537" s="7">
        <v>0</v>
      </c>
      <c r="O537" s="7"/>
      <c r="P537" s="7"/>
      <c r="Q537" s="7"/>
      <c r="AC537"/>
      <c r="AD537" s="14"/>
    </row>
    <row r="538" spans="1:30" x14ac:dyDescent="0.25">
      <c r="A538" t="b">
        <f t="shared" si="46"/>
        <v>0</v>
      </c>
      <c r="B538">
        <v>2006</v>
      </c>
      <c r="C538">
        <v>143</v>
      </c>
      <c r="D538">
        <v>0</v>
      </c>
      <c r="E538">
        <v>1700</v>
      </c>
      <c r="F538" s="7">
        <v>231.2</v>
      </c>
      <c r="G538" s="7">
        <v>8.08</v>
      </c>
      <c r="H538" s="7">
        <v>0.2</v>
      </c>
      <c r="I538" s="7" t="str">
        <f t="shared" si="42"/>
        <v/>
      </c>
      <c r="J538" s="7" t="str">
        <f t="shared" si="43"/>
        <v/>
      </c>
      <c r="K538" s="7">
        <v>0</v>
      </c>
      <c r="L538" s="7" t="str">
        <f t="shared" si="44"/>
        <v/>
      </c>
      <c r="M538" s="7" t="str">
        <f t="shared" si="45"/>
        <v/>
      </c>
      <c r="N538" s="7">
        <v>0</v>
      </c>
      <c r="O538" s="7"/>
      <c r="P538" s="7"/>
      <c r="Q538" s="7"/>
      <c r="AC538"/>
      <c r="AD538" s="14"/>
    </row>
    <row r="539" spans="1:30" x14ac:dyDescent="0.25">
      <c r="A539" t="b">
        <f t="shared" si="46"/>
        <v>0</v>
      </c>
      <c r="B539">
        <v>2006</v>
      </c>
      <c r="C539">
        <v>143</v>
      </c>
      <c r="D539">
        <v>0</v>
      </c>
      <c r="E539">
        <v>1800</v>
      </c>
      <c r="F539" s="7">
        <v>202.2</v>
      </c>
      <c r="G539" s="7">
        <v>8.8000000000000007</v>
      </c>
      <c r="H539" s="7">
        <v>0</v>
      </c>
      <c r="I539" s="7" t="str">
        <f t="shared" si="42"/>
        <v/>
      </c>
      <c r="J539" s="7" t="str">
        <f t="shared" si="43"/>
        <v/>
      </c>
      <c r="K539" s="7">
        <v>0</v>
      </c>
      <c r="L539" s="7" t="str">
        <f t="shared" si="44"/>
        <v/>
      </c>
      <c r="M539" s="7" t="str">
        <f t="shared" si="45"/>
        <v/>
      </c>
      <c r="N539" s="7">
        <v>0</v>
      </c>
      <c r="O539" s="7"/>
      <c r="P539" s="7"/>
      <c r="Q539" s="7"/>
      <c r="AC539"/>
      <c r="AD539" s="14"/>
    </row>
    <row r="540" spans="1:30" x14ac:dyDescent="0.25">
      <c r="A540" t="b">
        <f t="shared" si="46"/>
        <v>0</v>
      </c>
      <c r="B540">
        <v>2006</v>
      </c>
      <c r="C540">
        <v>143</v>
      </c>
      <c r="D540">
        <v>0</v>
      </c>
      <c r="E540">
        <v>1900</v>
      </c>
      <c r="F540" s="7">
        <v>89.4</v>
      </c>
      <c r="G540" s="7">
        <v>7.47</v>
      </c>
      <c r="H540" s="7">
        <v>0</v>
      </c>
      <c r="I540" s="7" t="str">
        <f t="shared" si="42"/>
        <v/>
      </c>
      <c r="J540" s="7" t="str">
        <f t="shared" si="43"/>
        <v/>
      </c>
      <c r="K540" s="7">
        <v>0</v>
      </c>
      <c r="L540" s="7" t="str">
        <f t="shared" si="44"/>
        <v/>
      </c>
      <c r="M540" s="7" t="str">
        <f t="shared" si="45"/>
        <v/>
      </c>
      <c r="N540" s="7">
        <v>0</v>
      </c>
      <c r="O540" s="7"/>
      <c r="P540" s="7"/>
      <c r="Q540" s="7"/>
      <c r="AC540"/>
      <c r="AD540" s="14"/>
    </row>
    <row r="541" spans="1:30" x14ac:dyDescent="0.25">
      <c r="A541" t="b">
        <f t="shared" si="46"/>
        <v>0</v>
      </c>
      <c r="B541">
        <v>2006</v>
      </c>
      <c r="C541">
        <v>143</v>
      </c>
      <c r="D541">
        <v>0</v>
      </c>
      <c r="E541">
        <v>2000</v>
      </c>
      <c r="F541" s="7">
        <v>61.88</v>
      </c>
      <c r="G541" s="7">
        <v>7.05</v>
      </c>
      <c r="H541" s="7">
        <v>0</v>
      </c>
      <c r="I541" s="7" t="str">
        <f t="shared" si="42"/>
        <v/>
      </c>
      <c r="J541" s="7" t="str">
        <f t="shared" si="43"/>
        <v/>
      </c>
      <c r="K541" s="7">
        <v>0</v>
      </c>
      <c r="L541" s="7" t="str">
        <f t="shared" si="44"/>
        <v/>
      </c>
      <c r="M541" s="7" t="str">
        <f t="shared" si="45"/>
        <v/>
      </c>
      <c r="N541" s="7">
        <v>0</v>
      </c>
      <c r="O541" s="7"/>
      <c r="P541" s="7"/>
      <c r="Q541" s="7"/>
      <c r="AC541"/>
      <c r="AD541" s="14"/>
    </row>
    <row r="542" spans="1:30" x14ac:dyDescent="0.25">
      <c r="A542" t="b">
        <f t="shared" si="46"/>
        <v>0</v>
      </c>
      <c r="B542">
        <v>2006</v>
      </c>
      <c r="C542">
        <v>143</v>
      </c>
      <c r="D542">
        <v>0</v>
      </c>
      <c r="E542">
        <v>2100</v>
      </c>
      <c r="F542" s="7">
        <v>3.468</v>
      </c>
      <c r="G542" s="7">
        <v>6.4749999999999996</v>
      </c>
      <c r="H542" s="7">
        <v>0</v>
      </c>
      <c r="I542" s="7" t="str">
        <f t="shared" si="42"/>
        <v/>
      </c>
      <c r="J542" s="7" t="str">
        <f t="shared" si="43"/>
        <v/>
      </c>
      <c r="K542" s="7">
        <v>0</v>
      </c>
      <c r="L542" s="7" t="str">
        <f t="shared" si="44"/>
        <v/>
      </c>
      <c r="M542" s="7" t="str">
        <f t="shared" si="45"/>
        <v/>
      </c>
      <c r="N542" s="7">
        <v>0</v>
      </c>
      <c r="O542" s="7"/>
      <c r="P542" s="7"/>
      <c r="Q542" s="7"/>
      <c r="AC542"/>
      <c r="AD542" s="14"/>
    </row>
    <row r="543" spans="1:30" x14ac:dyDescent="0.25">
      <c r="A543" t="b">
        <f t="shared" si="46"/>
        <v>0</v>
      </c>
      <c r="B543">
        <v>2006</v>
      </c>
      <c r="C543">
        <v>143</v>
      </c>
      <c r="D543">
        <v>0</v>
      </c>
      <c r="E543">
        <v>2200</v>
      </c>
      <c r="F543" s="7">
        <v>-2.0369999999999999</v>
      </c>
      <c r="G543" s="7">
        <v>5.86</v>
      </c>
      <c r="H543" s="7">
        <v>0</v>
      </c>
      <c r="I543" s="7" t="str">
        <f t="shared" si="42"/>
        <v/>
      </c>
      <c r="J543" s="7" t="str">
        <f t="shared" si="43"/>
        <v/>
      </c>
      <c r="K543" s="7">
        <v>0</v>
      </c>
      <c r="L543" s="7" t="str">
        <f t="shared" si="44"/>
        <v/>
      </c>
      <c r="M543" s="7" t="str">
        <f t="shared" si="45"/>
        <v/>
      </c>
      <c r="N543" s="7">
        <v>0</v>
      </c>
      <c r="O543" s="7"/>
      <c r="P543" s="7"/>
      <c r="Q543" s="7"/>
      <c r="AC543"/>
      <c r="AD543" s="14"/>
    </row>
    <row r="544" spans="1:30" x14ac:dyDescent="0.25">
      <c r="A544" t="b">
        <f t="shared" si="46"/>
        <v>0</v>
      </c>
      <c r="B544">
        <v>2006</v>
      </c>
      <c r="C544">
        <v>143</v>
      </c>
      <c r="D544">
        <v>0</v>
      </c>
      <c r="E544">
        <v>2300</v>
      </c>
      <c r="F544" s="7">
        <v>-1.8</v>
      </c>
      <c r="G544" s="7">
        <v>5.4809999999999999</v>
      </c>
      <c r="H544" s="7">
        <v>0</v>
      </c>
      <c r="I544" s="7" t="str">
        <f t="shared" si="42"/>
        <v/>
      </c>
      <c r="J544" s="7" t="str">
        <f t="shared" si="43"/>
        <v/>
      </c>
      <c r="K544" s="7">
        <v>0</v>
      </c>
      <c r="L544" s="7" t="str">
        <f t="shared" si="44"/>
        <v/>
      </c>
      <c r="M544" s="7" t="str">
        <f t="shared" si="45"/>
        <v/>
      </c>
      <c r="N544" s="7">
        <v>0</v>
      </c>
      <c r="O544" s="7"/>
      <c r="P544" s="7"/>
      <c r="Q544" s="7"/>
      <c r="AC544"/>
      <c r="AD544" s="14"/>
    </row>
    <row r="545" spans="1:30" x14ac:dyDescent="0.25">
      <c r="A545" t="b">
        <f t="shared" si="46"/>
        <v>0</v>
      </c>
      <c r="B545">
        <v>2006</v>
      </c>
      <c r="C545">
        <v>143</v>
      </c>
      <c r="D545">
        <v>0</v>
      </c>
      <c r="E545">
        <v>2400</v>
      </c>
      <c r="F545" s="7">
        <v>-1.232</v>
      </c>
      <c r="G545" s="7">
        <v>5.9329999999999998</v>
      </c>
      <c r="H545" s="7">
        <v>0</v>
      </c>
      <c r="I545" s="7" t="str">
        <f t="shared" si="42"/>
        <v/>
      </c>
      <c r="J545" s="7" t="str">
        <f t="shared" si="43"/>
        <v/>
      </c>
      <c r="K545" s="7">
        <v>0</v>
      </c>
      <c r="L545" s="7" t="str">
        <f t="shared" si="44"/>
        <v/>
      </c>
      <c r="M545" s="7" t="str">
        <f t="shared" si="45"/>
        <v/>
      </c>
      <c r="N545" s="7">
        <v>0</v>
      </c>
      <c r="O545" s="7"/>
      <c r="P545" s="7"/>
      <c r="Q545" s="7"/>
      <c r="AC545"/>
      <c r="AD545" s="14"/>
    </row>
    <row r="546" spans="1:30" x14ac:dyDescent="0.25">
      <c r="A546" t="b">
        <f t="shared" si="46"/>
        <v>1</v>
      </c>
      <c r="B546">
        <v>2006</v>
      </c>
      <c r="C546">
        <v>144</v>
      </c>
      <c r="D546">
        <v>0</v>
      </c>
      <c r="E546">
        <v>100</v>
      </c>
      <c r="F546" s="7">
        <v>-1.4239999999999999</v>
      </c>
      <c r="G546" s="7">
        <v>5.91</v>
      </c>
      <c r="H546" s="7">
        <v>0</v>
      </c>
      <c r="I546" s="7">
        <f t="shared" si="42"/>
        <v>1.2</v>
      </c>
      <c r="J546" s="7">
        <f t="shared" si="43"/>
        <v>227.96545833333332</v>
      </c>
      <c r="K546" s="7">
        <v>0</v>
      </c>
      <c r="L546" s="7">
        <f t="shared" si="44"/>
        <v>12.02</v>
      </c>
      <c r="M546" s="7">
        <f t="shared" si="45"/>
        <v>4.4109999999999996</v>
      </c>
      <c r="N546" s="7">
        <v>0</v>
      </c>
      <c r="O546" s="7"/>
      <c r="P546" s="7"/>
      <c r="Q546" s="7"/>
      <c r="AC546"/>
      <c r="AD546" s="14"/>
    </row>
    <row r="547" spans="1:30" x14ac:dyDescent="0.25">
      <c r="A547" t="b">
        <f t="shared" si="46"/>
        <v>0</v>
      </c>
      <c r="B547">
        <v>2006</v>
      </c>
      <c r="C547">
        <v>144</v>
      </c>
      <c r="D547">
        <v>0</v>
      </c>
      <c r="E547">
        <v>200</v>
      </c>
      <c r="F547" s="7">
        <v>-1.6919999999999999</v>
      </c>
      <c r="G547" s="7">
        <v>5.6230000000000002</v>
      </c>
      <c r="H547" s="7">
        <v>0</v>
      </c>
      <c r="I547" s="7" t="str">
        <f t="shared" si="42"/>
        <v/>
      </c>
      <c r="J547" s="7" t="str">
        <f t="shared" si="43"/>
        <v/>
      </c>
      <c r="K547" s="7">
        <v>0</v>
      </c>
      <c r="L547" s="7" t="str">
        <f t="shared" si="44"/>
        <v/>
      </c>
      <c r="M547" s="7" t="str">
        <f t="shared" si="45"/>
        <v/>
      </c>
      <c r="N547" s="7">
        <v>0</v>
      </c>
      <c r="O547" s="7"/>
      <c r="P547" s="7"/>
      <c r="Q547" s="7"/>
      <c r="AC547"/>
      <c r="AD547" s="14"/>
    </row>
    <row r="548" spans="1:30" x14ac:dyDescent="0.25">
      <c r="A548" t="b">
        <f t="shared" si="46"/>
        <v>0</v>
      </c>
      <c r="B548">
        <v>2006</v>
      </c>
      <c r="C548">
        <v>144</v>
      </c>
      <c r="D548">
        <v>0</v>
      </c>
      <c r="E548">
        <v>300</v>
      </c>
      <c r="F548" s="7">
        <v>-1.66</v>
      </c>
      <c r="G548" s="7">
        <v>4.625</v>
      </c>
      <c r="H548" s="7">
        <v>0.2</v>
      </c>
      <c r="I548" s="7" t="str">
        <f t="shared" si="42"/>
        <v/>
      </c>
      <c r="J548" s="7" t="str">
        <f t="shared" si="43"/>
        <v/>
      </c>
      <c r="K548" s="7">
        <v>0</v>
      </c>
      <c r="L548" s="7" t="str">
        <f t="shared" si="44"/>
        <v/>
      </c>
      <c r="M548" s="7" t="str">
        <f t="shared" si="45"/>
        <v/>
      </c>
      <c r="N548" s="7">
        <v>0</v>
      </c>
      <c r="O548" s="7"/>
      <c r="P548" s="7"/>
      <c r="Q548" s="7"/>
      <c r="AC548"/>
      <c r="AD548" s="14"/>
    </row>
    <row r="549" spans="1:30" x14ac:dyDescent="0.25">
      <c r="A549" t="b">
        <f t="shared" si="46"/>
        <v>0</v>
      </c>
      <c r="B549">
        <v>2006</v>
      </c>
      <c r="C549">
        <v>144</v>
      </c>
      <c r="D549">
        <v>0</v>
      </c>
      <c r="E549">
        <v>400</v>
      </c>
      <c r="F549" s="7">
        <v>-1.3009999999999999</v>
      </c>
      <c r="G549" s="7">
        <v>4.4329999999999998</v>
      </c>
      <c r="H549" s="7">
        <v>0</v>
      </c>
      <c r="I549" s="7" t="str">
        <f t="shared" si="42"/>
        <v/>
      </c>
      <c r="J549" s="7" t="str">
        <f t="shared" si="43"/>
        <v/>
      </c>
      <c r="K549" s="7">
        <v>0</v>
      </c>
      <c r="L549" s="7" t="str">
        <f t="shared" si="44"/>
        <v/>
      </c>
      <c r="M549" s="7" t="str">
        <f t="shared" si="45"/>
        <v/>
      </c>
      <c r="N549" s="7">
        <v>0</v>
      </c>
      <c r="O549" s="7"/>
      <c r="P549" s="7"/>
      <c r="Q549" s="7"/>
      <c r="AC549"/>
      <c r="AD549" s="14"/>
    </row>
    <row r="550" spans="1:30" x14ac:dyDescent="0.25">
      <c r="A550" t="b">
        <f t="shared" si="46"/>
        <v>0</v>
      </c>
      <c r="B550">
        <v>2006</v>
      </c>
      <c r="C550">
        <v>144</v>
      </c>
      <c r="D550">
        <v>0</v>
      </c>
      <c r="E550">
        <v>500</v>
      </c>
      <c r="F550" s="7">
        <v>11.31</v>
      </c>
      <c r="G550" s="7">
        <v>4.4109999999999996</v>
      </c>
      <c r="H550" s="7">
        <v>0</v>
      </c>
      <c r="I550" s="7" t="str">
        <f t="shared" si="42"/>
        <v/>
      </c>
      <c r="J550" s="7" t="str">
        <f t="shared" si="43"/>
        <v/>
      </c>
      <c r="K550" s="7">
        <v>0</v>
      </c>
      <c r="L550" s="7" t="str">
        <f t="shared" si="44"/>
        <v/>
      </c>
      <c r="M550" s="7" t="str">
        <f t="shared" si="45"/>
        <v/>
      </c>
      <c r="N550" s="7">
        <v>0</v>
      </c>
      <c r="O550" s="7"/>
      <c r="P550" s="7"/>
      <c r="Q550" s="7"/>
      <c r="AC550"/>
      <c r="AD550" s="14"/>
    </row>
    <row r="551" spans="1:30" x14ac:dyDescent="0.25">
      <c r="A551" t="b">
        <f t="shared" si="46"/>
        <v>0</v>
      </c>
      <c r="B551">
        <v>2006</v>
      </c>
      <c r="C551">
        <v>144</v>
      </c>
      <c r="D551">
        <v>0</v>
      </c>
      <c r="E551">
        <v>600</v>
      </c>
      <c r="F551" s="7">
        <v>88.6</v>
      </c>
      <c r="G551" s="7">
        <v>4.7939999999999996</v>
      </c>
      <c r="H551" s="7">
        <v>0.2</v>
      </c>
      <c r="I551" s="7" t="str">
        <f t="shared" si="42"/>
        <v/>
      </c>
      <c r="J551" s="7" t="str">
        <f t="shared" si="43"/>
        <v/>
      </c>
      <c r="K551" s="7">
        <v>0</v>
      </c>
      <c r="L551" s="7" t="str">
        <f t="shared" si="44"/>
        <v/>
      </c>
      <c r="M551" s="7" t="str">
        <f t="shared" si="45"/>
        <v/>
      </c>
      <c r="N551" s="7">
        <v>0</v>
      </c>
      <c r="O551" s="7"/>
      <c r="P551" s="7"/>
      <c r="Q551" s="7"/>
      <c r="AC551"/>
      <c r="AD551" s="14"/>
    </row>
    <row r="552" spans="1:30" x14ac:dyDescent="0.25">
      <c r="A552" t="b">
        <f t="shared" si="46"/>
        <v>0</v>
      </c>
      <c r="B552">
        <v>2006</v>
      </c>
      <c r="C552">
        <v>144</v>
      </c>
      <c r="D552">
        <v>0</v>
      </c>
      <c r="E552">
        <v>700</v>
      </c>
      <c r="F552" s="7">
        <v>246.8</v>
      </c>
      <c r="G552" s="7">
        <v>5.875</v>
      </c>
      <c r="H552" s="7">
        <v>0</v>
      </c>
      <c r="I552" s="7" t="str">
        <f t="shared" si="42"/>
        <v/>
      </c>
      <c r="J552" s="7" t="str">
        <f t="shared" si="43"/>
        <v/>
      </c>
      <c r="K552" s="7">
        <v>0</v>
      </c>
      <c r="L552" s="7" t="str">
        <f t="shared" si="44"/>
        <v/>
      </c>
      <c r="M552" s="7" t="str">
        <f t="shared" si="45"/>
        <v/>
      </c>
      <c r="N552" s="7">
        <v>0</v>
      </c>
      <c r="O552" s="7"/>
      <c r="P552" s="7"/>
      <c r="Q552" s="7"/>
      <c r="AC552"/>
      <c r="AD552" s="14"/>
    </row>
    <row r="553" spans="1:30" x14ac:dyDescent="0.25">
      <c r="A553" t="b">
        <f t="shared" si="46"/>
        <v>0</v>
      </c>
      <c r="B553">
        <v>2006</v>
      </c>
      <c r="C553">
        <v>144</v>
      </c>
      <c r="D553">
        <v>0</v>
      </c>
      <c r="E553">
        <v>800</v>
      </c>
      <c r="F553" s="7">
        <v>398.7</v>
      </c>
      <c r="G553" s="7">
        <v>7.17</v>
      </c>
      <c r="H553" s="7">
        <v>0</v>
      </c>
      <c r="I553" s="7" t="str">
        <f t="shared" si="42"/>
        <v/>
      </c>
      <c r="J553" s="7" t="str">
        <f t="shared" si="43"/>
        <v/>
      </c>
      <c r="K553" s="7">
        <v>0</v>
      </c>
      <c r="L553" s="7" t="str">
        <f t="shared" si="44"/>
        <v/>
      </c>
      <c r="M553" s="7" t="str">
        <f t="shared" si="45"/>
        <v/>
      </c>
      <c r="N553" s="7">
        <v>0</v>
      </c>
      <c r="O553" s="7"/>
      <c r="P553" s="7"/>
      <c r="Q553" s="7"/>
      <c r="AC553"/>
      <c r="AD553" s="14"/>
    </row>
    <row r="554" spans="1:30" x14ac:dyDescent="0.25">
      <c r="A554" t="b">
        <f t="shared" si="46"/>
        <v>0</v>
      </c>
      <c r="B554">
        <v>2006</v>
      </c>
      <c r="C554">
        <v>144</v>
      </c>
      <c r="D554">
        <v>0</v>
      </c>
      <c r="E554">
        <v>900</v>
      </c>
      <c r="F554" s="7">
        <v>483</v>
      </c>
      <c r="G554" s="7">
        <v>8.35</v>
      </c>
      <c r="H554" s="7">
        <v>0</v>
      </c>
      <c r="I554" s="7" t="str">
        <f t="shared" si="42"/>
        <v/>
      </c>
      <c r="J554" s="7" t="str">
        <f t="shared" si="43"/>
        <v/>
      </c>
      <c r="K554" s="7">
        <v>0</v>
      </c>
      <c r="L554" s="7" t="str">
        <f t="shared" si="44"/>
        <v/>
      </c>
      <c r="M554" s="7" t="str">
        <f t="shared" si="45"/>
        <v/>
      </c>
      <c r="N554" s="7">
        <v>0</v>
      </c>
      <c r="O554" s="7"/>
      <c r="P554" s="7"/>
      <c r="Q554" s="7"/>
      <c r="AC554"/>
      <c r="AD554" s="14"/>
    </row>
    <row r="555" spans="1:30" x14ac:dyDescent="0.25">
      <c r="A555" t="b">
        <f t="shared" si="46"/>
        <v>0</v>
      </c>
      <c r="B555">
        <v>2006</v>
      </c>
      <c r="C555">
        <v>144</v>
      </c>
      <c r="D555">
        <v>0</v>
      </c>
      <c r="E555">
        <v>1000</v>
      </c>
      <c r="F555" s="7">
        <v>574.29999999999995</v>
      </c>
      <c r="G555" s="7">
        <v>9.57</v>
      </c>
      <c r="H555" s="7">
        <v>0</v>
      </c>
      <c r="I555" s="7" t="str">
        <f t="shared" si="42"/>
        <v/>
      </c>
      <c r="J555" s="7" t="str">
        <f t="shared" si="43"/>
        <v/>
      </c>
      <c r="K555" s="7">
        <v>0</v>
      </c>
      <c r="L555" s="7" t="str">
        <f t="shared" si="44"/>
        <v/>
      </c>
      <c r="M555" s="7" t="str">
        <f t="shared" si="45"/>
        <v/>
      </c>
      <c r="N555" s="7">
        <v>0</v>
      </c>
      <c r="O555" s="7"/>
      <c r="P555" s="7"/>
      <c r="Q555" s="7"/>
      <c r="AC555"/>
      <c r="AD555" s="14"/>
    </row>
    <row r="556" spans="1:30" x14ac:dyDescent="0.25">
      <c r="A556" t="b">
        <f t="shared" si="46"/>
        <v>0</v>
      </c>
      <c r="B556">
        <v>2006</v>
      </c>
      <c r="C556">
        <v>144</v>
      </c>
      <c r="D556">
        <v>0</v>
      </c>
      <c r="E556">
        <v>1100</v>
      </c>
      <c r="F556" s="7">
        <v>437</v>
      </c>
      <c r="G556" s="7">
        <v>9.52</v>
      </c>
      <c r="H556" s="7">
        <v>0.6</v>
      </c>
      <c r="I556" s="7" t="str">
        <f t="shared" si="42"/>
        <v/>
      </c>
      <c r="J556" s="7" t="str">
        <f t="shared" si="43"/>
        <v/>
      </c>
      <c r="K556" s="7">
        <v>0</v>
      </c>
      <c r="L556" s="7" t="str">
        <f t="shared" si="44"/>
        <v/>
      </c>
      <c r="M556" s="7" t="str">
        <f t="shared" si="45"/>
        <v/>
      </c>
      <c r="N556" s="7">
        <v>0</v>
      </c>
      <c r="O556" s="7"/>
      <c r="P556" s="7"/>
      <c r="Q556" s="7"/>
      <c r="AC556"/>
      <c r="AD556" s="14"/>
    </row>
    <row r="557" spans="1:30" x14ac:dyDescent="0.25">
      <c r="A557" t="b">
        <f t="shared" si="46"/>
        <v>0</v>
      </c>
      <c r="B557">
        <v>2006</v>
      </c>
      <c r="C557">
        <v>144</v>
      </c>
      <c r="D557">
        <v>0</v>
      </c>
      <c r="E557">
        <v>1200</v>
      </c>
      <c r="F557" s="7">
        <v>618.70000000000005</v>
      </c>
      <c r="G557" s="7">
        <v>9.39</v>
      </c>
      <c r="H557" s="7">
        <v>0</v>
      </c>
      <c r="I557" s="7" t="str">
        <f t="shared" si="42"/>
        <v/>
      </c>
      <c r="J557" s="7" t="str">
        <f t="shared" si="43"/>
        <v/>
      </c>
      <c r="K557" s="7">
        <v>0</v>
      </c>
      <c r="L557" s="7" t="str">
        <f t="shared" si="44"/>
        <v/>
      </c>
      <c r="M557" s="7" t="str">
        <f t="shared" si="45"/>
        <v/>
      </c>
      <c r="N557" s="7">
        <v>0</v>
      </c>
      <c r="O557" s="7"/>
      <c r="P557" s="7"/>
      <c r="Q557" s="7"/>
      <c r="AC557"/>
      <c r="AD557" s="14"/>
    </row>
    <row r="558" spans="1:30" x14ac:dyDescent="0.25">
      <c r="A558" t="b">
        <f t="shared" si="46"/>
        <v>0</v>
      </c>
      <c r="B558">
        <v>2006</v>
      </c>
      <c r="C558">
        <v>144</v>
      </c>
      <c r="D558">
        <v>0</v>
      </c>
      <c r="E558">
        <v>1300</v>
      </c>
      <c r="F558" s="7">
        <v>650.70000000000005</v>
      </c>
      <c r="G558" s="7">
        <v>11.31</v>
      </c>
      <c r="H558" s="7">
        <v>0.2</v>
      </c>
      <c r="I558" s="7" t="str">
        <f t="shared" si="42"/>
        <v/>
      </c>
      <c r="J558" s="7" t="str">
        <f t="shared" si="43"/>
        <v/>
      </c>
      <c r="K558" s="7">
        <v>0</v>
      </c>
      <c r="L558" s="7" t="str">
        <f t="shared" si="44"/>
        <v/>
      </c>
      <c r="M558" s="7" t="str">
        <f t="shared" si="45"/>
        <v/>
      </c>
      <c r="N558" s="7">
        <v>0</v>
      </c>
      <c r="O558" s="7"/>
      <c r="P558" s="7"/>
      <c r="Q558" s="7"/>
      <c r="AC558"/>
      <c r="AD558" s="14"/>
    </row>
    <row r="559" spans="1:30" x14ac:dyDescent="0.25">
      <c r="A559" t="b">
        <f t="shared" si="46"/>
        <v>0</v>
      </c>
      <c r="B559">
        <v>2006</v>
      </c>
      <c r="C559">
        <v>144</v>
      </c>
      <c r="D559">
        <v>0</v>
      </c>
      <c r="E559">
        <v>1400</v>
      </c>
      <c r="F559" s="7">
        <v>484.2</v>
      </c>
      <c r="G559" s="7">
        <v>11.77</v>
      </c>
      <c r="H559" s="7">
        <v>0</v>
      </c>
      <c r="I559" s="7" t="str">
        <f t="shared" si="42"/>
        <v/>
      </c>
      <c r="J559" s="7" t="str">
        <f t="shared" si="43"/>
        <v/>
      </c>
      <c r="K559" s="7">
        <v>0</v>
      </c>
      <c r="L559" s="7" t="str">
        <f t="shared" si="44"/>
        <v/>
      </c>
      <c r="M559" s="7" t="str">
        <f t="shared" si="45"/>
        <v/>
      </c>
      <c r="N559" s="7">
        <v>0</v>
      </c>
      <c r="O559" s="7"/>
      <c r="P559" s="7"/>
      <c r="Q559" s="7"/>
      <c r="AC559"/>
      <c r="AD559" s="14"/>
    </row>
    <row r="560" spans="1:30" x14ac:dyDescent="0.25">
      <c r="A560" t="b">
        <f t="shared" si="46"/>
        <v>0</v>
      </c>
      <c r="B560">
        <v>2006</v>
      </c>
      <c r="C560">
        <v>144</v>
      </c>
      <c r="D560">
        <v>0</v>
      </c>
      <c r="E560">
        <v>1500</v>
      </c>
      <c r="F560" s="7">
        <v>451.4</v>
      </c>
      <c r="G560" s="7">
        <v>12.02</v>
      </c>
      <c r="H560" s="7">
        <v>0</v>
      </c>
      <c r="I560" s="7" t="str">
        <f t="shared" si="42"/>
        <v/>
      </c>
      <c r="J560" s="7" t="str">
        <f t="shared" si="43"/>
        <v/>
      </c>
      <c r="K560" s="7">
        <v>0</v>
      </c>
      <c r="L560" s="7" t="str">
        <f t="shared" si="44"/>
        <v/>
      </c>
      <c r="M560" s="7" t="str">
        <f t="shared" si="45"/>
        <v/>
      </c>
      <c r="N560" s="7">
        <v>0</v>
      </c>
      <c r="O560" s="7"/>
      <c r="P560" s="7"/>
      <c r="Q560" s="7"/>
      <c r="AC560"/>
      <c r="AD560" s="14"/>
    </row>
    <row r="561" spans="1:30" x14ac:dyDescent="0.25">
      <c r="A561" t="b">
        <f t="shared" si="46"/>
        <v>0</v>
      </c>
      <c r="B561">
        <v>2006</v>
      </c>
      <c r="C561">
        <v>144</v>
      </c>
      <c r="D561">
        <v>0</v>
      </c>
      <c r="E561">
        <v>1600</v>
      </c>
      <c r="F561" s="7">
        <v>356.9</v>
      </c>
      <c r="G561" s="7">
        <v>11.47</v>
      </c>
      <c r="H561" s="7">
        <v>0</v>
      </c>
      <c r="I561" s="7" t="str">
        <f t="shared" si="42"/>
        <v/>
      </c>
      <c r="J561" s="7" t="str">
        <f t="shared" si="43"/>
        <v/>
      </c>
      <c r="K561" s="7">
        <v>0</v>
      </c>
      <c r="L561" s="7" t="str">
        <f t="shared" si="44"/>
        <v/>
      </c>
      <c r="M561" s="7" t="str">
        <f t="shared" si="45"/>
        <v/>
      </c>
      <c r="N561" s="7">
        <v>0</v>
      </c>
      <c r="O561" s="7"/>
      <c r="P561" s="7"/>
      <c r="Q561" s="7"/>
      <c r="AC561"/>
      <c r="AD561" s="14"/>
    </row>
    <row r="562" spans="1:30" x14ac:dyDescent="0.25">
      <c r="A562" t="b">
        <f t="shared" si="46"/>
        <v>0</v>
      </c>
      <c r="B562">
        <v>2006</v>
      </c>
      <c r="C562">
        <v>144</v>
      </c>
      <c r="D562">
        <v>0</v>
      </c>
      <c r="E562">
        <v>1700</v>
      </c>
      <c r="F562" s="7">
        <v>292.3</v>
      </c>
      <c r="G562" s="7">
        <v>11.92</v>
      </c>
      <c r="H562" s="7">
        <v>0</v>
      </c>
      <c r="I562" s="7" t="str">
        <f t="shared" si="42"/>
        <v/>
      </c>
      <c r="J562" s="7" t="str">
        <f t="shared" si="43"/>
        <v/>
      </c>
      <c r="K562" s="7">
        <v>0</v>
      </c>
      <c r="L562" s="7" t="str">
        <f t="shared" si="44"/>
        <v/>
      </c>
      <c r="M562" s="7" t="str">
        <f t="shared" si="45"/>
        <v/>
      </c>
      <c r="N562" s="7">
        <v>0</v>
      </c>
      <c r="O562" s="7"/>
      <c r="P562" s="7"/>
      <c r="Q562" s="7"/>
      <c r="AC562"/>
      <c r="AD562" s="14"/>
    </row>
    <row r="563" spans="1:30" x14ac:dyDescent="0.25">
      <c r="A563" t="b">
        <f t="shared" si="46"/>
        <v>0</v>
      </c>
      <c r="B563">
        <v>2006</v>
      </c>
      <c r="C563">
        <v>144</v>
      </c>
      <c r="D563">
        <v>0</v>
      </c>
      <c r="E563">
        <v>1800</v>
      </c>
      <c r="F563" s="7">
        <v>230.3</v>
      </c>
      <c r="G563" s="7">
        <v>11.89</v>
      </c>
      <c r="H563" s="7">
        <v>0</v>
      </c>
      <c r="I563" s="7" t="str">
        <f t="shared" si="42"/>
        <v/>
      </c>
      <c r="J563" s="7" t="str">
        <f t="shared" si="43"/>
        <v/>
      </c>
      <c r="K563" s="7">
        <v>0</v>
      </c>
      <c r="L563" s="7" t="str">
        <f t="shared" si="44"/>
        <v/>
      </c>
      <c r="M563" s="7" t="str">
        <f t="shared" si="45"/>
        <v/>
      </c>
      <c r="N563" s="7">
        <v>0</v>
      </c>
      <c r="O563" s="7"/>
      <c r="P563" s="7"/>
      <c r="Q563" s="7"/>
      <c r="AC563"/>
      <c r="AD563" s="14"/>
    </row>
    <row r="564" spans="1:30" x14ac:dyDescent="0.25">
      <c r="A564" t="b">
        <f t="shared" si="46"/>
        <v>0</v>
      </c>
      <c r="B564">
        <v>2006</v>
      </c>
      <c r="C564">
        <v>144</v>
      </c>
      <c r="D564">
        <v>0</v>
      </c>
      <c r="E564">
        <v>1900</v>
      </c>
      <c r="F564" s="7">
        <v>120.8</v>
      </c>
      <c r="G564" s="7">
        <v>11.25</v>
      </c>
      <c r="H564" s="7">
        <v>0</v>
      </c>
      <c r="I564" s="7" t="str">
        <f t="shared" si="42"/>
        <v/>
      </c>
      <c r="J564" s="7" t="str">
        <f t="shared" si="43"/>
        <v/>
      </c>
      <c r="K564" s="7">
        <v>0</v>
      </c>
      <c r="L564" s="7" t="str">
        <f t="shared" si="44"/>
        <v/>
      </c>
      <c r="M564" s="7" t="str">
        <f t="shared" si="45"/>
        <v/>
      </c>
      <c r="N564" s="7">
        <v>0</v>
      </c>
      <c r="O564" s="7"/>
      <c r="P564" s="7"/>
      <c r="Q564" s="7"/>
      <c r="AC564"/>
      <c r="AD564" s="14"/>
    </row>
    <row r="565" spans="1:30" x14ac:dyDescent="0.25">
      <c r="A565" t="b">
        <f t="shared" si="46"/>
        <v>0</v>
      </c>
      <c r="B565">
        <v>2006</v>
      </c>
      <c r="C565">
        <v>144</v>
      </c>
      <c r="D565">
        <v>0</v>
      </c>
      <c r="E565">
        <v>2000</v>
      </c>
      <c r="F565" s="7">
        <v>35.18</v>
      </c>
      <c r="G565" s="7">
        <v>9.93</v>
      </c>
      <c r="H565" s="7">
        <v>0</v>
      </c>
      <c r="I565" s="7" t="str">
        <f t="shared" si="42"/>
        <v/>
      </c>
      <c r="J565" s="7" t="str">
        <f t="shared" si="43"/>
        <v/>
      </c>
      <c r="K565" s="7">
        <v>0</v>
      </c>
      <c r="L565" s="7" t="str">
        <f t="shared" si="44"/>
        <v/>
      </c>
      <c r="M565" s="7" t="str">
        <f t="shared" si="45"/>
        <v/>
      </c>
      <c r="N565" s="7">
        <v>0</v>
      </c>
      <c r="O565" s="7"/>
      <c r="P565" s="7"/>
      <c r="Q565" s="7"/>
      <c r="AC565"/>
      <c r="AD565" s="14"/>
    </row>
    <row r="566" spans="1:30" x14ac:dyDescent="0.25">
      <c r="A566" t="b">
        <f t="shared" si="46"/>
        <v>0</v>
      </c>
      <c r="B566">
        <v>2006</v>
      </c>
      <c r="C566">
        <v>144</v>
      </c>
      <c r="D566">
        <v>0</v>
      </c>
      <c r="E566">
        <v>2100</v>
      </c>
      <c r="F566" s="7">
        <v>3.956</v>
      </c>
      <c r="G566" s="7">
        <v>9.1300000000000008</v>
      </c>
      <c r="H566" s="7">
        <v>0</v>
      </c>
      <c r="I566" s="7" t="str">
        <f t="shared" si="42"/>
        <v/>
      </c>
      <c r="J566" s="7" t="str">
        <f t="shared" si="43"/>
        <v/>
      </c>
      <c r="K566" s="7">
        <v>0</v>
      </c>
      <c r="L566" s="7" t="str">
        <f t="shared" si="44"/>
        <v/>
      </c>
      <c r="M566" s="7" t="str">
        <f t="shared" si="45"/>
        <v/>
      </c>
      <c r="N566" s="7">
        <v>0</v>
      </c>
      <c r="O566" s="7"/>
      <c r="P566" s="7"/>
      <c r="Q566" s="7"/>
      <c r="AC566"/>
      <c r="AD566" s="14"/>
    </row>
    <row r="567" spans="1:30" x14ac:dyDescent="0.25">
      <c r="A567" t="b">
        <f t="shared" si="46"/>
        <v>0</v>
      </c>
      <c r="B567">
        <v>2006</v>
      </c>
      <c r="C567">
        <v>144</v>
      </c>
      <c r="D567">
        <v>0</v>
      </c>
      <c r="E567">
        <v>2200</v>
      </c>
      <c r="F567" s="7">
        <v>-1.7130000000000001</v>
      </c>
      <c r="G567" s="7">
        <v>8.4600000000000009</v>
      </c>
      <c r="H567" s="7">
        <v>0</v>
      </c>
      <c r="I567" s="7" t="str">
        <f t="shared" si="42"/>
        <v/>
      </c>
      <c r="J567" s="7" t="str">
        <f t="shared" si="43"/>
        <v/>
      </c>
      <c r="K567" s="7">
        <v>0</v>
      </c>
      <c r="L567" s="7" t="str">
        <f t="shared" si="44"/>
        <v/>
      </c>
      <c r="M567" s="7" t="str">
        <f t="shared" si="45"/>
        <v/>
      </c>
      <c r="N567" s="7">
        <v>0</v>
      </c>
      <c r="O567" s="7"/>
      <c r="P567" s="7"/>
      <c r="Q567" s="7"/>
      <c r="AC567"/>
      <c r="AD567" s="14"/>
    </row>
    <row r="568" spans="1:30" x14ac:dyDescent="0.25">
      <c r="A568" t="b">
        <f t="shared" si="46"/>
        <v>0</v>
      </c>
      <c r="B568">
        <v>2006</v>
      </c>
      <c r="C568">
        <v>144</v>
      </c>
      <c r="D568">
        <v>0</v>
      </c>
      <c r="E568">
        <v>2300</v>
      </c>
      <c r="F568" s="7">
        <v>-2.6840000000000002</v>
      </c>
      <c r="G568" s="7">
        <v>6.7910000000000004</v>
      </c>
      <c r="H568" s="7">
        <v>0</v>
      </c>
      <c r="I568" s="7" t="str">
        <f t="shared" si="42"/>
        <v/>
      </c>
      <c r="J568" s="7" t="str">
        <f t="shared" si="43"/>
        <v/>
      </c>
      <c r="K568" s="7">
        <v>0</v>
      </c>
      <c r="L568" s="7" t="str">
        <f t="shared" si="44"/>
        <v/>
      </c>
      <c r="M568" s="7" t="str">
        <f t="shared" si="45"/>
        <v/>
      </c>
      <c r="N568" s="7">
        <v>0</v>
      </c>
      <c r="O568" s="7"/>
      <c r="P568" s="7"/>
      <c r="Q568" s="7"/>
      <c r="AC568"/>
      <c r="AD568" s="14"/>
    </row>
    <row r="569" spans="1:30" x14ac:dyDescent="0.25">
      <c r="A569" t="b">
        <f t="shared" si="46"/>
        <v>0</v>
      </c>
      <c r="B569">
        <v>2006</v>
      </c>
      <c r="C569">
        <v>144</v>
      </c>
      <c r="D569">
        <v>0</v>
      </c>
      <c r="E569">
        <v>2400</v>
      </c>
      <c r="F569" s="7">
        <v>-2.5009999999999999</v>
      </c>
      <c r="G569" s="7">
        <v>5.07</v>
      </c>
      <c r="H569" s="7">
        <v>0</v>
      </c>
      <c r="I569" s="7" t="str">
        <f t="shared" si="42"/>
        <v/>
      </c>
      <c r="J569" s="7" t="str">
        <f t="shared" si="43"/>
        <v/>
      </c>
      <c r="K569" s="7">
        <v>0</v>
      </c>
      <c r="L569" s="7" t="str">
        <f t="shared" si="44"/>
        <v/>
      </c>
      <c r="M569" s="7" t="str">
        <f t="shared" si="45"/>
        <v/>
      </c>
      <c r="N569" s="7">
        <v>0</v>
      </c>
      <c r="O569" s="7"/>
      <c r="P569" s="7"/>
      <c r="Q569" s="7"/>
      <c r="AC569"/>
      <c r="AD569" s="14"/>
    </row>
    <row r="570" spans="1:30" x14ac:dyDescent="0.25">
      <c r="A570" t="b">
        <f t="shared" si="46"/>
        <v>1</v>
      </c>
      <c r="B570">
        <v>2006</v>
      </c>
      <c r="C570">
        <v>145</v>
      </c>
      <c r="D570">
        <v>0</v>
      </c>
      <c r="E570">
        <v>100</v>
      </c>
      <c r="F570" s="7">
        <v>-2.9039999999999999</v>
      </c>
      <c r="G570" s="7">
        <v>3.3210000000000002</v>
      </c>
      <c r="H570" s="7">
        <v>0</v>
      </c>
      <c r="I570" s="7">
        <f t="shared" si="42"/>
        <v>0.2</v>
      </c>
      <c r="J570" s="7">
        <f t="shared" si="43"/>
        <v>272.14875000000001</v>
      </c>
      <c r="K570" s="7">
        <v>0</v>
      </c>
      <c r="L570" s="7">
        <f t="shared" si="44"/>
        <v>15.1</v>
      </c>
      <c r="M570" s="7">
        <f t="shared" si="45"/>
        <v>1.2569999999999999</v>
      </c>
      <c r="N570" s="7">
        <v>0</v>
      </c>
      <c r="O570" s="7"/>
      <c r="P570" s="7"/>
      <c r="Q570" s="7"/>
      <c r="AC570"/>
      <c r="AD570" s="14"/>
    </row>
    <row r="571" spans="1:30" x14ac:dyDescent="0.25">
      <c r="A571" t="b">
        <f t="shared" si="46"/>
        <v>0</v>
      </c>
      <c r="B571">
        <v>2006</v>
      </c>
      <c r="C571">
        <v>145</v>
      </c>
      <c r="D571">
        <v>0</v>
      </c>
      <c r="E571">
        <v>200</v>
      </c>
      <c r="F571" s="7">
        <v>-2.306</v>
      </c>
      <c r="G571" s="7">
        <v>2.391</v>
      </c>
      <c r="H571" s="7">
        <v>0</v>
      </c>
      <c r="I571" s="7" t="str">
        <f t="shared" si="42"/>
        <v/>
      </c>
      <c r="J571" s="7" t="str">
        <f t="shared" si="43"/>
        <v/>
      </c>
      <c r="K571" s="7">
        <v>0</v>
      </c>
      <c r="L571" s="7" t="str">
        <f t="shared" si="44"/>
        <v/>
      </c>
      <c r="M571" s="7" t="str">
        <f t="shared" si="45"/>
        <v/>
      </c>
      <c r="N571" s="7">
        <v>0</v>
      </c>
      <c r="O571" s="7"/>
      <c r="P571" s="7"/>
      <c r="Q571" s="7"/>
      <c r="AC571"/>
      <c r="AD571" s="14"/>
    </row>
    <row r="572" spans="1:30" x14ac:dyDescent="0.25">
      <c r="A572" t="b">
        <f t="shared" si="46"/>
        <v>0</v>
      </c>
      <c r="B572">
        <v>2006</v>
      </c>
      <c r="C572">
        <v>145</v>
      </c>
      <c r="D572">
        <v>0</v>
      </c>
      <c r="E572">
        <v>300</v>
      </c>
      <c r="F572" s="7">
        <v>-2.87</v>
      </c>
      <c r="G572" s="7">
        <v>1.452</v>
      </c>
      <c r="H572" s="7">
        <v>0</v>
      </c>
      <c r="I572" s="7" t="str">
        <f t="shared" si="42"/>
        <v/>
      </c>
      <c r="J572" s="7" t="str">
        <f t="shared" si="43"/>
        <v/>
      </c>
      <c r="K572" s="7">
        <v>0</v>
      </c>
      <c r="L572" s="7" t="str">
        <f t="shared" si="44"/>
        <v/>
      </c>
      <c r="M572" s="7" t="str">
        <f t="shared" si="45"/>
        <v/>
      </c>
      <c r="N572" s="7">
        <v>0</v>
      </c>
      <c r="O572" s="7"/>
      <c r="P572" s="7"/>
      <c r="Q572" s="7"/>
      <c r="AC572"/>
      <c r="AD572" s="14"/>
    </row>
    <row r="573" spans="1:30" x14ac:dyDescent="0.25">
      <c r="A573" t="b">
        <f t="shared" si="46"/>
        <v>0</v>
      </c>
      <c r="B573">
        <v>2006</v>
      </c>
      <c r="C573">
        <v>145</v>
      </c>
      <c r="D573">
        <v>0</v>
      </c>
      <c r="E573">
        <v>400</v>
      </c>
      <c r="F573" s="7">
        <v>-1.7350000000000001</v>
      </c>
      <c r="G573" s="7">
        <v>1.369</v>
      </c>
      <c r="H573" s="7">
        <v>0</v>
      </c>
      <c r="I573" s="7" t="str">
        <f t="shared" si="42"/>
        <v/>
      </c>
      <c r="J573" s="7" t="str">
        <f t="shared" si="43"/>
        <v/>
      </c>
      <c r="K573" s="7">
        <v>0</v>
      </c>
      <c r="L573" s="7" t="str">
        <f t="shared" si="44"/>
        <v/>
      </c>
      <c r="M573" s="7" t="str">
        <f t="shared" si="45"/>
        <v/>
      </c>
      <c r="N573" s="7">
        <v>0</v>
      </c>
      <c r="O573" s="7"/>
      <c r="P573" s="7"/>
      <c r="Q573" s="7"/>
      <c r="AC573"/>
      <c r="AD573" s="14"/>
    </row>
    <row r="574" spans="1:30" x14ac:dyDescent="0.25">
      <c r="A574" t="b">
        <f t="shared" si="46"/>
        <v>0</v>
      </c>
      <c r="B574">
        <v>2006</v>
      </c>
      <c r="C574">
        <v>145</v>
      </c>
      <c r="D574">
        <v>0</v>
      </c>
      <c r="E574">
        <v>500</v>
      </c>
      <c r="F574" s="7">
        <v>12.98</v>
      </c>
      <c r="G574" s="7">
        <v>1.2569999999999999</v>
      </c>
      <c r="H574" s="7">
        <v>0</v>
      </c>
      <c r="I574" s="7" t="str">
        <f t="shared" si="42"/>
        <v/>
      </c>
      <c r="J574" s="7" t="str">
        <f t="shared" si="43"/>
        <v/>
      </c>
      <c r="K574" s="7">
        <v>0</v>
      </c>
      <c r="L574" s="7" t="str">
        <f t="shared" si="44"/>
        <v/>
      </c>
      <c r="M574" s="7" t="str">
        <f t="shared" si="45"/>
        <v/>
      </c>
      <c r="N574" s="7">
        <v>0</v>
      </c>
      <c r="O574" s="7"/>
      <c r="P574" s="7"/>
      <c r="Q574" s="7"/>
      <c r="AC574"/>
      <c r="AD574" s="14"/>
    </row>
    <row r="575" spans="1:30" x14ac:dyDescent="0.25">
      <c r="A575" t="b">
        <f t="shared" si="46"/>
        <v>0</v>
      </c>
      <c r="B575">
        <v>2006</v>
      </c>
      <c r="C575">
        <v>145</v>
      </c>
      <c r="D575">
        <v>0</v>
      </c>
      <c r="E575">
        <v>600</v>
      </c>
      <c r="F575" s="7">
        <v>98.6</v>
      </c>
      <c r="G575" s="7">
        <v>4.665</v>
      </c>
      <c r="H575" s="7">
        <v>0</v>
      </c>
      <c r="I575" s="7" t="str">
        <f t="shared" si="42"/>
        <v/>
      </c>
      <c r="J575" s="7" t="str">
        <f t="shared" si="43"/>
        <v/>
      </c>
      <c r="K575" s="7">
        <v>0</v>
      </c>
      <c r="L575" s="7" t="str">
        <f t="shared" si="44"/>
        <v/>
      </c>
      <c r="M575" s="7" t="str">
        <f t="shared" si="45"/>
        <v/>
      </c>
      <c r="N575" s="7">
        <v>0</v>
      </c>
      <c r="O575" s="7"/>
      <c r="P575" s="7"/>
      <c r="Q575" s="7"/>
      <c r="AC575"/>
      <c r="AD575" s="14"/>
    </row>
    <row r="576" spans="1:30" x14ac:dyDescent="0.25">
      <c r="A576" t="b">
        <f t="shared" si="46"/>
        <v>0</v>
      </c>
      <c r="B576">
        <v>2006</v>
      </c>
      <c r="C576">
        <v>145</v>
      </c>
      <c r="D576">
        <v>0</v>
      </c>
      <c r="E576">
        <v>700</v>
      </c>
      <c r="F576" s="7">
        <v>250.7</v>
      </c>
      <c r="G576" s="7">
        <v>7.32</v>
      </c>
      <c r="H576" s="7">
        <v>0</v>
      </c>
      <c r="I576" s="7" t="str">
        <f t="shared" si="42"/>
        <v/>
      </c>
      <c r="J576" s="7" t="str">
        <f t="shared" si="43"/>
        <v/>
      </c>
      <c r="K576" s="7">
        <v>0</v>
      </c>
      <c r="L576" s="7" t="str">
        <f t="shared" si="44"/>
        <v/>
      </c>
      <c r="M576" s="7" t="str">
        <f t="shared" si="45"/>
        <v/>
      </c>
      <c r="N576" s="7">
        <v>0</v>
      </c>
      <c r="O576" s="7"/>
      <c r="P576" s="7"/>
      <c r="Q576" s="7"/>
      <c r="AC576"/>
      <c r="AD576" s="14"/>
    </row>
    <row r="577" spans="1:30" x14ac:dyDescent="0.25">
      <c r="A577" t="b">
        <f t="shared" si="46"/>
        <v>0</v>
      </c>
      <c r="B577">
        <v>2006</v>
      </c>
      <c r="C577">
        <v>145</v>
      </c>
      <c r="D577">
        <v>0</v>
      </c>
      <c r="E577">
        <v>800</v>
      </c>
      <c r="F577" s="7">
        <v>390.7</v>
      </c>
      <c r="G577" s="7">
        <v>9.3800000000000008</v>
      </c>
      <c r="H577" s="7">
        <v>0</v>
      </c>
      <c r="I577" s="7" t="str">
        <f t="shared" si="42"/>
        <v/>
      </c>
      <c r="J577" s="7" t="str">
        <f t="shared" si="43"/>
        <v/>
      </c>
      <c r="K577" s="7">
        <v>0</v>
      </c>
      <c r="L577" s="7" t="str">
        <f t="shared" si="44"/>
        <v/>
      </c>
      <c r="M577" s="7" t="str">
        <f t="shared" si="45"/>
        <v/>
      </c>
      <c r="N577" s="7">
        <v>0</v>
      </c>
      <c r="O577" s="7"/>
      <c r="P577" s="7"/>
      <c r="Q577" s="7"/>
      <c r="AC577"/>
      <c r="AD577" s="14"/>
    </row>
    <row r="578" spans="1:30" x14ac:dyDescent="0.25">
      <c r="A578" t="b">
        <f t="shared" si="46"/>
        <v>0</v>
      </c>
      <c r="B578">
        <v>2006</v>
      </c>
      <c r="C578">
        <v>145</v>
      </c>
      <c r="D578">
        <v>0</v>
      </c>
      <c r="E578">
        <v>900</v>
      </c>
      <c r="F578" s="7">
        <v>541.9</v>
      </c>
      <c r="G578" s="7">
        <v>10.66</v>
      </c>
      <c r="H578" s="7">
        <v>0</v>
      </c>
      <c r="I578" s="7" t="str">
        <f t="shared" ref="I578:I641" si="47">IF(AND(B578=B577,C578=C577),"",SUMIFS($H$2:$H$1529,$B$2:$B$1529,B578,$C$2:$C$1529,C578))</f>
        <v/>
      </c>
      <c r="J578" s="7" t="str">
        <f t="shared" ref="J578:J641" si="48">IF(AND(B578=B577,C578=C577),"",AVERAGEIFS($F$2:$F$1529,$B$2:$B$1529,B578,$C$2:$C$1529,C578))</f>
        <v/>
      </c>
      <c r="K578" s="7">
        <v>0</v>
      </c>
      <c r="L578" s="7" t="str">
        <f t="shared" ref="L578:L641" si="49">IF(AND(B578=B577,C578=C577),"",_xlfn.MAXIFS($G$2:$G$1529,$B$2:$B$1529,B578,$C$2:$C$1529,C578))</f>
        <v/>
      </c>
      <c r="M578" s="7" t="str">
        <f t="shared" ref="M578:M641" si="50">IF(AND(B578=B577,C578=C577),"",_xlfn.MINIFS($G$2:$G$1529,$B$2:$B$1529,B578,$C$2:$C$1529,C578))</f>
        <v/>
      </c>
      <c r="N578" s="7">
        <v>0</v>
      </c>
      <c r="O578" s="7"/>
      <c r="P578" s="7"/>
      <c r="Q578" s="7"/>
      <c r="AC578"/>
      <c r="AD578" s="14"/>
    </row>
    <row r="579" spans="1:30" x14ac:dyDescent="0.25">
      <c r="A579" t="b">
        <f t="shared" ref="A579:A642" si="51">NOT(I579="")</f>
        <v>0</v>
      </c>
      <c r="B579">
        <v>2006</v>
      </c>
      <c r="C579">
        <v>145</v>
      </c>
      <c r="D579">
        <v>0</v>
      </c>
      <c r="E579">
        <v>1000</v>
      </c>
      <c r="F579" s="7">
        <v>699.8</v>
      </c>
      <c r="G579" s="7">
        <v>12.36</v>
      </c>
      <c r="H579" s="7">
        <v>0</v>
      </c>
      <c r="I579" s="7" t="str">
        <f t="shared" si="47"/>
        <v/>
      </c>
      <c r="J579" s="7" t="str">
        <f t="shared" si="48"/>
        <v/>
      </c>
      <c r="K579" s="7">
        <v>0</v>
      </c>
      <c r="L579" s="7" t="str">
        <f t="shared" si="49"/>
        <v/>
      </c>
      <c r="M579" s="7" t="str">
        <f t="shared" si="50"/>
        <v/>
      </c>
      <c r="N579" s="7">
        <v>0</v>
      </c>
      <c r="O579" s="7"/>
      <c r="P579" s="7"/>
      <c r="Q579" s="7"/>
      <c r="AC579"/>
      <c r="AD579" s="14"/>
    </row>
    <row r="580" spans="1:30" x14ac:dyDescent="0.25">
      <c r="A580" t="b">
        <f t="shared" si="51"/>
        <v>0</v>
      </c>
      <c r="B580">
        <v>2006</v>
      </c>
      <c r="C580">
        <v>145</v>
      </c>
      <c r="D580">
        <v>0</v>
      </c>
      <c r="E580">
        <v>1100</v>
      </c>
      <c r="F580" s="7">
        <v>600.5</v>
      </c>
      <c r="G580" s="7">
        <v>12.52</v>
      </c>
      <c r="H580" s="7">
        <v>0</v>
      </c>
      <c r="I580" s="7" t="str">
        <f t="shared" si="47"/>
        <v/>
      </c>
      <c r="J580" s="7" t="str">
        <f t="shared" si="48"/>
        <v/>
      </c>
      <c r="K580" s="7">
        <v>0</v>
      </c>
      <c r="L580" s="7" t="str">
        <f t="shared" si="49"/>
        <v/>
      </c>
      <c r="M580" s="7" t="str">
        <f t="shared" si="50"/>
        <v/>
      </c>
      <c r="N580" s="7">
        <v>0</v>
      </c>
      <c r="O580" s="7"/>
      <c r="P580" s="7"/>
      <c r="Q580" s="7"/>
      <c r="AC580"/>
      <c r="AD580" s="14"/>
    </row>
    <row r="581" spans="1:30" x14ac:dyDescent="0.25">
      <c r="A581" t="b">
        <f t="shared" si="51"/>
        <v>0</v>
      </c>
      <c r="B581">
        <v>2006</v>
      </c>
      <c r="C581">
        <v>145</v>
      </c>
      <c r="D581">
        <v>0</v>
      </c>
      <c r="E581">
        <v>1200</v>
      </c>
      <c r="F581" s="7">
        <v>604.29999999999995</v>
      </c>
      <c r="G581" s="7">
        <v>12.86</v>
      </c>
      <c r="H581" s="7">
        <v>0</v>
      </c>
      <c r="I581" s="7" t="str">
        <f t="shared" si="47"/>
        <v/>
      </c>
      <c r="J581" s="7" t="str">
        <f t="shared" si="48"/>
        <v/>
      </c>
      <c r="K581" s="7">
        <v>0</v>
      </c>
      <c r="L581" s="7" t="str">
        <f t="shared" si="49"/>
        <v/>
      </c>
      <c r="M581" s="7" t="str">
        <f t="shared" si="50"/>
        <v/>
      </c>
      <c r="N581" s="7">
        <v>0</v>
      </c>
      <c r="O581" s="7"/>
      <c r="P581" s="7"/>
      <c r="Q581" s="7"/>
      <c r="AC581"/>
      <c r="AD581" s="14"/>
    </row>
    <row r="582" spans="1:30" x14ac:dyDescent="0.25">
      <c r="A582" t="b">
        <f t="shared" si="51"/>
        <v>0</v>
      </c>
      <c r="B582">
        <v>2006</v>
      </c>
      <c r="C582">
        <v>145</v>
      </c>
      <c r="D582">
        <v>0</v>
      </c>
      <c r="E582">
        <v>1300</v>
      </c>
      <c r="F582" s="7">
        <v>708</v>
      </c>
      <c r="G582" s="7">
        <v>13.56</v>
      </c>
      <c r="H582" s="7">
        <v>0</v>
      </c>
      <c r="I582" s="7" t="str">
        <f t="shared" si="47"/>
        <v/>
      </c>
      <c r="J582" s="7" t="str">
        <f t="shared" si="48"/>
        <v/>
      </c>
      <c r="K582" s="7">
        <v>0</v>
      </c>
      <c r="L582" s="7" t="str">
        <f t="shared" si="49"/>
        <v/>
      </c>
      <c r="M582" s="7" t="str">
        <f t="shared" si="50"/>
        <v/>
      </c>
      <c r="N582" s="7">
        <v>0</v>
      </c>
      <c r="O582" s="7"/>
      <c r="P582" s="7"/>
      <c r="Q582" s="7"/>
      <c r="AC582"/>
      <c r="AD582" s="14"/>
    </row>
    <row r="583" spans="1:30" x14ac:dyDescent="0.25">
      <c r="A583" t="b">
        <f t="shared" si="51"/>
        <v>0</v>
      </c>
      <c r="B583">
        <v>2006</v>
      </c>
      <c r="C583">
        <v>145</v>
      </c>
      <c r="D583">
        <v>0</v>
      </c>
      <c r="E583">
        <v>1400</v>
      </c>
      <c r="F583" s="7">
        <v>686.7</v>
      </c>
      <c r="G583" s="7">
        <v>14.39</v>
      </c>
      <c r="H583" s="7">
        <v>0</v>
      </c>
      <c r="I583" s="7" t="str">
        <f t="shared" si="47"/>
        <v/>
      </c>
      <c r="J583" s="7" t="str">
        <f t="shared" si="48"/>
        <v/>
      </c>
      <c r="K583" s="7">
        <v>0</v>
      </c>
      <c r="L583" s="7" t="str">
        <f t="shared" si="49"/>
        <v/>
      </c>
      <c r="M583" s="7" t="str">
        <f t="shared" si="50"/>
        <v/>
      </c>
      <c r="N583" s="7">
        <v>0</v>
      </c>
      <c r="O583" s="7"/>
      <c r="P583" s="7"/>
      <c r="Q583" s="7"/>
      <c r="AC583"/>
      <c r="AD583" s="14"/>
    </row>
    <row r="584" spans="1:30" x14ac:dyDescent="0.25">
      <c r="A584" t="b">
        <f t="shared" si="51"/>
        <v>0</v>
      </c>
      <c r="B584">
        <v>2006</v>
      </c>
      <c r="C584">
        <v>145</v>
      </c>
      <c r="D584">
        <v>0</v>
      </c>
      <c r="E584">
        <v>1500</v>
      </c>
      <c r="F584" s="7">
        <v>673</v>
      </c>
      <c r="G584" s="7">
        <v>15.1</v>
      </c>
      <c r="H584" s="7">
        <v>0</v>
      </c>
      <c r="I584" s="7" t="str">
        <f t="shared" si="47"/>
        <v/>
      </c>
      <c r="J584" s="7" t="str">
        <f t="shared" si="48"/>
        <v/>
      </c>
      <c r="K584" s="7">
        <v>0</v>
      </c>
      <c r="L584" s="7" t="str">
        <f t="shared" si="49"/>
        <v/>
      </c>
      <c r="M584" s="7" t="str">
        <f t="shared" si="50"/>
        <v/>
      </c>
      <c r="N584" s="7">
        <v>0</v>
      </c>
      <c r="O584" s="7"/>
      <c r="P584" s="7"/>
      <c r="Q584" s="7"/>
      <c r="AC584"/>
      <c r="AD584" s="14"/>
    </row>
    <row r="585" spans="1:30" x14ac:dyDescent="0.25">
      <c r="A585" t="b">
        <f t="shared" si="51"/>
        <v>0</v>
      </c>
      <c r="B585">
        <v>2006</v>
      </c>
      <c r="C585">
        <v>145</v>
      </c>
      <c r="D585">
        <v>0</v>
      </c>
      <c r="E585">
        <v>1600</v>
      </c>
      <c r="F585" s="7">
        <v>488</v>
      </c>
      <c r="G585" s="7">
        <v>14.85</v>
      </c>
      <c r="H585" s="7">
        <v>0</v>
      </c>
      <c r="I585" s="7" t="str">
        <f t="shared" si="47"/>
        <v/>
      </c>
      <c r="J585" s="7" t="str">
        <f t="shared" si="48"/>
        <v/>
      </c>
      <c r="K585" s="7">
        <v>0</v>
      </c>
      <c r="L585" s="7" t="str">
        <f t="shared" si="49"/>
        <v/>
      </c>
      <c r="M585" s="7" t="str">
        <f t="shared" si="50"/>
        <v/>
      </c>
      <c r="N585" s="7">
        <v>0</v>
      </c>
      <c r="O585" s="7"/>
      <c r="P585" s="7"/>
      <c r="Q585" s="7"/>
      <c r="AC585"/>
      <c r="AD585" s="14"/>
    </row>
    <row r="586" spans="1:30" x14ac:dyDescent="0.25">
      <c r="A586" t="b">
        <f t="shared" si="51"/>
        <v>0</v>
      </c>
      <c r="B586">
        <v>2006</v>
      </c>
      <c r="C586">
        <v>145</v>
      </c>
      <c r="D586">
        <v>0</v>
      </c>
      <c r="E586">
        <v>1700</v>
      </c>
      <c r="F586" s="7">
        <v>345.4</v>
      </c>
      <c r="G586" s="7">
        <v>14.51</v>
      </c>
      <c r="H586" s="7">
        <v>0</v>
      </c>
      <c r="I586" s="7" t="str">
        <f t="shared" si="47"/>
        <v/>
      </c>
      <c r="J586" s="7" t="str">
        <f t="shared" si="48"/>
        <v/>
      </c>
      <c r="K586" s="7">
        <v>0</v>
      </c>
      <c r="L586" s="7" t="str">
        <f t="shared" si="49"/>
        <v/>
      </c>
      <c r="M586" s="7" t="str">
        <f t="shared" si="50"/>
        <v/>
      </c>
      <c r="N586" s="7">
        <v>0</v>
      </c>
      <c r="O586" s="7"/>
      <c r="P586" s="7"/>
      <c r="Q586" s="7"/>
      <c r="AC586"/>
      <c r="AD586" s="14"/>
    </row>
    <row r="587" spans="1:30" x14ac:dyDescent="0.25">
      <c r="A587" t="b">
        <f t="shared" si="51"/>
        <v>0</v>
      </c>
      <c r="B587">
        <v>2006</v>
      </c>
      <c r="C587">
        <v>145</v>
      </c>
      <c r="D587">
        <v>0</v>
      </c>
      <c r="E587">
        <v>1800</v>
      </c>
      <c r="F587" s="7">
        <v>275.3</v>
      </c>
      <c r="G587" s="7">
        <v>14.39</v>
      </c>
      <c r="H587" s="7">
        <v>0</v>
      </c>
      <c r="I587" s="7" t="str">
        <f t="shared" si="47"/>
        <v/>
      </c>
      <c r="J587" s="7" t="str">
        <f t="shared" si="48"/>
        <v/>
      </c>
      <c r="K587" s="7">
        <v>0</v>
      </c>
      <c r="L587" s="7" t="str">
        <f t="shared" si="49"/>
        <v/>
      </c>
      <c r="M587" s="7" t="str">
        <f t="shared" si="50"/>
        <v/>
      </c>
      <c r="N587" s="7">
        <v>0</v>
      </c>
      <c r="O587" s="7"/>
      <c r="P587" s="7"/>
      <c r="Q587" s="7"/>
      <c r="AC587"/>
      <c r="AD587" s="14"/>
    </row>
    <row r="588" spans="1:30" x14ac:dyDescent="0.25">
      <c r="A588" t="b">
        <f t="shared" si="51"/>
        <v>0</v>
      </c>
      <c r="B588">
        <v>2006</v>
      </c>
      <c r="C588">
        <v>145</v>
      </c>
      <c r="D588">
        <v>0</v>
      </c>
      <c r="E588">
        <v>1900</v>
      </c>
      <c r="F588" s="7">
        <v>117.7</v>
      </c>
      <c r="G588" s="7">
        <v>12.47</v>
      </c>
      <c r="H588" s="7">
        <v>0</v>
      </c>
      <c r="I588" s="7" t="str">
        <f t="shared" si="47"/>
        <v/>
      </c>
      <c r="J588" s="7" t="str">
        <f t="shared" si="48"/>
        <v/>
      </c>
      <c r="K588" s="7">
        <v>0</v>
      </c>
      <c r="L588" s="7" t="str">
        <f t="shared" si="49"/>
        <v/>
      </c>
      <c r="M588" s="7" t="str">
        <f t="shared" si="50"/>
        <v/>
      </c>
      <c r="N588" s="7">
        <v>0</v>
      </c>
      <c r="O588" s="7"/>
      <c r="P588" s="7"/>
      <c r="Q588" s="7"/>
      <c r="AC588"/>
      <c r="AD588" s="14"/>
    </row>
    <row r="589" spans="1:30" x14ac:dyDescent="0.25">
      <c r="A589" t="b">
        <f t="shared" si="51"/>
        <v>0</v>
      </c>
      <c r="B589">
        <v>2006</v>
      </c>
      <c r="C589">
        <v>145</v>
      </c>
      <c r="D589">
        <v>0</v>
      </c>
      <c r="E589">
        <v>2000</v>
      </c>
      <c r="F589" s="7">
        <v>47.85</v>
      </c>
      <c r="G589" s="7">
        <v>10.89</v>
      </c>
      <c r="H589" s="7">
        <v>0</v>
      </c>
      <c r="I589" s="7" t="str">
        <f t="shared" si="47"/>
        <v/>
      </c>
      <c r="J589" s="7" t="str">
        <f t="shared" si="48"/>
        <v/>
      </c>
      <c r="K589" s="7">
        <v>0</v>
      </c>
      <c r="L589" s="7" t="str">
        <f t="shared" si="49"/>
        <v/>
      </c>
      <c r="M589" s="7" t="str">
        <f t="shared" si="50"/>
        <v/>
      </c>
      <c r="N589" s="7">
        <v>0</v>
      </c>
      <c r="O589" s="7"/>
      <c r="P589" s="7"/>
      <c r="Q589" s="7"/>
      <c r="AC589"/>
      <c r="AD589" s="14"/>
    </row>
    <row r="590" spans="1:30" x14ac:dyDescent="0.25">
      <c r="A590" t="b">
        <f t="shared" si="51"/>
        <v>0</v>
      </c>
      <c r="B590">
        <v>2006</v>
      </c>
      <c r="C590">
        <v>145</v>
      </c>
      <c r="D590">
        <v>0</v>
      </c>
      <c r="E590">
        <v>2100</v>
      </c>
      <c r="F590" s="7">
        <v>3.6040000000000001</v>
      </c>
      <c r="G590" s="7">
        <v>9.92</v>
      </c>
      <c r="H590" s="7">
        <v>0</v>
      </c>
      <c r="I590" s="7" t="str">
        <f t="shared" si="47"/>
        <v/>
      </c>
      <c r="J590" s="7" t="str">
        <f t="shared" si="48"/>
        <v/>
      </c>
      <c r="K590" s="7">
        <v>0</v>
      </c>
      <c r="L590" s="7" t="str">
        <f t="shared" si="49"/>
        <v/>
      </c>
      <c r="M590" s="7" t="str">
        <f t="shared" si="50"/>
        <v/>
      </c>
      <c r="N590" s="7">
        <v>0</v>
      </c>
      <c r="O590" s="7"/>
      <c r="P590" s="7"/>
      <c r="Q590" s="7"/>
      <c r="AC590"/>
      <c r="AD590" s="14"/>
    </row>
    <row r="591" spans="1:30" x14ac:dyDescent="0.25">
      <c r="A591" t="b">
        <f t="shared" si="51"/>
        <v>0</v>
      </c>
      <c r="B591">
        <v>2006</v>
      </c>
      <c r="C591">
        <v>145</v>
      </c>
      <c r="D591">
        <v>0</v>
      </c>
      <c r="E591">
        <v>2200</v>
      </c>
      <c r="F591" s="7">
        <v>-1.1659999999999999</v>
      </c>
      <c r="G591" s="7">
        <v>9.3800000000000008</v>
      </c>
      <c r="H591" s="7">
        <v>0</v>
      </c>
      <c r="I591" s="7" t="str">
        <f t="shared" si="47"/>
        <v/>
      </c>
      <c r="J591" s="7" t="str">
        <f t="shared" si="48"/>
        <v/>
      </c>
      <c r="K591" s="7">
        <v>0</v>
      </c>
      <c r="L591" s="7" t="str">
        <f t="shared" si="49"/>
        <v/>
      </c>
      <c r="M591" s="7" t="str">
        <f t="shared" si="50"/>
        <v/>
      </c>
      <c r="N591" s="7">
        <v>0</v>
      </c>
      <c r="O591" s="7"/>
      <c r="P591" s="7"/>
      <c r="Q591" s="7"/>
      <c r="AC591"/>
      <c r="AD591" s="14"/>
    </row>
    <row r="592" spans="1:30" x14ac:dyDescent="0.25">
      <c r="A592" t="b">
        <f t="shared" si="51"/>
        <v>0</v>
      </c>
      <c r="B592">
        <v>2006</v>
      </c>
      <c r="C592">
        <v>145</v>
      </c>
      <c r="D592">
        <v>0</v>
      </c>
      <c r="E592">
        <v>2300</v>
      </c>
      <c r="F592" s="7">
        <v>-1.1479999999999999</v>
      </c>
      <c r="G592" s="7">
        <v>8.9499999999999993</v>
      </c>
      <c r="H592" s="7">
        <v>0</v>
      </c>
      <c r="I592" s="7" t="str">
        <f t="shared" si="47"/>
        <v/>
      </c>
      <c r="J592" s="7" t="str">
        <f t="shared" si="48"/>
        <v/>
      </c>
      <c r="K592" s="7">
        <v>0</v>
      </c>
      <c r="L592" s="7" t="str">
        <f t="shared" si="49"/>
        <v/>
      </c>
      <c r="M592" s="7" t="str">
        <f t="shared" si="50"/>
        <v/>
      </c>
      <c r="N592" s="7">
        <v>0</v>
      </c>
      <c r="O592" s="7"/>
      <c r="P592" s="7"/>
      <c r="Q592" s="7"/>
      <c r="AC592"/>
      <c r="AD592" s="14"/>
    </row>
    <row r="593" spans="1:30" x14ac:dyDescent="0.25">
      <c r="A593" t="b">
        <f t="shared" si="51"/>
        <v>0</v>
      </c>
      <c r="B593">
        <v>2006</v>
      </c>
      <c r="C593">
        <v>145</v>
      </c>
      <c r="D593">
        <v>0</v>
      </c>
      <c r="E593">
        <v>2400</v>
      </c>
      <c r="F593" s="7">
        <v>-1.335</v>
      </c>
      <c r="G593" s="7">
        <v>9.18</v>
      </c>
      <c r="H593" s="7">
        <v>0.2</v>
      </c>
      <c r="I593" s="7" t="str">
        <f t="shared" si="47"/>
        <v/>
      </c>
      <c r="J593" s="7" t="str">
        <f t="shared" si="48"/>
        <v/>
      </c>
      <c r="K593" s="7">
        <v>0</v>
      </c>
      <c r="L593" s="7" t="str">
        <f t="shared" si="49"/>
        <v/>
      </c>
      <c r="M593" s="7" t="str">
        <f t="shared" si="50"/>
        <v/>
      </c>
      <c r="N593" s="7">
        <v>0</v>
      </c>
      <c r="O593" s="7"/>
      <c r="P593" s="7"/>
      <c r="Q593" s="7"/>
      <c r="AC593"/>
      <c r="AD593" s="14"/>
    </row>
    <row r="594" spans="1:30" x14ac:dyDescent="0.25">
      <c r="A594" t="b">
        <f t="shared" si="51"/>
        <v>1</v>
      </c>
      <c r="B594">
        <v>2006</v>
      </c>
      <c r="C594">
        <v>146</v>
      </c>
      <c r="D594">
        <v>0</v>
      </c>
      <c r="E594">
        <v>100</v>
      </c>
      <c r="F594" s="7">
        <v>-1.0289999999999999</v>
      </c>
      <c r="G594" s="7">
        <v>9.77</v>
      </c>
      <c r="H594" s="7">
        <v>0.8</v>
      </c>
      <c r="I594" s="7">
        <f t="shared" si="47"/>
        <v>7.2</v>
      </c>
      <c r="J594" s="7">
        <f t="shared" si="48"/>
        <v>197.87637500000005</v>
      </c>
      <c r="K594" s="7">
        <v>0</v>
      </c>
      <c r="L594" s="7">
        <f t="shared" si="49"/>
        <v>17.72</v>
      </c>
      <c r="M594" s="7">
        <f t="shared" si="50"/>
        <v>9.77</v>
      </c>
      <c r="N594" s="7">
        <v>0</v>
      </c>
      <c r="O594" s="7"/>
      <c r="P594" s="7"/>
      <c r="Q594" s="7"/>
      <c r="AC594"/>
      <c r="AD594" s="14"/>
    </row>
    <row r="595" spans="1:30" x14ac:dyDescent="0.25">
      <c r="A595" t="b">
        <f t="shared" si="51"/>
        <v>0</v>
      </c>
      <c r="B595">
        <v>2006</v>
      </c>
      <c r="C595">
        <v>146</v>
      </c>
      <c r="D595">
        <v>0</v>
      </c>
      <c r="E595">
        <v>200</v>
      </c>
      <c r="F595" s="7">
        <v>-0.57299999999999995</v>
      </c>
      <c r="G595" s="7">
        <v>10</v>
      </c>
      <c r="H595" s="7">
        <v>1.2</v>
      </c>
      <c r="I595" s="7" t="str">
        <f t="shared" si="47"/>
        <v/>
      </c>
      <c r="J595" s="7" t="str">
        <f t="shared" si="48"/>
        <v/>
      </c>
      <c r="K595" s="7">
        <v>0</v>
      </c>
      <c r="L595" s="7" t="str">
        <f t="shared" si="49"/>
        <v/>
      </c>
      <c r="M595" s="7" t="str">
        <f t="shared" si="50"/>
        <v/>
      </c>
      <c r="N595" s="7">
        <v>0</v>
      </c>
      <c r="O595" s="7"/>
      <c r="P595" s="7"/>
      <c r="Q595" s="7"/>
      <c r="AC595"/>
      <c r="AD595" s="14"/>
    </row>
    <row r="596" spans="1:30" x14ac:dyDescent="0.25">
      <c r="A596" t="b">
        <f t="shared" si="51"/>
        <v>0</v>
      </c>
      <c r="B596">
        <v>2006</v>
      </c>
      <c r="C596">
        <v>146</v>
      </c>
      <c r="D596">
        <v>0</v>
      </c>
      <c r="E596">
        <v>300</v>
      </c>
      <c r="F596" s="7">
        <v>-0.57299999999999995</v>
      </c>
      <c r="G596" s="7">
        <v>10.130000000000001</v>
      </c>
      <c r="H596" s="7">
        <v>2</v>
      </c>
      <c r="I596" s="7" t="str">
        <f t="shared" si="47"/>
        <v/>
      </c>
      <c r="J596" s="7" t="str">
        <f t="shared" si="48"/>
        <v/>
      </c>
      <c r="K596" s="7">
        <v>0</v>
      </c>
      <c r="L596" s="7" t="str">
        <f t="shared" si="49"/>
        <v/>
      </c>
      <c r="M596" s="7" t="str">
        <f t="shared" si="50"/>
        <v/>
      </c>
      <c r="N596" s="7">
        <v>0</v>
      </c>
      <c r="O596" s="7"/>
      <c r="P596" s="7"/>
      <c r="Q596" s="7"/>
      <c r="AC596"/>
      <c r="AD596" s="14"/>
    </row>
    <row r="597" spans="1:30" x14ac:dyDescent="0.25">
      <c r="A597" t="b">
        <f t="shared" si="51"/>
        <v>0</v>
      </c>
      <c r="B597">
        <v>2006</v>
      </c>
      <c r="C597">
        <v>146</v>
      </c>
      <c r="D597">
        <v>0</v>
      </c>
      <c r="E597">
        <v>400</v>
      </c>
      <c r="F597" s="7">
        <v>-0.11600000000000001</v>
      </c>
      <c r="G597" s="7">
        <v>10.23</v>
      </c>
      <c r="H597" s="7">
        <v>1</v>
      </c>
      <c r="I597" s="7" t="str">
        <f t="shared" si="47"/>
        <v/>
      </c>
      <c r="J597" s="7" t="str">
        <f t="shared" si="48"/>
        <v/>
      </c>
      <c r="K597" s="7">
        <v>0</v>
      </c>
      <c r="L597" s="7" t="str">
        <f t="shared" si="49"/>
        <v/>
      </c>
      <c r="M597" s="7" t="str">
        <f t="shared" si="50"/>
        <v/>
      </c>
      <c r="N597" s="7">
        <v>0</v>
      </c>
      <c r="O597" s="7"/>
      <c r="P597" s="7"/>
      <c r="Q597" s="7"/>
      <c r="AC597"/>
      <c r="AD597" s="14"/>
    </row>
    <row r="598" spans="1:30" x14ac:dyDescent="0.25">
      <c r="A598" t="b">
        <f t="shared" si="51"/>
        <v>0</v>
      </c>
      <c r="B598">
        <v>2006</v>
      </c>
      <c r="C598">
        <v>146</v>
      </c>
      <c r="D598">
        <v>0</v>
      </c>
      <c r="E598">
        <v>500</v>
      </c>
      <c r="F598" s="7">
        <v>7.51</v>
      </c>
      <c r="G598" s="7">
        <v>10.08</v>
      </c>
      <c r="H598" s="7">
        <v>1</v>
      </c>
      <c r="I598" s="7" t="str">
        <f t="shared" si="47"/>
        <v/>
      </c>
      <c r="J598" s="7" t="str">
        <f t="shared" si="48"/>
        <v/>
      </c>
      <c r="K598" s="7">
        <v>0</v>
      </c>
      <c r="L598" s="7" t="str">
        <f t="shared" si="49"/>
        <v/>
      </c>
      <c r="M598" s="7" t="str">
        <f t="shared" si="50"/>
        <v/>
      </c>
      <c r="N598" s="7">
        <v>0</v>
      </c>
      <c r="O598" s="7"/>
      <c r="P598" s="7"/>
      <c r="Q598" s="7"/>
      <c r="AC598"/>
      <c r="AD598" s="14"/>
    </row>
    <row r="599" spans="1:30" x14ac:dyDescent="0.25">
      <c r="A599" t="b">
        <f t="shared" si="51"/>
        <v>0</v>
      </c>
      <c r="B599">
        <v>2006</v>
      </c>
      <c r="C599">
        <v>146</v>
      </c>
      <c r="D599">
        <v>0</v>
      </c>
      <c r="E599">
        <v>600</v>
      </c>
      <c r="F599" s="7">
        <v>47.63</v>
      </c>
      <c r="G599" s="7">
        <v>10.39</v>
      </c>
      <c r="H599" s="7">
        <v>0.8</v>
      </c>
      <c r="I599" s="7" t="str">
        <f t="shared" si="47"/>
        <v/>
      </c>
      <c r="J599" s="7" t="str">
        <f t="shared" si="48"/>
        <v/>
      </c>
      <c r="K599" s="7">
        <v>0</v>
      </c>
      <c r="L599" s="7" t="str">
        <f t="shared" si="49"/>
        <v/>
      </c>
      <c r="M599" s="7" t="str">
        <f t="shared" si="50"/>
        <v/>
      </c>
      <c r="N599" s="7">
        <v>0</v>
      </c>
      <c r="O599" s="7"/>
      <c r="P599" s="7"/>
      <c r="Q599" s="7"/>
      <c r="AC599"/>
      <c r="AD599" s="14"/>
    </row>
    <row r="600" spans="1:30" x14ac:dyDescent="0.25">
      <c r="A600" t="b">
        <f t="shared" si="51"/>
        <v>0</v>
      </c>
      <c r="B600">
        <v>2006</v>
      </c>
      <c r="C600">
        <v>146</v>
      </c>
      <c r="D600">
        <v>0</v>
      </c>
      <c r="E600">
        <v>700</v>
      </c>
      <c r="F600" s="7">
        <v>51.46</v>
      </c>
      <c r="G600" s="7">
        <v>11.3</v>
      </c>
      <c r="H600" s="7">
        <v>0</v>
      </c>
      <c r="I600" s="7" t="str">
        <f t="shared" si="47"/>
        <v/>
      </c>
      <c r="J600" s="7" t="str">
        <f t="shared" si="48"/>
        <v/>
      </c>
      <c r="K600" s="7">
        <v>0</v>
      </c>
      <c r="L600" s="7" t="str">
        <f t="shared" si="49"/>
        <v/>
      </c>
      <c r="M600" s="7" t="str">
        <f t="shared" si="50"/>
        <v/>
      </c>
      <c r="N600" s="7">
        <v>0</v>
      </c>
      <c r="O600" s="7"/>
      <c r="P600" s="7"/>
      <c r="Q600" s="7"/>
      <c r="AC600"/>
      <c r="AD600" s="14"/>
    </row>
    <row r="601" spans="1:30" x14ac:dyDescent="0.25">
      <c r="A601" t="b">
        <f t="shared" si="51"/>
        <v>0</v>
      </c>
      <c r="B601">
        <v>2006</v>
      </c>
      <c r="C601">
        <v>146</v>
      </c>
      <c r="D601">
        <v>0</v>
      </c>
      <c r="E601">
        <v>800</v>
      </c>
      <c r="F601" s="7">
        <v>116</v>
      </c>
      <c r="G601" s="7">
        <v>12.42</v>
      </c>
      <c r="H601" s="7">
        <v>0</v>
      </c>
      <c r="I601" s="7" t="str">
        <f t="shared" si="47"/>
        <v/>
      </c>
      <c r="J601" s="7" t="str">
        <f t="shared" si="48"/>
        <v/>
      </c>
      <c r="K601" s="7">
        <v>0</v>
      </c>
      <c r="L601" s="7" t="str">
        <f t="shared" si="49"/>
        <v/>
      </c>
      <c r="M601" s="7" t="str">
        <f t="shared" si="50"/>
        <v/>
      </c>
      <c r="N601" s="7">
        <v>0</v>
      </c>
      <c r="O601" s="7"/>
      <c r="P601" s="7"/>
      <c r="Q601" s="7"/>
      <c r="AC601"/>
      <c r="AD601" s="14"/>
    </row>
    <row r="602" spans="1:30" x14ac:dyDescent="0.25">
      <c r="A602" t="b">
        <f t="shared" si="51"/>
        <v>0</v>
      </c>
      <c r="B602">
        <v>2006</v>
      </c>
      <c r="C602">
        <v>146</v>
      </c>
      <c r="D602">
        <v>0</v>
      </c>
      <c r="E602">
        <v>900</v>
      </c>
      <c r="F602" s="7">
        <v>102.3</v>
      </c>
      <c r="G602" s="7">
        <v>13.23</v>
      </c>
      <c r="H602" s="7">
        <v>0</v>
      </c>
      <c r="I602" s="7" t="str">
        <f t="shared" si="47"/>
        <v/>
      </c>
      <c r="J602" s="7" t="str">
        <f t="shared" si="48"/>
        <v/>
      </c>
      <c r="K602" s="7">
        <v>0</v>
      </c>
      <c r="L602" s="7" t="str">
        <f t="shared" si="49"/>
        <v/>
      </c>
      <c r="M602" s="7" t="str">
        <f t="shared" si="50"/>
        <v/>
      </c>
      <c r="N602" s="7">
        <v>0</v>
      </c>
      <c r="O602" s="7"/>
      <c r="P602" s="7"/>
      <c r="Q602" s="7"/>
      <c r="AC602"/>
      <c r="AD602" s="14"/>
    </row>
    <row r="603" spans="1:30" x14ac:dyDescent="0.25">
      <c r="A603" t="b">
        <f t="shared" si="51"/>
        <v>0</v>
      </c>
      <c r="B603">
        <v>2006</v>
      </c>
      <c r="C603">
        <v>146</v>
      </c>
      <c r="D603">
        <v>0</v>
      </c>
      <c r="E603">
        <v>1000</v>
      </c>
      <c r="F603" s="7">
        <v>205.4</v>
      </c>
      <c r="G603" s="7">
        <v>14</v>
      </c>
      <c r="H603" s="7">
        <v>0</v>
      </c>
      <c r="I603" s="7" t="str">
        <f t="shared" si="47"/>
        <v/>
      </c>
      <c r="J603" s="7" t="str">
        <f t="shared" si="48"/>
        <v/>
      </c>
      <c r="K603" s="7">
        <v>0</v>
      </c>
      <c r="L603" s="7" t="str">
        <f t="shared" si="49"/>
        <v/>
      </c>
      <c r="M603" s="7" t="str">
        <f t="shared" si="50"/>
        <v/>
      </c>
      <c r="N603" s="7">
        <v>0</v>
      </c>
      <c r="O603" s="7"/>
      <c r="P603" s="7"/>
      <c r="Q603" s="7"/>
      <c r="AC603"/>
      <c r="AD603" s="14"/>
    </row>
    <row r="604" spans="1:30" x14ac:dyDescent="0.25">
      <c r="A604" t="b">
        <f t="shared" si="51"/>
        <v>0</v>
      </c>
      <c r="B604">
        <v>2006</v>
      </c>
      <c r="C604">
        <v>146</v>
      </c>
      <c r="D604">
        <v>0</v>
      </c>
      <c r="E604">
        <v>1100</v>
      </c>
      <c r="F604" s="7">
        <v>342.3</v>
      </c>
      <c r="G604" s="7">
        <v>15.2</v>
      </c>
      <c r="H604" s="7">
        <v>0</v>
      </c>
      <c r="I604" s="7" t="str">
        <f t="shared" si="47"/>
        <v/>
      </c>
      <c r="J604" s="7" t="str">
        <f t="shared" si="48"/>
        <v/>
      </c>
      <c r="K604" s="7">
        <v>0</v>
      </c>
      <c r="L604" s="7" t="str">
        <f t="shared" si="49"/>
        <v/>
      </c>
      <c r="M604" s="7" t="str">
        <f t="shared" si="50"/>
        <v/>
      </c>
      <c r="N604" s="7">
        <v>0</v>
      </c>
      <c r="O604" s="7"/>
      <c r="P604" s="7"/>
      <c r="Q604" s="7"/>
      <c r="AC604"/>
      <c r="AD604" s="14"/>
    </row>
    <row r="605" spans="1:30" x14ac:dyDescent="0.25">
      <c r="A605" t="b">
        <f t="shared" si="51"/>
        <v>0</v>
      </c>
      <c r="B605">
        <v>2006</v>
      </c>
      <c r="C605">
        <v>146</v>
      </c>
      <c r="D605">
        <v>0</v>
      </c>
      <c r="E605">
        <v>1200</v>
      </c>
      <c r="F605" s="7">
        <v>226.5</v>
      </c>
      <c r="G605" s="7">
        <v>15.09</v>
      </c>
      <c r="H605" s="7">
        <v>0</v>
      </c>
      <c r="I605" s="7" t="str">
        <f t="shared" si="47"/>
        <v/>
      </c>
      <c r="J605" s="7" t="str">
        <f t="shared" si="48"/>
        <v/>
      </c>
      <c r="K605" s="7">
        <v>0</v>
      </c>
      <c r="L605" s="7" t="str">
        <f t="shared" si="49"/>
        <v/>
      </c>
      <c r="M605" s="7" t="str">
        <f t="shared" si="50"/>
        <v/>
      </c>
      <c r="N605" s="7">
        <v>0</v>
      </c>
      <c r="O605" s="7"/>
      <c r="P605" s="7"/>
      <c r="Q605" s="7"/>
      <c r="AC605"/>
      <c r="AD605" s="14"/>
    </row>
    <row r="606" spans="1:30" x14ac:dyDescent="0.25">
      <c r="A606" t="b">
        <f t="shared" si="51"/>
        <v>0</v>
      </c>
      <c r="B606">
        <v>2006</v>
      </c>
      <c r="C606">
        <v>146</v>
      </c>
      <c r="D606">
        <v>0</v>
      </c>
      <c r="E606">
        <v>1300</v>
      </c>
      <c r="F606" s="7">
        <v>501.1</v>
      </c>
      <c r="G606" s="7">
        <v>15.57</v>
      </c>
      <c r="H606" s="7">
        <v>0.4</v>
      </c>
      <c r="I606" s="7" t="str">
        <f t="shared" si="47"/>
        <v/>
      </c>
      <c r="J606" s="7" t="str">
        <f t="shared" si="48"/>
        <v/>
      </c>
      <c r="K606" s="7">
        <v>0</v>
      </c>
      <c r="L606" s="7" t="str">
        <f t="shared" si="49"/>
        <v/>
      </c>
      <c r="M606" s="7" t="str">
        <f t="shared" si="50"/>
        <v/>
      </c>
      <c r="N606" s="7">
        <v>0</v>
      </c>
      <c r="O606" s="7"/>
      <c r="P606" s="7"/>
      <c r="Q606" s="7"/>
      <c r="AC606"/>
      <c r="AD606" s="14"/>
    </row>
    <row r="607" spans="1:30" x14ac:dyDescent="0.25">
      <c r="A607" t="b">
        <f t="shared" si="51"/>
        <v>0</v>
      </c>
      <c r="B607">
        <v>2006</v>
      </c>
      <c r="C607">
        <v>146</v>
      </c>
      <c r="D607">
        <v>0</v>
      </c>
      <c r="E607">
        <v>1400</v>
      </c>
      <c r="F607" s="7">
        <v>703</v>
      </c>
      <c r="G607" s="7">
        <v>17.25</v>
      </c>
      <c r="H607" s="7">
        <v>0</v>
      </c>
      <c r="I607" s="7" t="str">
        <f t="shared" si="47"/>
        <v/>
      </c>
      <c r="J607" s="7" t="str">
        <f t="shared" si="48"/>
        <v/>
      </c>
      <c r="K607" s="7">
        <v>0</v>
      </c>
      <c r="L607" s="7" t="str">
        <f t="shared" si="49"/>
        <v/>
      </c>
      <c r="M607" s="7" t="str">
        <f t="shared" si="50"/>
        <v/>
      </c>
      <c r="N607" s="7">
        <v>0</v>
      </c>
      <c r="O607" s="7"/>
      <c r="P607" s="7"/>
      <c r="Q607" s="7"/>
      <c r="AC607"/>
      <c r="AD607" s="14"/>
    </row>
    <row r="608" spans="1:30" x14ac:dyDescent="0.25">
      <c r="A608" t="b">
        <f t="shared" si="51"/>
        <v>0</v>
      </c>
      <c r="B608">
        <v>2006</v>
      </c>
      <c r="C608">
        <v>146</v>
      </c>
      <c r="D608">
        <v>0</v>
      </c>
      <c r="E608">
        <v>1500</v>
      </c>
      <c r="F608" s="7">
        <v>765</v>
      </c>
      <c r="G608" s="7">
        <v>17.72</v>
      </c>
      <c r="H608" s="7">
        <v>0</v>
      </c>
      <c r="I608" s="7" t="str">
        <f t="shared" si="47"/>
        <v/>
      </c>
      <c r="J608" s="7" t="str">
        <f t="shared" si="48"/>
        <v/>
      </c>
      <c r="K608" s="7">
        <v>0</v>
      </c>
      <c r="L608" s="7" t="str">
        <f t="shared" si="49"/>
        <v/>
      </c>
      <c r="M608" s="7" t="str">
        <f t="shared" si="50"/>
        <v/>
      </c>
      <c r="N608" s="7">
        <v>0</v>
      </c>
      <c r="O608" s="7"/>
      <c r="P608" s="7"/>
      <c r="Q608" s="7"/>
      <c r="AC608"/>
      <c r="AD608" s="14"/>
    </row>
    <row r="609" spans="1:30" x14ac:dyDescent="0.25">
      <c r="A609" t="b">
        <f t="shared" si="51"/>
        <v>0</v>
      </c>
      <c r="B609">
        <v>2006</v>
      </c>
      <c r="C609">
        <v>146</v>
      </c>
      <c r="D609">
        <v>0</v>
      </c>
      <c r="E609">
        <v>1600</v>
      </c>
      <c r="F609" s="7">
        <v>509.3</v>
      </c>
      <c r="G609" s="7">
        <v>16.87</v>
      </c>
      <c r="H609" s="7">
        <v>0</v>
      </c>
      <c r="I609" s="7" t="str">
        <f t="shared" si="47"/>
        <v/>
      </c>
      <c r="J609" s="7" t="str">
        <f t="shared" si="48"/>
        <v/>
      </c>
      <c r="K609" s="7">
        <v>0</v>
      </c>
      <c r="L609" s="7" t="str">
        <f t="shared" si="49"/>
        <v/>
      </c>
      <c r="M609" s="7" t="str">
        <f t="shared" si="50"/>
        <v/>
      </c>
      <c r="N609" s="7">
        <v>0</v>
      </c>
      <c r="O609" s="7"/>
      <c r="P609" s="7"/>
      <c r="Q609" s="7"/>
      <c r="AC609"/>
      <c r="AD609" s="14"/>
    </row>
    <row r="610" spans="1:30" x14ac:dyDescent="0.25">
      <c r="A610" t="b">
        <f t="shared" si="51"/>
        <v>0</v>
      </c>
      <c r="B610">
        <v>2006</v>
      </c>
      <c r="C610">
        <v>146</v>
      </c>
      <c r="D610">
        <v>0</v>
      </c>
      <c r="E610">
        <v>1700</v>
      </c>
      <c r="F610" s="7">
        <v>529.70000000000005</v>
      </c>
      <c r="G610" s="7">
        <v>16.73</v>
      </c>
      <c r="H610" s="7">
        <v>0</v>
      </c>
      <c r="I610" s="7" t="str">
        <f t="shared" si="47"/>
        <v/>
      </c>
      <c r="J610" s="7" t="str">
        <f t="shared" si="48"/>
        <v/>
      </c>
      <c r="K610" s="7">
        <v>0</v>
      </c>
      <c r="L610" s="7" t="str">
        <f t="shared" si="49"/>
        <v/>
      </c>
      <c r="M610" s="7" t="str">
        <f t="shared" si="50"/>
        <v/>
      </c>
      <c r="N610" s="7">
        <v>0</v>
      </c>
      <c r="O610" s="7"/>
      <c r="P610" s="7"/>
      <c r="Q610" s="7"/>
      <c r="AC610"/>
      <c r="AD610" s="14"/>
    </row>
    <row r="611" spans="1:30" x14ac:dyDescent="0.25">
      <c r="A611" t="b">
        <f t="shared" si="51"/>
        <v>0</v>
      </c>
      <c r="B611">
        <v>2006</v>
      </c>
      <c r="C611">
        <v>146</v>
      </c>
      <c r="D611">
        <v>0</v>
      </c>
      <c r="E611">
        <v>1800</v>
      </c>
      <c r="F611" s="7">
        <v>365.2</v>
      </c>
      <c r="G611" s="7">
        <v>15.93</v>
      </c>
      <c r="H611" s="7">
        <v>0</v>
      </c>
      <c r="I611" s="7" t="str">
        <f t="shared" si="47"/>
        <v/>
      </c>
      <c r="J611" s="7" t="str">
        <f t="shared" si="48"/>
        <v/>
      </c>
      <c r="K611" s="7">
        <v>0</v>
      </c>
      <c r="L611" s="7" t="str">
        <f t="shared" si="49"/>
        <v/>
      </c>
      <c r="M611" s="7" t="str">
        <f t="shared" si="50"/>
        <v/>
      </c>
      <c r="N611" s="7">
        <v>0</v>
      </c>
      <c r="O611" s="7"/>
      <c r="P611" s="7"/>
      <c r="Q611" s="7"/>
      <c r="AC611"/>
      <c r="AD611" s="14"/>
    </row>
    <row r="612" spans="1:30" x14ac:dyDescent="0.25">
      <c r="A612" t="b">
        <f t="shared" si="51"/>
        <v>0</v>
      </c>
      <c r="B612">
        <v>2006</v>
      </c>
      <c r="C612">
        <v>146</v>
      </c>
      <c r="D612">
        <v>0</v>
      </c>
      <c r="E612">
        <v>1900</v>
      </c>
      <c r="F612" s="7">
        <v>193.8</v>
      </c>
      <c r="G612" s="7">
        <v>14.8</v>
      </c>
      <c r="H612" s="7">
        <v>0</v>
      </c>
      <c r="I612" s="7" t="str">
        <f t="shared" si="47"/>
        <v/>
      </c>
      <c r="J612" s="7" t="str">
        <f t="shared" si="48"/>
        <v/>
      </c>
      <c r="K612" s="7">
        <v>0</v>
      </c>
      <c r="L612" s="7" t="str">
        <f t="shared" si="49"/>
        <v/>
      </c>
      <c r="M612" s="7" t="str">
        <f t="shared" si="50"/>
        <v/>
      </c>
      <c r="N612" s="7">
        <v>0</v>
      </c>
      <c r="O612" s="7"/>
      <c r="P612" s="7"/>
      <c r="Q612" s="7"/>
      <c r="AC612"/>
      <c r="AD612" s="14"/>
    </row>
    <row r="613" spans="1:30" x14ac:dyDescent="0.25">
      <c r="A613" t="b">
        <f t="shared" si="51"/>
        <v>0</v>
      </c>
      <c r="B613">
        <v>2006</v>
      </c>
      <c r="C613">
        <v>146</v>
      </c>
      <c r="D613">
        <v>0</v>
      </c>
      <c r="E613">
        <v>2000</v>
      </c>
      <c r="F613" s="7">
        <v>84.3</v>
      </c>
      <c r="G613" s="7">
        <v>14.08</v>
      </c>
      <c r="H613" s="7">
        <v>0</v>
      </c>
      <c r="I613" s="7" t="str">
        <f t="shared" si="47"/>
        <v/>
      </c>
      <c r="J613" s="7" t="str">
        <f t="shared" si="48"/>
        <v/>
      </c>
      <c r="K613" s="7">
        <v>0</v>
      </c>
      <c r="L613" s="7" t="str">
        <f t="shared" si="49"/>
        <v/>
      </c>
      <c r="M613" s="7" t="str">
        <f t="shared" si="50"/>
        <v/>
      </c>
      <c r="N613" s="7">
        <v>0</v>
      </c>
      <c r="O613" s="7"/>
      <c r="P613" s="7"/>
      <c r="Q613" s="7"/>
      <c r="AC613"/>
      <c r="AD613" s="14"/>
    </row>
    <row r="614" spans="1:30" x14ac:dyDescent="0.25">
      <c r="A614" t="b">
        <f t="shared" si="51"/>
        <v>0</v>
      </c>
      <c r="B614">
        <v>2006</v>
      </c>
      <c r="C614">
        <v>146</v>
      </c>
      <c r="D614">
        <v>0</v>
      </c>
      <c r="E614">
        <v>2100</v>
      </c>
      <c r="F614" s="7">
        <v>5.085</v>
      </c>
      <c r="G614" s="7">
        <v>12.6</v>
      </c>
      <c r="H614" s="7">
        <v>0</v>
      </c>
      <c r="I614" s="7" t="str">
        <f t="shared" si="47"/>
        <v/>
      </c>
      <c r="J614" s="7" t="str">
        <f t="shared" si="48"/>
        <v/>
      </c>
      <c r="K614" s="7">
        <v>0</v>
      </c>
      <c r="L614" s="7" t="str">
        <f t="shared" si="49"/>
        <v/>
      </c>
      <c r="M614" s="7" t="str">
        <f t="shared" si="50"/>
        <v/>
      </c>
      <c r="N614" s="7">
        <v>0</v>
      </c>
      <c r="O614" s="7"/>
      <c r="P614" s="7"/>
      <c r="Q614" s="7"/>
      <c r="AC614"/>
      <c r="AD614" s="14"/>
    </row>
    <row r="615" spans="1:30" x14ac:dyDescent="0.25">
      <c r="A615" t="b">
        <f t="shared" si="51"/>
        <v>0</v>
      </c>
      <c r="B615">
        <v>2006</v>
      </c>
      <c r="C615">
        <v>146</v>
      </c>
      <c r="D615">
        <v>0</v>
      </c>
      <c r="E615">
        <v>2200</v>
      </c>
      <c r="F615" s="7">
        <v>-1.7949999999999999</v>
      </c>
      <c r="G615" s="7">
        <v>11.82</v>
      </c>
      <c r="H615" s="7">
        <v>0</v>
      </c>
      <c r="I615" s="7" t="str">
        <f t="shared" si="47"/>
        <v/>
      </c>
      <c r="J615" s="7" t="str">
        <f t="shared" si="48"/>
        <v/>
      </c>
      <c r="K615" s="7">
        <v>0</v>
      </c>
      <c r="L615" s="7" t="str">
        <f t="shared" si="49"/>
        <v/>
      </c>
      <c r="M615" s="7" t="str">
        <f t="shared" si="50"/>
        <v/>
      </c>
      <c r="N615" s="7">
        <v>0</v>
      </c>
      <c r="O615" s="7"/>
      <c r="P615" s="7"/>
      <c r="Q615" s="7"/>
      <c r="AC615"/>
      <c r="AD615" s="14"/>
    </row>
    <row r="616" spans="1:30" x14ac:dyDescent="0.25">
      <c r="A616" t="b">
        <f t="shared" si="51"/>
        <v>0</v>
      </c>
      <c r="B616">
        <v>2006</v>
      </c>
      <c r="C616">
        <v>146</v>
      </c>
      <c r="D616">
        <v>0</v>
      </c>
      <c r="E616">
        <v>2300</v>
      </c>
      <c r="F616" s="7">
        <v>-1.302</v>
      </c>
      <c r="G616" s="7">
        <v>11.56</v>
      </c>
      <c r="H616" s="7">
        <v>0</v>
      </c>
      <c r="I616" s="7" t="str">
        <f t="shared" si="47"/>
        <v/>
      </c>
      <c r="J616" s="7" t="str">
        <f t="shared" si="48"/>
        <v/>
      </c>
      <c r="K616" s="7">
        <v>0</v>
      </c>
      <c r="L616" s="7" t="str">
        <f t="shared" si="49"/>
        <v/>
      </c>
      <c r="M616" s="7" t="str">
        <f t="shared" si="50"/>
        <v/>
      </c>
      <c r="N616" s="7">
        <v>0</v>
      </c>
      <c r="O616" s="7"/>
      <c r="P616" s="7"/>
      <c r="Q616" s="7"/>
      <c r="AC616"/>
      <c r="AD616" s="14"/>
    </row>
    <row r="617" spans="1:30" x14ac:dyDescent="0.25">
      <c r="A617" t="b">
        <f t="shared" si="51"/>
        <v>0</v>
      </c>
      <c r="B617">
        <v>2006</v>
      </c>
      <c r="C617">
        <v>146</v>
      </c>
      <c r="D617">
        <v>0</v>
      </c>
      <c r="E617">
        <v>2400</v>
      </c>
      <c r="F617" s="7">
        <v>-1.1639999999999999</v>
      </c>
      <c r="G617" s="7">
        <v>11.3</v>
      </c>
      <c r="H617" s="7">
        <v>0</v>
      </c>
      <c r="I617" s="7" t="str">
        <f t="shared" si="47"/>
        <v/>
      </c>
      <c r="J617" s="7" t="str">
        <f t="shared" si="48"/>
        <v/>
      </c>
      <c r="K617" s="7">
        <v>0</v>
      </c>
      <c r="L617" s="7" t="str">
        <f t="shared" si="49"/>
        <v/>
      </c>
      <c r="M617" s="7" t="str">
        <f t="shared" si="50"/>
        <v/>
      </c>
      <c r="N617" s="7">
        <v>0</v>
      </c>
      <c r="O617" s="7"/>
      <c r="P617" s="7"/>
      <c r="Q617" s="7"/>
      <c r="AC617"/>
      <c r="AD617" s="14"/>
    </row>
    <row r="618" spans="1:30" x14ac:dyDescent="0.25">
      <c r="A618" t="b">
        <f t="shared" si="51"/>
        <v>1</v>
      </c>
      <c r="B618">
        <v>2006</v>
      </c>
      <c r="C618">
        <v>147</v>
      </c>
      <c r="D618">
        <v>0</v>
      </c>
      <c r="E618">
        <v>100</v>
      </c>
      <c r="F618" s="7">
        <v>-1.46</v>
      </c>
      <c r="G618" s="7">
        <v>10.89</v>
      </c>
      <c r="H618" s="7">
        <v>0</v>
      </c>
      <c r="I618" s="7">
        <f t="shared" si="47"/>
        <v>4.6000000000000005</v>
      </c>
      <c r="J618" s="7">
        <f t="shared" si="48"/>
        <v>199.40933333333336</v>
      </c>
      <c r="K618" s="7">
        <v>0</v>
      </c>
      <c r="L618" s="7">
        <f t="shared" si="49"/>
        <v>16.29</v>
      </c>
      <c r="M618" s="7">
        <f t="shared" si="50"/>
        <v>9.64</v>
      </c>
      <c r="N618" s="7">
        <v>0</v>
      </c>
      <c r="O618" s="7"/>
      <c r="P618" s="7"/>
      <c r="Q618" s="7"/>
      <c r="AC618"/>
      <c r="AD618" s="14"/>
    </row>
    <row r="619" spans="1:30" x14ac:dyDescent="0.25">
      <c r="A619" t="b">
        <f t="shared" si="51"/>
        <v>0</v>
      </c>
      <c r="B619">
        <v>2006</v>
      </c>
      <c r="C619">
        <v>147</v>
      </c>
      <c r="D619">
        <v>0</v>
      </c>
      <c r="E619">
        <v>200</v>
      </c>
      <c r="F619" s="7">
        <v>-1.155</v>
      </c>
      <c r="G619" s="7">
        <v>10.74</v>
      </c>
      <c r="H619" s="7">
        <v>0</v>
      </c>
      <c r="I619" s="7" t="str">
        <f t="shared" si="47"/>
        <v/>
      </c>
      <c r="J619" s="7" t="str">
        <f t="shared" si="48"/>
        <v/>
      </c>
      <c r="K619" s="7">
        <v>0</v>
      </c>
      <c r="L619" s="7" t="str">
        <f t="shared" si="49"/>
        <v/>
      </c>
      <c r="M619" s="7" t="str">
        <f t="shared" si="50"/>
        <v/>
      </c>
      <c r="N619" s="7">
        <v>0</v>
      </c>
      <c r="O619" s="7"/>
      <c r="P619" s="7"/>
      <c r="Q619" s="7"/>
      <c r="AC619"/>
      <c r="AD619" s="14"/>
    </row>
    <row r="620" spans="1:30" x14ac:dyDescent="0.25">
      <c r="A620" t="b">
        <f t="shared" si="51"/>
        <v>0</v>
      </c>
      <c r="B620">
        <v>2006</v>
      </c>
      <c r="C620">
        <v>147</v>
      </c>
      <c r="D620">
        <v>0</v>
      </c>
      <c r="E620">
        <v>300</v>
      </c>
      <c r="F620" s="7">
        <v>-1.468</v>
      </c>
      <c r="G620" s="7">
        <v>10.28</v>
      </c>
      <c r="H620" s="7">
        <v>0</v>
      </c>
      <c r="I620" s="7" t="str">
        <f t="shared" si="47"/>
        <v/>
      </c>
      <c r="J620" s="7" t="str">
        <f t="shared" si="48"/>
        <v/>
      </c>
      <c r="K620" s="7">
        <v>0</v>
      </c>
      <c r="L620" s="7" t="str">
        <f t="shared" si="49"/>
        <v/>
      </c>
      <c r="M620" s="7" t="str">
        <f t="shared" si="50"/>
        <v/>
      </c>
      <c r="N620" s="7">
        <v>0</v>
      </c>
      <c r="O620" s="7"/>
      <c r="P620" s="7"/>
      <c r="Q620" s="7"/>
      <c r="AC620"/>
      <c r="AD620" s="14"/>
    </row>
    <row r="621" spans="1:30" x14ac:dyDescent="0.25">
      <c r="A621" t="b">
        <f t="shared" si="51"/>
        <v>0</v>
      </c>
      <c r="B621">
        <v>2006</v>
      </c>
      <c r="C621">
        <v>147</v>
      </c>
      <c r="D621">
        <v>0</v>
      </c>
      <c r="E621">
        <v>400</v>
      </c>
      <c r="F621" s="7">
        <v>-0.96099999999999997</v>
      </c>
      <c r="G621" s="7">
        <v>10.220000000000001</v>
      </c>
      <c r="H621" s="7">
        <v>0</v>
      </c>
      <c r="I621" s="7" t="str">
        <f t="shared" si="47"/>
        <v/>
      </c>
      <c r="J621" s="7" t="str">
        <f t="shared" si="48"/>
        <v/>
      </c>
      <c r="K621" s="7">
        <v>0</v>
      </c>
      <c r="L621" s="7" t="str">
        <f t="shared" si="49"/>
        <v/>
      </c>
      <c r="M621" s="7" t="str">
        <f t="shared" si="50"/>
        <v/>
      </c>
      <c r="N621" s="7">
        <v>0</v>
      </c>
      <c r="O621" s="7"/>
      <c r="P621" s="7"/>
      <c r="Q621" s="7"/>
      <c r="AC621"/>
      <c r="AD621" s="14"/>
    </row>
    <row r="622" spans="1:30" x14ac:dyDescent="0.25">
      <c r="A622" t="b">
        <f t="shared" si="51"/>
        <v>0</v>
      </c>
      <c r="B622">
        <v>2006</v>
      </c>
      <c r="C622">
        <v>147</v>
      </c>
      <c r="D622">
        <v>0</v>
      </c>
      <c r="E622">
        <v>500</v>
      </c>
      <c r="F622" s="7">
        <v>6.8719999999999999</v>
      </c>
      <c r="G622" s="7">
        <v>10.220000000000001</v>
      </c>
      <c r="H622" s="7">
        <v>0</v>
      </c>
      <c r="I622" s="7" t="str">
        <f t="shared" si="47"/>
        <v/>
      </c>
      <c r="J622" s="7" t="str">
        <f t="shared" si="48"/>
        <v/>
      </c>
      <c r="K622" s="7">
        <v>0</v>
      </c>
      <c r="L622" s="7" t="str">
        <f t="shared" si="49"/>
        <v/>
      </c>
      <c r="M622" s="7" t="str">
        <f t="shared" si="50"/>
        <v/>
      </c>
      <c r="N622" s="7">
        <v>0</v>
      </c>
      <c r="O622" s="7"/>
      <c r="P622" s="7"/>
      <c r="Q622" s="7"/>
      <c r="AC622"/>
      <c r="AD622" s="14"/>
    </row>
    <row r="623" spans="1:30" x14ac:dyDescent="0.25">
      <c r="A623" t="b">
        <f t="shared" si="51"/>
        <v>0</v>
      </c>
      <c r="B623">
        <v>2006</v>
      </c>
      <c r="C623">
        <v>147</v>
      </c>
      <c r="D623">
        <v>0</v>
      </c>
      <c r="E623">
        <v>600</v>
      </c>
      <c r="F623" s="7">
        <v>26.55</v>
      </c>
      <c r="G623" s="7">
        <v>10.45</v>
      </c>
      <c r="H623" s="7">
        <v>0</v>
      </c>
      <c r="I623" s="7" t="str">
        <f t="shared" si="47"/>
        <v/>
      </c>
      <c r="J623" s="7" t="str">
        <f t="shared" si="48"/>
        <v/>
      </c>
      <c r="K623" s="7">
        <v>0</v>
      </c>
      <c r="L623" s="7" t="str">
        <f t="shared" si="49"/>
        <v/>
      </c>
      <c r="M623" s="7" t="str">
        <f t="shared" si="50"/>
        <v/>
      </c>
      <c r="N623" s="7">
        <v>0</v>
      </c>
      <c r="O623" s="7"/>
      <c r="P623" s="7"/>
      <c r="Q623" s="7"/>
      <c r="AC623"/>
      <c r="AD623" s="14"/>
    </row>
    <row r="624" spans="1:30" x14ac:dyDescent="0.25">
      <c r="A624" t="b">
        <f t="shared" si="51"/>
        <v>0</v>
      </c>
      <c r="B624">
        <v>2006</v>
      </c>
      <c r="C624">
        <v>147</v>
      </c>
      <c r="D624">
        <v>0</v>
      </c>
      <c r="E624">
        <v>700</v>
      </c>
      <c r="F624" s="7">
        <v>58.02</v>
      </c>
      <c r="G624" s="7">
        <v>10.85</v>
      </c>
      <c r="H624" s="7">
        <v>0</v>
      </c>
      <c r="I624" s="7" t="str">
        <f t="shared" si="47"/>
        <v/>
      </c>
      <c r="J624" s="7" t="str">
        <f t="shared" si="48"/>
        <v/>
      </c>
      <c r="K624" s="7">
        <v>0</v>
      </c>
      <c r="L624" s="7" t="str">
        <f t="shared" si="49"/>
        <v/>
      </c>
      <c r="M624" s="7" t="str">
        <f t="shared" si="50"/>
        <v/>
      </c>
      <c r="N624" s="7">
        <v>0</v>
      </c>
      <c r="O624" s="7"/>
      <c r="P624" s="7"/>
      <c r="Q624" s="7"/>
      <c r="AC624"/>
      <c r="AD624" s="14"/>
    </row>
    <row r="625" spans="1:30" x14ac:dyDescent="0.25">
      <c r="A625" t="b">
        <f t="shared" si="51"/>
        <v>0</v>
      </c>
      <c r="B625">
        <v>2006</v>
      </c>
      <c r="C625">
        <v>147</v>
      </c>
      <c r="D625">
        <v>0</v>
      </c>
      <c r="E625">
        <v>800</v>
      </c>
      <c r="F625" s="7">
        <v>53.08</v>
      </c>
      <c r="G625" s="7">
        <v>11.22</v>
      </c>
      <c r="H625" s="7">
        <v>0</v>
      </c>
      <c r="I625" s="7" t="str">
        <f t="shared" si="47"/>
        <v/>
      </c>
      <c r="J625" s="7" t="str">
        <f t="shared" si="48"/>
        <v/>
      </c>
      <c r="K625" s="7">
        <v>0</v>
      </c>
      <c r="L625" s="7" t="str">
        <f t="shared" si="49"/>
        <v/>
      </c>
      <c r="M625" s="7" t="str">
        <f t="shared" si="50"/>
        <v/>
      </c>
      <c r="N625" s="7">
        <v>0</v>
      </c>
      <c r="O625" s="7"/>
      <c r="P625" s="7"/>
      <c r="Q625" s="7"/>
      <c r="AC625"/>
      <c r="AD625" s="14"/>
    </row>
    <row r="626" spans="1:30" x14ac:dyDescent="0.25">
      <c r="A626" t="b">
        <f t="shared" si="51"/>
        <v>0</v>
      </c>
      <c r="B626">
        <v>2006</v>
      </c>
      <c r="C626">
        <v>147</v>
      </c>
      <c r="D626">
        <v>0</v>
      </c>
      <c r="E626">
        <v>900</v>
      </c>
      <c r="F626" s="7">
        <v>106.4</v>
      </c>
      <c r="G626" s="7">
        <v>11.91</v>
      </c>
      <c r="H626" s="7">
        <v>0.2</v>
      </c>
      <c r="I626" s="7" t="str">
        <f t="shared" si="47"/>
        <v/>
      </c>
      <c r="J626" s="7" t="str">
        <f t="shared" si="48"/>
        <v/>
      </c>
      <c r="K626" s="7">
        <v>0</v>
      </c>
      <c r="L626" s="7" t="str">
        <f t="shared" si="49"/>
        <v/>
      </c>
      <c r="M626" s="7" t="str">
        <f t="shared" si="50"/>
        <v/>
      </c>
      <c r="N626" s="7">
        <v>0</v>
      </c>
      <c r="O626" s="7"/>
      <c r="P626" s="7"/>
      <c r="Q626" s="7"/>
      <c r="AC626"/>
      <c r="AD626" s="14"/>
    </row>
    <row r="627" spans="1:30" x14ac:dyDescent="0.25">
      <c r="A627" t="b">
        <f t="shared" si="51"/>
        <v>0</v>
      </c>
      <c r="B627">
        <v>2006</v>
      </c>
      <c r="C627">
        <v>147</v>
      </c>
      <c r="D627">
        <v>0</v>
      </c>
      <c r="E627">
        <v>1000</v>
      </c>
      <c r="F627" s="7">
        <v>131.5</v>
      </c>
      <c r="G627" s="7">
        <v>12.58</v>
      </c>
      <c r="H627" s="7">
        <v>0</v>
      </c>
      <c r="I627" s="7" t="str">
        <f t="shared" si="47"/>
        <v/>
      </c>
      <c r="J627" s="7" t="str">
        <f t="shared" si="48"/>
        <v/>
      </c>
      <c r="K627" s="7">
        <v>0</v>
      </c>
      <c r="L627" s="7" t="str">
        <f t="shared" si="49"/>
        <v/>
      </c>
      <c r="M627" s="7" t="str">
        <f t="shared" si="50"/>
        <v/>
      </c>
      <c r="N627" s="7">
        <v>0</v>
      </c>
      <c r="O627" s="7"/>
      <c r="P627" s="7"/>
      <c r="Q627" s="7"/>
      <c r="AC627"/>
      <c r="AD627" s="14"/>
    </row>
    <row r="628" spans="1:30" x14ac:dyDescent="0.25">
      <c r="A628" t="b">
        <f t="shared" si="51"/>
        <v>0</v>
      </c>
      <c r="B628">
        <v>2006</v>
      </c>
      <c r="C628">
        <v>147</v>
      </c>
      <c r="D628">
        <v>0</v>
      </c>
      <c r="E628">
        <v>1100</v>
      </c>
      <c r="F628" s="7">
        <v>357.1</v>
      </c>
      <c r="G628" s="7">
        <v>14.59</v>
      </c>
      <c r="H628" s="7">
        <v>0</v>
      </c>
      <c r="I628" s="7" t="str">
        <f t="shared" si="47"/>
        <v/>
      </c>
      <c r="J628" s="7" t="str">
        <f t="shared" si="48"/>
        <v/>
      </c>
      <c r="K628" s="7">
        <v>0</v>
      </c>
      <c r="L628" s="7" t="str">
        <f t="shared" si="49"/>
        <v/>
      </c>
      <c r="M628" s="7" t="str">
        <f t="shared" si="50"/>
        <v/>
      </c>
      <c r="N628" s="7">
        <v>0</v>
      </c>
      <c r="O628" s="7"/>
      <c r="P628" s="7"/>
      <c r="Q628" s="7"/>
      <c r="AC628"/>
      <c r="AD628" s="14"/>
    </row>
    <row r="629" spans="1:30" x14ac:dyDescent="0.25">
      <c r="A629" t="b">
        <f t="shared" si="51"/>
        <v>0</v>
      </c>
      <c r="B629">
        <v>2006</v>
      </c>
      <c r="C629">
        <v>147</v>
      </c>
      <c r="D629">
        <v>0</v>
      </c>
      <c r="E629">
        <v>1200</v>
      </c>
      <c r="F629" s="7">
        <v>348.9</v>
      </c>
      <c r="G629" s="7">
        <v>13.66</v>
      </c>
      <c r="H629" s="7">
        <v>4.4000000000000004</v>
      </c>
      <c r="I629" s="7" t="str">
        <f t="shared" si="47"/>
        <v/>
      </c>
      <c r="J629" s="7" t="str">
        <f t="shared" si="48"/>
        <v/>
      </c>
      <c r="K629" s="7">
        <v>0</v>
      </c>
      <c r="L629" s="7" t="str">
        <f t="shared" si="49"/>
        <v/>
      </c>
      <c r="M629" s="7" t="str">
        <f t="shared" si="50"/>
        <v/>
      </c>
      <c r="N629" s="7">
        <v>0</v>
      </c>
      <c r="O629" s="7"/>
      <c r="P629" s="7"/>
      <c r="Q629" s="7"/>
      <c r="AC629"/>
      <c r="AD629" s="14"/>
    </row>
    <row r="630" spans="1:30" x14ac:dyDescent="0.25">
      <c r="A630" t="b">
        <f t="shared" si="51"/>
        <v>0</v>
      </c>
      <c r="B630">
        <v>2006</v>
      </c>
      <c r="C630">
        <v>147</v>
      </c>
      <c r="D630">
        <v>0</v>
      </c>
      <c r="E630">
        <v>1300</v>
      </c>
      <c r="F630" s="7">
        <v>734</v>
      </c>
      <c r="G630" s="7">
        <v>15.66</v>
      </c>
      <c r="H630" s="7">
        <v>0</v>
      </c>
      <c r="I630" s="7" t="str">
        <f t="shared" si="47"/>
        <v/>
      </c>
      <c r="J630" s="7" t="str">
        <f t="shared" si="48"/>
        <v/>
      </c>
      <c r="K630" s="7">
        <v>0</v>
      </c>
      <c r="L630" s="7" t="str">
        <f t="shared" si="49"/>
        <v/>
      </c>
      <c r="M630" s="7" t="str">
        <f t="shared" si="50"/>
        <v/>
      </c>
      <c r="N630" s="7">
        <v>0</v>
      </c>
      <c r="O630" s="7"/>
      <c r="P630" s="7"/>
      <c r="Q630" s="7"/>
      <c r="AC630"/>
      <c r="AD630" s="14"/>
    </row>
    <row r="631" spans="1:30" x14ac:dyDescent="0.25">
      <c r="A631" t="b">
        <f t="shared" si="51"/>
        <v>0</v>
      </c>
      <c r="B631">
        <v>2006</v>
      </c>
      <c r="C631">
        <v>147</v>
      </c>
      <c r="D631">
        <v>0</v>
      </c>
      <c r="E631">
        <v>1400</v>
      </c>
      <c r="F631" s="7">
        <v>816</v>
      </c>
      <c r="G631" s="7">
        <v>16.260000000000002</v>
      </c>
      <c r="H631" s="7">
        <v>0</v>
      </c>
      <c r="I631" s="7" t="str">
        <f t="shared" si="47"/>
        <v/>
      </c>
      <c r="J631" s="7" t="str">
        <f t="shared" si="48"/>
        <v/>
      </c>
      <c r="K631" s="7">
        <v>0</v>
      </c>
      <c r="L631" s="7" t="str">
        <f t="shared" si="49"/>
        <v/>
      </c>
      <c r="M631" s="7" t="str">
        <f t="shared" si="50"/>
        <v/>
      </c>
      <c r="N631" s="7">
        <v>0</v>
      </c>
      <c r="O631" s="7"/>
      <c r="P631" s="7"/>
      <c r="Q631" s="7"/>
      <c r="AC631"/>
      <c r="AD631" s="14"/>
    </row>
    <row r="632" spans="1:30" x14ac:dyDescent="0.25">
      <c r="A632" t="b">
        <f t="shared" si="51"/>
        <v>0</v>
      </c>
      <c r="B632">
        <v>2006</v>
      </c>
      <c r="C632">
        <v>147</v>
      </c>
      <c r="D632">
        <v>0</v>
      </c>
      <c r="E632">
        <v>1500</v>
      </c>
      <c r="F632" s="7">
        <v>754</v>
      </c>
      <c r="G632" s="7">
        <v>16.29</v>
      </c>
      <c r="H632" s="7">
        <v>0</v>
      </c>
      <c r="I632" s="7" t="str">
        <f t="shared" si="47"/>
        <v/>
      </c>
      <c r="J632" s="7" t="str">
        <f t="shared" si="48"/>
        <v/>
      </c>
      <c r="K632" s="7">
        <v>0</v>
      </c>
      <c r="L632" s="7" t="str">
        <f t="shared" si="49"/>
        <v/>
      </c>
      <c r="M632" s="7" t="str">
        <f t="shared" si="50"/>
        <v/>
      </c>
      <c r="N632" s="7">
        <v>0</v>
      </c>
      <c r="O632" s="7"/>
      <c r="P632" s="7"/>
      <c r="Q632" s="7"/>
      <c r="AC632"/>
      <c r="AD632" s="14"/>
    </row>
    <row r="633" spans="1:30" x14ac:dyDescent="0.25">
      <c r="A633" t="b">
        <f t="shared" si="51"/>
        <v>0</v>
      </c>
      <c r="B633">
        <v>2006</v>
      </c>
      <c r="C633">
        <v>147</v>
      </c>
      <c r="D633">
        <v>0</v>
      </c>
      <c r="E633">
        <v>1600</v>
      </c>
      <c r="F633" s="7">
        <v>542.1</v>
      </c>
      <c r="G633" s="7">
        <v>15.47</v>
      </c>
      <c r="H633" s="7">
        <v>0</v>
      </c>
      <c r="I633" s="7" t="str">
        <f t="shared" si="47"/>
        <v/>
      </c>
      <c r="J633" s="7" t="str">
        <f t="shared" si="48"/>
        <v/>
      </c>
      <c r="K633" s="7">
        <v>0</v>
      </c>
      <c r="L633" s="7" t="str">
        <f t="shared" si="49"/>
        <v/>
      </c>
      <c r="M633" s="7" t="str">
        <f t="shared" si="50"/>
        <v/>
      </c>
      <c r="N633" s="7">
        <v>0</v>
      </c>
      <c r="O633" s="7"/>
      <c r="P633" s="7"/>
      <c r="Q633" s="7"/>
      <c r="AC633"/>
      <c r="AD633" s="14"/>
    </row>
    <row r="634" spans="1:30" x14ac:dyDescent="0.25">
      <c r="A634" t="b">
        <f t="shared" si="51"/>
        <v>0</v>
      </c>
      <c r="B634">
        <v>2006</v>
      </c>
      <c r="C634">
        <v>147</v>
      </c>
      <c r="D634">
        <v>0</v>
      </c>
      <c r="E634">
        <v>1700</v>
      </c>
      <c r="F634" s="7">
        <v>522.9</v>
      </c>
      <c r="G634" s="7">
        <v>14.76</v>
      </c>
      <c r="H634" s="7">
        <v>0</v>
      </c>
      <c r="I634" s="7" t="str">
        <f t="shared" si="47"/>
        <v/>
      </c>
      <c r="J634" s="7" t="str">
        <f t="shared" si="48"/>
        <v/>
      </c>
      <c r="K634" s="7">
        <v>0</v>
      </c>
      <c r="L634" s="7" t="str">
        <f t="shared" si="49"/>
        <v/>
      </c>
      <c r="M634" s="7" t="str">
        <f t="shared" si="50"/>
        <v/>
      </c>
      <c r="N634" s="7">
        <v>0</v>
      </c>
      <c r="O634" s="7"/>
      <c r="P634" s="7"/>
      <c r="Q634" s="7"/>
      <c r="AC634"/>
      <c r="AD634" s="14"/>
    </row>
    <row r="635" spans="1:30" x14ac:dyDescent="0.25">
      <c r="A635" t="b">
        <f t="shared" si="51"/>
        <v>0</v>
      </c>
      <c r="B635">
        <v>2006</v>
      </c>
      <c r="C635">
        <v>147</v>
      </c>
      <c r="D635">
        <v>0</v>
      </c>
      <c r="E635">
        <v>1800</v>
      </c>
      <c r="F635" s="7">
        <v>215.3</v>
      </c>
      <c r="G635" s="7">
        <v>13.43</v>
      </c>
      <c r="H635" s="7">
        <v>0</v>
      </c>
      <c r="I635" s="7" t="str">
        <f t="shared" si="47"/>
        <v/>
      </c>
      <c r="J635" s="7" t="str">
        <f t="shared" si="48"/>
        <v/>
      </c>
      <c r="K635" s="7">
        <v>0</v>
      </c>
      <c r="L635" s="7" t="str">
        <f t="shared" si="49"/>
        <v/>
      </c>
      <c r="M635" s="7" t="str">
        <f t="shared" si="50"/>
        <v/>
      </c>
      <c r="N635" s="7">
        <v>0</v>
      </c>
      <c r="O635" s="7"/>
      <c r="P635" s="7"/>
      <c r="Q635" s="7"/>
      <c r="AC635"/>
      <c r="AD635" s="14"/>
    </row>
    <row r="636" spans="1:30" x14ac:dyDescent="0.25">
      <c r="A636" t="b">
        <f t="shared" si="51"/>
        <v>0</v>
      </c>
      <c r="B636">
        <v>2006</v>
      </c>
      <c r="C636">
        <v>147</v>
      </c>
      <c r="D636">
        <v>0</v>
      </c>
      <c r="E636">
        <v>1900</v>
      </c>
      <c r="F636" s="7">
        <v>83.3</v>
      </c>
      <c r="G636" s="7">
        <v>12.53</v>
      </c>
      <c r="H636" s="7">
        <v>0</v>
      </c>
      <c r="I636" s="7" t="str">
        <f t="shared" si="47"/>
        <v/>
      </c>
      <c r="J636" s="7" t="str">
        <f t="shared" si="48"/>
        <v/>
      </c>
      <c r="K636" s="7">
        <v>0</v>
      </c>
      <c r="L636" s="7" t="str">
        <f t="shared" si="49"/>
        <v/>
      </c>
      <c r="M636" s="7" t="str">
        <f t="shared" si="50"/>
        <v/>
      </c>
      <c r="N636" s="7">
        <v>0</v>
      </c>
      <c r="O636" s="7"/>
      <c r="P636" s="7"/>
      <c r="Q636" s="7"/>
      <c r="AC636"/>
      <c r="AD636" s="14"/>
    </row>
    <row r="637" spans="1:30" x14ac:dyDescent="0.25">
      <c r="A637" t="b">
        <f t="shared" si="51"/>
        <v>0</v>
      </c>
      <c r="B637">
        <v>2006</v>
      </c>
      <c r="C637">
        <v>147</v>
      </c>
      <c r="D637">
        <v>0</v>
      </c>
      <c r="E637">
        <v>2000</v>
      </c>
      <c r="F637" s="7">
        <v>35.96</v>
      </c>
      <c r="G637" s="7">
        <v>11.79</v>
      </c>
      <c r="H637" s="7">
        <v>0</v>
      </c>
      <c r="I637" s="7" t="str">
        <f t="shared" si="47"/>
        <v/>
      </c>
      <c r="J637" s="7" t="str">
        <f t="shared" si="48"/>
        <v/>
      </c>
      <c r="K637" s="7">
        <v>0</v>
      </c>
      <c r="L637" s="7" t="str">
        <f t="shared" si="49"/>
        <v/>
      </c>
      <c r="M637" s="7" t="str">
        <f t="shared" si="50"/>
        <v/>
      </c>
      <c r="N637" s="7">
        <v>0</v>
      </c>
      <c r="O637" s="7"/>
      <c r="P637" s="7"/>
      <c r="Q637" s="7"/>
      <c r="AC637"/>
      <c r="AD637" s="14"/>
    </row>
    <row r="638" spans="1:30" x14ac:dyDescent="0.25">
      <c r="A638" t="b">
        <f t="shared" si="51"/>
        <v>0</v>
      </c>
      <c r="B638">
        <v>2006</v>
      </c>
      <c r="C638">
        <v>147</v>
      </c>
      <c r="D638">
        <v>0</v>
      </c>
      <c r="E638">
        <v>2100</v>
      </c>
      <c r="F638" s="7">
        <v>4.319</v>
      </c>
      <c r="G638" s="7">
        <v>11</v>
      </c>
      <c r="H638" s="7">
        <v>0</v>
      </c>
      <c r="I638" s="7" t="str">
        <f t="shared" si="47"/>
        <v/>
      </c>
      <c r="J638" s="7" t="str">
        <f t="shared" si="48"/>
        <v/>
      </c>
      <c r="K638" s="7">
        <v>0</v>
      </c>
      <c r="L638" s="7" t="str">
        <f t="shared" si="49"/>
        <v/>
      </c>
      <c r="M638" s="7" t="str">
        <f t="shared" si="50"/>
        <v/>
      </c>
      <c r="N638" s="7">
        <v>0</v>
      </c>
      <c r="O638" s="7"/>
      <c r="P638" s="7"/>
      <c r="Q638" s="7"/>
      <c r="AC638"/>
      <c r="AD638" s="14"/>
    </row>
    <row r="639" spans="1:30" x14ac:dyDescent="0.25">
      <c r="A639" t="b">
        <f t="shared" si="51"/>
        <v>0</v>
      </c>
      <c r="B639">
        <v>2006</v>
      </c>
      <c r="C639">
        <v>147</v>
      </c>
      <c r="D639">
        <v>0</v>
      </c>
      <c r="E639">
        <v>2200</v>
      </c>
      <c r="F639" s="7">
        <v>-1.7649999999999999</v>
      </c>
      <c r="G639" s="7">
        <v>10.210000000000001</v>
      </c>
      <c r="H639" s="7">
        <v>0</v>
      </c>
      <c r="I639" s="7" t="str">
        <f t="shared" si="47"/>
        <v/>
      </c>
      <c r="J639" s="7" t="str">
        <f t="shared" si="48"/>
        <v/>
      </c>
      <c r="K639" s="7">
        <v>0</v>
      </c>
      <c r="L639" s="7" t="str">
        <f t="shared" si="49"/>
        <v/>
      </c>
      <c r="M639" s="7" t="str">
        <f t="shared" si="50"/>
        <v/>
      </c>
      <c r="N639" s="7">
        <v>0</v>
      </c>
      <c r="O639" s="7"/>
      <c r="P639" s="7"/>
      <c r="Q639" s="7"/>
      <c r="AC639"/>
      <c r="AD639" s="14"/>
    </row>
    <row r="640" spans="1:30" x14ac:dyDescent="0.25">
      <c r="A640" t="b">
        <f t="shared" si="51"/>
        <v>0</v>
      </c>
      <c r="B640">
        <v>2006</v>
      </c>
      <c r="C640">
        <v>147</v>
      </c>
      <c r="D640">
        <v>0</v>
      </c>
      <c r="E640">
        <v>2300</v>
      </c>
      <c r="F640" s="7">
        <v>-2.19</v>
      </c>
      <c r="G640" s="7">
        <v>9.64</v>
      </c>
      <c r="H640" s="7">
        <v>0</v>
      </c>
      <c r="I640" s="7" t="str">
        <f t="shared" si="47"/>
        <v/>
      </c>
      <c r="J640" s="7" t="str">
        <f t="shared" si="48"/>
        <v/>
      </c>
      <c r="K640" s="7">
        <v>0</v>
      </c>
      <c r="L640" s="7" t="str">
        <f t="shared" si="49"/>
        <v/>
      </c>
      <c r="M640" s="7" t="str">
        <f t="shared" si="50"/>
        <v/>
      </c>
      <c r="N640" s="7">
        <v>0</v>
      </c>
      <c r="O640" s="7"/>
      <c r="P640" s="7"/>
      <c r="Q640" s="7"/>
      <c r="AC640"/>
      <c r="AD640" s="14"/>
    </row>
    <row r="641" spans="1:30" x14ac:dyDescent="0.25">
      <c r="A641" t="b">
        <f t="shared" si="51"/>
        <v>0</v>
      </c>
      <c r="B641">
        <v>2006</v>
      </c>
      <c r="C641">
        <v>147</v>
      </c>
      <c r="D641">
        <v>0</v>
      </c>
      <c r="E641">
        <v>2400</v>
      </c>
      <c r="F641" s="7">
        <v>-1.478</v>
      </c>
      <c r="G641" s="7">
        <v>9.74</v>
      </c>
      <c r="H641" s="7">
        <v>0</v>
      </c>
      <c r="I641" s="7" t="str">
        <f t="shared" si="47"/>
        <v/>
      </c>
      <c r="J641" s="7" t="str">
        <f t="shared" si="48"/>
        <v/>
      </c>
      <c r="K641" s="7">
        <v>0</v>
      </c>
      <c r="L641" s="7" t="str">
        <f t="shared" si="49"/>
        <v/>
      </c>
      <c r="M641" s="7" t="str">
        <f t="shared" si="50"/>
        <v/>
      </c>
      <c r="N641" s="7">
        <v>0</v>
      </c>
      <c r="O641" s="7"/>
      <c r="P641" s="7"/>
      <c r="Q641" s="7"/>
      <c r="AC641"/>
      <c r="AD641" s="14"/>
    </row>
    <row r="642" spans="1:30" x14ac:dyDescent="0.25">
      <c r="A642" t="b">
        <f t="shared" si="51"/>
        <v>1</v>
      </c>
      <c r="B642">
        <v>2006</v>
      </c>
      <c r="C642">
        <v>148</v>
      </c>
      <c r="D642">
        <v>0</v>
      </c>
      <c r="E642">
        <v>100</v>
      </c>
      <c r="F642" s="7">
        <v>-2.141</v>
      </c>
      <c r="G642" s="7">
        <v>9.07</v>
      </c>
      <c r="H642" s="7">
        <v>0</v>
      </c>
      <c r="I642" s="7">
        <f t="shared" ref="I642:I705" si="52">IF(AND(B642=B641,C642=C641),"",SUMIFS($H$2:$H$1529,$B$2:$B$1529,B642,$C$2:$C$1529,C642))</f>
        <v>0</v>
      </c>
      <c r="J642" s="7">
        <f t="shared" ref="J642:J705" si="53">IF(AND(B642=B641,C642=C641),"",AVERAGEIFS($F$2:$F$1529,$B$2:$B$1529,B642,$C$2:$C$1529,C642))</f>
        <v>204.84520833333332</v>
      </c>
      <c r="K642" s="7">
        <v>0</v>
      </c>
      <c r="L642" s="7">
        <f t="shared" ref="L642:L705" si="54">IF(AND(B642=B641,C642=C641),"",_xlfn.MAXIFS($G$2:$G$1529,$B$2:$B$1529,B642,$C$2:$C$1529,C642))</f>
        <v>14.65</v>
      </c>
      <c r="M642" s="7">
        <f t="shared" ref="M642:M705" si="55">IF(AND(B642=B641,C642=C641),"",_xlfn.MINIFS($G$2:$G$1529,$B$2:$B$1529,B642,$C$2:$C$1529,C642))</f>
        <v>7.4</v>
      </c>
      <c r="N642" s="7">
        <v>0</v>
      </c>
      <c r="O642" s="7"/>
      <c r="P642" s="7"/>
      <c r="Q642" s="7"/>
      <c r="AC642"/>
      <c r="AD642" s="14"/>
    </row>
    <row r="643" spans="1:30" x14ac:dyDescent="0.25">
      <c r="A643" t="b">
        <f t="shared" ref="A643:A706" si="56">NOT(I643="")</f>
        <v>0</v>
      </c>
      <c r="B643">
        <v>2006</v>
      </c>
      <c r="C643">
        <v>148</v>
      </c>
      <c r="D643">
        <v>0</v>
      </c>
      <c r="E643">
        <v>200</v>
      </c>
      <c r="F643" s="7">
        <v>-2.8290000000000002</v>
      </c>
      <c r="G643" s="7">
        <v>8.36</v>
      </c>
      <c r="H643" s="7">
        <v>0</v>
      </c>
      <c r="I643" s="7" t="str">
        <f t="shared" si="52"/>
        <v/>
      </c>
      <c r="J643" s="7" t="str">
        <f t="shared" si="53"/>
        <v/>
      </c>
      <c r="K643" s="7">
        <v>0</v>
      </c>
      <c r="L643" s="7" t="str">
        <f t="shared" si="54"/>
        <v/>
      </c>
      <c r="M643" s="7" t="str">
        <f t="shared" si="55"/>
        <v/>
      </c>
      <c r="N643" s="7">
        <v>0</v>
      </c>
      <c r="O643" s="7"/>
      <c r="P643" s="7"/>
      <c r="Q643" s="7"/>
      <c r="AC643"/>
      <c r="AD643" s="14"/>
    </row>
    <row r="644" spans="1:30" x14ac:dyDescent="0.25">
      <c r="A644" t="b">
        <f t="shared" si="56"/>
        <v>0</v>
      </c>
      <c r="B644">
        <v>2006</v>
      </c>
      <c r="C644">
        <v>148</v>
      </c>
      <c r="D644">
        <v>0</v>
      </c>
      <c r="E644">
        <v>300</v>
      </c>
      <c r="F644" s="7">
        <v>-2.157</v>
      </c>
      <c r="G644" s="7">
        <v>8.49</v>
      </c>
      <c r="H644" s="7">
        <v>0</v>
      </c>
      <c r="I644" s="7" t="str">
        <f t="shared" si="52"/>
        <v/>
      </c>
      <c r="J644" s="7" t="str">
        <f t="shared" si="53"/>
        <v/>
      </c>
      <c r="K644" s="7">
        <v>0</v>
      </c>
      <c r="L644" s="7" t="str">
        <f t="shared" si="54"/>
        <v/>
      </c>
      <c r="M644" s="7" t="str">
        <f t="shared" si="55"/>
        <v/>
      </c>
      <c r="N644" s="7">
        <v>0</v>
      </c>
      <c r="O644" s="7"/>
      <c r="P644" s="7"/>
      <c r="Q644" s="7"/>
      <c r="AC644"/>
      <c r="AD644" s="14"/>
    </row>
    <row r="645" spans="1:30" x14ac:dyDescent="0.25">
      <c r="A645" t="b">
        <f t="shared" si="56"/>
        <v>0</v>
      </c>
      <c r="B645">
        <v>2006</v>
      </c>
      <c r="C645">
        <v>148</v>
      </c>
      <c r="D645">
        <v>0</v>
      </c>
      <c r="E645">
        <v>400</v>
      </c>
      <c r="F645" s="7">
        <v>-1.33</v>
      </c>
      <c r="G645" s="7">
        <v>8.4600000000000009</v>
      </c>
      <c r="H645" s="7">
        <v>0</v>
      </c>
      <c r="I645" s="7" t="str">
        <f t="shared" si="52"/>
        <v/>
      </c>
      <c r="J645" s="7" t="str">
        <f t="shared" si="53"/>
        <v/>
      </c>
      <c r="K645" s="7">
        <v>0</v>
      </c>
      <c r="L645" s="7" t="str">
        <f t="shared" si="54"/>
        <v/>
      </c>
      <c r="M645" s="7" t="str">
        <f t="shared" si="55"/>
        <v/>
      </c>
      <c r="N645" s="7">
        <v>0</v>
      </c>
      <c r="O645" s="7"/>
      <c r="P645" s="7"/>
      <c r="Q645" s="7"/>
      <c r="AC645"/>
      <c r="AD645" s="14"/>
    </row>
    <row r="646" spans="1:30" x14ac:dyDescent="0.25">
      <c r="A646" t="b">
        <f t="shared" si="56"/>
        <v>0</v>
      </c>
      <c r="B646">
        <v>2006</v>
      </c>
      <c r="C646">
        <v>148</v>
      </c>
      <c r="D646">
        <v>0</v>
      </c>
      <c r="E646">
        <v>500</v>
      </c>
      <c r="F646" s="7">
        <v>19.45</v>
      </c>
      <c r="G646" s="7">
        <v>8.3800000000000008</v>
      </c>
      <c r="H646" s="7">
        <v>0</v>
      </c>
      <c r="I646" s="7" t="str">
        <f t="shared" si="52"/>
        <v/>
      </c>
      <c r="J646" s="7" t="str">
        <f t="shared" si="53"/>
        <v/>
      </c>
      <c r="K646" s="7">
        <v>0</v>
      </c>
      <c r="L646" s="7" t="str">
        <f t="shared" si="54"/>
        <v/>
      </c>
      <c r="M646" s="7" t="str">
        <f t="shared" si="55"/>
        <v/>
      </c>
      <c r="N646" s="7">
        <v>0</v>
      </c>
      <c r="O646" s="7"/>
      <c r="P646" s="7"/>
      <c r="Q646" s="7"/>
      <c r="AC646"/>
      <c r="AD646" s="14"/>
    </row>
    <row r="647" spans="1:30" x14ac:dyDescent="0.25">
      <c r="A647" t="b">
        <f t="shared" si="56"/>
        <v>0</v>
      </c>
      <c r="B647">
        <v>2006</v>
      </c>
      <c r="C647">
        <v>148</v>
      </c>
      <c r="D647">
        <v>0</v>
      </c>
      <c r="E647">
        <v>600</v>
      </c>
      <c r="F647" s="7">
        <v>75.3</v>
      </c>
      <c r="G647" s="7">
        <v>9.2899999999999991</v>
      </c>
      <c r="H647" s="7">
        <v>0</v>
      </c>
      <c r="I647" s="7" t="str">
        <f t="shared" si="52"/>
        <v/>
      </c>
      <c r="J647" s="7" t="str">
        <f t="shared" si="53"/>
        <v/>
      </c>
      <c r="K647" s="7">
        <v>0</v>
      </c>
      <c r="L647" s="7" t="str">
        <f t="shared" si="54"/>
        <v/>
      </c>
      <c r="M647" s="7" t="str">
        <f t="shared" si="55"/>
        <v/>
      </c>
      <c r="N647" s="7">
        <v>0</v>
      </c>
      <c r="O647" s="7"/>
      <c r="P647" s="7"/>
      <c r="Q647" s="7"/>
      <c r="AC647"/>
      <c r="AD647" s="14"/>
    </row>
    <row r="648" spans="1:30" x14ac:dyDescent="0.25">
      <c r="A648" t="b">
        <f t="shared" si="56"/>
        <v>0</v>
      </c>
      <c r="B648">
        <v>2006</v>
      </c>
      <c r="C648">
        <v>148</v>
      </c>
      <c r="D648">
        <v>0</v>
      </c>
      <c r="E648">
        <v>700</v>
      </c>
      <c r="F648" s="7">
        <v>193.5</v>
      </c>
      <c r="G648" s="7">
        <v>10.050000000000001</v>
      </c>
      <c r="H648" s="7">
        <v>0</v>
      </c>
      <c r="I648" s="7" t="str">
        <f t="shared" si="52"/>
        <v/>
      </c>
      <c r="J648" s="7" t="str">
        <f t="shared" si="53"/>
        <v/>
      </c>
      <c r="K648" s="7">
        <v>0</v>
      </c>
      <c r="L648" s="7" t="str">
        <f t="shared" si="54"/>
        <v/>
      </c>
      <c r="M648" s="7" t="str">
        <f t="shared" si="55"/>
        <v/>
      </c>
      <c r="N648" s="7">
        <v>0</v>
      </c>
      <c r="O648" s="7"/>
      <c r="P648" s="7"/>
      <c r="Q648" s="7"/>
      <c r="AC648"/>
      <c r="AD648" s="14"/>
    </row>
    <row r="649" spans="1:30" x14ac:dyDescent="0.25">
      <c r="A649" t="b">
        <f t="shared" si="56"/>
        <v>0</v>
      </c>
      <c r="B649">
        <v>2006</v>
      </c>
      <c r="C649">
        <v>148</v>
      </c>
      <c r="D649">
        <v>0</v>
      </c>
      <c r="E649">
        <v>800</v>
      </c>
      <c r="F649" s="7">
        <v>421.5</v>
      </c>
      <c r="G649" s="7">
        <v>11.79</v>
      </c>
      <c r="H649" s="7">
        <v>0</v>
      </c>
      <c r="I649" s="7" t="str">
        <f t="shared" si="52"/>
        <v/>
      </c>
      <c r="J649" s="7" t="str">
        <f t="shared" si="53"/>
        <v/>
      </c>
      <c r="K649" s="7">
        <v>0</v>
      </c>
      <c r="L649" s="7" t="str">
        <f t="shared" si="54"/>
        <v/>
      </c>
      <c r="M649" s="7" t="str">
        <f t="shared" si="55"/>
        <v/>
      </c>
      <c r="N649" s="7">
        <v>0</v>
      </c>
      <c r="O649" s="7"/>
      <c r="P649" s="7"/>
      <c r="Q649" s="7"/>
      <c r="AC649"/>
      <c r="AD649" s="14"/>
    </row>
    <row r="650" spans="1:30" x14ac:dyDescent="0.25">
      <c r="A650" t="b">
        <f t="shared" si="56"/>
        <v>0</v>
      </c>
      <c r="B650">
        <v>2006</v>
      </c>
      <c r="C650">
        <v>148</v>
      </c>
      <c r="D650">
        <v>0</v>
      </c>
      <c r="E650">
        <v>900</v>
      </c>
      <c r="F650" s="7">
        <v>328.9</v>
      </c>
      <c r="G650" s="7">
        <v>12.02</v>
      </c>
      <c r="H650" s="7">
        <v>0</v>
      </c>
      <c r="I650" s="7" t="str">
        <f t="shared" si="52"/>
        <v/>
      </c>
      <c r="J650" s="7" t="str">
        <f t="shared" si="53"/>
        <v/>
      </c>
      <c r="K650" s="7">
        <v>0</v>
      </c>
      <c r="L650" s="7" t="str">
        <f t="shared" si="54"/>
        <v/>
      </c>
      <c r="M650" s="7" t="str">
        <f t="shared" si="55"/>
        <v/>
      </c>
      <c r="N650" s="7">
        <v>0</v>
      </c>
      <c r="O650" s="7"/>
      <c r="P650" s="7"/>
      <c r="Q650" s="7"/>
      <c r="AC650"/>
      <c r="AD650" s="14"/>
    </row>
    <row r="651" spans="1:30" x14ac:dyDescent="0.25">
      <c r="A651" t="b">
        <f t="shared" si="56"/>
        <v>0</v>
      </c>
      <c r="B651">
        <v>2006</v>
      </c>
      <c r="C651">
        <v>148</v>
      </c>
      <c r="D651">
        <v>0</v>
      </c>
      <c r="E651">
        <v>1000</v>
      </c>
      <c r="F651" s="7">
        <v>374.4</v>
      </c>
      <c r="G651" s="7">
        <v>11.99</v>
      </c>
      <c r="H651" s="7">
        <v>0</v>
      </c>
      <c r="I651" s="7" t="str">
        <f t="shared" si="52"/>
        <v/>
      </c>
      <c r="J651" s="7" t="str">
        <f t="shared" si="53"/>
        <v/>
      </c>
      <c r="K651" s="7">
        <v>0</v>
      </c>
      <c r="L651" s="7" t="str">
        <f t="shared" si="54"/>
        <v/>
      </c>
      <c r="M651" s="7" t="str">
        <f t="shared" si="55"/>
        <v/>
      </c>
      <c r="N651" s="7">
        <v>0</v>
      </c>
      <c r="O651" s="7"/>
      <c r="P651" s="7"/>
      <c r="Q651" s="7"/>
      <c r="AC651"/>
      <c r="AD651" s="14"/>
    </row>
    <row r="652" spans="1:30" x14ac:dyDescent="0.25">
      <c r="A652" t="b">
        <f t="shared" si="56"/>
        <v>0</v>
      </c>
      <c r="B652">
        <v>2006</v>
      </c>
      <c r="C652">
        <v>148</v>
      </c>
      <c r="D652">
        <v>0</v>
      </c>
      <c r="E652">
        <v>1100</v>
      </c>
      <c r="F652" s="7">
        <v>449.3</v>
      </c>
      <c r="G652" s="7">
        <v>13.3</v>
      </c>
      <c r="H652" s="7">
        <v>0</v>
      </c>
      <c r="I652" s="7" t="str">
        <f t="shared" si="52"/>
        <v/>
      </c>
      <c r="J652" s="7" t="str">
        <f t="shared" si="53"/>
        <v/>
      </c>
      <c r="K652" s="7">
        <v>0</v>
      </c>
      <c r="L652" s="7" t="str">
        <f t="shared" si="54"/>
        <v/>
      </c>
      <c r="M652" s="7" t="str">
        <f t="shared" si="55"/>
        <v/>
      </c>
      <c r="N652" s="7">
        <v>0</v>
      </c>
      <c r="O652" s="7"/>
      <c r="P652" s="7"/>
      <c r="Q652" s="7"/>
      <c r="AC652"/>
      <c r="AD652" s="14"/>
    </row>
    <row r="653" spans="1:30" x14ac:dyDescent="0.25">
      <c r="A653" t="b">
        <f t="shared" si="56"/>
        <v>0</v>
      </c>
      <c r="B653">
        <v>2006</v>
      </c>
      <c r="C653">
        <v>148</v>
      </c>
      <c r="D653">
        <v>0</v>
      </c>
      <c r="E653">
        <v>1200</v>
      </c>
      <c r="F653" s="7">
        <v>408.3</v>
      </c>
      <c r="G653" s="7">
        <v>13.53</v>
      </c>
      <c r="H653" s="7">
        <v>0</v>
      </c>
      <c r="I653" s="7" t="str">
        <f t="shared" si="52"/>
        <v/>
      </c>
      <c r="J653" s="7" t="str">
        <f t="shared" si="53"/>
        <v/>
      </c>
      <c r="K653" s="7">
        <v>0</v>
      </c>
      <c r="L653" s="7" t="str">
        <f t="shared" si="54"/>
        <v/>
      </c>
      <c r="M653" s="7" t="str">
        <f t="shared" si="55"/>
        <v/>
      </c>
      <c r="N653" s="7">
        <v>0</v>
      </c>
      <c r="O653" s="7"/>
      <c r="P653" s="7"/>
      <c r="Q653" s="7"/>
      <c r="AC653"/>
      <c r="AD653" s="14"/>
    </row>
    <row r="654" spans="1:30" x14ac:dyDescent="0.25">
      <c r="A654" t="b">
        <f t="shared" si="56"/>
        <v>0</v>
      </c>
      <c r="B654">
        <v>2006</v>
      </c>
      <c r="C654">
        <v>148</v>
      </c>
      <c r="D654">
        <v>0</v>
      </c>
      <c r="E654">
        <v>1300</v>
      </c>
      <c r="F654" s="7">
        <v>516.5</v>
      </c>
      <c r="G654" s="7">
        <v>13.83</v>
      </c>
      <c r="H654" s="7">
        <v>0</v>
      </c>
      <c r="I654" s="7" t="str">
        <f t="shared" si="52"/>
        <v/>
      </c>
      <c r="J654" s="7" t="str">
        <f t="shared" si="53"/>
        <v/>
      </c>
      <c r="K654" s="7">
        <v>0</v>
      </c>
      <c r="L654" s="7" t="str">
        <f t="shared" si="54"/>
        <v/>
      </c>
      <c r="M654" s="7" t="str">
        <f t="shared" si="55"/>
        <v/>
      </c>
      <c r="N654" s="7">
        <v>0</v>
      </c>
      <c r="O654" s="7"/>
      <c r="P654" s="7"/>
      <c r="Q654" s="7"/>
      <c r="AC654"/>
      <c r="AD654" s="14"/>
    </row>
    <row r="655" spans="1:30" x14ac:dyDescent="0.25">
      <c r="A655" t="b">
        <f t="shared" si="56"/>
        <v>0</v>
      </c>
      <c r="B655">
        <v>2006</v>
      </c>
      <c r="C655">
        <v>148</v>
      </c>
      <c r="D655">
        <v>0</v>
      </c>
      <c r="E655">
        <v>1400</v>
      </c>
      <c r="F655" s="7">
        <v>491.8</v>
      </c>
      <c r="G655" s="7">
        <v>14.05</v>
      </c>
      <c r="H655" s="7">
        <v>0</v>
      </c>
      <c r="I655" s="7" t="str">
        <f t="shared" si="52"/>
        <v/>
      </c>
      <c r="J655" s="7" t="str">
        <f t="shared" si="53"/>
        <v/>
      </c>
      <c r="K655" s="7">
        <v>0</v>
      </c>
      <c r="L655" s="7" t="str">
        <f t="shared" si="54"/>
        <v/>
      </c>
      <c r="M655" s="7" t="str">
        <f t="shared" si="55"/>
        <v/>
      </c>
      <c r="N655" s="7">
        <v>0</v>
      </c>
      <c r="O655" s="7"/>
      <c r="P655" s="7"/>
      <c r="Q655" s="7"/>
      <c r="AC655"/>
      <c r="AD655" s="14"/>
    </row>
    <row r="656" spans="1:30" x14ac:dyDescent="0.25">
      <c r="A656" t="b">
        <f t="shared" si="56"/>
        <v>0</v>
      </c>
      <c r="B656">
        <v>2006</v>
      </c>
      <c r="C656">
        <v>148</v>
      </c>
      <c r="D656">
        <v>0</v>
      </c>
      <c r="E656">
        <v>1500</v>
      </c>
      <c r="F656" s="7">
        <v>600.5</v>
      </c>
      <c r="G656" s="7">
        <v>14.65</v>
      </c>
      <c r="H656" s="7">
        <v>0</v>
      </c>
      <c r="I656" s="7" t="str">
        <f t="shared" si="52"/>
        <v/>
      </c>
      <c r="J656" s="7" t="str">
        <f t="shared" si="53"/>
        <v/>
      </c>
      <c r="K656" s="7">
        <v>0</v>
      </c>
      <c r="L656" s="7" t="str">
        <f t="shared" si="54"/>
        <v/>
      </c>
      <c r="M656" s="7" t="str">
        <f t="shared" si="55"/>
        <v/>
      </c>
      <c r="N656" s="7">
        <v>0</v>
      </c>
      <c r="O656" s="7"/>
      <c r="P656" s="7"/>
      <c r="Q656" s="7"/>
      <c r="AC656"/>
      <c r="AD656" s="14"/>
    </row>
    <row r="657" spans="1:30" x14ac:dyDescent="0.25">
      <c r="A657" t="b">
        <f t="shared" si="56"/>
        <v>0</v>
      </c>
      <c r="B657">
        <v>2006</v>
      </c>
      <c r="C657">
        <v>148</v>
      </c>
      <c r="D657">
        <v>0</v>
      </c>
      <c r="E657">
        <v>1600</v>
      </c>
      <c r="F657" s="7">
        <v>428.4</v>
      </c>
      <c r="G657" s="7">
        <v>14.08</v>
      </c>
      <c r="H657" s="7">
        <v>0</v>
      </c>
      <c r="I657" s="7" t="str">
        <f t="shared" si="52"/>
        <v/>
      </c>
      <c r="J657" s="7" t="str">
        <f t="shared" si="53"/>
        <v/>
      </c>
      <c r="K657" s="7">
        <v>0</v>
      </c>
      <c r="L657" s="7" t="str">
        <f t="shared" si="54"/>
        <v/>
      </c>
      <c r="M657" s="7" t="str">
        <f t="shared" si="55"/>
        <v/>
      </c>
      <c r="N657" s="7">
        <v>0</v>
      </c>
      <c r="O657" s="7"/>
      <c r="P657" s="7"/>
      <c r="Q657" s="7"/>
      <c r="AC657"/>
      <c r="AD657" s="14"/>
    </row>
    <row r="658" spans="1:30" x14ac:dyDescent="0.25">
      <c r="A658" t="b">
        <f t="shared" si="56"/>
        <v>0</v>
      </c>
      <c r="B658">
        <v>2006</v>
      </c>
      <c r="C658">
        <v>148</v>
      </c>
      <c r="D658">
        <v>0</v>
      </c>
      <c r="E658">
        <v>1700</v>
      </c>
      <c r="F658" s="7">
        <v>246</v>
      </c>
      <c r="G658" s="7">
        <v>13.3</v>
      </c>
      <c r="H658" s="7">
        <v>0</v>
      </c>
      <c r="I658" s="7" t="str">
        <f t="shared" si="52"/>
        <v/>
      </c>
      <c r="J658" s="7" t="str">
        <f t="shared" si="53"/>
        <v/>
      </c>
      <c r="K658" s="7">
        <v>0</v>
      </c>
      <c r="L658" s="7" t="str">
        <f t="shared" si="54"/>
        <v/>
      </c>
      <c r="M658" s="7" t="str">
        <f t="shared" si="55"/>
        <v/>
      </c>
      <c r="N658" s="7">
        <v>0</v>
      </c>
      <c r="O658" s="7"/>
      <c r="P658" s="7"/>
      <c r="Q658" s="7"/>
      <c r="AC658"/>
      <c r="AD658" s="14"/>
    </row>
    <row r="659" spans="1:30" x14ac:dyDescent="0.25">
      <c r="A659" t="b">
        <f t="shared" si="56"/>
        <v>0</v>
      </c>
      <c r="B659">
        <v>2006</v>
      </c>
      <c r="C659">
        <v>148</v>
      </c>
      <c r="D659">
        <v>0</v>
      </c>
      <c r="E659">
        <v>1800</v>
      </c>
      <c r="F659" s="7">
        <v>165.4</v>
      </c>
      <c r="G659" s="7">
        <v>12.42</v>
      </c>
      <c r="H659" s="7">
        <v>0</v>
      </c>
      <c r="I659" s="7" t="str">
        <f t="shared" si="52"/>
        <v/>
      </c>
      <c r="J659" s="7" t="str">
        <f t="shared" si="53"/>
        <v/>
      </c>
      <c r="K659" s="7">
        <v>0</v>
      </c>
      <c r="L659" s="7" t="str">
        <f t="shared" si="54"/>
        <v/>
      </c>
      <c r="M659" s="7" t="str">
        <f t="shared" si="55"/>
        <v/>
      </c>
      <c r="N659" s="7">
        <v>0</v>
      </c>
      <c r="O659" s="7"/>
      <c r="P659" s="7"/>
      <c r="Q659" s="7"/>
      <c r="AC659"/>
      <c r="AD659" s="14"/>
    </row>
    <row r="660" spans="1:30" x14ac:dyDescent="0.25">
      <c r="A660" t="b">
        <f t="shared" si="56"/>
        <v>0</v>
      </c>
      <c r="B660">
        <v>2006</v>
      </c>
      <c r="C660">
        <v>148</v>
      </c>
      <c r="D660">
        <v>0</v>
      </c>
      <c r="E660">
        <v>1900</v>
      </c>
      <c r="F660" s="7">
        <v>137.19999999999999</v>
      </c>
      <c r="G660" s="7">
        <v>11.81</v>
      </c>
      <c r="H660" s="7">
        <v>0</v>
      </c>
      <c r="I660" s="7" t="str">
        <f t="shared" si="52"/>
        <v/>
      </c>
      <c r="J660" s="7" t="str">
        <f t="shared" si="53"/>
        <v/>
      </c>
      <c r="K660" s="7">
        <v>0</v>
      </c>
      <c r="L660" s="7" t="str">
        <f t="shared" si="54"/>
        <v/>
      </c>
      <c r="M660" s="7" t="str">
        <f t="shared" si="55"/>
        <v/>
      </c>
      <c r="N660" s="7">
        <v>0</v>
      </c>
      <c r="O660" s="7"/>
      <c r="P660" s="7"/>
      <c r="Q660" s="7"/>
      <c r="AC660"/>
      <c r="AD660" s="14"/>
    </row>
    <row r="661" spans="1:30" x14ac:dyDescent="0.25">
      <c r="A661" t="b">
        <f t="shared" si="56"/>
        <v>0</v>
      </c>
      <c r="B661">
        <v>2006</v>
      </c>
      <c r="C661">
        <v>148</v>
      </c>
      <c r="D661">
        <v>0</v>
      </c>
      <c r="E661">
        <v>2000</v>
      </c>
      <c r="F661" s="7">
        <v>69.06</v>
      </c>
      <c r="G661" s="7">
        <v>10.17</v>
      </c>
      <c r="H661" s="7">
        <v>0</v>
      </c>
      <c r="I661" s="7" t="str">
        <f t="shared" si="52"/>
        <v/>
      </c>
      <c r="J661" s="7" t="str">
        <f t="shared" si="53"/>
        <v/>
      </c>
      <c r="K661" s="7">
        <v>0</v>
      </c>
      <c r="L661" s="7" t="str">
        <f t="shared" si="54"/>
        <v/>
      </c>
      <c r="M661" s="7" t="str">
        <f t="shared" si="55"/>
        <v/>
      </c>
      <c r="N661" s="7">
        <v>0</v>
      </c>
      <c r="O661" s="7"/>
      <c r="P661" s="7"/>
      <c r="Q661" s="7"/>
      <c r="AC661"/>
      <c r="AD661" s="14"/>
    </row>
    <row r="662" spans="1:30" x14ac:dyDescent="0.25">
      <c r="A662" t="b">
        <f t="shared" si="56"/>
        <v>0</v>
      </c>
      <c r="B662">
        <v>2006</v>
      </c>
      <c r="C662">
        <v>148</v>
      </c>
      <c r="D662">
        <v>0</v>
      </c>
      <c r="E662">
        <v>2100</v>
      </c>
      <c r="F662" s="7">
        <v>5.1189999999999998</v>
      </c>
      <c r="G662" s="7">
        <v>9.07</v>
      </c>
      <c r="H662" s="7">
        <v>0</v>
      </c>
      <c r="I662" s="7" t="str">
        <f t="shared" si="52"/>
        <v/>
      </c>
      <c r="J662" s="7" t="str">
        <f t="shared" si="53"/>
        <v/>
      </c>
      <c r="K662" s="7">
        <v>0</v>
      </c>
      <c r="L662" s="7" t="str">
        <f t="shared" si="54"/>
        <v/>
      </c>
      <c r="M662" s="7" t="str">
        <f t="shared" si="55"/>
        <v/>
      </c>
      <c r="N662" s="7">
        <v>0</v>
      </c>
      <c r="O662" s="7"/>
      <c r="P662" s="7"/>
      <c r="Q662" s="7"/>
      <c r="AC662"/>
      <c r="AD662" s="14"/>
    </row>
    <row r="663" spans="1:30" x14ac:dyDescent="0.25">
      <c r="A663" t="b">
        <f t="shared" si="56"/>
        <v>0</v>
      </c>
      <c r="B663">
        <v>2006</v>
      </c>
      <c r="C663">
        <v>148</v>
      </c>
      <c r="D663">
        <v>0</v>
      </c>
      <c r="E663">
        <v>2200</v>
      </c>
      <c r="F663" s="7">
        <v>-2.415</v>
      </c>
      <c r="G663" s="7">
        <v>8.2200000000000006</v>
      </c>
      <c r="H663" s="7">
        <v>0</v>
      </c>
      <c r="I663" s="7" t="str">
        <f t="shared" si="52"/>
        <v/>
      </c>
      <c r="J663" s="7" t="str">
        <f t="shared" si="53"/>
        <v/>
      </c>
      <c r="K663" s="7">
        <v>0</v>
      </c>
      <c r="L663" s="7" t="str">
        <f t="shared" si="54"/>
        <v/>
      </c>
      <c r="M663" s="7" t="str">
        <f t="shared" si="55"/>
        <v/>
      </c>
      <c r="N663" s="7">
        <v>0</v>
      </c>
      <c r="O663" s="7"/>
      <c r="P663" s="7"/>
      <c r="Q663" s="7"/>
      <c r="AC663"/>
      <c r="AD663" s="14"/>
    </row>
    <row r="664" spans="1:30" x14ac:dyDescent="0.25">
      <c r="A664" t="b">
        <f t="shared" si="56"/>
        <v>0</v>
      </c>
      <c r="B664">
        <v>2006</v>
      </c>
      <c r="C664">
        <v>148</v>
      </c>
      <c r="D664">
        <v>0</v>
      </c>
      <c r="E664">
        <v>2300</v>
      </c>
      <c r="F664" s="7">
        <v>-2.0310000000000001</v>
      </c>
      <c r="G664" s="7">
        <v>7.42</v>
      </c>
      <c r="H664" s="7">
        <v>0</v>
      </c>
      <c r="I664" s="7" t="str">
        <f t="shared" si="52"/>
        <v/>
      </c>
      <c r="J664" s="7" t="str">
        <f t="shared" si="53"/>
        <v/>
      </c>
      <c r="K664" s="7">
        <v>0</v>
      </c>
      <c r="L664" s="7" t="str">
        <f t="shared" si="54"/>
        <v/>
      </c>
      <c r="M664" s="7" t="str">
        <f t="shared" si="55"/>
        <v/>
      </c>
      <c r="N664" s="7">
        <v>0</v>
      </c>
      <c r="O664" s="7"/>
      <c r="P664" s="7"/>
      <c r="Q664" s="7"/>
      <c r="AC664"/>
      <c r="AD664" s="14"/>
    </row>
    <row r="665" spans="1:30" x14ac:dyDescent="0.25">
      <c r="A665" t="b">
        <f t="shared" si="56"/>
        <v>0</v>
      </c>
      <c r="B665">
        <v>2006</v>
      </c>
      <c r="C665">
        <v>148</v>
      </c>
      <c r="D665">
        <v>0</v>
      </c>
      <c r="E665">
        <v>2400</v>
      </c>
      <c r="F665" s="7">
        <v>-1.4410000000000001</v>
      </c>
      <c r="G665" s="7">
        <v>7.4</v>
      </c>
      <c r="H665" s="7">
        <v>0</v>
      </c>
      <c r="I665" s="7" t="str">
        <f t="shared" si="52"/>
        <v/>
      </c>
      <c r="J665" s="7" t="str">
        <f t="shared" si="53"/>
        <v/>
      </c>
      <c r="K665" s="7">
        <v>0</v>
      </c>
      <c r="L665" s="7" t="str">
        <f t="shared" si="54"/>
        <v/>
      </c>
      <c r="M665" s="7" t="str">
        <f t="shared" si="55"/>
        <v/>
      </c>
      <c r="N665" s="7">
        <v>0</v>
      </c>
      <c r="O665" s="7"/>
      <c r="P665" s="7"/>
      <c r="Q665" s="7"/>
      <c r="AC665"/>
      <c r="AD665" s="14"/>
    </row>
    <row r="666" spans="1:30" x14ac:dyDescent="0.25">
      <c r="A666" t="b">
        <f t="shared" si="56"/>
        <v>1</v>
      </c>
      <c r="B666">
        <v>2006</v>
      </c>
      <c r="C666">
        <v>149</v>
      </c>
      <c r="D666">
        <v>0</v>
      </c>
      <c r="E666">
        <v>100</v>
      </c>
      <c r="F666" s="7">
        <v>-2.0720000000000001</v>
      </c>
      <c r="G666" s="7">
        <v>6.7380000000000004</v>
      </c>
      <c r="H666" s="7">
        <v>0</v>
      </c>
      <c r="I666" s="7">
        <f t="shared" si="52"/>
        <v>0</v>
      </c>
      <c r="J666" s="7">
        <f t="shared" si="53"/>
        <v>245.15579166666669</v>
      </c>
      <c r="K666" s="7">
        <v>0</v>
      </c>
      <c r="L666" s="7">
        <f t="shared" si="54"/>
        <v>12.75</v>
      </c>
      <c r="M666" s="7">
        <f t="shared" si="55"/>
        <v>5.51</v>
      </c>
      <c r="N666" s="7">
        <v>0</v>
      </c>
      <c r="O666" s="7"/>
      <c r="P666" s="7"/>
      <c r="Q666" s="7"/>
      <c r="AC666"/>
      <c r="AD666" s="14"/>
    </row>
    <row r="667" spans="1:30" x14ac:dyDescent="0.25">
      <c r="A667" t="b">
        <f t="shared" si="56"/>
        <v>0</v>
      </c>
      <c r="B667">
        <v>2006</v>
      </c>
      <c r="C667">
        <v>149</v>
      </c>
      <c r="D667">
        <v>0</v>
      </c>
      <c r="E667">
        <v>200</v>
      </c>
      <c r="F667" s="7">
        <v>-2.78</v>
      </c>
      <c r="G667" s="7">
        <v>6.0369999999999999</v>
      </c>
      <c r="H667" s="7">
        <v>0</v>
      </c>
      <c r="I667" s="7" t="str">
        <f t="shared" si="52"/>
        <v/>
      </c>
      <c r="J667" s="7" t="str">
        <f t="shared" si="53"/>
        <v/>
      </c>
      <c r="K667" s="7">
        <v>0</v>
      </c>
      <c r="L667" s="7" t="str">
        <f t="shared" si="54"/>
        <v/>
      </c>
      <c r="M667" s="7" t="str">
        <f t="shared" si="55"/>
        <v/>
      </c>
      <c r="N667" s="7">
        <v>0</v>
      </c>
      <c r="O667" s="7"/>
      <c r="P667" s="7"/>
      <c r="Q667" s="7"/>
      <c r="AC667"/>
      <c r="AD667" s="14"/>
    </row>
    <row r="668" spans="1:30" x14ac:dyDescent="0.25">
      <c r="A668" t="b">
        <f t="shared" si="56"/>
        <v>0</v>
      </c>
      <c r="B668">
        <v>2006</v>
      </c>
      <c r="C668">
        <v>149</v>
      </c>
      <c r="D668">
        <v>0</v>
      </c>
      <c r="E668">
        <v>300</v>
      </c>
      <c r="F668" s="7">
        <v>-2.4620000000000002</v>
      </c>
      <c r="G668" s="7">
        <v>5.51</v>
      </c>
      <c r="H668" s="7">
        <v>0</v>
      </c>
      <c r="I668" s="7" t="str">
        <f t="shared" si="52"/>
        <v/>
      </c>
      <c r="J668" s="7" t="str">
        <f t="shared" si="53"/>
        <v/>
      </c>
      <c r="K668" s="7">
        <v>0</v>
      </c>
      <c r="L668" s="7" t="str">
        <f t="shared" si="54"/>
        <v/>
      </c>
      <c r="M668" s="7" t="str">
        <f t="shared" si="55"/>
        <v/>
      </c>
      <c r="N668" s="7">
        <v>0</v>
      </c>
      <c r="O668" s="7"/>
      <c r="P668" s="7"/>
      <c r="Q668" s="7"/>
      <c r="AC668"/>
      <c r="AD668" s="14"/>
    </row>
    <row r="669" spans="1:30" x14ac:dyDescent="0.25">
      <c r="A669" t="b">
        <f t="shared" si="56"/>
        <v>0</v>
      </c>
      <c r="B669">
        <v>2006</v>
      </c>
      <c r="C669">
        <v>149</v>
      </c>
      <c r="D669">
        <v>0</v>
      </c>
      <c r="E669">
        <v>400</v>
      </c>
      <c r="F669" s="7">
        <v>-0.69499999999999995</v>
      </c>
      <c r="G669" s="7">
        <v>5.9089999999999998</v>
      </c>
      <c r="H669" s="7">
        <v>0</v>
      </c>
      <c r="I669" s="7" t="str">
        <f t="shared" si="52"/>
        <v/>
      </c>
      <c r="J669" s="7" t="str">
        <f t="shared" si="53"/>
        <v/>
      </c>
      <c r="K669" s="7">
        <v>0</v>
      </c>
      <c r="L669" s="7" t="str">
        <f t="shared" si="54"/>
        <v/>
      </c>
      <c r="M669" s="7" t="str">
        <f t="shared" si="55"/>
        <v/>
      </c>
      <c r="N669" s="7">
        <v>0</v>
      </c>
      <c r="O669" s="7"/>
      <c r="P669" s="7"/>
      <c r="Q669" s="7"/>
      <c r="AC669"/>
      <c r="AD669" s="14"/>
    </row>
    <row r="670" spans="1:30" x14ac:dyDescent="0.25">
      <c r="A670" t="b">
        <f t="shared" si="56"/>
        <v>0</v>
      </c>
      <c r="B670">
        <v>2006</v>
      </c>
      <c r="C670">
        <v>149</v>
      </c>
      <c r="D670">
        <v>0</v>
      </c>
      <c r="E670">
        <v>500</v>
      </c>
      <c r="F670" s="7">
        <v>13.21</v>
      </c>
      <c r="G670" s="7">
        <v>6.048</v>
      </c>
      <c r="H670" s="7">
        <v>0</v>
      </c>
      <c r="I670" s="7" t="str">
        <f t="shared" si="52"/>
        <v/>
      </c>
      <c r="J670" s="7" t="str">
        <f t="shared" si="53"/>
        <v/>
      </c>
      <c r="K670" s="7">
        <v>0</v>
      </c>
      <c r="L670" s="7" t="str">
        <f t="shared" si="54"/>
        <v/>
      </c>
      <c r="M670" s="7" t="str">
        <f t="shared" si="55"/>
        <v/>
      </c>
      <c r="N670" s="7">
        <v>0</v>
      </c>
      <c r="O670" s="7"/>
      <c r="P670" s="7"/>
      <c r="Q670" s="7"/>
      <c r="AC670"/>
      <c r="AD670" s="14"/>
    </row>
    <row r="671" spans="1:30" x14ac:dyDescent="0.25">
      <c r="A671" t="b">
        <f t="shared" si="56"/>
        <v>0</v>
      </c>
      <c r="B671">
        <v>2006</v>
      </c>
      <c r="C671">
        <v>149</v>
      </c>
      <c r="D671">
        <v>0</v>
      </c>
      <c r="E671">
        <v>600</v>
      </c>
      <c r="F671" s="7">
        <v>41.06</v>
      </c>
      <c r="G671" s="7">
        <v>6.782</v>
      </c>
      <c r="H671" s="7">
        <v>0</v>
      </c>
      <c r="I671" s="7" t="str">
        <f t="shared" si="52"/>
        <v/>
      </c>
      <c r="J671" s="7" t="str">
        <f t="shared" si="53"/>
        <v/>
      </c>
      <c r="K671" s="7">
        <v>0</v>
      </c>
      <c r="L671" s="7" t="str">
        <f t="shared" si="54"/>
        <v/>
      </c>
      <c r="M671" s="7" t="str">
        <f t="shared" si="55"/>
        <v/>
      </c>
      <c r="N671" s="7">
        <v>0</v>
      </c>
      <c r="O671" s="7"/>
      <c r="P671" s="7"/>
      <c r="Q671" s="7"/>
      <c r="AC671"/>
      <c r="AD671" s="14"/>
    </row>
    <row r="672" spans="1:30" x14ac:dyDescent="0.25">
      <c r="A672" t="b">
        <f t="shared" si="56"/>
        <v>0</v>
      </c>
      <c r="B672">
        <v>2006</v>
      </c>
      <c r="C672">
        <v>149</v>
      </c>
      <c r="D672">
        <v>0</v>
      </c>
      <c r="E672">
        <v>700</v>
      </c>
      <c r="F672" s="7">
        <v>108.9</v>
      </c>
      <c r="G672" s="7">
        <v>7.65</v>
      </c>
      <c r="H672" s="7">
        <v>0</v>
      </c>
      <c r="I672" s="7" t="str">
        <f t="shared" si="52"/>
        <v/>
      </c>
      <c r="J672" s="7" t="str">
        <f t="shared" si="53"/>
        <v/>
      </c>
      <c r="K672" s="7">
        <v>0</v>
      </c>
      <c r="L672" s="7" t="str">
        <f t="shared" si="54"/>
        <v/>
      </c>
      <c r="M672" s="7" t="str">
        <f t="shared" si="55"/>
        <v/>
      </c>
      <c r="N672" s="7">
        <v>0</v>
      </c>
      <c r="O672" s="7"/>
      <c r="P672" s="7"/>
      <c r="Q672" s="7"/>
      <c r="AC672"/>
      <c r="AD672" s="14"/>
    </row>
    <row r="673" spans="1:30" x14ac:dyDescent="0.25">
      <c r="A673" t="b">
        <f t="shared" si="56"/>
        <v>0</v>
      </c>
      <c r="B673">
        <v>2006</v>
      </c>
      <c r="C673">
        <v>149</v>
      </c>
      <c r="D673">
        <v>0</v>
      </c>
      <c r="E673">
        <v>800</v>
      </c>
      <c r="F673" s="7">
        <v>123.8</v>
      </c>
      <c r="G673" s="7">
        <v>8.82</v>
      </c>
      <c r="H673" s="7">
        <v>0</v>
      </c>
      <c r="I673" s="7" t="str">
        <f t="shared" si="52"/>
        <v/>
      </c>
      <c r="J673" s="7" t="str">
        <f t="shared" si="53"/>
        <v/>
      </c>
      <c r="K673" s="7">
        <v>0</v>
      </c>
      <c r="L673" s="7" t="str">
        <f t="shared" si="54"/>
        <v/>
      </c>
      <c r="M673" s="7" t="str">
        <f t="shared" si="55"/>
        <v/>
      </c>
      <c r="N673" s="7">
        <v>0</v>
      </c>
      <c r="O673" s="7"/>
      <c r="P673" s="7"/>
      <c r="Q673" s="7"/>
      <c r="AC673"/>
      <c r="AD673" s="14"/>
    </row>
    <row r="674" spans="1:30" x14ac:dyDescent="0.25">
      <c r="A674" t="b">
        <f t="shared" si="56"/>
        <v>0</v>
      </c>
      <c r="B674">
        <v>2006</v>
      </c>
      <c r="C674">
        <v>149</v>
      </c>
      <c r="D674">
        <v>0</v>
      </c>
      <c r="E674">
        <v>900</v>
      </c>
      <c r="F674" s="7">
        <v>168.3</v>
      </c>
      <c r="G674" s="7">
        <v>8.98</v>
      </c>
      <c r="H674" s="7">
        <v>0</v>
      </c>
      <c r="I674" s="7" t="str">
        <f t="shared" si="52"/>
        <v/>
      </c>
      <c r="J674" s="7" t="str">
        <f t="shared" si="53"/>
        <v/>
      </c>
      <c r="K674" s="7">
        <v>0</v>
      </c>
      <c r="L674" s="7" t="str">
        <f t="shared" si="54"/>
        <v/>
      </c>
      <c r="M674" s="7" t="str">
        <f t="shared" si="55"/>
        <v/>
      </c>
      <c r="N674" s="7">
        <v>0</v>
      </c>
      <c r="O674" s="7"/>
      <c r="P674" s="7"/>
      <c r="Q674" s="7"/>
      <c r="AC674"/>
      <c r="AD674" s="14"/>
    </row>
    <row r="675" spans="1:30" x14ac:dyDescent="0.25">
      <c r="A675" t="b">
        <f t="shared" si="56"/>
        <v>0</v>
      </c>
      <c r="B675">
        <v>2006</v>
      </c>
      <c r="C675">
        <v>149</v>
      </c>
      <c r="D675">
        <v>0</v>
      </c>
      <c r="E675">
        <v>1000</v>
      </c>
      <c r="F675" s="7">
        <v>554.20000000000005</v>
      </c>
      <c r="G675" s="7">
        <v>10.19</v>
      </c>
      <c r="H675" s="7">
        <v>0</v>
      </c>
      <c r="I675" s="7" t="str">
        <f t="shared" si="52"/>
        <v/>
      </c>
      <c r="J675" s="7" t="str">
        <f t="shared" si="53"/>
        <v/>
      </c>
      <c r="K675" s="7">
        <v>0</v>
      </c>
      <c r="L675" s="7" t="str">
        <f t="shared" si="54"/>
        <v/>
      </c>
      <c r="M675" s="7" t="str">
        <f t="shared" si="55"/>
        <v/>
      </c>
      <c r="N675" s="7">
        <v>0</v>
      </c>
      <c r="O675" s="7"/>
      <c r="P675" s="7"/>
      <c r="Q675" s="7"/>
      <c r="AC675"/>
      <c r="AD675" s="14"/>
    </row>
    <row r="676" spans="1:30" x14ac:dyDescent="0.25">
      <c r="A676" t="b">
        <f t="shared" si="56"/>
        <v>0</v>
      </c>
      <c r="B676">
        <v>2006</v>
      </c>
      <c r="C676">
        <v>149</v>
      </c>
      <c r="D676">
        <v>0</v>
      </c>
      <c r="E676">
        <v>1100</v>
      </c>
      <c r="F676" s="7">
        <v>634.6</v>
      </c>
      <c r="G676" s="7">
        <v>11.55</v>
      </c>
      <c r="H676" s="7">
        <v>0</v>
      </c>
      <c r="I676" s="7" t="str">
        <f t="shared" si="52"/>
        <v/>
      </c>
      <c r="J676" s="7" t="str">
        <f t="shared" si="53"/>
        <v/>
      </c>
      <c r="K676" s="7">
        <v>0</v>
      </c>
      <c r="L676" s="7" t="str">
        <f t="shared" si="54"/>
        <v/>
      </c>
      <c r="M676" s="7" t="str">
        <f t="shared" si="55"/>
        <v/>
      </c>
      <c r="N676" s="7">
        <v>0</v>
      </c>
      <c r="O676" s="7"/>
      <c r="P676" s="7"/>
      <c r="Q676" s="7"/>
      <c r="AC676"/>
      <c r="AD676" s="14"/>
    </row>
    <row r="677" spans="1:30" x14ac:dyDescent="0.25">
      <c r="A677" t="b">
        <f t="shared" si="56"/>
        <v>0</v>
      </c>
      <c r="B677">
        <v>2006</v>
      </c>
      <c r="C677">
        <v>149</v>
      </c>
      <c r="D677">
        <v>0</v>
      </c>
      <c r="E677">
        <v>1200</v>
      </c>
      <c r="F677" s="7">
        <v>738</v>
      </c>
      <c r="G677" s="7">
        <v>12.13</v>
      </c>
      <c r="H677" s="7">
        <v>0</v>
      </c>
      <c r="I677" s="7" t="str">
        <f t="shared" si="52"/>
        <v/>
      </c>
      <c r="J677" s="7" t="str">
        <f t="shared" si="53"/>
        <v/>
      </c>
      <c r="K677" s="7">
        <v>0</v>
      </c>
      <c r="L677" s="7" t="str">
        <f t="shared" si="54"/>
        <v/>
      </c>
      <c r="M677" s="7" t="str">
        <f t="shared" si="55"/>
        <v/>
      </c>
      <c r="N677" s="7">
        <v>0</v>
      </c>
      <c r="O677" s="7"/>
      <c r="P677" s="7"/>
      <c r="Q677" s="7"/>
      <c r="AC677"/>
      <c r="AD677" s="14"/>
    </row>
    <row r="678" spans="1:30" x14ac:dyDescent="0.25">
      <c r="A678" t="b">
        <f t="shared" si="56"/>
        <v>0</v>
      </c>
      <c r="B678">
        <v>2006</v>
      </c>
      <c r="C678">
        <v>149</v>
      </c>
      <c r="D678">
        <v>0</v>
      </c>
      <c r="E678">
        <v>1300</v>
      </c>
      <c r="F678" s="7">
        <v>684.2</v>
      </c>
      <c r="G678" s="7">
        <v>12.64</v>
      </c>
      <c r="H678" s="7">
        <v>0</v>
      </c>
      <c r="I678" s="7" t="str">
        <f t="shared" si="52"/>
        <v/>
      </c>
      <c r="J678" s="7" t="str">
        <f t="shared" si="53"/>
        <v/>
      </c>
      <c r="K678" s="7">
        <v>0</v>
      </c>
      <c r="L678" s="7" t="str">
        <f t="shared" si="54"/>
        <v/>
      </c>
      <c r="M678" s="7" t="str">
        <f t="shared" si="55"/>
        <v/>
      </c>
      <c r="N678" s="7">
        <v>0</v>
      </c>
      <c r="O678" s="7"/>
      <c r="P678" s="7"/>
      <c r="Q678" s="7"/>
      <c r="AC678"/>
      <c r="AD678" s="14"/>
    </row>
    <row r="679" spans="1:30" x14ac:dyDescent="0.25">
      <c r="A679" t="b">
        <f t="shared" si="56"/>
        <v>0</v>
      </c>
      <c r="B679">
        <v>2006</v>
      </c>
      <c r="C679">
        <v>149</v>
      </c>
      <c r="D679">
        <v>0</v>
      </c>
      <c r="E679">
        <v>1400</v>
      </c>
      <c r="F679" s="7">
        <v>799</v>
      </c>
      <c r="G679" s="7">
        <v>12.75</v>
      </c>
      <c r="H679" s="7">
        <v>0</v>
      </c>
      <c r="I679" s="7" t="str">
        <f t="shared" si="52"/>
        <v/>
      </c>
      <c r="J679" s="7" t="str">
        <f t="shared" si="53"/>
        <v/>
      </c>
      <c r="K679" s="7">
        <v>0</v>
      </c>
      <c r="L679" s="7" t="str">
        <f t="shared" si="54"/>
        <v/>
      </c>
      <c r="M679" s="7" t="str">
        <f t="shared" si="55"/>
        <v/>
      </c>
      <c r="N679" s="7">
        <v>0</v>
      </c>
      <c r="O679" s="7"/>
      <c r="P679" s="7"/>
      <c r="Q679" s="7"/>
      <c r="AC679"/>
      <c r="AD679" s="14"/>
    </row>
    <row r="680" spans="1:30" x14ac:dyDescent="0.25">
      <c r="A680" t="b">
        <f t="shared" si="56"/>
        <v>0</v>
      </c>
      <c r="B680">
        <v>2006</v>
      </c>
      <c r="C680">
        <v>149</v>
      </c>
      <c r="D680">
        <v>0</v>
      </c>
      <c r="E680">
        <v>1500</v>
      </c>
      <c r="F680" s="7">
        <v>690.9</v>
      </c>
      <c r="G680" s="7">
        <v>12.06</v>
      </c>
      <c r="H680" s="7">
        <v>0</v>
      </c>
      <c r="I680" s="7" t="str">
        <f t="shared" si="52"/>
        <v/>
      </c>
      <c r="J680" s="7" t="str">
        <f t="shared" si="53"/>
        <v/>
      </c>
      <c r="K680" s="7">
        <v>0</v>
      </c>
      <c r="L680" s="7" t="str">
        <f t="shared" si="54"/>
        <v/>
      </c>
      <c r="M680" s="7" t="str">
        <f t="shared" si="55"/>
        <v/>
      </c>
      <c r="N680" s="7">
        <v>0</v>
      </c>
      <c r="O680" s="7"/>
      <c r="P680" s="7"/>
      <c r="Q680" s="7"/>
      <c r="AC680"/>
      <c r="AD680" s="14"/>
    </row>
    <row r="681" spans="1:30" x14ac:dyDescent="0.25">
      <c r="A681" t="b">
        <f t="shared" si="56"/>
        <v>0</v>
      </c>
      <c r="B681">
        <v>2006</v>
      </c>
      <c r="C681">
        <v>149</v>
      </c>
      <c r="D681">
        <v>0</v>
      </c>
      <c r="E681">
        <v>1600</v>
      </c>
      <c r="F681" s="7">
        <v>428.8</v>
      </c>
      <c r="G681" s="7">
        <v>10.67</v>
      </c>
      <c r="H681" s="7">
        <v>0</v>
      </c>
      <c r="I681" s="7" t="str">
        <f t="shared" si="52"/>
        <v/>
      </c>
      <c r="J681" s="7" t="str">
        <f t="shared" si="53"/>
        <v/>
      </c>
      <c r="K681" s="7">
        <v>0</v>
      </c>
      <c r="L681" s="7" t="str">
        <f t="shared" si="54"/>
        <v/>
      </c>
      <c r="M681" s="7" t="str">
        <f t="shared" si="55"/>
        <v/>
      </c>
      <c r="N681" s="7">
        <v>0</v>
      </c>
      <c r="O681" s="7"/>
      <c r="P681" s="7"/>
      <c r="Q681" s="7"/>
      <c r="AC681"/>
      <c r="AD681" s="14"/>
    </row>
    <row r="682" spans="1:30" x14ac:dyDescent="0.25">
      <c r="A682" t="b">
        <f t="shared" si="56"/>
        <v>0</v>
      </c>
      <c r="B682">
        <v>2006</v>
      </c>
      <c r="C682">
        <v>149</v>
      </c>
      <c r="D682">
        <v>0</v>
      </c>
      <c r="E682">
        <v>1700</v>
      </c>
      <c r="F682" s="7">
        <v>385.8</v>
      </c>
      <c r="G682" s="7">
        <v>10.32</v>
      </c>
      <c r="H682" s="7">
        <v>0</v>
      </c>
      <c r="I682" s="7" t="str">
        <f t="shared" si="52"/>
        <v/>
      </c>
      <c r="J682" s="7" t="str">
        <f t="shared" si="53"/>
        <v/>
      </c>
      <c r="K682" s="7">
        <v>0</v>
      </c>
      <c r="L682" s="7" t="str">
        <f t="shared" si="54"/>
        <v/>
      </c>
      <c r="M682" s="7" t="str">
        <f t="shared" si="55"/>
        <v/>
      </c>
      <c r="N682" s="7">
        <v>0</v>
      </c>
      <c r="O682" s="7"/>
      <c r="P682" s="7"/>
      <c r="Q682" s="7"/>
      <c r="AC682"/>
      <c r="AD682" s="14"/>
    </row>
    <row r="683" spans="1:30" x14ac:dyDescent="0.25">
      <c r="A683" t="b">
        <f t="shared" si="56"/>
        <v>0</v>
      </c>
      <c r="B683">
        <v>2006</v>
      </c>
      <c r="C683">
        <v>149</v>
      </c>
      <c r="D683">
        <v>0</v>
      </c>
      <c r="E683">
        <v>1800</v>
      </c>
      <c r="F683" s="7">
        <v>328.3</v>
      </c>
      <c r="G683" s="7">
        <v>10.36</v>
      </c>
      <c r="H683" s="7">
        <v>0</v>
      </c>
      <c r="I683" s="7" t="str">
        <f t="shared" si="52"/>
        <v/>
      </c>
      <c r="J683" s="7" t="str">
        <f t="shared" si="53"/>
        <v/>
      </c>
      <c r="K683" s="7">
        <v>0</v>
      </c>
      <c r="L683" s="7" t="str">
        <f t="shared" si="54"/>
        <v/>
      </c>
      <c r="M683" s="7" t="str">
        <f t="shared" si="55"/>
        <v/>
      </c>
      <c r="N683" s="7">
        <v>0</v>
      </c>
      <c r="O683" s="7"/>
      <c r="P683" s="7"/>
      <c r="Q683" s="7"/>
      <c r="AC683"/>
      <c r="AD683" s="14"/>
    </row>
    <row r="684" spans="1:30" x14ac:dyDescent="0.25">
      <c r="A684" t="b">
        <f t="shared" si="56"/>
        <v>0</v>
      </c>
      <c r="B684">
        <v>2006</v>
      </c>
      <c r="C684">
        <v>149</v>
      </c>
      <c r="D684">
        <v>0</v>
      </c>
      <c r="E684">
        <v>1900</v>
      </c>
      <c r="F684" s="7">
        <v>120.2</v>
      </c>
      <c r="G684" s="7">
        <v>9.2899999999999991</v>
      </c>
      <c r="H684" s="7">
        <v>0</v>
      </c>
      <c r="I684" s="7" t="str">
        <f t="shared" si="52"/>
        <v/>
      </c>
      <c r="J684" s="7" t="str">
        <f t="shared" si="53"/>
        <v/>
      </c>
      <c r="K684" s="7">
        <v>0</v>
      </c>
      <c r="L684" s="7" t="str">
        <f t="shared" si="54"/>
        <v/>
      </c>
      <c r="M684" s="7" t="str">
        <f t="shared" si="55"/>
        <v/>
      </c>
      <c r="N684" s="7">
        <v>0</v>
      </c>
      <c r="O684" s="7"/>
      <c r="P684" s="7"/>
      <c r="Q684" s="7"/>
      <c r="AC684"/>
      <c r="AD684" s="14"/>
    </row>
    <row r="685" spans="1:30" x14ac:dyDescent="0.25">
      <c r="A685" t="b">
        <f t="shared" si="56"/>
        <v>0</v>
      </c>
      <c r="B685">
        <v>2006</v>
      </c>
      <c r="C685">
        <v>149</v>
      </c>
      <c r="D685">
        <v>0</v>
      </c>
      <c r="E685">
        <v>2000</v>
      </c>
      <c r="F685" s="7">
        <v>66.650000000000006</v>
      </c>
      <c r="G685" s="7">
        <v>8.68</v>
      </c>
      <c r="H685" s="7">
        <v>0</v>
      </c>
      <c r="I685" s="7" t="str">
        <f t="shared" si="52"/>
        <v/>
      </c>
      <c r="J685" s="7" t="str">
        <f t="shared" si="53"/>
        <v/>
      </c>
      <c r="K685" s="7">
        <v>0</v>
      </c>
      <c r="L685" s="7" t="str">
        <f t="shared" si="54"/>
        <v/>
      </c>
      <c r="M685" s="7" t="str">
        <f t="shared" si="55"/>
        <v/>
      </c>
      <c r="N685" s="7">
        <v>0</v>
      </c>
      <c r="O685" s="7"/>
      <c r="P685" s="7"/>
      <c r="Q685" s="7"/>
      <c r="AC685"/>
      <c r="AD685" s="14"/>
    </row>
    <row r="686" spans="1:30" x14ac:dyDescent="0.25">
      <c r="A686" t="b">
        <f t="shared" si="56"/>
        <v>0</v>
      </c>
      <c r="B686">
        <v>2006</v>
      </c>
      <c r="C686">
        <v>149</v>
      </c>
      <c r="D686">
        <v>0</v>
      </c>
      <c r="E686">
        <v>2100</v>
      </c>
      <c r="F686" s="7">
        <v>12.14</v>
      </c>
      <c r="G686" s="7">
        <v>8.1199999999999992</v>
      </c>
      <c r="H686" s="7">
        <v>0</v>
      </c>
      <c r="I686" s="7" t="str">
        <f t="shared" si="52"/>
        <v/>
      </c>
      <c r="J686" s="7" t="str">
        <f t="shared" si="53"/>
        <v/>
      </c>
      <c r="K686" s="7">
        <v>0</v>
      </c>
      <c r="L686" s="7" t="str">
        <f t="shared" si="54"/>
        <v/>
      </c>
      <c r="M686" s="7" t="str">
        <f t="shared" si="55"/>
        <v/>
      </c>
      <c r="N686" s="7">
        <v>0</v>
      </c>
      <c r="O686" s="7"/>
      <c r="P686" s="7"/>
      <c r="Q686" s="7"/>
      <c r="AC686"/>
      <c r="AD686" s="14"/>
    </row>
    <row r="687" spans="1:30" x14ac:dyDescent="0.25">
      <c r="A687" t="b">
        <f t="shared" si="56"/>
        <v>0</v>
      </c>
      <c r="B687">
        <v>2006</v>
      </c>
      <c r="C687">
        <v>149</v>
      </c>
      <c r="D687">
        <v>0</v>
      </c>
      <c r="E687">
        <v>2200</v>
      </c>
      <c r="F687" s="7">
        <v>-1.9770000000000001</v>
      </c>
      <c r="G687" s="7">
        <v>7.64</v>
      </c>
      <c r="H687" s="7">
        <v>0</v>
      </c>
      <c r="I687" s="7" t="str">
        <f t="shared" si="52"/>
        <v/>
      </c>
      <c r="J687" s="7" t="str">
        <f t="shared" si="53"/>
        <v/>
      </c>
      <c r="K687" s="7">
        <v>0</v>
      </c>
      <c r="L687" s="7" t="str">
        <f t="shared" si="54"/>
        <v/>
      </c>
      <c r="M687" s="7" t="str">
        <f t="shared" si="55"/>
        <v/>
      </c>
      <c r="N687" s="7">
        <v>0</v>
      </c>
      <c r="O687" s="7"/>
      <c r="P687" s="7"/>
      <c r="Q687" s="7"/>
      <c r="AC687"/>
      <c r="AD687" s="14"/>
    </row>
    <row r="688" spans="1:30" x14ac:dyDescent="0.25">
      <c r="A688" t="b">
        <f t="shared" si="56"/>
        <v>0</v>
      </c>
      <c r="B688">
        <v>2006</v>
      </c>
      <c r="C688">
        <v>149</v>
      </c>
      <c r="D688">
        <v>0</v>
      </c>
      <c r="E688">
        <v>2300</v>
      </c>
      <c r="F688" s="7">
        <v>-2.0089999999999999</v>
      </c>
      <c r="G688" s="7">
        <v>7.23</v>
      </c>
      <c r="H688" s="7">
        <v>0</v>
      </c>
      <c r="I688" s="7" t="str">
        <f t="shared" si="52"/>
        <v/>
      </c>
      <c r="J688" s="7" t="str">
        <f t="shared" si="53"/>
        <v/>
      </c>
      <c r="K688" s="7">
        <v>0</v>
      </c>
      <c r="L688" s="7" t="str">
        <f t="shared" si="54"/>
        <v/>
      </c>
      <c r="M688" s="7" t="str">
        <f t="shared" si="55"/>
        <v/>
      </c>
      <c r="N688" s="7">
        <v>0</v>
      </c>
      <c r="O688" s="7"/>
      <c r="P688" s="7"/>
      <c r="Q688" s="7"/>
      <c r="AC688"/>
      <c r="AD688" s="14"/>
    </row>
    <row r="689" spans="1:30" x14ac:dyDescent="0.25">
      <c r="A689" t="b">
        <f t="shared" si="56"/>
        <v>0</v>
      </c>
      <c r="B689">
        <v>2006</v>
      </c>
      <c r="C689">
        <v>149</v>
      </c>
      <c r="D689">
        <v>0</v>
      </c>
      <c r="E689">
        <v>2400</v>
      </c>
      <c r="F689" s="7">
        <v>-2.3260000000000001</v>
      </c>
      <c r="G689" s="7">
        <v>7.04</v>
      </c>
      <c r="H689" s="7">
        <v>0</v>
      </c>
      <c r="I689" s="7" t="str">
        <f t="shared" si="52"/>
        <v/>
      </c>
      <c r="J689" s="7" t="str">
        <f t="shared" si="53"/>
        <v/>
      </c>
      <c r="K689" s="7">
        <v>0</v>
      </c>
      <c r="L689" s="7" t="str">
        <f t="shared" si="54"/>
        <v/>
      </c>
      <c r="M689" s="7" t="str">
        <f t="shared" si="55"/>
        <v/>
      </c>
      <c r="N689" s="7">
        <v>0</v>
      </c>
      <c r="O689" s="7"/>
      <c r="P689" s="7"/>
      <c r="Q689" s="7"/>
      <c r="AC689"/>
      <c r="AD689" s="14"/>
    </row>
    <row r="690" spans="1:30" x14ac:dyDescent="0.25">
      <c r="A690" t="b">
        <f t="shared" si="56"/>
        <v>1</v>
      </c>
      <c r="B690">
        <v>2006</v>
      </c>
      <c r="C690">
        <v>150</v>
      </c>
      <c r="D690">
        <v>0</v>
      </c>
      <c r="E690">
        <v>100</v>
      </c>
      <c r="F690" s="7">
        <v>-1.633</v>
      </c>
      <c r="G690" s="7">
        <v>7.19</v>
      </c>
      <c r="H690" s="7">
        <v>0</v>
      </c>
      <c r="I690" s="7">
        <f t="shared" si="52"/>
        <v>0</v>
      </c>
      <c r="J690" s="7">
        <f t="shared" si="53"/>
        <v>332.5972083333333</v>
      </c>
      <c r="K690" s="7">
        <v>0</v>
      </c>
      <c r="L690" s="7">
        <f t="shared" si="54"/>
        <v>12.38</v>
      </c>
      <c r="M690" s="7">
        <f t="shared" si="55"/>
        <v>5.9219999999999997</v>
      </c>
      <c r="N690" s="7">
        <v>0</v>
      </c>
      <c r="O690" s="7"/>
      <c r="P690" s="7"/>
      <c r="Q690" s="7"/>
      <c r="AC690"/>
      <c r="AD690" s="14"/>
    </row>
    <row r="691" spans="1:30" x14ac:dyDescent="0.25">
      <c r="A691" t="b">
        <f t="shared" si="56"/>
        <v>0</v>
      </c>
      <c r="B691">
        <v>2006</v>
      </c>
      <c r="C691">
        <v>150</v>
      </c>
      <c r="D691">
        <v>0</v>
      </c>
      <c r="E691">
        <v>200</v>
      </c>
      <c r="F691" s="7">
        <v>-2.0609999999999999</v>
      </c>
      <c r="G691" s="7">
        <v>6.9020000000000001</v>
      </c>
      <c r="H691" s="7">
        <v>0</v>
      </c>
      <c r="I691" s="7" t="str">
        <f t="shared" si="52"/>
        <v/>
      </c>
      <c r="J691" s="7" t="str">
        <f t="shared" si="53"/>
        <v/>
      </c>
      <c r="K691" s="7">
        <v>0</v>
      </c>
      <c r="L691" s="7" t="str">
        <f t="shared" si="54"/>
        <v/>
      </c>
      <c r="M691" s="7" t="str">
        <f t="shared" si="55"/>
        <v/>
      </c>
      <c r="N691" s="7">
        <v>0</v>
      </c>
      <c r="O691" s="7"/>
      <c r="P691" s="7"/>
      <c r="Q691" s="7"/>
      <c r="AC691"/>
      <c r="AD691" s="14"/>
    </row>
    <row r="692" spans="1:30" x14ac:dyDescent="0.25">
      <c r="A692" t="b">
        <f t="shared" si="56"/>
        <v>0</v>
      </c>
      <c r="B692">
        <v>2006</v>
      </c>
      <c r="C692">
        <v>150</v>
      </c>
      <c r="D692">
        <v>0</v>
      </c>
      <c r="E692">
        <v>300</v>
      </c>
      <c r="F692" s="7">
        <v>-2.323</v>
      </c>
      <c r="G692" s="7">
        <v>6.6449999999999996</v>
      </c>
      <c r="H692" s="7">
        <v>0</v>
      </c>
      <c r="I692" s="7" t="str">
        <f t="shared" si="52"/>
        <v/>
      </c>
      <c r="J692" s="7" t="str">
        <f t="shared" si="53"/>
        <v/>
      </c>
      <c r="K692" s="7">
        <v>0</v>
      </c>
      <c r="L692" s="7" t="str">
        <f t="shared" si="54"/>
        <v/>
      </c>
      <c r="M692" s="7" t="str">
        <f t="shared" si="55"/>
        <v/>
      </c>
      <c r="N692" s="7">
        <v>0</v>
      </c>
      <c r="O692" s="7"/>
      <c r="P692" s="7"/>
      <c r="Q692" s="7"/>
      <c r="AC692"/>
      <c r="AD692" s="14"/>
    </row>
    <row r="693" spans="1:30" x14ac:dyDescent="0.25">
      <c r="A693" t="b">
        <f t="shared" si="56"/>
        <v>0</v>
      </c>
      <c r="B693">
        <v>2006</v>
      </c>
      <c r="C693">
        <v>150</v>
      </c>
      <c r="D693">
        <v>0</v>
      </c>
      <c r="E693">
        <v>400</v>
      </c>
      <c r="F693" s="7">
        <v>-1.5229999999999999</v>
      </c>
      <c r="G693" s="7">
        <v>6.1639999999999997</v>
      </c>
      <c r="H693" s="7">
        <v>0</v>
      </c>
      <c r="I693" s="7" t="str">
        <f t="shared" si="52"/>
        <v/>
      </c>
      <c r="J693" s="7" t="str">
        <f t="shared" si="53"/>
        <v/>
      </c>
      <c r="K693" s="7">
        <v>0</v>
      </c>
      <c r="L693" s="7" t="str">
        <f t="shared" si="54"/>
        <v/>
      </c>
      <c r="M693" s="7" t="str">
        <f t="shared" si="55"/>
        <v/>
      </c>
      <c r="N693" s="7">
        <v>0</v>
      </c>
      <c r="O693" s="7"/>
      <c r="P693" s="7"/>
      <c r="Q693" s="7"/>
      <c r="AC693"/>
      <c r="AD693" s="14"/>
    </row>
    <row r="694" spans="1:30" x14ac:dyDescent="0.25">
      <c r="A694" t="b">
        <f t="shared" si="56"/>
        <v>0</v>
      </c>
      <c r="B694">
        <v>2006</v>
      </c>
      <c r="C694">
        <v>150</v>
      </c>
      <c r="D694">
        <v>0</v>
      </c>
      <c r="E694">
        <v>500</v>
      </c>
      <c r="F694" s="7">
        <v>17.170000000000002</v>
      </c>
      <c r="G694" s="7">
        <v>5.9219999999999997</v>
      </c>
      <c r="H694" s="7">
        <v>0</v>
      </c>
      <c r="I694" s="7" t="str">
        <f t="shared" si="52"/>
        <v/>
      </c>
      <c r="J694" s="7" t="str">
        <f t="shared" si="53"/>
        <v/>
      </c>
      <c r="K694" s="7">
        <v>0</v>
      </c>
      <c r="L694" s="7" t="str">
        <f t="shared" si="54"/>
        <v/>
      </c>
      <c r="M694" s="7" t="str">
        <f t="shared" si="55"/>
        <v/>
      </c>
      <c r="N694" s="7">
        <v>0</v>
      </c>
      <c r="O694" s="7"/>
      <c r="P694" s="7"/>
      <c r="Q694" s="7"/>
      <c r="AC694"/>
      <c r="AD694" s="14"/>
    </row>
    <row r="695" spans="1:30" x14ac:dyDescent="0.25">
      <c r="A695" t="b">
        <f t="shared" si="56"/>
        <v>0</v>
      </c>
      <c r="B695">
        <v>2006</v>
      </c>
      <c r="C695">
        <v>150</v>
      </c>
      <c r="D695">
        <v>0</v>
      </c>
      <c r="E695">
        <v>600</v>
      </c>
      <c r="F695" s="7">
        <v>130.30000000000001</v>
      </c>
      <c r="G695" s="7">
        <v>6.7850000000000001</v>
      </c>
      <c r="H695" s="7">
        <v>0</v>
      </c>
      <c r="I695" s="7" t="str">
        <f t="shared" si="52"/>
        <v/>
      </c>
      <c r="J695" s="7" t="str">
        <f t="shared" si="53"/>
        <v/>
      </c>
      <c r="K695" s="7">
        <v>0</v>
      </c>
      <c r="L695" s="7" t="str">
        <f t="shared" si="54"/>
        <v/>
      </c>
      <c r="M695" s="7" t="str">
        <f t="shared" si="55"/>
        <v/>
      </c>
      <c r="N695" s="7">
        <v>0</v>
      </c>
      <c r="O695" s="7"/>
      <c r="P695" s="7"/>
      <c r="Q695" s="7"/>
      <c r="AC695"/>
      <c r="AD695" s="14"/>
    </row>
    <row r="696" spans="1:30" x14ac:dyDescent="0.25">
      <c r="A696" t="b">
        <f t="shared" si="56"/>
        <v>0</v>
      </c>
      <c r="B696">
        <v>2006</v>
      </c>
      <c r="C696">
        <v>150</v>
      </c>
      <c r="D696">
        <v>0</v>
      </c>
      <c r="E696">
        <v>700</v>
      </c>
      <c r="F696" s="7">
        <v>300.3</v>
      </c>
      <c r="G696" s="7">
        <v>8.3800000000000008</v>
      </c>
      <c r="H696" s="7">
        <v>0</v>
      </c>
      <c r="I696" s="7" t="str">
        <f t="shared" si="52"/>
        <v/>
      </c>
      <c r="J696" s="7" t="str">
        <f t="shared" si="53"/>
        <v/>
      </c>
      <c r="K696" s="7">
        <v>0</v>
      </c>
      <c r="L696" s="7" t="str">
        <f t="shared" si="54"/>
        <v/>
      </c>
      <c r="M696" s="7" t="str">
        <f t="shared" si="55"/>
        <v/>
      </c>
      <c r="N696" s="7">
        <v>0</v>
      </c>
      <c r="O696" s="7"/>
      <c r="P696" s="7"/>
      <c r="Q696" s="7"/>
      <c r="AC696"/>
      <c r="AD696" s="14"/>
    </row>
    <row r="697" spans="1:30" x14ac:dyDescent="0.25">
      <c r="A697" t="b">
        <f t="shared" si="56"/>
        <v>0</v>
      </c>
      <c r="B697">
        <v>2006</v>
      </c>
      <c r="C697">
        <v>150</v>
      </c>
      <c r="D697">
        <v>0</v>
      </c>
      <c r="E697">
        <v>800</v>
      </c>
      <c r="F697" s="7">
        <v>416</v>
      </c>
      <c r="G697" s="7">
        <v>9.26</v>
      </c>
      <c r="H697" s="7">
        <v>0</v>
      </c>
      <c r="I697" s="7" t="str">
        <f t="shared" si="52"/>
        <v/>
      </c>
      <c r="J697" s="7" t="str">
        <f t="shared" si="53"/>
        <v/>
      </c>
      <c r="K697" s="7">
        <v>0</v>
      </c>
      <c r="L697" s="7" t="str">
        <f t="shared" si="54"/>
        <v/>
      </c>
      <c r="M697" s="7" t="str">
        <f t="shared" si="55"/>
        <v/>
      </c>
      <c r="N697" s="7">
        <v>0</v>
      </c>
      <c r="O697" s="7"/>
      <c r="P697" s="7"/>
      <c r="Q697" s="7"/>
      <c r="AC697"/>
      <c r="AD697" s="14"/>
    </row>
    <row r="698" spans="1:30" x14ac:dyDescent="0.25">
      <c r="A698" t="b">
        <f t="shared" si="56"/>
        <v>0</v>
      </c>
      <c r="B698">
        <v>2006</v>
      </c>
      <c r="C698">
        <v>150</v>
      </c>
      <c r="D698">
        <v>0</v>
      </c>
      <c r="E698">
        <v>900</v>
      </c>
      <c r="F698" s="7">
        <v>586.70000000000005</v>
      </c>
      <c r="G698" s="7">
        <v>10.17</v>
      </c>
      <c r="H698" s="7">
        <v>0</v>
      </c>
      <c r="I698" s="7" t="str">
        <f t="shared" si="52"/>
        <v/>
      </c>
      <c r="J698" s="7" t="str">
        <f t="shared" si="53"/>
        <v/>
      </c>
      <c r="K698" s="7">
        <v>0</v>
      </c>
      <c r="L698" s="7" t="str">
        <f t="shared" si="54"/>
        <v/>
      </c>
      <c r="M698" s="7" t="str">
        <f t="shared" si="55"/>
        <v/>
      </c>
      <c r="N698" s="7">
        <v>0</v>
      </c>
      <c r="O698" s="7"/>
      <c r="P698" s="7"/>
      <c r="Q698" s="7"/>
      <c r="AC698"/>
      <c r="AD698" s="14"/>
    </row>
    <row r="699" spans="1:30" x14ac:dyDescent="0.25">
      <c r="A699" t="b">
        <f t="shared" si="56"/>
        <v>0</v>
      </c>
      <c r="B699">
        <v>2006</v>
      </c>
      <c r="C699">
        <v>150</v>
      </c>
      <c r="D699">
        <v>0</v>
      </c>
      <c r="E699">
        <v>1000</v>
      </c>
      <c r="F699" s="7">
        <v>692.8</v>
      </c>
      <c r="G699" s="7">
        <v>11.06</v>
      </c>
      <c r="H699" s="7">
        <v>0</v>
      </c>
      <c r="I699" s="7" t="str">
        <f t="shared" si="52"/>
        <v/>
      </c>
      <c r="J699" s="7" t="str">
        <f t="shared" si="53"/>
        <v/>
      </c>
      <c r="K699" s="7">
        <v>0</v>
      </c>
      <c r="L699" s="7" t="str">
        <f t="shared" si="54"/>
        <v/>
      </c>
      <c r="M699" s="7" t="str">
        <f t="shared" si="55"/>
        <v/>
      </c>
      <c r="N699" s="7">
        <v>0</v>
      </c>
      <c r="O699" s="7"/>
      <c r="P699" s="7"/>
      <c r="Q699" s="7"/>
      <c r="AC699"/>
      <c r="AD699" s="14"/>
    </row>
    <row r="700" spans="1:30" x14ac:dyDescent="0.25">
      <c r="A700" t="b">
        <f t="shared" si="56"/>
        <v>0</v>
      </c>
      <c r="B700">
        <v>2006</v>
      </c>
      <c r="C700">
        <v>150</v>
      </c>
      <c r="D700">
        <v>0</v>
      </c>
      <c r="E700">
        <v>1100</v>
      </c>
      <c r="F700" s="7">
        <v>848</v>
      </c>
      <c r="G700" s="7">
        <v>12.04</v>
      </c>
      <c r="H700" s="7">
        <v>0</v>
      </c>
      <c r="I700" s="7" t="str">
        <f t="shared" si="52"/>
        <v/>
      </c>
      <c r="J700" s="7" t="str">
        <f t="shared" si="53"/>
        <v/>
      </c>
      <c r="K700" s="7">
        <v>0</v>
      </c>
      <c r="L700" s="7" t="str">
        <f t="shared" si="54"/>
        <v/>
      </c>
      <c r="M700" s="7" t="str">
        <f t="shared" si="55"/>
        <v/>
      </c>
      <c r="N700" s="7">
        <v>0</v>
      </c>
      <c r="O700" s="7"/>
      <c r="P700" s="7"/>
      <c r="Q700" s="7"/>
      <c r="AC700"/>
      <c r="AD700" s="14"/>
    </row>
    <row r="701" spans="1:30" x14ac:dyDescent="0.25">
      <c r="A701" t="b">
        <f t="shared" si="56"/>
        <v>0</v>
      </c>
      <c r="B701">
        <v>2006</v>
      </c>
      <c r="C701">
        <v>150</v>
      </c>
      <c r="D701">
        <v>0</v>
      </c>
      <c r="E701">
        <v>1200</v>
      </c>
      <c r="F701" s="7">
        <v>898</v>
      </c>
      <c r="G701" s="7">
        <v>12.38</v>
      </c>
      <c r="H701" s="7">
        <v>0</v>
      </c>
      <c r="I701" s="7" t="str">
        <f t="shared" si="52"/>
        <v/>
      </c>
      <c r="J701" s="7" t="str">
        <f t="shared" si="53"/>
        <v/>
      </c>
      <c r="K701" s="7">
        <v>0</v>
      </c>
      <c r="L701" s="7" t="str">
        <f t="shared" si="54"/>
        <v/>
      </c>
      <c r="M701" s="7" t="str">
        <f t="shared" si="55"/>
        <v/>
      </c>
      <c r="N701" s="7">
        <v>0</v>
      </c>
      <c r="O701" s="7"/>
      <c r="P701" s="7"/>
      <c r="Q701" s="7"/>
      <c r="AC701"/>
      <c r="AD701" s="14"/>
    </row>
    <row r="702" spans="1:30" x14ac:dyDescent="0.25">
      <c r="A702" t="b">
        <f t="shared" si="56"/>
        <v>0</v>
      </c>
      <c r="B702">
        <v>2006</v>
      </c>
      <c r="C702">
        <v>150</v>
      </c>
      <c r="D702">
        <v>0</v>
      </c>
      <c r="E702">
        <v>1300</v>
      </c>
      <c r="F702" s="7">
        <v>857</v>
      </c>
      <c r="G702" s="7">
        <v>12.25</v>
      </c>
      <c r="H702" s="7">
        <v>0</v>
      </c>
      <c r="I702" s="7" t="str">
        <f t="shared" si="52"/>
        <v/>
      </c>
      <c r="J702" s="7" t="str">
        <f t="shared" si="53"/>
        <v/>
      </c>
      <c r="K702" s="7">
        <v>0</v>
      </c>
      <c r="L702" s="7" t="str">
        <f t="shared" si="54"/>
        <v/>
      </c>
      <c r="M702" s="7" t="str">
        <f t="shared" si="55"/>
        <v/>
      </c>
      <c r="N702" s="7">
        <v>0</v>
      </c>
      <c r="O702" s="7"/>
      <c r="P702" s="7"/>
      <c r="Q702" s="7"/>
      <c r="AC702"/>
      <c r="AD702" s="14"/>
    </row>
    <row r="703" spans="1:30" x14ac:dyDescent="0.25">
      <c r="A703" t="b">
        <f t="shared" si="56"/>
        <v>0</v>
      </c>
      <c r="B703">
        <v>2006</v>
      </c>
      <c r="C703">
        <v>150</v>
      </c>
      <c r="D703">
        <v>0</v>
      </c>
      <c r="E703">
        <v>1400</v>
      </c>
      <c r="F703" s="7">
        <v>679.9</v>
      </c>
      <c r="G703" s="7">
        <v>12.03</v>
      </c>
      <c r="H703" s="7">
        <v>0</v>
      </c>
      <c r="I703" s="7" t="str">
        <f t="shared" si="52"/>
        <v/>
      </c>
      <c r="J703" s="7" t="str">
        <f t="shared" si="53"/>
        <v/>
      </c>
      <c r="K703" s="7">
        <v>0</v>
      </c>
      <c r="L703" s="7" t="str">
        <f t="shared" si="54"/>
        <v/>
      </c>
      <c r="M703" s="7" t="str">
        <f t="shared" si="55"/>
        <v/>
      </c>
      <c r="N703" s="7">
        <v>0</v>
      </c>
      <c r="O703" s="7"/>
      <c r="P703" s="7"/>
      <c r="Q703" s="7"/>
      <c r="AC703"/>
      <c r="AD703" s="14"/>
    </row>
    <row r="704" spans="1:30" x14ac:dyDescent="0.25">
      <c r="A704" t="b">
        <f t="shared" si="56"/>
        <v>0</v>
      </c>
      <c r="B704">
        <v>2006</v>
      </c>
      <c r="C704">
        <v>150</v>
      </c>
      <c r="D704">
        <v>0</v>
      </c>
      <c r="E704">
        <v>1500</v>
      </c>
      <c r="F704" s="7">
        <v>726</v>
      </c>
      <c r="G704" s="7">
        <v>12.19</v>
      </c>
      <c r="H704" s="7">
        <v>0</v>
      </c>
      <c r="I704" s="7" t="str">
        <f t="shared" si="52"/>
        <v/>
      </c>
      <c r="J704" s="7" t="str">
        <f t="shared" si="53"/>
        <v/>
      </c>
      <c r="K704" s="7">
        <v>0</v>
      </c>
      <c r="L704" s="7" t="str">
        <f t="shared" si="54"/>
        <v/>
      </c>
      <c r="M704" s="7" t="str">
        <f t="shared" si="55"/>
        <v/>
      </c>
      <c r="N704" s="7">
        <v>0</v>
      </c>
      <c r="O704" s="7"/>
      <c r="P704" s="7"/>
      <c r="Q704" s="7"/>
      <c r="AC704"/>
      <c r="AD704" s="14"/>
    </row>
    <row r="705" spans="1:30" x14ac:dyDescent="0.25">
      <c r="A705" t="b">
        <f t="shared" si="56"/>
        <v>0</v>
      </c>
      <c r="B705">
        <v>2006</v>
      </c>
      <c r="C705">
        <v>150</v>
      </c>
      <c r="D705">
        <v>0</v>
      </c>
      <c r="E705">
        <v>1600</v>
      </c>
      <c r="F705" s="7">
        <v>658.8</v>
      </c>
      <c r="G705" s="7">
        <v>12.01</v>
      </c>
      <c r="H705" s="7">
        <v>0</v>
      </c>
      <c r="I705" s="7" t="str">
        <f t="shared" si="52"/>
        <v/>
      </c>
      <c r="J705" s="7" t="str">
        <f t="shared" si="53"/>
        <v/>
      </c>
      <c r="K705" s="7">
        <v>0</v>
      </c>
      <c r="L705" s="7" t="str">
        <f t="shared" si="54"/>
        <v/>
      </c>
      <c r="M705" s="7" t="str">
        <f t="shared" si="55"/>
        <v/>
      </c>
      <c r="N705" s="7">
        <v>0</v>
      </c>
      <c r="O705" s="7"/>
      <c r="P705" s="7"/>
      <c r="Q705" s="7"/>
      <c r="AC705"/>
      <c r="AD705" s="14"/>
    </row>
    <row r="706" spans="1:30" x14ac:dyDescent="0.25">
      <c r="A706" t="b">
        <f t="shared" si="56"/>
        <v>0</v>
      </c>
      <c r="B706">
        <v>2006</v>
      </c>
      <c r="C706">
        <v>150</v>
      </c>
      <c r="D706">
        <v>0</v>
      </c>
      <c r="E706">
        <v>1700</v>
      </c>
      <c r="F706" s="7">
        <v>484.1</v>
      </c>
      <c r="G706" s="7">
        <v>11.76</v>
      </c>
      <c r="H706" s="7">
        <v>0</v>
      </c>
      <c r="I706" s="7" t="str">
        <f t="shared" ref="I706:I769" si="57">IF(AND(B706=B705,C706=C705),"",SUMIFS($H$2:$H$1529,$B$2:$B$1529,B706,$C$2:$C$1529,C706))</f>
        <v/>
      </c>
      <c r="J706" s="7" t="str">
        <f t="shared" ref="J706:J769" si="58">IF(AND(B706=B705,C706=C705),"",AVERAGEIFS($F$2:$F$1529,$B$2:$B$1529,B706,$C$2:$C$1529,C706))</f>
        <v/>
      </c>
      <c r="K706" s="7">
        <v>0</v>
      </c>
      <c r="L706" s="7" t="str">
        <f t="shared" ref="L706:L769" si="59">IF(AND(B706=B705,C706=C705),"",_xlfn.MAXIFS($G$2:$G$1529,$B$2:$B$1529,B706,$C$2:$C$1529,C706))</f>
        <v/>
      </c>
      <c r="M706" s="7" t="str">
        <f t="shared" ref="M706:M769" si="60">IF(AND(B706=B705,C706=C705),"",_xlfn.MINIFS($G$2:$G$1529,$B$2:$B$1529,B706,$C$2:$C$1529,C706))</f>
        <v/>
      </c>
      <c r="N706" s="7">
        <v>0</v>
      </c>
      <c r="O706" s="7"/>
      <c r="P706" s="7"/>
      <c r="Q706" s="7"/>
      <c r="AC706"/>
      <c r="AD706" s="14"/>
    </row>
    <row r="707" spans="1:30" x14ac:dyDescent="0.25">
      <c r="A707" t="b">
        <f t="shared" ref="A707:A770" si="61">NOT(I707="")</f>
        <v>0</v>
      </c>
      <c r="B707">
        <v>2006</v>
      </c>
      <c r="C707">
        <v>150</v>
      </c>
      <c r="D707">
        <v>0</v>
      </c>
      <c r="E707">
        <v>1800</v>
      </c>
      <c r="F707" s="7">
        <v>298</v>
      </c>
      <c r="G707" s="7">
        <v>10.43</v>
      </c>
      <c r="H707" s="7">
        <v>0</v>
      </c>
      <c r="I707" s="7" t="str">
        <f t="shared" si="57"/>
        <v/>
      </c>
      <c r="J707" s="7" t="str">
        <f t="shared" si="58"/>
        <v/>
      </c>
      <c r="K707" s="7">
        <v>0</v>
      </c>
      <c r="L707" s="7" t="str">
        <f t="shared" si="59"/>
        <v/>
      </c>
      <c r="M707" s="7" t="str">
        <f t="shared" si="60"/>
        <v/>
      </c>
      <c r="N707" s="7">
        <v>0</v>
      </c>
      <c r="O707" s="7"/>
      <c r="P707" s="7"/>
      <c r="Q707" s="7"/>
      <c r="AC707"/>
      <c r="AD707" s="14"/>
    </row>
    <row r="708" spans="1:30" x14ac:dyDescent="0.25">
      <c r="A708" t="b">
        <f t="shared" si="61"/>
        <v>0</v>
      </c>
      <c r="B708">
        <v>2006</v>
      </c>
      <c r="C708">
        <v>150</v>
      </c>
      <c r="D708">
        <v>0</v>
      </c>
      <c r="E708">
        <v>1900</v>
      </c>
      <c r="F708" s="7">
        <v>304.5</v>
      </c>
      <c r="G708" s="7">
        <v>10.36</v>
      </c>
      <c r="H708" s="7">
        <v>0</v>
      </c>
      <c r="I708" s="7" t="str">
        <f t="shared" si="57"/>
        <v/>
      </c>
      <c r="J708" s="7" t="str">
        <f t="shared" si="58"/>
        <v/>
      </c>
      <c r="K708" s="7">
        <v>0</v>
      </c>
      <c r="L708" s="7" t="str">
        <f t="shared" si="59"/>
        <v/>
      </c>
      <c r="M708" s="7" t="str">
        <f t="shared" si="60"/>
        <v/>
      </c>
      <c r="N708" s="7">
        <v>0</v>
      </c>
      <c r="O708" s="7"/>
      <c r="P708" s="7"/>
      <c r="Q708" s="7"/>
      <c r="AC708"/>
      <c r="AD708" s="14"/>
    </row>
    <row r="709" spans="1:30" x14ac:dyDescent="0.25">
      <c r="A709" t="b">
        <f t="shared" si="61"/>
        <v>0</v>
      </c>
      <c r="B709">
        <v>2006</v>
      </c>
      <c r="C709">
        <v>150</v>
      </c>
      <c r="D709">
        <v>0</v>
      </c>
      <c r="E709">
        <v>2000</v>
      </c>
      <c r="F709" s="7">
        <v>93</v>
      </c>
      <c r="G709" s="7">
        <v>8.6999999999999993</v>
      </c>
      <c r="H709" s="7">
        <v>0</v>
      </c>
      <c r="I709" s="7" t="str">
        <f t="shared" si="57"/>
        <v/>
      </c>
      <c r="J709" s="7" t="str">
        <f t="shared" si="58"/>
        <v/>
      </c>
      <c r="K709" s="7">
        <v>0</v>
      </c>
      <c r="L709" s="7" t="str">
        <f t="shared" si="59"/>
        <v/>
      </c>
      <c r="M709" s="7" t="str">
        <f t="shared" si="60"/>
        <v/>
      </c>
      <c r="N709" s="7">
        <v>0</v>
      </c>
      <c r="O709" s="7"/>
      <c r="P709" s="7"/>
      <c r="Q709" s="7"/>
      <c r="AC709"/>
      <c r="AD709" s="14"/>
    </row>
    <row r="710" spans="1:30" x14ac:dyDescent="0.25">
      <c r="A710" t="b">
        <f t="shared" si="61"/>
        <v>0</v>
      </c>
      <c r="B710">
        <v>2006</v>
      </c>
      <c r="C710">
        <v>150</v>
      </c>
      <c r="D710">
        <v>0</v>
      </c>
      <c r="E710">
        <v>2100</v>
      </c>
      <c r="F710" s="7">
        <v>6.4320000000000004</v>
      </c>
      <c r="G710" s="7">
        <v>7.29</v>
      </c>
      <c r="H710" s="7">
        <v>0</v>
      </c>
      <c r="I710" s="7" t="str">
        <f t="shared" si="57"/>
        <v/>
      </c>
      <c r="J710" s="7" t="str">
        <f t="shared" si="58"/>
        <v/>
      </c>
      <c r="K710" s="7">
        <v>0</v>
      </c>
      <c r="L710" s="7" t="str">
        <f t="shared" si="59"/>
        <v/>
      </c>
      <c r="M710" s="7" t="str">
        <f t="shared" si="60"/>
        <v/>
      </c>
      <c r="N710" s="7">
        <v>0</v>
      </c>
      <c r="O710" s="7"/>
      <c r="P710" s="7"/>
      <c r="Q710" s="7"/>
      <c r="AC710"/>
      <c r="AD710" s="14"/>
    </row>
    <row r="711" spans="1:30" x14ac:dyDescent="0.25">
      <c r="A711" t="b">
        <f t="shared" si="61"/>
        <v>0</v>
      </c>
      <c r="B711">
        <v>2006</v>
      </c>
      <c r="C711">
        <v>150</v>
      </c>
      <c r="D711">
        <v>0</v>
      </c>
      <c r="E711">
        <v>2200</v>
      </c>
      <c r="F711" s="7">
        <v>-2.0249999999999999</v>
      </c>
      <c r="G711" s="7">
        <v>6.8730000000000002</v>
      </c>
      <c r="H711" s="7">
        <v>0</v>
      </c>
      <c r="I711" s="7" t="str">
        <f t="shared" si="57"/>
        <v/>
      </c>
      <c r="J711" s="7" t="str">
        <f t="shared" si="58"/>
        <v/>
      </c>
      <c r="K711" s="7">
        <v>0</v>
      </c>
      <c r="L711" s="7" t="str">
        <f t="shared" si="59"/>
        <v/>
      </c>
      <c r="M711" s="7" t="str">
        <f t="shared" si="60"/>
        <v/>
      </c>
      <c r="N711" s="7">
        <v>0</v>
      </c>
      <c r="O711" s="7"/>
      <c r="P711" s="7"/>
      <c r="Q711" s="7"/>
      <c r="AC711"/>
      <c r="AD711" s="14"/>
    </row>
    <row r="712" spans="1:30" x14ac:dyDescent="0.25">
      <c r="A712" t="b">
        <f t="shared" si="61"/>
        <v>0</v>
      </c>
      <c r="B712">
        <v>2006</v>
      </c>
      <c r="C712">
        <v>150</v>
      </c>
      <c r="D712">
        <v>0</v>
      </c>
      <c r="E712">
        <v>2300</v>
      </c>
      <c r="F712" s="7">
        <v>-2.0459999999999998</v>
      </c>
      <c r="G712" s="7">
        <v>6.5949999999999998</v>
      </c>
      <c r="H712" s="7">
        <v>0</v>
      </c>
      <c r="I712" s="7" t="str">
        <f t="shared" si="57"/>
        <v/>
      </c>
      <c r="J712" s="7" t="str">
        <f t="shared" si="58"/>
        <v/>
      </c>
      <c r="K712" s="7">
        <v>0</v>
      </c>
      <c r="L712" s="7" t="str">
        <f t="shared" si="59"/>
        <v/>
      </c>
      <c r="M712" s="7" t="str">
        <f t="shared" si="60"/>
        <v/>
      </c>
      <c r="N712" s="7">
        <v>0</v>
      </c>
      <c r="O712" s="7"/>
      <c r="P712" s="7"/>
      <c r="Q712" s="7"/>
      <c r="AC712"/>
      <c r="AD712" s="14"/>
    </row>
    <row r="713" spans="1:30" x14ac:dyDescent="0.25">
      <c r="A713" t="b">
        <f t="shared" si="61"/>
        <v>0</v>
      </c>
      <c r="B713">
        <v>2006</v>
      </c>
      <c r="C713">
        <v>150</v>
      </c>
      <c r="D713">
        <v>0</v>
      </c>
      <c r="E713">
        <v>2400</v>
      </c>
      <c r="F713" s="7">
        <v>-3.0579999999999998</v>
      </c>
      <c r="G713" s="7">
        <v>6.141</v>
      </c>
      <c r="H713" s="7">
        <v>0</v>
      </c>
      <c r="I713" s="7" t="str">
        <f t="shared" si="57"/>
        <v/>
      </c>
      <c r="J713" s="7" t="str">
        <f t="shared" si="58"/>
        <v/>
      </c>
      <c r="K713" s="7">
        <v>0</v>
      </c>
      <c r="L713" s="7" t="str">
        <f t="shared" si="59"/>
        <v/>
      </c>
      <c r="M713" s="7" t="str">
        <f t="shared" si="60"/>
        <v/>
      </c>
      <c r="N713" s="7">
        <v>0</v>
      </c>
      <c r="O713" s="7"/>
      <c r="P713" s="7"/>
      <c r="Q713" s="7"/>
      <c r="AC713"/>
      <c r="AD713" s="14"/>
    </row>
    <row r="714" spans="1:30" x14ac:dyDescent="0.25">
      <c r="A714" t="b">
        <f t="shared" si="61"/>
        <v>1</v>
      </c>
      <c r="B714">
        <v>2006</v>
      </c>
      <c r="C714">
        <v>151</v>
      </c>
      <c r="D714">
        <v>0</v>
      </c>
      <c r="E714">
        <v>100</v>
      </c>
      <c r="F714" s="7">
        <v>-3.39</v>
      </c>
      <c r="G714" s="7">
        <v>5.2450000000000001</v>
      </c>
      <c r="H714" s="7">
        <v>0</v>
      </c>
      <c r="I714" s="7">
        <f t="shared" si="57"/>
        <v>0</v>
      </c>
      <c r="J714" s="7">
        <f t="shared" si="58"/>
        <v>290.89858333333331</v>
      </c>
      <c r="K714" s="7">
        <v>0</v>
      </c>
      <c r="L714" s="7">
        <f t="shared" si="59"/>
        <v>15.81</v>
      </c>
      <c r="M714" s="7">
        <f t="shared" si="60"/>
        <v>1.411</v>
      </c>
      <c r="N714" s="7">
        <v>0</v>
      </c>
      <c r="O714" s="7"/>
      <c r="P714" s="7"/>
      <c r="Q714" s="7"/>
      <c r="AC714"/>
      <c r="AD714" s="14"/>
    </row>
    <row r="715" spans="1:30" x14ac:dyDescent="0.25">
      <c r="A715" t="b">
        <f t="shared" si="61"/>
        <v>0</v>
      </c>
      <c r="B715">
        <v>2006</v>
      </c>
      <c r="C715">
        <v>151</v>
      </c>
      <c r="D715">
        <v>0</v>
      </c>
      <c r="E715">
        <v>200</v>
      </c>
      <c r="F715" s="7">
        <v>-2.9550000000000001</v>
      </c>
      <c r="G715" s="7">
        <v>3.8769999999999998</v>
      </c>
      <c r="H715" s="7">
        <v>0</v>
      </c>
      <c r="I715" s="7" t="str">
        <f t="shared" si="57"/>
        <v/>
      </c>
      <c r="J715" s="7" t="str">
        <f t="shared" si="58"/>
        <v/>
      </c>
      <c r="K715" s="7">
        <v>0</v>
      </c>
      <c r="L715" s="7" t="str">
        <f t="shared" si="59"/>
        <v/>
      </c>
      <c r="M715" s="7" t="str">
        <f t="shared" si="60"/>
        <v/>
      </c>
      <c r="N715" s="7">
        <v>0</v>
      </c>
      <c r="O715" s="7"/>
      <c r="P715" s="7"/>
      <c r="Q715" s="7"/>
      <c r="AC715"/>
      <c r="AD715" s="14"/>
    </row>
    <row r="716" spans="1:30" x14ac:dyDescent="0.25">
      <c r="A716" t="b">
        <f t="shared" si="61"/>
        <v>0</v>
      </c>
      <c r="B716">
        <v>2006</v>
      </c>
      <c r="C716">
        <v>151</v>
      </c>
      <c r="D716">
        <v>0</v>
      </c>
      <c r="E716">
        <v>300</v>
      </c>
      <c r="F716" s="7">
        <v>-3.2709999999999999</v>
      </c>
      <c r="G716" s="7">
        <v>3.4710000000000001</v>
      </c>
      <c r="H716" s="7">
        <v>0</v>
      </c>
      <c r="I716" s="7" t="str">
        <f t="shared" si="57"/>
        <v/>
      </c>
      <c r="J716" s="7" t="str">
        <f t="shared" si="58"/>
        <v/>
      </c>
      <c r="K716" s="7">
        <v>0</v>
      </c>
      <c r="L716" s="7" t="str">
        <f t="shared" si="59"/>
        <v/>
      </c>
      <c r="M716" s="7" t="str">
        <f t="shared" si="60"/>
        <v/>
      </c>
      <c r="N716" s="7">
        <v>0</v>
      </c>
      <c r="O716" s="7"/>
      <c r="P716" s="7"/>
      <c r="Q716" s="7"/>
      <c r="AC716"/>
      <c r="AD716" s="14"/>
    </row>
    <row r="717" spans="1:30" x14ac:dyDescent="0.25">
      <c r="A717" t="b">
        <f t="shared" si="61"/>
        <v>0</v>
      </c>
      <c r="B717">
        <v>2006</v>
      </c>
      <c r="C717">
        <v>151</v>
      </c>
      <c r="D717">
        <v>0</v>
      </c>
      <c r="E717">
        <v>400</v>
      </c>
      <c r="F717" s="7">
        <v>-1.831</v>
      </c>
      <c r="G717" s="7">
        <v>1.9410000000000001</v>
      </c>
      <c r="H717" s="7">
        <v>0</v>
      </c>
      <c r="I717" s="7" t="str">
        <f t="shared" si="57"/>
        <v/>
      </c>
      <c r="J717" s="7" t="str">
        <f t="shared" si="58"/>
        <v/>
      </c>
      <c r="K717" s="7">
        <v>0</v>
      </c>
      <c r="L717" s="7" t="str">
        <f t="shared" si="59"/>
        <v/>
      </c>
      <c r="M717" s="7" t="str">
        <f t="shared" si="60"/>
        <v/>
      </c>
      <c r="N717" s="7">
        <v>0</v>
      </c>
      <c r="O717" s="7"/>
      <c r="P717" s="7"/>
      <c r="Q717" s="7"/>
      <c r="AC717"/>
      <c r="AD717" s="14"/>
    </row>
    <row r="718" spans="1:30" x14ac:dyDescent="0.25">
      <c r="A718" t="b">
        <f t="shared" si="61"/>
        <v>0</v>
      </c>
      <c r="B718">
        <v>2006</v>
      </c>
      <c r="C718">
        <v>151</v>
      </c>
      <c r="D718">
        <v>0</v>
      </c>
      <c r="E718">
        <v>500</v>
      </c>
      <c r="F718" s="7">
        <v>22.01</v>
      </c>
      <c r="G718" s="7">
        <v>1.411</v>
      </c>
      <c r="H718" s="7">
        <v>0</v>
      </c>
      <c r="I718" s="7" t="str">
        <f t="shared" si="57"/>
        <v/>
      </c>
      <c r="J718" s="7" t="str">
        <f t="shared" si="58"/>
        <v/>
      </c>
      <c r="K718" s="7">
        <v>0</v>
      </c>
      <c r="L718" s="7" t="str">
        <f t="shared" si="59"/>
        <v/>
      </c>
      <c r="M718" s="7" t="str">
        <f t="shared" si="60"/>
        <v/>
      </c>
      <c r="N718" s="7">
        <v>0</v>
      </c>
      <c r="O718" s="7"/>
      <c r="P718" s="7"/>
      <c r="Q718" s="7"/>
      <c r="AC718"/>
      <c r="AD718" s="14"/>
    </row>
    <row r="719" spans="1:30" x14ac:dyDescent="0.25">
      <c r="A719" t="b">
        <f t="shared" si="61"/>
        <v>0</v>
      </c>
      <c r="B719">
        <v>2006</v>
      </c>
      <c r="C719">
        <v>151</v>
      </c>
      <c r="D719">
        <v>0</v>
      </c>
      <c r="E719">
        <v>600</v>
      </c>
      <c r="F719" s="7">
        <v>126.3</v>
      </c>
      <c r="G719" s="7">
        <v>5.3209999999999997</v>
      </c>
      <c r="H719" s="7">
        <v>0</v>
      </c>
      <c r="I719" s="7" t="str">
        <f t="shared" si="57"/>
        <v/>
      </c>
      <c r="J719" s="7" t="str">
        <f t="shared" si="58"/>
        <v/>
      </c>
      <c r="K719" s="7">
        <v>0</v>
      </c>
      <c r="L719" s="7" t="str">
        <f t="shared" si="59"/>
        <v/>
      </c>
      <c r="M719" s="7" t="str">
        <f t="shared" si="60"/>
        <v/>
      </c>
      <c r="N719" s="7">
        <v>0</v>
      </c>
      <c r="O719" s="7"/>
      <c r="P719" s="7"/>
      <c r="Q719" s="7"/>
      <c r="AC719"/>
      <c r="AD719" s="14"/>
    </row>
    <row r="720" spans="1:30" x14ac:dyDescent="0.25">
      <c r="A720" t="b">
        <f t="shared" si="61"/>
        <v>0</v>
      </c>
      <c r="B720">
        <v>2006</v>
      </c>
      <c r="C720">
        <v>151</v>
      </c>
      <c r="D720">
        <v>0</v>
      </c>
      <c r="E720">
        <v>700</v>
      </c>
      <c r="F720" s="7">
        <v>190.4</v>
      </c>
      <c r="G720" s="7">
        <v>7.32</v>
      </c>
      <c r="H720" s="7">
        <v>0</v>
      </c>
      <c r="I720" s="7" t="str">
        <f t="shared" si="57"/>
        <v/>
      </c>
      <c r="J720" s="7" t="str">
        <f t="shared" si="58"/>
        <v/>
      </c>
      <c r="K720" s="7">
        <v>0</v>
      </c>
      <c r="L720" s="7" t="str">
        <f t="shared" si="59"/>
        <v/>
      </c>
      <c r="M720" s="7" t="str">
        <f t="shared" si="60"/>
        <v/>
      </c>
      <c r="N720" s="7">
        <v>0</v>
      </c>
      <c r="O720" s="7"/>
      <c r="P720" s="7"/>
      <c r="Q720" s="7"/>
      <c r="AC720"/>
      <c r="AD720" s="14"/>
    </row>
    <row r="721" spans="1:30" x14ac:dyDescent="0.25">
      <c r="A721" t="b">
        <f t="shared" si="61"/>
        <v>0</v>
      </c>
      <c r="B721">
        <v>2006</v>
      </c>
      <c r="C721">
        <v>151</v>
      </c>
      <c r="D721">
        <v>0</v>
      </c>
      <c r="E721">
        <v>800</v>
      </c>
      <c r="F721" s="7">
        <v>234.7</v>
      </c>
      <c r="G721" s="7">
        <v>8.1300000000000008</v>
      </c>
      <c r="H721" s="7">
        <v>0</v>
      </c>
      <c r="I721" s="7" t="str">
        <f t="shared" si="57"/>
        <v/>
      </c>
      <c r="J721" s="7" t="str">
        <f t="shared" si="58"/>
        <v/>
      </c>
      <c r="K721" s="7">
        <v>0</v>
      </c>
      <c r="L721" s="7" t="str">
        <f t="shared" si="59"/>
        <v/>
      </c>
      <c r="M721" s="7" t="str">
        <f t="shared" si="60"/>
        <v/>
      </c>
      <c r="N721" s="7">
        <v>0</v>
      </c>
      <c r="O721" s="7"/>
      <c r="P721" s="7"/>
      <c r="Q721" s="7"/>
      <c r="AC721"/>
      <c r="AD721" s="14"/>
    </row>
    <row r="722" spans="1:30" x14ac:dyDescent="0.25">
      <c r="A722" t="b">
        <f t="shared" si="61"/>
        <v>0</v>
      </c>
      <c r="B722">
        <v>2006</v>
      </c>
      <c r="C722">
        <v>151</v>
      </c>
      <c r="D722">
        <v>0</v>
      </c>
      <c r="E722">
        <v>900</v>
      </c>
      <c r="F722" s="7">
        <v>367.2</v>
      </c>
      <c r="G722" s="7">
        <v>9.14</v>
      </c>
      <c r="H722" s="7">
        <v>0</v>
      </c>
      <c r="I722" s="7" t="str">
        <f t="shared" si="57"/>
        <v/>
      </c>
      <c r="J722" s="7" t="str">
        <f t="shared" si="58"/>
        <v/>
      </c>
      <c r="K722" s="7">
        <v>0</v>
      </c>
      <c r="L722" s="7" t="str">
        <f t="shared" si="59"/>
        <v/>
      </c>
      <c r="M722" s="7" t="str">
        <f t="shared" si="60"/>
        <v/>
      </c>
      <c r="N722" s="7">
        <v>0</v>
      </c>
      <c r="O722" s="7"/>
      <c r="P722" s="7"/>
      <c r="Q722" s="7"/>
      <c r="AC722"/>
      <c r="AD722" s="14"/>
    </row>
    <row r="723" spans="1:30" x14ac:dyDescent="0.25">
      <c r="A723" t="b">
        <f t="shared" si="61"/>
        <v>0</v>
      </c>
      <c r="B723">
        <v>2006</v>
      </c>
      <c r="C723">
        <v>151</v>
      </c>
      <c r="D723">
        <v>0</v>
      </c>
      <c r="E723">
        <v>1000</v>
      </c>
      <c r="F723" s="7">
        <v>678.5</v>
      </c>
      <c r="G723" s="7">
        <v>11.28</v>
      </c>
      <c r="H723" s="7">
        <v>0</v>
      </c>
      <c r="I723" s="7" t="str">
        <f t="shared" si="57"/>
        <v/>
      </c>
      <c r="J723" s="7" t="str">
        <f t="shared" si="58"/>
        <v/>
      </c>
      <c r="K723" s="7">
        <v>0</v>
      </c>
      <c r="L723" s="7" t="str">
        <f t="shared" si="59"/>
        <v/>
      </c>
      <c r="M723" s="7" t="str">
        <f t="shared" si="60"/>
        <v/>
      </c>
      <c r="N723" s="7">
        <v>0</v>
      </c>
      <c r="O723" s="7"/>
      <c r="P723" s="7"/>
      <c r="Q723" s="7"/>
      <c r="AC723"/>
      <c r="AD723" s="14"/>
    </row>
    <row r="724" spans="1:30" x14ac:dyDescent="0.25">
      <c r="A724" t="b">
        <f t="shared" si="61"/>
        <v>0</v>
      </c>
      <c r="B724">
        <v>2006</v>
      </c>
      <c r="C724">
        <v>151</v>
      </c>
      <c r="D724">
        <v>0</v>
      </c>
      <c r="E724">
        <v>1100</v>
      </c>
      <c r="F724" s="7">
        <v>757</v>
      </c>
      <c r="G724" s="7">
        <v>12.8</v>
      </c>
      <c r="H724" s="7">
        <v>0</v>
      </c>
      <c r="I724" s="7" t="str">
        <f t="shared" si="57"/>
        <v/>
      </c>
      <c r="J724" s="7" t="str">
        <f t="shared" si="58"/>
        <v/>
      </c>
      <c r="K724" s="7">
        <v>0</v>
      </c>
      <c r="L724" s="7" t="str">
        <f t="shared" si="59"/>
        <v/>
      </c>
      <c r="M724" s="7" t="str">
        <f t="shared" si="60"/>
        <v/>
      </c>
      <c r="N724" s="7">
        <v>0</v>
      </c>
      <c r="O724" s="7"/>
      <c r="P724" s="7"/>
      <c r="Q724" s="7"/>
      <c r="AC724"/>
      <c r="AD724" s="14"/>
    </row>
    <row r="725" spans="1:30" x14ac:dyDescent="0.25">
      <c r="A725" t="b">
        <f t="shared" si="61"/>
        <v>0</v>
      </c>
      <c r="B725">
        <v>2006</v>
      </c>
      <c r="C725">
        <v>151</v>
      </c>
      <c r="D725">
        <v>0</v>
      </c>
      <c r="E725">
        <v>1200</v>
      </c>
      <c r="F725" s="7">
        <v>818</v>
      </c>
      <c r="G725" s="7">
        <v>13.61</v>
      </c>
      <c r="H725" s="7">
        <v>0</v>
      </c>
      <c r="I725" s="7" t="str">
        <f t="shared" si="57"/>
        <v/>
      </c>
      <c r="J725" s="7" t="str">
        <f t="shared" si="58"/>
        <v/>
      </c>
      <c r="K725" s="7">
        <v>0</v>
      </c>
      <c r="L725" s="7" t="str">
        <f t="shared" si="59"/>
        <v/>
      </c>
      <c r="M725" s="7" t="str">
        <f t="shared" si="60"/>
        <v/>
      </c>
      <c r="N725" s="7">
        <v>0</v>
      </c>
      <c r="O725" s="7"/>
      <c r="P725" s="7"/>
      <c r="Q725" s="7"/>
      <c r="AC725"/>
      <c r="AD725" s="14"/>
    </row>
    <row r="726" spans="1:30" x14ac:dyDescent="0.25">
      <c r="A726" t="b">
        <f t="shared" si="61"/>
        <v>0</v>
      </c>
      <c r="B726">
        <v>2006</v>
      </c>
      <c r="C726">
        <v>151</v>
      </c>
      <c r="D726">
        <v>0</v>
      </c>
      <c r="E726">
        <v>1300</v>
      </c>
      <c r="F726" s="7">
        <v>704</v>
      </c>
      <c r="G726" s="7">
        <v>13.74</v>
      </c>
      <c r="H726" s="7">
        <v>0</v>
      </c>
      <c r="I726" s="7" t="str">
        <f t="shared" si="57"/>
        <v/>
      </c>
      <c r="J726" s="7" t="str">
        <f t="shared" si="58"/>
        <v/>
      </c>
      <c r="K726" s="7">
        <v>0</v>
      </c>
      <c r="L726" s="7" t="str">
        <f t="shared" si="59"/>
        <v/>
      </c>
      <c r="M726" s="7" t="str">
        <f t="shared" si="60"/>
        <v/>
      </c>
      <c r="N726" s="7">
        <v>0</v>
      </c>
      <c r="O726" s="7"/>
      <c r="P726" s="7"/>
      <c r="Q726" s="7"/>
      <c r="AC726"/>
      <c r="AD726" s="14"/>
    </row>
    <row r="727" spans="1:30" x14ac:dyDescent="0.25">
      <c r="A727" t="b">
        <f t="shared" si="61"/>
        <v>0</v>
      </c>
      <c r="B727">
        <v>2006</v>
      </c>
      <c r="C727">
        <v>151</v>
      </c>
      <c r="D727">
        <v>0</v>
      </c>
      <c r="E727">
        <v>1400</v>
      </c>
      <c r="F727" s="7">
        <v>814</v>
      </c>
      <c r="G727" s="7">
        <v>15.07</v>
      </c>
      <c r="H727" s="7">
        <v>0</v>
      </c>
      <c r="I727" s="7" t="str">
        <f t="shared" si="57"/>
        <v/>
      </c>
      <c r="J727" s="7" t="str">
        <f t="shared" si="58"/>
        <v/>
      </c>
      <c r="K727" s="7">
        <v>0</v>
      </c>
      <c r="L727" s="7" t="str">
        <f t="shared" si="59"/>
        <v/>
      </c>
      <c r="M727" s="7" t="str">
        <f t="shared" si="60"/>
        <v/>
      </c>
      <c r="N727" s="7">
        <v>0</v>
      </c>
      <c r="O727" s="7"/>
      <c r="P727" s="7"/>
      <c r="Q727" s="7"/>
      <c r="AC727"/>
      <c r="AD727" s="14"/>
    </row>
    <row r="728" spans="1:30" x14ac:dyDescent="0.25">
      <c r="A728" t="b">
        <f t="shared" si="61"/>
        <v>0</v>
      </c>
      <c r="B728">
        <v>2006</v>
      </c>
      <c r="C728">
        <v>151</v>
      </c>
      <c r="D728">
        <v>0</v>
      </c>
      <c r="E728">
        <v>1500</v>
      </c>
      <c r="F728" s="7">
        <v>559</v>
      </c>
      <c r="G728" s="7">
        <v>14.7</v>
      </c>
      <c r="H728" s="7">
        <v>0</v>
      </c>
      <c r="I728" s="7" t="str">
        <f t="shared" si="57"/>
        <v/>
      </c>
      <c r="J728" s="7" t="str">
        <f t="shared" si="58"/>
        <v/>
      </c>
      <c r="K728" s="7">
        <v>0</v>
      </c>
      <c r="L728" s="7" t="str">
        <f t="shared" si="59"/>
        <v/>
      </c>
      <c r="M728" s="7" t="str">
        <f t="shared" si="60"/>
        <v/>
      </c>
      <c r="N728" s="7">
        <v>0</v>
      </c>
      <c r="O728" s="7"/>
      <c r="P728" s="7"/>
      <c r="Q728" s="7"/>
      <c r="AC728"/>
      <c r="AD728" s="14"/>
    </row>
    <row r="729" spans="1:30" x14ac:dyDescent="0.25">
      <c r="A729" t="b">
        <f t="shared" si="61"/>
        <v>0</v>
      </c>
      <c r="B729">
        <v>2006</v>
      </c>
      <c r="C729">
        <v>151</v>
      </c>
      <c r="D729">
        <v>0</v>
      </c>
      <c r="E729">
        <v>1600</v>
      </c>
      <c r="F729" s="7">
        <v>687.9</v>
      </c>
      <c r="G729" s="7">
        <v>15.7</v>
      </c>
      <c r="H729" s="7">
        <v>0</v>
      </c>
      <c r="I729" s="7" t="str">
        <f t="shared" si="57"/>
        <v/>
      </c>
      <c r="J729" s="7" t="str">
        <f t="shared" si="58"/>
        <v/>
      </c>
      <c r="K729" s="7">
        <v>0</v>
      </c>
      <c r="L729" s="7" t="str">
        <f t="shared" si="59"/>
        <v/>
      </c>
      <c r="M729" s="7" t="str">
        <f t="shared" si="60"/>
        <v/>
      </c>
      <c r="N729" s="7">
        <v>0</v>
      </c>
      <c r="O729" s="7"/>
      <c r="P729" s="7"/>
      <c r="Q729" s="7"/>
      <c r="AC729"/>
      <c r="AD729" s="14"/>
    </row>
    <row r="730" spans="1:30" x14ac:dyDescent="0.25">
      <c r="A730" t="b">
        <f t="shared" si="61"/>
        <v>0</v>
      </c>
      <c r="B730">
        <v>2006</v>
      </c>
      <c r="C730">
        <v>151</v>
      </c>
      <c r="D730">
        <v>0</v>
      </c>
      <c r="E730">
        <v>1700</v>
      </c>
      <c r="F730" s="7">
        <v>507</v>
      </c>
      <c r="G730" s="7">
        <v>15.73</v>
      </c>
      <c r="H730" s="7">
        <v>0</v>
      </c>
      <c r="I730" s="7" t="str">
        <f t="shared" si="57"/>
        <v/>
      </c>
      <c r="J730" s="7" t="str">
        <f t="shared" si="58"/>
        <v/>
      </c>
      <c r="K730" s="7">
        <v>0</v>
      </c>
      <c r="L730" s="7" t="str">
        <f t="shared" si="59"/>
        <v/>
      </c>
      <c r="M730" s="7" t="str">
        <f t="shared" si="60"/>
        <v/>
      </c>
      <c r="N730" s="7">
        <v>0</v>
      </c>
      <c r="O730" s="7"/>
      <c r="P730" s="7"/>
      <c r="Q730" s="7"/>
      <c r="AC730"/>
      <c r="AD730" s="14"/>
    </row>
    <row r="731" spans="1:30" x14ac:dyDescent="0.25">
      <c r="A731" t="b">
        <f t="shared" si="61"/>
        <v>0</v>
      </c>
      <c r="B731">
        <v>2006</v>
      </c>
      <c r="C731">
        <v>151</v>
      </c>
      <c r="D731">
        <v>0</v>
      </c>
      <c r="E731">
        <v>1800</v>
      </c>
      <c r="F731" s="7">
        <v>372</v>
      </c>
      <c r="G731" s="7">
        <v>15.81</v>
      </c>
      <c r="H731" s="7">
        <v>0</v>
      </c>
      <c r="I731" s="7" t="str">
        <f t="shared" si="57"/>
        <v/>
      </c>
      <c r="J731" s="7" t="str">
        <f t="shared" si="58"/>
        <v/>
      </c>
      <c r="K731" s="7">
        <v>0</v>
      </c>
      <c r="L731" s="7" t="str">
        <f t="shared" si="59"/>
        <v/>
      </c>
      <c r="M731" s="7" t="str">
        <f t="shared" si="60"/>
        <v/>
      </c>
      <c r="N731" s="7">
        <v>0</v>
      </c>
      <c r="O731" s="7"/>
      <c r="P731" s="7"/>
      <c r="Q731" s="7"/>
      <c r="AC731"/>
      <c r="AD731" s="14"/>
    </row>
    <row r="732" spans="1:30" x14ac:dyDescent="0.25">
      <c r="A732" t="b">
        <f t="shared" si="61"/>
        <v>0</v>
      </c>
      <c r="B732">
        <v>2006</v>
      </c>
      <c r="C732">
        <v>151</v>
      </c>
      <c r="D732">
        <v>0</v>
      </c>
      <c r="E732">
        <v>1900</v>
      </c>
      <c r="F732" s="7">
        <v>99.3</v>
      </c>
      <c r="G732" s="7">
        <v>14.58</v>
      </c>
      <c r="H732" s="7">
        <v>0</v>
      </c>
      <c r="I732" s="7" t="str">
        <f t="shared" si="57"/>
        <v/>
      </c>
      <c r="J732" s="7" t="str">
        <f t="shared" si="58"/>
        <v/>
      </c>
      <c r="K732" s="7">
        <v>0</v>
      </c>
      <c r="L732" s="7" t="str">
        <f t="shared" si="59"/>
        <v/>
      </c>
      <c r="M732" s="7" t="str">
        <f t="shared" si="60"/>
        <v/>
      </c>
      <c r="N732" s="7">
        <v>0</v>
      </c>
      <c r="O732" s="7"/>
      <c r="P732" s="7"/>
      <c r="Q732" s="7"/>
      <c r="AC732"/>
      <c r="AD732" s="14"/>
    </row>
    <row r="733" spans="1:30" x14ac:dyDescent="0.25">
      <c r="A733" t="b">
        <f t="shared" si="61"/>
        <v>0</v>
      </c>
      <c r="B733">
        <v>2006</v>
      </c>
      <c r="C733">
        <v>151</v>
      </c>
      <c r="D733">
        <v>0</v>
      </c>
      <c r="E733">
        <v>2000</v>
      </c>
      <c r="F733" s="7">
        <v>52.54</v>
      </c>
      <c r="G733" s="7">
        <v>12.94</v>
      </c>
      <c r="H733" s="7">
        <v>0</v>
      </c>
      <c r="I733" s="7" t="str">
        <f t="shared" si="57"/>
        <v/>
      </c>
      <c r="J733" s="7" t="str">
        <f t="shared" si="58"/>
        <v/>
      </c>
      <c r="K733" s="7">
        <v>0</v>
      </c>
      <c r="L733" s="7" t="str">
        <f t="shared" si="59"/>
        <v/>
      </c>
      <c r="M733" s="7" t="str">
        <f t="shared" si="60"/>
        <v/>
      </c>
      <c r="N733" s="7">
        <v>0</v>
      </c>
      <c r="O733" s="7"/>
      <c r="P733" s="7"/>
      <c r="Q733" s="7"/>
      <c r="AC733"/>
      <c r="AD733" s="14"/>
    </row>
    <row r="734" spans="1:30" x14ac:dyDescent="0.25">
      <c r="A734" t="b">
        <f t="shared" si="61"/>
        <v>0</v>
      </c>
      <c r="B734">
        <v>2006</v>
      </c>
      <c r="C734">
        <v>151</v>
      </c>
      <c r="D734">
        <v>0</v>
      </c>
      <c r="E734">
        <v>2100</v>
      </c>
      <c r="F734" s="7">
        <v>8.59</v>
      </c>
      <c r="G734" s="7">
        <v>11.09</v>
      </c>
      <c r="H734" s="7">
        <v>0</v>
      </c>
      <c r="I734" s="7" t="str">
        <f t="shared" si="57"/>
        <v/>
      </c>
      <c r="J734" s="7" t="str">
        <f t="shared" si="58"/>
        <v/>
      </c>
      <c r="K734" s="7">
        <v>0</v>
      </c>
      <c r="L734" s="7" t="str">
        <f t="shared" si="59"/>
        <v/>
      </c>
      <c r="M734" s="7" t="str">
        <f t="shared" si="60"/>
        <v/>
      </c>
      <c r="N734" s="7">
        <v>0</v>
      </c>
      <c r="O734" s="7"/>
      <c r="P734" s="7"/>
      <c r="Q734" s="7"/>
      <c r="AC734"/>
      <c r="AD734" s="14"/>
    </row>
    <row r="735" spans="1:30" x14ac:dyDescent="0.25">
      <c r="A735" t="b">
        <f t="shared" si="61"/>
        <v>0</v>
      </c>
      <c r="B735">
        <v>2006</v>
      </c>
      <c r="C735">
        <v>151</v>
      </c>
      <c r="D735">
        <v>0</v>
      </c>
      <c r="E735">
        <v>2200</v>
      </c>
      <c r="F735" s="7">
        <v>-1.01</v>
      </c>
      <c r="G735" s="7">
        <v>10.35</v>
      </c>
      <c r="H735" s="7">
        <v>0</v>
      </c>
      <c r="I735" s="7" t="str">
        <f t="shared" si="57"/>
        <v/>
      </c>
      <c r="J735" s="7" t="str">
        <f t="shared" si="58"/>
        <v/>
      </c>
      <c r="K735" s="7">
        <v>0</v>
      </c>
      <c r="L735" s="7" t="str">
        <f t="shared" si="59"/>
        <v/>
      </c>
      <c r="M735" s="7" t="str">
        <f t="shared" si="60"/>
        <v/>
      </c>
      <c r="N735" s="7">
        <v>0</v>
      </c>
      <c r="O735" s="7"/>
      <c r="P735" s="7"/>
      <c r="Q735" s="7"/>
      <c r="AC735"/>
      <c r="AD735" s="14"/>
    </row>
    <row r="736" spans="1:30" x14ac:dyDescent="0.25">
      <c r="A736" t="b">
        <f t="shared" si="61"/>
        <v>0</v>
      </c>
      <c r="B736">
        <v>2006</v>
      </c>
      <c r="C736">
        <v>151</v>
      </c>
      <c r="D736">
        <v>0</v>
      </c>
      <c r="E736">
        <v>2300</v>
      </c>
      <c r="F736" s="7">
        <v>-2.198</v>
      </c>
      <c r="G736" s="7">
        <v>9.49</v>
      </c>
      <c r="H736" s="7">
        <v>0</v>
      </c>
      <c r="I736" s="7" t="str">
        <f t="shared" si="57"/>
        <v/>
      </c>
      <c r="J736" s="7" t="str">
        <f t="shared" si="58"/>
        <v/>
      </c>
      <c r="K736" s="7">
        <v>0</v>
      </c>
      <c r="L736" s="7" t="str">
        <f t="shared" si="59"/>
        <v/>
      </c>
      <c r="M736" s="7" t="str">
        <f t="shared" si="60"/>
        <v/>
      </c>
      <c r="N736" s="7">
        <v>0</v>
      </c>
      <c r="O736" s="7"/>
      <c r="P736" s="7"/>
      <c r="Q736" s="7"/>
      <c r="AC736"/>
      <c r="AD736" s="14"/>
    </row>
    <row r="737" spans="1:30" x14ac:dyDescent="0.25">
      <c r="A737" t="b">
        <f t="shared" si="61"/>
        <v>0</v>
      </c>
      <c r="B737">
        <v>2006</v>
      </c>
      <c r="C737">
        <v>151</v>
      </c>
      <c r="D737">
        <v>0</v>
      </c>
      <c r="E737">
        <v>2400</v>
      </c>
      <c r="F737" s="7">
        <v>-2.2189999999999999</v>
      </c>
      <c r="G737" s="7">
        <v>8.1</v>
      </c>
      <c r="H737" s="7">
        <v>0</v>
      </c>
      <c r="I737" s="7" t="str">
        <f t="shared" si="57"/>
        <v/>
      </c>
      <c r="J737" s="7" t="str">
        <f t="shared" si="58"/>
        <v/>
      </c>
      <c r="K737" s="7">
        <v>0</v>
      </c>
      <c r="L737" s="7" t="str">
        <f t="shared" si="59"/>
        <v/>
      </c>
      <c r="M737" s="7" t="str">
        <f t="shared" si="60"/>
        <v/>
      </c>
      <c r="N737" s="7">
        <v>0</v>
      </c>
      <c r="O737" s="7"/>
      <c r="P737" s="7"/>
      <c r="Q737" s="7"/>
      <c r="AC737"/>
      <c r="AD737" s="14"/>
    </row>
    <row r="738" spans="1:30" x14ac:dyDescent="0.25">
      <c r="A738" t="b">
        <f t="shared" si="61"/>
        <v>1</v>
      </c>
      <c r="B738">
        <v>2006</v>
      </c>
      <c r="C738">
        <v>152</v>
      </c>
      <c r="D738">
        <v>0</v>
      </c>
      <c r="E738">
        <v>100</v>
      </c>
      <c r="F738" s="7">
        <v>-2.012</v>
      </c>
      <c r="G738" s="7">
        <v>8.91</v>
      </c>
      <c r="H738" s="7">
        <v>0</v>
      </c>
      <c r="I738" s="7">
        <f t="shared" si="57"/>
        <v>0</v>
      </c>
      <c r="J738" s="7">
        <f t="shared" si="58"/>
        <v>267.57704166666662</v>
      </c>
      <c r="K738" s="7">
        <v>0</v>
      </c>
      <c r="L738" s="7">
        <f t="shared" si="59"/>
        <v>18.47</v>
      </c>
      <c r="M738" s="7">
        <f t="shared" si="60"/>
        <v>6.4359999999999999</v>
      </c>
      <c r="N738" s="7">
        <v>0</v>
      </c>
      <c r="O738" s="7"/>
      <c r="P738" s="7"/>
      <c r="Q738" s="7"/>
      <c r="AC738"/>
      <c r="AD738" s="14"/>
    </row>
    <row r="739" spans="1:30" x14ac:dyDescent="0.25">
      <c r="A739" t="b">
        <f t="shared" si="61"/>
        <v>0</v>
      </c>
      <c r="B739">
        <v>2006</v>
      </c>
      <c r="C739">
        <v>152</v>
      </c>
      <c r="D739">
        <v>0</v>
      </c>
      <c r="E739">
        <v>200</v>
      </c>
      <c r="F739" s="7">
        <v>-1.71</v>
      </c>
      <c r="G739" s="7">
        <v>8.89</v>
      </c>
      <c r="H739" s="7">
        <v>0</v>
      </c>
      <c r="I739" s="7" t="str">
        <f t="shared" si="57"/>
        <v/>
      </c>
      <c r="J739" s="7" t="str">
        <f t="shared" si="58"/>
        <v/>
      </c>
      <c r="K739" s="7">
        <v>0</v>
      </c>
      <c r="L739" s="7" t="str">
        <f t="shared" si="59"/>
        <v/>
      </c>
      <c r="M739" s="7" t="str">
        <f t="shared" si="60"/>
        <v/>
      </c>
      <c r="N739" s="7">
        <v>0</v>
      </c>
      <c r="O739" s="7"/>
      <c r="P739" s="7"/>
      <c r="Q739" s="7"/>
      <c r="AC739"/>
      <c r="AD739" s="14"/>
    </row>
    <row r="740" spans="1:30" x14ac:dyDescent="0.25">
      <c r="A740" t="b">
        <f t="shared" si="61"/>
        <v>0</v>
      </c>
      <c r="B740">
        <v>2006</v>
      </c>
      <c r="C740">
        <v>152</v>
      </c>
      <c r="D740">
        <v>0</v>
      </c>
      <c r="E740">
        <v>300</v>
      </c>
      <c r="F740" s="7">
        <v>-1.3169999999999999</v>
      </c>
      <c r="G740" s="7">
        <v>8.8800000000000008</v>
      </c>
      <c r="H740" s="7">
        <v>0</v>
      </c>
      <c r="I740" s="7" t="str">
        <f t="shared" si="57"/>
        <v/>
      </c>
      <c r="J740" s="7" t="str">
        <f t="shared" si="58"/>
        <v/>
      </c>
      <c r="K740" s="7">
        <v>0</v>
      </c>
      <c r="L740" s="7" t="str">
        <f t="shared" si="59"/>
        <v/>
      </c>
      <c r="M740" s="7" t="str">
        <f t="shared" si="60"/>
        <v/>
      </c>
      <c r="N740" s="7">
        <v>0</v>
      </c>
      <c r="O740" s="7"/>
      <c r="P740" s="7"/>
      <c r="Q740" s="7"/>
      <c r="AC740"/>
      <c r="AD740" s="14"/>
    </row>
    <row r="741" spans="1:30" x14ac:dyDescent="0.25">
      <c r="A741" t="b">
        <f t="shared" si="61"/>
        <v>0</v>
      </c>
      <c r="B741">
        <v>2006</v>
      </c>
      <c r="C741">
        <v>152</v>
      </c>
      <c r="D741">
        <v>0</v>
      </c>
      <c r="E741">
        <v>400</v>
      </c>
      <c r="F741" s="7">
        <v>-1.7310000000000001</v>
      </c>
      <c r="G741" s="7">
        <v>8.1199999999999992</v>
      </c>
      <c r="H741" s="7">
        <v>0</v>
      </c>
      <c r="I741" s="7" t="str">
        <f t="shared" si="57"/>
        <v/>
      </c>
      <c r="J741" s="7" t="str">
        <f t="shared" si="58"/>
        <v/>
      </c>
      <c r="K741" s="7">
        <v>0</v>
      </c>
      <c r="L741" s="7" t="str">
        <f t="shared" si="59"/>
        <v/>
      </c>
      <c r="M741" s="7" t="str">
        <f t="shared" si="60"/>
        <v/>
      </c>
      <c r="N741" s="7">
        <v>0</v>
      </c>
      <c r="O741" s="7"/>
      <c r="P741" s="7"/>
      <c r="Q741" s="7"/>
      <c r="AC741"/>
      <c r="AD741" s="14"/>
    </row>
    <row r="742" spans="1:30" x14ac:dyDescent="0.25">
      <c r="A742" t="b">
        <f t="shared" si="61"/>
        <v>0</v>
      </c>
      <c r="B742">
        <v>2006</v>
      </c>
      <c r="C742">
        <v>152</v>
      </c>
      <c r="D742">
        <v>0</v>
      </c>
      <c r="E742">
        <v>500</v>
      </c>
      <c r="F742" s="7">
        <v>12.94</v>
      </c>
      <c r="G742" s="7">
        <v>8.07</v>
      </c>
      <c r="H742" s="7">
        <v>0</v>
      </c>
      <c r="I742" s="7" t="str">
        <f t="shared" si="57"/>
        <v/>
      </c>
      <c r="J742" s="7" t="str">
        <f t="shared" si="58"/>
        <v/>
      </c>
      <c r="K742" s="7">
        <v>0</v>
      </c>
      <c r="L742" s="7" t="str">
        <f t="shared" si="59"/>
        <v/>
      </c>
      <c r="M742" s="7" t="str">
        <f t="shared" si="60"/>
        <v/>
      </c>
      <c r="N742" s="7">
        <v>0</v>
      </c>
      <c r="O742" s="7"/>
      <c r="P742" s="7"/>
      <c r="Q742" s="7"/>
      <c r="AC742"/>
      <c r="AD742" s="14"/>
    </row>
    <row r="743" spans="1:30" x14ac:dyDescent="0.25">
      <c r="A743" t="b">
        <f t="shared" si="61"/>
        <v>0</v>
      </c>
      <c r="B743">
        <v>2006</v>
      </c>
      <c r="C743">
        <v>152</v>
      </c>
      <c r="D743">
        <v>0</v>
      </c>
      <c r="E743">
        <v>600</v>
      </c>
      <c r="F743" s="7">
        <v>84.1</v>
      </c>
      <c r="G743" s="7">
        <v>8.7100000000000009</v>
      </c>
      <c r="H743" s="7">
        <v>0</v>
      </c>
      <c r="I743" s="7" t="str">
        <f t="shared" si="57"/>
        <v/>
      </c>
      <c r="J743" s="7" t="str">
        <f t="shared" si="58"/>
        <v/>
      </c>
      <c r="K743" s="7">
        <v>0</v>
      </c>
      <c r="L743" s="7" t="str">
        <f t="shared" si="59"/>
        <v/>
      </c>
      <c r="M743" s="7" t="str">
        <f t="shared" si="60"/>
        <v/>
      </c>
      <c r="N743" s="7">
        <v>0</v>
      </c>
      <c r="O743" s="7"/>
      <c r="P743" s="7"/>
      <c r="Q743" s="7"/>
      <c r="AC743"/>
      <c r="AD743" s="14"/>
    </row>
    <row r="744" spans="1:30" x14ac:dyDescent="0.25">
      <c r="A744" t="b">
        <f t="shared" si="61"/>
        <v>0</v>
      </c>
      <c r="B744">
        <v>2006</v>
      </c>
      <c r="C744">
        <v>152</v>
      </c>
      <c r="D744">
        <v>0</v>
      </c>
      <c r="E744">
        <v>700</v>
      </c>
      <c r="F744" s="7">
        <v>141.69999999999999</v>
      </c>
      <c r="G744" s="7">
        <v>9.81</v>
      </c>
      <c r="H744" s="7">
        <v>0</v>
      </c>
      <c r="I744" s="7" t="str">
        <f t="shared" si="57"/>
        <v/>
      </c>
      <c r="J744" s="7" t="str">
        <f t="shared" si="58"/>
        <v/>
      </c>
      <c r="K744" s="7">
        <v>0</v>
      </c>
      <c r="L744" s="7" t="str">
        <f t="shared" si="59"/>
        <v/>
      </c>
      <c r="M744" s="7" t="str">
        <f t="shared" si="60"/>
        <v/>
      </c>
      <c r="N744" s="7">
        <v>0</v>
      </c>
      <c r="O744" s="7"/>
      <c r="P744" s="7"/>
      <c r="Q744" s="7"/>
      <c r="AC744"/>
      <c r="AD744" s="14"/>
    </row>
    <row r="745" spans="1:30" x14ac:dyDescent="0.25">
      <c r="A745" t="b">
        <f t="shared" si="61"/>
        <v>0</v>
      </c>
      <c r="B745">
        <v>2006</v>
      </c>
      <c r="C745">
        <v>152</v>
      </c>
      <c r="D745">
        <v>0</v>
      </c>
      <c r="E745">
        <v>800</v>
      </c>
      <c r="F745" s="7">
        <v>271.2</v>
      </c>
      <c r="G745" s="7">
        <v>11.37</v>
      </c>
      <c r="H745" s="7">
        <v>0</v>
      </c>
      <c r="I745" s="7" t="str">
        <f t="shared" si="57"/>
        <v/>
      </c>
      <c r="J745" s="7" t="str">
        <f t="shared" si="58"/>
        <v/>
      </c>
      <c r="K745" s="7">
        <v>0</v>
      </c>
      <c r="L745" s="7" t="str">
        <f t="shared" si="59"/>
        <v/>
      </c>
      <c r="M745" s="7" t="str">
        <f t="shared" si="60"/>
        <v/>
      </c>
      <c r="N745" s="7">
        <v>0</v>
      </c>
      <c r="O745" s="7"/>
      <c r="P745" s="7"/>
      <c r="Q745" s="7"/>
      <c r="AC745"/>
      <c r="AD745" s="14"/>
    </row>
    <row r="746" spans="1:30" x14ac:dyDescent="0.25">
      <c r="A746" t="b">
        <f t="shared" si="61"/>
        <v>0</v>
      </c>
      <c r="B746">
        <v>2006</v>
      </c>
      <c r="C746">
        <v>152</v>
      </c>
      <c r="D746">
        <v>0</v>
      </c>
      <c r="E746">
        <v>900</v>
      </c>
      <c r="F746" s="7">
        <v>403.9</v>
      </c>
      <c r="G746" s="7">
        <v>12.46</v>
      </c>
      <c r="H746" s="7">
        <v>0</v>
      </c>
      <c r="I746" s="7" t="str">
        <f t="shared" si="57"/>
        <v/>
      </c>
      <c r="J746" s="7" t="str">
        <f t="shared" si="58"/>
        <v/>
      </c>
      <c r="K746" s="7">
        <v>0</v>
      </c>
      <c r="L746" s="7" t="str">
        <f t="shared" si="59"/>
        <v/>
      </c>
      <c r="M746" s="7" t="str">
        <f t="shared" si="60"/>
        <v/>
      </c>
      <c r="N746" s="7">
        <v>0</v>
      </c>
      <c r="O746" s="7"/>
      <c r="P746" s="7"/>
      <c r="Q746" s="7"/>
      <c r="AC746"/>
      <c r="AD746" s="14"/>
    </row>
    <row r="747" spans="1:30" x14ac:dyDescent="0.25">
      <c r="A747" t="b">
        <f t="shared" si="61"/>
        <v>0</v>
      </c>
      <c r="B747">
        <v>2006</v>
      </c>
      <c r="C747">
        <v>152</v>
      </c>
      <c r="D747">
        <v>0</v>
      </c>
      <c r="E747">
        <v>1000</v>
      </c>
      <c r="F747" s="7">
        <v>440.4</v>
      </c>
      <c r="G747" s="7">
        <v>13.64</v>
      </c>
      <c r="H747" s="7">
        <v>0</v>
      </c>
      <c r="I747" s="7" t="str">
        <f t="shared" si="57"/>
        <v/>
      </c>
      <c r="J747" s="7" t="str">
        <f t="shared" si="58"/>
        <v/>
      </c>
      <c r="K747" s="7">
        <v>0</v>
      </c>
      <c r="L747" s="7" t="str">
        <f t="shared" si="59"/>
        <v/>
      </c>
      <c r="M747" s="7" t="str">
        <f t="shared" si="60"/>
        <v/>
      </c>
      <c r="N747" s="7">
        <v>0</v>
      </c>
      <c r="O747" s="7"/>
      <c r="P747" s="7"/>
      <c r="Q747" s="7"/>
      <c r="AC747"/>
      <c r="AD747" s="14"/>
    </row>
    <row r="748" spans="1:30" x14ac:dyDescent="0.25">
      <c r="A748" t="b">
        <f t="shared" si="61"/>
        <v>0</v>
      </c>
      <c r="B748">
        <v>2006</v>
      </c>
      <c r="C748">
        <v>152</v>
      </c>
      <c r="D748">
        <v>0</v>
      </c>
      <c r="E748">
        <v>1100</v>
      </c>
      <c r="F748" s="7">
        <v>361.8</v>
      </c>
      <c r="G748" s="7">
        <v>13.88</v>
      </c>
      <c r="H748" s="7">
        <v>0</v>
      </c>
      <c r="I748" s="7" t="str">
        <f t="shared" si="57"/>
        <v/>
      </c>
      <c r="J748" s="7" t="str">
        <f t="shared" si="58"/>
        <v/>
      </c>
      <c r="K748" s="7">
        <v>0</v>
      </c>
      <c r="L748" s="7" t="str">
        <f t="shared" si="59"/>
        <v/>
      </c>
      <c r="M748" s="7" t="str">
        <f t="shared" si="60"/>
        <v/>
      </c>
      <c r="N748" s="7">
        <v>0</v>
      </c>
      <c r="O748" s="7"/>
      <c r="P748" s="7"/>
      <c r="Q748" s="7"/>
      <c r="AC748"/>
      <c r="AD748" s="14"/>
    </row>
    <row r="749" spans="1:30" x14ac:dyDescent="0.25">
      <c r="A749" t="b">
        <f t="shared" si="61"/>
        <v>0</v>
      </c>
      <c r="B749">
        <v>2006</v>
      </c>
      <c r="C749">
        <v>152</v>
      </c>
      <c r="D749">
        <v>0</v>
      </c>
      <c r="E749">
        <v>1200</v>
      </c>
      <c r="F749" s="7">
        <v>704</v>
      </c>
      <c r="G749" s="7">
        <v>15.8</v>
      </c>
      <c r="H749" s="7">
        <v>0</v>
      </c>
      <c r="I749" s="7" t="str">
        <f t="shared" si="57"/>
        <v/>
      </c>
      <c r="J749" s="7" t="str">
        <f t="shared" si="58"/>
        <v/>
      </c>
      <c r="K749" s="7">
        <v>0</v>
      </c>
      <c r="L749" s="7" t="str">
        <f t="shared" si="59"/>
        <v/>
      </c>
      <c r="M749" s="7" t="str">
        <f t="shared" si="60"/>
        <v/>
      </c>
      <c r="N749" s="7">
        <v>0</v>
      </c>
      <c r="O749" s="7"/>
      <c r="P749" s="7"/>
      <c r="Q749" s="7"/>
      <c r="AC749"/>
      <c r="AD749" s="14"/>
    </row>
    <row r="750" spans="1:30" x14ac:dyDescent="0.25">
      <c r="A750" t="b">
        <f t="shared" si="61"/>
        <v>0</v>
      </c>
      <c r="B750">
        <v>2006</v>
      </c>
      <c r="C750">
        <v>152</v>
      </c>
      <c r="D750">
        <v>0</v>
      </c>
      <c r="E750">
        <v>1300</v>
      </c>
      <c r="F750" s="7">
        <v>786</v>
      </c>
      <c r="G750" s="7">
        <v>17.03</v>
      </c>
      <c r="H750" s="7">
        <v>0</v>
      </c>
      <c r="I750" s="7" t="str">
        <f t="shared" si="57"/>
        <v/>
      </c>
      <c r="J750" s="7" t="str">
        <f t="shared" si="58"/>
        <v/>
      </c>
      <c r="K750" s="7">
        <v>0</v>
      </c>
      <c r="L750" s="7" t="str">
        <f t="shared" si="59"/>
        <v/>
      </c>
      <c r="M750" s="7" t="str">
        <f t="shared" si="60"/>
        <v/>
      </c>
      <c r="N750" s="7">
        <v>0</v>
      </c>
      <c r="O750" s="7"/>
      <c r="P750" s="7"/>
      <c r="Q750" s="7"/>
      <c r="AC750"/>
      <c r="AD750" s="14"/>
    </row>
    <row r="751" spans="1:30" x14ac:dyDescent="0.25">
      <c r="A751" t="b">
        <f t="shared" si="61"/>
        <v>0</v>
      </c>
      <c r="B751">
        <v>2006</v>
      </c>
      <c r="C751">
        <v>152</v>
      </c>
      <c r="D751">
        <v>0</v>
      </c>
      <c r="E751">
        <v>1400</v>
      </c>
      <c r="F751" s="7">
        <v>699.5</v>
      </c>
      <c r="G751" s="7">
        <v>17.46</v>
      </c>
      <c r="H751" s="7">
        <v>0</v>
      </c>
      <c r="I751" s="7" t="str">
        <f t="shared" si="57"/>
        <v/>
      </c>
      <c r="J751" s="7" t="str">
        <f t="shared" si="58"/>
        <v/>
      </c>
      <c r="K751" s="7">
        <v>0</v>
      </c>
      <c r="L751" s="7" t="str">
        <f t="shared" si="59"/>
        <v/>
      </c>
      <c r="M751" s="7" t="str">
        <f t="shared" si="60"/>
        <v/>
      </c>
      <c r="N751" s="7">
        <v>0</v>
      </c>
      <c r="O751" s="7"/>
      <c r="P751" s="7"/>
      <c r="Q751" s="7"/>
      <c r="AC751"/>
      <c r="AD751" s="14"/>
    </row>
    <row r="752" spans="1:30" x14ac:dyDescent="0.25">
      <c r="A752" t="b">
        <f t="shared" si="61"/>
        <v>0</v>
      </c>
      <c r="B752">
        <v>2006</v>
      </c>
      <c r="C752">
        <v>152</v>
      </c>
      <c r="D752">
        <v>0</v>
      </c>
      <c r="E752">
        <v>1500</v>
      </c>
      <c r="F752" s="7">
        <v>654.9</v>
      </c>
      <c r="G752" s="7">
        <v>17.940000000000001</v>
      </c>
      <c r="H752" s="7">
        <v>0</v>
      </c>
      <c r="I752" s="7" t="str">
        <f t="shared" si="57"/>
        <v/>
      </c>
      <c r="J752" s="7" t="str">
        <f t="shared" si="58"/>
        <v/>
      </c>
      <c r="K752" s="7">
        <v>0</v>
      </c>
      <c r="L752" s="7" t="str">
        <f t="shared" si="59"/>
        <v/>
      </c>
      <c r="M752" s="7" t="str">
        <f t="shared" si="60"/>
        <v/>
      </c>
      <c r="N752" s="7">
        <v>0</v>
      </c>
      <c r="O752" s="7"/>
      <c r="P752" s="7"/>
      <c r="Q752" s="7"/>
      <c r="AC752"/>
      <c r="AD752" s="14"/>
    </row>
    <row r="753" spans="1:30" x14ac:dyDescent="0.25">
      <c r="A753" t="b">
        <f t="shared" si="61"/>
        <v>0</v>
      </c>
      <c r="B753">
        <v>2006</v>
      </c>
      <c r="C753">
        <v>152</v>
      </c>
      <c r="D753">
        <v>0</v>
      </c>
      <c r="E753">
        <v>1600</v>
      </c>
      <c r="F753" s="7">
        <v>687.9</v>
      </c>
      <c r="G753" s="7">
        <v>18.47</v>
      </c>
      <c r="H753" s="7">
        <v>0</v>
      </c>
      <c r="I753" s="7" t="str">
        <f t="shared" si="57"/>
        <v/>
      </c>
      <c r="J753" s="7" t="str">
        <f t="shared" si="58"/>
        <v/>
      </c>
      <c r="K753" s="7">
        <v>0</v>
      </c>
      <c r="L753" s="7" t="str">
        <f t="shared" si="59"/>
        <v/>
      </c>
      <c r="M753" s="7" t="str">
        <f t="shared" si="60"/>
        <v/>
      </c>
      <c r="N753" s="7">
        <v>0</v>
      </c>
      <c r="O753" s="7"/>
      <c r="P753" s="7"/>
      <c r="Q753" s="7"/>
      <c r="AC753"/>
      <c r="AD753" s="14"/>
    </row>
    <row r="754" spans="1:30" x14ac:dyDescent="0.25">
      <c r="A754" t="b">
        <f t="shared" si="61"/>
        <v>0</v>
      </c>
      <c r="B754">
        <v>2006</v>
      </c>
      <c r="C754">
        <v>152</v>
      </c>
      <c r="D754">
        <v>0</v>
      </c>
      <c r="E754">
        <v>1700</v>
      </c>
      <c r="F754" s="7">
        <v>539.20000000000005</v>
      </c>
      <c r="G754" s="7">
        <v>18.07</v>
      </c>
      <c r="H754" s="7">
        <v>0</v>
      </c>
      <c r="I754" s="7" t="str">
        <f t="shared" si="57"/>
        <v/>
      </c>
      <c r="J754" s="7" t="str">
        <f t="shared" si="58"/>
        <v/>
      </c>
      <c r="K754" s="7">
        <v>0</v>
      </c>
      <c r="L754" s="7" t="str">
        <f t="shared" si="59"/>
        <v/>
      </c>
      <c r="M754" s="7" t="str">
        <f t="shared" si="60"/>
        <v/>
      </c>
      <c r="N754" s="7">
        <v>0</v>
      </c>
      <c r="O754" s="7"/>
      <c r="P754" s="7"/>
      <c r="Q754" s="7"/>
      <c r="AC754"/>
      <c r="AD754" s="14"/>
    </row>
    <row r="755" spans="1:30" x14ac:dyDescent="0.25">
      <c r="A755" t="b">
        <f t="shared" si="61"/>
        <v>0</v>
      </c>
      <c r="B755">
        <v>2006</v>
      </c>
      <c r="C755">
        <v>152</v>
      </c>
      <c r="D755">
        <v>0</v>
      </c>
      <c r="E755">
        <v>1800</v>
      </c>
      <c r="F755" s="7">
        <v>369.5</v>
      </c>
      <c r="G755" s="7">
        <v>17.54</v>
      </c>
      <c r="H755" s="7">
        <v>0</v>
      </c>
      <c r="I755" s="7" t="str">
        <f t="shared" si="57"/>
        <v/>
      </c>
      <c r="J755" s="7" t="str">
        <f t="shared" si="58"/>
        <v/>
      </c>
      <c r="K755" s="7">
        <v>0</v>
      </c>
      <c r="L755" s="7" t="str">
        <f t="shared" si="59"/>
        <v/>
      </c>
      <c r="M755" s="7" t="str">
        <f t="shared" si="60"/>
        <v/>
      </c>
      <c r="N755" s="7">
        <v>0</v>
      </c>
      <c r="O755" s="7"/>
      <c r="P755" s="7"/>
      <c r="Q755" s="7"/>
      <c r="AC755"/>
      <c r="AD755" s="14"/>
    </row>
    <row r="756" spans="1:30" x14ac:dyDescent="0.25">
      <c r="A756" t="b">
        <f t="shared" si="61"/>
        <v>0</v>
      </c>
      <c r="B756">
        <v>2006</v>
      </c>
      <c r="C756">
        <v>152</v>
      </c>
      <c r="D756">
        <v>0</v>
      </c>
      <c r="E756">
        <v>1900</v>
      </c>
      <c r="F756" s="7">
        <v>190.9</v>
      </c>
      <c r="G756" s="7">
        <v>16.399999999999999</v>
      </c>
      <c r="H756" s="7">
        <v>0</v>
      </c>
      <c r="I756" s="7" t="str">
        <f t="shared" si="57"/>
        <v/>
      </c>
      <c r="J756" s="7" t="str">
        <f t="shared" si="58"/>
        <v/>
      </c>
      <c r="K756" s="7">
        <v>0</v>
      </c>
      <c r="L756" s="7" t="str">
        <f t="shared" si="59"/>
        <v/>
      </c>
      <c r="M756" s="7" t="str">
        <f t="shared" si="60"/>
        <v/>
      </c>
      <c r="N756" s="7">
        <v>0</v>
      </c>
      <c r="O756" s="7"/>
      <c r="P756" s="7"/>
      <c r="Q756" s="7"/>
      <c r="AC756"/>
      <c r="AD756" s="14"/>
    </row>
    <row r="757" spans="1:30" x14ac:dyDescent="0.25">
      <c r="A757" t="b">
        <f t="shared" si="61"/>
        <v>0</v>
      </c>
      <c r="B757">
        <v>2006</v>
      </c>
      <c r="C757">
        <v>152</v>
      </c>
      <c r="D757">
        <v>0</v>
      </c>
      <c r="E757">
        <v>2000</v>
      </c>
      <c r="F757" s="7">
        <v>76.8</v>
      </c>
      <c r="G757" s="7">
        <v>14.71</v>
      </c>
      <c r="H757" s="7">
        <v>0</v>
      </c>
      <c r="I757" s="7" t="str">
        <f t="shared" si="57"/>
        <v/>
      </c>
      <c r="J757" s="7" t="str">
        <f t="shared" si="58"/>
        <v/>
      </c>
      <c r="K757" s="7">
        <v>0</v>
      </c>
      <c r="L757" s="7" t="str">
        <f t="shared" si="59"/>
        <v/>
      </c>
      <c r="M757" s="7" t="str">
        <f t="shared" si="60"/>
        <v/>
      </c>
      <c r="N757" s="7">
        <v>0</v>
      </c>
      <c r="O757" s="7"/>
      <c r="P757" s="7"/>
      <c r="Q757" s="7"/>
      <c r="AC757"/>
      <c r="AD757" s="14"/>
    </row>
    <row r="758" spans="1:30" x14ac:dyDescent="0.25">
      <c r="A758" t="b">
        <f t="shared" si="61"/>
        <v>0</v>
      </c>
      <c r="B758">
        <v>2006</v>
      </c>
      <c r="C758">
        <v>152</v>
      </c>
      <c r="D758">
        <v>0</v>
      </c>
      <c r="E758">
        <v>2100</v>
      </c>
      <c r="F758" s="7">
        <v>13.8</v>
      </c>
      <c r="G758" s="7">
        <v>12.98</v>
      </c>
      <c r="H758" s="7">
        <v>0</v>
      </c>
      <c r="I758" s="7" t="str">
        <f t="shared" si="57"/>
        <v/>
      </c>
      <c r="J758" s="7" t="str">
        <f t="shared" si="58"/>
        <v/>
      </c>
      <c r="K758" s="7">
        <v>0</v>
      </c>
      <c r="L758" s="7" t="str">
        <f t="shared" si="59"/>
        <v/>
      </c>
      <c r="M758" s="7" t="str">
        <f t="shared" si="60"/>
        <v/>
      </c>
      <c r="N758" s="7">
        <v>0</v>
      </c>
      <c r="O758" s="7"/>
      <c r="P758" s="7"/>
      <c r="Q758" s="7"/>
      <c r="AC758"/>
      <c r="AD758" s="14"/>
    </row>
    <row r="759" spans="1:30" x14ac:dyDescent="0.25">
      <c r="A759" t="b">
        <f t="shared" si="61"/>
        <v>0</v>
      </c>
      <c r="B759">
        <v>2006</v>
      </c>
      <c r="C759">
        <v>152</v>
      </c>
      <c r="D759">
        <v>0</v>
      </c>
      <c r="E759">
        <v>2200</v>
      </c>
      <c r="F759" s="7">
        <v>-3.2290000000000001</v>
      </c>
      <c r="G759" s="7">
        <v>10.35</v>
      </c>
      <c r="H759" s="7">
        <v>0</v>
      </c>
      <c r="I759" s="7" t="str">
        <f t="shared" si="57"/>
        <v/>
      </c>
      <c r="J759" s="7" t="str">
        <f t="shared" si="58"/>
        <v/>
      </c>
      <c r="K759" s="7">
        <v>0</v>
      </c>
      <c r="L759" s="7" t="str">
        <f t="shared" si="59"/>
        <v/>
      </c>
      <c r="M759" s="7" t="str">
        <f t="shared" si="60"/>
        <v/>
      </c>
      <c r="N759" s="7">
        <v>0</v>
      </c>
      <c r="O759" s="7"/>
      <c r="P759" s="7"/>
      <c r="Q759" s="7"/>
      <c r="AC759"/>
      <c r="AD759" s="14"/>
    </row>
    <row r="760" spans="1:30" x14ac:dyDescent="0.25">
      <c r="A760" t="b">
        <f t="shared" si="61"/>
        <v>0</v>
      </c>
      <c r="B760">
        <v>2006</v>
      </c>
      <c r="C760">
        <v>152</v>
      </c>
      <c r="D760">
        <v>0</v>
      </c>
      <c r="E760">
        <v>2300</v>
      </c>
      <c r="F760" s="7">
        <v>-3.544</v>
      </c>
      <c r="G760" s="7">
        <v>7.92</v>
      </c>
      <c r="H760" s="7">
        <v>0</v>
      </c>
      <c r="I760" s="7" t="str">
        <f t="shared" si="57"/>
        <v/>
      </c>
      <c r="J760" s="7" t="str">
        <f t="shared" si="58"/>
        <v/>
      </c>
      <c r="K760" s="7">
        <v>0</v>
      </c>
      <c r="L760" s="7" t="str">
        <f t="shared" si="59"/>
        <v/>
      </c>
      <c r="M760" s="7" t="str">
        <f t="shared" si="60"/>
        <v/>
      </c>
      <c r="N760" s="7">
        <v>0</v>
      </c>
      <c r="O760" s="7"/>
      <c r="P760" s="7"/>
      <c r="Q760" s="7"/>
      <c r="AC760"/>
      <c r="AD760" s="14"/>
    </row>
    <row r="761" spans="1:30" x14ac:dyDescent="0.25">
      <c r="A761" t="b">
        <f t="shared" si="61"/>
        <v>0</v>
      </c>
      <c r="B761">
        <v>2006</v>
      </c>
      <c r="C761">
        <v>152</v>
      </c>
      <c r="D761">
        <v>0</v>
      </c>
      <c r="E761">
        <v>2400</v>
      </c>
      <c r="F761" s="7">
        <v>-3.1480000000000001</v>
      </c>
      <c r="G761" s="7">
        <v>6.4359999999999999</v>
      </c>
      <c r="H761" s="7">
        <v>0</v>
      </c>
      <c r="I761" s="7" t="str">
        <f t="shared" si="57"/>
        <v/>
      </c>
      <c r="J761" s="7" t="str">
        <f t="shared" si="58"/>
        <v/>
      </c>
      <c r="K761" s="7">
        <v>0</v>
      </c>
      <c r="L761" s="7" t="str">
        <f t="shared" si="59"/>
        <v/>
      </c>
      <c r="M761" s="7" t="str">
        <f t="shared" si="60"/>
        <v/>
      </c>
      <c r="N761" s="7">
        <v>0</v>
      </c>
      <c r="O761" s="7"/>
      <c r="P761" s="7"/>
      <c r="Q761" s="7"/>
      <c r="AC761"/>
      <c r="AD761" s="14"/>
    </row>
    <row r="762" spans="1:30" x14ac:dyDescent="0.25">
      <c r="A762" t="b">
        <f t="shared" si="61"/>
        <v>1</v>
      </c>
      <c r="B762">
        <v>2006</v>
      </c>
      <c r="C762">
        <v>153</v>
      </c>
      <c r="D762">
        <v>0</v>
      </c>
      <c r="E762">
        <v>100</v>
      </c>
      <c r="F762" s="7">
        <v>-2.6680000000000001</v>
      </c>
      <c r="G762" s="7">
        <v>6.2709999999999999</v>
      </c>
      <c r="H762" s="7">
        <v>0</v>
      </c>
      <c r="I762" s="7">
        <f t="shared" si="57"/>
        <v>0</v>
      </c>
      <c r="J762" s="7">
        <f t="shared" si="58"/>
        <v>331.931625</v>
      </c>
      <c r="K762" s="7">
        <v>0</v>
      </c>
      <c r="L762" s="7">
        <f t="shared" si="59"/>
        <v>20.66</v>
      </c>
      <c r="M762" s="7">
        <f t="shared" si="60"/>
        <v>6.2709999999999999</v>
      </c>
      <c r="N762" s="7">
        <v>0</v>
      </c>
      <c r="O762" s="7"/>
      <c r="P762" s="7"/>
      <c r="Q762" s="7"/>
      <c r="AC762"/>
      <c r="AD762" s="14"/>
    </row>
    <row r="763" spans="1:30" x14ac:dyDescent="0.25">
      <c r="A763" t="b">
        <f t="shared" si="61"/>
        <v>0</v>
      </c>
      <c r="B763">
        <v>2006</v>
      </c>
      <c r="C763">
        <v>153</v>
      </c>
      <c r="D763">
        <v>0</v>
      </c>
      <c r="E763">
        <v>200</v>
      </c>
      <c r="F763" s="7">
        <v>-2.7490000000000001</v>
      </c>
      <c r="G763" s="7">
        <v>7.75</v>
      </c>
      <c r="H763" s="7">
        <v>0</v>
      </c>
      <c r="I763" s="7" t="str">
        <f t="shared" si="57"/>
        <v/>
      </c>
      <c r="J763" s="7" t="str">
        <f t="shared" si="58"/>
        <v/>
      </c>
      <c r="K763" s="7">
        <v>0</v>
      </c>
      <c r="L763" s="7" t="str">
        <f t="shared" si="59"/>
        <v/>
      </c>
      <c r="M763" s="7" t="str">
        <f t="shared" si="60"/>
        <v/>
      </c>
      <c r="N763" s="7">
        <v>0</v>
      </c>
      <c r="O763" s="7"/>
      <c r="P763" s="7"/>
      <c r="Q763" s="7"/>
      <c r="AC763"/>
      <c r="AD763" s="14"/>
    </row>
    <row r="764" spans="1:30" x14ac:dyDescent="0.25">
      <c r="A764" t="b">
        <f t="shared" si="61"/>
        <v>0</v>
      </c>
      <c r="B764">
        <v>2006</v>
      </c>
      <c r="C764">
        <v>153</v>
      </c>
      <c r="D764">
        <v>0</v>
      </c>
      <c r="E764">
        <v>300</v>
      </c>
      <c r="F764" s="7">
        <v>-2.8260000000000001</v>
      </c>
      <c r="G764" s="7">
        <v>8.01</v>
      </c>
      <c r="H764" s="7">
        <v>0</v>
      </c>
      <c r="I764" s="7" t="str">
        <f t="shared" si="57"/>
        <v/>
      </c>
      <c r="J764" s="7" t="str">
        <f t="shared" si="58"/>
        <v/>
      </c>
      <c r="K764" s="7">
        <v>0</v>
      </c>
      <c r="L764" s="7" t="str">
        <f t="shared" si="59"/>
        <v/>
      </c>
      <c r="M764" s="7" t="str">
        <f t="shared" si="60"/>
        <v/>
      </c>
      <c r="N764" s="7">
        <v>0</v>
      </c>
      <c r="O764" s="7"/>
      <c r="P764" s="7"/>
      <c r="Q764" s="7"/>
      <c r="AC764"/>
      <c r="AD764" s="14"/>
    </row>
    <row r="765" spans="1:30" x14ac:dyDescent="0.25">
      <c r="A765" t="b">
        <f t="shared" si="61"/>
        <v>0</v>
      </c>
      <c r="B765">
        <v>2006</v>
      </c>
      <c r="C765">
        <v>153</v>
      </c>
      <c r="D765">
        <v>0</v>
      </c>
      <c r="E765">
        <v>400</v>
      </c>
      <c r="F765" s="7">
        <v>-1.282</v>
      </c>
      <c r="G765" s="7">
        <v>7.91</v>
      </c>
      <c r="H765" s="7">
        <v>0</v>
      </c>
      <c r="I765" s="7" t="str">
        <f t="shared" si="57"/>
        <v/>
      </c>
      <c r="J765" s="7" t="str">
        <f t="shared" si="58"/>
        <v/>
      </c>
      <c r="K765" s="7">
        <v>0</v>
      </c>
      <c r="L765" s="7" t="str">
        <f t="shared" si="59"/>
        <v/>
      </c>
      <c r="M765" s="7" t="str">
        <f t="shared" si="60"/>
        <v/>
      </c>
      <c r="N765" s="7">
        <v>0</v>
      </c>
      <c r="O765" s="7"/>
      <c r="P765" s="7"/>
      <c r="Q765" s="7"/>
      <c r="AC765"/>
      <c r="AD765" s="14"/>
    </row>
    <row r="766" spans="1:30" x14ac:dyDescent="0.25">
      <c r="A766" t="b">
        <f t="shared" si="61"/>
        <v>0</v>
      </c>
      <c r="B766">
        <v>2006</v>
      </c>
      <c r="C766">
        <v>153</v>
      </c>
      <c r="D766">
        <v>0</v>
      </c>
      <c r="E766">
        <v>500</v>
      </c>
      <c r="F766" s="7">
        <v>18.61</v>
      </c>
      <c r="G766" s="7">
        <v>8.33</v>
      </c>
      <c r="H766" s="7">
        <v>0</v>
      </c>
      <c r="I766" s="7" t="str">
        <f t="shared" si="57"/>
        <v/>
      </c>
      <c r="J766" s="7" t="str">
        <f t="shared" si="58"/>
        <v/>
      </c>
      <c r="K766" s="7">
        <v>0</v>
      </c>
      <c r="L766" s="7" t="str">
        <f t="shared" si="59"/>
        <v/>
      </c>
      <c r="M766" s="7" t="str">
        <f t="shared" si="60"/>
        <v/>
      </c>
      <c r="N766" s="7">
        <v>0</v>
      </c>
      <c r="O766" s="7"/>
      <c r="P766" s="7"/>
      <c r="Q766" s="7"/>
      <c r="AC766"/>
      <c r="AD766" s="14"/>
    </row>
    <row r="767" spans="1:30" x14ac:dyDescent="0.25">
      <c r="A767" t="b">
        <f t="shared" si="61"/>
        <v>0</v>
      </c>
      <c r="B767">
        <v>2006</v>
      </c>
      <c r="C767">
        <v>153</v>
      </c>
      <c r="D767">
        <v>0</v>
      </c>
      <c r="E767">
        <v>600</v>
      </c>
      <c r="F767" s="7">
        <v>103.4</v>
      </c>
      <c r="G767" s="7">
        <v>10.119999999999999</v>
      </c>
      <c r="H767" s="7">
        <v>0</v>
      </c>
      <c r="I767" s="7" t="str">
        <f t="shared" si="57"/>
        <v/>
      </c>
      <c r="J767" s="7" t="str">
        <f t="shared" si="58"/>
        <v/>
      </c>
      <c r="K767" s="7">
        <v>0</v>
      </c>
      <c r="L767" s="7" t="str">
        <f t="shared" si="59"/>
        <v/>
      </c>
      <c r="M767" s="7" t="str">
        <f t="shared" si="60"/>
        <v/>
      </c>
      <c r="N767" s="7">
        <v>0</v>
      </c>
      <c r="O767" s="7"/>
      <c r="P767" s="7"/>
      <c r="Q767" s="7"/>
      <c r="AC767"/>
      <c r="AD767" s="14"/>
    </row>
    <row r="768" spans="1:30" x14ac:dyDescent="0.25">
      <c r="A768" t="b">
        <f t="shared" si="61"/>
        <v>0</v>
      </c>
      <c r="B768">
        <v>2006</v>
      </c>
      <c r="C768">
        <v>153</v>
      </c>
      <c r="D768">
        <v>0</v>
      </c>
      <c r="E768">
        <v>700</v>
      </c>
      <c r="F768" s="7">
        <v>297</v>
      </c>
      <c r="G768" s="7">
        <v>12.22</v>
      </c>
      <c r="H768" s="7">
        <v>0</v>
      </c>
      <c r="I768" s="7" t="str">
        <f t="shared" si="57"/>
        <v/>
      </c>
      <c r="J768" s="7" t="str">
        <f t="shared" si="58"/>
        <v/>
      </c>
      <c r="K768" s="7">
        <v>0</v>
      </c>
      <c r="L768" s="7" t="str">
        <f t="shared" si="59"/>
        <v/>
      </c>
      <c r="M768" s="7" t="str">
        <f t="shared" si="60"/>
        <v/>
      </c>
      <c r="N768" s="7">
        <v>0</v>
      </c>
      <c r="O768" s="7"/>
      <c r="P768" s="7"/>
      <c r="Q768" s="7"/>
      <c r="AC768"/>
      <c r="AD768" s="14"/>
    </row>
    <row r="769" spans="1:30" x14ac:dyDescent="0.25">
      <c r="A769" t="b">
        <f t="shared" si="61"/>
        <v>0</v>
      </c>
      <c r="B769">
        <v>2006</v>
      </c>
      <c r="C769">
        <v>153</v>
      </c>
      <c r="D769">
        <v>0</v>
      </c>
      <c r="E769">
        <v>800</v>
      </c>
      <c r="F769" s="7">
        <v>404.6</v>
      </c>
      <c r="G769" s="7">
        <v>13.1</v>
      </c>
      <c r="H769" s="7">
        <v>0</v>
      </c>
      <c r="I769" s="7" t="str">
        <f t="shared" si="57"/>
        <v/>
      </c>
      <c r="J769" s="7" t="str">
        <f t="shared" si="58"/>
        <v/>
      </c>
      <c r="K769" s="7">
        <v>0</v>
      </c>
      <c r="L769" s="7" t="str">
        <f t="shared" si="59"/>
        <v/>
      </c>
      <c r="M769" s="7" t="str">
        <f t="shared" si="60"/>
        <v/>
      </c>
      <c r="N769" s="7">
        <v>0</v>
      </c>
      <c r="O769" s="7"/>
      <c r="P769" s="7"/>
      <c r="Q769" s="7"/>
      <c r="AC769"/>
      <c r="AD769" s="14"/>
    </row>
    <row r="770" spans="1:30" x14ac:dyDescent="0.25">
      <c r="A770" t="b">
        <f t="shared" si="61"/>
        <v>0</v>
      </c>
      <c r="B770">
        <v>2006</v>
      </c>
      <c r="C770">
        <v>153</v>
      </c>
      <c r="D770">
        <v>0</v>
      </c>
      <c r="E770">
        <v>900</v>
      </c>
      <c r="F770" s="7">
        <v>542.29999999999995</v>
      </c>
      <c r="G770" s="7">
        <v>14.05</v>
      </c>
      <c r="H770" s="7">
        <v>0</v>
      </c>
      <c r="I770" s="7" t="str">
        <f t="shared" ref="I770:I833" si="62">IF(AND(B770=B769,C770=C769),"",SUMIFS($H$2:$H$1529,$B$2:$B$1529,B770,$C$2:$C$1529,C770))</f>
        <v/>
      </c>
      <c r="J770" s="7" t="str">
        <f t="shared" ref="J770:J833" si="63">IF(AND(B770=B769,C770=C769),"",AVERAGEIFS($F$2:$F$1529,$B$2:$B$1529,B770,$C$2:$C$1529,C770))</f>
        <v/>
      </c>
      <c r="K770" s="7">
        <v>0</v>
      </c>
      <c r="L770" s="7" t="str">
        <f t="shared" ref="L770:L833" si="64">IF(AND(B770=B769,C770=C769),"",_xlfn.MAXIFS($G$2:$G$1529,$B$2:$B$1529,B770,$C$2:$C$1529,C770))</f>
        <v/>
      </c>
      <c r="M770" s="7" t="str">
        <f t="shared" ref="M770:M833" si="65">IF(AND(B770=B769,C770=C769),"",_xlfn.MINIFS($G$2:$G$1529,$B$2:$B$1529,B770,$C$2:$C$1529,C770))</f>
        <v/>
      </c>
      <c r="N770" s="7">
        <v>0</v>
      </c>
      <c r="O770" s="7"/>
      <c r="P770" s="7"/>
      <c r="Q770" s="7"/>
      <c r="AC770"/>
      <c r="AD770" s="14"/>
    </row>
    <row r="771" spans="1:30" x14ac:dyDescent="0.25">
      <c r="A771" t="b">
        <f t="shared" ref="A771:A834" si="66">NOT(I771="")</f>
        <v>0</v>
      </c>
      <c r="B771">
        <v>2006</v>
      </c>
      <c r="C771">
        <v>153</v>
      </c>
      <c r="D771">
        <v>0</v>
      </c>
      <c r="E771">
        <v>1000</v>
      </c>
      <c r="F771" s="7">
        <v>622.20000000000005</v>
      </c>
      <c r="G771" s="7">
        <v>15.04</v>
      </c>
      <c r="H771" s="7">
        <v>0</v>
      </c>
      <c r="I771" s="7" t="str">
        <f t="shared" si="62"/>
        <v/>
      </c>
      <c r="J771" s="7" t="str">
        <f t="shared" si="63"/>
        <v/>
      </c>
      <c r="K771" s="7">
        <v>0</v>
      </c>
      <c r="L771" s="7" t="str">
        <f t="shared" si="64"/>
        <v/>
      </c>
      <c r="M771" s="7" t="str">
        <f t="shared" si="65"/>
        <v/>
      </c>
      <c r="N771" s="7">
        <v>0</v>
      </c>
      <c r="O771" s="7"/>
      <c r="P771" s="7"/>
      <c r="Q771" s="7"/>
      <c r="AC771"/>
      <c r="AD771" s="14"/>
    </row>
    <row r="772" spans="1:30" x14ac:dyDescent="0.25">
      <c r="A772" t="b">
        <f t="shared" si="66"/>
        <v>0</v>
      </c>
      <c r="B772">
        <v>2006</v>
      </c>
      <c r="C772">
        <v>153</v>
      </c>
      <c r="D772">
        <v>0</v>
      </c>
      <c r="E772">
        <v>1100</v>
      </c>
      <c r="F772" s="7">
        <v>795</v>
      </c>
      <c r="G772" s="7">
        <v>16.829999999999998</v>
      </c>
      <c r="H772" s="7">
        <v>0</v>
      </c>
      <c r="I772" s="7" t="str">
        <f t="shared" si="62"/>
        <v/>
      </c>
      <c r="J772" s="7" t="str">
        <f t="shared" si="63"/>
        <v/>
      </c>
      <c r="K772" s="7">
        <v>0</v>
      </c>
      <c r="L772" s="7" t="str">
        <f t="shared" si="64"/>
        <v/>
      </c>
      <c r="M772" s="7" t="str">
        <f t="shared" si="65"/>
        <v/>
      </c>
      <c r="N772" s="7">
        <v>0</v>
      </c>
      <c r="O772" s="7"/>
      <c r="P772" s="7"/>
      <c r="Q772" s="7"/>
      <c r="AC772"/>
      <c r="AD772" s="14"/>
    </row>
    <row r="773" spans="1:30" x14ac:dyDescent="0.25">
      <c r="A773" t="b">
        <f t="shared" si="66"/>
        <v>0</v>
      </c>
      <c r="B773">
        <v>2006</v>
      </c>
      <c r="C773">
        <v>153</v>
      </c>
      <c r="D773">
        <v>0</v>
      </c>
      <c r="E773">
        <v>1200</v>
      </c>
      <c r="F773" s="7">
        <v>839</v>
      </c>
      <c r="G773" s="7">
        <v>17.190000000000001</v>
      </c>
      <c r="H773" s="7">
        <v>0</v>
      </c>
      <c r="I773" s="7" t="str">
        <f t="shared" si="62"/>
        <v/>
      </c>
      <c r="J773" s="7" t="str">
        <f t="shared" si="63"/>
        <v/>
      </c>
      <c r="K773" s="7">
        <v>0</v>
      </c>
      <c r="L773" s="7" t="str">
        <f t="shared" si="64"/>
        <v/>
      </c>
      <c r="M773" s="7" t="str">
        <f t="shared" si="65"/>
        <v/>
      </c>
      <c r="N773" s="7">
        <v>0</v>
      </c>
      <c r="O773" s="7"/>
      <c r="P773" s="7"/>
      <c r="Q773" s="7"/>
      <c r="AC773"/>
      <c r="AD773" s="14"/>
    </row>
    <row r="774" spans="1:30" x14ac:dyDescent="0.25">
      <c r="A774" t="b">
        <f t="shared" si="66"/>
        <v>0</v>
      </c>
      <c r="B774">
        <v>2006</v>
      </c>
      <c r="C774">
        <v>153</v>
      </c>
      <c r="D774">
        <v>0</v>
      </c>
      <c r="E774">
        <v>1300</v>
      </c>
      <c r="F774" s="7">
        <v>855</v>
      </c>
      <c r="G774" s="7">
        <v>18.21</v>
      </c>
      <c r="H774" s="7">
        <v>0</v>
      </c>
      <c r="I774" s="7" t="str">
        <f t="shared" si="62"/>
        <v/>
      </c>
      <c r="J774" s="7" t="str">
        <f t="shared" si="63"/>
        <v/>
      </c>
      <c r="K774" s="7">
        <v>0</v>
      </c>
      <c r="L774" s="7" t="str">
        <f t="shared" si="64"/>
        <v/>
      </c>
      <c r="M774" s="7" t="str">
        <f t="shared" si="65"/>
        <v/>
      </c>
      <c r="N774" s="7">
        <v>0</v>
      </c>
      <c r="O774" s="7"/>
      <c r="P774" s="7"/>
      <c r="Q774" s="7"/>
      <c r="AC774"/>
      <c r="AD774" s="14"/>
    </row>
    <row r="775" spans="1:30" x14ac:dyDescent="0.25">
      <c r="A775" t="b">
        <f t="shared" si="66"/>
        <v>0</v>
      </c>
      <c r="B775">
        <v>2006</v>
      </c>
      <c r="C775">
        <v>153</v>
      </c>
      <c r="D775">
        <v>0</v>
      </c>
      <c r="E775">
        <v>1400</v>
      </c>
      <c r="F775" s="7">
        <v>814</v>
      </c>
      <c r="G775" s="7">
        <v>19.399999999999999</v>
      </c>
      <c r="H775" s="7">
        <v>0</v>
      </c>
      <c r="I775" s="7" t="str">
        <f t="shared" si="62"/>
        <v/>
      </c>
      <c r="J775" s="7" t="str">
        <f t="shared" si="63"/>
        <v/>
      </c>
      <c r="K775" s="7">
        <v>0</v>
      </c>
      <c r="L775" s="7" t="str">
        <f t="shared" si="64"/>
        <v/>
      </c>
      <c r="M775" s="7" t="str">
        <f t="shared" si="65"/>
        <v/>
      </c>
      <c r="N775" s="7">
        <v>0</v>
      </c>
      <c r="O775" s="7"/>
      <c r="P775" s="7"/>
      <c r="Q775" s="7"/>
      <c r="AC775"/>
      <c r="AD775" s="14"/>
    </row>
    <row r="776" spans="1:30" x14ac:dyDescent="0.25">
      <c r="A776" t="b">
        <f t="shared" si="66"/>
        <v>0</v>
      </c>
      <c r="B776">
        <v>2006</v>
      </c>
      <c r="C776">
        <v>153</v>
      </c>
      <c r="D776">
        <v>0</v>
      </c>
      <c r="E776">
        <v>1500</v>
      </c>
      <c r="F776" s="7">
        <v>751</v>
      </c>
      <c r="G776" s="7">
        <v>20.059999999999999</v>
      </c>
      <c r="H776" s="7">
        <v>0</v>
      </c>
      <c r="I776" s="7" t="str">
        <f t="shared" si="62"/>
        <v/>
      </c>
      <c r="J776" s="7" t="str">
        <f t="shared" si="63"/>
        <v/>
      </c>
      <c r="K776" s="7">
        <v>0</v>
      </c>
      <c r="L776" s="7" t="str">
        <f t="shared" si="64"/>
        <v/>
      </c>
      <c r="M776" s="7" t="str">
        <f t="shared" si="65"/>
        <v/>
      </c>
      <c r="N776" s="7">
        <v>0</v>
      </c>
      <c r="O776" s="7"/>
      <c r="P776" s="7"/>
      <c r="Q776" s="7"/>
      <c r="AC776"/>
      <c r="AD776" s="14"/>
    </row>
    <row r="777" spans="1:30" x14ac:dyDescent="0.25">
      <c r="A777" t="b">
        <f t="shared" si="66"/>
        <v>0</v>
      </c>
      <c r="B777">
        <v>2006</v>
      </c>
      <c r="C777">
        <v>153</v>
      </c>
      <c r="D777">
        <v>0</v>
      </c>
      <c r="E777">
        <v>1600</v>
      </c>
      <c r="F777" s="7">
        <v>667.7</v>
      </c>
      <c r="G777" s="7">
        <v>20.47</v>
      </c>
      <c r="H777" s="7">
        <v>0</v>
      </c>
      <c r="I777" s="7" t="str">
        <f t="shared" si="62"/>
        <v/>
      </c>
      <c r="J777" s="7" t="str">
        <f t="shared" si="63"/>
        <v/>
      </c>
      <c r="K777" s="7">
        <v>0</v>
      </c>
      <c r="L777" s="7" t="str">
        <f t="shared" si="64"/>
        <v/>
      </c>
      <c r="M777" s="7" t="str">
        <f t="shared" si="65"/>
        <v/>
      </c>
      <c r="N777" s="7">
        <v>0</v>
      </c>
      <c r="O777" s="7"/>
      <c r="P777" s="7"/>
      <c r="Q777" s="7"/>
      <c r="AC777"/>
      <c r="AD777" s="14"/>
    </row>
    <row r="778" spans="1:30" x14ac:dyDescent="0.25">
      <c r="A778" t="b">
        <f t="shared" si="66"/>
        <v>0</v>
      </c>
      <c r="B778">
        <v>2006</v>
      </c>
      <c r="C778">
        <v>153</v>
      </c>
      <c r="D778">
        <v>0</v>
      </c>
      <c r="E778">
        <v>1700</v>
      </c>
      <c r="F778" s="7">
        <v>543.4</v>
      </c>
      <c r="G778" s="7">
        <v>20.66</v>
      </c>
      <c r="H778" s="7">
        <v>0</v>
      </c>
      <c r="I778" s="7" t="str">
        <f t="shared" si="62"/>
        <v/>
      </c>
      <c r="J778" s="7" t="str">
        <f t="shared" si="63"/>
        <v/>
      </c>
      <c r="K778" s="7">
        <v>0</v>
      </c>
      <c r="L778" s="7" t="str">
        <f t="shared" si="64"/>
        <v/>
      </c>
      <c r="M778" s="7" t="str">
        <f t="shared" si="65"/>
        <v/>
      </c>
      <c r="N778" s="7">
        <v>0</v>
      </c>
      <c r="O778" s="7"/>
      <c r="P778" s="7"/>
      <c r="Q778" s="7"/>
      <c r="AC778"/>
      <c r="AD778" s="14"/>
    </row>
    <row r="779" spans="1:30" x14ac:dyDescent="0.25">
      <c r="A779" t="b">
        <f t="shared" si="66"/>
        <v>0</v>
      </c>
      <c r="B779">
        <v>2006</v>
      </c>
      <c r="C779">
        <v>153</v>
      </c>
      <c r="D779">
        <v>0</v>
      </c>
      <c r="E779">
        <v>1800</v>
      </c>
      <c r="F779" s="7">
        <v>384.4</v>
      </c>
      <c r="G779" s="7">
        <v>19.77</v>
      </c>
      <c r="H779" s="7">
        <v>0</v>
      </c>
      <c r="I779" s="7" t="str">
        <f t="shared" si="62"/>
        <v/>
      </c>
      <c r="J779" s="7" t="str">
        <f t="shared" si="63"/>
        <v/>
      </c>
      <c r="K779" s="7">
        <v>0</v>
      </c>
      <c r="L779" s="7" t="str">
        <f t="shared" si="64"/>
        <v/>
      </c>
      <c r="M779" s="7" t="str">
        <f t="shared" si="65"/>
        <v/>
      </c>
      <c r="N779" s="7">
        <v>0</v>
      </c>
      <c r="O779" s="7"/>
      <c r="P779" s="7"/>
      <c r="Q779" s="7"/>
      <c r="AC779"/>
      <c r="AD779" s="14"/>
    </row>
    <row r="780" spans="1:30" x14ac:dyDescent="0.25">
      <c r="A780" t="b">
        <f t="shared" si="66"/>
        <v>0</v>
      </c>
      <c r="B780">
        <v>2006</v>
      </c>
      <c r="C780">
        <v>153</v>
      </c>
      <c r="D780">
        <v>0</v>
      </c>
      <c r="E780">
        <v>1900</v>
      </c>
      <c r="F780" s="7">
        <v>227.4</v>
      </c>
      <c r="G780" s="7">
        <v>17.04</v>
      </c>
      <c r="H780" s="7">
        <v>0</v>
      </c>
      <c r="I780" s="7" t="str">
        <f t="shared" si="62"/>
        <v/>
      </c>
      <c r="J780" s="7" t="str">
        <f t="shared" si="63"/>
        <v/>
      </c>
      <c r="K780" s="7">
        <v>0</v>
      </c>
      <c r="L780" s="7" t="str">
        <f t="shared" si="64"/>
        <v/>
      </c>
      <c r="M780" s="7" t="str">
        <f t="shared" si="65"/>
        <v/>
      </c>
      <c r="N780" s="7">
        <v>0</v>
      </c>
      <c r="O780" s="7"/>
      <c r="P780" s="7"/>
      <c r="Q780" s="7"/>
      <c r="AC780"/>
      <c r="AD780" s="14"/>
    </row>
    <row r="781" spans="1:30" x14ac:dyDescent="0.25">
      <c r="A781" t="b">
        <f t="shared" si="66"/>
        <v>0</v>
      </c>
      <c r="B781">
        <v>2006</v>
      </c>
      <c r="C781">
        <v>153</v>
      </c>
      <c r="D781">
        <v>0</v>
      </c>
      <c r="E781">
        <v>2000</v>
      </c>
      <c r="F781" s="7">
        <v>108.1</v>
      </c>
      <c r="G781" s="7">
        <v>15.22</v>
      </c>
      <c r="H781" s="7">
        <v>0</v>
      </c>
      <c r="I781" s="7" t="str">
        <f t="shared" si="62"/>
        <v/>
      </c>
      <c r="J781" s="7" t="str">
        <f t="shared" si="63"/>
        <v/>
      </c>
      <c r="K781" s="7">
        <v>0</v>
      </c>
      <c r="L781" s="7" t="str">
        <f t="shared" si="64"/>
        <v/>
      </c>
      <c r="M781" s="7" t="str">
        <f t="shared" si="65"/>
        <v/>
      </c>
      <c r="N781" s="7">
        <v>0</v>
      </c>
      <c r="O781" s="7"/>
      <c r="P781" s="7"/>
      <c r="Q781" s="7"/>
      <c r="AC781"/>
      <c r="AD781" s="14"/>
    </row>
    <row r="782" spans="1:30" x14ac:dyDescent="0.25">
      <c r="A782" t="b">
        <f t="shared" si="66"/>
        <v>0</v>
      </c>
      <c r="B782">
        <v>2006</v>
      </c>
      <c r="C782">
        <v>153</v>
      </c>
      <c r="D782">
        <v>0</v>
      </c>
      <c r="E782">
        <v>2100</v>
      </c>
      <c r="F782" s="7">
        <v>13.54</v>
      </c>
      <c r="G782" s="7">
        <v>12.58</v>
      </c>
      <c r="H782" s="7">
        <v>0</v>
      </c>
      <c r="I782" s="7" t="str">
        <f t="shared" si="62"/>
        <v/>
      </c>
      <c r="J782" s="7" t="str">
        <f t="shared" si="63"/>
        <v/>
      </c>
      <c r="K782" s="7">
        <v>0</v>
      </c>
      <c r="L782" s="7" t="str">
        <f t="shared" si="64"/>
        <v/>
      </c>
      <c r="M782" s="7" t="str">
        <f t="shared" si="65"/>
        <v/>
      </c>
      <c r="N782" s="7">
        <v>0</v>
      </c>
      <c r="O782" s="7"/>
      <c r="P782" s="7"/>
      <c r="Q782" s="7"/>
      <c r="AC782"/>
      <c r="AD782" s="14"/>
    </row>
    <row r="783" spans="1:30" x14ac:dyDescent="0.25">
      <c r="A783" t="b">
        <f t="shared" si="66"/>
        <v>0</v>
      </c>
      <c r="B783">
        <v>2006</v>
      </c>
      <c r="C783">
        <v>153</v>
      </c>
      <c r="D783">
        <v>0</v>
      </c>
      <c r="E783">
        <v>2200</v>
      </c>
      <c r="F783" s="7">
        <v>-3.4889999999999999</v>
      </c>
      <c r="G783" s="7">
        <v>10.93</v>
      </c>
      <c r="H783" s="7">
        <v>0</v>
      </c>
      <c r="I783" s="7" t="str">
        <f t="shared" si="62"/>
        <v/>
      </c>
      <c r="J783" s="7" t="str">
        <f t="shared" si="63"/>
        <v/>
      </c>
      <c r="K783" s="7">
        <v>0</v>
      </c>
      <c r="L783" s="7" t="str">
        <f t="shared" si="64"/>
        <v/>
      </c>
      <c r="M783" s="7" t="str">
        <f t="shared" si="65"/>
        <v/>
      </c>
      <c r="N783" s="7">
        <v>0</v>
      </c>
      <c r="O783" s="7"/>
      <c r="P783" s="7"/>
      <c r="Q783" s="7"/>
      <c r="AC783"/>
      <c r="AD783" s="14"/>
    </row>
    <row r="784" spans="1:30" x14ac:dyDescent="0.25">
      <c r="A784" t="b">
        <f t="shared" si="66"/>
        <v>0</v>
      </c>
      <c r="B784">
        <v>2006</v>
      </c>
      <c r="C784">
        <v>153</v>
      </c>
      <c r="D784">
        <v>0</v>
      </c>
      <c r="E784">
        <v>2300</v>
      </c>
      <c r="F784" s="7">
        <v>-3.7970000000000002</v>
      </c>
      <c r="G784" s="7">
        <v>9.84</v>
      </c>
      <c r="H784" s="7">
        <v>0</v>
      </c>
      <c r="I784" s="7" t="str">
        <f t="shared" si="62"/>
        <v/>
      </c>
      <c r="J784" s="7" t="str">
        <f t="shared" si="63"/>
        <v/>
      </c>
      <c r="K784" s="7">
        <v>0</v>
      </c>
      <c r="L784" s="7" t="str">
        <f t="shared" si="64"/>
        <v/>
      </c>
      <c r="M784" s="7" t="str">
        <f t="shared" si="65"/>
        <v/>
      </c>
      <c r="N784" s="7">
        <v>0</v>
      </c>
      <c r="O784" s="7"/>
      <c r="P784" s="7"/>
      <c r="Q784" s="7"/>
      <c r="AC784"/>
      <c r="AD784" s="14"/>
    </row>
    <row r="785" spans="1:30" x14ac:dyDescent="0.25">
      <c r="A785" t="b">
        <f t="shared" si="66"/>
        <v>0</v>
      </c>
      <c r="B785">
        <v>2006</v>
      </c>
      <c r="C785">
        <v>153</v>
      </c>
      <c r="D785">
        <v>0</v>
      </c>
      <c r="E785">
        <v>2400</v>
      </c>
      <c r="F785" s="7">
        <v>-3.48</v>
      </c>
      <c r="G785" s="7">
        <v>7.28</v>
      </c>
      <c r="H785" s="7">
        <v>0</v>
      </c>
      <c r="I785" s="7" t="str">
        <f t="shared" si="62"/>
        <v/>
      </c>
      <c r="J785" s="7" t="str">
        <f t="shared" si="63"/>
        <v/>
      </c>
      <c r="K785" s="7">
        <v>0</v>
      </c>
      <c r="L785" s="7" t="str">
        <f t="shared" si="64"/>
        <v/>
      </c>
      <c r="M785" s="7" t="str">
        <f t="shared" si="65"/>
        <v/>
      </c>
      <c r="N785" s="7">
        <v>0</v>
      </c>
      <c r="O785" s="7"/>
      <c r="P785" s="7"/>
      <c r="Q785" s="7"/>
      <c r="AC785"/>
      <c r="AD785" s="14"/>
    </row>
    <row r="786" spans="1:30" x14ac:dyDescent="0.25">
      <c r="A786" t="b">
        <f t="shared" si="66"/>
        <v>1</v>
      </c>
      <c r="B786">
        <v>2006</v>
      </c>
      <c r="C786">
        <v>154</v>
      </c>
      <c r="D786">
        <v>0</v>
      </c>
      <c r="E786">
        <v>100</v>
      </c>
      <c r="F786" s="7">
        <v>-2.952</v>
      </c>
      <c r="G786" s="7">
        <v>5.8250000000000002</v>
      </c>
      <c r="H786" s="7">
        <v>0</v>
      </c>
      <c r="I786" s="7">
        <f t="shared" si="62"/>
        <v>0</v>
      </c>
      <c r="J786" s="7">
        <f t="shared" si="63"/>
        <v>323.48291666666665</v>
      </c>
      <c r="K786" s="7">
        <v>0</v>
      </c>
      <c r="L786" s="7">
        <f t="shared" si="64"/>
        <v>22</v>
      </c>
      <c r="M786" s="7">
        <f t="shared" si="65"/>
        <v>3.69</v>
      </c>
      <c r="N786" s="7">
        <v>0</v>
      </c>
      <c r="O786" s="7"/>
      <c r="P786" s="7"/>
      <c r="Q786" s="7"/>
      <c r="AC786"/>
      <c r="AD786" s="14"/>
    </row>
    <row r="787" spans="1:30" x14ac:dyDescent="0.25">
      <c r="A787" t="b">
        <f t="shared" si="66"/>
        <v>0</v>
      </c>
      <c r="B787">
        <v>2006</v>
      </c>
      <c r="C787">
        <v>154</v>
      </c>
      <c r="D787">
        <v>0</v>
      </c>
      <c r="E787">
        <v>200</v>
      </c>
      <c r="F787" s="7">
        <v>-2.738</v>
      </c>
      <c r="G787" s="7">
        <v>4.7850000000000001</v>
      </c>
      <c r="H787" s="7">
        <v>0</v>
      </c>
      <c r="I787" s="7" t="str">
        <f t="shared" si="62"/>
        <v/>
      </c>
      <c r="J787" s="7" t="str">
        <f t="shared" si="63"/>
        <v/>
      </c>
      <c r="K787" s="7">
        <v>0</v>
      </c>
      <c r="L787" s="7" t="str">
        <f t="shared" si="64"/>
        <v/>
      </c>
      <c r="M787" s="7" t="str">
        <f t="shared" si="65"/>
        <v/>
      </c>
      <c r="N787" s="7">
        <v>0</v>
      </c>
      <c r="O787" s="7"/>
      <c r="P787" s="7"/>
      <c r="Q787" s="7"/>
      <c r="AC787"/>
      <c r="AD787" s="14"/>
    </row>
    <row r="788" spans="1:30" x14ac:dyDescent="0.25">
      <c r="A788" t="b">
        <f t="shared" si="66"/>
        <v>0</v>
      </c>
      <c r="B788">
        <v>2006</v>
      </c>
      <c r="C788">
        <v>154</v>
      </c>
      <c r="D788">
        <v>0</v>
      </c>
      <c r="E788">
        <v>300</v>
      </c>
      <c r="F788" s="7">
        <v>-2.532</v>
      </c>
      <c r="G788" s="7">
        <v>4.2560000000000002</v>
      </c>
      <c r="H788" s="7">
        <v>0</v>
      </c>
      <c r="I788" s="7" t="str">
        <f t="shared" si="62"/>
        <v/>
      </c>
      <c r="J788" s="7" t="str">
        <f t="shared" si="63"/>
        <v/>
      </c>
      <c r="K788" s="7">
        <v>0</v>
      </c>
      <c r="L788" s="7" t="str">
        <f t="shared" si="64"/>
        <v/>
      </c>
      <c r="M788" s="7" t="str">
        <f t="shared" si="65"/>
        <v/>
      </c>
      <c r="N788" s="7">
        <v>0</v>
      </c>
      <c r="O788" s="7"/>
      <c r="P788" s="7"/>
      <c r="Q788" s="7"/>
      <c r="AC788"/>
      <c r="AD788" s="14"/>
    </row>
    <row r="789" spans="1:30" x14ac:dyDescent="0.25">
      <c r="A789" t="b">
        <f t="shared" si="66"/>
        <v>0</v>
      </c>
      <c r="B789">
        <v>2006</v>
      </c>
      <c r="C789">
        <v>154</v>
      </c>
      <c r="D789">
        <v>0</v>
      </c>
      <c r="E789">
        <v>400</v>
      </c>
      <c r="F789" s="7">
        <v>-1.17</v>
      </c>
      <c r="G789" s="7">
        <v>3.69</v>
      </c>
      <c r="H789" s="7">
        <v>0</v>
      </c>
      <c r="I789" s="7" t="str">
        <f t="shared" si="62"/>
        <v/>
      </c>
      <c r="J789" s="7" t="str">
        <f t="shared" si="63"/>
        <v/>
      </c>
      <c r="K789" s="7">
        <v>0</v>
      </c>
      <c r="L789" s="7" t="str">
        <f t="shared" si="64"/>
        <v/>
      </c>
      <c r="M789" s="7" t="str">
        <f t="shared" si="65"/>
        <v/>
      </c>
      <c r="N789" s="7">
        <v>0</v>
      </c>
      <c r="O789" s="7"/>
      <c r="P789" s="7"/>
      <c r="Q789" s="7"/>
      <c r="AC789"/>
      <c r="AD789" s="14"/>
    </row>
    <row r="790" spans="1:30" x14ac:dyDescent="0.25">
      <c r="A790" t="b">
        <f t="shared" si="66"/>
        <v>0</v>
      </c>
      <c r="B790">
        <v>2006</v>
      </c>
      <c r="C790">
        <v>154</v>
      </c>
      <c r="D790">
        <v>0</v>
      </c>
      <c r="E790">
        <v>500</v>
      </c>
      <c r="F790" s="7">
        <v>15.02</v>
      </c>
      <c r="G790" s="7">
        <v>3.7839999999999998</v>
      </c>
      <c r="H790" s="7">
        <v>0</v>
      </c>
      <c r="I790" s="7" t="str">
        <f t="shared" si="62"/>
        <v/>
      </c>
      <c r="J790" s="7" t="str">
        <f t="shared" si="63"/>
        <v/>
      </c>
      <c r="K790" s="7">
        <v>0</v>
      </c>
      <c r="L790" s="7" t="str">
        <f t="shared" si="64"/>
        <v/>
      </c>
      <c r="M790" s="7" t="str">
        <f t="shared" si="65"/>
        <v/>
      </c>
      <c r="N790" s="7">
        <v>0</v>
      </c>
      <c r="O790" s="7"/>
      <c r="P790" s="7"/>
      <c r="Q790" s="7"/>
      <c r="AC790"/>
      <c r="AD790" s="14"/>
    </row>
    <row r="791" spans="1:30" x14ac:dyDescent="0.25">
      <c r="A791" t="b">
        <f t="shared" si="66"/>
        <v>0</v>
      </c>
      <c r="B791">
        <v>2006</v>
      </c>
      <c r="C791">
        <v>154</v>
      </c>
      <c r="D791">
        <v>0</v>
      </c>
      <c r="E791">
        <v>600</v>
      </c>
      <c r="F791" s="7">
        <v>107.2</v>
      </c>
      <c r="G791" s="7">
        <v>6.992</v>
      </c>
      <c r="H791" s="7">
        <v>0</v>
      </c>
      <c r="I791" s="7" t="str">
        <f t="shared" si="62"/>
        <v/>
      </c>
      <c r="J791" s="7" t="str">
        <f t="shared" si="63"/>
        <v/>
      </c>
      <c r="K791" s="7">
        <v>0</v>
      </c>
      <c r="L791" s="7" t="str">
        <f t="shared" si="64"/>
        <v/>
      </c>
      <c r="M791" s="7" t="str">
        <f t="shared" si="65"/>
        <v/>
      </c>
      <c r="N791" s="7">
        <v>0</v>
      </c>
      <c r="O791" s="7"/>
      <c r="P791" s="7"/>
      <c r="Q791" s="7"/>
      <c r="AC791"/>
      <c r="AD791" s="14"/>
    </row>
    <row r="792" spans="1:30" x14ac:dyDescent="0.25">
      <c r="A792" t="b">
        <f t="shared" si="66"/>
        <v>0</v>
      </c>
      <c r="B792">
        <v>2006</v>
      </c>
      <c r="C792">
        <v>154</v>
      </c>
      <c r="D792">
        <v>0</v>
      </c>
      <c r="E792">
        <v>700</v>
      </c>
      <c r="F792" s="7">
        <v>246</v>
      </c>
      <c r="G792" s="7">
        <v>10.82</v>
      </c>
      <c r="H792" s="7">
        <v>0</v>
      </c>
      <c r="I792" s="7" t="str">
        <f t="shared" si="62"/>
        <v/>
      </c>
      <c r="J792" s="7" t="str">
        <f t="shared" si="63"/>
        <v/>
      </c>
      <c r="K792" s="7">
        <v>0</v>
      </c>
      <c r="L792" s="7" t="str">
        <f t="shared" si="64"/>
        <v/>
      </c>
      <c r="M792" s="7" t="str">
        <f t="shared" si="65"/>
        <v/>
      </c>
      <c r="N792" s="7">
        <v>0</v>
      </c>
      <c r="O792" s="7"/>
      <c r="P792" s="7"/>
      <c r="Q792" s="7"/>
      <c r="AC792"/>
      <c r="AD792" s="14"/>
    </row>
    <row r="793" spans="1:30" x14ac:dyDescent="0.25">
      <c r="A793" t="b">
        <f t="shared" si="66"/>
        <v>0</v>
      </c>
      <c r="B793">
        <v>2006</v>
      </c>
      <c r="C793">
        <v>154</v>
      </c>
      <c r="D793">
        <v>0</v>
      </c>
      <c r="E793">
        <v>800</v>
      </c>
      <c r="F793" s="7">
        <v>409.4</v>
      </c>
      <c r="G793" s="7">
        <v>12.71</v>
      </c>
      <c r="H793" s="7">
        <v>0</v>
      </c>
      <c r="I793" s="7" t="str">
        <f t="shared" si="62"/>
        <v/>
      </c>
      <c r="J793" s="7" t="str">
        <f t="shared" si="63"/>
        <v/>
      </c>
      <c r="K793" s="7">
        <v>0</v>
      </c>
      <c r="L793" s="7" t="str">
        <f t="shared" si="64"/>
        <v/>
      </c>
      <c r="M793" s="7" t="str">
        <f t="shared" si="65"/>
        <v/>
      </c>
      <c r="N793" s="7">
        <v>0</v>
      </c>
      <c r="O793" s="7"/>
      <c r="P793" s="7"/>
      <c r="Q793" s="7"/>
      <c r="AC793"/>
      <c r="AD793" s="14"/>
    </row>
    <row r="794" spans="1:30" x14ac:dyDescent="0.25">
      <c r="A794" t="b">
        <f t="shared" si="66"/>
        <v>0</v>
      </c>
      <c r="B794">
        <v>2006</v>
      </c>
      <c r="C794">
        <v>154</v>
      </c>
      <c r="D794">
        <v>0</v>
      </c>
      <c r="E794">
        <v>900</v>
      </c>
      <c r="F794" s="7">
        <v>559.4</v>
      </c>
      <c r="G794" s="7">
        <v>14.21</v>
      </c>
      <c r="H794" s="7">
        <v>0</v>
      </c>
      <c r="I794" s="7" t="str">
        <f t="shared" si="62"/>
        <v/>
      </c>
      <c r="J794" s="7" t="str">
        <f t="shared" si="63"/>
        <v/>
      </c>
      <c r="K794" s="7">
        <v>0</v>
      </c>
      <c r="L794" s="7" t="str">
        <f t="shared" si="64"/>
        <v/>
      </c>
      <c r="M794" s="7" t="str">
        <f t="shared" si="65"/>
        <v/>
      </c>
      <c r="N794" s="7">
        <v>0</v>
      </c>
      <c r="O794" s="7"/>
      <c r="P794" s="7"/>
      <c r="Q794" s="7"/>
      <c r="AC794"/>
      <c r="AD794" s="14"/>
    </row>
    <row r="795" spans="1:30" x14ac:dyDescent="0.25">
      <c r="A795" t="b">
        <f t="shared" si="66"/>
        <v>0</v>
      </c>
      <c r="B795">
        <v>2006</v>
      </c>
      <c r="C795">
        <v>154</v>
      </c>
      <c r="D795">
        <v>0</v>
      </c>
      <c r="E795">
        <v>1000</v>
      </c>
      <c r="F795" s="7">
        <v>688.1</v>
      </c>
      <c r="G795" s="7">
        <v>16.38</v>
      </c>
      <c r="H795" s="7">
        <v>0</v>
      </c>
      <c r="I795" s="7" t="str">
        <f t="shared" si="62"/>
        <v/>
      </c>
      <c r="J795" s="7" t="str">
        <f t="shared" si="63"/>
        <v/>
      </c>
      <c r="K795" s="7">
        <v>0</v>
      </c>
      <c r="L795" s="7" t="str">
        <f t="shared" si="64"/>
        <v/>
      </c>
      <c r="M795" s="7" t="str">
        <f t="shared" si="65"/>
        <v/>
      </c>
      <c r="N795" s="7">
        <v>0</v>
      </c>
      <c r="O795" s="7"/>
      <c r="P795" s="7"/>
      <c r="Q795" s="7"/>
      <c r="AC795"/>
      <c r="AD795" s="14"/>
    </row>
    <row r="796" spans="1:30" x14ac:dyDescent="0.25">
      <c r="A796" t="b">
        <f t="shared" si="66"/>
        <v>0</v>
      </c>
      <c r="B796">
        <v>2006</v>
      </c>
      <c r="C796">
        <v>154</v>
      </c>
      <c r="D796">
        <v>0</v>
      </c>
      <c r="E796">
        <v>1100</v>
      </c>
      <c r="F796" s="7">
        <v>782</v>
      </c>
      <c r="G796" s="7">
        <v>18.09</v>
      </c>
      <c r="H796" s="7">
        <v>0</v>
      </c>
      <c r="I796" s="7" t="str">
        <f t="shared" si="62"/>
        <v/>
      </c>
      <c r="J796" s="7" t="str">
        <f t="shared" si="63"/>
        <v/>
      </c>
      <c r="K796" s="7">
        <v>0</v>
      </c>
      <c r="L796" s="7" t="str">
        <f t="shared" si="64"/>
        <v/>
      </c>
      <c r="M796" s="7" t="str">
        <f t="shared" si="65"/>
        <v/>
      </c>
      <c r="N796" s="7">
        <v>0</v>
      </c>
      <c r="O796" s="7"/>
      <c r="P796" s="7"/>
      <c r="Q796" s="7"/>
      <c r="AC796"/>
      <c r="AD796" s="14"/>
    </row>
    <row r="797" spans="1:30" x14ac:dyDescent="0.25">
      <c r="A797" t="b">
        <f t="shared" si="66"/>
        <v>0</v>
      </c>
      <c r="B797">
        <v>2006</v>
      </c>
      <c r="C797">
        <v>154</v>
      </c>
      <c r="D797">
        <v>0</v>
      </c>
      <c r="E797">
        <v>1200</v>
      </c>
      <c r="F797" s="7">
        <v>840</v>
      </c>
      <c r="G797" s="7">
        <v>18.43</v>
      </c>
      <c r="H797" s="7">
        <v>0</v>
      </c>
      <c r="I797" s="7" t="str">
        <f t="shared" si="62"/>
        <v/>
      </c>
      <c r="J797" s="7" t="str">
        <f t="shared" si="63"/>
        <v/>
      </c>
      <c r="K797" s="7">
        <v>0</v>
      </c>
      <c r="L797" s="7" t="str">
        <f t="shared" si="64"/>
        <v/>
      </c>
      <c r="M797" s="7" t="str">
        <f t="shared" si="65"/>
        <v/>
      </c>
      <c r="N797" s="7">
        <v>0</v>
      </c>
      <c r="O797" s="7"/>
      <c r="P797" s="7"/>
      <c r="Q797" s="7"/>
      <c r="AC797"/>
      <c r="AD797" s="14"/>
    </row>
    <row r="798" spans="1:30" x14ac:dyDescent="0.25">
      <c r="A798" t="b">
        <f t="shared" si="66"/>
        <v>0</v>
      </c>
      <c r="B798">
        <v>2006</v>
      </c>
      <c r="C798">
        <v>154</v>
      </c>
      <c r="D798">
        <v>0</v>
      </c>
      <c r="E798">
        <v>1300</v>
      </c>
      <c r="F798" s="7">
        <v>849</v>
      </c>
      <c r="G798" s="7">
        <v>19.170000000000002</v>
      </c>
      <c r="H798" s="7">
        <v>0</v>
      </c>
      <c r="I798" s="7" t="str">
        <f t="shared" si="62"/>
        <v/>
      </c>
      <c r="J798" s="7" t="str">
        <f t="shared" si="63"/>
        <v/>
      </c>
      <c r="K798" s="7">
        <v>0</v>
      </c>
      <c r="L798" s="7" t="str">
        <f t="shared" si="64"/>
        <v/>
      </c>
      <c r="M798" s="7" t="str">
        <f t="shared" si="65"/>
        <v/>
      </c>
      <c r="N798" s="7">
        <v>0</v>
      </c>
      <c r="O798" s="7"/>
      <c r="P798" s="7"/>
      <c r="Q798" s="7"/>
      <c r="AC798"/>
      <c r="AD798" s="14"/>
    </row>
    <row r="799" spans="1:30" x14ac:dyDescent="0.25">
      <c r="A799" t="b">
        <f t="shared" si="66"/>
        <v>0</v>
      </c>
      <c r="B799">
        <v>2006</v>
      </c>
      <c r="C799">
        <v>154</v>
      </c>
      <c r="D799">
        <v>0</v>
      </c>
      <c r="E799">
        <v>1400</v>
      </c>
      <c r="F799" s="7">
        <v>848</v>
      </c>
      <c r="G799" s="7">
        <v>20.149999999999999</v>
      </c>
      <c r="H799" s="7">
        <v>0</v>
      </c>
      <c r="I799" s="7" t="str">
        <f t="shared" si="62"/>
        <v/>
      </c>
      <c r="J799" s="7" t="str">
        <f t="shared" si="63"/>
        <v/>
      </c>
      <c r="K799" s="7">
        <v>0</v>
      </c>
      <c r="L799" s="7" t="str">
        <f t="shared" si="64"/>
        <v/>
      </c>
      <c r="M799" s="7" t="str">
        <f t="shared" si="65"/>
        <v/>
      </c>
      <c r="N799" s="7">
        <v>0</v>
      </c>
      <c r="O799" s="7"/>
      <c r="P799" s="7"/>
      <c r="Q799" s="7"/>
      <c r="AC799"/>
      <c r="AD799" s="14"/>
    </row>
    <row r="800" spans="1:30" x14ac:dyDescent="0.25">
      <c r="A800" t="b">
        <f t="shared" si="66"/>
        <v>0</v>
      </c>
      <c r="B800">
        <v>2006</v>
      </c>
      <c r="C800">
        <v>154</v>
      </c>
      <c r="D800">
        <v>0</v>
      </c>
      <c r="E800">
        <v>1500</v>
      </c>
      <c r="F800" s="7">
        <v>774</v>
      </c>
      <c r="G800" s="7">
        <v>21.59</v>
      </c>
      <c r="H800" s="7">
        <v>0</v>
      </c>
      <c r="I800" s="7" t="str">
        <f t="shared" si="62"/>
        <v/>
      </c>
      <c r="J800" s="7" t="str">
        <f t="shared" si="63"/>
        <v/>
      </c>
      <c r="K800" s="7">
        <v>0</v>
      </c>
      <c r="L800" s="7" t="str">
        <f t="shared" si="64"/>
        <v/>
      </c>
      <c r="M800" s="7" t="str">
        <f t="shared" si="65"/>
        <v/>
      </c>
      <c r="N800" s="7">
        <v>0</v>
      </c>
      <c r="O800" s="7"/>
      <c r="P800" s="7"/>
      <c r="Q800" s="7"/>
      <c r="AC800"/>
      <c r="AD800" s="14"/>
    </row>
    <row r="801" spans="1:30" x14ac:dyDescent="0.25">
      <c r="A801" t="b">
        <f t="shared" si="66"/>
        <v>0</v>
      </c>
      <c r="B801">
        <v>2006</v>
      </c>
      <c r="C801">
        <v>154</v>
      </c>
      <c r="D801">
        <v>0</v>
      </c>
      <c r="E801">
        <v>1600</v>
      </c>
      <c r="F801" s="7">
        <v>651</v>
      </c>
      <c r="G801" s="7">
        <v>22</v>
      </c>
      <c r="H801" s="7">
        <v>0</v>
      </c>
      <c r="I801" s="7" t="str">
        <f t="shared" si="62"/>
        <v/>
      </c>
      <c r="J801" s="7" t="str">
        <f t="shared" si="63"/>
        <v/>
      </c>
      <c r="K801" s="7">
        <v>0</v>
      </c>
      <c r="L801" s="7" t="str">
        <f t="shared" si="64"/>
        <v/>
      </c>
      <c r="M801" s="7" t="str">
        <f t="shared" si="65"/>
        <v/>
      </c>
      <c r="N801" s="7">
        <v>0</v>
      </c>
      <c r="O801" s="7"/>
      <c r="P801" s="7"/>
      <c r="Q801" s="7"/>
      <c r="AC801"/>
      <c r="AD801" s="14"/>
    </row>
    <row r="802" spans="1:30" x14ac:dyDescent="0.25">
      <c r="A802" t="b">
        <f t="shared" si="66"/>
        <v>0</v>
      </c>
      <c r="B802">
        <v>2006</v>
      </c>
      <c r="C802">
        <v>154</v>
      </c>
      <c r="D802">
        <v>0</v>
      </c>
      <c r="E802">
        <v>1700</v>
      </c>
      <c r="F802" s="7">
        <v>532.6</v>
      </c>
      <c r="G802" s="7">
        <v>21.76</v>
      </c>
      <c r="H802" s="7">
        <v>0</v>
      </c>
      <c r="I802" s="7" t="str">
        <f t="shared" si="62"/>
        <v/>
      </c>
      <c r="J802" s="7" t="str">
        <f t="shared" si="63"/>
        <v/>
      </c>
      <c r="K802" s="7">
        <v>0</v>
      </c>
      <c r="L802" s="7" t="str">
        <f t="shared" si="64"/>
        <v/>
      </c>
      <c r="M802" s="7" t="str">
        <f t="shared" si="65"/>
        <v/>
      </c>
      <c r="N802" s="7">
        <v>0</v>
      </c>
      <c r="O802" s="7"/>
      <c r="P802" s="7"/>
      <c r="Q802" s="7"/>
      <c r="AC802"/>
      <c r="AD802" s="14"/>
    </row>
    <row r="803" spans="1:30" x14ac:dyDescent="0.25">
      <c r="A803" t="b">
        <f t="shared" si="66"/>
        <v>0</v>
      </c>
      <c r="B803">
        <v>2006</v>
      </c>
      <c r="C803">
        <v>154</v>
      </c>
      <c r="D803">
        <v>0</v>
      </c>
      <c r="E803">
        <v>1800</v>
      </c>
      <c r="F803" s="7">
        <v>265.39999999999998</v>
      </c>
      <c r="G803" s="7">
        <v>18.82</v>
      </c>
      <c r="H803" s="7">
        <v>0</v>
      </c>
      <c r="I803" s="7" t="str">
        <f t="shared" si="62"/>
        <v/>
      </c>
      <c r="J803" s="7" t="str">
        <f t="shared" si="63"/>
        <v/>
      </c>
      <c r="K803" s="7">
        <v>0</v>
      </c>
      <c r="L803" s="7" t="str">
        <f t="shared" si="64"/>
        <v/>
      </c>
      <c r="M803" s="7" t="str">
        <f t="shared" si="65"/>
        <v/>
      </c>
      <c r="N803" s="7">
        <v>0</v>
      </c>
      <c r="O803" s="7"/>
      <c r="P803" s="7"/>
      <c r="Q803" s="7"/>
      <c r="AC803"/>
      <c r="AD803" s="14"/>
    </row>
    <row r="804" spans="1:30" x14ac:dyDescent="0.25">
      <c r="A804" t="b">
        <f t="shared" si="66"/>
        <v>0</v>
      </c>
      <c r="B804">
        <v>2006</v>
      </c>
      <c r="C804">
        <v>154</v>
      </c>
      <c r="D804">
        <v>0</v>
      </c>
      <c r="E804">
        <v>1900</v>
      </c>
      <c r="F804" s="7">
        <v>133.9</v>
      </c>
      <c r="G804" s="7">
        <v>16.559999999999999</v>
      </c>
      <c r="H804" s="7">
        <v>0</v>
      </c>
      <c r="I804" s="7" t="str">
        <f t="shared" si="62"/>
        <v/>
      </c>
      <c r="J804" s="7" t="str">
        <f t="shared" si="63"/>
        <v/>
      </c>
      <c r="K804" s="7">
        <v>0</v>
      </c>
      <c r="L804" s="7" t="str">
        <f t="shared" si="64"/>
        <v/>
      </c>
      <c r="M804" s="7" t="str">
        <f t="shared" si="65"/>
        <v/>
      </c>
      <c r="N804" s="7">
        <v>0</v>
      </c>
      <c r="O804" s="7"/>
      <c r="P804" s="7"/>
      <c r="Q804" s="7"/>
      <c r="AC804"/>
      <c r="AD804" s="14"/>
    </row>
    <row r="805" spans="1:30" x14ac:dyDescent="0.25">
      <c r="A805" t="b">
        <f t="shared" si="66"/>
        <v>0</v>
      </c>
      <c r="B805">
        <v>2006</v>
      </c>
      <c r="C805">
        <v>154</v>
      </c>
      <c r="D805">
        <v>0</v>
      </c>
      <c r="E805">
        <v>2000</v>
      </c>
      <c r="F805" s="7">
        <v>66.599999999999994</v>
      </c>
      <c r="G805" s="7">
        <v>14.9</v>
      </c>
      <c r="H805" s="7">
        <v>0</v>
      </c>
      <c r="I805" s="7" t="str">
        <f t="shared" si="62"/>
        <v/>
      </c>
      <c r="J805" s="7" t="str">
        <f t="shared" si="63"/>
        <v/>
      </c>
      <c r="K805" s="7">
        <v>0</v>
      </c>
      <c r="L805" s="7" t="str">
        <f t="shared" si="64"/>
        <v/>
      </c>
      <c r="M805" s="7" t="str">
        <f t="shared" si="65"/>
        <v/>
      </c>
      <c r="N805" s="7">
        <v>0</v>
      </c>
      <c r="O805" s="7"/>
      <c r="P805" s="7"/>
      <c r="Q805" s="7"/>
      <c r="AC805"/>
      <c r="AD805" s="14"/>
    </row>
    <row r="806" spans="1:30" x14ac:dyDescent="0.25">
      <c r="A806" t="b">
        <f t="shared" si="66"/>
        <v>0</v>
      </c>
      <c r="B806">
        <v>2006</v>
      </c>
      <c r="C806">
        <v>154</v>
      </c>
      <c r="D806">
        <v>0</v>
      </c>
      <c r="E806">
        <v>2100</v>
      </c>
      <c r="F806" s="7">
        <v>12.17</v>
      </c>
      <c r="G806" s="7">
        <v>13.11</v>
      </c>
      <c r="H806" s="7">
        <v>0</v>
      </c>
      <c r="I806" s="7" t="str">
        <f t="shared" si="62"/>
        <v/>
      </c>
      <c r="J806" s="7" t="str">
        <f t="shared" si="63"/>
        <v/>
      </c>
      <c r="K806" s="7">
        <v>0</v>
      </c>
      <c r="L806" s="7" t="str">
        <f t="shared" si="64"/>
        <v/>
      </c>
      <c r="M806" s="7" t="str">
        <f t="shared" si="65"/>
        <v/>
      </c>
      <c r="N806" s="7">
        <v>0</v>
      </c>
      <c r="O806" s="7"/>
      <c r="P806" s="7"/>
      <c r="Q806" s="7"/>
      <c r="AC806"/>
      <c r="AD806" s="14"/>
    </row>
    <row r="807" spans="1:30" x14ac:dyDescent="0.25">
      <c r="A807" t="b">
        <f t="shared" si="66"/>
        <v>0</v>
      </c>
      <c r="B807">
        <v>2006</v>
      </c>
      <c r="C807">
        <v>154</v>
      </c>
      <c r="D807">
        <v>0</v>
      </c>
      <c r="E807">
        <v>2200</v>
      </c>
      <c r="F807" s="7">
        <v>-2.2559999999999998</v>
      </c>
      <c r="G807" s="7">
        <v>11.84</v>
      </c>
      <c r="H807" s="7">
        <v>0</v>
      </c>
      <c r="I807" s="7" t="str">
        <f t="shared" si="62"/>
        <v/>
      </c>
      <c r="J807" s="7" t="str">
        <f t="shared" si="63"/>
        <v/>
      </c>
      <c r="K807" s="7">
        <v>0</v>
      </c>
      <c r="L807" s="7" t="str">
        <f t="shared" si="64"/>
        <v/>
      </c>
      <c r="M807" s="7" t="str">
        <f t="shared" si="65"/>
        <v/>
      </c>
      <c r="N807" s="7">
        <v>0</v>
      </c>
      <c r="O807" s="7"/>
      <c r="P807" s="7"/>
      <c r="Q807" s="7"/>
      <c r="AC807"/>
      <c r="AD807" s="14"/>
    </row>
    <row r="808" spans="1:30" x14ac:dyDescent="0.25">
      <c r="A808" t="b">
        <f t="shared" si="66"/>
        <v>0</v>
      </c>
      <c r="B808">
        <v>2006</v>
      </c>
      <c r="C808">
        <v>154</v>
      </c>
      <c r="D808">
        <v>0</v>
      </c>
      <c r="E808">
        <v>2300</v>
      </c>
      <c r="F808" s="7">
        <v>-2.593</v>
      </c>
      <c r="G808" s="7">
        <v>11.16</v>
      </c>
      <c r="H808" s="7">
        <v>0</v>
      </c>
      <c r="I808" s="7" t="str">
        <f t="shared" si="62"/>
        <v/>
      </c>
      <c r="J808" s="7" t="str">
        <f t="shared" si="63"/>
        <v/>
      </c>
      <c r="K808" s="7">
        <v>0</v>
      </c>
      <c r="L808" s="7" t="str">
        <f t="shared" si="64"/>
        <v/>
      </c>
      <c r="M808" s="7" t="str">
        <f t="shared" si="65"/>
        <v/>
      </c>
      <c r="N808" s="7">
        <v>0</v>
      </c>
      <c r="O808" s="7"/>
      <c r="P808" s="7"/>
      <c r="Q808" s="7"/>
      <c r="AC808"/>
      <c r="AD808" s="14"/>
    </row>
    <row r="809" spans="1:30" x14ac:dyDescent="0.25">
      <c r="A809" t="b">
        <f t="shared" si="66"/>
        <v>0</v>
      </c>
      <c r="B809">
        <v>2006</v>
      </c>
      <c r="C809">
        <v>154</v>
      </c>
      <c r="D809">
        <v>0</v>
      </c>
      <c r="E809">
        <v>2400</v>
      </c>
      <c r="F809" s="7">
        <v>-1.9590000000000001</v>
      </c>
      <c r="G809" s="7">
        <v>10.86</v>
      </c>
      <c r="H809" s="7">
        <v>0</v>
      </c>
      <c r="I809" s="7" t="str">
        <f t="shared" si="62"/>
        <v/>
      </c>
      <c r="J809" s="7" t="str">
        <f t="shared" si="63"/>
        <v/>
      </c>
      <c r="K809" s="7">
        <v>0</v>
      </c>
      <c r="L809" s="7" t="str">
        <f t="shared" si="64"/>
        <v/>
      </c>
      <c r="M809" s="7" t="str">
        <f t="shared" si="65"/>
        <v/>
      </c>
      <c r="N809" s="7">
        <v>0</v>
      </c>
      <c r="O809" s="7"/>
      <c r="P809" s="7"/>
      <c r="Q809" s="7"/>
      <c r="AC809"/>
      <c r="AD809" s="14"/>
    </row>
    <row r="810" spans="1:30" x14ac:dyDescent="0.25">
      <c r="A810" t="b">
        <f t="shared" si="66"/>
        <v>1</v>
      </c>
      <c r="B810">
        <v>2006</v>
      </c>
      <c r="C810">
        <v>155</v>
      </c>
      <c r="D810">
        <v>0</v>
      </c>
      <c r="E810">
        <v>100</v>
      </c>
      <c r="F810" s="7">
        <v>-1.9019999999999999</v>
      </c>
      <c r="G810" s="7">
        <v>10.52</v>
      </c>
      <c r="H810" s="7">
        <v>0</v>
      </c>
      <c r="I810" s="7">
        <f t="shared" si="62"/>
        <v>0</v>
      </c>
      <c r="J810" s="7">
        <f t="shared" si="63"/>
        <v>210.77691666666661</v>
      </c>
      <c r="K810" s="7">
        <v>0</v>
      </c>
      <c r="L810" s="7">
        <f t="shared" si="64"/>
        <v>18.489999999999998</v>
      </c>
      <c r="M810" s="7">
        <f t="shared" si="65"/>
        <v>10.14</v>
      </c>
      <c r="N810" s="7">
        <v>0</v>
      </c>
      <c r="O810" s="7"/>
      <c r="P810" s="7"/>
      <c r="Q810" s="7"/>
      <c r="AC810"/>
      <c r="AD810" s="14"/>
    </row>
    <row r="811" spans="1:30" x14ac:dyDescent="0.25">
      <c r="A811" t="b">
        <f t="shared" si="66"/>
        <v>0</v>
      </c>
      <c r="B811">
        <v>2006</v>
      </c>
      <c r="C811">
        <v>155</v>
      </c>
      <c r="D811">
        <v>0</v>
      </c>
      <c r="E811">
        <v>200</v>
      </c>
      <c r="F811" s="7">
        <v>-1.274</v>
      </c>
      <c r="G811" s="7">
        <v>10.61</v>
      </c>
      <c r="H811" s="7">
        <v>0</v>
      </c>
      <c r="I811" s="7" t="str">
        <f t="shared" si="62"/>
        <v/>
      </c>
      <c r="J811" s="7" t="str">
        <f t="shared" si="63"/>
        <v/>
      </c>
      <c r="K811" s="7">
        <v>0</v>
      </c>
      <c r="L811" s="7" t="str">
        <f t="shared" si="64"/>
        <v/>
      </c>
      <c r="M811" s="7" t="str">
        <f t="shared" si="65"/>
        <v/>
      </c>
      <c r="N811" s="7">
        <v>0</v>
      </c>
      <c r="O811" s="7"/>
      <c r="P811" s="7"/>
      <c r="Q811" s="7"/>
      <c r="AC811"/>
      <c r="AD811" s="14"/>
    </row>
    <row r="812" spans="1:30" x14ac:dyDescent="0.25">
      <c r="A812" t="b">
        <f t="shared" si="66"/>
        <v>0</v>
      </c>
      <c r="B812">
        <v>2006</v>
      </c>
      <c r="C812">
        <v>155</v>
      </c>
      <c r="D812">
        <v>0</v>
      </c>
      <c r="E812">
        <v>300</v>
      </c>
      <c r="F812" s="7">
        <v>-1.853</v>
      </c>
      <c r="G812" s="7">
        <v>10.17</v>
      </c>
      <c r="H812" s="7">
        <v>0</v>
      </c>
      <c r="I812" s="7" t="str">
        <f t="shared" si="62"/>
        <v/>
      </c>
      <c r="J812" s="7" t="str">
        <f t="shared" si="63"/>
        <v/>
      </c>
      <c r="K812" s="7">
        <v>0</v>
      </c>
      <c r="L812" s="7" t="str">
        <f t="shared" si="64"/>
        <v/>
      </c>
      <c r="M812" s="7" t="str">
        <f t="shared" si="65"/>
        <v/>
      </c>
      <c r="N812" s="7">
        <v>0</v>
      </c>
      <c r="O812" s="7"/>
      <c r="P812" s="7"/>
      <c r="Q812" s="7"/>
      <c r="AC812"/>
      <c r="AD812" s="14"/>
    </row>
    <row r="813" spans="1:30" x14ac:dyDescent="0.25">
      <c r="A813" t="b">
        <f t="shared" si="66"/>
        <v>0</v>
      </c>
      <c r="B813">
        <v>2006</v>
      </c>
      <c r="C813">
        <v>155</v>
      </c>
      <c r="D813">
        <v>0</v>
      </c>
      <c r="E813">
        <v>400</v>
      </c>
      <c r="F813" s="7">
        <v>-0.77300000000000002</v>
      </c>
      <c r="G813" s="7">
        <v>10.14</v>
      </c>
      <c r="H813" s="7">
        <v>0</v>
      </c>
      <c r="I813" s="7" t="str">
        <f t="shared" si="62"/>
        <v/>
      </c>
      <c r="J813" s="7" t="str">
        <f t="shared" si="63"/>
        <v/>
      </c>
      <c r="K813" s="7">
        <v>0</v>
      </c>
      <c r="L813" s="7" t="str">
        <f t="shared" si="64"/>
        <v/>
      </c>
      <c r="M813" s="7" t="str">
        <f t="shared" si="65"/>
        <v/>
      </c>
      <c r="N813" s="7">
        <v>0</v>
      </c>
      <c r="O813" s="7"/>
      <c r="P813" s="7"/>
      <c r="Q813" s="7"/>
      <c r="AC813"/>
      <c r="AD813" s="14"/>
    </row>
    <row r="814" spans="1:30" x14ac:dyDescent="0.25">
      <c r="A814" t="b">
        <f t="shared" si="66"/>
        <v>0</v>
      </c>
      <c r="B814">
        <v>2006</v>
      </c>
      <c r="C814">
        <v>155</v>
      </c>
      <c r="D814">
        <v>0</v>
      </c>
      <c r="E814">
        <v>500</v>
      </c>
      <c r="F814" s="7">
        <v>5.4210000000000003</v>
      </c>
      <c r="G814" s="7">
        <v>11.66</v>
      </c>
      <c r="H814" s="7">
        <v>0</v>
      </c>
      <c r="I814" s="7" t="str">
        <f t="shared" si="62"/>
        <v/>
      </c>
      <c r="J814" s="7" t="str">
        <f t="shared" si="63"/>
        <v/>
      </c>
      <c r="K814" s="7">
        <v>0</v>
      </c>
      <c r="L814" s="7" t="str">
        <f t="shared" si="64"/>
        <v/>
      </c>
      <c r="M814" s="7" t="str">
        <f t="shared" si="65"/>
        <v/>
      </c>
      <c r="N814" s="7">
        <v>0</v>
      </c>
      <c r="O814" s="7"/>
      <c r="P814" s="7"/>
      <c r="Q814" s="7"/>
      <c r="AC814"/>
      <c r="AD814" s="14"/>
    </row>
    <row r="815" spans="1:30" x14ac:dyDescent="0.25">
      <c r="A815" t="b">
        <f t="shared" si="66"/>
        <v>0</v>
      </c>
      <c r="B815">
        <v>2006</v>
      </c>
      <c r="C815">
        <v>155</v>
      </c>
      <c r="D815">
        <v>0</v>
      </c>
      <c r="E815">
        <v>600</v>
      </c>
      <c r="F815" s="7">
        <v>45.78</v>
      </c>
      <c r="G815" s="7">
        <v>12.03</v>
      </c>
      <c r="H815" s="7">
        <v>0</v>
      </c>
      <c r="I815" s="7" t="str">
        <f t="shared" si="62"/>
        <v/>
      </c>
      <c r="J815" s="7" t="str">
        <f t="shared" si="63"/>
        <v/>
      </c>
      <c r="K815" s="7">
        <v>0</v>
      </c>
      <c r="L815" s="7" t="str">
        <f t="shared" si="64"/>
        <v/>
      </c>
      <c r="M815" s="7" t="str">
        <f t="shared" si="65"/>
        <v/>
      </c>
      <c r="N815" s="7">
        <v>0</v>
      </c>
      <c r="O815" s="7"/>
      <c r="P815" s="7"/>
      <c r="Q815" s="7"/>
      <c r="AC815"/>
      <c r="AD815" s="14"/>
    </row>
    <row r="816" spans="1:30" x14ac:dyDescent="0.25">
      <c r="A816" t="b">
        <f t="shared" si="66"/>
        <v>0</v>
      </c>
      <c r="B816">
        <v>2006</v>
      </c>
      <c r="C816">
        <v>155</v>
      </c>
      <c r="D816">
        <v>0</v>
      </c>
      <c r="E816">
        <v>700</v>
      </c>
      <c r="F816" s="7">
        <v>167.1</v>
      </c>
      <c r="G816" s="7">
        <v>13.07</v>
      </c>
      <c r="H816" s="7">
        <v>0</v>
      </c>
      <c r="I816" s="7" t="str">
        <f t="shared" si="62"/>
        <v/>
      </c>
      <c r="J816" s="7" t="str">
        <f t="shared" si="63"/>
        <v/>
      </c>
      <c r="K816" s="7">
        <v>0</v>
      </c>
      <c r="L816" s="7" t="str">
        <f t="shared" si="64"/>
        <v/>
      </c>
      <c r="M816" s="7" t="str">
        <f t="shared" si="65"/>
        <v/>
      </c>
      <c r="N816" s="7">
        <v>0</v>
      </c>
      <c r="O816" s="7"/>
      <c r="P816" s="7"/>
      <c r="Q816" s="7"/>
      <c r="AC816"/>
      <c r="AD816" s="14"/>
    </row>
    <row r="817" spans="1:30" x14ac:dyDescent="0.25">
      <c r="A817" t="b">
        <f t="shared" si="66"/>
        <v>0</v>
      </c>
      <c r="B817">
        <v>2006</v>
      </c>
      <c r="C817">
        <v>155</v>
      </c>
      <c r="D817">
        <v>0</v>
      </c>
      <c r="E817">
        <v>800</v>
      </c>
      <c r="F817" s="7">
        <v>368.8</v>
      </c>
      <c r="G817" s="7">
        <v>15.33</v>
      </c>
      <c r="H817" s="7">
        <v>0</v>
      </c>
      <c r="I817" s="7" t="str">
        <f t="shared" si="62"/>
        <v/>
      </c>
      <c r="J817" s="7" t="str">
        <f t="shared" si="63"/>
        <v/>
      </c>
      <c r="K817" s="7">
        <v>0</v>
      </c>
      <c r="L817" s="7" t="str">
        <f t="shared" si="64"/>
        <v/>
      </c>
      <c r="M817" s="7" t="str">
        <f t="shared" si="65"/>
        <v/>
      </c>
      <c r="N817" s="7">
        <v>0</v>
      </c>
      <c r="O817" s="7"/>
      <c r="P817" s="7"/>
      <c r="Q817" s="7"/>
      <c r="AC817"/>
      <c r="AD817" s="14"/>
    </row>
    <row r="818" spans="1:30" x14ac:dyDescent="0.25">
      <c r="A818" t="b">
        <f t="shared" si="66"/>
        <v>0</v>
      </c>
      <c r="B818">
        <v>2006</v>
      </c>
      <c r="C818">
        <v>155</v>
      </c>
      <c r="D818">
        <v>0</v>
      </c>
      <c r="E818">
        <v>900</v>
      </c>
      <c r="F818" s="7">
        <v>458.5</v>
      </c>
      <c r="G818" s="7">
        <v>15.79</v>
      </c>
      <c r="H818" s="7">
        <v>0</v>
      </c>
      <c r="I818" s="7" t="str">
        <f t="shared" si="62"/>
        <v/>
      </c>
      <c r="J818" s="7" t="str">
        <f t="shared" si="63"/>
        <v/>
      </c>
      <c r="K818" s="7">
        <v>0</v>
      </c>
      <c r="L818" s="7" t="str">
        <f t="shared" si="64"/>
        <v/>
      </c>
      <c r="M818" s="7" t="str">
        <f t="shared" si="65"/>
        <v/>
      </c>
      <c r="N818" s="7">
        <v>0</v>
      </c>
      <c r="O818" s="7"/>
      <c r="P818" s="7"/>
      <c r="Q818" s="7"/>
      <c r="AC818"/>
      <c r="AD818" s="14"/>
    </row>
    <row r="819" spans="1:30" x14ac:dyDescent="0.25">
      <c r="A819" t="b">
        <f t="shared" si="66"/>
        <v>0</v>
      </c>
      <c r="B819">
        <v>2006</v>
      </c>
      <c r="C819">
        <v>155</v>
      </c>
      <c r="D819">
        <v>0</v>
      </c>
      <c r="E819">
        <v>1000</v>
      </c>
      <c r="F819" s="7">
        <v>608.4</v>
      </c>
      <c r="G819" s="7">
        <v>16.66</v>
      </c>
      <c r="H819" s="7">
        <v>0</v>
      </c>
      <c r="I819" s="7" t="str">
        <f t="shared" si="62"/>
        <v/>
      </c>
      <c r="J819" s="7" t="str">
        <f t="shared" si="63"/>
        <v/>
      </c>
      <c r="K819" s="7">
        <v>0</v>
      </c>
      <c r="L819" s="7" t="str">
        <f t="shared" si="64"/>
        <v/>
      </c>
      <c r="M819" s="7" t="str">
        <f t="shared" si="65"/>
        <v/>
      </c>
      <c r="N819" s="7">
        <v>0</v>
      </c>
      <c r="O819" s="7"/>
      <c r="P819" s="7"/>
      <c r="Q819" s="7"/>
      <c r="AC819"/>
      <c r="AD819" s="14"/>
    </row>
    <row r="820" spans="1:30" x14ac:dyDescent="0.25">
      <c r="A820" t="b">
        <f t="shared" si="66"/>
        <v>0</v>
      </c>
      <c r="B820">
        <v>2006</v>
      </c>
      <c r="C820">
        <v>155</v>
      </c>
      <c r="D820">
        <v>0</v>
      </c>
      <c r="E820">
        <v>1100</v>
      </c>
      <c r="F820" s="7">
        <v>441.4</v>
      </c>
      <c r="G820" s="7">
        <v>16.3</v>
      </c>
      <c r="H820" s="7">
        <v>0</v>
      </c>
      <c r="I820" s="7" t="str">
        <f t="shared" si="62"/>
        <v/>
      </c>
      <c r="J820" s="7" t="str">
        <f t="shared" si="63"/>
        <v/>
      </c>
      <c r="K820" s="7">
        <v>0</v>
      </c>
      <c r="L820" s="7" t="str">
        <f t="shared" si="64"/>
        <v/>
      </c>
      <c r="M820" s="7" t="str">
        <f t="shared" si="65"/>
        <v/>
      </c>
      <c r="N820" s="7">
        <v>0</v>
      </c>
      <c r="O820" s="7"/>
      <c r="P820" s="7"/>
      <c r="Q820" s="7"/>
      <c r="AC820"/>
      <c r="AD820" s="14"/>
    </row>
    <row r="821" spans="1:30" x14ac:dyDescent="0.25">
      <c r="A821" t="b">
        <f t="shared" si="66"/>
        <v>0</v>
      </c>
      <c r="B821">
        <v>2006</v>
      </c>
      <c r="C821">
        <v>155</v>
      </c>
      <c r="D821">
        <v>0</v>
      </c>
      <c r="E821">
        <v>1200</v>
      </c>
      <c r="F821" s="7">
        <v>318.10000000000002</v>
      </c>
      <c r="G821" s="7">
        <v>15.78</v>
      </c>
      <c r="H821" s="7">
        <v>0</v>
      </c>
      <c r="I821" s="7" t="str">
        <f t="shared" si="62"/>
        <v/>
      </c>
      <c r="J821" s="7" t="str">
        <f t="shared" si="63"/>
        <v/>
      </c>
      <c r="K821" s="7">
        <v>0</v>
      </c>
      <c r="L821" s="7" t="str">
        <f t="shared" si="64"/>
        <v/>
      </c>
      <c r="M821" s="7" t="str">
        <f t="shared" si="65"/>
        <v/>
      </c>
      <c r="N821" s="7">
        <v>0</v>
      </c>
      <c r="O821" s="7"/>
      <c r="P821" s="7"/>
      <c r="Q821" s="7"/>
      <c r="AC821"/>
      <c r="AD821" s="14"/>
    </row>
    <row r="822" spans="1:30" x14ac:dyDescent="0.25">
      <c r="A822" t="b">
        <f t="shared" si="66"/>
        <v>0</v>
      </c>
      <c r="B822">
        <v>2006</v>
      </c>
      <c r="C822">
        <v>155</v>
      </c>
      <c r="D822">
        <v>0</v>
      </c>
      <c r="E822">
        <v>1300</v>
      </c>
      <c r="F822" s="7">
        <v>437.3</v>
      </c>
      <c r="G822" s="7">
        <v>16.8</v>
      </c>
      <c r="H822" s="7">
        <v>0</v>
      </c>
      <c r="I822" s="7" t="str">
        <f t="shared" si="62"/>
        <v/>
      </c>
      <c r="J822" s="7" t="str">
        <f t="shared" si="63"/>
        <v/>
      </c>
      <c r="K822" s="7">
        <v>0</v>
      </c>
      <c r="L822" s="7" t="str">
        <f t="shared" si="64"/>
        <v/>
      </c>
      <c r="M822" s="7" t="str">
        <f t="shared" si="65"/>
        <v/>
      </c>
      <c r="N822" s="7">
        <v>0</v>
      </c>
      <c r="O822" s="7"/>
      <c r="P822" s="7"/>
      <c r="Q822" s="7"/>
      <c r="AC822"/>
      <c r="AD822" s="14"/>
    </row>
    <row r="823" spans="1:30" x14ac:dyDescent="0.25">
      <c r="A823" t="b">
        <f t="shared" si="66"/>
        <v>0</v>
      </c>
      <c r="B823">
        <v>2006</v>
      </c>
      <c r="C823">
        <v>155</v>
      </c>
      <c r="D823">
        <v>0</v>
      </c>
      <c r="E823">
        <v>1400</v>
      </c>
      <c r="F823" s="7">
        <v>546.29999999999995</v>
      </c>
      <c r="G823" s="7">
        <v>17.12</v>
      </c>
      <c r="H823" s="7">
        <v>0</v>
      </c>
      <c r="I823" s="7" t="str">
        <f t="shared" si="62"/>
        <v/>
      </c>
      <c r="J823" s="7" t="str">
        <f t="shared" si="63"/>
        <v/>
      </c>
      <c r="K823" s="7">
        <v>0</v>
      </c>
      <c r="L823" s="7" t="str">
        <f t="shared" si="64"/>
        <v/>
      </c>
      <c r="M823" s="7" t="str">
        <f t="shared" si="65"/>
        <v/>
      </c>
      <c r="N823" s="7">
        <v>0</v>
      </c>
      <c r="O823" s="7"/>
      <c r="P823" s="7"/>
      <c r="Q823" s="7"/>
      <c r="AC823"/>
      <c r="AD823" s="14"/>
    </row>
    <row r="824" spans="1:30" x14ac:dyDescent="0.25">
      <c r="A824" t="b">
        <f t="shared" si="66"/>
        <v>0</v>
      </c>
      <c r="B824">
        <v>2006</v>
      </c>
      <c r="C824">
        <v>155</v>
      </c>
      <c r="D824">
        <v>0</v>
      </c>
      <c r="E824">
        <v>1500</v>
      </c>
      <c r="F824" s="7">
        <v>419.1</v>
      </c>
      <c r="G824" s="7">
        <v>17.71</v>
      </c>
      <c r="H824" s="7">
        <v>0</v>
      </c>
      <c r="I824" s="7" t="str">
        <f t="shared" si="62"/>
        <v/>
      </c>
      <c r="J824" s="7" t="str">
        <f t="shared" si="63"/>
        <v/>
      </c>
      <c r="K824" s="7">
        <v>0</v>
      </c>
      <c r="L824" s="7" t="str">
        <f t="shared" si="64"/>
        <v/>
      </c>
      <c r="M824" s="7" t="str">
        <f t="shared" si="65"/>
        <v/>
      </c>
      <c r="N824" s="7">
        <v>0</v>
      </c>
      <c r="O824" s="7"/>
      <c r="P824" s="7"/>
      <c r="Q824" s="7"/>
      <c r="AC824"/>
      <c r="AD824" s="14"/>
    </row>
    <row r="825" spans="1:30" x14ac:dyDescent="0.25">
      <c r="A825" t="b">
        <f t="shared" si="66"/>
        <v>0</v>
      </c>
      <c r="B825">
        <v>2006</v>
      </c>
      <c r="C825">
        <v>155</v>
      </c>
      <c r="D825">
        <v>0</v>
      </c>
      <c r="E825">
        <v>1600</v>
      </c>
      <c r="F825" s="7">
        <v>383.8</v>
      </c>
      <c r="G825" s="7">
        <v>17.84</v>
      </c>
      <c r="H825" s="7">
        <v>0</v>
      </c>
      <c r="I825" s="7" t="str">
        <f t="shared" si="62"/>
        <v/>
      </c>
      <c r="J825" s="7" t="str">
        <f t="shared" si="63"/>
        <v/>
      </c>
      <c r="K825" s="7">
        <v>0</v>
      </c>
      <c r="L825" s="7" t="str">
        <f t="shared" si="64"/>
        <v/>
      </c>
      <c r="M825" s="7" t="str">
        <f t="shared" si="65"/>
        <v/>
      </c>
      <c r="N825" s="7">
        <v>0</v>
      </c>
      <c r="O825" s="7"/>
      <c r="P825" s="7"/>
      <c r="Q825" s="7"/>
      <c r="AC825"/>
      <c r="AD825" s="14"/>
    </row>
    <row r="826" spans="1:30" x14ac:dyDescent="0.25">
      <c r="A826" t="b">
        <f t="shared" si="66"/>
        <v>0</v>
      </c>
      <c r="B826">
        <v>2006</v>
      </c>
      <c r="C826">
        <v>155</v>
      </c>
      <c r="D826">
        <v>0</v>
      </c>
      <c r="E826">
        <v>1700</v>
      </c>
      <c r="F826" s="7">
        <v>435.2</v>
      </c>
      <c r="G826" s="7">
        <v>18.489999999999998</v>
      </c>
      <c r="H826" s="7">
        <v>0</v>
      </c>
      <c r="I826" s="7" t="str">
        <f t="shared" si="62"/>
        <v/>
      </c>
      <c r="J826" s="7" t="str">
        <f t="shared" si="63"/>
        <v/>
      </c>
      <c r="K826" s="7">
        <v>0</v>
      </c>
      <c r="L826" s="7" t="str">
        <f t="shared" si="64"/>
        <v/>
      </c>
      <c r="M826" s="7" t="str">
        <f t="shared" si="65"/>
        <v/>
      </c>
      <c r="N826" s="7">
        <v>0</v>
      </c>
      <c r="O826" s="7"/>
      <c r="P826" s="7"/>
      <c r="Q826" s="7"/>
      <c r="AC826"/>
      <c r="AD826" s="14"/>
    </row>
    <row r="827" spans="1:30" x14ac:dyDescent="0.25">
      <c r="A827" t="b">
        <f t="shared" si="66"/>
        <v>0</v>
      </c>
      <c r="B827">
        <v>2006</v>
      </c>
      <c r="C827">
        <v>155</v>
      </c>
      <c r="D827">
        <v>0</v>
      </c>
      <c r="E827">
        <v>1800</v>
      </c>
      <c r="F827" s="7">
        <v>252.4</v>
      </c>
      <c r="G827" s="7">
        <v>17.989999999999998</v>
      </c>
      <c r="H827" s="7">
        <v>0</v>
      </c>
      <c r="I827" s="7" t="str">
        <f t="shared" si="62"/>
        <v/>
      </c>
      <c r="J827" s="7" t="str">
        <f t="shared" si="63"/>
        <v/>
      </c>
      <c r="K827" s="7">
        <v>0</v>
      </c>
      <c r="L827" s="7" t="str">
        <f t="shared" si="64"/>
        <v/>
      </c>
      <c r="M827" s="7" t="str">
        <f t="shared" si="65"/>
        <v/>
      </c>
      <c r="N827" s="7">
        <v>0</v>
      </c>
      <c r="O827" s="7"/>
      <c r="P827" s="7"/>
      <c r="Q827" s="7"/>
      <c r="AC827"/>
      <c r="AD827" s="14"/>
    </row>
    <row r="828" spans="1:30" x14ac:dyDescent="0.25">
      <c r="A828" t="b">
        <f t="shared" si="66"/>
        <v>0</v>
      </c>
      <c r="B828">
        <v>2006</v>
      </c>
      <c r="C828">
        <v>155</v>
      </c>
      <c r="D828">
        <v>0</v>
      </c>
      <c r="E828">
        <v>1900</v>
      </c>
      <c r="F828" s="7">
        <v>127.5</v>
      </c>
      <c r="G828" s="7">
        <v>17.79</v>
      </c>
      <c r="H828" s="7">
        <v>0</v>
      </c>
      <c r="I828" s="7" t="str">
        <f t="shared" si="62"/>
        <v/>
      </c>
      <c r="J828" s="7" t="str">
        <f t="shared" si="63"/>
        <v/>
      </c>
      <c r="K828" s="7">
        <v>0</v>
      </c>
      <c r="L828" s="7" t="str">
        <f t="shared" si="64"/>
        <v/>
      </c>
      <c r="M828" s="7" t="str">
        <f t="shared" si="65"/>
        <v/>
      </c>
      <c r="N828" s="7">
        <v>0</v>
      </c>
      <c r="O828" s="7"/>
      <c r="P828" s="7"/>
      <c r="Q828" s="7"/>
      <c r="AC828"/>
      <c r="AD828" s="14"/>
    </row>
    <row r="829" spans="1:30" x14ac:dyDescent="0.25">
      <c r="A829" t="b">
        <f t="shared" si="66"/>
        <v>0</v>
      </c>
      <c r="B829">
        <v>2006</v>
      </c>
      <c r="C829">
        <v>155</v>
      </c>
      <c r="D829">
        <v>0</v>
      </c>
      <c r="E829">
        <v>2000</v>
      </c>
      <c r="F829" s="7">
        <v>42.29</v>
      </c>
      <c r="G829" s="7">
        <v>16.04</v>
      </c>
      <c r="H829" s="7">
        <v>0</v>
      </c>
      <c r="I829" s="7" t="str">
        <f t="shared" si="62"/>
        <v/>
      </c>
      <c r="J829" s="7" t="str">
        <f t="shared" si="63"/>
        <v/>
      </c>
      <c r="K829" s="7">
        <v>0</v>
      </c>
      <c r="L829" s="7" t="str">
        <f t="shared" si="64"/>
        <v/>
      </c>
      <c r="M829" s="7" t="str">
        <f t="shared" si="65"/>
        <v/>
      </c>
      <c r="N829" s="7">
        <v>0</v>
      </c>
      <c r="O829" s="7"/>
      <c r="P829" s="7"/>
      <c r="Q829" s="7"/>
      <c r="AC829"/>
      <c r="AD829" s="14"/>
    </row>
    <row r="830" spans="1:30" x14ac:dyDescent="0.25">
      <c r="A830" t="b">
        <f t="shared" si="66"/>
        <v>0</v>
      </c>
      <c r="B830">
        <v>2006</v>
      </c>
      <c r="C830">
        <v>155</v>
      </c>
      <c r="D830">
        <v>0</v>
      </c>
      <c r="E830">
        <v>2100</v>
      </c>
      <c r="F830" s="7">
        <v>11.61</v>
      </c>
      <c r="G830" s="7">
        <v>14</v>
      </c>
      <c r="H830" s="7">
        <v>0</v>
      </c>
      <c r="I830" s="7" t="str">
        <f t="shared" si="62"/>
        <v/>
      </c>
      <c r="J830" s="7" t="str">
        <f t="shared" si="63"/>
        <v/>
      </c>
      <c r="K830" s="7">
        <v>0</v>
      </c>
      <c r="L830" s="7" t="str">
        <f t="shared" si="64"/>
        <v/>
      </c>
      <c r="M830" s="7" t="str">
        <f t="shared" si="65"/>
        <v/>
      </c>
      <c r="N830" s="7">
        <v>0</v>
      </c>
      <c r="O830" s="7"/>
      <c r="P830" s="7"/>
      <c r="Q830" s="7"/>
      <c r="AC830"/>
      <c r="AD830" s="14"/>
    </row>
    <row r="831" spans="1:30" x14ac:dyDescent="0.25">
      <c r="A831" t="b">
        <f t="shared" si="66"/>
        <v>0</v>
      </c>
      <c r="B831">
        <v>2006</v>
      </c>
      <c r="C831">
        <v>155</v>
      </c>
      <c r="D831">
        <v>0</v>
      </c>
      <c r="E831">
        <v>2200</v>
      </c>
      <c r="F831" s="7">
        <v>-1.5820000000000001</v>
      </c>
      <c r="G831" s="7">
        <v>12.4</v>
      </c>
      <c r="H831" s="7">
        <v>0</v>
      </c>
      <c r="I831" s="7" t="str">
        <f t="shared" si="62"/>
        <v/>
      </c>
      <c r="J831" s="7" t="str">
        <f t="shared" si="63"/>
        <v/>
      </c>
      <c r="K831" s="7">
        <v>0</v>
      </c>
      <c r="L831" s="7" t="str">
        <f t="shared" si="64"/>
        <v/>
      </c>
      <c r="M831" s="7" t="str">
        <f t="shared" si="65"/>
        <v/>
      </c>
      <c r="N831" s="7">
        <v>0</v>
      </c>
      <c r="O831" s="7"/>
      <c r="P831" s="7"/>
      <c r="Q831" s="7"/>
      <c r="AC831"/>
      <c r="AD831" s="14"/>
    </row>
    <row r="832" spans="1:30" x14ac:dyDescent="0.25">
      <c r="A832" t="b">
        <f t="shared" si="66"/>
        <v>0</v>
      </c>
      <c r="B832">
        <v>2006</v>
      </c>
      <c r="C832">
        <v>155</v>
      </c>
      <c r="D832">
        <v>0</v>
      </c>
      <c r="E832">
        <v>2300</v>
      </c>
      <c r="F832" s="7">
        <v>-1.6459999999999999</v>
      </c>
      <c r="G832" s="7">
        <v>11.68</v>
      </c>
      <c r="H832" s="7">
        <v>0</v>
      </c>
      <c r="I832" s="7" t="str">
        <f t="shared" si="62"/>
        <v/>
      </c>
      <c r="J832" s="7" t="str">
        <f t="shared" si="63"/>
        <v/>
      </c>
      <c r="K832" s="7">
        <v>0</v>
      </c>
      <c r="L832" s="7" t="str">
        <f t="shared" si="64"/>
        <v/>
      </c>
      <c r="M832" s="7" t="str">
        <f t="shared" si="65"/>
        <v/>
      </c>
      <c r="N832" s="7">
        <v>0</v>
      </c>
      <c r="O832" s="7"/>
      <c r="P832" s="7"/>
      <c r="Q832" s="7"/>
      <c r="AC832"/>
      <c r="AD832" s="14"/>
    </row>
    <row r="833" spans="1:30" x14ac:dyDescent="0.25">
      <c r="A833" t="b">
        <f t="shared" si="66"/>
        <v>0</v>
      </c>
      <c r="B833">
        <v>2006</v>
      </c>
      <c r="C833">
        <v>155</v>
      </c>
      <c r="D833">
        <v>0</v>
      </c>
      <c r="E833">
        <v>2400</v>
      </c>
      <c r="F833" s="7">
        <v>-1.325</v>
      </c>
      <c r="G833" s="7">
        <v>11.19</v>
      </c>
      <c r="H833" s="7">
        <v>0</v>
      </c>
      <c r="I833" s="7" t="str">
        <f t="shared" si="62"/>
        <v/>
      </c>
      <c r="J833" s="7" t="str">
        <f t="shared" si="63"/>
        <v/>
      </c>
      <c r="K833" s="7">
        <v>0</v>
      </c>
      <c r="L833" s="7" t="str">
        <f t="shared" si="64"/>
        <v/>
      </c>
      <c r="M833" s="7" t="str">
        <f t="shared" si="65"/>
        <v/>
      </c>
      <c r="N833" s="7">
        <v>0</v>
      </c>
      <c r="O833" s="7"/>
      <c r="P833" s="7"/>
      <c r="Q833" s="7"/>
      <c r="AC833"/>
      <c r="AD833" s="14"/>
    </row>
    <row r="834" spans="1:30" x14ac:dyDescent="0.25">
      <c r="A834" t="b">
        <f t="shared" si="66"/>
        <v>1</v>
      </c>
      <c r="B834">
        <v>2006</v>
      </c>
      <c r="C834">
        <v>156</v>
      </c>
      <c r="D834">
        <v>0</v>
      </c>
      <c r="E834">
        <v>100</v>
      </c>
      <c r="F834" s="7">
        <v>-1.74</v>
      </c>
      <c r="G834" s="7">
        <v>10.52</v>
      </c>
      <c r="H834" s="7">
        <v>0</v>
      </c>
      <c r="I834" s="7">
        <f t="shared" ref="I834:I897" si="67">IF(AND(B834=B833,C834=C833),"",SUMIFS($H$2:$H$1529,$B$2:$B$1529,B834,$C$2:$C$1529,C834))</f>
        <v>0</v>
      </c>
      <c r="J834" s="7">
        <f t="shared" ref="J834:J897" si="68">IF(AND(B834=B833,C834=C833),"",AVERAGEIFS($F$2:$F$1529,$B$2:$B$1529,B834,$C$2:$C$1529,C834))</f>
        <v>252.62516666666662</v>
      </c>
      <c r="K834" s="7">
        <v>0</v>
      </c>
      <c r="L834" s="7">
        <f t="shared" ref="L834:L897" si="69">IF(AND(B834=B833,C834=C833),"",_xlfn.MAXIFS($G$2:$G$1529,$B$2:$B$1529,B834,$C$2:$C$1529,C834))</f>
        <v>22</v>
      </c>
      <c r="M834" s="7">
        <f t="shared" ref="M834:M897" si="70">IF(AND(B834=B833,C834=C833),"",_xlfn.MINIFS($G$2:$G$1529,$B$2:$B$1529,B834,$C$2:$C$1529,C834))</f>
        <v>7.08</v>
      </c>
      <c r="N834" s="7">
        <v>0</v>
      </c>
      <c r="O834" s="7"/>
      <c r="P834" s="7"/>
      <c r="Q834" s="7"/>
      <c r="AC834"/>
      <c r="AD834" s="14"/>
    </row>
    <row r="835" spans="1:30" x14ac:dyDescent="0.25">
      <c r="A835" t="b">
        <f t="shared" ref="A835:A898" si="71">NOT(I835="")</f>
        <v>0</v>
      </c>
      <c r="B835">
        <v>2006</v>
      </c>
      <c r="C835">
        <v>156</v>
      </c>
      <c r="D835">
        <v>0</v>
      </c>
      <c r="E835">
        <v>200</v>
      </c>
      <c r="F835" s="7">
        <v>-2.758</v>
      </c>
      <c r="G835" s="7">
        <v>8.11</v>
      </c>
      <c r="H835" s="7">
        <v>0</v>
      </c>
      <c r="I835" s="7" t="str">
        <f t="shared" si="67"/>
        <v/>
      </c>
      <c r="J835" s="7" t="str">
        <f t="shared" si="68"/>
        <v/>
      </c>
      <c r="K835" s="7">
        <v>0</v>
      </c>
      <c r="L835" s="7" t="str">
        <f t="shared" si="69"/>
        <v/>
      </c>
      <c r="M835" s="7" t="str">
        <f t="shared" si="70"/>
        <v/>
      </c>
      <c r="N835" s="7">
        <v>0</v>
      </c>
      <c r="O835" s="7"/>
      <c r="P835" s="7"/>
      <c r="Q835" s="7"/>
      <c r="AC835"/>
      <c r="AD835" s="14"/>
    </row>
    <row r="836" spans="1:30" x14ac:dyDescent="0.25">
      <c r="A836" t="b">
        <f t="shared" si="71"/>
        <v>0</v>
      </c>
      <c r="B836">
        <v>2006</v>
      </c>
      <c r="C836">
        <v>156</v>
      </c>
      <c r="D836">
        <v>0</v>
      </c>
      <c r="E836">
        <v>300</v>
      </c>
      <c r="F836" s="7">
        <v>-2.351</v>
      </c>
      <c r="G836" s="7">
        <v>7.08</v>
      </c>
      <c r="H836" s="7">
        <v>0</v>
      </c>
      <c r="I836" s="7" t="str">
        <f t="shared" si="67"/>
        <v/>
      </c>
      <c r="J836" s="7" t="str">
        <f t="shared" si="68"/>
        <v/>
      </c>
      <c r="K836" s="7">
        <v>0</v>
      </c>
      <c r="L836" s="7" t="str">
        <f t="shared" si="69"/>
        <v/>
      </c>
      <c r="M836" s="7" t="str">
        <f t="shared" si="70"/>
        <v/>
      </c>
      <c r="N836" s="7">
        <v>0</v>
      </c>
      <c r="O836" s="7"/>
      <c r="P836" s="7"/>
      <c r="Q836" s="7"/>
      <c r="AC836"/>
      <c r="AD836" s="14"/>
    </row>
    <row r="837" spans="1:30" x14ac:dyDescent="0.25">
      <c r="A837" t="b">
        <f t="shared" si="71"/>
        <v>0</v>
      </c>
      <c r="B837">
        <v>2006</v>
      </c>
      <c r="C837">
        <v>156</v>
      </c>
      <c r="D837">
        <v>0</v>
      </c>
      <c r="E837">
        <v>400</v>
      </c>
      <c r="F837" s="7">
        <v>0.161</v>
      </c>
      <c r="G837" s="7">
        <v>7.96</v>
      </c>
      <c r="H837" s="7">
        <v>0</v>
      </c>
      <c r="I837" s="7" t="str">
        <f t="shared" si="67"/>
        <v/>
      </c>
      <c r="J837" s="7" t="str">
        <f t="shared" si="68"/>
        <v/>
      </c>
      <c r="K837" s="7">
        <v>0</v>
      </c>
      <c r="L837" s="7" t="str">
        <f t="shared" si="69"/>
        <v/>
      </c>
      <c r="M837" s="7" t="str">
        <f t="shared" si="70"/>
        <v/>
      </c>
      <c r="N837" s="7">
        <v>0</v>
      </c>
      <c r="O837" s="7"/>
      <c r="P837" s="7"/>
      <c r="Q837" s="7"/>
      <c r="AC837"/>
      <c r="AD837" s="14"/>
    </row>
    <row r="838" spans="1:30" x14ac:dyDescent="0.25">
      <c r="A838" t="b">
        <f t="shared" si="71"/>
        <v>0</v>
      </c>
      <c r="B838">
        <v>2006</v>
      </c>
      <c r="C838">
        <v>156</v>
      </c>
      <c r="D838">
        <v>0</v>
      </c>
      <c r="E838">
        <v>500</v>
      </c>
      <c r="F838" s="7">
        <v>15.32</v>
      </c>
      <c r="G838" s="7">
        <v>8.81</v>
      </c>
      <c r="H838" s="7">
        <v>0</v>
      </c>
      <c r="I838" s="7" t="str">
        <f t="shared" si="67"/>
        <v/>
      </c>
      <c r="J838" s="7" t="str">
        <f t="shared" si="68"/>
        <v/>
      </c>
      <c r="K838" s="7">
        <v>0</v>
      </c>
      <c r="L838" s="7" t="str">
        <f t="shared" si="69"/>
        <v/>
      </c>
      <c r="M838" s="7" t="str">
        <f t="shared" si="70"/>
        <v/>
      </c>
      <c r="N838" s="7">
        <v>0</v>
      </c>
      <c r="O838" s="7"/>
      <c r="P838" s="7"/>
      <c r="Q838" s="7"/>
      <c r="AC838"/>
      <c r="AD838" s="14"/>
    </row>
    <row r="839" spans="1:30" x14ac:dyDescent="0.25">
      <c r="A839" t="b">
        <f t="shared" si="71"/>
        <v>0</v>
      </c>
      <c r="B839">
        <v>2006</v>
      </c>
      <c r="C839">
        <v>156</v>
      </c>
      <c r="D839">
        <v>0</v>
      </c>
      <c r="E839">
        <v>600</v>
      </c>
      <c r="F839" s="7">
        <v>53.22</v>
      </c>
      <c r="G839" s="7">
        <v>10.73</v>
      </c>
      <c r="H839" s="7">
        <v>0</v>
      </c>
      <c r="I839" s="7" t="str">
        <f t="shared" si="67"/>
        <v/>
      </c>
      <c r="J839" s="7" t="str">
        <f t="shared" si="68"/>
        <v/>
      </c>
      <c r="K839" s="7">
        <v>0</v>
      </c>
      <c r="L839" s="7" t="str">
        <f t="shared" si="69"/>
        <v/>
      </c>
      <c r="M839" s="7" t="str">
        <f t="shared" si="70"/>
        <v/>
      </c>
      <c r="N839" s="7">
        <v>0</v>
      </c>
      <c r="O839" s="7"/>
      <c r="P839" s="7"/>
      <c r="Q839" s="7"/>
      <c r="AC839"/>
      <c r="AD839" s="14"/>
    </row>
    <row r="840" spans="1:30" x14ac:dyDescent="0.25">
      <c r="A840" t="b">
        <f t="shared" si="71"/>
        <v>0</v>
      </c>
      <c r="B840">
        <v>2006</v>
      </c>
      <c r="C840">
        <v>156</v>
      </c>
      <c r="D840">
        <v>0</v>
      </c>
      <c r="E840">
        <v>700</v>
      </c>
      <c r="F840" s="7">
        <v>148.4</v>
      </c>
      <c r="G840" s="7">
        <v>11.45</v>
      </c>
      <c r="H840" s="7">
        <v>0</v>
      </c>
      <c r="I840" s="7" t="str">
        <f t="shared" si="67"/>
        <v/>
      </c>
      <c r="J840" s="7" t="str">
        <f t="shared" si="68"/>
        <v/>
      </c>
      <c r="K840" s="7">
        <v>0</v>
      </c>
      <c r="L840" s="7" t="str">
        <f t="shared" si="69"/>
        <v/>
      </c>
      <c r="M840" s="7" t="str">
        <f t="shared" si="70"/>
        <v/>
      </c>
      <c r="N840" s="7">
        <v>0</v>
      </c>
      <c r="O840" s="7"/>
      <c r="P840" s="7"/>
      <c r="Q840" s="7"/>
      <c r="AC840"/>
      <c r="AD840" s="14"/>
    </row>
    <row r="841" spans="1:30" x14ac:dyDescent="0.25">
      <c r="A841" t="b">
        <f t="shared" si="71"/>
        <v>0</v>
      </c>
      <c r="B841">
        <v>2006</v>
      </c>
      <c r="C841">
        <v>156</v>
      </c>
      <c r="D841">
        <v>0</v>
      </c>
      <c r="E841">
        <v>800</v>
      </c>
      <c r="F841" s="7">
        <v>380.8</v>
      </c>
      <c r="G841" s="7">
        <v>13.68</v>
      </c>
      <c r="H841" s="7">
        <v>0</v>
      </c>
      <c r="I841" s="7" t="str">
        <f t="shared" si="67"/>
        <v/>
      </c>
      <c r="J841" s="7" t="str">
        <f t="shared" si="68"/>
        <v/>
      </c>
      <c r="K841" s="7">
        <v>0</v>
      </c>
      <c r="L841" s="7" t="str">
        <f t="shared" si="69"/>
        <v/>
      </c>
      <c r="M841" s="7" t="str">
        <f t="shared" si="70"/>
        <v/>
      </c>
      <c r="N841" s="7">
        <v>0</v>
      </c>
      <c r="O841" s="7"/>
      <c r="P841" s="7"/>
      <c r="Q841" s="7"/>
      <c r="AC841"/>
      <c r="AD841" s="14"/>
    </row>
    <row r="842" spans="1:30" x14ac:dyDescent="0.25">
      <c r="A842" t="b">
        <f t="shared" si="71"/>
        <v>0</v>
      </c>
      <c r="B842">
        <v>2006</v>
      </c>
      <c r="C842">
        <v>156</v>
      </c>
      <c r="D842">
        <v>0</v>
      </c>
      <c r="E842">
        <v>900</v>
      </c>
      <c r="F842" s="7">
        <v>507</v>
      </c>
      <c r="G842" s="7">
        <v>16.59</v>
      </c>
      <c r="H842" s="7">
        <v>0</v>
      </c>
      <c r="I842" s="7" t="str">
        <f t="shared" si="67"/>
        <v/>
      </c>
      <c r="J842" s="7" t="str">
        <f t="shared" si="68"/>
        <v/>
      </c>
      <c r="K842" s="7">
        <v>0</v>
      </c>
      <c r="L842" s="7" t="str">
        <f t="shared" si="69"/>
        <v/>
      </c>
      <c r="M842" s="7" t="str">
        <f t="shared" si="70"/>
        <v/>
      </c>
      <c r="N842" s="7">
        <v>0</v>
      </c>
      <c r="O842" s="7"/>
      <c r="P842" s="7"/>
      <c r="Q842" s="7"/>
      <c r="AC842"/>
      <c r="AD842" s="14"/>
    </row>
    <row r="843" spans="1:30" x14ac:dyDescent="0.25">
      <c r="A843" t="b">
        <f t="shared" si="71"/>
        <v>0</v>
      </c>
      <c r="B843">
        <v>2006</v>
      </c>
      <c r="C843">
        <v>156</v>
      </c>
      <c r="D843">
        <v>0</v>
      </c>
      <c r="E843">
        <v>1000</v>
      </c>
      <c r="F843" s="7">
        <v>525.5</v>
      </c>
      <c r="G843" s="7">
        <v>18.71</v>
      </c>
      <c r="H843" s="7">
        <v>0</v>
      </c>
      <c r="I843" s="7" t="str">
        <f t="shared" si="67"/>
        <v/>
      </c>
      <c r="J843" s="7" t="str">
        <f t="shared" si="68"/>
        <v/>
      </c>
      <c r="K843" s="7">
        <v>0</v>
      </c>
      <c r="L843" s="7" t="str">
        <f t="shared" si="69"/>
        <v/>
      </c>
      <c r="M843" s="7" t="str">
        <f t="shared" si="70"/>
        <v/>
      </c>
      <c r="N843" s="7">
        <v>0</v>
      </c>
      <c r="O843" s="7"/>
      <c r="P843" s="7"/>
      <c r="Q843" s="7"/>
      <c r="AC843"/>
      <c r="AD843" s="14"/>
    </row>
    <row r="844" spans="1:30" x14ac:dyDescent="0.25">
      <c r="A844" t="b">
        <f t="shared" si="71"/>
        <v>0</v>
      </c>
      <c r="B844">
        <v>2006</v>
      </c>
      <c r="C844">
        <v>156</v>
      </c>
      <c r="D844">
        <v>0</v>
      </c>
      <c r="E844">
        <v>1100</v>
      </c>
      <c r="F844" s="7">
        <v>525.5</v>
      </c>
      <c r="G844" s="7">
        <v>19.46</v>
      </c>
      <c r="H844" s="7">
        <v>0</v>
      </c>
      <c r="I844" s="7" t="str">
        <f t="shared" si="67"/>
        <v/>
      </c>
      <c r="J844" s="7" t="str">
        <f t="shared" si="68"/>
        <v/>
      </c>
      <c r="K844" s="7">
        <v>0</v>
      </c>
      <c r="L844" s="7" t="str">
        <f t="shared" si="69"/>
        <v/>
      </c>
      <c r="M844" s="7" t="str">
        <f t="shared" si="70"/>
        <v/>
      </c>
      <c r="N844" s="7">
        <v>0</v>
      </c>
      <c r="O844" s="7"/>
      <c r="P844" s="7"/>
      <c r="Q844" s="7"/>
      <c r="AC844"/>
      <c r="AD844" s="14"/>
    </row>
    <row r="845" spans="1:30" x14ac:dyDescent="0.25">
      <c r="A845" t="b">
        <f t="shared" si="71"/>
        <v>0</v>
      </c>
      <c r="B845">
        <v>2006</v>
      </c>
      <c r="C845">
        <v>156</v>
      </c>
      <c r="D845">
        <v>0</v>
      </c>
      <c r="E845">
        <v>1200</v>
      </c>
      <c r="F845" s="7">
        <v>658.1</v>
      </c>
      <c r="G845" s="7">
        <v>20.25</v>
      </c>
      <c r="H845" s="7">
        <v>0</v>
      </c>
      <c r="I845" s="7" t="str">
        <f t="shared" si="67"/>
        <v/>
      </c>
      <c r="J845" s="7" t="str">
        <f t="shared" si="68"/>
        <v/>
      </c>
      <c r="K845" s="7">
        <v>0</v>
      </c>
      <c r="L845" s="7" t="str">
        <f t="shared" si="69"/>
        <v/>
      </c>
      <c r="M845" s="7" t="str">
        <f t="shared" si="70"/>
        <v/>
      </c>
      <c r="N845" s="7">
        <v>0</v>
      </c>
      <c r="O845" s="7"/>
      <c r="P845" s="7"/>
      <c r="Q845" s="7"/>
      <c r="AC845"/>
      <c r="AD845" s="14"/>
    </row>
    <row r="846" spans="1:30" x14ac:dyDescent="0.25">
      <c r="A846" t="b">
        <f t="shared" si="71"/>
        <v>0</v>
      </c>
      <c r="B846">
        <v>2006</v>
      </c>
      <c r="C846">
        <v>156</v>
      </c>
      <c r="D846">
        <v>0</v>
      </c>
      <c r="E846">
        <v>1300</v>
      </c>
      <c r="F846" s="7">
        <v>833</v>
      </c>
      <c r="G846" s="7">
        <v>21.53</v>
      </c>
      <c r="H846" s="7">
        <v>0</v>
      </c>
      <c r="I846" s="7" t="str">
        <f t="shared" si="67"/>
        <v/>
      </c>
      <c r="J846" s="7" t="str">
        <f t="shared" si="68"/>
        <v/>
      </c>
      <c r="K846" s="7">
        <v>0</v>
      </c>
      <c r="L846" s="7" t="str">
        <f t="shared" si="69"/>
        <v/>
      </c>
      <c r="M846" s="7" t="str">
        <f t="shared" si="70"/>
        <v/>
      </c>
      <c r="N846" s="7">
        <v>0</v>
      </c>
      <c r="O846" s="7"/>
      <c r="P846" s="7"/>
      <c r="Q846" s="7"/>
      <c r="AC846"/>
      <c r="AD846" s="14"/>
    </row>
    <row r="847" spans="1:30" x14ac:dyDescent="0.25">
      <c r="A847" t="b">
        <f t="shared" si="71"/>
        <v>0</v>
      </c>
      <c r="B847">
        <v>2006</v>
      </c>
      <c r="C847">
        <v>156</v>
      </c>
      <c r="D847">
        <v>0</v>
      </c>
      <c r="E847">
        <v>1400</v>
      </c>
      <c r="F847" s="7">
        <v>623.20000000000005</v>
      </c>
      <c r="G847" s="7">
        <v>22</v>
      </c>
      <c r="H847" s="7">
        <v>0</v>
      </c>
      <c r="I847" s="7" t="str">
        <f t="shared" si="67"/>
        <v/>
      </c>
      <c r="J847" s="7" t="str">
        <f t="shared" si="68"/>
        <v/>
      </c>
      <c r="K847" s="7">
        <v>0</v>
      </c>
      <c r="L847" s="7" t="str">
        <f t="shared" si="69"/>
        <v/>
      </c>
      <c r="M847" s="7" t="str">
        <f t="shared" si="70"/>
        <v/>
      </c>
      <c r="N847" s="7">
        <v>0</v>
      </c>
      <c r="O847" s="7"/>
      <c r="P847" s="7"/>
      <c r="Q847" s="7"/>
      <c r="AC847"/>
      <c r="AD847" s="14"/>
    </row>
    <row r="848" spans="1:30" x14ac:dyDescent="0.25">
      <c r="A848" t="b">
        <f t="shared" si="71"/>
        <v>0</v>
      </c>
      <c r="B848">
        <v>2006</v>
      </c>
      <c r="C848">
        <v>156</v>
      </c>
      <c r="D848">
        <v>0</v>
      </c>
      <c r="E848">
        <v>1500</v>
      </c>
      <c r="F848" s="7">
        <v>521.20000000000005</v>
      </c>
      <c r="G848" s="7">
        <v>21.07</v>
      </c>
      <c r="H848" s="7">
        <v>0</v>
      </c>
      <c r="I848" s="7" t="str">
        <f t="shared" si="67"/>
        <v/>
      </c>
      <c r="J848" s="7" t="str">
        <f t="shared" si="68"/>
        <v/>
      </c>
      <c r="K848" s="7">
        <v>0</v>
      </c>
      <c r="L848" s="7" t="str">
        <f t="shared" si="69"/>
        <v/>
      </c>
      <c r="M848" s="7" t="str">
        <f t="shared" si="70"/>
        <v/>
      </c>
      <c r="N848" s="7">
        <v>0</v>
      </c>
      <c r="O848" s="7"/>
      <c r="P848" s="7"/>
      <c r="Q848" s="7"/>
      <c r="AC848"/>
      <c r="AD848" s="14"/>
    </row>
    <row r="849" spans="1:30" x14ac:dyDescent="0.25">
      <c r="A849" t="b">
        <f t="shared" si="71"/>
        <v>0</v>
      </c>
      <c r="B849">
        <v>2006</v>
      </c>
      <c r="C849">
        <v>156</v>
      </c>
      <c r="D849">
        <v>0</v>
      </c>
      <c r="E849">
        <v>1600</v>
      </c>
      <c r="F849" s="7">
        <v>341.4</v>
      </c>
      <c r="G849" s="7">
        <v>19.02</v>
      </c>
      <c r="H849" s="7">
        <v>0</v>
      </c>
      <c r="I849" s="7" t="str">
        <f t="shared" si="67"/>
        <v/>
      </c>
      <c r="J849" s="7" t="str">
        <f t="shared" si="68"/>
        <v/>
      </c>
      <c r="K849" s="7">
        <v>0</v>
      </c>
      <c r="L849" s="7" t="str">
        <f t="shared" si="69"/>
        <v/>
      </c>
      <c r="M849" s="7" t="str">
        <f t="shared" si="70"/>
        <v/>
      </c>
      <c r="N849" s="7">
        <v>0</v>
      </c>
      <c r="O849" s="7"/>
      <c r="P849" s="7"/>
      <c r="Q849" s="7"/>
      <c r="AC849"/>
      <c r="AD849" s="14"/>
    </row>
    <row r="850" spans="1:30" x14ac:dyDescent="0.25">
      <c r="A850" t="b">
        <f t="shared" si="71"/>
        <v>0</v>
      </c>
      <c r="B850">
        <v>2006</v>
      </c>
      <c r="C850">
        <v>156</v>
      </c>
      <c r="D850">
        <v>0</v>
      </c>
      <c r="E850">
        <v>1700</v>
      </c>
      <c r="F850" s="7">
        <v>321.5</v>
      </c>
      <c r="G850" s="7">
        <v>18.39</v>
      </c>
      <c r="H850" s="7">
        <v>0</v>
      </c>
      <c r="I850" s="7" t="str">
        <f t="shared" si="67"/>
        <v/>
      </c>
      <c r="J850" s="7" t="str">
        <f t="shared" si="68"/>
        <v/>
      </c>
      <c r="K850" s="7">
        <v>0</v>
      </c>
      <c r="L850" s="7" t="str">
        <f t="shared" si="69"/>
        <v/>
      </c>
      <c r="M850" s="7" t="str">
        <f t="shared" si="70"/>
        <v/>
      </c>
      <c r="N850" s="7">
        <v>0</v>
      </c>
      <c r="O850" s="7"/>
      <c r="P850" s="7"/>
      <c r="Q850" s="7"/>
      <c r="AC850"/>
      <c r="AD850" s="14"/>
    </row>
    <row r="851" spans="1:30" x14ac:dyDescent="0.25">
      <c r="A851" t="b">
        <f t="shared" si="71"/>
        <v>0</v>
      </c>
      <c r="B851">
        <v>2006</v>
      </c>
      <c r="C851">
        <v>156</v>
      </c>
      <c r="D851">
        <v>0</v>
      </c>
      <c r="E851">
        <v>1800</v>
      </c>
      <c r="F851" s="7">
        <v>313.60000000000002</v>
      </c>
      <c r="G851" s="7">
        <v>18.579999999999998</v>
      </c>
      <c r="H851" s="7">
        <v>0</v>
      </c>
      <c r="I851" s="7" t="str">
        <f t="shared" si="67"/>
        <v/>
      </c>
      <c r="J851" s="7" t="str">
        <f t="shared" si="68"/>
        <v/>
      </c>
      <c r="K851" s="7">
        <v>0</v>
      </c>
      <c r="L851" s="7" t="str">
        <f t="shared" si="69"/>
        <v/>
      </c>
      <c r="M851" s="7" t="str">
        <f t="shared" si="70"/>
        <v/>
      </c>
      <c r="N851" s="7">
        <v>0</v>
      </c>
      <c r="O851" s="7"/>
      <c r="P851" s="7"/>
      <c r="Q851" s="7"/>
      <c r="AC851"/>
      <c r="AD851" s="14"/>
    </row>
    <row r="852" spans="1:30" x14ac:dyDescent="0.25">
      <c r="A852" t="b">
        <f t="shared" si="71"/>
        <v>0</v>
      </c>
      <c r="B852">
        <v>2006</v>
      </c>
      <c r="C852">
        <v>156</v>
      </c>
      <c r="D852">
        <v>0</v>
      </c>
      <c r="E852">
        <v>1900</v>
      </c>
      <c r="F852" s="7">
        <v>202.7</v>
      </c>
      <c r="G852" s="7">
        <v>17.93</v>
      </c>
      <c r="H852" s="7">
        <v>0</v>
      </c>
      <c r="I852" s="7" t="str">
        <f t="shared" si="67"/>
        <v/>
      </c>
      <c r="J852" s="7" t="str">
        <f t="shared" si="68"/>
        <v/>
      </c>
      <c r="K852" s="7">
        <v>0</v>
      </c>
      <c r="L852" s="7" t="str">
        <f t="shared" si="69"/>
        <v/>
      </c>
      <c r="M852" s="7" t="str">
        <f t="shared" si="70"/>
        <v/>
      </c>
      <c r="N852" s="7">
        <v>0</v>
      </c>
      <c r="O852" s="7"/>
      <c r="P852" s="7"/>
      <c r="Q852" s="7"/>
      <c r="AC852"/>
      <c r="AD852" s="14"/>
    </row>
    <row r="853" spans="1:30" x14ac:dyDescent="0.25">
      <c r="A853" t="b">
        <f t="shared" si="71"/>
        <v>0</v>
      </c>
      <c r="B853">
        <v>2006</v>
      </c>
      <c r="C853">
        <v>156</v>
      </c>
      <c r="D853">
        <v>0</v>
      </c>
      <c r="E853">
        <v>2000</v>
      </c>
      <c r="F853" s="7">
        <v>91.7</v>
      </c>
      <c r="G853" s="7">
        <v>16.93</v>
      </c>
      <c r="H853" s="7">
        <v>0</v>
      </c>
      <c r="I853" s="7" t="str">
        <f t="shared" si="67"/>
        <v/>
      </c>
      <c r="J853" s="7" t="str">
        <f t="shared" si="68"/>
        <v/>
      </c>
      <c r="K853" s="7">
        <v>0</v>
      </c>
      <c r="L853" s="7" t="str">
        <f t="shared" si="69"/>
        <v/>
      </c>
      <c r="M853" s="7" t="str">
        <f t="shared" si="70"/>
        <v/>
      </c>
      <c r="N853" s="7">
        <v>0</v>
      </c>
      <c r="O853" s="7"/>
      <c r="P853" s="7"/>
      <c r="Q853" s="7"/>
      <c r="AC853"/>
      <c r="AD853" s="14"/>
    </row>
    <row r="854" spans="1:30" x14ac:dyDescent="0.25">
      <c r="A854" t="b">
        <f t="shared" si="71"/>
        <v>0</v>
      </c>
      <c r="B854">
        <v>2006</v>
      </c>
      <c r="C854">
        <v>156</v>
      </c>
      <c r="D854">
        <v>0</v>
      </c>
      <c r="E854">
        <v>2100</v>
      </c>
      <c r="F854" s="7">
        <v>16.34</v>
      </c>
      <c r="G854" s="7">
        <v>15.02</v>
      </c>
      <c r="H854" s="7">
        <v>0</v>
      </c>
      <c r="I854" s="7" t="str">
        <f t="shared" si="67"/>
        <v/>
      </c>
      <c r="J854" s="7" t="str">
        <f t="shared" si="68"/>
        <v/>
      </c>
      <c r="K854" s="7">
        <v>0</v>
      </c>
      <c r="L854" s="7" t="str">
        <f t="shared" si="69"/>
        <v/>
      </c>
      <c r="M854" s="7" t="str">
        <f t="shared" si="70"/>
        <v/>
      </c>
      <c r="N854" s="7">
        <v>0</v>
      </c>
      <c r="O854" s="7"/>
      <c r="P854" s="7"/>
      <c r="Q854" s="7"/>
      <c r="AC854"/>
      <c r="AD854" s="14"/>
    </row>
    <row r="855" spans="1:30" x14ac:dyDescent="0.25">
      <c r="A855" t="b">
        <f t="shared" si="71"/>
        <v>0</v>
      </c>
      <c r="B855">
        <v>2006</v>
      </c>
      <c r="C855">
        <v>156</v>
      </c>
      <c r="D855">
        <v>0</v>
      </c>
      <c r="E855">
        <v>2200</v>
      </c>
      <c r="F855" s="7">
        <v>-3.1880000000000002</v>
      </c>
      <c r="G855" s="7">
        <v>12.74</v>
      </c>
      <c r="H855" s="7">
        <v>0</v>
      </c>
      <c r="I855" s="7" t="str">
        <f t="shared" si="67"/>
        <v/>
      </c>
      <c r="J855" s="7" t="str">
        <f t="shared" si="68"/>
        <v/>
      </c>
      <c r="K855" s="7">
        <v>0</v>
      </c>
      <c r="L855" s="7" t="str">
        <f t="shared" si="69"/>
        <v/>
      </c>
      <c r="M855" s="7" t="str">
        <f t="shared" si="70"/>
        <v/>
      </c>
      <c r="N855" s="7">
        <v>0</v>
      </c>
      <c r="O855" s="7"/>
      <c r="P855" s="7"/>
      <c r="Q855" s="7"/>
      <c r="AC855"/>
      <c r="AD855" s="14"/>
    </row>
    <row r="856" spans="1:30" x14ac:dyDescent="0.25">
      <c r="A856" t="b">
        <f t="shared" si="71"/>
        <v>0</v>
      </c>
      <c r="B856">
        <v>2006</v>
      </c>
      <c r="C856">
        <v>156</v>
      </c>
      <c r="D856">
        <v>0</v>
      </c>
      <c r="E856">
        <v>2300</v>
      </c>
      <c r="F856" s="7">
        <v>-3.2050000000000001</v>
      </c>
      <c r="G856" s="7">
        <v>10.44</v>
      </c>
      <c r="H856" s="7">
        <v>0</v>
      </c>
      <c r="I856" s="7" t="str">
        <f t="shared" si="67"/>
        <v/>
      </c>
      <c r="J856" s="7" t="str">
        <f t="shared" si="68"/>
        <v/>
      </c>
      <c r="K856" s="7">
        <v>0</v>
      </c>
      <c r="L856" s="7" t="str">
        <f t="shared" si="69"/>
        <v/>
      </c>
      <c r="M856" s="7" t="str">
        <f t="shared" si="70"/>
        <v/>
      </c>
      <c r="N856" s="7">
        <v>0</v>
      </c>
      <c r="O856" s="7"/>
      <c r="P856" s="7"/>
      <c r="Q856" s="7"/>
      <c r="AC856"/>
      <c r="AD856" s="14"/>
    </row>
    <row r="857" spans="1:30" x14ac:dyDescent="0.25">
      <c r="A857" t="b">
        <f t="shared" si="71"/>
        <v>0</v>
      </c>
      <c r="B857">
        <v>2006</v>
      </c>
      <c r="C857">
        <v>156</v>
      </c>
      <c r="D857">
        <v>0</v>
      </c>
      <c r="E857">
        <v>2400</v>
      </c>
      <c r="F857" s="7">
        <v>-2.395</v>
      </c>
      <c r="G857" s="7">
        <v>9.8000000000000007</v>
      </c>
      <c r="H857" s="7">
        <v>0</v>
      </c>
      <c r="I857" s="7" t="str">
        <f t="shared" si="67"/>
        <v/>
      </c>
      <c r="J857" s="7" t="str">
        <f t="shared" si="68"/>
        <v/>
      </c>
      <c r="K857" s="7">
        <v>0</v>
      </c>
      <c r="L857" s="7" t="str">
        <f t="shared" si="69"/>
        <v/>
      </c>
      <c r="M857" s="7" t="str">
        <f t="shared" si="70"/>
        <v/>
      </c>
      <c r="N857" s="7">
        <v>0</v>
      </c>
      <c r="O857" s="7"/>
      <c r="P857" s="7"/>
      <c r="Q857" s="7"/>
      <c r="AC857"/>
      <c r="AD857" s="14"/>
    </row>
    <row r="858" spans="1:30" x14ac:dyDescent="0.25">
      <c r="A858" t="b">
        <f t="shared" si="71"/>
        <v>1</v>
      </c>
      <c r="B858">
        <v>2006</v>
      </c>
      <c r="C858">
        <v>157</v>
      </c>
      <c r="D858">
        <v>0</v>
      </c>
      <c r="E858">
        <v>100</v>
      </c>
      <c r="F858" s="7">
        <v>-2.5449999999999999</v>
      </c>
      <c r="G858" s="7">
        <v>10.27</v>
      </c>
      <c r="H858" s="7">
        <v>0</v>
      </c>
      <c r="I858" s="7">
        <f t="shared" si="67"/>
        <v>1.4</v>
      </c>
      <c r="J858" s="7">
        <f t="shared" si="68"/>
        <v>289.94062499999995</v>
      </c>
      <c r="K858" s="7">
        <v>0</v>
      </c>
      <c r="L858" s="7">
        <f t="shared" si="69"/>
        <v>25.82</v>
      </c>
      <c r="M858" s="7">
        <f t="shared" si="70"/>
        <v>7.8</v>
      </c>
      <c r="N858" s="7">
        <v>0</v>
      </c>
      <c r="O858" s="7"/>
      <c r="P858" s="7"/>
      <c r="Q858" s="7"/>
      <c r="AC858"/>
      <c r="AD858" s="14"/>
    </row>
    <row r="859" spans="1:30" x14ac:dyDescent="0.25">
      <c r="A859" t="b">
        <f t="shared" si="71"/>
        <v>0</v>
      </c>
      <c r="B859">
        <v>2006</v>
      </c>
      <c r="C859">
        <v>157</v>
      </c>
      <c r="D859">
        <v>0</v>
      </c>
      <c r="E859">
        <v>200</v>
      </c>
      <c r="F859" s="7">
        <v>-2.4700000000000002</v>
      </c>
      <c r="G859" s="7">
        <v>8.83</v>
      </c>
      <c r="H859" s="7">
        <v>0</v>
      </c>
      <c r="I859" s="7" t="str">
        <f t="shared" si="67"/>
        <v/>
      </c>
      <c r="J859" s="7" t="str">
        <f t="shared" si="68"/>
        <v/>
      </c>
      <c r="K859" s="7">
        <v>0</v>
      </c>
      <c r="L859" s="7" t="str">
        <f t="shared" si="69"/>
        <v/>
      </c>
      <c r="M859" s="7" t="str">
        <f t="shared" si="70"/>
        <v/>
      </c>
      <c r="N859" s="7">
        <v>0</v>
      </c>
      <c r="O859" s="7"/>
      <c r="P859" s="7"/>
      <c r="Q859" s="7"/>
      <c r="AC859"/>
      <c r="AD859" s="14"/>
    </row>
    <row r="860" spans="1:30" x14ac:dyDescent="0.25">
      <c r="A860" t="b">
        <f t="shared" si="71"/>
        <v>0</v>
      </c>
      <c r="B860">
        <v>2006</v>
      </c>
      <c r="C860">
        <v>157</v>
      </c>
      <c r="D860">
        <v>0</v>
      </c>
      <c r="E860">
        <v>300</v>
      </c>
      <c r="F860" s="7">
        <v>-2.2759999999999998</v>
      </c>
      <c r="G860" s="7">
        <v>7.87</v>
      </c>
      <c r="H860" s="7">
        <v>0</v>
      </c>
      <c r="I860" s="7" t="str">
        <f t="shared" si="67"/>
        <v/>
      </c>
      <c r="J860" s="7" t="str">
        <f t="shared" si="68"/>
        <v/>
      </c>
      <c r="K860" s="7">
        <v>0</v>
      </c>
      <c r="L860" s="7" t="str">
        <f t="shared" si="69"/>
        <v/>
      </c>
      <c r="M860" s="7" t="str">
        <f t="shared" si="70"/>
        <v/>
      </c>
      <c r="N860" s="7">
        <v>0</v>
      </c>
      <c r="O860" s="7"/>
      <c r="P860" s="7"/>
      <c r="Q860" s="7"/>
      <c r="AC860"/>
      <c r="AD860" s="14"/>
    </row>
    <row r="861" spans="1:30" x14ac:dyDescent="0.25">
      <c r="A861" t="b">
        <f t="shared" si="71"/>
        <v>0</v>
      </c>
      <c r="B861">
        <v>2006</v>
      </c>
      <c r="C861">
        <v>157</v>
      </c>
      <c r="D861">
        <v>0</v>
      </c>
      <c r="E861">
        <v>400</v>
      </c>
      <c r="F861" s="7">
        <v>-0.63800000000000001</v>
      </c>
      <c r="G861" s="7">
        <v>7.8</v>
      </c>
      <c r="H861" s="7">
        <v>0</v>
      </c>
      <c r="I861" s="7" t="str">
        <f t="shared" si="67"/>
        <v/>
      </c>
      <c r="J861" s="7" t="str">
        <f t="shared" si="68"/>
        <v/>
      </c>
      <c r="K861" s="7">
        <v>0</v>
      </c>
      <c r="L861" s="7" t="str">
        <f t="shared" si="69"/>
        <v/>
      </c>
      <c r="M861" s="7" t="str">
        <f t="shared" si="70"/>
        <v/>
      </c>
      <c r="N861" s="7">
        <v>0</v>
      </c>
      <c r="O861" s="7"/>
      <c r="P861" s="7"/>
      <c r="Q861" s="7"/>
      <c r="AC861"/>
      <c r="AD861" s="14"/>
    </row>
    <row r="862" spans="1:30" x14ac:dyDescent="0.25">
      <c r="A862" t="b">
        <f t="shared" si="71"/>
        <v>0</v>
      </c>
      <c r="B862">
        <v>2006</v>
      </c>
      <c r="C862">
        <v>157</v>
      </c>
      <c r="D862">
        <v>0</v>
      </c>
      <c r="E862">
        <v>500</v>
      </c>
      <c r="F862" s="7">
        <v>18.38</v>
      </c>
      <c r="G862" s="7">
        <v>7.99</v>
      </c>
      <c r="H862" s="7">
        <v>0</v>
      </c>
      <c r="I862" s="7" t="str">
        <f t="shared" si="67"/>
        <v/>
      </c>
      <c r="J862" s="7" t="str">
        <f t="shared" si="68"/>
        <v/>
      </c>
      <c r="K862" s="7">
        <v>0</v>
      </c>
      <c r="L862" s="7" t="str">
        <f t="shared" si="69"/>
        <v/>
      </c>
      <c r="M862" s="7" t="str">
        <f t="shared" si="70"/>
        <v/>
      </c>
      <c r="N862" s="7">
        <v>0</v>
      </c>
      <c r="O862" s="7"/>
      <c r="P862" s="7"/>
      <c r="Q862" s="7"/>
      <c r="AC862"/>
      <c r="AD862" s="14"/>
    </row>
    <row r="863" spans="1:30" x14ac:dyDescent="0.25">
      <c r="A863" t="b">
        <f t="shared" si="71"/>
        <v>0</v>
      </c>
      <c r="B863">
        <v>2006</v>
      </c>
      <c r="C863">
        <v>157</v>
      </c>
      <c r="D863">
        <v>0</v>
      </c>
      <c r="E863">
        <v>600</v>
      </c>
      <c r="F863" s="7">
        <v>104.1</v>
      </c>
      <c r="G863" s="7">
        <v>10.56</v>
      </c>
      <c r="H863" s="7">
        <v>0</v>
      </c>
      <c r="I863" s="7" t="str">
        <f t="shared" si="67"/>
        <v/>
      </c>
      <c r="J863" s="7" t="str">
        <f t="shared" si="68"/>
        <v/>
      </c>
      <c r="K863" s="7">
        <v>0</v>
      </c>
      <c r="L863" s="7" t="str">
        <f t="shared" si="69"/>
        <v/>
      </c>
      <c r="M863" s="7" t="str">
        <f t="shared" si="70"/>
        <v/>
      </c>
      <c r="N863" s="7">
        <v>0</v>
      </c>
      <c r="O863" s="7"/>
      <c r="P863" s="7"/>
      <c r="Q863" s="7"/>
      <c r="AC863"/>
      <c r="AD863" s="14"/>
    </row>
    <row r="864" spans="1:30" x14ac:dyDescent="0.25">
      <c r="A864" t="b">
        <f t="shared" si="71"/>
        <v>0</v>
      </c>
      <c r="B864">
        <v>2006</v>
      </c>
      <c r="C864">
        <v>157</v>
      </c>
      <c r="D864">
        <v>0</v>
      </c>
      <c r="E864">
        <v>700</v>
      </c>
      <c r="F864" s="7">
        <v>227.1</v>
      </c>
      <c r="G864" s="7">
        <v>15.9</v>
      </c>
      <c r="H864" s="7">
        <v>0</v>
      </c>
      <c r="I864" s="7" t="str">
        <f t="shared" si="67"/>
        <v/>
      </c>
      <c r="J864" s="7" t="str">
        <f t="shared" si="68"/>
        <v/>
      </c>
      <c r="K864" s="7">
        <v>0</v>
      </c>
      <c r="L864" s="7" t="str">
        <f t="shared" si="69"/>
        <v/>
      </c>
      <c r="M864" s="7" t="str">
        <f t="shared" si="70"/>
        <v/>
      </c>
      <c r="N864" s="7">
        <v>0</v>
      </c>
      <c r="O864" s="7"/>
      <c r="P864" s="7"/>
      <c r="Q864" s="7"/>
      <c r="AC864"/>
      <c r="AD864" s="14"/>
    </row>
    <row r="865" spans="1:30" x14ac:dyDescent="0.25">
      <c r="A865" t="b">
        <f t="shared" si="71"/>
        <v>0</v>
      </c>
      <c r="B865">
        <v>2006</v>
      </c>
      <c r="C865">
        <v>157</v>
      </c>
      <c r="D865">
        <v>0</v>
      </c>
      <c r="E865">
        <v>800</v>
      </c>
      <c r="F865" s="7">
        <v>404.5</v>
      </c>
      <c r="G865" s="7">
        <v>18.02</v>
      </c>
      <c r="H865" s="7">
        <v>0</v>
      </c>
      <c r="I865" s="7" t="str">
        <f t="shared" si="67"/>
        <v/>
      </c>
      <c r="J865" s="7" t="str">
        <f t="shared" si="68"/>
        <v/>
      </c>
      <c r="K865" s="7">
        <v>0</v>
      </c>
      <c r="L865" s="7" t="str">
        <f t="shared" si="69"/>
        <v/>
      </c>
      <c r="M865" s="7" t="str">
        <f t="shared" si="70"/>
        <v/>
      </c>
      <c r="N865" s="7">
        <v>0</v>
      </c>
      <c r="O865" s="7"/>
      <c r="P865" s="7"/>
      <c r="Q865" s="7"/>
      <c r="AC865"/>
      <c r="AD865" s="14"/>
    </row>
    <row r="866" spans="1:30" x14ac:dyDescent="0.25">
      <c r="A866" t="b">
        <f t="shared" si="71"/>
        <v>0</v>
      </c>
      <c r="B866">
        <v>2006</v>
      </c>
      <c r="C866">
        <v>157</v>
      </c>
      <c r="D866">
        <v>0</v>
      </c>
      <c r="E866">
        <v>900</v>
      </c>
      <c r="F866" s="7">
        <v>499.9</v>
      </c>
      <c r="G866" s="7">
        <v>19.68</v>
      </c>
      <c r="H866" s="7">
        <v>0</v>
      </c>
      <c r="I866" s="7" t="str">
        <f t="shared" si="67"/>
        <v/>
      </c>
      <c r="J866" s="7" t="str">
        <f t="shared" si="68"/>
        <v/>
      </c>
      <c r="K866" s="7">
        <v>0</v>
      </c>
      <c r="L866" s="7" t="str">
        <f t="shared" si="69"/>
        <v/>
      </c>
      <c r="M866" s="7" t="str">
        <f t="shared" si="70"/>
        <v/>
      </c>
      <c r="N866" s="7">
        <v>0</v>
      </c>
      <c r="O866" s="7"/>
      <c r="P866" s="7"/>
      <c r="Q866" s="7"/>
      <c r="AC866"/>
      <c r="AD866" s="14"/>
    </row>
    <row r="867" spans="1:30" x14ac:dyDescent="0.25">
      <c r="A867" t="b">
        <f t="shared" si="71"/>
        <v>0</v>
      </c>
      <c r="B867">
        <v>2006</v>
      </c>
      <c r="C867">
        <v>157</v>
      </c>
      <c r="D867">
        <v>0</v>
      </c>
      <c r="E867">
        <v>1000</v>
      </c>
      <c r="F867" s="7">
        <v>643.79999999999995</v>
      </c>
      <c r="G867" s="7">
        <v>21.66</v>
      </c>
      <c r="H867" s="7">
        <v>0</v>
      </c>
      <c r="I867" s="7" t="str">
        <f t="shared" si="67"/>
        <v/>
      </c>
      <c r="J867" s="7" t="str">
        <f t="shared" si="68"/>
        <v/>
      </c>
      <c r="K867" s="7">
        <v>0</v>
      </c>
      <c r="L867" s="7" t="str">
        <f t="shared" si="69"/>
        <v/>
      </c>
      <c r="M867" s="7" t="str">
        <f t="shared" si="70"/>
        <v/>
      </c>
      <c r="N867" s="7">
        <v>0</v>
      </c>
      <c r="O867" s="7"/>
      <c r="P867" s="7"/>
      <c r="Q867" s="7"/>
      <c r="AC867"/>
      <c r="AD867" s="14"/>
    </row>
    <row r="868" spans="1:30" x14ac:dyDescent="0.25">
      <c r="A868" t="b">
        <f t="shared" si="71"/>
        <v>0</v>
      </c>
      <c r="B868">
        <v>2006</v>
      </c>
      <c r="C868">
        <v>157</v>
      </c>
      <c r="D868">
        <v>0</v>
      </c>
      <c r="E868">
        <v>1100</v>
      </c>
      <c r="F868" s="7">
        <v>728</v>
      </c>
      <c r="G868" s="7">
        <v>22.9</v>
      </c>
      <c r="H868" s="7">
        <v>0</v>
      </c>
      <c r="I868" s="7" t="str">
        <f t="shared" si="67"/>
        <v/>
      </c>
      <c r="J868" s="7" t="str">
        <f t="shared" si="68"/>
        <v/>
      </c>
      <c r="K868" s="7">
        <v>0</v>
      </c>
      <c r="L868" s="7" t="str">
        <f t="shared" si="69"/>
        <v/>
      </c>
      <c r="M868" s="7" t="str">
        <f t="shared" si="70"/>
        <v/>
      </c>
      <c r="N868" s="7">
        <v>0</v>
      </c>
      <c r="O868" s="7"/>
      <c r="P868" s="7"/>
      <c r="Q868" s="7"/>
      <c r="AC868"/>
      <c r="AD868" s="14"/>
    </row>
    <row r="869" spans="1:30" x14ac:dyDescent="0.25">
      <c r="A869" t="b">
        <f t="shared" si="71"/>
        <v>0</v>
      </c>
      <c r="B869">
        <v>2006</v>
      </c>
      <c r="C869">
        <v>157</v>
      </c>
      <c r="D869">
        <v>0</v>
      </c>
      <c r="E869">
        <v>1200</v>
      </c>
      <c r="F869" s="7">
        <v>835</v>
      </c>
      <c r="G869" s="7">
        <v>23.45</v>
      </c>
      <c r="H869" s="7">
        <v>0</v>
      </c>
      <c r="I869" s="7" t="str">
        <f t="shared" si="67"/>
        <v/>
      </c>
      <c r="J869" s="7" t="str">
        <f t="shared" si="68"/>
        <v/>
      </c>
      <c r="K869" s="7">
        <v>0</v>
      </c>
      <c r="L869" s="7" t="str">
        <f t="shared" si="69"/>
        <v/>
      </c>
      <c r="M869" s="7" t="str">
        <f t="shared" si="70"/>
        <v/>
      </c>
      <c r="N869" s="7">
        <v>0</v>
      </c>
      <c r="O869" s="7"/>
      <c r="P869" s="7"/>
      <c r="Q869" s="7"/>
      <c r="AC869"/>
      <c r="AD869" s="14"/>
    </row>
    <row r="870" spans="1:30" x14ac:dyDescent="0.25">
      <c r="A870" t="b">
        <f t="shared" si="71"/>
        <v>0</v>
      </c>
      <c r="B870">
        <v>2006</v>
      </c>
      <c r="C870">
        <v>157</v>
      </c>
      <c r="D870">
        <v>0</v>
      </c>
      <c r="E870">
        <v>1300</v>
      </c>
      <c r="F870" s="7">
        <v>871</v>
      </c>
      <c r="G870" s="7">
        <v>24.18</v>
      </c>
      <c r="H870" s="7">
        <v>0</v>
      </c>
      <c r="I870" s="7" t="str">
        <f t="shared" si="67"/>
        <v/>
      </c>
      <c r="J870" s="7" t="str">
        <f t="shared" si="68"/>
        <v/>
      </c>
      <c r="K870" s="7">
        <v>0</v>
      </c>
      <c r="L870" s="7" t="str">
        <f t="shared" si="69"/>
        <v/>
      </c>
      <c r="M870" s="7" t="str">
        <f t="shared" si="70"/>
        <v/>
      </c>
      <c r="N870" s="7">
        <v>0</v>
      </c>
      <c r="O870" s="7"/>
      <c r="P870" s="7"/>
      <c r="Q870" s="7"/>
      <c r="AC870"/>
      <c r="AD870" s="14"/>
    </row>
    <row r="871" spans="1:30" x14ac:dyDescent="0.25">
      <c r="A871" t="b">
        <f t="shared" si="71"/>
        <v>0</v>
      </c>
      <c r="B871">
        <v>2006</v>
      </c>
      <c r="C871">
        <v>157</v>
      </c>
      <c r="D871">
        <v>0</v>
      </c>
      <c r="E871">
        <v>1400</v>
      </c>
      <c r="F871" s="7">
        <v>793</v>
      </c>
      <c r="G871" s="7">
        <v>24.73</v>
      </c>
      <c r="H871" s="7">
        <v>0</v>
      </c>
      <c r="I871" s="7" t="str">
        <f t="shared" si="67"/>
        <v/>
      </c>
      <c r="J871" s="7" t="str">
        <f t="shared" si="68"/>
        <v/>
      </c>
      <c r="K871" s="7">
        <v>0</v>
      </c>
      <c r="L871" s="7" t="str">
        <f t="shared" si="69"/>
        <v/>
      </c>
      <c r="M871" s="7" t="str">
        <f t="shared" si="70"/>
        <v/>
      </c>
      <c r="N871" s="7">
        <v>0</v>
      </c>
      <c r="O871" s="7"/>
      <c r="P871" s="7"/>
      <c r="Q871" s="7"/>
      <c r="AC871"/>
      <c r="AD871" s="14"/>
    </row>
    <row r="872" spans="1:30" x14ac:dyDescent="0.25">
      <c r="A872" t="b">
        <f t="shared" si="71"/>
        <v>0</v>
      </c>
      <c r="B872">
        <v>2006</v>
      </c>
      <c r="C872">
        <v>157</v>
      </c>
      <c r="D872">
        <v>0</v>
      </c>
      <c r="E872">
        <v>1500</v>
      </c>
      <c r="F872" s="7">
        <v>777</v>
      </c>
      <c r="G872" s="7">
        <v>25.82</v>
      </c>
      <c r="H872" s="7">
        <v>0</v>
      </c>
      <c r="I872" s="7" t="str">
        <f t="shared" si="67"/>
        <v/>
      </c>
      <c r="J872" s="7" t="str">
        <f t="shared" si="68"/>
        <v/>
      </c>
      <c r="K872" s="7">
        <v>0</v>
      </c>
      <c r="L872" s="7" t="str">
        <f t="shared" si="69"/>
        <v/>
      </c>
      <c r="M872" s="7" t="str">
        <f t="shared" si="70"/>
        <v/>
      </c>
      <c r="N872" s="7">
        <v>0</v>
      </c>
      <c r="O872" s="7"/>
      <c r="P872" s="7"/>
      <c r="Q872" s="7"/>
      <c r="AC872"/>
      <c r="AD872" s="14"/>
    </row>
    <row r="873" spans="1:30" x14ac:dyDescent="0.25">
      <c r="A873" t="b">
        <f t="shared" si="71"/>
        <v>0</v>
      </c>
      <c r="B873">
        <v>2006</v>
      </c>
      <c r="C873">
        <v>157</v>
      </c>
      <c r="D873">
        <v>0</v>
      </c>
      <c r="E873">
        <v>1600</v>
      </c>
      <c r="F873" s="7">
        <v>457.3</v>
      </c>
      <c r="G873" s="7">
        <v>24.76</v>
      </c>
      <c r="H873" s="7">
        <v>0</v>
      </c>
      <c r="I873" s="7" t="str">
        <f t="shared" si="67"/>
        <v/>
      </c>
      <c r="J873" s="7" t="str">
        <f t="shared" si="68"/>
        <v/>
      </c>
      <c r="K873" s="7">
        <v>0</v>
      </c>
      <c r="L873" s="7" t="str">
        <f t="shared" si="69"/>
        <v/>
      </c>
      <c r="M873" s="7" t="str">
        <f t="shared" si="70"/>
        <v/>
      </c>
      <c r="N873" s="7">
        <v>0</v>
      </c>
      <c r="O873" s="7"/>
      <c r="P873" s="7"/>
      <c r="Q873" s="7"/>
      <c r="AC873"/>
      <c r="AD873" s="14"/>
    </row>
    <row r="874" spans="1:30" x14ac:dyDescent="0.25">
      <c r="A874" t="b">
        <f t="shared" si="71"/>
        <v>0</v>
      </c>
      <c r="B874">
        <v>2006</v>
      </c>
      <c r="C874">
        <v>157</v>
      </c>
      <c r="D874">
        <v>0</v>
      </c>
      <c r="E874">
        <v>1700</v>
      </c>
      <c r="F874" s="7">
        <v>346.7</v>
      </c>
      <c r="G874" s="7">
        <v>24.34</v>
      </c>
      <c r="H874" s="7">
        <v>0</v>
      </c>
      <c r="I874" s="7" t="str">
        <f t="shared" si="67"/>
        <v/>
      </c>
      <c r="J874" s="7" t="str">
        <f t="shared" si="68"/>
        <v/>
      </c>
      <c r="K874" s="7">
        <v>0</v>
      </c>
      <c r="L874" s="7" t="str">
        <f t="shared" si="69"/>
        <v/>
      </c>
      <c r="M874" s="7" t="str">
        <f t="shared" si="70"/>
        <v/>
      </c>
      <c r="N874" s="7">
        <v>0</v>
      </c>
      <c r="O874" s="7"/>
      <c r="P874" s="7"/>
      <c r="Q874" s="7"/>
      <c r="AC874"/>
      <c r="AD874" s="14"/>
    </row>
    <row r="875" spans="1:30" x14ac:dyDescent="0.25">
      <c r="A875" t="b">
        <f t="shared" si="71"/>
        <v>0</v>
      </c>
      <c r="B875">
        <v>2006</v>
      </c>
      <c r="C875">
        <v>157</v>
      </c>
      <c r="D875">
        <v>0</v>
      </c>
      <c r="E875">
        <v>1800</v>
      </c>
      <c r="F875" s="7">
        <v>112.8</v>
      </c>
      <c r="G875" s="7">
        <v>22.9</v>
      </c>
      <c r="H875" s="7">
        <v>0.2</v>
      </c>
      <c r="I875" s="7" t="str">
        <f t="shared" si="67"/>
        <v/>
      </c>
      <c r="J875" s="7" t="str">
        <f t="shared" si="68"/>
        <v/>
      </c>
      <c r="K875" s="7">
        <v>0</v>
      </c>
      <c r="L875" s="7" t="str">
        <f t="shared" si="69"/>
        <v/>
      </c>
      <c r="M875" s="7" t="str">
        <f t="shared" si="70"/>
        <v/>
      </c>
      <c r="N875" s="7">
        <v>0</v>
      </c>
      <c r="O875" s="7"/>
      <c r="P875" s="7"/>
      <c r="Q875" s="7"/>
      <c r="AC875"/>
      <c r="AD875" s="14"/>
    </row>
    <row r="876" spans="1:30" x14ac:dyDescent="0.25">
      <c r="A876" t="b">
        <f t="shared" si="71"/>
        <v>0</v>
      </c>
      <c r="B876">
        <v>2006</v>
      </c>
      <c r="C876">
        <v>157</v>
      </c>
      <c r="D876">
        <v>0</v>
      </c>
      <c r="E876">
        <v>1900</v>
      </c>
      <c r="F876" s="7">
        <v>72.3</v>
      </c>
      <c r="G876" s="7">
        <v>18.52</v>
      </c>
      <c r="H876" s="7">
        <v>1.2</v>
      </c>
      <c r="I876" s="7" t="str">
        <f t="shared" si="67"/>
        <v/>
      </c>
      <c r="J876" s="7" t="str">
        <f t="shared" si="68"/>
        <v/>
      </c>
      <c r="K876" s="7">
        <v>0</v>
      </c>
      <c r="L876" s="7" t="str">
        <f t="shared" si="69"/>
        <v/>
      </c>
      <c r="M876" s="7" t="str">
        <f t="shared" si="70"/>
        <v/>
      </c>
      <c r="N876" s="7">
        <v>0</v>
      </c>
      <c r="O876" s="7"/>
      <c r="P876" s="7"/>
      <c r="Q876" s="7"/>
      <c r="AC876"/>
      <c r="AD876" s="14"/>
    </row>
    <row r="877" spans="1:30" x14ac:dyDescent="0.25">
      <c r="A877" t="b">
        <f t="shared" si="71"/>
        <v>0</v>
      </c>
      <c r="B877">
        <v>2006</v>
      </c>
      <c r="C877">
        <v>157</v>
      </c>
      <c r="D877">
        <v>0</v>
      </c>
      <c r="E877">
        <v>2000</v>
      </c>
      <c r="F877" s="7">
        <v>68.48</v>
      </c>
      <c r="G877" s="7">
        <v>17.89</v>
      </c>
      <c r="H877" s="7">
        <v>0</v>
      </c>
      <c r="I877" s="7" t="str">
        <f t="shared" si="67"/>
        <v/>
      </c>
      <c r="J877" s="7" t="str">
        <f t="shared" si="68"/>
        <v/>
      </c>
      <c r="K877" s="7">
        <v>0</v>
      </c>
      <c r="L877" s="7" t="str">
        <f t="shared" si="69"/>
        <v/>
      </c>
      <c r="M877" s="7" t="str">
        <f t="shared" si="70"/>
        <v/>
      </c>
      <c r="N877" s="7">
        <v>0</v>
      </c>
      <c r="O877" s="7"/>
      <c r="P877" s="7"/>
      <c r="Q877" s="7"/>
      <c r="AC877"/>
      <c r="AD877" s="14"/>
    </row>
    <row r="878" spans="1:30" x14ac:dyDescent="0.25">
      <c r="A878" t="b">
        <f t="shared" si="71"/>
        <v>0</v>
      </c>
      <c r="B878">
        <v>2006</v>
      </c>
      <c r="C878">
        <v>157</v>
      </c>
      <c r="D878">
        <v>0</v>
      </c>
      <c r="E878">
        <v>2100</v>
      </c>
      <c r="F878" s="7">
        <v>15.57</v>
      </c>
      <c r="G878" s="7">
        <v>15.95</v>
      </c>
      <c r="H878" s="7">
        <v>0</v>
      </c>
      <c r="I878" s="7" t="str">
        <f t="shared" si="67"/>
        <v/>
      </c>
      <c r="J878" s="7" t="str">
        <f t="shared" si="68"/>
        <v/>
      </c>
      <c r="K878" s="7">
        <v>0</v>
      </c>
      <c r="L878" s="7" t="str">
        <f t="shared" si="69"/>
        <v/>
      </c>
      <c r="M878" s="7" t="str">
        <f t="shared" si="70"/>
        <v/>
      </c>
      <c r="N878" s="7">
        <v>0</v>
      </c>
      <c r="O878" s="7"/>
      <c r="P878" s="7"/>
      <c r="Q878" s="7"/>
      <c r="AC878"/>
      <c r="AD878" s="14"/>
    </row>
    <row r="879" spans="1:30" x14ac:dyDescent="0.25">
      <c r="A879" t="b">
        <f t="shared" si="71"/>
        <v>0</v>
      </c>
      <c r="B879">
        <v>2006</v>
      </c>
      <c r="C879">
        <v>157</v>
      </c>
      <c r="D879">
        <v>0</v>
      </c>
      <c r="E879">
        <v>2200</v>
      </c>
      <c r="F879" s="7">
        <v>-3.032</v>
      </c>
      <c r="G879" s="7">
        <v>13.16</v>
      </c>
      <c r="H879" s="7">
        <v>0</v>
      </c>
      <c r="I879" s="7" t="str">
        <f t="shared" si="67"/>
        <v/>
      </c>
      <c r="J879" s="7" t="str">
        <f t="shared" si="68"/>
        <v/>
      </c>
      <c r="K879" s="7">
        <v>0</v>
      </c>
      <c r="L879" s="7" t="str">
        <f t="shared" si="69"/>
        <v/>
      </c>
      <c r="M879" s="7" t="str">
        <f t="shared" si="70"/>
        <v/>
      </c>
      <c r="N879" s="7">
        <v>0</v>
      </c>
      <c r="O879" s="7"/>
      <c r="P879" s="7"/>
      <c r="Q879" s="7"/>
      <c r="AC879"/>
      <c r="AD879" s="14"/>
    </row>
    <row r="880" spans="1:30" x14ac:dyDescent="0.25">
      <c r="A880" t="b">
        <f t="shared" si="71"/>
        <v>0</v>
      </c>
      <c r="B880">
        <v>2006</v>
      </c>
      <c r="C880">
        <v>157</v>
      </c>
      <c r="D880">
        <v>0</v>
      </c>
      <c r="E880">
        <v>2300</v>
      </c>
      <c r="F880" s="7">
        <v>-2.823</v>
      </c>
      <c r="G880" s="7">
        <v>11.34</v>
      </c>
      <c r="H880" s="7">
        <v>0</v>
      </c>
      <c r="I880" s="7" t="str">
        <f t="shared" si="67"/>
        <v/>
      </c>
      <c r="J880" s="7" t="str">
        <f t="shared" si="68"/>
        <v/>
      </c>
      <c r="K880" s="7">
        <v>0</v>
      </c>
      <c r="L880" s="7" t="str">
        <f t="shared" si="69"/>
        <v/>
      </c>
      <c r="M880" s="7" t="str">
        <f t="shared" si="70"/>
        <v/>
      </c>
      <c r="N880" s="7">
        <v>0</v>
      </c>
      <c r="O880" s="7"/>
      <c r="P880" s="7"/>
      <c r="Q880" s="7"/>
      <c r="AC880"/>
      <c r="AD880" s="14"/>
    </row>
    <row r="881" spans="1:30" x14ac:dyDescent="0.25">
      <c r="A881" t="b">
        <f t="shared" si="71"/>
        <v>0</v>
      </c>
      <c r="B881">
        <v>2006</v>
      </c>
      <c r="C881">
        <v>157</v>
      </c>
      <c r="D881">
        <v>0</v>
      </c>
      <c r="E881">
        <v>2400</v>
      </c>
      <c r="F881" s="7">
        <v>-2.5710000000000002</v>
      </c>
      <c r="G881" s="7">
        <v>10.26</v>
      </c>
      <c r="H881" s="7">
        <v>0</v>
      </c>
      <c r="I881" s="7" t="str">
        <f t="shared" si="67"/>
        <v/>
      </c>
      <c r="J881" s="7" t="str">
        <f t="shared" si="68"/>
        <v/>
      </c>
      <c r="K881" s="7">
        <v>0</v>
      </c>
      <c r="L881" s="7" t="str">
        <f t="shared" si="69"/>
        <v/>
      </c>
      <c r="M881" s="7" t="str">
        <f t="shared" si="70"/>
        <v/>
      </c>
      <c r="N881" s="7">
        <v>0</v>
      </c>
      <c r="O881" s="7"/>
      <c r="P881" s="7"/>
      <c r="Q881" s="7"/>
      <c r="AC881"/>
      <c r="AD881" s="14"/>
    </row>
    <row r="882" spans="1:30" x14ac:dyDescent="0.25">
      <c r="A882" t="b">
        <f t="shared" si="71"/>
        <v>1</v>
      </c>
      <c r="B882">
        <v>2006</v>
      </c>
      <c r="C882">
        <v>158</v>
      </c>
      <c r="D882">
        <v>0</v>
      </c>
      <c r="E882">
        <v>100</v>
      </c>
      <c r="F882" s="7">
        <v>-2.0470000000000002</v>
      </c>
      <c r="G882" s="7">
        <v>11.1</v>
      </c>
      <c r="H882" s="7">
        <v>0</v>
      </c>
      <c r="I882" s="7">
        <f t="shared" si="67"/>
        <v>0</v>
      </c>
      <c r="J882" s="7">
        <f t="shared" si="68"/>
        <v>186.22937499999998</v>
      </c>
      <c r="K882" s="7">
        <v>0</v>
      </c>
      <c r="L882" s="7">
        <f t="shared" si="69"/>
        <v>20.78</v>
      </c>
      <c r="M882" s="7">
        <f t="shared" si="70"/>
        <v>9.83</v>
      </c>
      <c r="N882" s="7">
        <v>0</v>
      </c>
      <c r="O882" s="7"/>
      <c r="P882" s="7"/>
      <c r="Q882" s="7"/>
      <c r="AC882"/>
      <c r="AD882" s="14"/>
    </row>
    <row r="883" spans="1:30" x14ac:dyDescent="0.25">
      <c r="A883" t="b">
        <f t="shared" si="71"/>
        <v>0</v>
      </c>
      <c r="B883">
        <v>2006</v>
      </c>
      <c r="C883">
        <v>158</v>
      </c>
      <c r="D883">
        <v>0</v>
      </c>
      <c r="E883">
        <v>200</v>
      </c>
      <c r="F883" s="7">
        <v>-2.0609999999999999</v>
      </c>
      <c r="G883" s="7">
        <v>11.21</v>
      </c>
      <c r="H883" s="7">
        <v>0</v>
      </c>
      <c r="I883" s="7" t="str">
        <f t="shared" si="67"/>
        <v/>
      </c>
      <c r="J883" s="7" t="str">
        <f t="shared" si="68"/>
        <v/>
      </c>
      <c r="K883" s="7">
        <v>0</v>
      </c>
      <c r="L883" s="7" t="str">
        <f t="shared" si="69"/>
        <v/>
      </c>
      <c r="M883" s="7" t="str">
        <f t="shared" si="70"/>
        <v/>
      </c>
      <c r="N883" s="7">
        <v>0</v>
      </c>
      <c r="O883" s="7"/>
      <c r="P883" s="7"/>
      <c r="Q883" s="7"/>
      <c r="AC883"/>
      <c r="AD883" s="14"/>
    </row>
    <row r="884" spans="1:30" x14ac:dyDescent="0.25">
      <c r="A884" t="b">
        <f t="shared" si="71"/>
        <v>0</v>
      </c>
      <c r="B884">
        <v>2006</v>
      </c>
      <c r="C884">
        <v>158</v>
      </c>
      <c r="D884">
        <v>0</v>
      </c>
      <c r="E884">
        <v>300</v>
      </c>
      <c r="F884" s="7">
        <v>-2.589</v>
      </c>
      <c r="G884" s="7">
        <v>9.83</v>
      </c>
      <c r="H884" s="7">
        <v>0</v>
      </c>
      <c r="I884" s="7" t="str">
        <f t="shared" si="67"/>
        <v/>
      </c>
      <c r="J884" s="7" t="str">
        <f t="shared" si="68"/>
        <v/>
      </c>
      <c r="K884" s="7">
        <v>0</v>
      </c>
      <c r="L884" s="7" t="str">
        <f t="shared" si="69"/>
        <v/>
      </c>
      <c r="M884" s="7" t="str">
        <f t="shared" si="70"/>
        <v/>
      </c>
      <c r="N884" s="7">
        <v>0</v>
      </c>
      <c r="O884" s="7"/>
      <c r="P884" s="7"/>
      <c r="Q884" s="7"/>
      <c r="AC884"/>
      <c r="AD884" s="14"/>
    </row>
    <row r="885" spans="1:30" x14ac:dyDescent="0.25">
      <c r="A885" t="b">
        <f t="shared" si="71"/>
        <v>0</v>
      </c>
      <c r="B885">
        <v>2006</v>
      </c>
      <c r="C885">
        <v>158</v>
      </c>
      <c r="D885">
        <v>0</v>
      </c>
      <c r="E885">
        <v>400</v>
      </c>
      <c r="F885" s="7">
        <v>-4.5999999999999999E-2</v>
      </c>
      <c r="G885" s="7">
        <v>10.61</v>
      </c>
      <c r="H885" s="7">
        <v>0</v>
      </c>
      <c r="I885" s="7" t="str">
        <f t="shared" si="67"/>
        <v/>
      </c>
      <c r="J885" s="7" t="str">
        <f t="shared" si="68"/>
        <v/>
      </c>
      <c r="K885" s="7">
        <v>0</v>
      </c>
      <c r="L885" s="7" t="str">
        <f t="shared" si="69"/>
        <v/>
      </c>
      <c r="M885" s="7" t="str">
        <f t="shared" si="70"/>
        <v/>
      </c>
      <c r="N885" s="7">
        <v>0</v>
      </c>
      <c r="O885" s="7"/>
      <c r="P885" s="7"/>
      <c r="Q885" s="7"/>
      <c r="AC885"/>
      <c r="AD885" s="14"/>
    </row>
    <row r="886" spans="1:30" x14ac:dyDescent="0.25">
      <c r="A886" t="b">
        <f t="shared" si="71"/>
        <v>0</v>
      </c>
      <c r="B886">
        <v>2006</v>
      </c>
      <c r="C886">
        <v>158</v>
      </c>
      <c r="D886">
        <v>0</v>
      </c>
      <c r="E886">
        <v>500</v>
      </c>
      <c r="F886" s="7">
        <v>8.83</v>
      </c>
      <c r="G886" s="7">
        <v>11.51</v>
      </c>
      <c r="H886" s="7">
        <v>0</v>
      </c>
      <c r="I886" s="7" t="str">
        <f t="shared" si="67"/>
        <v/>
      </c>
      <c r="J886" s="7" t="str">
        <f t="shared" si="68"/>
        <v/>
      </c>
      <c r="K886" s="7">
        <v>0</v>
      </c>
      <c r="L886" s="7" t="str">
        <f t="shared" si="69"/>
        <v/>
      </c>
      <c r="M886" s="7" t="str">
        <f t="shared" si="70"/>
        <v/>
      </c>
      <c r="N886" s="7">
        <v>0</v>
      </c>
      <c r="O886" s="7"/>
      <c r="P886" s="7"/>
      <c r="Q886" s="7"/>
      <c r="AC886"/>
      <c r="AD886" s="14"/>
    </row>
    <row r="887" spans="1:30" x14ac:dyDescent="0.25">
      <c r="A887" t="b">
        <f t="shared" si="71"/>
        <v>0</v>
      </c>
      <c r="B887">
        <v>2006</v>
      </c>
      <c r="C887">
        <v>158</v>
      </c>
      <c r="D887">
        <v>0</v>
      </c>
      <c r="E887">
        <v>600</v>
      </c>
      <c r="F887" s="7">
        <v>37.72</v>
      </c>
      <c r="G887" s="7">
        <v>11.92</v>
      </c>
      <c r="H887" s="7">
        <v>0</v>
      </c>
      <c r="I887" s="7" t="str">
        <f t="shared" si="67"/>
        <v/>
      </c>
      <c r="J887" s="7" t="str">
        <f t="shared" si="68"/>
        <v/>
      </c>
      <c r="K887" s="7">
        <v>0</v>
      </c>
      <c r="L887" s="7" t="str">
        <f t="shared" si="69"/>
        <v/>
      </c>
      <c r="M887" s="7" t="str">
        <f t="shared" si="70"/>
        <v/>
      </c>
      <c r="N887" s="7">
        <v>0</v>
      </c>
      <c r="O887" s="7"/>
      <c r="P887" s="7"/>
      <c r="Q887" s="7"/>
      <c r="AC887"/>
      <c r="AD887" s="14"/>
    </row>
    <row r="888" spans="1:30" x14ac:dyDescent="0.25">
      <c r="A888" t="b">
        <f t="shared" si="71"/>
        <v>0</v>
      </c>
      <c r="B888">
        <v>2006</v>
      </c>
      <c r="C888">
        <v>158</v>
      </c>
      <c r="D888">
        <v>0</v>
      </c>
      <c r="E888">
        <v>700</v>
      </c>
      <c r="F888" s="7">
        <v>90.5</v>
      </c>
      <c r="G888" s="7">
        <v>12.53</v>
      </c>
      <c r="H888" s="7">
        <v>0</v>
      </c>
      <c r="I888" s="7" t="str">
        <f t="shared" si="67"/>
        <v/>
      </c>
      <c r="J888" s="7" t="str">
        <f t="shared" si="68"/>
        <v/>
      </c>
      <c r="K888" s="7">
        <v>0</v>
      </c>
      <c r="L888" s="7" t="str">
        <f t="shared" si="69"/>
        <v/>
      </c>
      <c r="M888" s="7" t="str">
        <f t="shared" si="70"/>
        <v/>
      </c>
      <c r="N888" s="7">
        <v>0</v>
      </c>
      <c r="O888" s="7"/>
      <c r="P888" s="7"/>
      <c r="Q888" s="7"/>
      <c r="AC888"/>
      <c r="AD888" s="14"/>
    </row>
    <row r="889" spans="1:30" x14ac:dyDescent="0.25">
      <c r="A889" t="b">
        <f t="shared" si="71"/>
        <v>0</v>
      </c>
      <c r="B889">
        <v>2006</v>
      </c>
      <c r="C889">
        <v>158</v>
      </c>
      <c r="D889">
        <v>0</v>
      </c>
      <c r="E889">
        <v>800</v>
      </c>
      <c r="F889" s="7">
        <v>135.19999999999999</v>
      </c>
      <c r="G889" s="7">
        <v>13.52</v>
      </c>
      <c r="H889" s="7">
        <v>0</v>
      </c>
      <c r="I889" s="7" t="str">
        <f t="shared" si="67"/>
        <v/>
      </c>
      <c r="J889" s="7" t="str">
        <f t="shared" si="68"/>
        <v/>
      </c>
      <c r="K889" s="7">
        <v>0</v>
      </c>
      <c r="L889" s="7" t="str">
        <f t="shared" si="69"/>
        <v/>
      </c>
      <c r="M889" s="7" t="str">
        <f t="shared" si="70"/>
        <v/>
      </c>
      <c r="N889" s="7">
        <v>0</v>
      </c>
      <c r="O889" s="7"/>
      <c r="P889" s="7"/>
      <c r="Q889" s="7"/>
      <c r="AC889"/>
      <c r="AD889" s="14"/>
    </row>
    <row r="890" spans="1:30" x14ac:dyDescent="0.25">
      <c r="A890" t="b">
        <f t="shared" si="71"/>
        <v>0</v>
      </c>
      <c r="B890">
        <v>2006</v>
      </c>
      <c r="C890">
        <v>158</v>
      </c>
      <c r="D890">
        <v>0</v>
      </c>
      <c r="E890">
        <v>900</v>
      </c>
      <c r="F890" s="7">
        <v>213.3</v>
      </c>
      <c r="G890" s="7">
        <v>14.2</v>
      </c>
      <c r="H890" s="7">
        <v>0</v>
      </c>
      <c r="I890" s="7" t="str">
        <f t="shared" si="67"/>
        <v/>
      </c>
      <c r="J890" s="7" t="str">
        <f t="shared" si="68"/>
        <v/>
      </c>
      <c r="K890" s="7">
        <v>0</v>
      </c>
      <c r="L890" s="7" t="str">
        <f t="shared" si="69"/>
        <v/>
      </c>
      <c r="M890" s="7" t="str">
        <f t="shared" si="70"/>
        <v/>
      </c>
      <c r="N890" s="7">
        <v>0</v>
      </c>
      <c r="O890" s="7"/>
      <c r="P890" s="7"/>
      <c r="Q890" s="7"/>
      <c r="AC890"/>
      <c r="AD890" s="14"/>
    </row>
    <row r="891" spans="1:30" x14ac:dyDescent="0.25">
      <c r="A891" t="b">
        <f t="shared" si="71"/>
        <v>0</v>
      </c>
      <c r="B891">
        <v>2006</v>
      </c>
      <c r="C891">
        <v>158</v>
      </c>
      <c r="D891">
        <v>0</v>
      </c>
      <c r="E891">
        <v>1000</v>
      </c>
      <c r="F891" s="7">
        <v>279.7</v>
      </c>
      <c r="G891" s="7">
        <v>14.92</v>
      </c>
      <c r="H891" s="7">
        <v>0</v>
      </c>
      <c r="I891" s="7" t="str">
        <f t="shared" si="67"/>
        <v/>
      </c>
      <c r="J891" s="7" t="str">
        <f t="shared" si="68"/>
        <v/>
      </c>
      <c r="K891" s="7">
        <v>0</v>
      </c>
      <c r="L891" s="7" t="str">
        <f t="shared" si="69"/>
        <v/>
      </c>
      <c r="M891" s="7" t="str">
        <f t="shared" si="70"/>
        <v/>
      </c>
      <c r="N891" s="7">
        <v>0</v>
      </c>
      <c r="O891" s="7"/>
      <c r="P891" s="7"/>
      <c r="Q891" s="7"/>
      <c r="AC891"/>
      <c r="AD891" s="14"/>
    </row>
    <row r="892" spans="1:30" x14ac:dyDescent="0.25">
      <c r="A892" t="b">
        <f t="shared" si="71"/>
        <v>0</v>
      </c>
      <c r="B892">
        <v>2006</v>
      </c>
      <c r="C892">
        <v>158</v>
      </c>
      <c r="D892">
        <v>0</v>
      </c>
      <c r="E892">
        <v>1100</v>
      </c>
      <c r="F892" s="7">
        <v>347.4</v>
      </c>
      <c r="G892" s="7">
        <v>15.41</v>
      </c>
      <c r="H892" s="7">
        <v>0</v>
      </c>
      <c r="I892" s="7" t="str">
        <f t="shared" si="67"/>
        <v/>
      </c>
      <c r="J892" s="7" t="str">
        <f t="shared" si="68"/>
        <v/>
      </c>
      <c r="K892" s="7">
        <v>0</v>
      </c>
      <c r="L892" s="7" t="str">
        <f t="shared" si="69"/>
        <v/>
      </c>
      <c r="M892" s="7" t="str">
        <f t="shared" si="70"/>
        <v/>
      </c>
      <c r="N892" s="7">
        <v>0</v>
      </c>
      <c r="O892" s="7"/>
      <c r="P892" s="7"/>
      <c r="Q892" s="7"/>
      <c r="AC892"/>
      <c r="AD892" s="14"/>
    </row>
    <row r="893" spans="1:30" x14ac:dyDescent="0.25">
      <c r="A893" t="b">
        <f t="shared" si="71"/>
        <v>0</v>
      </c>
      <c r="B893">
        <v>2006</v>
      </c>
      <c r="C893">
        <v>158</v>
      </c>
      <c r="D893">
        <v>0</v>
      </c>
      <c r="E893">
        <v>1200</v>
      </c>
      <c r="F893" s="7">
        <v>514.6</v>
      </c>
      <c r="G893" s="7">
        <v>16.87</v>
      </c>
      <c r="H893" s="7">
        <v>0</v>
      </c>
      <c r="I893" s="7" t="str">
        <f t="shared" si="67"/>
        <v/>
      </c>
      <c r="J893" s="7" t="str">
        <f t="shared" si="68"/>
        <v/>
      </c>
      <c r="K893" s="7">
        <v>0</v>
      </c>
      <c r="L893" s="7" t="str">
        <f t="shared" si="69"/>
        <v/>
      </c>
      <c r="M893" s="7" t="str">
        <f t="shared" si="70"/>
        <v/>
      </c>
      <c r="N893" s="7">
        <v>0</v>
      </c>
      <c r="O893" s="7"/>
      <c r="P893" s="7"/>
      <c r="Q893" s="7"/>
      <c r="AC893"/>
      <c r="AD893" s="14"/>
    </row>
    <row r="894" spans="1:30" x14ac:dyDescent="0.25">
      <c r="A894" t="b">
        <f t="shared" si="71"/>
        <v>0</v>
      </c>
      <c r="B894">
        <v>2006</v>
      </c>
      <c r="C894">
        <v>158</v>
      </c>
      <c r="D894">
        <v>0</v>
      </c>
      <c r="E894">
        <v>1300</v>
      </c>
      <c r="F894" s="7">
        <v>537.9</v>
      </c>
      <c r="G894" s="7">
        <v>18.03</v>
      </c>
      <c r="H894" s="7">
        <v>0</v>
      </c>
      <c r="I894" s="7" t="str">
        <f t="shared" si="67"/>
        <v/>
      </c>
      <c r="J894" s="7" t="str">
        <f t="shared" si="68"/>
        <v/>
      </c>
      <c r="K894" s="7">
        <v>0</v>
      </c>
      <c r="L894" s="7" t="str">
        <f t="shared" si="69"/>
        <v/>
      </c>
      <c r="M894" s="7" t="str">
        <f t="shared" si="70"/>
        <v/>
      </c>
      <c r="N894" s="7">
        <v>0</v>
      </c>
      <c r="O894" s="7"/>
      <c r="P894" s="7"/>
      <c r="Q894" s="7"/>
      <c r="AC894"/>
      <c r="AD894" s="14"/>
    </row>
    <row r="895" spans="1:30" x14ac:dyDescent="0.25">
      <c r="A895" t="b">
        <f t="shared" si="71"/>
        <v>0</v>
      </c>
      <c r="B895">
        <v>2006</v>
      </c>
      <c r="C895">
        <v>158</v>
      </c>
      <c r="D895">
        <v>0</v>
      </c>
      <c r="E895">
        <v>1400</v>
      </c>
      <c r="F895" s="7">
        <v>466.5</v>
      </c>
      <c r="G895" s="7">
        <v>18.91</v>
      </c>
      <c r="H895" s="7">
        <v>0</v>
      </c>
      <c r="I895" s="7" t="str">
        <f t="shared" si="67"/>
        <v/>
      </c>
      <c r="J895" s="7" t="str">
        <f t="shared" si="68"/>
        <v/>
      </c>
      <c r="K895" s="7">
        <v>0</v>
      </c>
      <c r="L895" s="7" t="str">
        <f t="shared" si="69"/>
        <v/>
      </c>
      <c r="M895" s="7" t="str">
        <f t="shared" si="70"/>
        <v/>
      </c>
      <c r="N895" s="7">
        <v>0</v>
      </c>
      <c r="O895" s="7"/>
      <c r="P895" s="7"/>
      <c r="Q895" s="7"/>
      <c r="AC895"/>
      <c r="AD895" s="14"/>
    </row>
    <row r="896" spans="1:30" x14ac:dyDescent="0.25">
      <c r="A896" t="b">
        <f t="shared" si="71"/>
        <v>0</v>
      </c>
      <c r="B896">
        <v>2006</v>
      </c>
      <c r="C896">
        <v>158</v>
      </c>
      <c r="D896">
        <v>0</v>
      </c>
      <c r="E896">
        <v>1500</v>
      </c>
      <c r="F896" s="7">
        <v>481.5</v>
      </c>
      <c r="G896" s="7">
        <v>19.940000000000001</v>
      </c>
      <c r="H896" s="7">
        <v>0</v>
      </c>
      <c r="I896" s="7" t="str">
        <f t="shared" si="67"/>
        <v/>
      </c>
      <c r="J896" s="7" t="str">
        <f t="shared" si="68"/>
        <v/>
      </c>
      <c r="K896" s="7">
        <v>0</v>
      </c>
      <c r="L896" s="7" t="str">
        <f t="shared" si="69"/>
        <v/>
      </c>
      <c r="M896" s="7" t="str">
        <f t="shared" si="70"/>
        <v/>
      </c>
      <c r="N896" s="7">
        <v>0</v>
      </c>
      <c r="O896" s="7"/>
      <c r="P896" s="7"/>
      <c r="Q896" s="7"/>
      <c r="AC896"/>
      <c r="AD896" s="14"/>
    </row>
    <row r="897" spans="1:30" x14ac:dyDescent="0.25">
      <c r="A897" t="b">
        <f t="shared" si="71"/>
        <v>0</v>
      </c>
      <c r="B897">
        <v>2006</v>
      </c>
      <c r="C897">
        <v>158</v>
      </c>
      <c r="D897">
        <v>0</v>
      </c>
      <c r="E897">
        <v>1600</v>
      </c>
      <c r="F897" s="7">
        <v>436</v>
      </c>
      <c r="G897" s="7">
        <v>20.78</v>
      </c>
      <c r="H897" s="7">
        <v>0</v>
      </c>
      <c r="I897" s="7" t="str">
        <f t="shared" si="67"/>
        <v/>
      </c>
      <c r="J897" s="7" t="str">
        <f t="shared" si="68"/>
        <v/>
      </c>
      <c r="K897" s="7">
        <v>0</v>
      </c>
      <c r="L897" s="7" t="str">
        <f t="shared" si="69"/>
        <v/>
      </c>
      <c r="M897" s="7" t="str">
        <f t="shared" si="70"/>
        <v/>
      </c>
      <c r="N897" s="7">
        <v>0</v>
      </c>
      <c r="O897" s="7"/>
      <c r="P897" s="7"/>
      <c r="Q897" s="7"/>
      <c r="AC897"/>
      <c r="AD897" s="14"/>
    </row>
    <row r="898" spans="1:30" x14ac:dyDescent="0.25">
      <c r="A898" t="b">
        <f t="shared" si="71"/>
        <v>0</v>
      </c>
      <c r="B898">
        <v>2006</v>
      </c>
      <c r="C898">
        <v>158</v>
      </c>
      <c r="D898">
        <v>0</v>
      </c>
      <c r="E898">
        <v>1700</v>
      </c>
      <c r="F898" s="7">
        <v>316.2</v>
      </c>
      <c r="G898" s="7">
        <v>19.45</v>
      </c>
      <c r="H898" s="7">
        <v>0</v>
      </c>
      <c r="I898" s="7" t="str">
        <f t="shared" ref="I898:I961" si="72">IF(AND(B898=B897,C898=C897),"",SUMIFS($H$2:$H$1529,$B$2:$B$1529,B898,$C$2:$C$1529,C898))</f>
        <v/>
      </c>
      <c r="J898" s="7" t="str">
        <f t="shared" ref="J898:J961" si="73">IF(AND(B898=B897,C898=C897),"",AVERAGEIFS($F$2:$F$1529,$B$2:$B$1529,B898,$C$2:$C$1529,C898))</f>
        <v/>
      </c>
      <c r="K898" s="7">
        <v>0</v>
      </c>
      <c r="L898" s="7" t="str">
        <f t="shared" ref="L898:L961" si="74">IF(AND(B898=B897,C898=C897),"",_xlfn.MAXIFS($G$2:$G$1529,$B$2:$B$1529,B898,$C$2:$C$1529,C898))</f>
        <v/>
      </c>
      <c r="M898" s="7" t="str">
        <f t="shared" ref="M898:M961" si="75">IF(AND(B898=B897,C898=C897),"",_xlfn.MINIFS($G$2:$G$1529,$B$2:$B$1529,B898,$C$2:$C$1529,C898))</f>
        <v/>
      </c>
      <c r="N898" s="7">
        <v>0</v>
      </c>
      <c r="O898" s="7"/>
      <c r="P898" s="7"/>
      <c r="Q898" s="7"/>
      <c r="AC898"/>
      <c r="AD898" s="14"/>
    </row>
    <row r="899" spans="1:30" x14ac:dyDescent="0.25">
      <c r="A899" t="b">
        <f t="shared" ref="A899:A962" si="76">NOT(I899="")</f>
        <v>0</v>
      </c>
      <c r="B899">
        <v>2006</v>
      </c>
      <c r="C899">
        <v>158</v>
      </c>
      <c r="D899">
        <v>0</v>
      </c>
      <c r="E899">
        <v>1800</v>
      </c>
      <c r="F899" s="7">
        <v>305.39999999999998</v>
      </c>
      <c r="G899" s="7">
        <v>17.86</v>
      </c>
      <c r="H899" s="7">
        <v>0</v>
      </c>
      <c r="I899" s="7" t="str">
        <f t="shared" si="72"/>
        <v/>
      </c>
      <c r="J899" s="7" t="str">
        <f t="shared" si="73"/>
        <v/>
      </c>
      <c r="K899" s="7">
        <v>0</v>
      </c>
      <c r="L899" s="7" t="str">
        <f t="shared" si="74"/>
        <v/>
      </c>
      <c r="M899" s="7" t="str">
        <f t="shared" si="75"/>
        <v/>
      </c>
      <c r="N899" s="7">
        <v>0</v>
      </c>
      <c r="O899" s="7"/>
      <c r="P899" s="7"/>
      <c r="Q899" s="7"/>
      <c r="AC899"/>
      <c r="AD899" s="14"/>
    </row>
    <row r="900" spans="1:30" x14ac:dyDescent="0.25">
      <c r="A900" t="b">
        <f t="shared" si="76"/>
        <v>0</v>
      </c>
      <c r="B900">
        <v>2006</v>
      </c>
      <c r="C900">
        <v>158</v>
      </c>
      <c r="D900">
        <v>0</v>
      </c>
      <c r="E900">
        <v>1900</v>
      </c>
      <c r="F900" s="7">
        <v>208.7</v>
      </c>
      <c r="G900" s="7">
        <v>16.68</v>
      </c>
      <c r="H900" s="7">
        <v>0</v>
      </c>
      <c r="I900" s="7" t="str">
        <f t="shared" si="72"/>
        <v/>
      </c>
      <c r="J900" s="7" t="str">
        <f t="shared" si="73"/>
        <v/>
      </c>
      <c r="K900" s="7">
        <v>0</v>
      </c>
      <c r="L900" s="7" t="str">
        <f t="shared" si="74"/>
        <v/>
      </c>
      <c r="M900" s="7" t="str">
        <f t="shared" si="75"/>
        <v/>
      </c>
      <c r="N900" s="7">
        <v>0</v>
      </c>
      <c r="O900" s="7"/>
      <c r="P900" s="7"/>
      <c r="Q900" s="7"/>
      <c r="AC900"/>
      <c r="AD900" s="14"/>
    </row>
    <row r="901" spans="1:30" x14ac:dyDescent="0.25">
      <c r="A901" t="b">
        <f t="shared" si="76"/>
        <v>0</v>
      </c>
      <c r="B901">
        <v>2006</v>
      </c>
      <c r="C901">
        <v>158</v>
      </c>
      <c r="D901">
        <v>0</v>
      </c>
      <c r="E901">
        <v>2000</v>
      </c>
      <c r="F901" s="7">
        <v>92.7</v>
      </c>
      <c r="G901" s="7">
        <v>15.33</v>
      </c>
      <c r="H901" s="7">
        <v>0</v>
      </c>
      <c r="I901" s="7" t="str">
        <f t="shared" si="72"/>
        <v/>
      </c>
      <c r="J901" s="7" t="str">
        <f t="shared" si="73"/>
        <v/>
      </c>
      <c r="K901" s="7">
        <v>0</v>
      </c>
      <c r="L901" s="7" t="str">
        <f t="shared" si="74"/>
        <v/>
      </c>
      <c r="M901" s="7" t="str">
        <f t="shared" si="75"/>
        <v/>
      </c>
      <c r="N901" s="7">
        <v>0</v>
      </c>
      <c r="O901" s="7"/>
      <c r="P901" s="7"/>
      <c r="Q901" s="7"/>
      <c r="AC901"/>
      <c r="AD901" s="14"/>
    </row>
    <row r="902" spans="1:30" x14ac:dyDescent="0.25">
      <c r="A902" t="b">
        <f t="shared" si="76"/>
        <v>0</v>
      </c>
      <c r="B902">
        <v>2006</v>
      </c>
      <c r="C902">
        <v>158</v>
      </c>
      <c r="D902">
        <v>0</v>
      </c>
      <c r="E902">
        <v>2100</v>
      </c>
      <c r="F902" s="7">
        <v>11.83</v>
      </c>
      <c r="G902" s="7">
        <v>13.71</v>
      </c>
      <c r="H902" s="7">
        <v>0</v>
      </c>
      <c r="I902" s="7" t="str">
        <f t="shared" si="72"/>
        <v/>
      </c>
      <c r="J902" s="7" t="str">
        <f t="shared" si="73"/>
        <v/>
      </c>
      <c r="K902" s="7">
        <v>0</v>
      </c>
      <c r="L902" s="7" t="str">
        <f t="shared" si="74"/>
        <v/>
      </c>
      <c r="M902" s="7" t="str">
        <f t="shared" si="75"/>
        <v/>
      </c>
      <c r="N902" s="7">
        <v>0</v>
      </c>
      <c r="O902" s="7"/>
      <c r="P902" s="7"/>
      <c r="Q902" s="7"/>
      <c r="AC902"/>
      <c r="AD902" s="14"/>
    </row>
    <row r="903" spans="1:30" x14ac:dyDescent="0.25">
      <c r="A903" t="b">
        <f t="shared" si="76"/>
        <v>0</v>
      </c>
      <c r="B903">
        <v>2006</v>
      </c>
      <c r="C903">
        <v>158</v>
      </c>
      <c r="D903">
        <v>0</v>
      </c>
      <c r="E903">
        <v>2200</v>
      </c>
      <c r="F903" s="7">
        <v>-2.504</v>
      </c>
      <c r="G903" s="7">
        <v>12.68</v>
      </c>
      <c r="H903" s="7">
        <v>0</v>
      </c>
      <c r="I903" s="7" t="str">
        <f t="shared" si="72"/>
        <v/>
      </c>
      <c r="J903" s="7" t="str">
        <f t="shared" si="73"/>
        <v/>
      </c>
      <c r="K903" s="7">
        <v>0</v>
      </c>
      <c r="L903" s="7" t="str">
        <f t="shared" si="74"/>
        <v/>
      </c>
      <c r="M903" s="7" t="str">
        <f t="shared" si="75"/>
        <v/>
      </c>
      <c r="N903" s="7">
        <v>0</v>
      </c>
      <c r="O903" s="7"/>
      <c r="P903" s="7"/>
      <c r="Q903" s="7"/>
      <c r="AC903"/>
      <c r="AD903" s="14"/>
    </row>
    <row r="904" spans="1:30" x14ac:dyDescent="0.25">
      <c r="A904" t="b">
        <f t="shared" si="76"/>
        <v>0</v>
      </c>
      <c r="B904">
        <v>2006</v>
      </c>
      <c r="C904">
        <v>158</v>
      </c>
      <c r="D904">
        <v>0</v>
      </c>
      <c r="E904">
        <v>2300</v>
      </c>
      <c r="F904" s="7">
        <v>-2.8050000000000002</v>
      </c>
      <c r="G904" s="7">
        <v>12.07</v>
      </c>
      <c r="H904" s="7">
        <v>0</v>
      </c>
      <c r="I904" s="7" t="str">
        <f t="shared" si="72"/>
        <v/>
      </c>
      <c r="J904" s="7" t="str">
        <f t="shared" si="73"/>
        <v/>
      </c>
      <c r="K904" s="7">
        <v>0</v>
      </c>
      <c r="L904" s="7" t="str">
        <f t="shared" si="74"/>
        <v/>
      </c>
      <c r="M904" s="7" t="str">
        <f t="shared" si="75"/>
        <v/>
      </c>
      <c r="N904" s="7">
        <v>0</v>
      </c>
      <c r="O904" s="7"/>
      <c r="P904" s="7"/>
      <c r="Q904" s="7"/>
      <c r="AC904"/>
      <c r="AD904" s="14"/>
    </row>
    <row r="905" spans="1:30" x14ac:dyDescent="0.25">
      <c r="A905" t="b">
        <f t="shared" si="76"/>
        <v>0</v>
      </c>
      <c r="B905">
        <v>2006</v>
      </c>
      <c r="C905">
        <v>158</v>
      </c>
      <c r="D905">
        <v>0</v>
      </c>
      <c r="E905">
        <v>2400</v>
      </c>
      <c r="F905" s="7">
        <v>-2.423</v>
      </c>
      <c r="G905" s="7">
        <v>11.8</v>
      </c>
      <c r="H905" s="7">
        <v>0</v>
      </c>
      <c r="I905" s="7" t="str">
        <f t="shared" si="72"/>
        <v/>
      </c>
      <c r="J905" s="7" t="str">
        <f t="shared" si="73"/>
        <v/>
      </c>
      <c r="K905" s="7">
        <v>0</v>
      </c>
      <c r="L905" s="7" t="str">
        <f t="shared" si="74"/>
        <v/>
      </c>
      <c r="M905" s="7" t="str">
        <f t="shared" si="75"/>
        <v/>
      </c>
      <c r="N905" s="7">
        <v>0</v>
      </c>
      <c r="O905" s="7"/>
      <c r="P905" s="7"/>
      <c r="Q905" s="7"/>
      <c r="AC905"/>
      <c r="AD905" s="14"/>
    </row>
    <row r="906" spans="1:30" x14ac:dyDescent="0.25">
      <c r="A906" t="b">
        <f t="shared" si="76"/>
        <v>1</v>
      </c>
      <c r="B906">
        <v>2006</v>
      </c>
      <c r="C906">
        <v>159</v>
      </c>
      <c r="D906">
        <v>0</v>
      </c>
      <c r="E906">
        <v>100</v>
      </c>
      <c r="F906" s="7">
        <v>-2.7269999999999999</v>
      </c>
      <c r="G906" s="7">
        <v>11</v>
      </c>
      <c r="H906" s="7">
        <v>0</v>
      </c>
      <c r="I906" s="7">
        <f t="shared" si="72"/>
        <v>0</v>
      </c>
      <c r="J906" s="7">
        <f t="shared" si="73"/>
        <v>303.17866666666674</v>
      </c>
      <c r="K906" s="7">
        <v>0</v>
      </c>
      <c r="L906" s="7">
        <f t="shared" si="74"/>
        <v>24.75</v>
      </c>
      <c r="M906" s="7">
        <f t="shared" si="75"/>
        <v>7.63</v>
      </c>
      <c r="N906" s="7">
        <v>0</v>
      </c>
      <c r="O906" s="7"/>
      <c r="P906" s="7"/>
      <c r="Q906" s="7"/>
      <c r="AC906"/>
      <c r="AD906" s="14"/>
    </row>
    <row r="907" spans="1:30" x14ac:dyDescent="0.25">
      <c r="A907" t="b">
        <f t="shared" si="76"/>
        <v>0</v>
      </c>
      <c r="B907">
        <v>2006</v>
      </c>
      <c r="C907">
        <v>159</v>
      </c>
      <c r="D907">
        <v>0</v>
      </c>
      <c r="E907">
        <v>200</v>
      </c>
      <c r="F907" s="7">
        <v>-2.6019999999999999</v>
      </c>
      <c r="G907" s="7">
        <v>10.57</v>
      </c>
      <c r="H907" s="7">
        <v>0</v>
      </c>
      <c r="I907" s="7" t="str">
        <f t="shared" si="72"/>
        <v/>
      </c>
      <c r="J907" s="7" t="str">
        <f t="shared" si="73"/>
        <v/>
      </c>
      <c r="K907" s="7">
        <v>0</v>
      </c>
      <c r="L907" s="7" t="str">
        <f t="shared" si="74"/>
        <v/>
      </c>
      <c r="M907" s="7" t="str">
        <f t="shared" si="75"/>
        <v/>
      </c>
      <c r="N907" s="7">
        <v>0</v>
      </c>
      <c r="O907" s="7"/>
      <c r="P907" s="7"/>
      <c r="Q907" s="7"/>
      <c r="AC907"/>
      <c r="AD907" s="14"/>
    </row>
    <row r="908" spans="1:30" x14ac:dyDescent="0.25">
      <c r="A908" t="b">
        <f t="shared" si="76"/>
        <v>0</v>
      </c>
      <c r="B908">
        <v>2006</v>
      </c>
      <c r="C908">
        <v>159</v>
      </c>
      <c r="D908">
        <v>0</v>
      </c>
      <c r="E908">
        <v>300</v>
      </c>
      <c r="F908" s="7">
        <v>-2.605</v>
      </c>
      <c r="G908" s="7">
        <v>8.4499999999999993</v>
      </c>
      <c r="H908" s="7">
        <v>0</v>
      </c>
      <c r="I908" s="7" t="str">
        <f t="shared" si="72"/>
        <v/>
      </c>
      <c r="J908" s="7" t="str">
        <f t="shared" si="73"/>
        <v/>
      </c>
      <c r="K908" s="7">
        <v>0</v>
      </c>
      <c r="L908" s="7" t="str">
        <f t="shared" si="74"/>
        <v/>
      </c>
      <c r="M908" s="7" t="str">
        <f t="shared" si="75"/>
        <v/>
      </c>
      <c r="N908" s="7">
        <v>0</v>
      </c>
      <c r="O908" s="7"/>
      <c r="P908" s="7"/>
      <c r="Q908" s="7"/>
      <c r="AC908"/>
      <c r="AD908" s="14"/>
    </row>
    <row r="909" spans="1:30" x14ac:dyDescent="0.25">
      <c r="A909" t="b">
        <f t="shared" si="76"/>
        <v>0</v>
      </c>
      <c r="B909">
        <v>2006</v>
      </c>
      <c r="C909">
        <v>159</v>
      </c>
      <c r="D909">
        <v>0</v>
      </c>
      <c r="E909">
        <v>400</v>
      </c>
      <c r="F909" s="7">
        <v>-1.133</v>
      </c>
      <c r="G909" s="7">
        <v>7.64</v>
      </c>
      <c r="H909" s="7">
        <v>0</v>
      </c>
      <c r="I909" s="7" t="str">
        <f t="shared" si="72"/>
        <v/>
      </c>
      <c r="J909" s="7" t="str">
        <f t="shared" si="73"/>
        <v/>
      </c>
      <c r="K909" s="7">
        <v>0</v>
      </c>
      <c r="L909" s="7" t="str">
        <f t="shared" si="74"/>
        <v/>
      </c>
      <c r="M909" s="7" t="str">
        <f t="shared" si="75"/>
        <v/>
      </c>
      <c r="N909" s="7">
        <v>0</v>
      </c>
      <c r="O909" s="7"/>
      <c r="P909" s="7"/>
      <c r="Q909" s="7"/>
      <c r="AC909"/>
      <c r="AD909" s="14"/>
    </row>
    <row r="910" spans="1:30" x14ac:dyDescent="0.25">
      <c r="A910" t="b">
        <f t="shared" si="76"/>
        <v>0</v>
      </c>
      <c r="B910">
        <v>2006</v>
      </c>
      <c r="C910">
        <v>159</v>
      </c>
      <c r="D910">
        <v>0</v>
      </c>
      <c r="E910">
        <v>500</v>
      </c>
      <c r="F910" s="7">
        <v>18.11</v>
      </c>
      <c r="G910" s="7">
        <v>7.63</v>
      </c>
      <c r="H910" s="7">
        <v>0</v>
      </c>
      <c r="I910" s="7" t="str">
        <f t="shared" si="72"/>
        <v/>
      </c>
      <c r="J910" s="7" t="str">
        <f t="shared" si="73"/>
        <v/>
      </c>
      <c r="K910" s="7">
        <v>0</v>
      </c>
      <c r="L910" s="7" t="str">
        <f t="shared" si="74"/>
        <v/>
      </c>
      <c r="M910" s="7" t="str">
        <f t="shared" si="75"/>
        <v/>
      </c>
      <c r="N910" s="7">
        <v>0</v>
      </c>
      <c r="O910" s="7"/>
      <c r="P910" s="7"/>
      <c r="Q910" s="7"/>
      <c r="AC910"/>
      <c r="AD910" s="14"/>
    </row>
    <row r="911" spans="1:30" x14ac:dyDescent="0.25">
      <c r="A911" t="b">
        <f t="shared" si="76"/>
        <v>0</v>
      </c>
      <c r="B911">
        <v>2006</v>
      </c>
      <c r="C911">
        <v>159</v>
      </c>
      <c r="D911">
        <v>0</v>
      </c>
      <c r="E911">
        <v>600</v>
      </c>
      <c r="F911" s="7">
        <v>63.15</v>
      </c>
      <c r="G911" s="7">
        <v>9.4700000000000006</v>
      </c>
      <c r="H911" s="7">
        <v>0</v>
      </c>
      <c r="I911" s="7" t="str">
        <f t="shared" si="72"/>
        <v/>
      </c>
      <c r="J911" s="7" t="str">
        <f t="shared" si="73"/>
        <v/>
      </c>
      <c r="K911" s="7">
        <v>0</v>
      </c>
      <c r="L911" s="7" t="str">
        <f t="shared" si="74"/>
        <v/>
      </c>
      <c r="M911" s="7" t="str">
        <f t="shared" si="75"/>
        <v/>
      </c>
      <c r="N911" s="7">
        <v>0</v>
      </c>
      <c r="O911" s="7"/>
      <c r="P911" s="7"/>
      <c r="Q911" s="7"/>
      <c r="AC911"/>
      <c r="AD911" s="14"/>
    </row>
    <row r="912" spans="1:30" x14ac:dyDescent="0.25">
      <c r="A912" t="b">
        <f t="shared" si="76"/>
        <v>0</v>
      </c>
      <c r="B912">
        <v>2006</v>
      </c>
      <c r="C912">
        <v>159</v>
      </c>
      <c r="D912">
        <v>0</v>
      </c>
      <c r="E912">
        <v>700</v>
      </c>
      <c r="F912" s="7">
        <v>128.1</v>
      </c>
      <c r="G912" s="7">
        <v>11.05</v>
      </c>
      <c r="H912" s="7">
        <v>0</v>
      </c>
      <c r="I912" s="7" t="str">
        <f t="shared" si="72"/>
        <v/>
      </c>
      <c r="J912" s="7" t="str">
        <f t="shared" si="73"/>
        <v/>
      </c>
      <c r="K912" s="7">
        <v>0</v>
      </c>
      <c r="L912" s="7" t="str">
        <f t="shared" si="74"/>
        <v/>
      </c>
      <c r="M912" s="7" t="str">
        <f t="shared" si="75"/>
        <v/>
      </c>
      <c r="N912" s="7">
        <v>0</v>
      </c>
      <c r="O912" s="7"/>
      <c r="P912" s="7"/>
      <c r="Q912" s="7"/>
      <c r="AC912"/>
      <c r="AD912" s="14"/>
    </row>
    <row r="913" spans="1:30" x14ac:dyDescent="0.25">
      <c r="A913" t="b">
        <f t="shared" si="76"/>
        <v>0</v>
      </c>
      <c r="B913">
        <v>2006</v>
      </c>
      <c r="C913">
        <v>159</v>
      </c>
      <c r="D913">
        <v>0</v>
      </c>
      <c r="E913">
        <v>800</v>
      </c>
      <c r="F913" s="7">
        <v>249.2</v>
      </c>
      <c r="G913" s="7">
        <v>12.42</v>
      </c>
      <c r="H913" s="7">
        <v>0</v>
      </c>
      <c r="I913" s="7" t="str">
        <f t="shared" si="72"/>
        <v/>
      </c>
      <c r="J913" s="7" t="str">
        <f t="shared" si="73"/>
        <v/>
      </c>
      <c r="K913" s="7">
        <v>0</v>
      </c>
      <c r="L913" s="7" t="str">
        <f t="shared" si="74"/>
        <v/>
      </c>
      <c r="M913" s="7" t="str">
        <f t="shared" si="75"/>
        <v/>
      </c>
      <c r="N913" s="7">
        <v>0</v>
      </c>
      <c r="O913" s="7"/>
      <c r="P913" s="7"/>
      <c r="Q913" s="7"/>
      <c r="AC913"/>
      <c r="AD913" s="14"/>
    </row>
    <row r="914" spans="1:30" x14ac:dyDescent="0.25">
      <c r="A914" t="b">
        <f t="shared" si="76"/>
        <v>0</v>
      </c>
      <c r="B914">
        <v>2006</v>
      </c>
      <c r="C914">
        <v>159</v>
      </c>
      <c r="D914">
        <v>0</v>
      </c>
      <c r="E914">
        <v>900</v>
      </c>
      <c r="F914" s="7">
        <v>353.7</v>
      </c>
      <c r="G914" s="7">
        <v>13.79</v>
      </c>
      <c r="H914" s="7">
        <v>0</v>
      </c>
      <c r="I914" s="7" t="str">
        <f t="shared" si="72"/>
        <v/>
      </c>
      <c r="J914" s="7" t="str">
        <f t="shared" si="73"/>
        <v/>
      </c>
      <c r="K914" s="7">
        <v>0</v>
      </c>
      <c r="L914" s="7" t="str">
        <f t="shared" si="74"/>
        <v/>
      </c>
      <c r="M914" s="7" t="str">
        <f t="shared" si="75"/>
        <v/>
      </c>
      <c r="N914" s="7">
        <v>0</v>
      </c>
      <c r="O914" s="7"/>
      <c r="P914" s="7"/>
      <c r="Q914" s="7"/>
      <c r="AC914"/>
      <c r="AD914" s="14"/>
    </row>
    <row r="915" spans="1:30" x14ac:dyDescent="0.25">
      <c r="A915" t="b">
        <f t="shared" si="76"/>
        <v>0</v>
      </c>
      <c r="B915">
        <v>2006</v>
      </c>
      <c r="C915">
        <v>159</v>
      </c>
      <c r="D915">
        <v>0</v>
      </c>
      <c r="E915">
        <v>1000</v>
      </c>
      <c r="F915" s="7">
        <v>680.1</v>
      </c>
      <c r="G915" s="7">
        <v>18.28</v>
      </c>
      <c r="H915" s="7">
        <v>0</v>
      </c>
      <c r="I915" s="7" t="str">
        <f t="shared" si="72"/>
        <v/>
      </c>
      <c r="J915" s="7" t="str">
        <f t="shared" si="73"/>
        <v/>
      </c>
      <c r="K915" s="7">
        <v>0</v>
      </c>
      <c r="L915" s="7" t="str">
        <f t="shared" si="74"/>
        <v/>
      </c>
      <c r="M915" s="7" t="str">
        <f t="shared" si="75"/>
        <v/>
      </c>
      <c r="N915" s="7">
        <v>0</v>
      </c>
      <c r="O915" s="7"/>
      <c r="P915" s="7"/>
      <c r="Q915" s="7"/>
      <c r="AC915"/>
      <c r="AD915" s="14"/>
    </row>
    <row r="916" spans="1:30" x14ac:dyDescent="0.25">
      <c r="A916" t="b">
        <f t="shared" si="76"/>
        <v>0</v>
      </c>
      <c r="B916">
        <v>2006</v>
      </c>
      <c r="C916">
        <v>159</v>
      </c>
      <c r="D916">
        <v>0</v>
      </c>
      <c r="E916">
        <v>1100</v>
      </c>
      <c r="F916" s="7">
        <v>677.9</v>
      </c>
      <c r="G916" s="7">
        <v>21.03</v>
      </c>
      <c r="H916" s="7">
        <v>0</v>
      </c>
      <c r="I916" s="7" t="str">
        <f t="shared" si="72"/>
        <v/>
      </c>
      <c r="J916" s="7" t="str">
        <f t="shared" si="73"/>
        <v/>
      </c>
      <c r="K916" s="7">
        <v>0</v>
      </c>
      <c r="L916" s="7" t="str">
        <f t="shared" si="74"/>
        <v/>
      </c>
      <c r="M916" s="7" t="str">
        <f t="shared" si="75"/>
        <v/>
      </c>
      <c r="N916" s="7">
        <v>0</v>
      </c>
      <c r="O916" s="7"/>
      <c r="P916" s="7"/>
      <c r="Q916" s="7"/>
      <c r="AC916"/>
      <c r="AD916" s="14"/>
    </row>
    <row r="917" spans="1:30" x14ac:dyDescent="0.25">
      <c r="A917" t="b">
        <f t="shared" si="76"/>
        <v>0</v>
      </c>
      <c r="B917">
        <v>2006</v>
      </c>
      <c r="C917">
        <v>159</v>
      </c>
      <c r="D917">
        <v>0</v>
      </c>
      <c r="E917">
        <v>1200</v>
      </c>
      <c r="F917" s="7">
        <v>774</v>
      </c>
      <c r="G917" s="7">
        <v>22.05</v>
      </c>
      <c r="H917" s="7">
        <v>0</v>
      </c>
      <c r="I917" s="7" t="str">
        <f t="shared" si="72"/>
        <v/>
      </c>
      <c r="J917" s="7" t="str">
        <f t="shared" si="73"/>
        <v/>
      </c>
      <c r="K917" s="7">
        <v>0</v>
      </c>
      <c r="L917" s="7" t="str">
        <f t="shared" si="74"/>
        <v/>
      </c>
      <c r="M917" s="7" t="str">
        <f t="shared" si="75"/>
        <v/>
      </c>
      <c r="N917" s="7">
        <v>0</v>
      </c>
      <c r="O917" s="7"/>
      <c r="P917" s="7"/>
      <c r="Q917" s="7"/>
      <c r="AC917"/>
      <c r="AD917" s="14"/>
    </row>
    <row r="918" spans="1:30" x14ac:dyDescent="0.25">
      <c r="A918" t="b">
        <f t="shared" si="76"/>
        <v>0</v>
      </c>
      <c r="B918">
        <v>2006</v>
      </c>
      <c r="C918">
        <v>159</v>
      </c>
      <c r="D918">
        <v>0</v>
      </c>
      <c r="E918">
        <v>1300</v>
      </c>
      <c r="F918" s="7">
        <v>837</v>
      </c>
      <c r="G918" s="7">
        <v>23.17</v>
      </c>
      <c r="H918" s="7">
        <v>0</v>
      </c>
      <c r="I918" s="7" t="str">
        <f t="shared" si="72"/>
        <v/>
      </c>
      <c r="J918" s="7" t="str">
        <f t="shared" si="73"/>
        <v/>
      </c>
      <c r="K918" s="7">
        <v>0</v>
      </c>
      <c r="L918" s="7" t="str">
        <f t="shared" si="74"/>
        <v/>
      </c>
      <c r="M918" s="7" t="str">
        <f t="shared" si="75"/>
        <v/>
      </c>
      <c r="N918" s="7">
        <v>0</v>
      </c>
      <c r="O918" s="7"/>
      <c r="P918" s="7"/>
      <c r="Q918" s="7"/>
      <c r="AC918"/>
      <c r="AD918" s="14"/>
    </row>
    <row r="919" spans="1:30" x14ac:dyDescent="0.25">
      <c r="A919" t="b">
        <f t="shared" si="76"/>
        <v>0</v>
      </c>
      <c r="B919">
        <v>2006</v>
      </c>
      <c r="C919">
        <v>159</v>
      </c>
      <c r="D919">
        <v>0</v>
      </c>
      <c r="E919">
        <v>1400</v>
      </c>
      <c r="F919" s="7">
        <v>839</v>
      </c>
      <c r="G919" s="7">
        <v>24.2</v>
      </c>
      <c r="H919" s="7">
        <v>0</v>
      </c>
      <c r="I919" s="7" t="str">
        <f t="shared" si="72"/>
        <v/>
      </c>
      <c r="J919" s="7" t="str">
        <f t="shared" si="73"/>
        <v/>
      </c>
      <c r="K919" s="7">
        <v>0</v>
      </c>
      <c r="L919" s="7" t="str">
        <f t="shared" si="74"/>
        <v/>
      </c>
      <c r="M919" s="7" t="str">
        <f t="shared" si="75"/>
        <v/>
      </c>
      <c r="N919" s="7">
        <v>0</v>
      </c>
      <c r="O919" s="7"/>
      <c r="P919" s="7"/>
      <c r="Q919" s="7"/>
      <c r="AC919"/>
      <c r="AD919" s="14"/>
    </row>
    <row r="920" spans="1:30" x14ac:dyDescent="0.25">
      <c r="A920" t="b">
        <f t="shared" si="76"/>
        <v>0</v>
      </c>
      <c r="B920">
        <v>2006</v>
      </c>
      <c r="C920">
        <v>159</v>
      </c>
      <c r="D920">
        <v>0</v>
      </c>
      <c r="E920">
        <v>1500</v>
      </c>
      <c r="F920" s="7">
        <v>775</v>
      </c>
      <c r="G920" s="7">
        <v>24.75</v>
      </c>
      <c r="H920" s="7">
        <v>0</v>
      </c>
      <c r="I920" s="7" t="str">
        <f t="shared" si="72"/>
        <v/>
      </c>
      <c r="J920" s="7" t="str">
        <f t="shared" si="73"/>
        <v/>
      </c>
      <c r="K920" s="7">
        <v>0</v>
      </c>
      <c r="L920" s="7" t="str">
        <f t="shared" si="74"/>
        <v/>
      </c>
      <c r="M920" s="7" t="str">
        <f t="shared" si="75"/>
        <v/>
      </c>
      <c r="N920" s="7">
        <v>0</v>
      </c>
      <c r="O920" s="7"/>
      <c r="P920" s="7"/>
      <c r="Q920" s="7"/>
      <c r="AC920"/>
      <c r="AD920" s="14"/>
    </row>
    <row r="921" spans="1:30" x14ac:dyDescent="0.25">
      <c r="A921" t="b">
        <f t="shared" si="76"/>
        <v>0</v>
      </c>
      <c r="B921">
        <v>2006</v>
      </c>
      <c r="C921">
        <v>159</v>
      </c>
      <c r="D921">
        <v>0</v>
      </c>
      <c r="E921">
        <v>1600</v>
      </c>
      <c r="F921" s="7">
        <v>673.1</v>
      </c>
      <c r="G921" s="7">
        <v>24.27</v>
      </c>
      <c r="H921" s="7">
        <v>0</v>
      </c>
      <c r="I921" s="7" t="str">
        <f t="shared" si="72"/>
        <v/>
      </c>
      <c r="J921" s="7" t="str">
        <f t="shared" si="73"/>
        <v/>
      </c>
      <c r="K921" s="7">
        <v>0</v>
      </c>
      <c r="L921" s="7" t="str">
        <f t="shared" si="74"/>
        <v/>
      </c>
      <c r="M921" s="7" t="str">
        <f t="shared" si="75"/>
        <v/>
      </c>
      <c r="N921" s="7">
        <v>0</v>
      </c>
      <c r="O921" s="7"/>
      <c r="P921" s="7"/>
      <c r="Q921" s="7"/>
      <c r="AC921"/>
      <c r="AD921" s="14"/>
    </row>
    <row r="922" spans="1:30" x14ac:dyDescent="0.25">
      <c r="A922" t="b">
        <f t="shared" si="76"/>
        <v>0</v>
      </c>
      <c r="B922">
        <v>2006</v>
      </c>
      <c r="C922">
        <v>159</v>
      </c>
      <c r="D922">
        <v>0</v>
      </c>
      <c r="E922">
        <v>1700</v>
      </c>
      <c r="F922" s="7">
        <v>512.5</v>
      </c>
      <c r="G922" s="7">
        <v>22.63</v>
      </c>
      <c r="H922" s="7">
        <v>0</v>
      </c>
      <c r="I922" s="7" t="str">
        <f t="shared" si="72"/>
        <v/>
      </c>
      <c r="J922" s="7" t="str">
        <f t="shared" si="73"/>
        <v/>
      </c>
      <c r="K922" s="7">
        <v>0</v>
      </c>
      <c r="L922" s="7" t="str">
        <f t="shared" si="74"/>
        <v/>
      </c>
      <c r="M922" s="7" t="str">
        <f t="shared" si="75"/>
        <v/>
      </c>
      <c r="N922" s="7">
        <v>0</v>
      </c>
      <c r="O922" s="7"/>
      <c r="P922" s="7"/>
      <c r="Q922" s="7"/>
      <c r="AC922"/>
      <c r="AD922" s="14"/>
    </row>
    <row r="923" spans="1:30" x14ac:dyDescent="0.25">
      <c r="A923" t="b">
        <f t="shared" si="76"/>
        <v>0</v>
      </c>
      <c r="B923">
        <v>2006</v>
      </c>
      <c r="C923">
        <v>159</v>
      </c>
      <c r="D923">
        <v>0</v>
      </c>
      <c r="E923">
        <v>1800</v>
      </c>
      <c r="F923" s="7">
        <v>368.5</v>
      </c>
      <c r="G923" s="7">
        <v>21.3</v>
      </c>
      <c r="H923" s="7">
        <v>0</v>
      </c>
      <c r="I923" s="7" t="str">
        <f t="shared" si="72"/>
        <v/>
      </c>
      <c r="J923" s="7" t="str">
        <f t="shared" si="73"/>
        <v/>
      </c>
      <c r="K923" s="7">
        <v>0</v>
      </c>
      <c r="L923" s="7" t="str">
        <f t="shared" si="74"/>
        <v/>
      </c>
      <c r="M923" s="7" t="str">
        <f t="shared" si="75"/>
        <v/>
      </c>
      <c r="N923" s="7">
        <v>0</v>
      </c>
      <c r="O923" s="7"/>
      <c r="P923" s="7"/>
      <c r="Q923" s="7"/>
      <c r="AC923"/>
      <c r="AD923" s="14"/>
    </row>
    <row r="924" spans="1:30" x14ac:dyDescent="0.25">
      <c r="A924" t="b">
        <f t="shared" si="76"/>
        <v>0</v>
      </c>
      <c r="B924">
        <v>2006</v>
      </c>
      <c r="C924">
        <v>159</v>
      </c>
      <c r="D924">
        <v>0</v>
      </c>
      <c r="E924">
        <v>1900</v>
      </c>
      <c r="F924" s="7">
        <v>226</v>
      </c>
      <c r="G924" s="7">
        <v>20.69</v>
      </c>
      <c r="H924" s="7">
        <v>0</v>
      </c>
      <c r="I924" s="7" t="str">
        <f t="shared" si="72"/>
        <v/>
      </c>
      <c r="J924" s="7" t="str">
        <f t="shared" si="73"/>
        <v/>
      </c>
      <c r="K924" s="7">
        <v>0</v>
      </c>
      <c r="L924" s="7" t="str">
        <f t="shared" si="74"/>
        <v/>
      </c>
      <c r="M924" s="7" t="str">
        <f t="shared" si="75"/>
        <v/>
      </c>
      <c r="N924" s="7">
        <v>0</v>
      </c>
      <c r="O924" s="7"/>
      <c r="P924" s="7"/>
      <c r="Q924" s="7"/>
      <c r="AC924"/>
      <c r="AD924" s="14"/>
    </row>
    <row r="925" spans="1:30" x14ac:dyDescent="0.25">
      <c r="A925" t="b">
        <f t="shared" si="76"/>
        <v>0</v>
      </c>
      <c r="B925">
        <v>2006</v>
      </c>
      <c r="C925">
        <v>159</v>
      </c>
      <c r="D925">
        <v>0</v>
      </c>
      <c r="E925">
        <v>2000</v>
      </c>
      <c r="F925" s="7">
        <v>102.6</v>
      </c>
      <c r="G925" s="7">
        <v>19.350000000000001</v>
      </c>
      <c r="H925" s="7">
        <v>0</v>
      </c>
      <c r="I925" s="7" t="str">
        <f t="shared" si="72"/>
        <v/>
      </c>
      <c r="J925" s="7" t="str">
        <f t="shared" si="73"/>
        <v/>
      </c>
      <c r="K925" s="7">
        <v>0</v>
      </c>
      <c r="L925" s="7" t="str">
        <f t="shared" si="74"/>
        <v/>
      </c>
      <c r="M925" s="7" t="str">
        <f t="shared" si="75"/>
        <v/>
      </c>
      <c r="N925" s="7">
        <v>0</v>
      </c>
      <c r="O925" s="7"/>
      <c r="P925" s="7"/>
      <c r="Q925" s="7"/>
      <c r="AC925"/>
      <c r="AD925" s="14"/>
    </row>
    <row r="926" spans="1:30" x14ac:dyDescent="0.25">
      <c r="A926" t="b">
        <f t="shared" si="76"/>
        <v>0</v>
      </c>
      <c r="B926">
        <v>2006</v>
      </c>
      <c r="C926">
        <v>159</v>
      </c>
      <c r="D926">
        <v>0</v>
      </c>
      <c r="E926">
        <v>2100</v>
      </c>
      <c r="F926" s="7">
        <v>16.66</v>
      </c>
      <c r="G926" s="7">
        <v>17.16</v>
      </c>
      <c r="H926" s="7">
        <v>0</v>
      </c>
      <c r="I926" s="7" t="str">
        <f t="shared" si="72"/>
        <v/>
      </c>
      <c r="J926" s="7" t="str">
        <f t="shared" si="73"/>
        <v/>
      </c>
      <c r="K926" s="7">
        <v>0</v>
      </c>
      <c r="L926" s="7" t="str">
        <f t="shared" si="74"/>
        <v/>
      </c>
      <c r="M926" s="7" t="str">
        <f t="shared" si="75"/>
        <v/>
      </c>
      <c r="N926" s="7">
        <v>0</v>
      </c>
      <c r="O926" s="7"/>
      <c r="P926" s="7"/>
      <c r="Q926" s="7"/>
      <c r="AC926"/>
      <c r="AD926" s="14"/>
    </row>
    <row r="927" spans="1:30" x14ac:dyDescent="0.25">
      <c r="A927" t="b">
        <f t="shared" si="76"/>
        <v>0</v>
      </c>
      <c r="B927">
        <v>2006</v>
      </c>
      <c r="C927">
        <v>159</v>
      </c>
      <c r="D927">
        <v>0</v>
      </c>
      <c r="E927">
        <v>2200</v>
      </c>
      <c r="F927" s="7">
        <v>-3.1110000000000002</v>
      </c>
      <c r="G927" s="7">
        <v>15.35</v>
      </c>
      <c r="H927" s="7">
        <v>0</v>
      </c>
      <c r="I927" s="7" t="str">
        <f t="shared" si="72"/>
        <v/>
      </c>
      <c r="J927" s="7" t="str">
        <f t="shared" si="73"/>
        <v/>
      </c>
      <c r="K927" s="7">
        <v>0</v>
      </c>
      <c r="L927" s="7" t="str">
        <f t="shared" si="74"/>
        <v/>
      </c>
      <c r="M927" s="7" t="str">
        <f t="shared" si="75"/>
        <v/>
      </c>
      <c r="N927" s="7">
        <v>0</v>
      </c>
      <c r="O927" s="7"/>
      <c r="P927" s="7"/>
      <c r="Q927" s="7"/>
      <c r="AC927"/>
      <c r="AD927" s="14"/>
    </row>
    <row r="928" spans="1:30" x14ac:dyDescent="0.25">
      <c r="A928" t="b">
        <f t="shared" si="76"/>
        <v>0</v>
      </c>
      <c r="B928">
        <v>2006</v>
      </c>
      <c r="C928">
        <v>159</v>
      </c>
      <c r="D928">
        <v>0</v>
      </c>
      <c r="E928">
        <v>2300</v>
      </c>
      <c r="F928" s="7">
        <v>-3.2930000000000001</v>
      </c>
      <c r="G928" s="7">
        <v>14.34</v>
      </c>
      <c r="H928" s="7">
        <v>0</v>
      </c>
      <c r="I928" s="7" t="str">
        <f t="shared" si="72"/>
        <v/>
      </c>
      <c r="J928" s="7" t="str">
        <f t="shared" si="73"/>
        <v/>
      </c>
      <c r="K928" s="7">
        <v>0</v>
      </c>
      <c r="L928" s="7" t="str">
        <f t="shared" si="74"/>
        <v/>
      </c>
      <c r="M928" s="7" t="str">
        <f t="shared" si="75"/>
        <v/>
      </c>
      <c r="N928" s="7">
        <v>0</v>
      </c>
      <c r="O928" s="7"/>
      <c r="P928" s="7"/>
      <c r="Q928" s="7"/>
      <c r="AC928"/>
      <c r="AD928" s="14"/>
    </row>
    <row r="929" spans="1:30" x14ac:dyDescent="0.25">
      <c r="A929" t="b">
        <f t="shared" si="76"/>
        <v>0</v>
      </c>
      <c r="B929">
        <v>2006</v>
      </c>
      <c r="C929">
        <v>159</v>
      </c>
      <c r="D929">
        <v>0</v>
      </c>
      <c r="E929">
        <v>2400</v>
      </c>
      <c r="F929" s="7">
        <v>-2.8610000000000002</v>
      </c>
      <c r="G929" s="7">
        <v>13.75</v>
      </c>
      <c r="H929" s="7">
        <v>0</v>
      </c>
      <c r="I929" s="7" t="str">
        <f t="shared" si="72"/>
        <v/>
      </c>
      <c r="J929" s="7" t="str">
        <f t="shared" si="73"/>
        <v/>
      </c>
      <c r="K929" s="7">
        <v>0</v>
      </c>
      <c r="L929" s="7" t="str">
        <f t="shared" si="74"/>
        <v/>
      </c>
      <c r="M929" s="7" t="str">
        <f t="shared" si="75"/>
        <v/>
      </c>
      <c r="N929" s="7">
        <v>0</v>
      </c>
      <c r="O929" s="7"/>
      <c r="P929" s="7"/>
      <c r="Q929" s="7"/>
      <c r="AC929"/>
      <c r="AD929" s="14"/>
    </row>
    <row r="930" spans="1:30" x14ac:dyDescent="0.25">
      <c r="A930" t="b">
        <f t="shared" si="76"/>
        <v>1</v>
      </c>
      <c r="B930">
        <v>2006</v>
      </c>
      <c r="C930">
        <v>160</v>
      </c>
      <c r="D930">
        <v>0</v>
      </c>
      <c r="E930">
        <v>100</v>
      </c>
      <c r="F930" s="7">
        <v>-2.9980000000000002</v>
      </c>
      <c r="G930" s="7">
        <v>13.07</v>
      </c>
      <c r="H930" s="7">
        <v>0</v>
      </c>
      <c r="I930" s="7">
        <f t="shared" si="72"/>
        <v>0</v>
      </c>
      <c r="J930" s="7">
        <f t="shared" si="73"/>
        <v>323.39245833333331</v>
      </c>
      <c r="K930" s="7">
        <v>0</v>
      </c>
      <c r="L930" s="7">
        <f t="shared" si="74"/>
        <v>23.19</v>
      </c>
      <c r="M930" s="7">
        <f t="shared" si="75"/>
        <v>11.47</v>
      </c>
      <c r="N930" s="7">
        <v>0</v>
      </c>
      <c r="O930" s="7"/>
      <c r="P930" s="7"/>
      <c r="Q930" s="7"/>
      <c r="AC930"/>
      <c r="AD930" s="14"/>
    </row>
    <row r="931" spans="1:30" x14ac:dyDescent="0.25">
      <c r="A931" t="b">
        <f t="shared" si="76"/>
        <v>0</v>
      </c>
      <c r="B931">
        <v>2006</v>
      </c>
      <c r="C931">
        <v>160</v>
      </c>
      <c r="D931">
        <v>0</v>
      </c>
      <c r="E931">
        <v>200</v>
      </c>
      <c r="F931" s="7">
        <v>-3.07</v>
      </c>
      <c r="G931" s="7">
        <v>12.29</v>
      </c>
      <c r="H931" s="7">
        <v>0</v>
      </c>
      <c r="I931" s="7" t="str">
        <f t="shared" si="72"/>
        <v/>
      </c>
      <c r="J931" s="7" t="str">
        <f t="shared" si="73"/>
        <v/>
      </c>
      <c r="K931" s="7">
        <v>0</v>
      </c>
      <c r="L931" s="7" t="str">
        <f t="shared" si="74"/>
        <v/>
      </c>
      <c r="M931" s="7" t="str">
        <f t="shared" si="75"/>
        <v/>
      </c>
      <c r="N931" s="7">
        <v>0</v>
      </c>
      <c r="O931" s="7"/>
      <c r="P931" s="7"/>
      <c r="Q931" s="7"/>
      <c r="AC931"/>
      <c r="AD931" s="14"/>
    </row>
    <row r="932" spans="1:30" x14ac:dyDescent="0.25">
      <c r="A932" t="b">
        <f t="shared" si="76"/>
        <v>0</v>
      </c>
      <c r="B932">
        <v>2006</v>
      </c>
      <c r="C932">
        <v>160</v>
      </c>
      <c r="D932">
        <v>0</v>
      </c>
      <c r="E932">
        <v>300</v>
      </c>
      <c r="F932" s="7">
        <v>-3.0009999999999999</v>
      </c>
      <c r="G932" s="7">
        <v>11.83</v>
      </c>
      <c r="H932" s="7">
        <v>0</v>
      </c>
      <c r="I932" s="7" t="str">
        <f t="shared" si="72"/>
        <v/>
      </c>
      <c r="J932" s="7" t="str">
        <f t="shared" si="73"/>
        <v/>
      </c>
      <c r="K932" s="7">
        <v>0</v>
      </c>
      <c r="L932" s="7" t="str">
        <f t="shared" si="74"/>
        <v/>
      </c>
      <c r="M932" s="7" t="str">
        <f t="shared" si="75"/>
        <v/>
      </c>
      <c r="N932" s="7">
        <v>0</v>
      </c>
      <c r="O932" s="7"/>
      <c r="P932" s="7"/>
      <c r="Q932" s="7"/>
      <c r="AC932"/>
      <c r="AD932" s="14"/>
    </row>
    <row r="933" spans="1:30" x14ac:dyDescent="0.25">
      <c r="A933" t="b">
        <f t="shared" si="76"/>
        <v>0</v>
      </c>
      <c r="B933">
        <v>2006</v>
      </c>
      <c r="C933">
        <v>160</v>
      </c>
      <c r="D933">
        <v>0</v>
      </c>
      <c r="E933">
        <v>400</v>
      </c>
      <c r="F933" s="7">
        <v>-1.2170000000000001</v>
      </c>
      <c r="G933" s="7">
        <v>11.8</v>
      </c>
      <c r="H933" s="7">
        <v>0</v>
      </c>
      <c r="I933" s="7" t="str">
        <f t="shared" si="72"/>
        <v/>
      </c>
      <c r="J933" s="7" t="str">
        <f t="shared" si="73"/>
        <v/>
      </c>
      <c r="K933" s="7">
        <v>0</v>
      </c>
      <c r="L933" s="7" t="str">
        <f t="shared" si="74"/>
        <v/>
      </c>
      <c r="M933" s="7" t="str">
        <f t="shared" si="75"/>
        <v/>
      </c>
      <c r="N933" s="7">
        <v>0</v>
      </c>
      <c r="O933" s="7"/>
      <c r="P933" s="7"/>
      <c r="Q933" s="7"/>
      <c r="AC933"/>
      <c r="AD933" s="14"/>
    </row>
    <row r="934" spans="1:30" x14ac:dyDescent="0.25">
      <c r="A934" t="b">
        <f t="shared" si="76"/>
        <v>0</v>
      </c>
      <c r="B934">
        <v>2006</v>
      </c>
      <c r="C934">
        <v>160</v>
      </c>
      <c r="D934">
        <v>0</v>
      </c>
      <c r="E934">
        <v>500</v>
      </c>
      <c r="F934" s="7">
        <v>21.32</v>
      </c>
      <c r="G934" s="7">
        <v>11.47</v>
      </c>
      <c r="H934" s="7">
        <v>0</v>
      </c>
      <c r="I934" s="7" t="str">
        <f t="shared" si="72"/>
        <v/>
      </c>
      <c r="J934" s="7" t="str">
        <f t="shared" si="73"/>
        <v/>
      </c>
      <c r="K934" s="7">
        <v>0</v>
      </c>
      <c r="L934" s="7" t="str">
        <f t="shared" si="74"/>
        <v/>
      </c>
      <c r="M934" s="7" t="str">
        <f t="shared" si="75"/>
        <v/>
      </c>
      <c r="N934" s="7">
        <v>0</v>
      </c>
      <c r="O934" s="7"/>
      <c r="P934" s="7"/>
      <c r="Q934" s="7"/>
      <c r="AC934"/>
      <c r="AD934" s="14"/>
    </row>
    <row r="935" spans="1:30" x14ac:dyDescent="0.25">
      <c r="A935" t="b">
        <f t="shared" si="76"/>
        <v>0</v>
      </c>
      <c r="B935">
        <v>2006</v>
      </c>
      <c r="C935">
        <v>160</v>
      </c>
      <c r="D935">
        <v>0</v>
      </c>
      <c r="E935">
        <v>600</v>
      </c>
      <c r="F935" s="7">
        <v>104.5</v>
      </c>
      <c r="G935" s="7">
        <v>12.04</v>
      </c>
      <c r="H935" s="7">
        <v>0</v>
      </c>
      <c r="I935" s="7" t="str">
        <f t="shared" si="72"/>
        <v/>
      </c>
      <c r="J935" s="7" t="str">
        <f t="shared" si="73"/>
        <v/>
      </c>
      <c r="K935" s="7">
        <v>0</v>
      </c>
      <c r="L935" s="7" t="str">
        <f t="shared" si="74"/>
        <v/>
      </c>
      <c r="M935" s="7" t="str">
        <f t="shared" si="75"/>
        <v/>
      </c>
      <c r="N935" s="7">
        <v>0</v>
      </c>
      <c r="O935" s="7"/>
      <c r="P935" s="7"/>
      <c r="Q935" s="7"/>
      <c r="AC935"/>
      <c r="AD935" s="14"/>
    </row>
    <row r="936" spans="1:30" x14ac:dyDescent="0.25">
      <c r="A936" t="b">
        <f t="shared" si="76"/>
        <v>0</v>
      </c>
      <c r="B936">
        <v>2006</v>
      </c>
      <c r="C936">
        <v>160</v>
      </c>
      <c r="D936">
        <v>0</v>
      </c>
      <c r="E936">
        <v>700</v>
      </c>
      <c r="F936" s="7">
        <v>233</v>
      </c>
      <c r="G936" s="7">
        <v>14.3</v>
      </c>
      <c r="H936" s="7">
        <v>0</v>
      </c>
      <c r="I936" s="7" t="str">
        <f t="shared" si="72"/>
        <v/>
      </c>
      <c r="J936" s="7" t="str">
        <f t="shared" si="73"/>
        <v/>
      </c>
      <c r="K936" s="7">
        <v>0</v>
      </c>
      <c r="L936" s="7" t="str">
        <f t="shared" si="74"/>
        <v/>
      </c>
      <c r="M936" s="7" t="str">
        <f t="shared" si="75"/>
        <v/>
      </c>
      <c r="N936" s="7">
        <v>0</v>
      </c>
      <c r="O936" s="7"/>
      <c r="P936" s="7"/>
      <c r="Q936" s="7"/>
      <c r="AC936"/>
      <c r="AD936" s="14"/>
    </row>
    <row r="937" spans="1:30" x14ac:dyDescent="0.25">
      <c r="A937" t="b">
        <f t="shared" si="76"/>
        <v>0</v>
      </c>
      <c r="B937">
        <v>2006</v>
      </c>
      <c r="C937">
        <v>160</v>
      </c>
      <c r="D937">
        <v>0</v>
      </c>
      <c r="E937">
        <v>800</v>
      </c>
      <c r="F937" s="7">
        <v>360.8</v>
      </c>
      <c r="G937" s="7">
        <v>16.32</v>
      </c>
      <c r="H937" s="7">
        <v>0</v>
      </c>
      <c r="I937" s="7" t="str">
        <f t="shared" si="72"/>
        <v/>
      </c>
      <c r="J937" s="7" t="str">
        <f t="shared" si="73"/>
        <v/>
      </c>
      <c r="K937" s="7">
        <v>0</v>
      </c>
      <c r="L937" s="7" t="str">
        <f t="shared" si="74"/>
        <v/>
      </c>
      <c r="M937" s="7" t="str">
        <f t="shared" si="75"/>
        <v/>
      </c>
      <c r="N937" s="7">
        <v>0</v>
      </c>
      <c r="O937" s="7"/>
      <c r="P937" s="7"/>
      <c r="Q937" s="7"/>
      <c r="AC937"/>
      <c r="AD937" s="14"/>
    </row>
    <row r="938" spans="1:30" x14ac:dyDescent="0.25">
      <c r="A938" t="b">
        <f t="shared" si="76"/>
        <v>0</v>
      </c>
      <c r="B938">
        <v>2006</v>
      </c>
      <c r="C938">
        <v>160</v>
      </c>
      <c r="D938">
        <v>0</v>
      </c>
      <c r="E938">
        <v>900</v>
      </c>
      <c r="F938" s="7">
        <v>508.5</v>
      </c>
      <c r="G938" s="7">
        <v>18.55</v>
      </c>
      <c r="H938" s="7">
        <v>0</v>
      </c>
      <c r="I938" s="7" t="str">
        <f t="shared" si="72"/>
        <v/>
      </c>
      <c r="J938" s="7" t="str">
        <f t="shared" si="73"/>
        <v/>
      </c>
      <c r="K938" s="7">
        <v>0</v>
      </c>
      <c r="L938" s="7" t="str">
        <f t="shared" si="74"/>
        <v/>
      </c>
      <c r="M938" s="7" t="str">
        <f t="shared" si="75"/>
        <v/>
      </c>
      <c r="N938" s="7">
        <v>0</v>
      </c>
      <c r="O938" s="7"/>
      <c r="P938" s="7"/>
      <c r="Q938" s="7"/>
      <c r="AC938"/>
      <c r="AD938" s="14"/>
    </row>
    <row r="939" spans="1:30" x14ac:dyDescent="0.25">
      <c r="A939" t="b">
        <f t="shared" si="76"/>
        <v>0</v>
      </c>
      <c r="B939">
        <v>2006</v>
      </c>
      <c r="C939">
        <v>160</v>
      </c>
      <c r="D939">
        <v>0</v>
      </c>
      <c r="E939">
        <v>1000</v>
      </c>
      <c r="F939" s="7">
        <v>638.5</v>
      </c>
      <c r="G939" s="7">
        <v>20.8</v>
      </c>
      <c r="H939" s="7">
        <v>0</v>
      </c>
      <c r="I939" s="7" t="str">
        <f t="shared" si="72"/>
        <v/>
      </c>
      <c r="J939" s="7" t="str">
        <f t="shared" si="73"/>
        <v/>
      </c>
      <c r="K939" s="7">
        <v>0</v>
      </c>
      <c r="L939" s="7" t="str">
        <f t="shared" si="74"/>
        <v/>
      </c>
      <c r="M939" s="7" t="str">
        <f t="shared" si="75"/>
        <v/>
      </c>
      <c r="N939" s="7">
        <v>0</v>
      </c>
      <c r="O939" s="7"/>
      <c r="P939" s="7"/>
      <c r="Q939" s="7"/>
      <c r="AC939"/>
      <c r="AD939" s="14"/>
    </row>
    <row r="940" spans="1:30" x14ac:dyDescent="0.25">
      <c r="A940" t="b">
        <f t="shared" si="76"/>
        <v>0</v>
      </c>
      <c r="B940">
        <v>2006</v>
      </c>
      <c r="C940">
        <v>160</v>
      </c>
      <c r="D940">
        <v>0</v>
      </c>
      <c r="E940">
        <v>1100</v>
      </c>
      <c r="F940" s="7">
        <v>738</v>
      </c>
      <c r="G940" s="7">
        <v>22.89</v>
      </c>
      <c r="H940" s="7">
        <v>0</v>
      </c>
      <c r="I940" s="7" t="str">
        <f t="shared" si="72"/>
        <v/>
      </c>
      <c r="J940" s="7" t="str">
        <f t="shared" si="73"/>
        <v/>
      </c>
      <c r="K940" s="7">
        <v>0</v>
      </c>
      <c r="L940" s="7" t="str">
        <f t="shared" si="74"/>
        <v/>
      </c>
      <c r="M940" s="7" t="str">
        <f t="shared" si="75"/>
        <v/>
      </c>
      <c r="N940" s="7">
        <v>0</v>
      </c>
      <c r="O940" s="7"/>
      <c r="P940" s="7"/>
      <c r="Q940" s="7"/>
      <c r="AC940"/>
      <c r="AD940" s="14"/>
    </row>
    <row r="941" spans="1:30" x14ac:dyDescent="0.25">
      <c r="A941" t="b">
        <f t="shared" si="76"/>
        <v>0</v>
      </c>
      <c r="B941">
        <v>2006</v>
      </c>
      <c r="C941">
        <v>160</v>
      </c>
      <c r="D941">
        <v>0</v>
      </c>
      <c r="E941">
        <v>1200</v>
      </c>
      <c r="F941" s="7">
        <v>810</v>
      </c>
      <c r="G941" s="7">
        <v>22.8</v>
      </c>
      <c r="H941" s="7">
        <v>0</v>
      </c>
      <c r="I941" s="7" t="str">
        <f t="shared" si="72"/>
        <v/>
      </c>
      <c r="J941" s="7" t="str">
        <f t="shared" si="73"/>
        <v/>
      </c>
      <c r="K941" s="7">
        <v>0</v>
      </c>
      <c r="L941" s="7" t="str">
        <f t="shared" si="74"/>
        <v/>
      </c>
      <c r="M941" s="7" t="str">
        <f t="shared" si="75"/>
        <v/>
      </c>
      <c r="N941" s="7">
        <v>0</v>
      </c>
      <c r="O941" s="7"/>
      <c r="P941" s="7"/>
      <c r="Q941" s="7"/>
      <c r="AC941"/>
      <c r="AD941" s="14"/>
    </row>
    <row r="942" spans="1:30" x14ac:dyDescent="0.25">
      <c r="A942" t="b">
        <f t="shared" si="76"/>
        <v>0</v>
      </c>
      <c r="B942">
        <v>2006</v>
      </c>
      <c r="C942">
        <v>160</v>
      </c>
      <c r="D942">
        <v>0</v>
      </c>
      <c r="E942">
        <v>1300</v>
      </c>
      <c r="F942" s="7">
        <v>834</v>
      </c>
      <c r="G942" s="7">
        <v>22.85</v>
      </c>
      <c r="H942" s="7">
        <v>0</v>
      </c>
      <c r="I942" s="7" t="str">
        <f t="shared" si="72"/>
        <v/>
      </c>
      <c r="J942" s="7" t="str">
        <f t="shared" si="73"/>
        <v/>
      </c>
      <c r="K942" s="7">
        <v>0</v>
      </c>
      <c r="L942" s="7" t="str">
        <f t="shared" si="74"/>
        <v/>
      </c>
      <c r="M942" s="7" t="str">
        <f t="shared" si="75"/>
        <v/>
      </c>
      <c r="N942" s="7">
        <v>0</v>
      </c>
      <c r="O942" s="7"/>
      <c r="P942" s="7"/>
      <c r="Q942" s="7"/>
      <c r="AC942"/>
      <c r="AD942" s="14"/>
    </row>
    <row r="943" spans="1:30" x14ac:dyDescent="0.25">
      <c r="A943" t="b">
        <f t="shared" si="76"/>
        <v>0</v>
      </c>
      <c r="B943">
        <v>2006</v>
      </c>
      <c r="C943">
        <v>160</v>
      </c>
      <c r="D943">
        <v>0</v>
      </c>
      <c r="E943">
        <v>1400</v>
      </c>
      <c r="F943" s="7">
        <v>822</v>
      </c>
      <c r="G943" s="7">
        <v>22.96</v>
      </c>
      <c r="H943" s="7">
        <v>0</v>
      </c>
      <c r="I943" s="7" t="str">
        <f t="shared" si="72"/>
        <v/>
      </c>
      <c r="J943" s="7" t="str">
        <f t="shared" si="73"/>
        <v/>
      </c>
      <c r="K943" s="7">
        <v>0</v>
      </c>
      <c r="L943" s="7" t="str">
        <f t="shared" si="74"/>
        <v/>
      </c>
      <c r="M943" s="7" t="str">
        <f t="shared" si="75"/>
        <v/>
      </c>
      <c r="N943" s="7">
        <v>0</v>
      </c>
      <c r="O943" s="7"/>
      <c r="P943" s="7"/>
      <c r="Q943" s="7"/>
      <c r="AC943"/>
      <c r="AD943" s="14"/>
    </row>
    <row r="944" spans="1:30" x14ac:dyDescent="0.25">
      <c r="A944" t="b">
        <f t="shared" si="76"/>
        <v>0</v>
      </c>
      <c r="B944">
        <v>2006</v>
      </c>
      <c r="C944">
        <v>160</v>
      </c>
      <c r="D944">
        <v>0</v>
      </c>
      <c r="E944">
        <v>1500</v>
      </c>
      <c r="F944" s="7">
        <v>759</v>
      </c>
      <c r="G944" s="7">
        <v>23.19</v>
      </c>
      <c r="H944" s="7">
        <v>0</v>
      </c>
      <c r="I944" s="7" t="str">
        <f t="shared" si="72"/>
        <v/>
      </c>
      <c r="J944" s="7" t="str">
        <f t="shared" si="73"/>
        <v/>
      </c>
      <c r="K944" s="7">
        <v>0</v>
      </c>
      <c r="L944" s="7" t="str">
        <f t="shared" si="74"/>
        <v/>
      </c>
      <c r="M944" s="7" t="str">
        <f t="shared" si="75"/>
        <v/>
      </c>
      <c r="N944" s="7">
        <v>0</v>
      </c>
      <c r="O944" s="7"/>
      <c r="P944" s="7"/>
      <c r="Q944" s="7"/>
      <c r="AC944"/>
      <c r="AD944" s="14"/>
    </row>
    <row r="945" spans="1:30" x14ac:dyDescent="0.25">
      <c r="A945" t="b">
        <f t="shared" si="76"/>
        <v>0</v>
      </c>
      <c r="B945">
        <v>2006</v>
      </c>
      <c r="C945">
        <v>160</v>
      </c>
      <c r="D945">
        <v>0</v>
      </c>
      <c r="E945">
        <v>1600</v>
      </c>
      <c r="F945" s="7">
        <v>663.6</v>
      </c>
      <c r="G945" s="7">
        <v>22.89</v>
      </c>
      <c r="H945" s="7">
        <v>0</v>
      </c>
      <c r="I945" s="7" t="str">
        <f t="shared" si="72"/>
        <v/>
      </c>
      <c r="J945" s="7" t="str">
        <f t="shared" si="73"/>
        <v/>
      </c>
      <c r="K945" s="7">
        <v>0</v>
      </c>
      <c r="L945" s="7" t="str">
        <f t="shared" si="74"/>
        <v/>
      </c>
      <c r="M945" s="7" t="str">
        <f t="shared" si="75"/>
        <v/>
      </c>
      <c r="N945" s="7">
        <v>0</v>
      </c>
      <c r="O945" s="7"/>
      <c r="P945" s="7"/>
      <c r="Q945" s="7"/>
      <c r="AC945"/>
      <c r="AD945" s="14"/>
    </row>
    <row r="946" spans="1:30" x14ac:dyDescent="0.25">
      <c r="A946" t="b">
        <f t="shared" si="76"/>
        <v>0</v>
      </c>
      <c r="B946">
        <v>2006</v>
      </c>
      <c r="C946">
        <v>160</v>
      </c>
      <c r="D946">
        <v>0</v>
      </c>
      <c r="E946">
        <v>1700</v>
      </c>
      <c r="F946" s="7">
        <v>536.9</v>
      </c>
      <c r="G946" s="7">
        <v>22.59</v>
      </c>
      <c r="H946" s="7">
        <v>0</v>
      </c>
      <c r="I946" s="7" t="str">
        <f t="shared" si="72"/>
        <v/>
      </c>
      <c r="J946" s="7" t="str">
        <f t="shared" si="73"/>
        <v/>
      </c>
      <c r="K946" s="7">
        <v>0</v>
      </c>
      <c r="L946" s="7" t="str">
        <f t="shared" si="74"/>
        <v/>
      </c>
      <c r="M946" s="7" t="str">
        <f t="shared" si="75"/>
        <v/>
      </c>
      <c r="N946" s="7">
        <v>0</v>
      </c>
      <c r="O946" s="7"/>
      <c r="P946" s="7"/>
      <c r="Q946" s="7"/>
      <c r="AC946"/>
      <c r="AD946" s="14"/>
    </row>
    <row r="947" spans="1:30" x14ac:dyDescent="0.25">
      <c r="A947" t="b">
        <f t="shared" si="76"/>
        <v>0</v>
      </c>
      <c r="B947">
        <v>2006</v>
      </c>
      <c r="C947">
        <v>160</v>
      </c>
      <c r="D947">
        <v>0</v>
      </c>
      <c r="E947">
        <v>1800</v>
      </c>
      <c r="F947" s="7">
        <v>386.2</v>
      </c>
      <c r="G947" s="7">
        <v>22.12</v>
      </c>
      <c r="H947" s="7">
        <v>0</v>
      </c>
      <c r="I947" s="7" t="str">
        <f t="shared" si="72"/>
        <v/>
      </c>
      <c r="J947" s="7" t="str">
        <f t="shared" si="73"/>
        <v/>
      </c>
      <c r="K947" s="7">
        <v>0</v>
      </c>
      <c r="L947" s="7" t="str">
        <f t="shared" si="74"/>
        <v/>
      </c>
      <c r="M947" s="7" t="str">
        <f t="shared" si="75"/>
        <v/>
      </c>
      <c r="N947" s="7">
        <v>0</v>
      </c>
      <c r="O947" s="7"/>
      <c r="P947" s="7"/>
      <c r="Q947" s="7"/>
      <c r="AC947"/>
      <c r="AD947" s="14"/>
    </row>
    <row r="948" spans="1:30" x14ac:dyDescent="0.25">
      <c r="A948" t="b">
        <f t="shared" si="76"/>
        <v>0</v>
      </c>
      <c r="B948">
        <v>2006</v>
      </c>
      <c r="C948">
        <v>160</v>
      </c>
      <c r="D948">
        <v>0</v>
      </c>
      <c r="E948">
        <v>1900</v>
      </c>
      <c r="F948" s="7">
        <v>239.2</v>
      </c>
      <c r="G948" s="7">
        <v>21.63</v>
      </c>
      <c r="H948" s="7">
        <v>0</v>
      </c>
      <c r="I948" s="7" t="str">
        <f t="shared" si="72"/>
        <v/>
      </c>
      <c r="J948" s="7" t="str">
        <f t="shared" si="73"/>
        <v/>
      </c>
      <c r="K948" s="7">
        <v>0</v>
      </c>
      <c r="L948" s="7" t="str">
        <f t="shared" si="74"/>
        <v/>
      </c>
      <c r="M948" s="7" t="str">
        <f t="shared" si="75"/>
        <v/>
      </c>
      <c r="N948" s="7">
        <v>0</v>
      </c>
      <c r="O948" s="7"/>
      <c r="P948" s="7"/>
      <c r="Q948" s="7"/>
      <c r="AC948"/>
      <c r="AD948" s="14"/>
    </row>
    <row r="949" spans="1:30" x14ac:dyDescent="0.25">
      <c r="A949" t="b">
        <f t="shared" si="76"/>
        <v>0</v>
      </c>
      <c r="B949">
        <v>2006</v>
      </c>
      <c r="C949">
        <v>160</v>
      </c>
      <c r="D949">
        <v>0</v>
      </c>
      <c r="E949">
        <v>2000</v>
      </c>
      <c r="F949" s="7">
        <v>107.4</v>
      </c>
      <c r="G949" s="7">
        <v>20.74</v>
      </c>
      <c r="H949" s="7">
        <v>0</v>
      </c>
      <c r="I949" s="7" t="str">
        <f t="shared" si="72"/>
        <v/>
      </c>
      <c r="J949" s="7" t="str">
        <f t="shared" si="73"/>
        <v/>
      </c>
      <c r="K949" s="7">
        <v>0</v>
      </c>
      <c r="L949" s="7" t="str">
        <f t="shared" si="74"/>
        <v/>
      </c>
      <c r="M949" s="7" t="str">
        <f t="shared" si="75"/>
        <v/>
      </c>
      <c r="N949" s="7">
        <v>0</v>
      </c>
      <c r="O949" s="7"/>
      <c r="P949" s="7"/>
      <c r="Q949" s="7"/>
      <c r="AC949"/>
      <c r="AD949" s="14"/>
    </row>
    <row r="950" spans="1:30" x14ac:dyDescent="0.25">
      <c r="A950" t="b">
        <f t="shared" si="76"/>
        <v>0</v>
      </c>
      <c r="B950">
        <v>2006</v>
      </c>
      <c r="C950">
        <v>160</v>
      </c>
      <c r="D950">
        <v>0</v>
      </c>
      <c r="E950">
        <v>2100</v>
      </c>
      <c r="F950" s="7">
        <v>16.850000000000001</v>
      </c>
      <c r="G950" s="7">
        <v>19.27</v>
      </c>
      <c r="H950" s="7">
        <v>0</v>
      </c>
      <c r="I950" s="7" t="str">
        <f t="shared" si="72"/>
        <v/>
      </c>
      <c r="J950" s="7" t="str">
        <f t="shared" si="73"/>
        <v/>
      </c>
      <c r="K950" s="7">
        <v>0</v>
      </c>
      <c r="L950" s="7" t="str">
        <f t="shared" si="74"/>
        <v/>
      </c>
      <c r="M950" s="7" t="str">
        <f t="shared" si="75"/>
        <v/>
      </c>
      <c r="N950" s="7">
        <v>0</v>
      </c>
      <c r="O950" s="7"/>
      <c r="P950" s="7"/>
      <c r="Q950" s="7"/>
      <c r="AC950"/>
      <c r="AD950" s="14"/>
    </row>
    <row r="951" spans="1:30" x14ac:dyDescent="0.25">
      <c r="A951" t="b">
        <f t="shared" si="76"/>
        <v>0</v>
      </c>
      <c r="B951">
        <v>2006</v>
      </c>
      <c r="C951">
        <v>160</v>
      </c>
      <c r="D951">
        <v>0</v>
      </c>
      <c r="E951">
        <v>2200</v>
      </c>
      <c r="F951" s="7">
        <v>-2.42</v>
      </c>
      <c r="G951" s="7">
        <v>17.8</v>
      </c>
      <c r="H951" s="7">
        <v>0</v>
      </c>
      <c r="I951" s="7" t="str">
        <f t="shared" si="72"/>
        <v/>
      </c>
      <c r="J951" s="7" t="str">
        <f t="shared" si="73"/>
        <v/>
      </c>
      <c r="K951" s="7">
        <v>0</v>
      </c>
      <c r="L951" s="7" t="str">
        <f t="shared" si="74"/>
        <v/>
      </c>
      <c r="M951" s="7" t="str">
        <f t="shared" si="75"/>
        <v/>
      </c>
      <c r="N951" s="7">
        <v>0</v>
      </c>
      <c r="O951" s="7"/>
      <c r="P951" s="7"/>
      <c r="Q951" s="7"/>
      <c r="AC951"/>
      <c r="AD951" s="14"/>
    </row>
    <row r="952" spans="1:30" x14ac:dyDescent="0.25">
      <c r="A952" t="b">
        <f t="shared" si="76"/>
        <v>0</v>
      </c>
      <c r="B952">
        <v>2006</v>
      </c>
      <c r="C952">
        <v>160</v>
      </c>
      <c r="D952">
        <v>0</v>
      </c>
      <c r="E952">
        <v>2300</v>
      </c>
      <c r="F952" s="7">
        <v>-2.8239999999999998</v>
      </c>
      <c r="G952" s="7">
        <v>16.79</v>
      </c>
      <c r="H952" s="7">
        <v>0</v>
      </c>
      <c r="I952" s="7" t="str">
        <f t="shared" si="72"/>
        <v/>
      </c>
      <c r="J952" s="7" t="str">
        <f t="shared" si="73"/>
        <v/>
      </c>
      <c r="K952" s="7">
        <v>0</v>
      </c>
      <c r="L952" s="7" t="str">
        <f t="shared" si="74"/>
        <v/>
      </c>
      <c r="M952" s="7" t="str">
        <f t="shared" si="75"/>
        <v/>
      </c>
      <c r="N952" s="7">
        <v>0</v>
      </c>
      <c r="O952" s="7"/>
      <c r="P952" s="7"/>
      <c r="Q952" s="7"/>
      <c r="AC952"/>
      <c r="AD952" s="14"/>
    </row>
    <row r="953" spans="1:30" x14ac:dyDescent="0.25">
      <c r="A953" t="b">
        <f t="shared" si="76"/>
        <v>0</v>
      </c>
      <c r="B953">
        <v>2006</v>
      </c>
      <c r="C953">
        <v>160</v>
      </c>
      <c r="D953">
        <v>0</v>
      </c>
      <c r="E953">
        <v>2400</v>
      </c>
      <c r="F953" s="7">
        <v>-2.8210000000000002</v>
      </c>
      <c r="G953" s="7">
        <v>15.94</v>
      </c>
      <c r="H953" s="7">
        <v>0</v>
      </c>
      <c r="I953" s="7" t="str">
        <f t="shared" si="72"/>
        <v/>
      </c>
      <c r="J953" s="7" t="str">
        <f t="shared" si="73"/>
        <v/>
      </c>
      <c r="K953" s="7">
        <v>0</v>
      </c>
      <c r="L953" s="7" t="str">
        <f t="shared" si="74"/>
        <v/>
      </c>
      <c r="M953" s="7" t="str">
        <f t="shared" si="75"/>
        <v/>
      </c>
      <c r="N953" s="7">
        <v>0</v>
      </c>
      <c r="O953" s="7"/>
      <c r="P953" s="7"/>
      <c r="Q953" s="7"/>
      <c r="AC953"/>
      <c r="AD953" s="14"/>
    </row>
    <row r="954" spans="1:30" x14ac:dyDescent="0.25">
      <c r="A954" t="b">
        <f t="shared" si="76"/>
        <v>1</v>
      </c>
      <c r="B954">
        <v>2006</v>
      </c>
      <c r="C954">
        <v>161</v>
      </c>
      <c r="D954">
        <v>0</v>
      </c>
      <c r="E954">
        <v>100</v>
      </c>
      <c r="F954" s="7">
        <v>-2.863</v>
      </c>
      <c r="G954" s="7">
        <v>16.16</v>
      </c>
      <c r="H954" s="7">
        <v>0</v>
      </c>
      <c r="I954" s="7">
        <f t="shared" si="72"/>
        <v>0.60000000000000009</v>
      </c>
      <c r="J954" s="7">
        <f t="shared" si="73"/>
        <v>178.01270833333334</v>
      </c>
      <c r="K954" s="7">
        <v>0</v>
      </c>
      <c r="L954" s="7">
        <f t="shared" si="74"/>
        <v>21.19</v>
      </c>
      <c r="M954" s="7">
        <f t="shared" si="75"/>
        <v>14.79</v>
      </c>
      <c r="N954" s="7">
        <v>0</v>
      </c>
      <c r="O954" s="7"/>
      <c r="P954" s="7"/>
      <c r="Q954" s="7"/>
      <c r="AC954"/>
      <c r="AD954" s="14"/>
    </row>
    <row r="955" spans="1:30" x14ac:dyDescent="0.25">
      <c r="A955" t="b">
        <f t="shared" si="76"/>
        <v>0</v>
      </c>
      <c r="B955">
        <v>2006</v>
      </c>
      <c r="C955">
        <v>161</v>
      </c>
      <c r="D955">
        <v>0</v>
      </c>
      <c r="E955">
        <v>200</v>
      </c>
      <c r="F955" s="7">
        <v>-2.7320000000000002</v>
      </c>
      <c r="G955" s="7">
        <v>16.190000000000001</v>
      </c>
      <c r="H955" s="7">
        <v>0</v>
      </c>
      <c r="I955" s="7" t="str">
        <f t="shared" si="72"/>
        <v/>
      </c>
      <c r="J955" s="7" t="str">
        <f t="shared" si="73"/>
        <v/>
      </c>
      <c r="K955" s="7">
        <v>0</v>
      </c>
      <c r="L955" s="7" t="str">
        <f t="shared" si="74"/>
        <v/>
      </c>
      <c r="M955" s="7" t="str">
        <f t="shared" si="75"/>
        <v/>
      </c>
      <c r="N955" s="7">
        <v>0</v>
      </c>
      <c r="O955" s="7"/>
      <c r="P955" s="7"/>
      <c r="Q955" s="7"/>
      <c r="AC955"/>
      <c r="AD955" s="14"/>
    </row>
    <row r="956" spans="1:30" x14ac:dyDescent="0.25">
      <c r="A956" t="b">
        <f t="shared" si="76"/>
        <v>0</v>
      </c>
      <c r="B956">
        <v>2006</v>
      </c>
      <c r="C956">
        <v>161</v>
      </c>
      <c r="D956">
        <v>0</v>
      </c>
      <c r="E956">
        <v>300</v>
      </c>
      <c r="F956" s="7">
        <v>-2.6629999999999998</v>
      </c>
      <c r="G956" s="7">
        <v>15.47</v>
      </c>
      <c r="H956" s="7">
        <v>0</v>
      </c>
      <c r="I956" s="7" t="str">
        <f t="shared" si="72"/>
        <v/>
      </c>
      <c r="J956" s="7" t="str">
        <f t="shared" si="73"/>
        <v/>
      </c>
      <c r="K956" s="7">
        <v>0</v>
      </c>
      <c r="L956" s="7" t="str">
        <f t="shared" si="74"/>
        <v/>
      </c>
      <c r="M956" s="7" t="str">
        <f t="shared" si="75"/>
        <v/>
      </c>
      <c r="N956" s="7">
        <v>0</v>
      </c>
      <c r="O956" s="7"/>
      <c r="P956" s="7"/>
      <c r="Q956" s="7"/>
      <c r="AC956"/>
      <c r="AD956" s="14"/>
    </row>
    <row r="957" spans="1:30" x14ac:dyDescent="0.25">
      <c r="A957" t="b">
        <f t="shared" si="76"/>
        <v>0</v>
      </c>
      <c r="B957">
        <v>2006</v>
      </c>
      <c r="C957">
        <v>161</v>
      </c>
      <c r="D957">
        <v>0</v>
      </c>
      <c r="E957">
        <v>400</v>
      </c>
      <c r="F957" s="7">
        <v>1.575</v>
      </c>
      <c r="G957" s="7">
        <v>14.79</v>
      </c>
      <c r="H957" s="7">
        <v>0</v>
      </c>
      <c r="I957" s="7" t="str">
        <f t="shared" si="72"/>
        <v/>
      </c>
      <c r="J957" s="7" t="str">
        <f t="shared" si="73"/>
        <v/>
      </c>
      <c r="K957" s="7">
        <v>0</v>
      </c>
      <c r="L957" s="7" t="str">
        <f t="shared" si="74"/>
        <v/>
      </c>
      <c r="M957" s="7" t="str">
        <f t="shared" si="75"/>
        <v/>
      </c>
      <c r="N957" s="7">
        <v>0</v>
      </c>
      <c r="O957" s="7"/>
      <c r="P957" s="7"/>
      <c r="Q957" s="7"/>
      <c r="AC957"/>
      <c r="AD957" s="14"/>
    </row>
    <row r="958" spans="1:30" x14ac:dyDescent="0.25">
      <c r="A958" t="b">
        <f t="shared" si="76"/>
        <v>0</v>
      </c>
      <c r="B958">
        <v>2006</v>
      </c>
      <c r="C958">
        <v>161</v>
      </c>
      <c r="D958">
        <v>0</v>
      </c>
      <c r="E958">
        <v>500</v>
      </c>
      <c r="F958" s="7">
        <v>30.9</v>
      </c>
      <c r="G958" s="7">
        <v>15.04</v>
      </c>
      <c r="H958" s="7">
        <v>0</v>
      </c>
      <c r="I958" s="7" t="str">
        <f t="shared" si="72"/>
        <v/>
      </c>
      <c r="J958" s="7" t="str">
        <f t="shared" si="73"/>
        <v/>
      </c>
      <c r="K958" s="7">
        <v>0</v>
      </c>
      <c r="L958" s="7" t="str">
        <f t="shared" si="74"/>
        <v/>
      </c>
      <c r="M958" s="7" t="str">
        <f t="shared" si="75"/>
        <v/>
      </c>
      <c r="N958" s="7">
        <v>0</v>
      </c>
      <c r="O958" s="7"/>
      <c r="P958" s="7"/>
      <c r="Q958" s="7"/>
      <c r="AC958"/>
      <c r="AD958" s="14"/>
    </row>
    <row r="959" spans="1:30" x14ac:dyDescent="0.25">
      <c r="A959" t="b">
        <f t="shared" si="76"/>
        <v>0</v>
      </c>
      <c r="B959">
        <v>2006</v>
      </c>
      <c r="C959">
        <v>161</v>
      </c>
      <c r="D959">
        <v>0</v>
      </c>
      <c r="E959">
        <v>600</v>
      </c>
      <c r="F959" s="7">
        <v>131.1</v>
      </c>
      <c r="G959" s="7">
        <v>15.71</v>
      </c>
      <c r="H959" s="7">
        <v>0</v>
      </c>
      <c r="I959" s="7" t="str">
        <f t="shared" si="72"/>
        <v/>
      </c>
      <c r="J959" s="7" t="str">
        <f t="shared" si="73"/>
        <v/>
      </c>
      <c r="K959" s="7">
        <v>0</v>
      </c>
      <c r="L959" s="7" t="str">
        <f t="shared" si="74"/>
        <v/>
      </c>
      <c r="M959" s="7" t="str">
        <f t="shared" si="75"/>
        <v/>
      </c>
      <c r="N959" s="7">
        <v>0</v>
      </c>
      <c r="O959" s="7"/>
      <c r="P959" s="7"/>
      <c r="Q959" s="7"/>
      <c r="AC959"/>
      <c r="AD959" s="14"/>
    </row>
    <row r="960" spans="1:30" x14ac:dyDescent="0.25">
      <c r="A960" t="b">
        <f t="shared" si="76"/>
        <v>0</v>
      </c>
      <c r="B960">
        <v>2006</v>
      </c>
      <c r="C960">
        <v>161</v>
      </c>
      <c r="D960">
        <v>0</v>
      </c>
      <c r="E960">
        <v>700</v>
      </c>
      <c r="F960" s="7">
        <v>204.6</v>
      </c>
      <c r="G960" s="7">
        <v>16.37</v>
      </c>
      <c r="H960" s="7">
        <v>0</v>
      </c>
      <c r="I960" s="7" t="str">
        <f t="shared" si="72"/>
        <v/>
      </c>
      <c r="J960" s="7" t="str">
        <f t="shared" si="73"/>
        <v/>
      </c>
      <c r="K960" s="7">
        <v>0</v>
      </c>
      <c r="L960" s="7" t="str">
        <f t="shared" si="74"/>
        <v/>
      </c>
      <c r="M960" s="7" t="str">
        <f t="shared" si="75"/>
        <v/>
      </c>
      <c r="N960" s="7">
        <v>0</v>
      </c>
      <c r="O960" s="7"/>
      <c r="P960" s="7"/>
      <c r="Q960" s="7"/>
      <c r="AC960"/>
      <c r="AD960" s="14"/>
    </row>
    <row r="961" spans="1:30" x14ac:dyDescent="0.25">
      <c r="A961" t="b">
        <f t="shared" si="76"/>
        <v>0</v>
      </c>
      <c r="B961">
        <v>2006</v>
      </c>
      <c r="C961">
        <v>161</v>
      </c>
      <c r="D961">
        <v>0</v>
      </c>
      <c r="E961">
        <v>800</v>
      </c>
      <c r="F961" s="7">
        <v>373.2</v>
      </c>
      <c r="G961" s="7">
        <v>17.34</v>
      </c>
      <c r="H961" s="7">
        <v>0</v>
      </c>
      <c r="I961" s="7" t="str">
        <f t="shared" si="72"/>
        <v/>
      </c>
      <c r="J961" s="7" t="str">
        <f t="shared" si="73"/>
        <v/>
      </c>
      <c r="K961" s="7">
        <v>0</v>
      </c>
      <c r="L961" s="7" t="str">
        <f t="shared" si="74"/>
        <v/>
      </c>
      <c r="M961" s="7" t="str">
        <f t="shared" si="75"/>
        <v/>
      </c>
      <c r="N961" s="7">
        <v>0</v>
      </c>
      <c r="O961" s="7"/>
      <c r="P961" s="7"/>
      <c r="Q961" s="7"/>
      <c r="AC961"/>
      <c r="AD961" s="14"/>
    </row>
    <row r="962" spans="1:30" x14ac:dyDescent="0.25">
      <c r="A962" t="b">
        <f t="shared" si="76"/>
        <v>0</v>
      </c>
      <c r="B962">
        <v>2006</v>
      </c>
      <c r="C962">
        <v>161</v>
      </c>
      <c r="D962">
        <v>0</v>
      </c>
      <c r="E962">
        <v>900</v>
      </c>
      <c r="F962" s="7">
        <v>528.70000000000005</v>
      </c>
      <c r="G962" s="7">
        <v>18.309999999999999</v>
      </c>
      <c r="H962" s="7">
        <v>0</v>
      </c>
      <c r="I962" s="7" t="str">
        <f t="shared" ref="I962:I1025" si="77">IF(AND(B962=B961,C962=C961),"",SUMIFS($H$2:$H$1529,$B$2:$B$1529,B962,$C$2:$C$1529,C962))</f>
        <v/>
      </c>
      <c r="J962" s="7" t="str">
        <f t="shared" ref="J962:J1025" si="78">IF(AND(B962=B961,C962=C961),"",AVERAGEIFS($F$2:$F$1529,$B$2:$B$1529,B962,$C$2:$C$1529,C962))</f>
        <v/>
      </c>
      <c r="K962" s="7">
        <v>0</v>
      </c>
      <c r="L962" s="7" t="str">
        <f t="shared" ref="L962:L1025" si="79">IF(AND(B962=B961,C962=C961),"",_xlfn.MAXIFS($G$2:$G$1529,$B$2:$B$1529,B962,$C$2:$C$1529,C962))</f>
        <v/>
      </c>
      <c r="M962" s="7" t="str">
        <f t="shared" ref="M962:M1025" si="80">IF(AND(B962=B961,C962=C961),"",_xlfn.MINIFS($G$2:$G$1529,$B$2:$B$1529,B962,$C$2:$C$1529,C962))</f>
        <v/>
      </c>
      <c r="N962" s="7">
        <v>0</v>
      </c>
      <c r="O962" s="7"/>
      <c r="P962" s="7"/>
      <c r="Q962" s="7"/>
      <c r="AC962"/>
      <c r="AD962" s="14"/>
    </row>
    <row r="963" spans="1:30" x14ac:dyDescent="0.25">
      <c r="A963" t="b">
        <f t="shared" ref="A963:A1026" si="81">NOT(I963="")</f>
        <v>0</v>
      </c>
      <c r="B963">
        <v>2006</v>
      </c>
      <c r="C963">
        <v>161</v>
      </c>
      <c r="D963">
        <v>0</v>
      </c>
      <c r="E963">
        <v>1000</v>
      </c>
      <c r="F963" s="7">
        <v>659.4</v>
      </c>
      <c r="G963" s="7">
        <v>19.47</v>
      </c>
      <c r="H963" s="7">
        <v>0</v>
      </c>
      <c r="I963" s="7" t="str">
        <f t="shared" si="77"/>
        <v/>
      </c>
      <c r="J963" s="7" t="str">
        <f t="shared" si="78"/>
        <v/>
      </c>
      <c r="K963" s="7">
        <v>0</v>
      </c>
      <c r="L963" s="7" t="str">
        <f t="shared" si="79"/>
        <v/>
      </c>
      <c r="M963" s="7" t="str">
        <f t="shared" si="80"/>
        <v/>
      </c>
      <c r="N963" s="7">
        <v>0</v>
      </c>
      <c r="O963" s="7"/>
      <c r="P963" s="7"/>
      <c r="Q963" s="7"/>
      <c r="AC963"/>
      <c r="AD963" s="14"/>
    </row>
    <row r="964" spans="1:30" x14ac:dyDescent="0.25">
      <c r="A964" t="b">
        <f t="shared" si="81"/>
        <v>0</v>
      </c>
      <c r="B964">
        <v>2006</v>
      </c>
      <c r="C964">
        <v>161</v>
      </c>
      <c r="D964">
        <v>0</v>
      </c>
      <c r="E964">
        <v>1100</v>
      </c>
      <c r="F964" s="7">
        <v>378.7</v>
      </c>
      <c r="G964" s="7">
        <v>18.760000000000002</v>
      </c>
      <c r="H964" s="7">
        <v>0</v>
      </c>
      <c r="I964" s="7" t="str">
        <f t="shared" si="77"/>
        <v/>
      </c>
      <c r="J964" s="7" t="str">
        <f t="shared" si="78"/>
        <v/>
      </c>
      <c r="K964" s="7">
        <v>0</v>
      </c>
      <c r="L964" s="7" t="str">
        <f t="shared" si="79"/>
        <v/>
      </c>
      <c r="M964" s="7" t="str">
        <f t="shared" si="80"/>
        <v/>
      </c>
      <c r="N964" s="7">
        <v>0</v>
      </c>
      <c r="O964" s="7"/>
      <c r="P964" s="7"/>
      <c r="Q964" s="7"/>
      <c r="AC964"/>
      <c r="AD964" s="14"/>
    </row>
    <row r="965" spans="1:30" x14ac:dyDescent="0.25">
      <c r="A965" t="b">
        <f t="shared" si="81"/>
        <v>0</v>
      </c>
      <c r="B965">
        <v>2006</v>
      </c>
      <c r="C965">
        <v>161</v>
      </c>
      <c r="D965">
        <v>0</v>
      </c>
      <c r="E965">
        <v>1200</v>
      </c>
      <c r="F965" s="7">
        <v>251.2</v>
      </c>
      <c r="G965" s="7">
        <v>18.39</v>
      </c>
      <c r="H965" s="7">
        <v>0</v>
      </c>
      <c r="I965" s="7" t="str">
        <f t="shared" si="77"/>
        <v/>
      </c>
      <c r="J965" s="7" t="str">
        <f t="shared" si="78"/>
        <v/>
      </c>
      <c r="K965" s="7">
        <v>0</v>
      </c>
      <c r="L965" s="7" t="str">
        <f t="shared" si="79"/>
        <v/>
      </c>
      <c r="M965" s="7" t="str">
        <f t="shared" si="80"/>
        <v/>
      </c>
      <c r="N965" s="7">
        <v>0</v>
      </c>
      <c r="O965" s="7"/>
      <c r="P965" s="7"/>
      <c r="Q965" s="7"/>
      <c r="AC965"/>
      <c r="AD965" s="14"/>
    </row>
    <row r="966" spans="1:30" x14ac:dyDescent="0.25">
      <c r="A966" t="b">
        <f t="shared" si="81"/>
        <v>0</v>
      </c>
      <c r="B966">
        <v>2006</v>
      </c>
      <c r="C966">
        <v>161</v>
      </c>
      <c r="D966">
        <v>0</v>
      </c>
      <c r="E966">
        <v>1300</v>
      </c>
      <c r="F966" s="7">
        <v>537.5</v>
      </c>
      <c r="G966" s="7">
        <v>19.66</v>
      </c>
      <c r="H966" s="7">
        <v>0</v>
      </c>
      <c r="I966" s="7" t="str">
        <f t="shared" si="77"/>
        <v/>
      </c>
      <c r="J966" s="7" t="str">
        <f t="shared" si="78"/>
        <v/>
      </c>
      <c r="K966" s="7">
        <v>0</v>
      </c>
      <c r="L966" s="7" t="str">
        <f t="shared" si="79"/>
        <v/>
      </c>
      <c r="M966" s="7" t="str">
        <f t="shared" si="80"/>
        <v/>
      </c>
      <c r="N966" s="7">
        <v>0</v>
      </c>
      <c r="O966" s="7"/>
      <c r="P966" s="7"/>
      <c r="Q966" s="7"/>
      <c r="AC966"/>
      <c r="AD966" s="14"/>
    </row>
    <row r="967" spans="1:30" x14ac:dyDescent="0.25">
      <c r="A967" t="b">
        <f t="shared" si="81"/>
        <v>0</v>
      </c>
      <c r="B967">
        <v>2006</v>
      </c>
      <c r="C967">
        <v>161</v>
      </c>
      <c r="D967">
        <v>0</v>
      </c>
      <c r="E967">
        <v>1400</v>
      </c>
      <c r="F967" s="7">
        <v>391.3</v>
      </c>
      <c r="G967" s="7">
        <v>21.19</v>
      </c>
      <c r="H967" s="7">
        <v>0</v>
      </c>
      <c r="I967" s="7" t="str">
        <f t="shared" si="77"/>
        <v/>
      </c>
      <c r="J967" s="7" t="str">
        <f t="shared" si="78"/>
        <v/>
      </c>
      <c r="K967" s="7">
        <v>0</v>
      </c>
      <c r="L967" s="7" t="str">
        <f t="shared" si="79"/>
        <v/>
      </c>
      <c r="M967" s="7" t="str">
        <f t="shared" si="80"/>
        <v/>
      </c>
      <c r="N967" s="7">
        <v>0</v>
      </c>
      <c r="O967" s="7"/>
      <c r="P967" s="7"/>
      <c r="Q967" s="7"/>
      <c r="AC967"/>
      <c r="AD967" s="14"/>
    </row>
    <row r="968" spans="1:30" x14ac:dyDescent="0.25">
      <c r="A968" t="b">
        <f t="shared" si="81"/>
        <v>0</v>
      </c>
      <c r="B968">
        <v>2006</v>
      </c>
      <c r="C968">
        <v>161</v>
      </c>
      <c r="D968">
        <v>0</v>
      </c>
      <c r="E968">
        <v>1500</v>
      </c>
      <c r="F968" s="7">
        <v>319.8</v>
      </c>
      <c r="G968" s="7">
        <v>21.05</v>
      </c>
      <c r="H968" s="7">
        <v>0</v>
      </c>
      <c r="I968" s="7" t="str">
        <f t="shared" si="77"/>
        <v/>
      </c>
      <c r="J968" s="7" t="str">
        <f t="shared" si="78"/>
        <v/>
      </c>
      <c r="K968" s="7">
        <v>0</v>
      </c>
      <c r="L968" s="7" t="str">
        <f t="shared" si="79"/>
        <v/>
      </c>
      <c r="M968" s="7" t="str">
        <f t="shared" si="80"/>
        <v/>
      </c>
      <c r="N968" s="7">
        <v>0</v>
      </c>
      <c r="O968" s="7"/>
      <c r="P968" s="7"/>
      <c r="Q968" s="7"/>
      <c r="AC968"/>
      <c r="AD968" s="14"/>
    </row>
    <row r="969" spans="1:30" x14ac:dyDescent="0.25">
      <c r="A969" t="b">
        <f t="shared" si="81"/>
        <v>0</v>
      </c>
      <c r="B969">
        <v>2006</v>
      </c>
      <c r="C969">
        <v>161</v>
      </c>
      <c r="D969">
        <v>0</v>
      </c>
      <c r="E969">
        <v>1600</v>
      </c>
      <c r="F969" s="7">
        <v>225.1</v>
      </c>
      <c r="G969" s="7">
        <v>20.149999999999999</v>
      </c>
      <c r="H969" s="7">
        <v>0</v>
      </c>
      <c r="I969" s="7" t="str">
        <f t="shared" si="77"/>
        <v/>
      </c>
      <c r="J969" s="7" t="str">
        <f t="shared" si="78"/>
        <v/>
      </c>
      <c r="K969" s="7">
        <v>0</v>
      </c>
      <c r="L969" s="7" t="str">
        <f t="shared" si="79"/>
        <v/>
      </c>
      <c r="M969" s="7" t="str">
        <f t="shared" si="80"/>
        <v/>
      </c>
      <c r="N969" s="7">
        <v>0</v>
      </c>
      <c r="O969" s="7"/>
      <c r="P969" s="7"/>
      <c r="Q969" s="7"/>
      <c r="AC969"/>
      <c r="AD969" s="14"/>
    </row>
    <row r="970" spans="1:30" x14ac:dyDescent="0.25">
      <c r="A970" t="b">
        <f t="shared" si="81"/>
        <v>0</v>
      </c>
      <c r="B970">
        <v>2006</v>
      </c>
      <c r="C970">
        <v>161</v>
      </c>
      <c r="D970">
        <v>0</v>
      </c>
      <c r="E970">
        <v>1700</v>
      </c>
      <c r="F970" s="7">
        <v>95.2</v>
      </c>
      <c r="G970" s="7">
        <v>19.78</v>
      </c>
      <c r="H970" s="7">
        <v>0</v>
      </c>
      <c r="I970" s="7" t="str">
        <f t="shared" si="77"/>
        <v/>
      </c>
      <c r="J970" s="7" t="str">
        <f t="shared" si="78"/>
        <v/>
      </c>
      <c r="K970" s="7">
        <v>0</v>
      </c>
      <c r="L970" s="7" t="str">
        <f t="shared" si="79"/>
        <v/>
      </c>
      <c r="M970" s="7" t="str">
        <f t="shared" si="80"/>
        <v/>
      </c>
      <c r="N970" s="7">
        <v>0</v>
      </c>
      <c r="O970" s="7"/>
      <c r="P970" s="7"/>
      <c r="Q970" s="7"/>
      <c r="AC970"/>
      <c r="AD970" s="14"/>
    </row>
    <row r="971" spans="1:30" x14ac:dyDescent="0.25">
      <c r="A971" t="b">
        <f t="shared" si="81"/>
        <v>0</v>
      </c>
      <c r="B971">
        <v>2006</v>
      </c>
      <c r="C971">
        <v>161</v>
      </c>
      <c r="D971">
        <v>0</v>
      </c>
      <c r="E971">
        <v>1800</v>
      </c>
      <c r="F971" s="7">
        <v>104.7</v>
      </c>
      <c r="G971" s="7">
        <v>19.86</v>
      </c>
      <c r="H971" s="7">
        <v>0.2</v>
      </c>
      <c r="I971" s="7" t="str">
        <f t="shared" si="77"/>
        <v/>
      </c>
      <c r="J971" s="7" t="str">
        <f t="shared" si="78"/>
        <v/>
      </c>
      <c r="K971" s="7">
        <v>0</v>
      </c>
      <c r="L971" s="7" t="str">
        <f t="shared" si="79"/>
        <v/>
      </c>
      <c r="M971" s="7" t="str">
        <f t="shared" si="80"/>
        <v/>
      </c>
      <c r="N971" s="7">
        <v>0</v>
      </c>
      <c r="O971" s="7"/>
      <c r="P971" s="7"/>
      <c r="Q971" s="7"/>
      <c r="AC971"/>
      <c r="AD971" s="14"/>
    </row>
    <row r="972" spans="1:30" x14ac:dyDescent="0.25">
      <c r="A972" t="b">
        <f t="shared" si="81"/>
        <v>0</v>
      </c>
      <c r="B972">
        <v>2006</v>
      </c>
      <c r="C972">
        <v>161</v>
      </c>
      <c r="D972">
        <v>0</v>
      </c>
      <c r="E972">
        <v>1900</v>
      </c>
      <c r="F972" s="7">
        <v>39.04</v>
      </c>
      <c r="G972" s="7">
        <v>18.54</v>
      </c>
      <c r="H972" s="7">
        <v>0.4</v>
      </c>
      <c r="I972" s="7" t="str">
        <f t="shared" si="77"/>
        <v/>
      </c>
      <c r="J972" s="7" t="str">
        <f t="shared" si="78"/>
        <v/>
      </c>
      <c r="K972" s="7">
        <v>0</v>
      </c>
      <c r="L972" s="7" t="str">
        <f t="shared" si="79"/>
        <v/>
      </c>
      <c r="M972" s="7" t="str">
        <f t="shared" si="80"/>
        <v/>
      </c>
      <c r="N972" s="7">
        <v>0</v>
      </c>
      <c r="O972" s="7"/>
      <c r="P972" s="7"/>
      <c r="Q972" s="7"/>
      <c r="AC972"/>
      <c r="AD972" s="14"/>
    </row>
    <row r="973" spans="1:30" x14ac:dyDescent="0.25">
      <c r="A973" t="b">
        <f t="shared" si="81"/>
        <v>0</v>
      </c>
      <c r="B973">
        <v>2006</v>
      </c>
      <c r="C973">
        <v>161</v>
      </c>
      <c r="D973">
        <v>0</v>
      </c>
      <c r="E973">
        <v>2000</v>
      </c>
      <c r="F973" s="7">
        <v>10.59</v>
      </c>
      <c r="G973" s="7">
        <v>16.59</v>
      </c>
      <c r="H973" s="7">
        <v>0</v>
      </c>
      <c r="I973" s="7" t="str">
        <f t="shared" si="77"/>
        <v/>
      </c>
      <c r="J973" s="7" t="str">
        <f t="shared" si="78"/>
        <v/>
      </c>
      <c r="K973" s="7">
        <v>0</v>
      </c>
      <c r="L973" s="7" t="str">
        <f t="shared" si="79"/>
        <v/>
      </c>
      <c r="M973" s="7" t="str">
        <f t="shared" si="80"/>
        <v/>
      </c>
      <c r="N973" s="7">
        <v>0</v>
      </c>
      <c r="O973" s="7"/>
      <c r="P973" s="7"/>
      <c r="Q973" s="7"/>
      <c r="AC973"/>
      <c r="AD973" s="14"/>
    </row>
    <row r="974" spans="1:30" x14ac:dyDescent="0.25">
      <c r="A974" t="b">
        <f t="shared" si="81"/>
        <v>0</v>
      </c>
      <c r="B974">
        <v>2006</v>
      </c>
      <c r="C974">
        <v>161</v>
      </c>
      <c r="D974">
        <v>0</v>
      </c>
      <c r="E974">
        <v>2100</v>
      </c>
      <c r="F974" s="7">
        <v>2.25</v>
      </c>
      <c r="G974" s="7">
        <v>16.28</v>
      </c>
      <c r="H974" s="7">
        <v>0</v>
      </c>
      <c r="I974" s="7" t="str">
        <f t="shared" si="77"/>
        <v/>
      </c>
      <c r="J974" s="7" t="str">
        <f t="shared" si="78"/>
        <v/>
      </c>
      <c r="K974" s="7">
        <v>0</v>
      </c>
      <c r="L974" s="7" t="str">
        <f t="shared" si="79"/>
        <v/>
      </c>
      <c r="M974" s="7" t="str">
        <f t="shared" si="80"/>
        <v/>
      </c>
      <c r="N974" s="7">
        <v>0</v>
      </c>
      <c r="O974" s="7"/>
      <c r="P974" s="7"/>
      <c r="Q974" s="7"/>
      <c r="AC974"/>
      <c r="AD974" s="14"/>
    </row>
    <row r="975" spans="1:30" x14ac:dyDescent="0.25">
      <c r="A975" t="b">
        <f t="shared" si="81"/>
        <v>0</v>
      </c>
      <c r="B975">
        <v>2006</v>
      </c>
      <c r="C975">
        <v>161</v>
      </c>
      <c r="D975">
        <v>0</v>
      </c>
      <c r="E975">
        <v>2200</v>
      </c>
      <c r="F975" s="7">
        <v>-1.1679999999999999</v>
      </c>
      <c r="G975" s="7">
        <v>17.43</v>
      </c>
      <c r="H975" s="7">
        <v>0</v>
      </c>
      <c r="I975" s="7" t="str">
        <f t="shared" si="77"/>
        <v/>
      </c>
      <c r="J975" s="7" t="str">
        <f t="shared" si="78"/>
        <v/>
      </c>
      <c r="K975" s="7">
        <v>0</v>
      </c>
      <c r="L975" s="7" t="str">
        <f t="shared" si="79"/>
        <v/>
      </c>
      <c r="M975" s="7" t="str">
        <f t="shared" si="80"/>
        <v/>
      </c>
      <c r="N975" s="7">
        <v>0</v>
      </c>
      <c r="O975" s="7"/>
      <c r="P975" s="7"/>
      <c r="Q975" s="7"/>
      <c r="AC975"/>
      <c r="AD975" s="14"/>
    </row>
    <row r="976" spans="1:30" x14ac:dyDescent="0.25">
      <c r="A976" t="b">
        <f t="shared" si="81"/>
        <v>0</v>
      </c>
      <c r="B976">
        <v>2006</v>
      </c>
      <c r="C976">
        <v>161</v>
      </c>
      <c r="D976">
        <v>0</v>
      </c>
      <c r="E976">
        <v>2300</v>
      </c>
      <c r="F976" s="7">
        <v>-1.4850000000000001</v>
      </c>
      <c r="G976" s="7">
        <v>17.350000000000001</v>
      </c>
      <c r="H976" s="7">
        <v>0</v>
      </c>
      <c r="I976" s="7" t="str">
        <f t="shared" si="77"/>
        <v/>
      </c>
      <c r="J976" s="7" t="str">
        <f t="shared" si="78"/>
        <v/>
      </c>
      <c r="K976" s="7">
        <v>0</v>
      </c>
      <c r="L976" s="7" t="str">
        <f t="shared" si="79"/>
        <v/>
      </c>
      <c r="M976" s="7" t="str">
        <f t="shared" si="80"/>
        <v/>
      </c>
      <c r="N976" s="7">
        <v>0</v>
      </c>
      <c r="O976" s="7"/>
      <c r="P976" s="7"/>
      <c r="Q976" s="7"/>
      <c r="AC976"/>
      <c r="AD976" s="14"/>
    </row>
    <row r="977" spans="1:30" x14ac:dyDescent="0.25">
      <c r="A977" t="b">
        <f t="shared" si="81"/>
        <v>0</v>
      </c>
      <c r="B977">
        <v>2006</v>
      </c>
      <c r="C977">
        <v>161</v>
      </c>
      <c r="D977">
        <v>0</v>
      </c>
      <c r="E977">
        <v>2400</v>
      </c>
      <c r="F977" s="7">
        <v>-1.639</v>
      </c>
      <c r="G977" s="7">
        <v>17.010000000000002</v>
      </c>
      <c r="H977" s="7">
        <v>0</v>
      </c>
      <c r="I977" s="7" t="str">
        <f t="shared" si="77"/>
        <v/>
      </c>
      <c r="J977" s="7" t="str">
        <f t="shared" si="78"/>
        <v/>
      </c>
      <c r="K977" s="7">
        <v>0</v>
      </c>
      <c r="L977" s="7" t="str">
        <f t="shared" si="79"/>
        <v/>
      </c>
      <c r="M977" s="7" t="str">
        <f t="shared" si="80"/>
        <v/>
      </c>
      <c r="N977" s="7">
        <v>0</v>
      </c>
      <c r="O977" s="7"/>
      <c r="P977" s="7"/>
      <c r="Q977" s="7"/>
      <c r="AC977"/>
      <c r="AD977" s="14"/>
    </row>
    <row r="978" spans="1:30" x14ac:dyDescent="0.25">
      <c r="A978" t="b">
        <f t="shared" si="81"/>
        <v>1</v>
      </c>
      <c r="B978">
        <v>2006</v>
      </c>
      <c r="C978">
        <v>162</v>
      </c>
      <c r="D978">
        <v>0</v>
      </c>
      <c r="E978">
        <v>100</v>
      </c>
      <c r="F978" s="7">
        <v>-2.19</v>
      </c>
      <c r="G978" s="7">
        <v>16.61</v>
      </c>
      <c r="H978" s="7">
        <v>0</v>
      </c>
      <c r="I978" s="7">
        <f t="shared" si="77"/>
        <v>0</v>
      </c>
      <c r="J978" s="7">
        <f t="shared" si="78"/>
        <v>338.93212499999998</v>
      </c>
      <c r="K978" s="7">
        <v>0</v>
      </c>
      <c r="L978" s="7">
        <f t="shared" si="79"/>
        <v>20.36</v>
      </c>
      <c r="M978" s="7">
        <f t="shared" si="80"/>
        <v>13.27</v>
      </c>
      <c r="N978" s="7">
        <v>0</v>
      </c>
      <c r="O978" s="7"/>
      <c r="P978" s="7"/>
      <c r="Q978" s="7"/>
      <c r="AC978"/>
      <c r="AD978" s="14"/>
    </row>
    <row r="979" spans="1:30" x14ac:dyDescent="0.25">
      <c r="A979" t="b">
        <f t="shared" si="81"/>
        <v>0</v>
      </c>
      <c r="B979">
        <v>2006</v>
      </c>
      <c r="C979">
        <v>162</v>
      </c>
      <c r="D979">
        <v>0</v>
      </c>
      <c r="E979">
        <v>200</v>
      </c>
      <c r="F979" s="7">
        <v>-0.95499999999999996</v>
      </c>
      <c r="G979" s="7">
        <v>15.92</v>
      </c>
      <c r="H979" s="7">
        <v>0</v>
      </c>
      <c r="I979" s="7" t="str">
        <f t="shared" si="77"/>
        <v/>
      </c>
      <c r="J979" s="7" t="str">
        <f t="shared" si="78"/>
        <v/>
      </c>
      <c r="K979" s="7">
        <v>0</v>
      </c>
      <c r="L979" s="7" t="str">
        <f t="shared" si="79"/>
        <v/>
      </c>
      <c r="M979" s="7" t="str">
        <f t="shared" si="80"/>
        <v/>
      </c>
      <c r="N979" s="7">
        <v>0</v>
      </c>
      <c r="O979" s="7"/>
      <c r="P979" s="7"/>
      <c r="Q979" s="7"/>
      <c r="AC979"/>
      <c r="AD979" s="14"/>
    </row>
    <row r="980" spans="1:30" x14ac:dyDescent="0.25">
      <c r="A980" t="b">
        <f t="shared" si="81"/>
        <v>0</v>
      </c>
      <c r="B980">
        <v>2006</v>
      </c>
      <c r="C980">
        <v>162</v>
      </c>
      <c r="D980">
        <v>0</v>
      </c>
      <c r="E980">
        <v>300</v>
      </c>
      <c r="F980" s="7">
        <v>-0.92800000000000005</v>
      </c>
      <c r="G980" s="7">
        <v>15.59</v>
      </c>
      <c r="H980" s="7">
        <v>0</v>
      </c>
      <c r="I980" s="7" t="str">
        <f t="shared" si="77"/>
        <v/>
      </c>
      <c r="J980" s="7" t="str">
        <f t="shared" si="78"/>
        <v/>
      </c>
      <c r="K980" s="7">
        <v>0</v>
      </c>
      <c r="L980" s="7" t="str">
        <f t="shared" si="79"/>
        <v/>
      </c>
      <c r="M980" s="7" t="str">
        <f t="shared" si="80"/>
        <v/>
      </c>
      <c r="N980" s="7">
        <v>0</v>
      </c>
      <c r="O980" s="7"/>
      <c r="P980" s="7"/>
      <c r="Q980" s="7"/>
      <c r="AC980"/>
      <c r="AD980" s="14"/>
    </row>
    <row r="981" spans="1:30" x14ac:dyDescent="0.25">
      <c r="A981" t="b">
        <f t="shared" si="81"/>
        <v>0</v>
      </c>
      <c r="B981">
        <v>2006</v>
      </c>
      <c r="C981">
        <v>162</v>
      </c>
      <c r="D981">
        <v>0</v>
      </c>
      <c r="E981">
        <v>400</v>
      </c>
      <c r="F981" s="7">
        <v>-0.80800000000000005</v>
      </c>
      <c r="G981" s="7">
        <v>15.24</v>
      </c>
      <c r="H981" s="7">
        <v>0</v>
      </c>
      <c r="I981" s="7" t="str">
        <f t="shared" si="77"/>
        <v/>
      </c>
      <c r="J981" s="7" t="str">
        <f t="shared" si="78"/>
        <v/>
      </c>
      <c r="K981" s="7">
        <v>0</v>
      </c>
      <c r="L981" s="7" t="str">
        <f t="shared" si="79"/>
        <v/>
      </c>
      <c r="M981" s="7" t="str">
        <f t="shared" si="80"/>
        <v/>
      </c>
      <c r="N981" s="7">
        <v>0</v>
      </c>
      <c r="O981" s="7"/>
      <c r="P981" s="7"/>
      <c r="Q981" s="7"/>
      <c r="AC981"/>
      <c r="AD981" s="14"/>
    </row>
    <row r="982" spans="1:30" x14ac:dyDescent="0.25">
      <c r="A982" t="b">
        <f t="shared" si="81"/>
        <v>0</v>
      </c>
      <c r="B982">
        <v>2006</v>
      </c>
      <c r="C982">
        <v>162</v>
      </c>
      <c r="D982">
        <v>0</v>
      </c>
      <c r="E982">
        <v>500</v>
      </c>
      <c r="F982" s="7">
        <v>25.33</v>
      </c>
      <c r="G982" s="7">
        <v>15.1</v>
      </c>
      <c r="H982" s="7">
        <v>0</v>
      </c>
      <c r="I982" s="7" t="str">
        <f t="shared" si="77"/>
        <v/>
      </c>
      <c r="J982" s="7" t="str">
        <f t="shared" si="78"/>
        <v/>
      </c>
      <c r="K982" s="7">
        <v>0</v>
      </c>
      <c r="L982" s="7" t="str">
        <f t="shared" si="79"/>
        <v/>
      </c>
      <c r="M982" s="7" t="str">
        <f t="shared" si="80"/>
        <v/>
      </c>
      <c r="N982" s="7">
        <v>0</v>
      </c>
      <c r="O982" s="7"/>
      <c r="P982" s="7"/>
      <c r="Q982" s="7"/>
      <c r="AC982"/>
      <c r="AD982" s="14"/>
    </row>
    <row r="983" spans="1:30" x14ac:dyDescent="0.25">
      <c r="A983" t="b">
        <f t="shared" si="81"/>
        <v>0</v>
      </c>
      <c r="B983">
        <v>2006</v>
      </c>
      <c r="C983">
        <v>162</v>
      </c>
      <c r="D983">
        <v>0</v>
      </c>
      <c r="E983">
        <v>600</v>
      </c>
      <c r="F983" s="7">
        <v>83</v>
      </c>
      <c r="G983" s="7">
        <v>14.89</v>
      </c>
      <c r="H983" s="7">
        <v>0</v>
      </c>
      <c r="I983" s="7" t="str">
        <f t="shared" si="77"/>
        <v/>
      </c>
      <c r="J983" s="7" t="str">
        <f t="shared" si="78"/>
        <v/>
      </c>
      <c r="K983" s="7">
        <v>0</v>
      </c>
      <c r="L983" s="7" t="str">
        <f t="shared" si="79"/>
        <v/>
      </c>
      <c r="M983" s="7" t="str">
        <f t="shared" si="80"/>
        <v/>
      </c>
      <c r="N983" s="7">
        <v>0</v>
      </c>
      <c r="O983" s="7"/>
      <c r="P983" s="7"/>
      <c r="Q983" s="7"/>
      <c r="AC983"/>
      <c r="AD983" s="14"/>
    </row>
    <row r="984" spans="1:30" x14ac:dyDescent="0.25">
      <c r="A984" t="b">
        <f t="shared" si="81"/>
        <v>0</v>
      </c>
      <c r="B984">
        <v>2006</v>
      </c>
      <c r="C984">
        <v>162</v>
      </c>
      <c r="D984">
        <v>0</v>
      </c>
      <c r="E984">
        <v>700</v>
      </c>
      <c r="F984" s="7">
        <v>294.10000000000002</v>
      </c>
      <c r="G984" s="7">
        <v>16.13</v>
      </c>
      <c r="H984" s="7">
        <v>0</v>
      </c>
      <c r="I984" s="7" t="str">
        <f t="shared" si="77"/>
        <v/>
      </c>
      <c r="J984" s="7" t="str">
        <f t="shared" si="78"/>
        <v/>
      </c>
      <c r="K984" s="7">
        <v>0</v>
      </c>
      <c r="L984" s="7" t="str">
        <f t="shared" si="79"/>
        <v/>
      </c>
      <c r="M984" s="7" t="str">
        <f t="shared" si="80"/>
        <v/>
      </c>
      <c r="N984" s="7">
        <v>0</v>
      </c>
      <c r="O984" s="7"/>
      <c r="P984" s="7"/>
      <c r="Q984" s="7"/>
      <c r="AC984"/>
      <c r="AD984" s="14"/>
    </row>
    <row r="985" spans="1:30" x14ac:dyDescent="0.25">
      <c r="A985" t="b">
        <f t="shared" si="81"/>
        <v>0</v>
      </c>
      <c r="B985">
        <v>2006</v>
      </c>
      <c r="C985">
        <v>162</v>
      </c>
      <c r="D985">
        <v>0</v>
      </c>
      <c r="E985">
        <v>800</v>
      </c>
      <c r="F985" s="7">
        <v>423</v>
      </c>
      <c r="G985" s="7">
        <v>16.940000000000001</v>
      </c>
      <c r="H985" s="7">
        <v>0</v>
      </c>
      <c r="I985" s="7" t="str">
        <f t="shared" si="77"/>
        <v/>
      </c>
      <c r="J985" s="7" t="str">
        <f t="shared" si="78"/>
        <v/>
      </c>
      <c r="K985" s="7">
        <v>0</v>
      </c>
      <c r="L985" s="7" t="str">
        <f t="shared" si="79"/>
        <v/>
      </c>
      <c r="M985" s="7" t="str">
        <f t="shared" si="80"/>
        <v/>
      </c>
      <c r="N985" s="7">
        <v>0</v>
      </c>
      <c r="O985" s="7"/>
      <c r="P985" s="7"/>
      <c r="Q985" s="7"/>
      <c r="AC985"/>
      <c r="AD985" s="14"/>
    </row>
    <row r="986" spans="1:30" x14ac:dyDescent="0.25">
      <c r="A986" t="b">
        <f t="shared" si="81"/>
        <v>0</v>
      </c>
      <c r="B986">
        <v>2006</v>
      </c>
      <c r="C986">
        <v>162</v>
      </c>
      <c r="D986">
        <v>0</v>
      </c>
      <c r="E986">
        <v>900</v>
      </c>
      <c r="F986" s="7">
        <v>583.9</v>
      </c>
      <c r="G986" s="7">
        <v>17.8</v>
      </c>
      <c r="H986" s="7">
        <v>0</v>
      </c>
      <c r="I986" s="7" t="str">
        <f t="shared" si="77"/>
        <v/>
      </c>
      <c r="J986" s="7" t="str">
        <f t="shared" si="78"/>
        <v/>
      </c>
      <c r="K986" s="7">
        <v>0</v>
      </c>
      <c r="L986" s="7" t="str">
        <f t="shared" si="79"/>
        <v/>
      </c>
      <c r="M986" s="7" t="str">
        <f t="shared" si="80"/>
        <v/>
      </c>
      <c r="N986" s="7">
        <v>0</v>
      </c>
      <c r="O986" s="7"/>
      <c r="P986" s="7"/>
      <c r="Q986" s="7"/>
      <c r="AC986"/>
      <c r="AD986" s="14"/>
    </row>
    <row r="987" spans="1:30" x14ac:dyDescent="0.25">
      <c r="A987" t="b">
        <f t="shared" si="81"/>
        <v>0</v>
      </c>
      <c r="B987">
        <v>2006</v>
      </c>
      <c r="C987">
        <v>162</v>
      </c>
      <c r="D987">
        <v>0</v>
      </c>
      <c r="E987">
        <v>1000</v>
      </c>
      <c r="F987" s="7">
        <v>695.9</v>
      </c>
      <c r="G987" s="7">
        <v>18.440000000000001</v>
      </c>
      <c r="H987" s="7">
        <v>0</v>
      </c>
      <c r="I987" s="7" t="str">
        <f t="shared" si="77"/>
        <v/>
      </c>
      <c r="J987" s="7" t="str">
        <f t="shared" si="78"/>
        <v/>
      </c>
      <c r="K987" s="7">
        <v>0</v>
      </c>
      <c r="L987" s="7" t="str">
        <f t="shared" si="79"/>
        <v/>
      </c>
      <c r="M987" s="7" t="str">
        <f t="shared" si="80"/>
        <v/>
      </c>
      <c r="N987" s="7">
        <v>0</v>
      </c>
      <c r="O987" s="7"/>
      <c r="P987" s="7"/>
      <c r="Q987" s="7"/>
      <c r="AC987"/>
      <c r="AD987" s="14"/>
    </row>
    <row r="988" spans="1:30" x14ac:dyDescent="0.25">
      <c r="A988" t="b">
        <f t="shared" si="81"/>
        <v>0</v>
      </c>
      <c r="B988">
        <v>2006</v>
      </c>
      <c r="C988">
        <v>162</v>
      </c>
      <c r="D988">
        <v>0</v>
      </c>
      <c r="E988">
        <v>1100</v>
      </c>
      <c r="F988" s="7">
        <v>805</v>
      </c>
      <c r="G988" s="7">
        <v>19.47</v>
      </c>
      <c r="H988" s="7">
        <v>0</v>
      </c>
      <c r="I988" s="7" t="str">
        <f t="shared" si="77"/>
        <v/>
      </c>
      <c r="J988" s="7" t="str">
        <f t="shared" si="78"/>
        <v/>
      </c>
      <c r="K988" s="7">
        <v>0</v>
      </c>
      <c r="L988" s="7" t="str">
        <f t="shared" si="79"/>
        <v/>
      </c>
      <c r="M988" s="7" t="str">
        <f t="shared" si="80"/>
        <v/>
      </c>
      <c r="N988" s="7">
        <v>0</v>
      </c>
      <c r="O988" s="7"/>
      <c r="P988" s="7"/>
      <c r="Q988" s="7"/>
      <c r="AC988"/>
      <c r="AD988" s="14"/>
    </row>
    <row r="989" spans="1:30" x14ac:dyDescent="0.25">
      <c r="A989" t="b">
        <f t="shared" si="81"/>
        <v>0</v>
      </c>
      <c r="B989">
        <v>2006</v>
      </c>
      <c r="C989">
        <v>162</v>
      </c>
      <c r="D989">
        <v>0</v>
      </c>
      <c r="E989">
        <v>1200</v>
      </c>
      <c r="F989" s="7">
        <v>833</v>
      </c>
      <c r="G989" s="7">
        <v>19.600000000000001</v>
      </c>
      <c r="H989" s="7">
        <v>0</v>
      </c>
      <c r="I989" s="7" t="str">
        <f t="shared" si="77"/>
        <v/>
      </c>
      <c r="J989" s="7" t="str">
        <f t="shared" si="78"/>
        <v/>
      </c>
      <c r="K989" s="7">
        <v>0</v>
      </c>
      <c r="L989" s="7" t="str">
        <f t="shared" si="79"/>
        <v/>
      </c>
      <c r="M989" s="7" t="str">
        <f t="shared" si="80"/>
        <v/>
      </c>
      <c r="N989" s="7">
        <v>0</v>
      </c>
      <c r="O989" s="7"/>
      <c r="P989" s="7"/>
      <c r="Q989" s="7"/>
      <c r="AC989"/>
      <c r="AD989" s="14"/>
    </row>
    <row r="990" spans="1:30" x14ac:dyDescent="0.25">
      <c r="A990" t="b">
        <f t="shared" si="81"/>
        <v>0</v>
      </c>
      <c r="B990">
        <v>2006</v>
      </c>
      <c r="C990">
        <v>162</v>
      </c>
      <c r="D990">
        <v>0</v>
      </c>
      <c r="E990">
        <v>1300</v>
      </c>
      <c r="F990" s="7">
        <v>864</v>
      </c>
      <c r="G990" s="7">
        <v>19.95</v>
      </c>
      <c r="H990" s="7">
        <v>0</v>
      </c>
      <c r="I990" s="7" t="str">
        <f t="shared" si="77"/>
        <v/>
      </c>
      <c r="J990" s="7" t="str">
        <f t="shared" si="78"/>
        <v/>
      </c>
      <c r="K990" s="7">
        <v>0</v>
      </c>
      <c r="L990" s="7" t="str">
        <f t="shared" si="79"/>
        <v/>
      </c>
      <c r="M990" s="7" t="str">
        <f t="shared" si="80"/>
        <v/>
      </c>
      <c r="N990" s="7">
        <v>0</v>
      </c>
      <c r="O990" s="7"/>
      <c r="P990" s="7"/>
      <c r="Q990" s="7"/>
      <c r="AC990"/>
      <c r="AD990" s="14"/>
    </row>
    <row r="991" spans="1:30" x14ac:dyDescent="0.25">
      <c r="A991" t="b">
        <f t="shared" si="81"/>
        <v>0</v>
      </c>
      <c r="B991">
        <v>2006</v>
      </c>
      <c r="C991">
        <v>162</v>
      </c>
      <c r="D991">
        <v>0</v>
      </c>
      <c r="E991">
        <v>1400</v>
      </c>
      <c r="F991" s="7">
        <v>823</v>
      </c>
      <c r="G991" s="7">
        <v>20.36</v>
      </c>
      <c r="H991" s="7">
        <v>0</v>
      </c>
      <c r="I991" s="7" t="str">
        <f t="shared" si="77"/>
        <v/>
      </c>
      <c r="J991" s="7" t="str">
        <f t="shared" si="78"/>
        <v/>
      </c>
      <c r="K991" s="7">
        <v>0</v>
      </c>
      <c r="L991" s="7" t="str">
        <f t="shared" si="79"/>
        <v/>
      </c>
      <c r="M991" s="7" t="str">
        <f t="shared" si="80"/>
        <v/>
      </c>
      <c r="N991" s="7">
        <v>0</v>
      </c>
      <c r="O991" s="7"/>
      <c r="P991" s="7"/>
      <c r="Q991" s="7"/>
      <c r="AC991"/>
      <c r="AD991" s="14"/>
    </row>
    <row r="992" spans="1:30" x14ac:dyDescent="0.25">
      <c r="A992" t="b">
        <f t="shared" si="81"/>
        <v>0</v>
      </c>
      <c r="B992">
        <v>2006</v>
      </c>
      <c r="C992">
        <v>162</v>
      </c>
      <c r="D992">
        <v>0</v>
      </c>
      <c r="E992">
        <v>1500</v>
      </c>
      <c r="F992" s="7">
        <v>785</v>
      </c>
      <c r="G992" s="7">
        <v>20.3</v>
      </c>
      <c r="H992" s="7">
        <v>0</v>
      </c>
      <c r="I992" s="7" t="str">
        <f t="shared" si="77"/>
        <v/>
      </c>
      <c r="J992" s="7" t="str">
        <f t="shared" si="78"/>
        <v/>
      </c>
      <c r="K992" s="7">
        <v>0</v>
      </c>
      <c r="L992" s="7" t="str">
        <f t="shared" si="79"/>
        <v/>
      </c>
      <c r="M992" s="7" t="str">
        <f t="shared" si="80"/>
        <v/>
      </c>
      <c r="N992" s="7">
        <v>0</v>
      </c>
      <c r="O992" s="7"/>
      <c r="P992" s="7"/>
      <c r="Q992" s="7"/>
      <c r="AC992"/>
      <c r="AD992" s="14"/>
    </row>
    <row r="993" spans="1:30" x14ac:dyDescent="0.25">
      <c r="A993" t="b">
        <f t="shared" si="81"/>
        <v>0</v>
      </c>
      <c r="B993">
        <v>2006</v>
      </c>
      <c r="C993">
        <v>162</v>
      </c>
      <c r="D993">
        <v>0</v>
      </c>
      <c r="E993">
        <v>1600</v>
      </c>
      <c r="F993" s="7">
        <v>681.7</v>
      </c>
      <c r="G993" s="7">
        <v>20.170000000000002</v>
      </c>
      <c r="H993" s="7">
        <v>0</v>
      </c>
      <c r="I993" s="7" t="str">
        <f t="shared" si="77"/>
        <v/>
      </c>
      <c r="J993" s="7" t="str">
        <f t="shared" si="78"/>
        <v/>
      </c>
      <c r="K993" s="7">
        <v>0</v>
      </c>
      <c r="L993" s="7" t="str">
        <f t="shared" si="79"/>
        <v/>
      </c>
      <c r="M993" s="7" t="str">
        <f t="shared" si="80"/>
        <v/>
      </c>
      <c r="N993" s="7">
        <v>0</v>
      </c>
      <c r="O993" s="7"/>
      <c r="P993" s="7"/>
      <c r="Q993" s="7"/>
      <c r="AC993"/>
      <c r="AD993" s="14"/>
    </row>
    <row r="994" spans="1:30" x14ac:dyDescent="0.25">
      <c r="A994" t="b">
        <f t="shared" si="81"/>
        <v>0</v>
      </c>
      <c r="B994">
        <v>2006</v>
      </c>
      <c r="C994">
        <v>162</v>
      </c>
      <c r="D994">
        <v>0</v>
      </c>
      <c r="E994">
        <v>1700</v>
      </c>
      <c r="F994" s="7">
        <v>556.20000000000005</v>
      </c>
      <c r="G994" s="7">
        <v>20</v>
      </c>
      <c r="H994" s="7">
        <v>0</v>
      </c>
      <c r="I994" s="7" t="str">
        <f t="shared" si="77"/>
        <v/>
      </c>
      <c r="J994" s="7" t="str">
        <f t="shared" si="78"/>
        <v/>
      </c>
      <c r="K994" s="7">
        <v>0</v>
      </c>
      <c r="L994" s="7" t="str">
        <f t="shared" si="79"/>
        <v/>
      </c>
      <c r="M994" s="7" t="str">
        <f t="shared" si="80"/>
        <v/>
      </c>
      <c r="N994" s="7">
        <v>0</v>
      </c>
      <c r="O994" s="7"/>
      <c r="P994" s="7"/>
      <c r="Q994" s="7"/>
      <c r="AC994"/>
      <c r="AD994" s="14"/>
    </row>
    <row r="995" spans="1:30" x14ac:dyDescent="0.25">
      <c r="A995" t="b">
        <f t="shared" si="81"/>
        <v>0</v>
      </c>
      <c r="B995">
        <v>2006</v>
      </c>
      <c r="C995">
        <v>162</v>
      </c>
      <c r="D995">
        <v>0</v>
      </c>
      <c r="E995">
        <v>1800</v>
      </c>
      <c r="F995" s="7">
        <v>393.9</v>
      </c>
      <c r="G995" s="7">
        <v>19.09</v>
      </c>
      <c r="H995" s="7">
        <v>0</v>
      </c>
      <c r="I995" s="7" t="str">
        <f t="shared" si="77"/>
        <v/>
      </c>
      <c r="J995" s="7" t="str">
        <f t="shared" si="78"/>
        <v/>
      </c>
      <c r="K995" s="7">
        <v>0</v>
      </c>
      <c r="L995" s="7" t="str">
        <f t="shared" si="79"/>
        <v/>
      </c>
      <c r="M995" s="7" t="str">
        <f t="shared" si="80"/>
        <v/>
      </c>
      <c r="N995" s="7">
        <v>0</v>
      </c>
      <c r="O995" s="7"/>
      <c r="P995" s="7"/>
      <c r="Q995" s="7"/>
      <c r="AC995"/>
      <c r="AD995" s="14"/>
    </row>
    <row r="996" spans="1:30" x14ac:dyDescent="0.25">
      <c r="A996" t="b">
        <f t="shared" si="81"/>
        <v>0</v>
      </c>
      <c r="B996">
        <v>2006</v>
      </c>
      <c r="C996">
        <v>162</v>
      </c>
      <c r="D996">
        <v>0</v>
      </c>
      <c r="E996">
        <v>1900</v>
      </c>
      <c r="F996" s="7">
        <v>220.5</v>
      </c>
      <c r="G996" s="7">
        <v>17.739999999999998</v>
      </c>
      <c r="H996" s="7">
        <v>0</v>
      </c>
      <c r="I996" s="7" t="str">
        <f t="shared" si="77"/>
        <v/>
      </c>
      <c r="J996" s="7" t="str">
        <f t="shared" si="78"/>
        <v/>
      </c>
      <c r="K996" s="7">
        <v>0</v>
      </c>
      <c r="L996" s="7" t="str">
        <f t="shared" si="79"/>
        <v/>
      </c>
      <c r="M996" s="7" t="str">
        <f t="shared" si="80"/>
        <v/>
      </c>
      <c r="N996" s="7">
        <v>0</v>
      </c>
      <c r="O996" s="7"/>
      <c r="P996" s="7"/>
      <c r="Q996" s="7"/>
      <c r="AC996"/>
      <c r="AD996" s="14"/>
    </row>
    <row r="997" spans="1:30" x14ac:dyDescent="0.25">
      <c r="A997" t="b">
        <f t="shared" si="81"/>
        <v>0</v>
      </c>
      <c r="B997">
        <v>2006</v>
      </c>
      <c r="C997">
        <v>162</v>
      </c>
      <c r="D997">
        <v>0</v>
      </c>
      <c r="E997">
        <v>2000</v>
      </c>
      <c r="F997" s="7">
        <v>61.56</v>
      </c>
      <c r="G997" s="7">
        <v>15.56</v>
      </c>
      <c r="H997" s="7">
        <v>0</v>
      </c>
      <c r="I997" s="7" t="str">
        <f t="shared" si="77"/>
        <v/>
      </c>
      <c r="J997" s="7" t="str">
        <f t="shared" si="78"/>
        <v/>
      </c>
      <c r="K997" s="7">
        <v>0</v>
      </c>
      <c r="L997" s="7" t="str">
        <f t="shared" si="79"/>
        <v/>
      </c>
      <c r="M997" s="7" t="str">
        <f t="shared" si="80"/>
        <v/>
      </c>
      <c r="N997" s="7">
        <v>0</v>
      </c>
      <c r="O997" s="7"/>
      <c r="P997" s="7"/>
      <c r="Q997" s="7"/>
      <c r="AC997"/>
      <c r="AD997" s="14"/>
    </row>
    <row r="998" spans="1:30" x14ac:dyDescent="0.25">
      <c r="A998" t="b">
        <f t="shared" si="81"/>
        <v>0</v>
      </c>
      <c r="B998">
        <v>2006</v>
      </c>
      <c r="C998">
        <v>162</v>
      </c>
      <c r="D998">
        <v>0</v>
      </c>
      <c r="E998">
        <v>2100</v>
      </c>
      <c r="F998" s="7">
        <v>17.3</v>
      </c>
      <c r="G998" s="7">
        <v>14.32</v>
      </c>
      <c r="H998" s="7">
        <v>0</v>
      </c>
      <c r="I998" s="7" t="str">
        <f t="shared" si="77"/>
        <v/>
      </c>
      <c r="J998" s="7" t="str">
        <f t="shared" si="78"/>
        <v/>
      </c>
      <c r="K998" s="7">
        <v>0</v>
      </c>
      <c r="L998" s="7" t="str">
        <f t="shared" si="79"/>
        <v/>
      </c>
      <c r="M998" s="7" t="str">
        <f t="shared" si="80"/>
        <v/>
      </c>
      <c r="N998" s="7">
        <v>0</v>
      </c>
      <c r="O998" s="7"/>
      <c r="P998" s="7"/>
      <c r="Q998" s="7"/>
      <c r="AC998"/>
      <c r="AD998" s="14"/>
    </row>
    <row r="999" spans="1:30" x14ac:dyDescent="0.25">
      <c r="A999" t="b">
        <f t="shared" si="81"/>
        <v>0</v>
      </c>
      <c r="B999">
        <v>2006</v>
      </c>
      <c r="C999">
        <v>162</v>
      </c>
      <c r="D999">
        <v>0</v>
      </c>
      <c r="E999">
        <v>2200</v>
      </c>
      <c r="F999" s="7">
        <v>-2.7320000000000002</v>
      </c>
      <c r="G999" s="7">
        <v>13.47</v>
      </c>
      <c r="H999" s="7">
        <v>0</v>
      </c>
      <c r="I999" s="7" t="str">
        <f t="shared" si="77"/>
        <v/>
      </c>
      <c r="J999" s="7" t="str">
        <f t="shared" si="78"/>
        <v/>
      </c>
      <c r="K999" s="7">
        <v>0</v>
      </c>
      <c r="L999" s="7" t="str">
        <f t="shared" si="79"/>
        <v/>
      </c>
      <c r="M999" s="7" t="str">
        <f t="shared" si="80"/>
        <v/>
      </c>
      <c r="N999" s="7">
        <v>0</v>
      </c>
      <c r="O999" s="7"/>
      <c r="P999" s="7"/>
      <c r="Q999" s="7"/>
      <c r="AC999"/>
      <c r="AD999" s="14"/>
    </row>
    <row r="1000" spans="1:30" x14ac:dyDescent="0.25">
      <c r="A1000" t="b">
        <f t="shared" si="81"/>
        <v>0</v>
      </c>
      <c r="B1000">
        <v>2006</v>
      </c>
      <c r="C1000">
        <v>162</v>
      </c>
      <c r="D1000">
        <v>0</v>
      </c>
      <c r="E1000">
        <v>2300</v>
      </c>
      <c r="F1000" s="7">
        <v>-3.1179999999999999</v>
      </c>
      <c r="G1000" s="7">
        <v>13.27</v>
      </c>
      <c r="H1000" s="7">
        <v>0</v>
      </c>
      <c r="I1000" s="7" t="str">
        <f t="shared" si="77"/>
        <v/>
      </c>
      <c r="J1000" s="7" t="str">
        <f t="shared" si="78"/>
        <v/>
      </c>
      <c r="K1000" s="7">
        <v>0</v>
      </c>
      <c r="L1000" s="7" t="str">
        <f t="shared" si="79"/>
        <v/>
      </c>
      <c r="M1000" s="7" t="str">
        <f t="shared" si="80"/>
        <v/>
      </c>
      <c r="N1000" s="7">
        <v>0</v>
      </c>
      <c r="O1000" s="7"/>
      <c r="P1000" s="7"/>
      <c r="Q1000" s="7"/>
      <c r="AC1000"/>
      <c r="AD1000" s="14"/>
    </row>
    <row r="1001" spans="1:30" x14ac:dyDescent="0.25">
      <c r="A1001" t="b">
        <f t="shared" si="81"/>
        <v>0</v>
      </c>
      <c r="B1001">
        <v>2006</v>
      </c>
      <c r="C1001">
        <v>162</v>
      </c>
      <c r="D1001">
        <v>0</v>
      </c>
      <c r="E1001">
        <v>2400</v>
      </c>
      <c r="F1001" s="7">
        <v>-1.288</v>
      </c>
      <c r="G1001" s="7">
        <v>13.55</v>
      </c>
      <c r="H1001" s="7">
        <v>0</v>
      </c>
      <c r="I1001" s="7" t="str">
        <f t="shared" si="77"/>
        <v/>
      </c>
      <c r="J1001" s="7" t="str">
        <f t="shared" si="78"/>
        <v/>
      </c>
      <c r="K1001" s="7">
        <v>0</v>
      </c>
      <c r="L1001" s="7" t="str">
        <f t="shared" si="79"/>
        <v/>
      </c>
      <c r="M1001" s="7" t="str">
        <f t="shared" si="80"/>
        <v/>
      </c>
      <c r="N1001" s="7">
        <v>0</v>
      </c>
      <c r="O1001" s="7"/>
      <c r="P1001" s="7"/>
      <c r="Q1001" s="7"/>
      <c r="AC1001"/>
      <c r="AD1001" s="14"/>
    </row>
    <row r="1002" spans="1:30" x14ac:dyDescent="0.25">
      <c r="A1002" t="b">
        <f t="shared" si="81"/>
        <v>1</v>
      </c>
      <c r="B1002">
        <v>2006</v>
      </c>
      <c r="C1002">
        <v>163</v>
      </c>
      <c r="D1002">
        <v>0</v>
      </c>
      <c r="E1002">
        <v>100</v>
      </c>
      <c r="F1002" s="7">
        <v>-1.423</v>
      </c>
      <c r="G1002" s="7">
        <v>14.18</v>
      </c>
      <c r="H1002" s="7">
        <v>0</v>
      </c>
      <c r="I1002" s="7">
        <f t="shared" si="77"/>
        <v>0.8</v>
      </c>
      <c r="J1002" s="7">
        <f t="shared" si="78"/>
        <v>237.50816666666665</v>
      </c>
      <c r="K1002" s="7">
        <v>0</v>
      </c>
      <c r="L1002" s="7">
        <f t="shared" si="79"/>
        <v>20.52</v>
      </c>
      <c r="M1002" s="7">
        <f t="shared" si="80"/>
        <v>11.92</v>
      </c>
      <c r="N1002" s="7">
        <v>0</v>
      </c>
      <c r="O1002" s="7"/>
      <c r="P1002" s="7"/>
      <c r="Q1002" s="7"/>
      <c r="AC1002"/>
      <c r="AD1002" s="14"/>
    </row>
    <row r="1003" spans="1:30" x14ac:dyDescent="0.25">
      <c r="A1003" t="b">
        <f t="shared" si="81"/>
        <v>0</v>
      </c>
      <c r="B1003">
        <v>2006</v>
      </c>
      <c r="C1003">
        <v>163</v>
      </c>
      <c r="D1003">
        <v>0</v>
      </c>
      <c r="E1003">
        <v>200</v>
      </c>
      <c r="F1003" s="7">
        <v>-2.7189999999999999</v>
      </c>
      <c r="G1003" s="7">
        <v>12.82</v>
      </c>
      <c r="H1003" s="7">
        <v>0.2</v>
      </c>
      <c r="I1003" s="7" t="str">
        <f t="shared" si="77"/>
        <v/>
      </c>
      <c r="J1003" s="7" t="str">
        <f t="shared" si="78"/>
        <v/>
      </c>
      <c r="K1003" s="7">
        <v>0</v>
      </c>
      <c r="L1003" s="7" t="str">
        <f t="shared" si="79"/>
        <v/>
      </c>
      <c r="M1003" s="7" t="str">
        <f t="shared" si="80"/>
        <v/>
      </c>
      <c r="N1003" s="7">
        <v>0</v>
      </c>
      <c r="O1003" s="7"/>
      <c r="P1003" s="7"/>
      <c r="Q1003" s="7"/>
      <c r="AC1003"/>
      <c r="AD1003" s="14"/>
    </row>
    <row r="1004" spans="1:30" x14ac:dyDescent="0.25">
      <c r="A1004" t="b">
        <f t="shared" si="81"/>
        <v>0</v>
      </c>
      <c r="B1004">
        <v>2006</v>
      </c>
      <c r="C1004">
        <v>163</v>
      </c>
      <c r="D1004">
        <v>0</v>
      </c>
      <c r="E1004">
        <v>300</v>
      </c>
      <c r="F1004" s="7">
        <v>-1.2390000000000001</v>
      </c>
      <c r="G1004" s="7">
        <v>12.12</v>
      </c>
      <c r="H1004" s="7">
        <v>0.4</v>
      </c>
      <c r="I1004" s="7" t="str">
        <f t="shared" si="77"/>
        <v/>
      </c>
      <c r="J1004" s="7" t="str">
        <f t="shared" si="78"/>
        <v/>
      </c>
      <c r="K1004" s="7">
        <v>0</v>
      </c>
      <c r="L1004" s="7" t="str">
        <f t="shared" si="79"/>
        <v/>
      </c>
      <c r="M1004" s="7" t="str">
        <f t="shared" si="80"/>
        <v/>
      </c>
      <c r="N1004" s="7">
        <v>0</v>
      </c>
      <c r="O1004" s="7"/>
      <c r="P1004" s="7"/>
      <c r="Q1004" s="7"/>
      <c r="AC1004"/>
      <c r="AD1004" s="14"/>
    </row>
    <row r="1005" spans="1:30" x14ac:dyDescent="0.25">
      <c r="A1005" t="b">
        <f t="shared" si="81"/>
        <v>0</v>
      </c>
      <c r="B1005">
        <v>2006</v>
      </c>
      <c r="C1005">
        <v>163</v>
      </c>
      <c r="D1005">
        <v>0</v>
      </c>
      <c r="E1005">
        <v>400</v>
      </c>
      <c r="F1005" s="7">
        <v>-0.92400000000000004</v>
      </c>
      <c r="G1005" s="7">
        <v>11.92</v>
      </c>
      <c r="H1005" s="7">
        <v>0.2</v>
      </c>
      <c r="I1005" s="7" t="str">
        <f t="shared" si="77"/>
        <v/>
      </c>
      <c r="J1005" s="7" t="str">
        <f t="shared" si="78"/>
        <v/>
      </c>
      <c r="K1005" s="7">
        <v>0</v>
      </c>
      <c r="L1005" s="7" t="str">
        <f t="shared" si="79"/>
        <v/>
      </c>
      <c r="M1005" s="7" t="str">
        <f t="shared" si="80"/>
        <v/>
      </c>
      <c r="N1005" s="7">
        <v>0</v>
      </c>
      <c r="O1005" s="7"/>
      <c r="P1005" s="7"/>
      <c r="Q1005" s="7"/>
      <c r="AC1005"/>
      <c r="AD1005" s="14"/>
    </row>
    <row r="1006" spans="1:30" x14ac:dyDescent="0.25">
      <c r="A1006" t="b">
        <f t="shared" si="81"/>
        <v>0</v>
      </c>
      <c r="B1006">
        <v>2006</v>
      </c>
      <c r="C1006">
        <v>163</v>
      </c>
      <c r="D1006">
        <v>0</v>
      </c>
      <c r="E1006">
        <v>500</v>
      </c>
      <c r="F1006" s="7">
        <v>0.98</v>
      </c>
      <c r="G1006" s="7">
        <v>12.38</v>
      </c>
      <c r="H1006" s="7">
        <v>0</v>
      </c>
      <c r="I1006" s="7" t="str">
        <f t="shared" si="77"/>
        <v/>
      </c>
      <c r="J1006" s="7" t="str">
        <f t="shared" si="78"/>
        <v/>
      </c>
      <c r="K1006" s="7">
        <v>0</v>
      </c>
      <c r="L1006" s="7" t="str">
        <f t="shared" si="79"/>
        <v/>
      </c>
      <c r="M1006" s="7" t="str">
        <f t="shared" si="80"/>
        <v/>
      </c>
      <c r="N1006" s="7">
        <v>0</v>
      </c>
      <c r="O1006" s="7"/>
      <c r="P1006" s="7"/>
      <c r="Q1006" s="7"/>
      <c r="AC1006"/>
      <c r="AD1006" s="14"/>
    </row>
    <row r="1007" spans="1:30" x14ac:dyDescent="0.25">
      <c r="A1007" t="b">
        <f t="shared" si="81"/>
        <v>0</v>
      </c>
      <c r="B1007">
        <v>2006</v>
      </c>
      <c r="C1007">
        <v>163</v>
      </c>
      <c r="D1007">
        <v>0</v>
      </c>
      <c r="E1007">
        <v>600</v>
      </c>
      <c r="F1007" s="7">
        <v>32.32</v>
      </c>
      <c r="G1007" s="7">
        <v>13.15</v>
      </c>
      <c r="H1007" s="7">
        <v>0</v>
      </c>
      <c r="I1007" s="7" t="str">
        <f t="shared" si="77"/>
        <v/>
      </c>
      <c r="J1007" s="7" t="str">
        <f t="shared" si="78"/>
        <v/>
      </c>
      <c r="K1007" s="7">
        <v>0</v>
      </c>
      <c r="L1007" s="7" t="str">
        <f t="shared" si="79"/>
        <v/>
      </c>
      <c r="M1007" s="7" t="str">
        <f t="shared" si="80"/>
        <v/>
      </c>
      <c r="N1007" s="7">
        <v>0</v>
      </c>
      <c r="O1007" s="7"/>
      <c r="P1007" s="7"/>
      <c r="Q1007" s="7"/>
      <c r="AC1007"/>
      <c r="AD1007" s="14"/>
    </row>
    <row r="1008" spans="1:30" x14ac:dyDescent="0.25">
      <c r="A1008" t="b">
        <f t="shared" si="81"/>
        <v>0</v>
      </c>
      <c r="B1008">
        <v>2006</v>
      </c>
      <c r="C1008">
        <v>163</v>
      </c>
      <c r="D1008">
        <v>0</v>
      </c>
      <c r="E1008">
        <v>700</v>
      </c>
      <c r="F1008" s="7">
        <v>165.3</v>
      </c>
      <c r="G1008" s="7">
        <v>13.82</v>
      </c>
      <c r="H1008" s="7">
        <v>0</v>
      </c>
      <c r="I1008" s="7" t="str">
        <f t="shared" si="77"/>
        <v/>
      </c>
      <c r="J1008" s="7" t="str">
        <f t="shared" si="78"/>
        <v/>
      </c>
      <c r="K1008" s="7">
        <v>0</v>
      </c>
      <c r="L1008" s="7" t="str">
        <f t="shared" si="79"/>
        <v/>
      </c>
      <c r="M1008" s="7" t="str">
        <f t="shared" si="80"/>
        <v/>
      </c>
      <c r="N1008" s="7">
        <v>0</v>
      </c>
      <c r="O1008" s="7"/>
      <c r="P1008" s="7"/>
      <c r="Q1008" s="7"/>
      <c r="AC1008"/>
      <c r="AD1008" s="14"/>
    </row>
    <row r="1009" spans="1:30" x14ac:dyDescent="0.25">
      <c r="A1009" t="b">
        <f t="shared" si="81"/>
        <v>0</v>
      </c>
      <c r="B1009">
        <v>2006</v>
      </c>
      <c r="C1009">
        <v>163</v>
      </c>
      <c r="D1009">
        <v>0</v>
      </c>
      <c r="E1009">
        <v>800</v>
      </c>
      <c r="F1009" s="7">
        <v>379.9</v>
      </c>
      <c r="G1009" s="7">
        <v>15.77</v>
      </c>
      <c r="H1009" s="7">
        <v>0</v>
      </c>
      <c r="I1009" s="7" t="str">
        <f t="shared" si="77"/>
        <v/>
      </c>
      <c r="J1009" s="7" t="str">
        <f t="shared" si="78"/>
        <v/>
      </c>
      <c r="K1009" s="7">
        <v>0</v>
      </c>
      <c r="L1009" s="7" t="str">
        <f t="shared" si="79"/>
        <v/>
      </c>
      <c r="M1009" s="7" t="str">
        <f t="shared" si="80"/>
        <v/>
      </c>
      <c r="N1009" s="7">
        <v>0</v>
      </c>
      <c r="O1009" s="7"/>
      <c r="P1009" s="7"/>
      <c r="Q1009" s="7"/>
      <c r="AC1009"/>
      <c r="AD1009" s="14"/>
    </row>
    <row r="1010" spans="1:30" x14ac:dyDescent="0.25">
      <c r="A1010" t="b">
        <f t="shared" si="81"/>
        <v>0</v>
      </c>
      <c r="B1010">
        <v>2006</v>
      </c>
      <c r="C1010">
        <v>163</v>
      </c>
      <c r="D1010">
        <v>0</v>
      </c>
      <c r="E1010">
        <v>900</v>
      </c>
      <c r="F1010" s="7">
        <v>401.8</v>
      </c>
      <c r="G1010" s="7">
        <v>16.22</v>
      </c>
      <c r="H1010" s="7">
        <v>0</v>
      </c>
      <c r="I1010" s="7" t="str">
        <f t="shared" si="77"/>
        <v/>
      </c>
      <c r="J1010" s="7" t="str">
        <f t="shared" si="78"/>
        <v/>
      </c>
      <c r="K1010" s="7">
        <v>0</v>
      </c>
      <c r="L1010" s="7" t="str">
        <f t="shared" si="79"/>
        <v/>
      </c>
      <c r="M1010" s="7" t="str">
        <f t="shared" si="80"/>
        <v/>
      </c>
      <c r="N1010" s="7">
        <v>0</v>
      </c>
      <c r="O1010" s="7"/>
      <c r="P1010" s="7"/>
      <c r="Q1010" s="7"/>
      <c r="AC1010"/>
      <c r="AD1010" s="14"/>
    </row>
    <row r="1011" spans="1:30" x14ac:dyDescent="0.25">
      <c r="A1011" t="b">
        <f t="shared" si="81"/>
        <v>0</v>
      </c>
      <c r="B1011">
        <v>2006</v>
      </c>
      <c r="C1011">
        <v>163</v>
      </c>
      <c r="D1011">
        <v>0</v>
      </c>
      <c r="E1011">
        <v>1000</v>
      </c>
      <c r="F1011" s="7">
        <v>660.4</v>
      </c>
      <c r="G1011" s="7">
        <v>17.95</v>
      </c>
      <c r="H1011" s="7">
        <v>0</v>
      </c>
      <c r="I1011" s="7" t="str">
        <f t="shared" si="77"/>
        <v/>
      </c>
      <c r="J1011" s="7" t="str">
        <f t="shared" si="78"/>
        <v/>
      </c>
      <c r="K1011" s="7">
        <v>0</v>
      </c>
      <c r="L1011" s="7" t="str">
        <f t="shared" si="79"/>
        <v/>
      </c>
      <c r="M1011" s="7" t="str">
        <f t="shared" si="80"/>
        <v/>
      </c>
      <c r="N1011" s="7">
        <v>0</v>
      </c>
      <c r="O1011" s="7"/>
      <c r="P1011" s="7"/>
      <c r="Q1011" s="7"/>
      <c r="AC1011"/>
      <c r="AD1011" s="14"/>
    </row>
    <row r="1012" spans="1:30" x14ac:dyDescent="0.25">
      <c r="A1012" t="b">
        <f t="shared" si="81"/>
        <v>0</v>
      </c>
      <c r="B1012">
        <v>2006</v>
      </c>
      <c r="C1012">
        <v>163</v>
      </c>
      <c r="D1012">
        <v>0</v>
      </c>
      <c r="E1012">
        <v>1100</v>
      </c>
      <c r="F1012" s="7">
        <v>750</v>
      </c>
      <c r="G1012" s="7">
        <v>19.32</v>
      </c>
      <c r="H1012" s="7">
        <v>0</v>
      </c>
      <c r="I1012" s="7" t="str">
        <f t="shared" si="77"/>
        <v/>
      </c>
      <c r="J1012" s="7" t="str">
        <f t="shared" si="78"/>
        <v/>
      </c>
      <c r="K1012" s="7">
        <v>0</v>
      </c>
      <c r="L1012" s="7" t="str">
        <f t="shared" si="79"/>
        <v/>
      </c>
      <c r="M1012" s="7" t="str">
        <f t="shared" si="80"/>
        <v/>
      </c>
      <c r="N1012" s="7">
        <v>0</v>
      </c>
      <c r="O1012" s="7"/>
      <c r="P1012" s="7"/>
      <c r="Q1012" s="7"/>
      <c r="AC1012"/>
      <c r="AD1012" s="14"/>
    </row>
    <row r="1013" spans="1:30" x14ac:dyDescent="0.25">
      <c r="A1013" t="b">
        <f t="shared" si="81"/>
        <v>0</v>
      </c>
      <c r="B1013">
        <v>2006</v>
      </c>
      <c r="C1013">
        <v>163</v>
      </c>
      <c r="D1013">
        <v>0</v>
      </c>
      <c r="E1013">
        <v>1200</v>
      </c>
      <c r="F1013" s="7">
        <v>770</v>
      </c>
      <c r="G1013" s="7">
        <v>20.059999999999999</v>
      </c>
      <c r="H1013" s="7">
        <v>0</v>
      </c>
      <c r="I1013" s="7" t="str">
        <f t="shared" si="77"/>
        <v/>
      </c>
      <c r="J1013" s="7" t="str">
        <f t="shared" si="78"/>
        <v/>
      </c>
      <c r="K1013" s="7">
        <v>0</v>
      </c>
      <c r="L1013" s="7" t="str">
        <f t="shared" si="79"/>
        <v/>
      </c>
      <c r="M1013" s="7" t="str">
        <f t="shared" si="80"/>
        <v/>
      </c>
      <c r="N1013" s="7">
        <v>0</v>
      </c>
      <c r="O1013" s="7"/>
      <c r="P1013" s="7"/>
      <c r="Q1013" s="7"/>
      <c r="AC1013"/>
      <c r="AD1013" s="14"/>
    </row>
    <row r="1014" spans="1:30" x14ac:dyDescent="0.25">
      <c r="A1014" t="b">
        <f t="shared" si="81"/>
        <v>0</v>
      </c>
      <c r="B1014">
        <v>2006</v>
      </c>
      <c r="C1014">
        <v>163</v>
      </c>
      <c r="D1014">
        <v>0</v>
      </c>
      <c r="E1014">
        <v>1300</v>
      </c>
      <c r="F1014" s="7">
        <v>738</v>
      </c>
      <c r="G1014" s="7">
        <v>20.52</v>
      </c>
      <c r="H1014" s="7">
        <v>0</v>
      </c>
      <c r="I1014" s="7" t="str">
        <f t="shared" si="77"/>
        <v/>
      </c>
      <c r="J1014" s="7" t="str">
        <f t="shared" si="78"/>
        <v/>
      </c>
      <c r="K1014" s="7">
        <v>0</v>
      </c>
      <c r="L1014" s="7" t="str">
        <f t="shared" si="79"/>
        <v/>
      </c>
      <c r="M1014" s="7" t="str">
        <f t="shared" si="80"/>
        <v/>
      </c>
      <c r="N1014" s="7">
        <v>0</v>
      </c>
      <c r="O1014" s="7"/>
      <c r="P1014" s="7"/>
      <c r="Q1014" s="7"/>
      <c r="AC1014"/>
      <c r="AD1014" s="14"/>
    </row>
    <row r="1015" spans="1:30" x14ac:dyDescent="0.25">
      <c r="A1015" t="b">
        <f t="shared" si="81"/>
        <v>0</v>
      </c>
      <c r="B1015">
        <v>2006</v>
      </c>
      <c r="C1015">
        <v>163</v>
      </c>
      <c r="D1015">
        <v>0</v>
      </c>
      <c r="E1015">
        <v>1400</v>
      </c>
      <c r="F1015" s="7">
        <v>504.9</v>
      </c>
      <c r="G1015" s="7">
        <v>20.02</v>
      </c>
      <c r="H1015" s="7">
        <v>0</v>
      </c>
      <c r="I1015" s="7" t="str">
        <f t="shared" si="77"/>
        <v/>
      </c>
      <c r="J1015" s="7" t="str">
        <f t="shared" si="78"/>
        <v/>
      </c>
      <c r="K1015" s="7">
        <v>0</v>
      </c>
      <c r="L1015" s="7" t="str">
        <f t="shared" si="79"/>
        <v/>
      </c>
      <c r="M1015" s="7" t="str">
        <f t="shared" si="80"/>
        <v/>
      </c>
      <c r="N1015" s="7">
        <v>0</v>
      </c>
      <c r="O1015" s="7"/>
      <c r="P1015" s="7"/>
      <c r="Q1015" s="7"/>
      <c r="AC1015"/>
      <c r="AD1015" s="14"/>
    </row>
    <row r="1016" spans="1:30" x14ac:dyDescent="0.25">
      <c r="A1016" t="b">
        <f t="shared" si="81"/>
        <v>0</v>
      </c>
      <c r="B1016">
        <v>2006</v>
      </c>
      <c r="C1016">
        <v>163</v>
      </c>
      <c r="D1016">
        <v>0</v>
      </c>
      <c r="E1016">
        <v>1500</v>
      </c>
      <c r="F1016" s="7">
        <v>378.8</v>
      </c>
      <c r="G1016" s="7">
        <v>19.53</v>
      </c>
      <c r="H1016" s="7">
        <v>0</v>
      </c>
      <c r="I1016" s="7" t="str">
        <f t="shared" si="77"/>
        <v/>
      </c>
      <c r="J1016" s="7" t="str">
        <f t="shared" si="78"/>
        <v/>
      </c>
      <c r="K1016" s="7">
        <v>0</v>
      </c>
      <c r="L1016" s="7" t="str">
        <f t="shared" si="79"/>
        <v/>
      </c>
      <c r="M1016" s="7" t="str">
        <f t="shared" si="80"/>
        <v/>
      </c>
      <c r="N1016" s="7">
        <v>0</v>
      </c>
      <c r="O1016" s="7"/>
      <c r="P1016" s="7"/>
      <c r="Q1016" s="7"/>
      <c r="AC1016"/>
      <c r="AD1016" s="14"/>
    </row>
    <row r="1017" spans="1:30" x14ac:dyDescent="0.25">
      <c r="A1017" t="b">
        <f t="shared" si="81"/>
        <v>0</v>
      </c>
      <c r="B1017">
        <v>2006</v>
      </c>
      <c r="C1017">
        <v>163</v>
      </c>
      <c r="D1017">
        <v>0</v>
      </c>
      <c r="E1017">
        <v>1600</v>
      </c>
      <c r="F1017" s="7">
        <v>308.3</v>
      </c>
      <c r="G1017" s="7">
        <v>19.170000000000002</v>
      </c>
      <c r="H1017" s="7">
        <v>0</v>
      </c>
      <c r="I1017" s="7" t="str">
        <f t="shared" si="77"/>
        <v/>
      </c>
      <c r="J1017" s="7" t="str">
        <f t="shared" si="78"/>
        <v/>
      </c>
      <c r="K1017" s="7">
        <v>0</v>
      </c>
      <c r="L1017" s="7" t="str">
        <f t="shared" si="79"/>
        <v/>
      </c>
      <c r="M1017" s="7" t="str">
        <f t="shared" si="80"/>
        <v/>
      </c>
      <c r="N1017" s="7">
        <v>0</v>
      </c>
      <c r="O1017" s="7"/>
      <c r="P1017" s="7"/>
      <c r="Q1017" s="7"/>
      <c r="AC1017"/>
      <c r="AD1017" s="14"/>
    </row>
    <row r="1018" spans="1:30" x14ac:dyDescent="0.25">
      <c r="A1018" t="b">
        <f t="shared" si="81"/>
        <v>0</v>
      </c>
      <c r="B1018">
        <v>2006</v>
      </c>
      <c r="C1018">
        <v>163</v>
      </c>
      <c r="D1018">
        <v>0</v>
      </c>
      <c r="E1018">
        <v>1700</v>
      </c>
      <c r="F1018" s="7">
        <v>216.2</v>
      </c>
      <c r="G1018" s="7">
        <v>18.62</v>
      </c>
      <c r="H1018" s="7">
        <v>0</v>
      </c>
      <c r="I1018" s="7" t="str">
        <f t="shared" si="77"/>
        <v/>
      </c>
      <c r="J1018" s="7" t="str">
        <f t="shared" si="78"/>
        <v/>
      </c>
      <c r="K1018" s="7">
        <v>0</v>
      </c>
      <c r="L1018" s="7" t="str">
        <f t="shared" si="79"/>
        <v/>
      </c>
      <c r="M1018" s="7" t="str">
        <f t="shared" si="80"/>
        <v/>
      </c>
      <c r="N1018" s="7">
        <v>0</v>
      </c>
      <c r="O1018" s="7"/>
      <c r="P1018" s="7"/>
      <c r="Q1018" s="7"/>
      <c r="AC1018"/>
      <c r="AD1018" s="14"/>
    </row>
    <row r="1019" spans="1:30" x14ac:dyDescent="0.25">
      <c r="A1019" t="b">
        <f t="shared" si="81"/>
        <v>0</v>
      </c>
      <c r="B1019">
        <v>2006</v>
      </c>
      <c r="C1019">
        <v>163</v>
      </c>
      <c r="D1019">
        <v>0</v>
      </c>
      <c r="E1019">
        <v>1800</v>
      </c>
      <c r="F1019" s="7">
        <v>207.5</v>
      </c>
      <c r="G1019" s="7">
        <v>18.12</v>
      </c>
      <c r="H1019" s="7">
        <v>0</v>
      </c>
      <c r="I1019" s="7" t="str">
        <f t="shared" si="77"/>
        <v/>
      </c>
      <c r="J1019" s="7" t="str">
        <f t="shared" si="78"/>
        <v/>
      </c>
      <c r="K1019" s="7">
        <v>0</v>
      </c>
      <c r="L1019" s="7" t="str">
        <f t="shared" si="79"/>
        <v/>
      </c>
      <c r="M1019" s="7" t="str">
        <f t="shared" si="80"/>
        <v/>
      </c>
      <c r="N1019" s="7">
        <v>0</v>
      </c>
      <c r="O1019" s="7"/>
      <c r="P1019" s="7"/>
      <c r="Q1019" s="7"/>
      <c r="AC1019"/>
      <c r="AD1019" s="14"/>
    </row>
    <row r="1020" spans="1:30" x14ac:dyDescent="0.25">
      <c r="A1020" t="b">
        <f t="shared" si="81"/>
        <v>0</v>
      </c>
      <c r="B1020">
        <v>2006</v>
      </c>
      <c r="C1020">
        <v>163</v>
      </c>
      <c r="D1020">
        <v>0</v>
      </c>
      <c r="E1020">
        <v>1900</v>
      </c>
      <c r="F1020" s="7">
        <v>138.69999999999999</v>
      </c>
      <c r="G1020" s="7">
        <v>17.329999999999998</v>
      </c>
      <c r="H1020" s="7">
        <v>0</v>
      </c>
      <c r="I1020" s="7" t="str">
        <f t="shared" si="77"/>
        <v/>
      </c>
      <c r="J1020" s="7" t="str">
        <f t="shared" si="78"/>
        <v/>
      </c>
      <c r="K1020" s="7">
        <v>0</v>
      </c>
      <c r="L1020" s="7" t="str">
        <f t="shared" si="79"/>
        <v/>
      </c>
      <c r="M1020" s="7" t="str">
        <f t="shared" si="80"/>
        <v/>
      </c>
      <c r="N1020" s="7">
        <v>0</v>
      </c>
      <c r="O1020" s="7"/>
      <c r="P1020" s="7"/>
      <c r="Q1020" s="7"/>
      <c r="AC1020"/>
      <c r="AD1020" s="14"/>
    </row>
    <row r="1021" spans="1:30" x14ac:dyDescent="0.25">
      <c r="A1021" t="b">
        <f t="shared" si="81"/>
        <v>0</v>
      </c>
      <c r="B1021">
        <v>2006</v>
      </c>
      <c r="C1021">
        <v>163</v>
      </c>
      <c r="D1021">
        <v>0</v>
      </c>
      <c r="E1021">
        <v>2000</v>
      </c>
      <c r="F1021" s="7">
        <v>43.5</v>
      </c>
      <c r="G1021" s="7">
        <v>16.57</v>
      </c>
      <c r="H1021" s="7">
        <v>0</v>
      </c>
      <c r="I1021" s="7" t="str">
        <f t="shared" si="77"/>
        <v/>
      </c>
      <c r="J1021" s="7" t="str">
        <f t="shared" si="78"/>
        <v/>
      </c>
      <c r="K1021" s="7">
        <v>0</v>
      </c>
      <c r="L1021" s="7" t="str">
        <f t="shared" si="79"/>
        <v/>
      </c>
      <c r="M1021" s="7" t="str">
        <f t="shared" si="80"/>
        <v/>
      </c>
      <c r="N1021" s="7">
        <v>0</v>
      </c>
      <c r="O1021" s="7"/>
      <c r="P1021" s="7"/>
      <c r="Q1021" s="7"/>
      <c r="AC1021"/>
      <c r="AD1021" s="14"/>
    </row>
    <row r="1022" spans="1:30" x14ac:dyDescent="0.25">
      <c r="A1022" t="b">
        <f t="shared" si="81"/>
        <v>0</v>
      </c>
      <c r="B1022">
        <v>2006</v>
      </c>
      <c r="C1022">
        <v>163</v>
      </c>
      <c r="D1022">
        <v>0</v>
      </c>
      <c r="E1022">
        <v>2100</v>
      </c>
      <c r="F1022" s="7">
        <v>14.64</v>
      </c>
      <c r="G1022" s="7">
        <v>14.88</v>
      </c>
      <c r="H1022" s="7">
        <v>0</v>
      </c>
      <c r="I1022" s="7" t="str">
        <f t="shared" si="77"/>
        <v/>
      </c>
      <c r="J1022" s="7" t="str">
        <f t="shared" si="78"/>
        <v/>
      </c>
      <c r="K1022" s="7">
        <v>0</v>
      </c>
      <c r="L1022" s="7" t="str">
        <f t="shared" si="79"/>
        <v/>
      </c>
      <c r="M1022" s="7" t="str">
        <f t="shared" si="80"/>
        <v/>
      </c>
      <c r="N1022" s="7">
        <v>0</v>
      </c>
      <c r="O1022" s="7"/>
      <c r="P1022" s="7"/>
      <c r="Q1022" s="7"/>
      <c r="AC1022"/>
      <c r="AD1022" s="14"/>
    </row>
    <row r="1023" spans="1:30" x14ac:dyDescent="0.25">
      <c r="A1023" t="b">
        <f t="shared" si="81"/>
        <v>0</v>
      </c>
      <c r="B1023">
        <v>2006</v>
      </c>
      <c r="C1023">
        <v>163</v>
      </c>
      <c r="D1023">
        <v>0</v>
      </c>
      <c r="E1023">
        <v>2200</v>
      </c>
      <c r="F1023" s="7">
        <v>-1.466</v>
      </c>
      <c r="G1023" s="7">
        <v>14.17</v>
      </c>
      <c r="H1023" s="7">
        <v>0</v>
      </c>
      <c r="I1023" s="7" t="str">
        <f t="shared" si="77"/>
        <v/>
      </c>
      <c r="J1023" s="7" t="str">
        <f t="shared" si="78"/>
        <v/>
      </c>
      <c r="K1023" s="7">
        <v>0</v>
      </c>
      <c r="L1023" s="7" t="str">
        <f t="shared" si="79"/>
        <v/>
      </c>
      <c r="M1023" s="7" t="str">
        <f t="shared" si="80"/>
        <v/>
      </c>
      <c r="N1023" s="7">
        <v>0</v>
      </c>
      <c r="O1023" s="7"/>
      <c r="P1023" s="7"/>
      <c r="Q1023" s="7"/>
      <c r="AC1023"/>
      <c r="AD1023" s="14"/>
    </row>
    <row r="1024" spans="1:30" x14ac:dyDescent="0.25">
      <c r="A1024" t="b">
        <f t="shared" si="81"/>
        <v>0</v>
      </c>
      <c r="B1024">
        <v>2006</v>
      </c>
      <c r="C1024">
        <v>163</v>
      </c>
      <c r="D1024">
        <v>0</v>
      </c>
      <c r="E1024">
        <v>2300</v>
      </c>
      <c r="F1024" s="7">
        <v>-1.6339999999999999</v>
      </c>
      <c r="G1024" s="7">
        <v>13.63</v>
      </c>
      <c r="H1024" s="7">
        <v>0</v>
      </c>
      <c r="I1024" s="7" t="str">
        <f t="shared" si="77"/>
        <v/>
      </c>
      <c r="J1024" s="7" t="str">
        <f t="shared" si="78"/>
        <v/>
      </c>
      <c r="K1024" s="7">
        <v>0</v>
      </c>
      <c r="L1024" s="7" t="str">
        <f t="shared" si="79"/>
        <v/>
      </c>
      <c r="M1024" s="7" t="str">
        <f t="shared" si="80"/>
        <v/>
      </c>
      <c r="N1024" s="7">
        <v>0</v>
      </c>
      <c r="O1024" s="7"/>
      <c r="P1024" s="7"/>
      <c r="Q1024" s="7"/>
      <c r="AC1024"/>
      <c r="AD1024" s="14"/>
    </row>
    <row r="1025" spans="1:30" x14ac:dyDescent="0.25">
      <c r="A1025" t="b">
        <f t="shared" si="81"/>
        <v>0</v>
      </c>
      <c r="B1025">
        <v>2006</v>
      </c>
      <c r="C1025">
        <v>163</v>
      </c>
      <c r="D1025">
        <v>0</v>
      </c>
      <c r="E1025">
        <v>2400</v>
      </c>
      <c r="F1025" s="7">
        <v>-1.639</v>
      </c>
      <c r="G1025" s="7">
        <v>13.42</v>
      </c>
      <c r="H1025" s="7">
        <v>0</v>
      </c>
      <c r="I1025" s="7" t="str">
        <f t="shared" si="77"/>
        <v/>
      </c>
      <c r="J1025" s="7" t="str">
        <f t="shared" si="78"/>
        <v/>
      </c>
      <c r="K1025" s="7">
        <v>0</v>
      </c>
      <c r="L1025" s="7" t="str">
        <f t="shared" si="79"/>
        <v/>
      </c>
      <c r="M1025" s="7" t="str">
        <f t="shared" si="80"/>
        <v/>
      </c>
      <c r="N1025" s="7">
        <v>0</v>
      </c>
      <c r="O1025" s="7"/>
      <c r="P1025" s="7"/>
      <c r="Q1025" s="7"/>
      <c r="AC1025"/>
      <c r="AD1025" s="14"/>
    </row>
    <row r="1026" spans="1:30" x14ac:dyDescent="0.25">
      <c r="A1026" t="b">
        <f t="shared" si="81"/>
        <v>1</v>
      </c>
      <c r="B1026">
        <v>2006</v>
      </c>
      <c r="C1026">
        <v>164</v>
      </c>
      <c r="D1026">
        <v>0</v>
      </c>
      <c r="E1026">
        <v>100</v>
      </c>
      <c r="F1026" s="7">
        <v>-1.415</v>
      </c>
      <c r="G1026" s="7">
        <v>13.03</v>
      </c>
      <c r="H1026" s="7">
        <v>0</v>
      </c>
      <c r="I1026" s="7">
        <f t="shared" ref="I1026:I1089" si="82">IF(AND(B1026=B1025,C1026=C1025),"",SUMIFS($H$2:$H$1529,$B$2:$B$1529,B1026,$C$2:$C$1529,C1026))</f>
        <v>0</v>
      </c>
      <c r="J1026" s="7">
        <f t="shared" ref="J1026:J1089" si="83">IF(AND(B1026=B1025,C1026=C1025),"",AVERAGEIFS($F$2:$F$1529,$B$2:$B$1529,B1026,$C$2:$C$1529,C1026))</f>
        <v>230.88583333333335</v>
      </c>
      <c r="K1026" s="7">
        <v>0</v>
      </c>
      <c r="L1026" s="7">
        <f t="shared" ref="L1026:L1089" si="84">IF(AND(B1026=B1025,C1026=C1025),"",_xlfn.MAXIFS($G$2:$G$1529,$B$2:$B$1529,B1026,$C$2:$C$1529,C1026))</f>
        <v>16.97</v>
      </c>
      <c r="M1026" s="7">
        <f t="shared" ref="M1026:M1089" si="85">IF(AND(B1026=B1025,C1026=C1025),"",_xlfn.MINIFS($G$2:$G$1529,$B$2:$B$1529,B1026,$C$2:$C$1529,C1026))</f>
        <v>10.89</v>
      </c>
      <c r="N1026" s="7">
        <v>0</v>
      </c>
      <c r="O1026" s="7"/>
      <c r="P1026" s="7"/>
      <c r="Q1026" s="7"/>
      <c r="AC1026"/>
      <c r="AD1026" s="14"/>
    </row>
    <row r="1027" spans="1:30" x14ac:dyDescent="0.25">
      <c r="A1027" t="b">
        <f t="shared" ref="A1027:A1090" si="86">NOT(I1027="")</f>
        <v>0</v>
      </c>
      <c r="B1027">
        <v>2006</v>
      </c>
      <c r="C1027">
        <v>164</v>
      </c>
      <c r="D1027">
        <v>0</v>
      </c>
      <c r="E1027">
        <v>200</v>
      </c>
      <c r="F1027" s="7">
        <v>-1.22</v>
      </c>
      <c r="G1027" s="7">
        <v>12.81</v>
      </c>
      <c r="H1027" s="7">
        <v>0</v>
      </c>
      <c r="I1027" s="7" t="str">
        <f t="shared" si="82"/>
        <v/>
      </c>
      <c r="J1027" s="7" t="str">
        <f t="shared" si="83"/>
        <v/>
      </c>
      <c r="K1027" s="7">
        <v>0</v>
      </c>
      <c r="L1027" s="7" t="str">
        <f t="shared" si="84"/>
        <v/>
      </c>
      <c r="M1027" s="7" t="str">
        <f t="shared" si="85"/>
        <v/>
      </c>
      <c r="N1027" s="7">
        <v>0</v>
      </c>
      <c r="O1027" s="7"/>
      <c r="P1027" s="7"/>
      <c r="Q1027" s="7"/>
      <c r="AC1027"/>
      <c r="AD1027" s="14"/>
    </row>
    <row r="1028" spans="1:30" x14ac:dyDescent="0.25">
      <c r="A1028" t="b">
        <f t="shared" si="86"/>
        <v>0</v>
      </c>
      <c r="B1028">
        <v>2006</v>
      </c>
      <c r="C1028">
        <v>164</v>
      </c>
      <c r="D1028">
        <v>0</v>
      </c>
      <c r="E1028">
        <v>300</v>
      </c>
      <c r="F1028" s="7">
        <v>-1.4490000000000001</v>
      </c>
      <c r="G1028" s="7">
        <v>12.59</v>
      </c>
      <c r="H1028" s="7">
        <v>0</v>
      </c>
      <c r="I1028" s="7" t="str">
        <f t="shared" si="82"/>
        <v/>
      </c>
      <c r="J1028" s="7" t="str">
        <f t="shared" si="83"/>
        <v/>
      </c>
      <c r="K1028" s="7">
        <v>0</v>
      </c>
      <c r="L1028" s="7" t="str">
        <f t="shared" si="84"/>
        <v/>
      </c>
      <c r="M1028" s="7" t="str">
        <f t="shared" si="85"/>
        <v/>
      </c>
      <c r="N1028" s="7">
        <v>0</v>
      </c>
      <c r="O1028" s="7"/>
      <c r="P1028" s="7"/>
      <c r="Q1028" s="7"/>
      <c r="AC1028"/>
      <c r="AD1028" s="14"/>
    </row>
    <row r="1029" spans="1:30" x14ac:dyDescent="0.25">
      <c r="A1029" t="b">
        <f t="shared" si="86"/>
        <v>0</v>
      </c>
      <c r="B1029">
        <v>2006</v>
      </c>
      <c r="C1029">
        <v>164</v>
      </c>
      <c r="D1029">
        <v>0</v>
      </c>
      <c r="E1029">
        <v>400</v>
      </c>
      <c r="F1029" s="7">
        <v>-0.254</v>
      </c>
      <c r="G1029" s="7">
        <v>11.88</v>
      </c>
      <c r="H1029" s="7">
        <v>0</v>
      </c>
      <c r="I1029" s="7" t="str">
        <f t="shared" si="82"/>
        <v/>
      </c>
      <c r="J1029" s="7" t="str">
        <f t="shared" si="83"/>
        <v/>
      </c>
      <c r="K1029" s="7">
        <v>0</v>
      </c>
      <c r="L1029" s="7" t="str">
        <f t="shared" si="84"/>
        <v/>
      </c>
      <c r="M1029" s="7" t="str">
        <f t="shared" si="85"/>
        <v/>
      </c>
      <c r="N1029" s="7">
        <v>0</v>
      </c>
      <c r="O1029" s="7"/>
      <c r="P1029" s="7"/>
      <c r="Q1029" s="7"/>
      <c r="AC1029"/>
      <c r="AD1029" s="14"/>
    </row>
    <row r="1030" spans="1:30" x14ac:dyDescent="0.25">
      <c r="A1030" t="b">
        <f t="shared" si="86"/>
        <v>0</v>
      </c>
      <c r="B1030">
        <v>2006</v>
      </c>
      <c r="C1030">
        <v>164</v>
      </c>
      <c r="D1030">
        <v>0</v>
      </c>
      <c r="E1030">
        <v>500</v>
      </c>
      <c r="F1030" s="7">
        <v>23.15</v>
      </c>
      <c r="G1030" s="7">
        <v>10.89</v>
      </c>
      <c r="H1030" s="7">
        <v>0</v>
      </c>
      <c r="I1030" s="7" t="str">
        <f t="shared" si="82"/>
        <v/>
      </c>
      <c r="J1030" s="7" t="str">
        <f t="shared" si="83"/>
        <v/>
      </c>
      <c r="K1030" s="7">
        <v>0</v>
      </c>
      <c r="L1030" s="7" t="str">
        <f t="shared" si="84"/>
        <v/>
      </c>
      <c r="M1030" s="7" t="str">
        <f t="shared" si="85"/>
        <v/>
      </c>
      <c r="N1030" s="7">
        <v>0</v>
      </c>
      <c r="O1030" s="7"/>
      <c r="P1030" s="7"/>
      <c r="Q1030" s="7"/>
      <c r="AC1030"/>
      <c r="AD1030" s="14"/>
    </row>
    <row r="1031" spans="1:30" x14ac:dyDescent="0.25">
      <c r="A1031" t="b">
        <f t="shared" si="86"/>
        <v>0</v>
      </c>
      <c r="B1031">
        <v>2006</v>
      </c>
      <c r="C1031">
        <v>164</v>
      </c>
      <c r="D1031">
        <v>0</v>
      </c>
      <c r="E1031">
        <v>600</v>
      </c>
      <c r="F1031" s="7">
        <v>82.1</v>
      </c>
      <c r="G1031" s="7">
        <v>11.45</v>
      </c>
      <c r="H1031" s="7">
        <v>0</v>
      </c>
      <c r="I1031" s="7" t="str">
        <f t="shared" si="82"/>
        <v/>
      </c>
      <c r="J1031" s="7" t="str">
        <f t="shared" si="83"/>
        <v/>
      </c>
      <c r="K1031" s="7">
        <v>0</v>
      </c>
      <c r="L1031" s="7" t="str">
        <f t="shared" si="84"/>
        <v/>
      </c>
      <c r="M1031" s="7" t="str">
        <f t="shared" si="85"/>
        <v/>
      </c>
      <c r="N1031" s="7">
        <v>0</v>
      </c>
      <c r="O1031" s="7"/>
      <c r="P1031" s="7"/>
      <c r="Q1031" s="7"/>
      <c r="AC1031"/>
      <c r="AD1031" s="14"/>
    </row>
    <row r="1032" spans="1:30" x14ac:dyDescent="0.25">
      <c r="A1032" t="b">
        <f t="shared" si="86"/>
        <v>0</v>
      </c>
      <c r="B1032">
        <v>2006</v>
      </c>
      <c r="C1032">
        <v>164</v>
      </c>
      <c r="D1032">
        <v>0</v>
      </c>
      <c r="E1032">
        <v>700</v>
      </c>
      <c r="F1032" s="7">
        <v>190.4</v>
      </c>
      <c r="G1032" s="7">
        <v>12.59</v>
      </c>
      <c r="H1032" s="7">
        <v>0</v>
      </c>
      <c r="I1032" s="7" t="str">
        <f t="shared" si="82"/>
        <v/>
      </c>
      <c r="J1032" s="7" t="str">
        <f t="shared" si="83"/>
        <v/>
      </c>
      <c r="K1032" s="7">
        <v>0</v>
      </c>
      <c r="L1032" s="7" t="str">
        <f t="shared" si="84"/>
        <v/>
      </c>
      <c r="M1032" s="7" t="str">
        <f t="shared" si="85"/>
        <v/>
      </c>
      <c r="N1032" s="7">
        <v>0</v>
      </c>
      <c r="O1032" s="7"/>
      <c r="P1032" s="7"/>
      <c r="Q1032" s="7"/>
      <c r="AC1032"/>
      <c r="AD1032" s="14"/>
    </row>
    <row r="1033" spans="1:30" x14ac:dyDescent="0.25">
      <c r="A1033" t="b">
        <f t="shared" si="86"/>
        <v>0</v>
      </c>
      <c r="B1033">
        <v>2006</v>
      </c>
      <c r="C1033">
        <v>164</v>
      </c>
      <c r="D1033">
        <v>0</v>
      </c>
      <c r="E1033">
        <v>800</v>
      </c>
      <c r="F1033" s="7">
        <v>359.3</v>
      </c>
      <c r="G1033" s="7">
        <v>13.65</v>
      </c>
      <c r="H1033" s="7">
        <v>0</v>
      </c>
      <c r="I1033" s="7" t="str">
        <f t="shared" si="82"/>
        <v/>
      </c>
      <c r="J1033" s="7" t="str">
        <f t="shared" si="83"/>
        <v/>
      </c>
      <c r="K1033" s="7">
        <v>0</v>
      </c>
      <c r="L1033" s="7" t="str">
        <f t="shared" si="84"/>
        <v/>
      </c>
      <c r="M1033" s="7" t="str">
        <f t="shared" si="85"/>
        <v/>
      </c>
      <c r="N1033" s="7">
        <v>0</v>
      </c>
      <c r="O1033" s="7"/>
      <c r="P1033" s="7"/>
      <c r="Q1033" s="7"/>
      <c r="AC1033"/>
      <c r="AD1033" s="14"/>
    </row>
    <row r="1034" spans="1:30" x14ac:dyDescent="0.25">
      <c r="A1034" t="b">
        <f t="shared" si="86"/>
        <v>0</v>
      </c>
      <c r="B1034">
        <v>2006</v>
      </c>
      <c r="C1034">
        <v>164</v>
      </c>
      <c r="D1034">
        <v>0</v>
      </c>
      <c r="E1034">
        <v>900</v>
      </c>
      <c r="F1034" s="7">
        <v>575.70000000000005</v>
      </c>
      <c r="G1034" s="7">
        <v>14.56</v>
      </c>
      <c r="H1034" s="7">
        <v>0</v>
      </c>
      <c r="I1034" s="7" t="str">
        <f t="shared" si="82"/>
        <v/>
      </c>
      <c r="J1034" s="7" t="str">
        <f t="shared" si="83"/>
        <v/>
      </c>
      <c r="K1034" s="7">
        <v>0</v>
      </c>
      <c r="L1034" s="7" t="str">
        <f t="shared" si="84"/>
        <v/>
      </c>
      <c r="M1034" s="7" t="str">
        <f t="shared" si="85"/>
        <v/>
      </c>
      <c r="N1034" s="7">
        <v>0</v>
      </c>
      <c r="O1034" s="7"/>
      <c r="P1034" s="7"/>
      <c r="Q1034" s="7"/>
      <c r="AC1034"/>
      <c r="AD1034" s="14"/>
    </row>
    <row r="1035" spans="1:30" x14ac:dyDescent="0.25">
      <c r="A1035" t="b">
        <f t="shared" si="86"/>
        <v>0</v>
      </c>
      <c r="B1035">
        <v>2006</v>
      </c>
      <c r="C1035">
        <v>164</v>
      </c>
      <c r="D1035">
        <v>0</v>
      </c>
      <c r="E1035">
        <v>1000</v>
      </c>
      <c r="F1035" s="7">
        <v>551.5</v>
      </c>
      <c r="G1035" s="7">
        <v>15.18</v>
      </c>
      <c r="H1035" s="7">
        <v>0</v>
      </c>
      <c r="I1035" s="7" t="str">
        <f t="shared" si="82"/>
        <v/>
      </c>
      <c r="J1035" s="7" t="str">
        <f t="shared" si="83"/>
        <v/>
      </c>
      <c r="K1035" s="7">
        <v>0</v>
      </c>
      <c r="L1035" s="7" t="str">
        <f t="shared" si="84"/>
        <v/>
      </c>
      <c r="M1035" s="7" t="str">
        <f t="shared" si="85"/>
        <v/>
      </c>
      <c r="N1035" s="7">
        <v>0</v>
      </c>
      <c r="O1035" s="7"/>
      <c r="P1035" s="7"/>
      <c r="Q1035" s="7"/>
      <c r="AC1035"/>
      <c r="AD1035" s="14"/>
    </row>
    <row r="1036" spans="1:30" x14ac:dyDescent="0.25">
      <c r="A1036" t="b">
        <f t="shared" si="86"/>
        <v>0</v>
      </c>
      <c r="B1036">
        <v>2006</v>
      </c>
      <c r="C1036">
        <v>164</v>
      </c>
      <c r="D1036">
        <v>0</v>
      </c>
      <c r="E1036">
        <v>1100</v>
      </c>
      <c r="F1036" s="7">
        <v>631</v>
      </c>
      <c r="G1036" s="7">
        <v>15.76</v>
      </c>
      <c r="H1036" s="7">
        <v>0</v>
      </c>
      <c r="I1036" s="7" t="str">
        <f t="shared" si="82"/>
        <v/>
      </c>
      <c r="J1036" s="7" t="str">
        <f t="shared" si="83"/>
        <v/>
      </c>
      <c r="K1036" s="7">
        <v>0</v>
      </c>
      <c r="L1036" s="7" t="str">
        <f t="shared" si="84"/>
        <v/>
      </c>
      <c r="M1036" s="7" t="str">
        <f t="shared" si="85"/>
        <v/>
      </c>
      <c r="N1036" s="7">
        <v>0</v>
      </c>
      <c r="O1036" s="7"/>
      <c r="P1036" s="7"/>
      <c r="Q1036" s="7"/>
      <c r="AC1036"/>
      <c r="AD1036" s="14"/>
    </row>
    <row r="1037" spans="1:30" x14ac:dyDescent="0.25">
      <c r="A1037" t="b">
        <f t="shared" si="86"/>
        <v>0</v>
      </c>
      <c r="B1037">
        <v>2006</v>
      </c>
      <c r="C1037">
        <v>164</v>
      </c>
      <c r="D1037">
        <v>0</v>
      </c>
      <c r="E1037">
        <v>1200</v>
      </c>
      <c r="F1037" s="7">
        <v>532.4</v>
      </c>
      <c r="G1037" s="7">
        <v>15.7</v>
      </c>
      <c r="H1037" s="7">
        <v>0</v>
      </c>
      <c r="I1037" s="7" t="str">
        <f t="shared" si="82"/>
        <v/>
      </c>
      <c r="J1037" s="7" t="str">
        <f t="shared" si="83"/>
        <v/>
      </c>
      <c r="K1037" s="7">
        <v>0</v>
      </c>
      <c r="L1037" s="7" t="str">
        <f t="shared" si="84"/>
        <v/>
      </c>
      <c r="M1037" s="7" t="str">
        <f t="shared" si="85"/>
        <v/>
      </c>
      <c r="N1037" s="7">
        <v>0</v>
      </c>
      <c r="O1037" s="7"/>
      <c r="P1037" s="7"/>
      <c r="Q1037" s="7"/>
      <c r="AC1037"/>
      <c r="AD1037" s="14"/>
    </row>
    <row r="1038" spans="1:30" x14ac:dyDescent="0.25">
      <c r="A1038" t="b">
        <f t="shared" si="86"/>
        <v>0</v>
      </c>
      <c r="B1038">
        <v>2006</v>
      </c>
      <c r="C1038">
        <v>164</v>
      </c>
      <c r="D1038">
        <v>0</v>
      </c>
      <c r="E1038">
        <v>1300</v>
      </c>
      <c r="F1038" s="7">
        <v>469.4</v>
      </c>
      <c r="G1038" s="7">
        <v>16.03</v>
      </c>
      <c r="H1038" s="7">
        <v>0</v>
      </c>
      <c r="I1038" s="7" t="str">
        <f t="shared" si="82"/>
        <v/>
      </c>
      <c r="J1038" s="7" t="str">
        <f t="shared" si="83"/>
        <v/>
      </c>
      <c r="K1038" s="7">
        <v>0</v>
      </c>
      <c r="L1038" s="7" t="str">
        <f t="shared" si="84"/>
        <v/>
      </c>
      <c r="M1038" s="7" t="str">
        <f t="shared" si="85"/>
        <v/>
      </c>
      <c r="N1038" s="7">
        <v>0</v>
      </c>
      <c r="O1038" s="7"/>
      <c r="P1038" s="7"/>
      <c r="Q1038" s="7"/>
      <c r="AC1038"/>
      <c r="AD1038" s="14"/>
    </row>
    <row r="1039" spans="1:30" x14ac:dyDescent="0.25">
      <c r="A1039" t="b">
        <f t="shared" si="86"/>
        <v>0</v>
      </c>
      <c r="B1039">
        <v>2006</v>
      </c>
      <c r="C1039">
        <v>164</v>
      </c>
      <c r="D1039">
        <v>0</v>
      </c>
      <c r="E1039">
        <v>1400</v>
      </c>
      <c r="F1039" s="7">
        <v>483.4</v>
      </c>
      <c r="G1039" s="7">
        <v>16.71</v>
      </c>
      <c r="H1039" s="7">
        <v>0</v>
      </c>
      <c r="I1039" s="7" t="str">
        <f t="shared" si="82"/>
        <v/>
      </c>
      <c r="J1039" s="7" t="str">
        <f t="shared" si="83"/>
        <v/>
      </c>
      <c r="K1039" s="7">
        <v>0</v>
      </c>
      <c r="L1039" s="7" t="str">
        <f t="shared" si="84"/>
        <v/>
      </c>
      <c r="M1039" s="7" t="str">
        <f t="shared" si="85"/>
        <v/>
      </c>
      <c r="N1039" s="7">
        <v>0</v>
      </c>
      <c r="O1039" s="7"/>
      <c r="P1039" s="7"/>
      <c r="Q1039" s="7"/>
      <c r="AC1039"/>
      <c r="AD1039" s="14"/>
    </row>
    <row r="1040" spans="1:30" x14ac:dyDescent="0.25">
      <c r="A1040" t="b">
        <f t="shared" si="86"/>
        <v>0</v>
      </c>
      <c r="B1040">
        <v>2006</v>
      </c>
      <c r="C1040">
        <v>164</v>
      </c>
      <c r="D1040">
        <v>0</v>
      </c>
      <c r="E1040">
        <v>1500</v>
      </c>
      <c r="F1040" s="7">
        <v>439.1</v>
      </c>
      <c r="G1040" s="7">
        <v>16.760000000000002</v>
      </c>
      <c r="H1040" s="7">
        <v>0</v>
      </c>
      <c r="I1040" s="7" t="str">
        <f t="shared" si="82"/>
        <v/>
      </c>
      <c r="J1040" s="7" t="str">
        <f t="shared" si="83"/>
        <v/>
      </c>
      <c r="K1040" s="7">
        <v>0</v>
      </c>
      <c r="L1040" s="7" t="str">
        <f t="shared" si="84"/>
        <v/>
      </c>
      <c r="M1040" s="7" t="str">
        <f t="shared" si="85"/>
        <v/>
      </c>
      <c r="N1040" s="7">
        <v>0</v>
      </c>
      <c r="O1040" s="7"/>
      <c r="P1040" s="7"/>
      <c r="Q1040" s="7"/>
      <c r="AC1040"/>
      <c r="AD1040" s="14"/>
    </row>
    <row r="1041" spans="1:30" x14ac:dyDescent="0.25">
      <c r="A1041" t="b">
        <f t="shared" si="86"/>
        <v>0</v>
      </c>
      <c r="B1041">
        <v>2006</v>
      </c>
      <c r="C1041">
        <v>164</v>
      </c>
      <c r="D1041">
        <v>0</v>
      </c>
      <c r="E1041">
        <v>1600</v>
      </c>
      <c r="F1041" s="7">
        <v>416.9</v>
      </c>
      <c r="G1041" s="7">
        <v>16.97</v>
      </c>
      <c r="H1041" s="7">
        <v>0</v>
      </c>
      <c r="I1041" s="7" t="str">
        <f t="shared" si="82"/>
        <v/>
      </c>
      <c r="J1041" s="7" t="str">
        <f t="shared" si="83"/>
        <v/>
      </c>
      <c r="K1041" s="7">
        <v>0</v>
      </c>
      <c r="L1041" s="7" t="str">
        <f t="shared" si="84"/>
        <v/>
      </c>
      <c r="M1041" s="7" t="str">
        <f t="shared" si="85"/>
        <v/>
      </c>
      <c r="N1041" s="7">
        <v>0</v>
      </c>
      <c r="O1041" s="7"/>
      <c r="P1041" s="7"/>
      <c r="Q1041" s="7"/>
      <c r="AC1041"/>
      <c r="AD1041" s="14"/>
    </row>
    <row r="1042" spans="1:30" x14ac:dyDescent="0.25">
      <c r="A1042" t="b">
        <f t="shared" si="86"/>
        <v>0</v>
      </c>
      <c r="B1042">
        <v>2006</v>
      </c>
      <c r="C1042">
        <v>164</v>
      </c>
      <c r="D1042">
        <v>0</v>
      </c>
      <c r="E1042">
        <v>1700</v>
      </c>
      <c r="F1042" s="7">
        <v>434.5</v>
      </c>
      <c r="G1042" s="7">
        <v>16.940000000000001</v>
      </c>
      <c r="H1042" s="7">
        <v>0</v>
      </c>
      <c r="I1042" s="7" t="str">
        <f t="shared" si="82"/>
        <v/>
      </c>
      <c r="J1042" s="7" t="str">
        <f t="shared" si="83"/>
        <v/>
      </c>
      <c r="K1042" s="7">
        <v>0</v>
      </c>
      <c r="L1042" s="7" t="str">
        <f t="shared" si="84"/>
        <v/>
      </c>
      <c r="M1042" s="7" t="str">
        <f t="shared" si="85"/>
        <v/>
      </c>
      <c r="N1042" s="7">
        <v>0</v>
      </c>
      <c r="O1042" s="7"/>
      <c r="P1042" s="7"/>
      <c r="Q1042" s="7"/>
      <c r="AC1042"/>
      <c r="AD1042" s="14"/>
    </row>
    <row r="1043" spans="1:30" x14ac:dyDescent="0.25">
      <c r="A1043" t="b">
        <f t="shared" si="86"/>
        <v>0</v>
      </c>
      <c r="B1043">
        <v>2006</v>
      </c>
      <c r="C1043">
        <v>164</v>
      </c>
      <c r="D1043">
        <v>0</v>
      </c>
      <c r="E1043">
        <v>1800</v>
      </c>
      <c r="F1043" s="7">
        <v>208.7</v>
      </c>
      <c r="G1043" s="7">
        <v>15.71</v>
      </c>
      <c r="H1043" s="7">
        <v>0</v>
      </c>
      <c r="I1043" s="7" t="str">
        <f t="shared" si="82"/>
        <v/>
      </c>
      <c r="J1043" s="7" t="str">
        <f t="shared" si="83"/>
        <v/>
      </c>
      <c r="K1043" s="7">
        <v>0</v>
      </c>
      <c r="L1043" s="7" t="str">
        <f t="shared" si="84"/>
        <v/>
      </c>
      <c r="M1043" s="7" t="str">
        <f t="shared" si="85"/>
        <v/>
      </c>
      <c r="N1043" s="7">
        <v>0</v>
      </c>
      <c r="O1043" s="7"/>
      <c r="P1043" s="7"/>
      <c r="Q1043" s="7"/>
      <c r="AC1043"/>
      <c r="AD1043" s="14"/>
    </row>
    <row r="1044" spans="1:30" x14ac:dyDescent="0.25">
      <c r="A1044" t="b">
        <f t="shared" si="86"/>
        <v>0</v>
      </c>
      <c r="B1044">
        <v>2006</v>
      </c>
      <c r="C1044">
        <v>164</v>
      </c>
      <c r="D1044">
        <v>0</v>
      </c>
      <c r="E1044">
        <v>1900</v>
      </c>
      <c r="F1044" s="7">
        <v>119.8</v>
      </c>
      <c r="G1044" s="7">
        <v>14.69</v>
      </c>
      <c r="H1044" s="7">
        <v>0</v>
      </c>
      <c r="I1044" s="7" t="str">
        <f t="shared" si="82"/>
        <v/>
      </c>
      <c r="J1044" s="7" t="str">
        <f t="shared" si="83"/>
        <v/>
      </c>
      <c r="K1044" s="7">
        <v>0</v>
      </c>
      <c r="L1044" s="7" t="str">
        <f t="shared" si="84"/>
        <v/>
      </c>
      <c r="M1044" s="7" t="str">
        <f t="shared" si="85"/>
        <v/>
      </c>
      <c r="N1044" s="7">
        <v>0</v>
      </c>
      <c r="O1044" s="7"/>
      <c r="P1044" s="7"/>
      <c r="Q1044" s="7"/>
      <c r="AC1044"/>
      <c r="AD1044" s="14"/>
    </row>
    <row r="1045" spans="1:30" x14ac:dyDescent="0.25">
      <c r="A1045" t="b">
        <f t="shared" si="86"/>
        <v>0</v>
      </c>
      <c r="B1045">
        <v>2006</v>
      </c>
      <c r="C1045">
        <v>164</v>
      </c>
      <c r="D1045">
        <v>0</v>
      </c>
      <c r="E1045">
        <v>2000</v>
      </c>
      <c r="F1045" s="7">
        <v>27.53</v>
      </c>
      <c r="G1045" s="7">
        <v>13.5</v>
      </c>
      <c r="H1045" s="7">
        <v>0</v>
      </c>
      <c r="I1045" s="7" t="str">
        <f t="shared" si="82"/>
        <v/>
      </c>
      <c r="J1045" s="7" t="str">
        <f t="shared" si="83"/>
        <v/>
      </c>
      <c r="K1045" s="7">
        <v>0</v>
      </c>
      <c r="L1045" s="7" t="str">
        <f t="shared" si="84"/>
        <v/>
      </c>
      <c r="M1045" s="7" t="str">
        <f t="shared" si="85"/>
        <v/>
      </c>
      <c r="N1045" s="7">
        <v>0</v>
      </c>
      <c r="O1045" s="7"/>
      <c r="P1045" s="7"/>
      <c r="Q1045" s="7"/>
      <c r="AC1045"/>
      <c r="AD1045" s="14"/>
    </row>
    <row r="1046" spans="1:30" x14ac:dyDescent="0.25">
      <c r="A1046" t="b">
        <f t="shared" si="86"/>
        <v>0</v>
      </c>
      <c r="B1046">
        <v>2006</v>
      </c>
      <c r="C1046">
        <v>164</v>
      </c>
      <c r="D1046">
        <v>0</v>
      </c>
      <c r="E1046">
        <v>2100</v>
      </c>
      <c r="F1046" s="7">
        <v>5.32</v>
      </c>
      <c r="G1046" s="7">
        <v>12.6</v>
      </c>
      <c r="H1046" s="7">
        <v>0</v>
      </c>
      <c r="I1046" s="7" t="str">
        <f t="shared" si="82"/>
        <v/>
      </c>
      <c r="J1046" s="7" t="str">
        <f t="shared" si="83"/>
        <v/>
      </c>
      <c r="K1046" s="7">
        <v>0</v>
      </c>
      <c r="L1046" s="7" t="str">
        <f t="shared" si="84"/>
        <v/>
      </c>
      <c r="M1046" s="7" t="str">
        <f t="shared" si="85"/>
        <v/>
      </c>
      <c r="N1046" s="7">
        <v>0</v>
      </c>
      <c r="O1046" s="7"/>
      <c r="P1046" s="7"/>
      <c r="Q1046" s="7"/>
      <c r="AC1046"/>
      <c r="AD1046" s="14"/>
    </row>
    <row r="1047" spans="1:30" x14ac:dyDescent="0.25">
      <c r="A1047" t="b">
        <f t="shared" si="86"/>
        <v>0</v>
      </c>
      <c r="B1047">
        <v>2006</v>
      </c>
      <c r="C1047">
        <v>164</v>
      </c>
      <c r="D1047">
        <v>0</v>
      </c>
      <c r="E1047">
        <v>2200</v>
      </c>
      <c r="F1047" s="7">
        <v>-1.083</v>
      </c>
      <c r="G1047" s="7">
        <v>12.23</v>
      </c>
      <c r="H1047" s="7">
        <v>0</v>
      </c>
      <c r="I1047" s="7" t="str">
        <f t="shared" si="82"/>
        <v/>
      </c>
      <c r="J1047" s="7" t="str">
        <f t="shared" si="83"/>
        <v/>
      </c>
      <c r="K1047" s="7">
        <v>0</v>
      </c>
      <c r="L1047" s="7" t="str">
        <f t="shared" si="84"/>
        <v/>
      </c>
      <c r="M1047" s="7" t="str">
        <f t="shared" si="85"/>
        <v/>
      </c>
      <c r="N1047" s="7">
        <v>0</v>
      </c>
      <c r="O1047" s="7"/>
      <c r="P1047" s="7"/>
      <c r="Q1047" s="7"/>
      <c r="AC1047"/>
      <c r="AD1047" s="14"/>
    </row>
    <row r="1048" spans="1:30" x14ac:dyDescent="0.25">
      <c r="A1048" t="b">
        <f t="shared" si="86"/>
        <v>0</v>
      </c>
      <c r="B1048">
        <v>2006</v>
      </c>
      <c r="C1048">
        <v>164</v>
      </c>
      <c r="D1048">
        <v>0</v>
      </c>
      <c r="E1048">
        <v>2300</v>
      </c>
      <c r="F1048" s="7">
        <v>-1.369</v>
      </c>
      <c r="G1048" s="7">
        <v>11.96</v>
      </c>
      <c r="H1048" s="7">
        <v>0</v>
      </c>
      <c r="I1048" s="7" t="str">
        <f t="shared" si="82"/>
        <v/>
      </c>
      <c r="J1048" s="7" t="str">
        <f t="shared" si="83"/>
        <v/>
      </c>
      <c r="K1048" s="7">
        <v>0</v>
      </c>
      <c r="L1048" s="7" t="str">
        <f t="shared" si="84"/>
        <v/>
      </c>
      <c r="M1048" s="7" t="str">
        <f t="shared" si="85"/>
        <v/>
      </c>
      <c r="N1048" s="7">
        <v>0</v>
      </c>
      <c r="O1048" s="7"/>
      <c r="P1048" s="7"/>
      <c r="Q1048" s="7"/>
      <c r="AC1048"/>
      <c r="AD1048" s="14"/>
    </row>
    <row r="1049" spans="1:30" x14ac:dyDescent="0.25">
      <c r="A1049" t="b">
        <f t="shared" si="86"/>
        <v>0</v>
      </c>
      <c r="B1049">
        <v>2006</v>
      </c>
      <c r="C1049">
        <v>164</v>
      </c>
      <c r="D1049">
        <v>0</v>
      </c>
      <c r="E1049">
        <v>2400</v>
      </c>
      <c r="F1049" s="7">
        <v>-2.15</v>
      </c>
      <c r="G1049" s="7">
        <v>10.98</v>
      </c>
      <c r="H1049" s="7">
        <v>0</v>
      </c>
      <c r="I1049" s="7" t="str">
        <f t="shared" si="82"/>
        <v/>
      </c>
      <c r="J1049" s="7" t="str">
        <f t="shared" si="83"/>
        <v/>
      </c>
      <c r="K1049" s="7">
        <v>0</v>
      </c>
      <c r="L1049" s="7" t="str">
        <f t="shared" si="84"/>
        <v/>
      </c>
      <c r="M1049" s="7" t="str">
        <f t="shared" si="85"/>
        <v/>
      </c>
      <c r="N1049" s="7">
        <v>0</v>
      </c>
      <c r="O1049" s="7"/>
      <c r="P1049" s="7"/>
      <c r="Q1049" s="7"/>
      <c r="AC1049"/>
      <c r="AD1049" s="14"/>
    </row>
    <row r="1050" spans="1:30" x14ac:dyDescent="0.25">
      <c r="A1050" t="b">
        <f t="shared" si="86"/>
        <v>1</v>
      </c>
      <c r="B1050">
        <v>2006</v>
      </c>
      <c r="C1050">
        <v>165</v>
      </c>
      <c r="D1050">
        <v>0</v>
      </c>
      <c r="E1050">
        <v>100</v>
      </c>
      <c r="F1050" s="7">
        <v>-1.42</v>
      </c>
      <c r="G1050" s="7">
        <v>10.56</v>
      </c>
      <c r="H1050" s="7">
        <v>0</v>
      </c>
      <c r="I1050" s="7">
        <f t="shared" si="82"/>
        <v>0</v>
      </c>
      <c r="J1050" s="7">
        <f t="shared" si="83"/>
        <v>193.40829166666666</v>
      </c>
      <c r="K1050" s="7">
        <v>0</v>
      </c>
      <c r="L1050" s="7">
        <f t="shared" si="84"/>
        <v>17.68</v>
      </c>
      <c r="M1050" s="7">
        <f t="shared" si="85"/>
        <v>5.1890000000000001</v>
      </c>
      <c r="N1050" s="7">
        <v>0</v>
      </c>
      <c r="O1050" s="7"/>
      <c r="P1050" s="7"/>
      <c r="Q1050" s="7"/>
      <c r="AC1050"/>
      <c r="AD1050" s="14"/>
    </row>
    <row r="1051" spans="1:30" x14ac:dyDescent="0.25">
      <c r="A1051" t="b">
        <f t="shared" si="86"/>
        <v>0</v>
      </c>
      <c r="B1051">
        <v>2006</v>
      </c>
      <c r="C1051">
        <v>165</v>
      </c>
      <c r="D1051">
        <v>0</v>
      </c>
      <c r="E1051">
        <v>200</v>
      </c>
      <c r="F1051" s="7">
        <v>-1.0780000000000001</v>
      </c>
      <c r="G1051" s="7">
        <v>10.92</v>
      </c>
      <c r="H1051" s="7">
        <v>0</v>
      </c>
      <c r="I1051" s="7" t="str">
        <f t="shared" si="82"/>
        <v/>
      </c>
      <c r="J1051" s="7" t="str">
        <f t="shared" si="83"/>
        <v/>
      </c>
      <c r="K1051" s="7">
        <v>0</v>
      </c>
      <c r="L1051" s="7" t="str">
        <f t="shared" si="84"/>
        <v/>
      </c>
      <c r="M1051" s="7" t="str">
        <f t="shared" si="85"/>
        <v/>
      </c>
      <c r="N1051" s="7">
        <v>0</v>
      </c>
      <c r="O1051" s="7"/>
      <c r="P1051" s="7"/>
      <c r="Q1051" s="7"/>
      <c r="AC1051"/>
      <c r="AD1051" s="14"/>
    </row>
    <row r="1052" spans="1:30" x14ac:dyDescent="0.25">
      <c r="A1052" t="b">
        <f t="shared" si="86"/>
        <v>0</v>
      </c>
      <c r="B1052">
        <v>2006</v>
      </c>
      <c r="C1052">
        <v>165</v>
      </c>
      <c r="D1052">
        <v>0</v>
      </c>
      <c r="E1052">
        <v>300</v>
      </c>
      <c r="F1052" s="7">
        <v>-3.9350000000000001</v>
      </c>
      <c r="G1052" s="7">
        <v>8.58</v>
      </c>
      <c r="H1052" s="7">
        <v>0</v>
      </c>
      <c r="I1052" s="7" t="str">
        <f t="shared" si="82"/>
        <v/>
      </c>
      <c r="J1052" s="7" t="str">
        <f t="shared" si="83"/>
        <v/>
      </c>
      <c r="K1052" s="7">
        <v>0</v>
      </c>
      <c r="L1052" s="7" t="str">
        <f t="shared" si="84"/>
        <v/>
      </c>
      <c r="M1052" s="7" t="str">
        <f t="shared" si="85"/>
        <v/>
      </c>
      <c r="N1052" s="7">
        <v>0</v>
      </c>
      <c r="O1052" s="7"/>
      <c r="P1052" s="7"/>
      <c r="Q1052" s="7"/>
      <c r="AC1052"/>
      <c r="AD1052" s="14"/>
    </row>
    <row r="1053" spans="1:30" x14ac:dyDescent="0.25">
      <c r="A1053" t="b">
        <f t="shared" si="86"/>
        <v>0</v>
      </c>
      <c r="B1053">
        <v>2006</v>
      </c>
      <c r="C1053">
        <v>165</v>
      </c>
      <c r="D1053">
        <v>0</v>
      </c>
      <c r="E1053">
        <v>400</v>
      </c>
      <c r="F1053" s="7">
        <v>-1.272</v>
      </c>
      <c r="G1053" s="7">
        <v>6.3170000000000002</v>
      </c>
      <c r="H1053" s="7">
        <v>0</v>
      </c>
      <c r="I1053" s="7" t="str">
        <f t="shared" si="82"/>
        <v/>
      </c>
      <c r="J1053" s="7" t="str">
        <f t="shared" si="83"/>
        <v/>
      </c>
      <c r="K1053" s="7">
        <v>0</v>
      </c>
      <c r="L1053" s="7" t="str">
        <f t="shared" si="84"/>
        <v/>
      </c>
      <c r="M1053" s="7" t="str">
        <f t="shared" si="85"/>
        <v/>
      </c>
      <c r="N1053" s="7">
        <v>0</v>
      </c>
      <c r="O1053" s="7"/>
      <c r="P1053" s="7"/>
      <c r="Q1053" s="7"/>
      <c r="AC1053"/>
      <c r="AD1053" s="14"/>
    </row>
    <row r="1054" spans="1:30" x14ac:dyDescent="0.25">
      <c r="A1054" t="b">
        <f t="shared" si="86"/>
        <v>0</v>
      </c>
      <c r="B1054">
        <v>2006</v>
      </c>
      <c r="C1054">
        <v>165</v>
      </c>
      <c r="D1054">
        <v>0</v>
      </c>
      <c r="E1054">
        <v>500</v>
      </c>
      <c r="F1054" s="7">
        <v>21.21</v>
      </c>
      <c r="G1054" s="7">
        <v>5.1890000000000001</v>
      </c>
      <c r="H1054" s="7">
        <v>0</v>
      </c>
      <c r="I1054" s="7" t="str">
        <f t="shared" si="82"/>
        <v/>
      </c>
      <c r="J1054" s="7" t="str">
        <f t="shared" si="83"/>
        <v/>
      </c>
      <c r="K1054" s="7">
        <v>0</v>
      </c>
      <c r="L1054" s="7" t="str">
        <f t="shared" si="84"/>
        <v/>
      </c>
      <c r="M1054" s="7" t="str">
        <f t="shared" si="85"/>
        <v/>
      </c>
      <c r="N1054" s="7">
        <v>0</v>
      </c>
      <c r="O1054" s="7"/>
      <c r="P1054" s="7"/>
      <c r="Q1054" s="7"/>
      <c r="AC1054"/>
      <c r="AD1054" s="14"/>
    </row>
    <row r="1055" spans="1:30" x14ac:dyDescent="0.25">
      <c r="A1055" t="b">
        <f t="shared" si="86"/>
        <v>0</v>
      </c>
      <c r="B1055">
        <v>2006</v>
      </c>
      <c r="C1055">
        <v>165</v>
      </c>
      <c r="D1055">
        <v>0</v>
      </c>
      <c r="E1055">
        <v>600</v>
      </c>
      <c r="F1055" s="7">
        <v>132.9</v>
      </c>
      <c r="G1055" s="7">
        <v>8.9499999999999993</v>
      </c>
      <c r="H1055" s="7">
        <v>0</v>
      </c>
      <c r="I1055" s="7" t="str">
        <f t="shared" si="82"/>
        <v/>
      </c>
      <c r="J1055" s="7" t="str">
        <f t="shared" si="83"/>
        <v/>
      </c>
      <c r="K1055" s="7">
        <v>0</v>
      </c>
      <c r="L1055" s="7" t="str">
        <f t="shared" si="84"/>
        <v/>
      </c>
      <c r="M1055" s="7" t="str">
        <f t="shared" si="85"/>
        <v/>
      </c>
      <c r="N1055" s="7">
        <v>0</v>
      </c>
      <c r="O1055" s="7"/>
      <c r="P1055" s="7"/>
      <c r="Q1055" s="7"/>
      <c r="AC1055"/>
      <c r="AD1055" s="14"/>
    </row>
    <row r="1056" spans="1:30" x14ac:dyDescent="0.25">
      <c r="A1056" t="b">
        <f t="shared" si="86"/>
        <v>0</v>
      </c>
      <c r="B1056">
        <v>2006</v>
      </c>
      <c r="C1056">
        <v>165</v>
      </c>
      <c r="D1056">
        <v>0</v>
      </c>
      <c r="E1056">
        <v>700</v>
      </c>
      <c r="F1056" s="7">
        <v>264</v>
      </c>
      <c r="G1056" s="7">
        <v>11.73</v>
      </c>
      <c r="H1056" s="7">
        <v>0</v>
      </c>
      <c r="I1056" s="7" t="str">
        <f t="shared" si="82"/>
        <v/>
      </c>
      <c r="J1056" s="7" t="str">
        <f t="shared" si="83"/>
        <v/>
      </c>
      <c r="K1056" s="7">
        <v>0</v>
      </c>
      <c r="L1056" s="7" t="str">
        <f t="shared" si="84"/>
        <v/>
      </c>
      <c r="M1056" s="7" t="str">
        <f t="shared" si="85"/>
        <v/>
      </c>
      <c r="N1056" s="7">
        <v>0</v>
      </c>
      <c r="O1056" s="7"/>
      <c r="P1056" s="7"/>
      <c r="Q1056" s="7"/>
      <c r="AC1056"/>
      <c r="AD1056" s="14"/>
    </row>
    <row r="1057" spans="1:30" x14ac:dyDescent="0.25">
      <c r="A1057" t="b">
        <f t="shared" si="86"/>
        <v>0</v>
      </c>
      <c r="B1057">
        <v>2006</v>
      </c>
      <c r="C1057">
        <v>165</v>
      </c>
      <c r="D1057">
        <v>0</v>
      </c>
      <c r="E1057">
        <v>800</v>
      </c>
      <c r="F1057" s="7">
        <v>387.7</v>
      </c>
      <c r="G1057" s="7">
        <v>13.02</v>
      </c>
      <c r="H1057" s="7">
        <v>0</v>
      </c>
      <c r="I1057" s="7" t="str">
        <f t="shared" si="82"/>
        <v/>
      </c>
      <c r="J1057" s="7" t="str">
        <f t="shared" si="83"/>
        <v/>
      </c>
      <c r="K1057" s="7">
        <v>0</v>
      </c>
      <c r="L1057" s="7" t="str">
        <f t="shared" si="84"/>
        <v/>
      </c>
      <c r="M1057" s="7" t="str">
        <f t="shared" si="85"/>
        <v/>
      </c>
      <c r="N1057" s="7">
        <v>0</v>
      </c>
      <c r="O1057" s="7"/>
      <c r="P1057" s="7"/>
      <c r="Q1057" s="7"/>
      <c r="AC1057"/>
      <c r="AD1057" s="14"/>
    </row>
    <row r="1058" spans="1:30" x14ac:dyDescent="0.25">
      <c r="A1058" t="b">
        <f t="shared" si="86"/>
        <v>0</v>
      </c>
      <c r="B1058">
        <v>2006</v>
      </c>
      <c r="C1058">
        <v>165</v>
      </c>
      <c r="D1058">
        <v>0</v>
      </c>
      <c r="E1058">
        <v>900</v>
      </c>
      <c r="F1058" s="7">
        <v>407.3</v>
      </c>
      <c r="G1058" s="7">
        <v>13.85</v>
      </c>
      <c r="H1058" s="7">
        <v>0</v>
      </c>
      <c r="I1058" s="7" t="str">
        <f t="shared" si="82"/>
        <v/>
      </c>
      <c r="J1058" s="7" t="str">
        <f t="shared" si="83"/>
        <v/>
      </c>
      <c r="K1058" s="7">
        <v>0</v>
      </c>
      <c r="L1058" s="7" t="str">
        <f t="shared" si="84"/>
        <v/>
      </c>
      <c r="M1058" s="7" t="str">
        <f t="shared" si="85"/>
        <v/>
      </c>
      <c r="N1058" s="7">
        <v>0</v>
      </c>
      <c r="O1058" s="7"/>
      <c r="P1058" s="7"/>
      <c r="Q1058" s="7"/>
      <c r="AC1058"/>
      <c r="AD1058" s="14"/>
    </row>
    <row r="1059" spans="1:30" x14ac:dyDescent="0.25">
      <c r="A1059" t="b">
        <f t="shared" si="86"/>
        <v>0</v>
      </c>
      <c r="B1059">
        <v>2006</v>
      </c>
      <c r="C1059">
        <v>165</v>
      </c>
      <c r="D1059">
        <v>0</v>
      </c>
      <c r="E1059">
        <v>1000</v>
      </c>
      <c r="F1059" s="7">
        <v>462.6</v>
      </c>
      <c r="G1059" s="7">
        <v>15.02</v>
      </c>
      <c r="H1059" s="7">
        <v>0</v>
      </c>
      <c r="I1059" s="7" t="str">
        <f t="shared" si="82"/>
        <v/>
      </c>
      <c r="J1059" s="7" t="str">
        <f t="shared" si="83"/>
        <v/>
      </c>
      <c r="K1059" s="7">
        <v>0</v>
      </c>
      <c r="L1059" s="7" t="str">
        <f t="shared" si="84"/>
        <v/>
      </c>
      <c r="M1059" s="7" t="str">
        <f t="shared" si="85"/>
        <v/>
      </c>
      <c r="N1059" s="7">
        <v>0</v>
      </c>
      <c r="O1059" s="7"/>
      <c r="P1059" s="7"/>
      <c r="Q1059" s="7"/>
      <c r="AC1059"/>
      <c r="AD1059" s="14"/>
    </row>
    <row r="1060" spans="1:30" x14ac:dyDescent="0.25">
      <c r="A1060" t="b">
        <f t="shared" si="86"/>
        <v>0</v>
      </c>
      <c r="B1060">
        <v>2006</v>
      </c>
      <c r="C1060">
        <v>165</v>
      </c>
      <c r="D1060">
        <v>0</v>
      </c>
      <c r="E1060">
        <v>1100</v>
      </c>
      <c r="F1060" s="7">
        <v>319.3</v>
      </c>
      <c r="G1060" s="7">
        <v>14.75</v>
      </c>
      <c r="H1060" s="7">
        <v>0</v>
      </c>
      <c r="I1060" s="7" t="str">
        <f t="shared" si="82"/>
        <v/>
      </c>
      <c r="J1060" s="7" t="str">
        <f t="shared" si="83"/>
        <v/>
      </c>
      <c r="K1060" s="7">
        <v>0</v>
      </c>
      <c r="L1060" s="7" t="str">
        <f t="shared" si="84"/>
        <v/>
      </c>
      <c r="M1060" s="7" t="str">
        <f t="shared" si="85"/>
        <v/>
      </c>
      <c r="N1060" s="7">
        <v>0</v>
      </c>
      <c r="O1060" s="7"/>
      <c r="P1060" s="7"/>
      <c r="Q1060" s="7"/>
      <c r="AC1060"/>
      <c r="AD1060" s="14"/>
    </row>
    <row r="1061" spans="1:30" x14ac:dyDescent="0.25">
      <c r="A1061" t="b">
        <f t="shared" si="86"/>
        <v>0</v>
      </c>
      <c r="B1061">
        <v>2006</v>
      </c>
      <c r="C1061">
        <v>165</v>
      </c>
      <c r="D1061">
        <v>0</v>
      </c>
      <c r="E1061">
        <v>1200</v>
      </c>
      <c r="F1061" s="7">
        <v>409.8</v>
      </c>
      <c r="G1061" s="7">
        <v>15.6</v>
      </c>
      <c r="H1061" s="7">
        <v>0</v>
      </c>
      <c r="I1061" s="7" t="str">
        <f t="shared" si="82"/>
        <v/>
      </c>
      <c r="J1061" s="7" t="str">
        <f t="shared" si="83"/>
        <v/>
      </c>
      <c r="K1061" s="7">
        <v>0</v>
      </c>
      <c r="L1061" s="7" t="str">
        <f t="shared" si="84"/>
        <v/>
      </c>
      <c r="M1061" s="7" t="str">
        <f t="shared" si="85"/>
        <v/>
      </c>
      <c r="N1061" s="7">
        <v>0</v>
      </c>
      <c r="O1061" s="7"/>
      <c r="P1061" s="7"/>
      <c r="Q1061" s="7"/>
      <c r="AC1061"/>
      <c r="AD1061" s="14"/>
    </row>
    <row r="1062" spans="1:30" x14ac:dyDescent="0.25">
      <c r="A1062" t="b">
        <f t="shared" si="86"/>
        <v>0</v>
      </c>
      <c r="B1062">
        <v>2006</v>
      </c>
      <c r="C1062">
        <v>165</v>
      </c>
      <c r="D1062">
        <v>0</v>
      </c>
      <c r="E1062">
        <v>1300</v>
      </c>
      <c r="F1062" s="7">
        <v>465.5</v>
      </c>
      <c r="G1062" s="7">
        <v>16.53</v>
      </c>
      <c r="H1062" s="7">
        <v>0</v>
      </c>
      <c r="I1062" s="7" t="str">
        <f t="shared" si="82"/>
        <v/>
      </c>
      <c r="J1062" s="7" t="str">
        <f t="shared" si="83"/>
        <v/>
      </c>
      <c r="K1062" s="7">
        <v>0</v>
      </c>
      <c r="L1062" s="7" t="str">
        <f t="shared" si="84"/>
        <v/>
      </c>
      <c r="M1062" s="7" t="str">
        <f t="shared" si="85"/>
        <v/>
      </c>
      <c r="N1062" s="7">
        <v>0</v>
      </c>
      <c r="O1062" s="7"/>
      <c r="P1062" s="7"/>
      <c r="Q1062" s="7"/>
      <c r="AC1062"/>
      <c r="AD1062" s="14"/>
    </row>
    <row r="1063" spans="1:30" x14ac:dyDescent="0.25">
      <c r="A1063" t="b">
        <f t="shared" si="86"/>
        <v>0</v>
      </c>
      <c r="B1063">
        <v>2006</v>
      </c>
      <c r="C1063">
        <v>165</v>
      </c>
      <c r="D1063">
        <v>0</v>
      </c>
      <c r="E1063">
        <v>1400</v>
      </c>
      <c r="F1063" s="7">
        <v>413</v>
      </c>
      <c r="G1063" s="7">
        <v>16.579999999999998</v>
      </c>
      <c r="H1063" s="7">
        <v>0</v>
      </c>
      <c r="I1063" s="7" t="str">
        <f t="shared" si="82"/>
        <v/>
      </c>
      <c r="J1063" s="7" t="str">
        <f t="shared" si="83"/>
        <v/>
      </c>
      <c r="K1063" s="7">
        <v>0</v>
      </c>
      <c r="L1063" s="7" t="str">
        <f t="shared" si="84"/>
        <v/>
      </c>
      <c r="M1063" s="7" t="str">
        <f t="shared" si="85"/>
        <v/>
      </c>
      <c r="N1063" s="7">
        <v>0</v>
      </c>
      <c r="O1063" s="7"/>
      <c r="P1063" s="7"/>
      <c r="Q1063" s="7"/>
      <c r="AC1063"/>
      <c r="AD1063" s="14"/>
    </row>
    <row r="1064" spans="1:30" x14ac:dyDescent="0.25">
      <c r="A1064" t="b">
        <f t="shared" si="86"/>
        <v>0</v>
      </c>
      <c r="B1064">
        <v>2006</v>
      </c>
      <c r="C1064">
        <v>165</v>
      </c>
      <c r="D1064">
        <v>0</v>
      </c>
      <c r="E1064">
        <v>1500</v>
      </c>
      <c r="F1064" s="7">
        <v>407.7</v>
      </c>
      <c r="G1064" s="7">
        <v>17.600000000000001</v>
      </c>
      <c r="H1064" s="7">
        <v>0</v>
      </c>
      <c r="I1064" s="7" t="str">
        <f t="shared" si="82"/>
        <v/>
      </c>
      <c r="J1064" s="7" t="str">
        <f t="shared" si="83"/>
        <v/>
      </c>
      <c r="K1064" s="7">
        <v>0</v>
      </c>
      <c r="L1064" s="7" t="str">
        <f t="shared" si="84"/>
        <v/>
      </c>
      <c r="M1064" s="7" t="str">
        <f t="shared" si="85"/>
        <v/>
      </c>
      <c r="N1064" s="7">
        <v>0</v>
      </c>
      <c r="O1064" s="7"/>
      <c r="P1064" s="7"/>
      <c r="Q1064" s="7"/>
      <c r="AC1064"/>
      <c r="AD1064" s="14"/>
    </row>
    <row r="1065" spans="1:30" x14ac:dyDescent="0.25">
      <c r="A1065" t="b">
        <f t="shared" si="86"/>
        <v>0</v>
      </c>
      <c r="B1065">
        <v>2006</v>
      </c>
      <c r="C1065">
        <v>165</v>
      </c>
      <c r="D1065">
        <v>0</v>
      </c>
      <c r="E1065">
        <v>1600</v>
      </c>
      <c r="F1065" s="7">
        <v>397.5</v>
      </c>
      <c r="G1065" s="7">
        <v>17.68</v>
      </c>
      <c r="H1065" s="7">
        <v>0</v>
      </c>
      <c r="I1065" s="7" t="str">
        <f t="shared" si="82"/>
        <v/>
      </c>
      <c r="J1065" s="7" t="str">
        <f t="shared" si="83"/>
        <v/>
      </c>
      <c r="K1065" s="7">
        <v>0</v>
      </c>
      <c r="L1065" s="7" t="str">
        <f t="shared" si="84"/>
        <v/>
      </c>
      <c r="M1065" s="7" t="str">
        <f t="shared" si="85"/>
        <v/>
      </c>
      <c r="N1065" s="7">
        <v>0</v>
      </c>
      <c r="O1065" s="7"/>
      <c r="P1065" s="7"/>
      <c r="Q1065" s="7"/>
      <c r="AC1065"/>
      <c r="AD1065" s="14"/>
    </row>
    <row r="1066" spans="1:30" x14ac:dyDescent="0.25">
      <c r="A1066" t="b">
        <f t="shared" si="86"/>
        <v>0</v>
      </c>
      <c r="B1066">
        <v>2006</v>
      </c>
      <c r="C1066">
        <v>165</v>
      </c>
      <c r="D1066">
        <v>0</v>
      </c>
      <c r="E1066">
        <v>1700</v>
      </c>
      <c r="F1066" s="7">
        <v>244.3</v>
      </c>
      <c r="G1066" s="7">
        <v>17.29</v>
      </c>
      <c r="H1066" s="7">
        <v>0</v>
      </c>
      <c r="I1066" s="7" t="str">
        <f t="shared" si="82"/>
        <v/>
      </c>
      <c r="J1066" s="7" t="str">
        <f t="shared" si="83"/>
        <v/>
      </c>
      <c r="K1066" s="7">
        <v>0</v>
      </c>
      <c r="L1066" s="7" t="str">
        <f t="shared" si="84"/>
        <v/>
      </c>
      <c r="M1066" s="7" t="str">
        <f t="shared" si="85"/>
        <v/>
      </c>
      <c r="N1066" s="7">
        <v>0</v>
      </c>
      <c r="O1066" s="7"/>
      <c r="P1066" s="7"/>
      <c r="Q1066" s="7"/>
      <c r="AC1066"/>
      <c r="AD1066" s="14"/>
    </row>
    <row r="1067" spans="1:30" x14ac:dyDescent="0.25">
      <c r="A1067" t="b">
        <f t="shared" si="86"/>
        <v>0</v>
      </c>
      <c r="B1067">
        <v>2006</v>
      </c>
      <c r="C1067">
        <v>165</v>
      </c>
      <c r="D1067">
        <v>0</v>
      </c>
      <c r="E1067">
        <v>1800</v>
      </c>
      <c r="F1067" s="7">
        <v>148.5</v>
      </c>
      <c r="G1067" s="7">
        <v>17.13</v>
      </c>
      <c r="H1067" s="7">
        <v>0</v>
      </c>
      <c r="I1067" s="7" t="str">
        <f t="shared" si="82"/>
        <v/>
      </c>
      <c r="J1067" s="7" t="str">
        <f t="shared" si="83"/>
        <v/>
      </c>
      <c r="K1067" s="7">
        <v>0</v>
      </c>
      <c r="L1067" s="7" t="str">
        <f t="shared" si="84"/>
        <v/>
      </c>
      <c r="M1067" s="7" t="str">
        <f t="shared" si="85"/>
        <v/>
      </c>
      <c r="N1067" s="7">
        <v>0</v>
      </c>
      <c r="O1067" s="7"/>
      <c r="P1067" s="7"/>
      <c r="Q1067" s="7"/>
      <c r="AC1067"/>
      <c r="AD1067" s="14"/>
    </row>
    <row r="1068" spans="1:30" x14ac:dyDescent="0.25">
      <c r="A1068" t="b">
        <f t="shared" si="86"/>
        <v>0</v>
      </c>
      <c r="B1068">
        <v>2006</v>
      </c>
      <c r="C1068">
        <v>165</v>
      </c>
      <c r="D1068">
        <v>0</v>
      </c>
      <c r="E1068">
        <v>1900</v>
      </c>
      <c r="F1068" s="7">
        <v>98.6</v>
      </c>
      <c r="G1068" s="7">
        <v>16.43</v>
      </c>
      <c r="H1068" s="7">
        <v>0</v>
      </c>
      <c r="I1068" s="7" t="str">
        <f t="shared" si="82"/>
        <v/>
      </c>
      <c r="J1068" s="7" t="str">
        <f t="shared" si="83"/>
        <v/>
      </c>
      <c r="K1068" s="7">
        <v>0</v>
      </c>
      <c r="L1068" s="7" t="str">
        <f t="shared" si="84"/>
        <v/>
      </c>
      <c r="M1068" s="7" t="str">
        <f t="shared" si="85"/>
        <v/>
      </c>
      <c r="N1068" s="7">
        <v>0</v>
      </c>
      <c r="O1068" s="7"/>
      <c r="P1068" s="7"/>
      <c r="Q1068" s="7"/>
      <c r="AC1068"/>
      <c r="AD1068" s="14"/>
    </row>
    <row r="1069" spans="1:30" x14ac:dyDescent="0.25">
      <c r="A1069" t="b">
        <f t="shared" si="86"/>
        <v>0</v>
      </c>
      <c r="B1069">
        <v>2006</v>
      </c>
      <c r="C1069">
        <v>165</v>
      </c>
      <c r="D1069">
        <v>0</v>
      </c>
      <c r="E1069">
        <v>2000</v>
      </c>
      <c r="F1069" s="7">
        <v>65.14</v>
      </c>
      <c r="G1069" s="7">
        <v>14.91</v>
      </c>
      <c r="H1069" s="7">
        <v>0</v>
      </c>
      <c r="I1069" s="7" t="str">
        <f t="shared" si="82"/>
        <v/>
      </c>
      <c r="J1069" s="7" t="str">
        <f t="shared" si="83"/>
        <v/>
      </c>
      <c r="K1069" s="7">
        <v>0</v>
      </c>
      <c r="L1069" s="7" t="str">
        <f t="shared" si="84"/>
        <v/>
      </c>
      <c r="M1069" s="7" t="str">
        <f t="shared" si="85"/>
        <v/>
      </c>
      <c r="N1069" s="7">
        <v>0</v>
      </c>
      <c r="O1069" s="7"/>
      <c r="P1069" s="7"/>
      <c r="Q1069" s="7"/>
      <c r="AC1069"/>
      <c r="AD1069" s="14"/>
    </row>
    <row r="1070" spans="1:30" x14ac:dyDescent="0.25">
      <c r="A1070" t="b">
        <f t="shared" si="86"/>
        <v>0</v>
      </c>
      <c r="B1070">
        <v>2006</v>
      </c>
      <c r="C1070">
        <v>165</v>
      </c>
      <c r="D1070">
        <v>0</v>
      </c>
      <c r="E1070">
        <v>2100</v>
      </c>
      <c r="F1070" s="7">
        <v>14.59</v>
      </c>
      <c r="G1070" s="7">
        <v>12.57</v>
      </c>
      <c r="H1070" s="7">
        <v>0</v>
      </c>
      <c r="I1070" s="7" t="str">
        <f t="shared" si="82"/>
        <v/>
      </c>
      <c r="J1070" s="7" t="str">
        <f t="shared" si="83"/>
        <v/>
      </c>
      <c r="K1070" s="7">
        <v>0</v>
      </c>
      <c r="L1070" s="7" t="str">
        <f t="shared" si="84"/>
        <v/>
      </c>
      <c r="M1070" s="7" t="str">
        <f t="shared" si="85"/>
        <v/>
      </c>
      <c r="N1070" s="7">
        <v>0</v>
      </c>
      <c r="O1070" s="7"/>
      <c r="P1070" s="7"/>
      <c r="Q1070" s="7"/>
      <c r="AC1070"/>
      <c r="AD1070" s="14"/>
    </row>
    <row r="1071" spans="1:30" x14ac:dyDescent="0.25">
      <c r="A1071" t="b">
        <f t="shared" si="86"/>
        <v>0</v>
      </c>
      <c r="B1071">
        <v>2006</v>
      </c>
      <c r="C1071">
        <v>165</v>
      </c>
      <c r="D1071">
        <v>0</v>
      </c>
      <c r="E1071">
        <v>2200</v>
      </c>
      <c r="F1071" s="7">
        <v>-3.7069999999999999</v>
      </c>
      <c r="G1071" s="7">
        <v>8.8000000000000007</v>
      </c>
      <c r="H1071" s="7">
        <v>0</v>
      </c>
      <c r="I1071" s="7" t="str">
        <f t="shared" si="82"/>
        <v/>
      </c>
      <c r="J1071" s="7" t="str">
        <f t="shared" si="83"/>
        <v/>
      </c>
      <c r="K1071" s="7">
        <v>0</v>
      </c>
      <c r="L1071" s="7" t="str">
        <f t="shared" si="84"/>
        <v/>
      </c>
      <c r="M1071" s="7" t="str">
        <f t="shared" si="85"/>
        <v/>
      </c>
      <c r="N1071" s="7">
        <v>0</v>
      </c>
      <c r="O1071" s="7"/>
      <c r="P1071" s="7"/>
      <c r="Q1071" s="7"/>
      <c r="AC1071"/>
      <c r="AD1071" s="14"/>
    </row>
    <row r="1072" spans="1:30" x14ac:dyDescent="0.25">
      <c r="A1072" t="b">
        <f t="shared" si="86"/>
        <v>0</v>
      </c>
      <c r="B1072">
        <v>2006</v>
      </c>
      <c r="C1072">
        <v>165</v>
      </c>
      <c r="D1072">
        <v>0</v>
      </c>
      <c r="E1072">
        <v>2300</v>
      </c>
      <c r="F1072" s="7">
        <v>-3.456</v>
      </c>
      <c r="G1072" s="7">
        <v>7.38</v>
      </c>
      <c r="H1072" s="7">
        <v>0</v>
      </c>
      <c r="I1072" s="7" t="str">
        <f t="shared" si="82"/>
        <v/>
      </c>
      <c r="J1072" s="7" t="str">
        <f t="shared" si="83"/>
        <v/>
      </c>
      <c r="K1072" s="7">
        <v>0</v>
      </c>
      <c r="L1072" s="7" t="str">
        <f t="shared" si="84"/>
        <v/>
      </c>
      <c r="M1072" s="7" t="str">
        <f t="shared" si="85"/>
        <v/>
      </c>
      <c r="N1072" s="7">
        <v>0</v>
      </c>
      <c r="O1072" s="7"/>
      <c r="P1072" s="7"/>
      <c r="Q1072" s="7"/>
      <c r="AC1072"/>
      <c r="AD1072" s="14"/>
    </row>
    <row r="1073" spans="1:30" x14ac:dyDescent="0.25">
      <c r="A1073" t="b">
        <f t="shared" si="86"/>
        <v>0</v>
      </c>
      <c r="B1073">
        <v>2006</v>
      </c>
      <c r="C1073">
        <v>165</v>
      </c>
      <c r="D1073">
        <v>0</v>
      </c>
      <c r="E1073">
        <v>2400</v>
      </c>
      <c r="F1073" s="7">
        <v>-2.9729999999999999</v>
      </c>
      <c r="G1073" s="7">
        <v>6.1909999999999998</v>
      </c>
      <c r="H1073" s="7">
        <v>0</v>
      </c>
      <c r="I1073" s="7" t="str">
        <f t="shared" si="82"/>
        <v/>
      </c>
      <c r="J1073" s="7" t="str">
        <f t="shared" si="83"/>
        <v/>
      </c>
      <c r="K1073" s="7">
        <v>0</v>
      </c>
      <c r="L1073" s="7" t="str">
        <f t="shared" si="84"/>
        <v/>
      </c>
      <c r="M1073" s="7" t="str">
        <f t="shared" si="85"/>
        <v/>
      </c>
      <c r="N1073" s="7">
        <v>0</v>
      </c>
      <c r="O1073" s="7"/>
      <c r="P1073" s="7"/>
      <c r="Q1073" s="7"/>
      <c r="AC1073"/>
      <c r="AD1073" s="14"/>
    </row>
    <row r="1074" spans="1:30" x14ac:dyDescent="0.25">
      <c r="A1074" t="b">
        <f t="shared" si="86"/>
        <v>1</v>
      </c>
      <c r="B1074">
        <v>2006</v>
      </c>
      <c r="C1074">
        <v>166</v>
      </c>
      <c r="D1074">
        <v>0</v>
      </c>
      <c r="E1074">
        <v>100</v>
      </c>
      <c r="F1074" s="7">
        <v>-2.88</v>
      </c>
      <c r="G1074" s="7">
        <v>5.3330000000000002</v>
      </c>
      <c r="H1074" s="7">
        <v>0</v>
      </c>
      <c r="I1074" s="7">
        <f t="shared" si="82"/>
        <v>0</v>
      </c>
      <c r="J1074" s="7">
        <f t="shared" si="83"/>
        <v>189.36695833333337</v>
      </c>
      <c r="K1074" s="7">
        <v>0</v>
      </c>
      <c r="L1074" s="7">
        <f t="shared" si="84"/>
        <v>19.600000000000001</v>
      </c>
      <c r="M1074" s="7">
        <f t="shared" si="85"/>
        <v>3.492</v>
      </c>
      <c r="N1074" s="7">
        <v>0</v>
      </c>
      <c r="O1074" s="7"/>
      <c r="P1074" s="7"/>
      <c r="Q1074" s="7"/>
      <c r="AC1074"/>
      <c r="AD1074" s="14"/>
    </row>
    <row r="1075" spans="1:30" x14ac:dyDescent="0.25">
      <c r="A1075" t="b">
        <f t="shared" si="86"/>
        <v>0</v>
      </c>
      <c r="B1075">
        <v>2006</v>
      </c>
      <c r="C1075">
        <v>166</v>
      </c>
      <c r="D1075">
        <v>0</v>
      </c>
      <c r="E1075">
        <v>200</v>
      </c>
      <c r="F1075" s="7">
        <v>-2.8959999999999999</v>
      </c>
      <c r="G1075" s="7">
        <v>4.6159999999999997</v>
      </c>
      <c r="H1075" s="7">
        <v>0</v>
      </c>
      <c r="I1075" s="7" t="str">
        <f t="shared" si="82"/>
        <v/>
      </c>
      <c r="J1075" s="7" t="str">
        <f t="shared" si="83"/>
        <v/>
      </c>
      <c r="K1075" s="7">
        <v>0</v>
      </c>
      <c r="L1075" s="7" t="str">
        <f t="shared" si="84"/>
        <v/>
      </c>
      <c r="M1075" s="7" t="str">
        <f t="shared" si="85"/>
        <v/>
      </c>
      <c r="N1075" s="7">
        <v>0</v>
      </c>
      <c r="O1075" s="7"/>
      <c r="P1075" s="7"/>
      <c r="Q1075" s="7"/>
      <c r="AC1075"/>
      <c r="AD1075" s="14"/>
    </row>
    <row r="1076" spans="1:30" x14ac:dyDescent="0.25">
      <c r="A1076" t="b">
        <f t="shared" si="86"/>
        <v>0</v>
      </c>
      <c r="B1076">
        <v>2006</v>
      </c>
      <c r="C1076">
        <v>166</v>
      </c>
      <c r="D1076">
        <v>0</v>
      </c>
      <c r="E1076">
        <v>300</v>
      </c>
      <c r="F1076" s="7">
        <v>-2.5640000000000001</v>
      </c>
      <c r="G1076" s="7">
        <v>3.895</v>
      </c>
      <c r="H1076" s="7">
        <v>0</v>
      </c>
      <c r="I1076" s="7" t="str">
        <f t="shared" si="82"/>
        <v/>
      </c>
      <c r="J1076" s="7" t="str">
        <f t="shared" si="83"/>
        <v/>
      </c>
      <c r="K1076" s="7">
        <v>0</v>
      </c>
      <c r="L1076" s="7" t="str">
        <f t="shared" si="84"/>
        <v/>
      </c>
      <c r="M1076" s="7" t="str">
        <f t="shared" si="85"/>
        <v/>
      </c>
      <c r="N1076" s="7">
        <v>0</v>
      </c>
      <c r="O1076" s="7"/>
      <c r="P1076" s="7"/>
      <c r="Q1076" s="7"/>
      <c r="AC1076"/>
      <c r="AD1076" s="14"/>
    </row>
    <row r="1077" spans="1:30" x14ac:dyDescent="0.25">
      <c r="A1077" t="b">
        <f t="shared" si="86"/>
        <v>0</v>
      </c>
      <c r="B1077">
        <v>2006</v>
      </c>
      <c r="C1077">
        <v>166</v>
      </c>
      <c r="D1077">
        <v>0</v>
      </c>
      <c r="E1077">
        <v>400</v>
      </c>
      <c r="F1077" s="7">
        <v>-9.9000000000000005E-2</v>
      </c>
      <c r="G1077" s="7">
        <v>3.492</v>
      </c>
      <c r="H1077" s="7">
        <v>0</v>
      </c>
      <c r="I1077" s="7" t="str">
        <f t="shared" si="82"/>
        <v/>
      </c>
      <c r="J1077" s="7" t="str">
        <f t="shared" si="83"/>
        <v/>
      </c>
      <c r="K1077" s="7">
        <v>0</v>
      </c>
      <c r="L1077" s="7" t="str">
        <f t="shared" si="84"/>
        <v/>
      </c>
      <c r="M1077" s="7" t="str">
        <f t="shared" si="85"/>
        <v/>
      </c>
      <c r="N1077" s="7">
        <v>0</v>
      </c>
      <c r="O1077" s="7"/>
      <c r="P1077" s="7"/>
      <c r="Q1077" s="7"/>
      <c r="AC1077"/>
      <c r="AD1077" s="14"/>
    </row>
    <row r="1078" spans="1:30" x14ac:dyDescent="0.25">
      <c r="A1078" t="b">
        <f t="shared" si="86"/>
        <v>0</v>
      </c>
      <c r="B1078">
        <v>2006</v>
      </c>
      <c r="C1078">
        <v>166</v>
      </c>
      <c r="D1078">
        <v>0</v>
      </c>
      <c r="E1078">
        <v>500</v>
      </c>
      <c r="F1078" s="7">
        <v>21.81</v>
      </c>
      <c r="G1078" s="7">
        <v>4.5439999999999996</v>
      </c>
      <c r="H1078" s="7">
        <v>0</v>
      </c>
      <c r="I1078" s="7" t="str">
        <f t="shared" si="82"/>
        <v/>
      </c>
      <c r="J1078" s="7" t="str">
        <f t="shared" si="83"/>
        <v/>
      </c>
      <c r="K1078" s="7">
        <v>0</v>
      </c>
      <c r="L1078" s="7" t="str">
        <f t="shared" si="84"/>
        <v/>
      </c>
      <c r="M1078" s="7" t="str">
        <f t="shared" si="85"/>
        <v/>
      </c>
      <c r="N1078" s="7">
        <v>0</v>
      </c>
      <c r="O1078" s="7"/>
      <c r="P1078" s="7"/>
      <c r="Q1078" s="7"/>
      <c r="AC1078"/>
      <c r="AD1078" s="14"/>
    </row>
    <row r="1079" spans="1:30" x14ac:dyDescent="0.25">
      <c r="A1079" t="b">
        <f t="shared" si="86"/>
        <v>0</v>
      </c>
      <c r="B1079">
        <v>2006</v>
      </c>
      <c r="C1079">
        <v>166</v>
      </c>
      <c r="D1079">
        <v>0</v>
      </c>
      <c r="E1079">
        <v>600</v>
      </c>
      <c r="F1079" s="7">
        <v>104.3</v>
      </c>
      <c r="G1079" s="7">
        <v>9.7200000000000006</v>
      </c>
      <c r="H1079" s="7">
        <v>0</v>
      </c>
      <c r="I1079" s="7" t="str">
        <f t="shared" si="82"/>
        <v/>
      </c>
      <c r="J1079" s="7" t="str">
        <f t="shared" si="83"/>
        <v/>
      </c>
      <c r="K1079" s="7">
        <v>0</v>
      </c>
      <c r="L1079" s="7" t="str">
        <f t="shared" si="84"/>
        <v/>
      </c>
      <c r="M1079" s="7" t="str">
        <f t="shared" si="85"/>
        <v/>
      </c>
      <c r="N1079" s="7">
        <v>0</v>
      </c>
      <c r="O1079" s="7"/>
      <c r="P1079" s="7"/>
      <c r="Q1079" s="7"/>
      <c r="AC1079"/>
      <c r="AD1079" s="14"/>
    </row>
    <row r="1080" spans="1:30" x14ac:dyDescent="0.25">
      <c r="A1080" t="b">
        <f t="shared" si="86"/>
        <v>0</v>
      </c>
      <c r="B1080">
        <v>2006</v>
      </c>
      <c r="C1080">
        <v>166</v>
      </c>
      <c r="D1080">
        <v>0</v>
      </c>
      <c r="E1080">
        <v>700</v>
      </c>
      <c r="F1080" s="7">
        <v>225</v>
      </c>
      <c r="G1080" s="7">
        <v>12.76</v>
      </c>
      <c r="H1080" s="7">
        <v>0</v>
      </c>
      <c r="I1080" s="7" t="str">
        <f t="shared" si="82"/>
        <v/>
      </c>
      <c r="J1080" s="7" t="str">
        <f t="shared" si="83"/>
        <v/>
      </c>
      <c r="K1080" s="7">
        <v>0</v>
      </c>
      <c r="L1080" s="7" t="str">
        <f t="shared" si="84"/>
        <v/>
      </c>
      <c r="M1080" s="7" t="str">
        <f t="shared" si="85"/>
        <v/>
      </c>
      <c r="N1080" s="7">
        <v>0</v>
      </c>
      <c r="O1080" s="7"/>
      <c r="P1080" s="7"/>
      <c r="Q1080" s="7"/>
      <c r="AC1080"/>
      <c r="AD1080" s="14"/>
    </row>
    <row r="1081" spans="1:30" x14ac:dyDescent="0.25">
      <c r="A1081" t="b">
        <f t="shared" si="86"/>
        <v>0</v>
      </c>
      <c r="B1081">
        <v>2006</v>
      </c>
      <c r="C1081">
        <v>166</v>
      </c>
      <c r="D1081">
        <v>0</v>
      </c>
      <c r="E1081">
        <v>800</v>
      </c>
      <c r="F1081" s="7">
        <v>416.8</v>
      </c>
      <c r="G1081" s="7">
        <v>15.07</v>
      </c>
      <c r="H1081" s="7">
        <v>0</v>
      </c>
      <c r="I1081" s="7" t="str">
        <f t="shared" si="82"/>
        <v/>
      </c>
      <c r="J1081" s="7" t="str">
        <f t="shared" si="83"/>
        <v/>
      </c>
      <c r="K1081" s="7">
        <v>0</v>
      </c>
      <c r="L1081" s="7" t="str">
        <f t="shared" si="84"/>
        <v/>
      </c>
      <c r="M1081" s="7" t="str">
        <f t="shared" si="85"/>
        <v/>
      </c>
      <c r="N1081" s="7">
        <v>0</v>
      </c>
      <c r="O1081" s="7"/>
      <c r="P1081" s="7"/>
      <c r="Q1081" s="7"/>
      <c r="AC1081"/>
      <c r="AD1081" s="14"/>
    </row>
    <row r="1082" spans="1:30" x14ac:dyDescent="0.25">
      <c r="A1082" t="b">
        <f t="shared" si="86"/>
        <v>0</v>
      </c>
      <c r="B1082">
        <v>2006</v>
      </c>
      <c r="C1082">
        <v>166</v>
      </c>
      <c r="D1082">
        <v>0</v>
      </c>
      <c r="E1082">
        <v>900</v>
      </c>
      <c r="F1082" s="7">
        <v>467</v>
      </c>
      <c r="G1082" s="7">
        <v>16.87</v>
      </c>
      <c r="H1082" s="7">
        <v>0</v>
      </c>
      <c r="I1082" s="7" t="str">
        <f t="shared" si="82"/>
        <v/>
      </c>
      <c r="J1082" s="7" t="str">
        <f t="shared" si="83"/>
        <v/>
      </c>
      <c r="K1082" s="7">
        <v>0</v>
      </c>
      <c r="L1082" s="7" t="str">
        <f t="shared" si="84"/>
        <v/>
      </c>
      <c r="M1082" s="7" t="str">
        <f t="shared" si="85"/>
        <v/>
      </c>
      <c r="N1082" s="7">
        <v>0</v>
      </c>
      <c r="O1082" s="7"/>
      <c r="P1082" s="7"/>
      <c r="Q1082" s="7"/>
      <c r="AC1082"/>
      <c r="AD1082" s="14"/>
    </row>
    <row r="1083" spans="1:30" x14ac:dyDescent="0.25">
      <c r="A1083" t="b">
        <f t="shared" si="86"/>
        <v>0</v>
      </c>
      <c r="B1083">
        <v>2006</v>
      </c>
      <c r="C1083">
        <v>166</v>
      </c>
      <c r="D1083">
        <v>0</v>
      </c>
      <c r="E1083">
        <v>1000</v>
      </c>
      <c r="F1083" s="7">
        <v>413.2</v>
      </c>
      <c r="G1083" s="7">
        <v>17.170000000000002</v>
      </c>
      <c r="H1083" s="7">
        <v>0</v>
      </c>
      <c r="I1083" s="7" t="str">
        <f t="shared" si="82"/>
        <v/>
      </c>
      <c r="J1083" s="7" t="str">
        <f t="shared" si="83"/>
        <v/>
      </c>
      <c r="K1083" s="7">
        <v>0</v>
      </c>
      <c r="L1083" s="7" t="str">
        <f t="shared" si="84"/>
        <v/>
      </c>
      <c r="M1083" s="7" t="str">
        <f t="shared" si="85"/>
        <v/>
      </c>
      <c r="N1083" s="7">
        <v>0</v>
      </c>
      <c r="O1083" s="7"/>
      <c r="P1083" s="7"/>
      <c r="Q1083" s="7"/>
      <c r="AC1083"/>
      <c r="AD1083" s="14"/>
    </row>
    <row r="1084" spans="1:30" x14ac:dyDescent="0.25">
      <c r="A1084" t="b">
        <f t="shared" si="86"/>
        <v>0</v>
      </c>
      <c r="B1084">
        <v>2006</v>
      </c>
      <c r="C1084">
        <v>166</v>
      </c>
      <c r="D1084">
        <v>0</v>
      </c>
      <c r="E1084">
        <v>1100</v>
      </c>
      <c r="F1084" s="7">
        <v>416.2</v>
      </c>
      <c r="G1084" s="7">
        <v>17.59</v>
      </c>
      <c r="H1084" s="7">
        <v>0</v>
      </c>
      <c r="I1084" s="7" t="str">
        <f t="shared" si="82"/>
        <v/>
      </c>
      <c r="J1084" s="7" t="str">
        <f t="shared" si="83"/>
        <v/>
      </c>
      <c r="K1084" s="7">
        <v>0</v>
      </c>
      <c r="L1084" s="7" t="str">
        <f t="shared" si="84"/>
        <v/>
      </c>
      <c r="M1084" s="7" t="str">
        <f t="shared" si="85"/>
        <v/>
      </c>
      <c r="N1084" s="7">
        <v>0</v>
      </c>
      <c r="O1084" s="7"/>
      <c r="P1084" s="7"/>
      <c r="Q1084" s="7"/>
      <c r="AC1084"/>
      <c r="AD1084" s="14"/>
    </row>
    <row r="1085" spans="1:30" x14ac:dyDescent="0.25">
      <c r="A1085" t="b">
        <f t="shared" si="86"/>
        <v>0</v>
      </c>
      <c r="B1085">
        <v>2006</v>
      </c>
      <c r="C1085">
        <v>166</v>
      </c>
      <c r="D1085">
        <v>0</v>
      </c>
      <c r="E1085">
        <v>1200</v>
      </c>
      <c r="F1085" s="7">
        <v>430.3</v>
      </c>
      <c r="G1085" s="7">
        <v>18.16</v>
      </c>
      <c r="H1085" s="7">
        <v>0</v>
      </c>
      <c r="I1085" s="7" t="str">
        <f t="shared" si="82"/>
        <v/>
      </c>
      <c r="J1085" s="7" t="str">
        <f t="shared" si="83"/>
        <v/>
      </c>
      <c r="K1085" s="7">
        <v>0</v>
      </c>
      <c r="L1085" s="7" t="str">
        <f t="shared" si="84"/>
        <v/>
      </c>
      <c r="M1085" s="7" t="str">
        <f t="shared" si="85"/>
        <v/>
      </c>
      <c r="N1085" s="7">
        <v>0</v>
      </c>
      <c r="O1085" s="7"/>
      <c r="P1085" s="7"/>
      <c r="Q1085" s="7"/>
      <c r="AC1085"/>
      <c r="AD1085" s="14"/>
    </row>
    <row r="1086" spans="1:30" x14ac:dyDescent="0.25">
      <c r="A1086" t="b">
        <f t="shared" si="86"/>
        <v>0</v>
      </c>
      <c r="B1086">
        <v>2006</v>
      </c>
      <c r="C1086">
        <v>166</v>
      </c>
      <c r="D1086">
        <v>0</v>
      </c>
      <c r="E1086">
        <v>1300</v>
      </c>
      <c r="F1086" s="7">
        <v>415.1</v>
      </c>
      <c r="G1086" s="7">
        <v>18.63</v>
      </c>
      <c r="H1086" s="7">
        <v>0</v>
      </c>
      <c r="I1086" s="7" t="str">
        <f t="shared" si="82"/>
        <v/>
      </c>
      <c r="J1086" s="7" t="str">
        <f t="shared" si="83"/>
        <v/>
      </c>
      <c r="K1086" s="7">
        <v>0</v>
      </c>
      <c r="L1086" s="7" t="str">
        <f t="shared" si="84"/>
        <v/>
      </c>
      <c r="M1086" s="7" t="str">
        <f t="shared" si="85"/>
        <v/>
      </c>
      <c r="N1086" s="7">
        <v>0</v>
      </c>
      <c r="O1086" s="7"/>
      <c r="P1086" s="7"/>
      <c r="Q1086" s="7"/>
      <c r="AC1086"/>
      <c r="AD1086" s="14"/>
    </row>
    <row r="1087" spans="1:30" x14ac:dyDescent="0.25">
      <c r="A1087" t="b">
        <f t="shared" si="86"/>
        <v>0</v>
      </c>
      <c r="B1087">
        <v>2006</v>
      </c>
      <c r="C1087">
        <v>166</v>
      </c>
      <c r="D1087">
        <v>0</v>
      </c>
      <c r="E1087">
        <v>1400</v>
      </c>
      <c r="F1087" s="7">
        <v>425.3</v>
      </c>
      <c r="G1087" s="7">
        <v>19.53</v>
      </c>
      <c r="H1087" s="7">
        <v>0</v>
      </c>
      <c r="I1087" s="7" t="str">
        <f t="shared" si="82"/>
        <v/>
      </c>
      <c r="J1087" s="7" t="str">
        <f t="shared" si="83"/>
        <v/>
      </c>
      <c r="K1087" s="7">
        <v>0</v>
      </c>
      <c r="L1087" s="7" t="str">
        <f t="shared" si="84"/>
        <v/>
      </c>
      <c r="M1087" s="7" t="str">
        <f t="shared" si="85"/>
        <v/>
      </c>
      <c r="N1087" s="7">
        <v>0</v>
      </c>
      <c r="O1087" s="7"/>
      <c r="P1087" s="7"/>
      <c r="Q1087" s="7"/>
      <c r="AC1087"/>
      <c r="AD1087" s="14"/>
    </row>
    <row r="1088" spans="1:30" x14ac:dyDescent="0.25">
      <c r="A1088" t="b">
        <f t="shared" si="86"/>
        <v>0</v>
      </c>
      <c r="B1088">
        <v>2006</v>
      </c>
      <c r="C1088">
        <v>166</v>
      </c>
      <c r="D1088">
        <v>0</v>
      </c>
      <c r="E1088">
        <v>1500</v>
      </c>
      <c r="F1088" s="7">
        <v>410.1</v>
      </c>
      <c r="G1088" s="7">
        <v>19.600000000000001</v>
      </c>
      <c r="H1088" s="7">
        <v>0</v>
      </c>
      <c r="I1088" s="7" t="str">
        <f t="shared" si="82"/>
        <v/>
      </c>
      <c r="J1088" s="7" t="str">
        <f t="shared" si="83"/>
        <v/>
      </c>
      <c r="K1088" s="7">
        <v>0</v>
      </c>
      <c r="L1088" s="7" t="str">
        <f t="shared" si="84"/>
        <v/>
      </c>
      <c r="M1088" s="7" t="str">
        <f t="shared" si="85"/>
        <v/>
      </c>
      <c r="N1088" s="7">
        <v>0</v>
      </c>
      <c r="O1088" s="7"/>
      <c r="P1088" s="7"/>
      <c r="Q1088" s="7"/>
      <c r="AC1088"/>
      <c r="AD1088" s="14"/>
    </row>
    <row r="1089" spans="1:30" x14ac:dyDescent="0.25">
      <c r="A1089" t="b">
        <f t="shared" si="86"/>
        <v>0</v>
      </c>
      <c r="B1089">
        <v>2006</v>
      </c>
      <c r="C1089">
        <v>166</v>
      </c>
      <c r="D1089">
        <v>0</v>
      </c>
      <c r="E1089">
        <v>1600</v>
      </c>
      <c r="F1089" s="7">
        <v>360.5</v>
      </c>
      <c r="G1089" s="7">
        <v>19.43</v>
      </c>
      <c r="H1089" s="7">
        <v>0</v>
      </c>
      <c r="I1089" s="7" t="str">
        <f t="shared" si="82"/>
        <v/>
      </c>
      <c r="J1089" s="7" t="str">
        <f t="shared" si="83"/>
        <v/>
      </c>
      <c r="K1089" s="7">
        <v>0</v>
      </c>
      <c r="L1089" s="7" t="str">
        <f t="shared" si="84"/>
        <v/>
      </c>
      <c r="M1089" s="7" t="str">
        <f t="shared" si="85"/>
        <v/>
      </c>
      <c r="N1089" s="7">
        <v>0</v>
      </c>
      <c r="O1089" s="7"/>
      <c r="P1089" s="7"/>
      <c r="Q1089" s="7"/>
      <c r="AC1089"/>
      <c r="AD1089" s="14"/>
    </row>
    <row r="1090" spans="1:30" x14ac:dyDescent="0.25">
      <c r="A1090" t="b">
        <f t="shared" si="86"/>
        <v>0</v>
      </c>
      <c r="B1090">
        <v>2006</v>
      </c>
      <c r="C1090">
        <v>166</v>
      </c>
      <c r="D1090">
        <v>0</v>
      </c>
      <c r="E1090">
        <v>1700</v>
      </c>
      <c r="F1090" s="7">
        <v>197.1</v>
      </c>
      <c r="G1090" s="7">
        <v>18.66</v>
      </c>
      <c r="H1090" s="7">
        <v>0</v>
      </c>
      <c r="I1090" s="7" t="str">
        <f t="shared" ref="I1090:I1153" si="87">IF(AND(B1090=B1089,C1090=C1089),"",SUMIFS($H$2:$H$1529,$B$2:$B$1529,B1090,$C$2:$C$1529,C1090))</f>
        <v/>
      </c>
      <c r="J1090" s="7" t="str">
        <f t="shared" ref="J1090:J1153" si="88">IF(AND(B1090=B1089,C1090=C1089),"",AVERAGEIFS($F$2:$F$1529,$B$2:$B$1529,B1090,$C$2:$C$1529,C1090))</f>
        <v/>
      </c>
      <c r="K1090" s="7">
        <v>0</v>
      </c>
      <c r="L1090" s="7" t="str">
        <f t="shared" ref="L1090:L1153" si="89">IF(AND(B1090=B1089,C1090=C1089),"",_xlfn.MAXIFS($G$2:$G$1529,$B$2:$B$1529,B1090,$C$2:$C$1529,C1090))</f>
        <v/>
      </c>
      <c r="M1090" s="7" t="str">
        <f t="shared" ref="M1090:M1153" si="90">IF(AND(B1090=B1089,C1090=C1089),"",_xlfn.MINIFS($G$2:$G$1529,$B$2:$B$1529,B1090,$C$2:$C$1529,C1090))</f>
        <v/>
      </c>
      <c r="N1090" s="7">
        <v>0</v>
      </c>
      <c r="O1090" s="7"/>
      <c r="P1090" s="7"/>
      <c r="Q1090" s="7"/>
      <c r="AC1090"/>
      <c r="AD1090" s="14"/>
    </row>
    <row r="1091" spans="1:30" x14ac:dyDescent="0.25">
      <c r="A1091" t="b">
        <f t="shared" ref="A1091:A1154" si="91">NOT(I1091="")</f>
        <v>0</v>
      </c>
      <c r="B1091">
        <v>2006</v>
      </c>
      <c r="C1091">
        <v>166</v>
      </c>
      <c r="D1091">
        <v>0</v>
      </c>
      <c r="E1091">
        <v>1800</v>
      </c>
      <c r="F1091" s="7">
        <v>125.3</v>
      </c>
      <c r="G1091" s="7">
        <v>18.29</v>
      </c>
      <c r="H1091" s="7">
        <v>0</v>
      </c>
      <c r="I1091" s="7" t="str">
        <f t="shared" si="87"/>
        <v/>
      </c>
      <c r="J1091" s="7" t="str">
        <f t="shared" si="88"/>
        <v/>
      </c>
      <c r="K1091" s="7">
        <v>0</v>
      </c>
      <c r="L1091" s="7" t="str">
        <f t="shared" si="89"/>
        <v/>
      </c>
      <c r="M1091" s="7" t="str">
        <f t="shared" si="90"/>
        <v/>
      </c>
      <c r="N1091" s="7">
        <v>0</v>
      </c>
      <c r="O1091" s="7"/>
      <c r="P1091" s="7"/>
      <c r="Q1091" s="7"/>
      <c r="AC1091"/>
      <c r="AD1091" s="14"/>
    </row>
    <row r="1092" spans="1:30" x14ac:dyDescent="0.25">
      <c r="A1092" t="b">
        <f t="shared" si="91"/>
        <v>0</v>
      </c>
      <c r="B1092">
        <v>2006</v>
      </c>
      <c r="C1092">
        <v>166</v>
      </c>
      <c r="D1092">
        <v>0</v>
      </c>
      <c r="E1092">
        <v>1900</v>
      </c>
      <c r="F1092" s="7">
        <v>91.2</v>
      </c>
      <c r="G1092" s="7">
        <v>18.07</v>
      </c>
      <c r="H1092" s="7">
        <v>0</v>
      </c>
      <c r="I1092" s="7" t="str">
        <f t="shared" si="87"/>
        <v/>
      </c>
      <c r="J1092" s="7" t="str">
        <f t="shared" si="88"/>
        <v/>
      </c>
      <c r="K1092" s="7">
        <v>0</v>
      </c>
      <c r="L1092" s="7" t="str">
        <f t="shared" si="89"/>
        <v/>
      </c>
      <c r="M1092" s="7" t="str">
        <f t="shared" si="90"/>
        <v/>
      </c>
      <c r="N1092" s="7">
        <v>0</v>
      </c>
      <c r="O1092" s="7"/>
      <c r="P1092" s="7"/>
      <c r="Q1092" s="7"/>
      <c r="AC1092"/>
      <c r="AD1092" s="14"/>
    </row>
    <row r="1093" spans="1:30" x14ac:dyDescent="0.25">
      <c r="A1093" t="b">
        <f t="shared" si="91"/>
        <v>0</v>
      </c>
      <c r="B1093">
        <v>2006</v>
      </c>
      <c r="C1093">
        <v>166</v>
      </c>
      <c r="D1093">
        <v>0</v>
      </c>
      <c r="E1093">
        <v>2000</v>
      </c>
      <c r="F1093" s="7">
        <v>28.66</v>
      </c>
      <c r="G1093" s="7">
        <v>17.05</v>
      </c>
      <c r="H1093" s="7">
        <v>0</v>
      </c>
      <c r="I1093" s="7" t="str">
        <f t="shared" si="87"/>
        <v/>
      </c>
      <c r="J1093" s="7" t="str">
        <f t="shared" si="88"/>
        <v/>
      </c>
      <c r="K1093" s="7">
        <v>0</v>
      </c>
      <c r="L1093" s="7" t="str">
        <f t="shared" si="89"/>
        <v/>
      </c>
      <c r="M1093" s="7" t="str">
        <f t="shared" si="90"/>
        <v/>
      </c>
      <c r="N1093" s="7">
        <v>0</v>
      </c>
      <c r="O1093" s="7"/>
      <c r="P1093" s="7"/>
      <c r="Q1093" s="7"/>
      <c r="AC1093"/>
      <c r="AD1093" s="14"/>
    </row>
    <row r="1094" spans="1:30" x14ac:dyDescent="0.25">
      <c r="A1094" t="b">
        <f t="shared" si="91"/>
        <v>0</v>
      </c>
      <c r="B1094">
        <v>2006</v>
      </c>
      <c r="C1094">
        <v>166</v>
      </c>
      <c r="D1094">
        <v>0</v>
      </c>
      <c r="E1094">
        <v>2100</v>
      </c>
      <c r="F1094" s="7">
        <v>11.21</v>
      </c>
      <c r="G1094" s="7">
        <v>16.36</v>
      </c>
      <c r="H1094" s="7">
        <v>0</v>
      </c>
      <c r="I1094" s="7" t="str">
        <f t="shared" si="87"/>
        <v/>
      </c>
      <c r="J1094" s="7" t="str">
        <f t="shared" si="88"/>
        <v/>
      </c>
      <c r="K1094" s="7">
        <v>0</v>
      </c>
      <c r="L1094" s="7" t="str">
        <f t="shared" si="89"/>
        <v/>
      </c>
      <c r="M1094" s="7" t="str">
        <f t="shared" si="90"/>
        <v/>
      </c>
      <c r="N1094" s="7">
        <v>0</v>
      </c>
      <c r="O1094" s="7"/>
      <c r="P1094" s="7"/>
      <c r="Q1094" s="7"/>
      <c r="AC1094"/>
      <c r="AD1094" s="14"/>
    </row>
    <row r="1095" spans="1:30" x14ac:dyDescent="0.25">
      <c r="A1095" t="b">
        <f t="shared" si="91"/>
        <v>0</v>
      </c>
      <c r="B1095">
        <v>2006</v>
      </c>
      <c r="C1095">
        <v>166</v>
      </c>
      <c r="D1095">
        <v>0</v>
      </c>
      <c r="E1095">
        <v>2200</v>
      </c>
      <c r="F1095" s="7">
        <v>-1.78</v>
      </c>
      <c r="G1095" s="7">
        <v>15.06</v>
      </c>
      <c r="H1095" s="7">
        <v>0</v>
      </c>
      <c r="I1095" s="7" t="str">
        <f t="shared" si="87"/>
        <v/>
      </c>
      <c r="J1095" s="7" t="str">
        <f t="shared" si="88"/>
        <v/>
      </c>
      <c r="K1095" s="7">
        <v>0</v>
      </c>
      <c r="L1095" s="7" t="str">
        <f t="shared" si="89"/>
        <v/>
      </c>
      <c r="M1095" s="7" t="str">
        <f t="shared" si="90"/>
        <v/>
      </c>
      <c r="N1095" s="7">
        <v>0</v>
      </c>
      <c r="O1095" s="7"/>
      <c r="P1095" s="7"/>
      <c r="Q1095" s="7"/>
      <c r="AC1095"/>
      <c r="AD1095" s="14"/>
    </row>
    <row r="1096" spans="1:30" x14ac:dyDescent="0.25">
      <c r="A1096" t="b">
        <f t="shared" si="91"/>
        <v>0</v>
      </c>
      <c r="B1096">
        <v>2006</v>
      </c>
      <c r="C1096">
        <v>166</v>
      </c>
      <c r="D1096">
        <v>0</v>
      </c>
      <c r="E1096">
        <v>2300</v>
      </c>
      <c r="F1096" s="7">
        <v>-2.3279999999999998</v>
      </c>
      <c r="G1096" s="7">
        <v>13.74</v>
      </c>
      <c r="H1096" s="7">
        <v>0</v>
      </c>
      <c r="I1096" s="7" t="str">
        <f t="shared" si="87"/>
        <v/>
      </c>
      <c r="J1096" s="7" t="str">
        <f t="shared" si="88"/>
        <v/>
      </c>
      <c r="K1096" s="7">
        <v>0</v>
      </c>
      <c r="L1096" s="7" t="str">
        <f t="shared" si="89"/>
        <v/>
      </c>
      <c r="M1096" s="7" t="str">
        <f t="shared" si="90"/>
        <v/>
      </c>
      <c r="N1096" s="7">
        <v>0</v>
      </c>
      <c r="O1096" s="7"/>
      <c r="P1096" s="7"/>
      <c r="Q1096" s="7"/>
      <c r="AC1096"/>
      <c r="AD1096" s="14"/>
    </row>
    <row r="1097" spans="1:30" x14ac:dyDescent="0.25">
      <c r="A1097" t="b">
        <f t="shared" si="91"/>
        <v>0</v>
      </c>
      <c r="B1097">
        <v>2006</v>
      </c>
      <c r="C1097">
        <v>166</v>
      </c>
      <c r="D1097">
        <v>0</v>
      </c>
      <c r="E1097">
        <v>2400</v>
      </c>
      <c r="F1097" s="7">
        <v>-1.726</v>
      </c>
      <c r="G1097" s="7">
        <v>12.65</v>
      </c>
      <c r="H1097" s="7">
        <v>0</v>
      </c>
      <c r="I1097" s="7" t="str">
        <f t="shared" si="87"/>
        <v/>
      </c>
      <c r="J1097" s="7" t="str">
        <f t="shared" si="88"/>
        <v/>
      </c>
      <c r="K1097" s="7">
        <v>0</v>
      </c>
      <c r="L1097" s="7" t="str">
        <f t="shared" si="89"/>
        <v/>
      </c>
      <c r="M1097" s="7" t="str">
        <f t="shared" si="90"/>
        <v/>
      </c>
      <c r="N1097" s="7">
        <v>0</v>
      </c>
      <c r="O1097" s="7"/>
      <c r="P1097" s="7"/>
      <c r="Q1097" s="7"/>
      <c r="AC1097"/>
      <c r="AD1097" s="14"/>
    </row>
    <row r="1098" spans="1:30" x14ac:dyDescent="0.25">
      <c r="A1098" t="b">
        <f t="shared" si="91"/>
        <v>1</v>
      </c>
      <c r="B1098">
        <v>2006</v>
      </c>
      <c r="C1098">
        <v>167</v>
      </c>
      <c r="D1098">
        <v>0</v>
      </c>
      <c r="E1098">
        <v>100</v>
      </c>
      <c r="F1098" s="7">
        <v>-0.124</v>
      </c>
      <c r="G1098" s="7">
        <v>13.83</v>
      </c>
      <c r="H1098" s="7">
        <v>0</v>
      </c>
      <c r="I1098" s="7">
        <f t="shared" si="87"/>
        <v>1.8</v>
      </c>
      <c r="J1098" s="7">
        <f t="shared" si="88"/>
        <v>102.236</v>
      </c>
      <c r="K1098" s="7">
        <v>0</v>
      </c>
      <c r="L1098" s="7">
        <f t="shared" si="89"/>
        <v>17.010000000000002</v>
      </c>
      <c r="M1098" s="7">
        <f t="shared" si="90"/>
        <v>13.14</v>
      </c>
      <c r="N1098" s="7">
        <v>0</v>
      </c>
      <c r="O1098" s="7"/>
      <c r="P1098" s="7"/>
      <c r="Q1098" s="7"/>
      <c r="AC1098"/>
      <c r="AD1098" s="14"/>
    </row>
    <row r="1099" spans="1:30" x14ac:dyDescent="0.25">
      <c r="A1099" t="b">
        <f t="shared" si="91"/>
        <v>0</v>
      </c>
      <c r="B1099">
        <v>2006</v>
      </c>
      <c r="C1099">
        <v>167</v>
      </c>
      <c r="D1099">
        <v>0</v>
      </c>
      <c r="E1099">
        <v>200</v>
      </c>
      <c r="F1099" s="7">
        <v>-0.54800000000000004</v>
      </c>
      <c r="G1099" s="7">
        <v>14.36</v>
      </c>
      <c r="H1099" s="7">
        <v>0</v>
      </c>
      <c r="I1099" s="7" t="str">
        <f t="shared" si="87"/>
        <v/>
      </c>
      <c r="J1099" s="7" t="str">
        <f t="shared" si="88"/>
        <v/>
      </c>
      <c r="K1099" s="7">
        <v>0</v>
      </c>
      <c r="L1099" s="7" t="str">
        <f t="shared" si="89"/>
        <v/>
      </c>
      <c r="M1099" s="7" t="str">
        <f t="shared" si="90"/>
        <v/>
      </c>
      <c r="N1099" s="7">
        <v>0</v>
      </c>
      <c r="O1099" s="7"/>
      <c r="P1099" s="7"/>
      <c r="Q1099" s="7"/>
      <c r="AC1099"/>
      <c r="AD1099" s="14"/>
    </row>
    <row r="1100" spans="1:30" x14ac:dyDescent="0.25">
      <c r="A1100" t="b">
        <f t="shared" si="91"/>
        <v>0</v>
      </c>
      <c r="B1100">
        <v>2006</v>
      </c>
      <c r="C1100">
        <v>167</v>
      </c>
      <c r="D1100">
        <v>0</v>
      </c>
      <c r="E1100">
        <v>300</v>
      </c>
      <c r="F1100" s="7">
        <v>-0.66900000000000004</v>
      </c>
      <c r="G1100" s="7">
        <v>14.46</v>
      </c>
      <c r="H1100" s="7">
        <v>0</v>
      </c>
      <c r="I1100" s="7" t="str">
        <f t="shared" si="87"/>
        <v/>
      </c>
      <c r="J1100" s="7" t="str">
        <f t="shared" si="88"/>
        <v/>
      </c>
      <c r="K1100" s="7">
        <v>0</v>
      </c>
      <c r="L1100" s="7" t="str">
        <f t="shared" si="89"/>
        <v/>
      </c>
      <c r="M1100" s="7" t="str">
        <f t="shared" si="90"/>
        <v/>
      </c>
      <c r="N1100" s="7">
        <v>0</v>
      </c>
      <c r="O1100" s="7"/>
      <c r="P1100" s="7"/>
      <c r="Q1100" s="7"/>
      <c r="AC1100"/>
      <c r="AD1100" s="14"/>
    </row>
    <row r="1101" spans="1:30" x14ac:dyDescent="0.25">
      <c r="A1101" t="b">
        <f t="shared" si="91"/>
        <v>0</v>
      </c>
      <c r="B1101">
        <v>2006</v>
      </c>
      <c r="C1101">
        <v>167</v>
      </c>
      <c r="D1101">
        <v>0</v>
      </c>
      <c r="E1101">
        <v>400</v>
      </c>
      <c r="F1101" s="7">
        <v>-0.22600000000000001</v>
      </c>
      <c r="G1101" s="7">
        <v>14.04</v>
      </c>
      <c r="H1101" s="7">
        <v>0</v>
      </c>
      <c r="I1101" s="7" t="str">
        <f t="shared" si="87"/>
        <v/>
      </c>
      <c r="J1101" s="7" t="str">
        <f t="shared" si="88"/>
        <v/>
      </c>
      <c r="K1101" s="7">
        <v>0</v>
      </c>
      <c r="L1101" s="7" t="str">
        <f t="shared" si="89"/>
        <v/>
      </c>
      <c r="M1101" s="7" t="str">
        <f t="shared" si="90"/>
        <v/>
      </c>
      <c r="N1101" s="7">
        <v>0</v>
      </c>
      <c r="O1101" s="7"/>
      <c r="P1101" s="7"/>
      <c r="Q1101" s="7"/>
      <c r="AC1101"/>
      <c r="AD1101" s="14"/>
    </row>
    <row r="1102" spans="1:30" x14ac:dyDescent="0.25">
      <c r="A1102" t="b">
        <f t="shared" si="91"/>
        <v>0</v>
      </c>
      <c r="B1102">
        <v>2006</v>
      </c>
      <c r="C1102">
        <v>167</v>
      </c>
      <c r="D1102">
        <v>0</v>
      </c>
      <c r="E1102">
        <v>500</v>
      </c>
      <c r="F1102" s="7">
        <v>14.34</v>
      </c>
      <c r="G1102" s="7">
        <v>14.13</v>
      </c>
      <c r="H1102" s="7">
        <v>0</v>
      </c>
      <c r="I1102" s="7" t="str">
        <f t="shared" si="87"/>
        <v/>
      </c>
      <c r="J1102" s="7" t="str">
        <f t="shared" si="88"/>
        <v/>
      </c>
      <c r="K1102" s="7">
        <v>0</v>
      </c>
      <c r="L1102" s="7" t="str">
        <f t="shared" si="89"/>
        <v/>
      </c>
      <c r="M1102" s="7" t="str">
        <f t="shared" si="90"/>
        <v/>
      </c>
      <c r="N1102" s="7">
        <v>0</v>
      </c>
      <c r="O1102" s="7"/>
      <c r="P1102" s="7"/>
      <c r="Q1102" s="7"/>
      <c r="AC1102"/>
      <c r="AD1102" s="14"/>
    </row>
    <row r="1103" spans="1:30" x14ac:dyDescent="0.25">
      <c r="A1103" t="b">
        <f t="shared" si="91"/>
        <v>0</v>
      </c>
      <c r="B1103">
        <v>2006</v>
      </c>
      <c r="C1103">
        <v>167</v>
      </c>
      <c r="D1103">
        <v>0</v>
      </c>
      <c r="E1103">
        <v>600</v>
      </c>
      <c r="F1103" s="7">
        <v>47.03</v>
      </c>
      <c r="G1103" s="7">
        <v>14.19</v>
      </c>
      <c r="H1103" s="7">
        <v>0</v>
      </c>
      <c r="I1103" s="7" t="str">
        <f t="shared" si="87"/>
        <v/>
      </c>
      <c r="J1103" s="7" t="str">
        <f t="shared" si="88"/>
        <v/>
      </c>
      <c r="K1103" s="7">
        <v>0</v>
      </c>
      <c r="L1103" s="7" t="str">
        <f t="shared" si="89"/>
        <v/>
      </c>
      <c r="M1103" s="7" t="str">
        <f t="shared" si="90"/>
        <v/>
      </c>
      <c r="N1103" s="7">
        <v>0</v>
      </c>
      <c r="O1103" s="7"/>
      <c r="P1103" s="7"/>
      <c r="Q1103" s="7"/>
      <c r="AC1103"/>
      <c r="AD1103" s="14"/>
    </row>
    <row r="1104" spans="1:30" x14ac:dyDescent="0.25">
      <c r="A1104" t="b">
        <f t="shared" si="91"/>
        <v>0</v>
      </c>
      <c r="B1104">
        <v>2006</v>
      </c>
      <c r="C1104">
        <v>167</v>
      </c>
      <c r="D1104">
        <v>0</v>
      </c>
      <c r="E1104">
        <v>700</v>
      </c>
      <c r="F1104" s="7">
        <v>79</v>
      </c>
      <c r="G1104" s="7">
        <v>14.27</v>
      </c>
      <c r="H1104" s="7">
        <v>0.2</v>
      </c>
      <c r="I1104" s="7" t="str">
        <f t="shared" si="87"/>
        <v/>
      </c>
      <c r="J1104" s="7" t="str">
        <f t="shared" si="88"/>
        <v/>
      </c>
      <c r="K1104" s="7">
        <v>0</v>
      </c>
      <c r="L1104" s="7" t="str">
        <f t="shared" si="89"/>
        <v/>
      </c>
      <c r="M1104" s="7" t="str">
        <f t="shared" si="90"/>
        <v/>
      </c>
      <c r="N1104" s="7">
        <v>0</v>
      </c>
      <c r="O1104" s="7"/>
      <c r="P1104" s="7"/>
      <c r="Q1104" s="7"/>
      <c r="AC1104"/>
      <c r="AD1104" s="14"/>
    </row>
    <row r="1105" spans="1:30" x14ac:dyDescent="0.25">
      <c r="A1105" t="b">
        <f t="shared" si="91"/>
        <v>0</v>
      </c>
      <c r="B1105">
        <v>2006</v>
      </c>
      <c r="C1105">
        <v>167</v>
      </c>
      <c r="D1105">
        <v>0</v>
      </c>
      <c r="E1105">
        <v>800</v>
      </c>
      <c r="F1105" s="7">
        <v>124.9</v>
      </c>
      <c r="G1105" s="7">
        <v>14.46</v>
      </c>
      <c r="H1105" s="7">
        <v>0.2</v>
      </c>
      <c r="I1105" s="7" t="str">
        <f t="shared" si="87"/>
        <v/>
      </c>
      <c r="J1105" s="7" t="str">
        <f t="shared" si="88"/>
        <v/>
      </c>
      <c r="K1105" s="7">
        <v>0</v>
      </c>
      <c r="L1105" s="7" t="str">
        <f t="shared" si="89"/>
        <v/>
      </c>
      <c r="M1105" s="7" t="str">
        <f t="shared" si="90"/>
        <v/>
      </c>
      <c r="N1105" s="7">
        <v>0</v>
      </c>
      <c r="O1105" s="7"/>
      <c r="P1105" s="7"/>
      <c r="Q1105" s="7"/>
      <c r="AC1105"/>
      <c r="AD1105" s="14"/>
    </row>
    <row r="1106" spans="1:30" x14ac:dyDescent="0.25">
      <c r="A1106" t="b">
        <f t="shared" si="91"/>
        <v>0</v>
      </c>
      <c r="B1106">
        <v>2006</v>
      </c>
      <c r="C1106">
        <v>167</v>
      </c>
      <c r="D1106">
        <v>0</v>
      </c>
      <c r="E1106">
        <v>900</v>
      </c>
      <c r="F1106" s="7">
        <v>183.5</v>
      </c>
      <c r="G1106" s="7">
        <v>15.12</v>
      </c>
      <c r="H1106" s="7">
        <v>0</v>
      </c>
      <c r="I1106" s="7" t="str">
        <f t="shared" si="87"/>
        <v/>
      </c>
      <c r="J1106" s="7" t="str">
        <f t="shared" si="88"/>
        <v/>
      </c>
      <c r="K1106" s="7">
        <v>0</v>
      </c>
      <c r="L1106" s="7" t="str">
        <f t="shared" si="89"/>
        <v/>
      </c>
      <c r="M1106" s="7" t="str">
        <f t="shared" si="90"/>
        <v/>
      </c>
      <c r="N1106" s="7">
        <v>0</v>
      </c>
      <c r="O1106" s="7"/>
      <c r="P1106" s="7"/>
      <c r="Q1106" s="7"/>
      <c r="AC1106"/>
      <c r="AD1106" s="14"/>
    </row>
    <row r="1107" spans="1:30" x14ac:dyDescent="0.25">
      <c r="A1107" t="b">
        <f t="shared" si="91"/>
        <v>0</v>
      </c>
      <c r="B1107">
        <v>2006</v>
      </c>
      <c r="C1107">
        <v>167</v>
      </c>
      <c r="D1107">
        <v>0</v>
      </c>
      <c r="E1107">
        <v>1000</v>
      </c>
      <c r="F1107" s="7">
        <v>176.8</v>
      </c>
      <c r="G1107" s="7">
        <v>14.95</v>
      </c>
      <c r="H1107" s="7">
        <v>0.4</v>
      </c>
      <c r="I1107" s="7" t="str">
        <f t="shared" si="87"/>
        <v/>
      </c>
      <c r="J1107" s="7" t="str">
        <f t="shared" si="88"/>
        <v/>
      </c>
      <c r="K1107" s="7">
        <v>0</v>
      </c>
      <c r="L1107" s="7" t="str">
        <f t="shared" si="89"/>
        <v/>
      </c>
      <c r="M1107" s="7" t="str">
        <f t="shared" si="90"/>
        <v/>
      </c>
      <c r="N1107" s="7">
        <v>0</v>
      </c>
      <c r="O1107" s="7"/>
      <c r="P1107" s="7"/>
      <c r="Q1107" s="7"/>
      <c r="AC1107"/>
      <c r="AD1107" s="14"/>
    </row>
    <row r="1108" spans="1:30" x14ac:dyDescent="0.25">
      <c r="A1108" t="b">
        <f t="shared" si="91"/>
        <v>0</v>
      </c>
      <c r="B1108">
        <v>2006</v>
      </c>
      <c r="C1108">
        <v>167</v>
      </c>
      <c r="D1108">
        <v>0</v>
      </c>
      <c r="E1108">
        <v>1100</v>
      </c>
      <c r="F1108" s="7">
        <v>145.6</v>
      </c>
      <c r="G1108" s="7">
        <v>13.14</v>
      </c>
      <c r="H1108" s="7">
        <v>0.4</v>
      </c>
      <c r="I1108" s="7" t="str">
        <f t="shared" si="87"/>
        <v/>
      </c>
      <c r="J1108" s="7" t="str">
        <f t="shared" si="88"/>
        <v/>
      </c>
      <c r="K1108" s="7">
        <v>0</v>
      </c>
      <c r="L1108" s="7" t="str">
        <f t="shared" si="89"/>
        <v/>
      </c>
      <c r="M1108" s="7" t="str">
        <f t="shared" si="90"/>
        <v/>
      </c>
      <c r="N1108" s="7">
        <v>0</v>
      </c>
      <c r="O1108" s="7"/>
      <c r="P1108" s="7"/>
      <c r="Q1108" s="7"/>
      <c r="AC1108"/>
      <c r="AD1108" s="14"/>
    </row>
    <row r="1109" spans="1:30" x14ac:dyDescent="0.25">
      <c r="A1109" t="b">
        <f t="shared" si="91"/>
        <v>0</v>
      </c>
      <c r="B1109">
        <v>2006</v>
      </c>
      <c r="C1109">
        <v>167</v>
      </c>
      <c r="D1109">
        <v>0</v>
      </c>
      <c r="E1109">
        <v>1200</v>
      </c>
      <c r="F1109" s="7">
        <v>261.10000000000002</v>
      </c>
      <c r="G1109" s="7">
        <v>13.2</v>
      </c>
      <c r="H1109" s="7">
        <v>0.2</v>
      </c>
      <c r="I1109" s="7" t="str">
        <f t="shared" si="87"/>
        <v/>
      </c>
      <c r="J1109" s="7" t="str">
        <f t="shared" si="88"/>
        <v/>
      </c>
      <c r="K1109" s="7">
        <v>0</v>
      </c>
      <c r="L1109" s="7" t="str">
        <f t="shared" si="89"/>
        <v/>
      </c>
      <c r="M1109" s="7" t="str">
        <f t="shared" si="90"/>
        <v/>
      </c>
      <c r="N1109" s="7">
        <v>0</v>
      </c>
      <c r="O1109" s="7"/>
      <c r="P1109" s="7"/>
      <c r="Q1109" s="7"/>
      <c r="AC1109"/>
      <c r="AD1109" s="14"/>
    </row>
    <row r="1110" spans="1:30" x14ac:dyDescent="0.25">
      <c r="A1110" t="b">
        <f t="shared" si="91"/>
        <v>0</v>
      </c>
      <c r="B1110">
        <v>2006</v>
      </c>
      <c r="C1110">
        <v>167</v>
      </c>
      <c r="D1110">
        <v>0</v>
      </c>
      <c r="E1110">
        <v>1300</v>
      </c>
      <c r="F1110" s="7">
        <v>410.8</v>
      </c>
      <c r="G1110" s="7">
        <v>15.22</v>
      </c>
      <c r="H1110" s="7">
        <v>0.2</v>
      </c>
      <c r="I1110" s="7" t="str">
        <f t="shared" si="87"/>
        <v/>
      </c>
      <c r="J1110" s="7" t="str">
        <f t="shared" si="88"/>
        <v/>
      </c>
      <c r="K1110" s="7">
        <v>0</v>
      </c>
      <c r="L1110" s="7" t="str">
        <f t="shared" si="89"/>
        <v/>
      </c>
      <c r="M1110" s="7" t="str">
        <f t="shared" si="90"/>
        <v/>
      </c>
      <c r="N1110" s="7">
        <v>0</v>
      </c>
      <c r="O1110" s="7"/>
      <c r="P1110" s="7"/>
      <c r="Q1110" s="7"/>
      <c r="AC1110"/>
      <c r="AD1110" s="14"/>
    </row>
    <row r="1111" spans="1:30" x14ac:dyDescent="0.25">
      <c r="A1111" t="b">
        <f t="shared" si="91"/>
        <v>0</v>
      </c>
      <c r="B1111">
        <v>2006</v>
      </c>
      <c r="C1111">
        <v>167</v>
      </c>
      <c r="D1111">
        <v>0</v>
      </c>
      <c r="E1111">
        <v>1400</v>
      </c>
      <c r="F1111" s="7">
        <v>306.8</v>
      </c>
      <c r="G1111" s="7">
        <v>16.3</v>
      </c>
      <c r="H1111" s="7">
        <v>0</v>
      </c>
      <c r="I1111" s="7" t="str">
        <f t="shared" si="87"/>
        <v/>
      </c>
      <c r="J1111" s="7" t="str">
        <f t="shared" si="88"/>
        <v/>
      </c>
      <c r="K1111" s="7">
        <v>0</v>
      </c>
      <c r="L1111" s="7" t="str">
        <f t="shared" si="89"/>
        <v/>
      </c>
      <c r="M1111" s="7" t="str">
        <f t="shared" si="90"/>
        <v/>
      </c>
      <c r="N1111" s="7">
        <v>0</v>
      </c>
      <c r="O1111" s="7"/>
      <c r="P1111" s="7"/>
      <c r="Q1111" s="7"/>
      <c r="AC1111"/>
      <c r="AD1111" s="14"/>
    </row>
    <row r="1112" spans="1:30" x14ac:dyDescent="0.25">
      <c r="A1112" t="b">
        <f t="shared" si="91"/>
        <v>0</v>
      </c>
      <c r="B1112">
        <v>2006</v>
      </c>
      <c r="C1112">
        <v>167</v>
      </c>
      <c r="D1112">
        <v>0</v>
      </c>
      <c r="E1112">
        <v>1500</v>
      </c>
      <c r="F1112" s="7">
        <v>242.2</v>
      </c>
      <c r="G1112" s="7">
        <v>16.440000000000001</v>
      </c>
      <c r="H1112" s="7">
        <v>0</v>
      </c>
      <c r="I1112" s="7" t="str">
        <f t="shared" si="87"/>
        <v/>
      </c>
      <c r="J1112" s="7" t="str">
        <f t="shared" si="88"/>
        <v/>
      </c>
      <c r="K1112" s="7">
        <v>0</v>
      </c>
      <c r="L1112" s="7" t="str">
        <f t="shared" si="89"/>
        <v/>
      </c>
      <c r="M1112" s="7" t="str">
        <f t="shared" si="90"/>
        <v/>
      </c>
      <c r="N1112" s="7">
        <v>0</v>
      </c>
      <c r="O1112" s="7"/>
      <c r="P1112" s="7"/>
      <c r="Q1112" s="7"/>
      <c r="AC1112"/>
      <c r="AD1112" s="14"/>
    </row>
    <row r="1113" spans="1:30" x14ac:dyDescent="0.25">
      <c r="A1113" t="b">
        <f t="shared" si="91"/>
        <v>0</v>
      </c>
      <c r="B1113">
        <v>2006</v>
      </c>
      <c r="C1113">
        <v>167</v>
      </c>
      <c r="D1113">
        <v>0</v>
      </c>
      <c r="E1113">
        <v>1600</v>
      </c>
      <c r="F1113" s="7">
        <v>222</v>
      </c>
      <c r="G1113" s="7">
        <v>17.010000000000002</v>
      </c>
      <c r="H1113" s="7">
        <v>0</v>
      </c>
      <c r="I1113" s="7" t="str">
        <f t="shared" si="87"/>
        <v/>
      </c>
      <c r="J1113" s="7" t="str">
        <f t="shared" si="88"/>
        <v/>
      </c>
      <c r="K1113" s="7">
        <v>0</v>
      </c>
      <c r="L1113" s="7" t="str">
        <f t="shared" si="89"/>
        <v/>
      </c>
      <c r="M1113" s="7" t="str">
        <f t="shared" si="90"/>
        <v/>
      </c>
      <c r="N1113" s="7">
        <v>0</v>
      </c>
      <c r="O1113" s="7"/>
      <c r="P1113" s="7"/>
      <c r="Q1113" s="7"/>
      <c r="AC1113"/>
      <c r="AD1113" s="14"/>
    </row>
    <row r="1114" spans="1:30" x14ac:dyDescent="0.25">
      <c r="A1114" t="b">
        <f t="shared" si="91"/>
        <v>0</v>
      </c>
      <c r="B1114">
        <v>2006</v>
      </c>
      <c r="C1114">
        <v>167</v>
      </c>
      <c r="D1114">
        <v>0</v>
      </c>
      <c r="E1114">
        <v>1700</v>
      </c>
      <c r="F1114" s="7">
        <v>116.9</v>
      </c>
      <c r="G1114" s="7">
        <v>16.62</v>
      </c>
      <c r="H1114" s="7">
        <v>0</v>
      </c>
      <c r="I1114" s="7" t="str">
        <f t="shared" si="87"/>
        <v/>
      </c>
      <c r="J1114" s="7" t="str">
        <f t="shared" si="88"/>
        <v/>
      </c>
      <c r="K1114" s="7">
        <v>0</v>
      </c>
      <c r="L1114" s="7" t="str">
        <f t="shared" si="89"/>
        <v/>
      </c>
      <c r="M1114" s="7" t="str">
        <f t="shared" si="90"/>
        <v/>
      </c>
      <c r="N1114" s="7">
        <v>0</v>
      </c>
      <c r="O1114" s="7"/>
      <c r="P1114" s="7"/>
      <c r="Q1114" s="7"/>
      <c r="AC1114"/>
      <c r="AD1114" s="14"/>
    </row>
    <row r="1115" spans="1:30" x14ac:dyDescent="0.25">
      <c r="A1115" t="b">
        <f t="shared" si="91"/>
        <v>0</v>
      </c>
      <c r="B1115">
        <v>2006</v>
      </c>
      <c r="C1115">
        <v>167</v>
      </c>
      <c r="D1115">
        <v>0</v>
      </c>
      <c r="E1115">
        <v>1800</v>
      </c>
      <c r="F1115" s="7">
        <v>81.400000000000006</v>
      </c>
      <c r="G1115" s="7">
        <v>16.48</v>
      </c>
      <c r="H1115" s="7">
        <v>0.2</v>
      </c>
      <c r="I1115" s="7" t="str">
        <f t="shared" si="87"/>
        <v/>
      </c>
      <c r="J1115" s="7" t="str">
        <f t="shared" si="88"/>
        <v/>
      </c>
      <c r="K1115" s="7">
        <v>0</v>
      </c>
      <c r="L1115" s="7" t="str">
        <f t="shared" si="89"/>
        <v/>
      </c>
      <c r="M1115" s="7" t="str">
        <f t="shared" si="90"/>
        <v/>
      </c>
      <c r="N1115" s="7">
        <v>0</v>
      </c>
      <c r="O1115" s="7"/>
      <c r="P1115" s="7"/>
      <c r="Q1115" s="7"/>
      <c r="AC1115"/>
      <c r="AD1115" s="14"/>
    </row>
    <row r="1116" spans="1:30" x14ac:dyDescent="0.25">
      <c r="A1116" t="b">
        <f t="shared" si="91"/>
        <v>0</v>
      </c>
      <c r="B1116">
        <v>2006</v>
      </c>
      <c r="C1116">
        <v>167</v>
      </c>
      <c r="D1116">
        <v>0</v>
      </c>
      <c r="E1116">
        <v>1900</v>
      </c>
      <c r="F1116" s="7">
        <v>34.86</v>
      </c>
      <c r="G1116" s="7">
        <v>16.29</v>
      </c>
      <c r="H1116" s="7">
        <v>0</v>
      </c>
      <c r="I1116" s="7" t="str">
        <f t="shared" si="87"/>
        <v/>
      </c>
      <c r="J1116" s="7" t="str">
        <f t="shared" si="88"/>
        <v/>
      </c>
      <c r="K1116" s="7">
        <v>0</v>
      </c>
      <c r="L1116" s="7" t="str">
        <f t="shared" si="89"/>
        <v/>
      </c>
      <c r="M1116" s="7" t="str">
        <f t="shared" si="90"/>
        <v/>
      </c>
      <c r="N1116" s="7">
        <v>0</v>
      </c>
      <c r="O1116" s="7"/>
      <c r="P1116" s="7"/>
      <c r="Q1116" s="7"/>
      <c r="AC1116"/>
      <c r="AD1116" s="14"/>
    </row>
    <row r="1117" spans="1:30" x14ac:dyDescent="0.25">
      <c r="A1117" t="b">
        <f t="shared" si="91"/>
        <v>0</v>
      </c>
      <c r="B1117">
        <v>2006</v>
      </c>
      <c r="C1117">
        <v>167</v>
      </c>
      <c r="D1117">
        <v>0</v>
      </c>
      <c r="E1117">
        <v>2000</v>
      </c>
      <c r="F1117" s="7">
        <v>8.07</v>
      </c>
      <c r="G1117" s="7">
        <v>16.11</v>
      </c>
      <c r="H1117" s="7">
        <v>0</v>
      </c>
      <c r="I1117" s="7" t="str">
        <f t="shared" si="87"/>
        <v/>
      </c>
      <c r="J1117" s="7" t="str">
        <f t="shared" si="88"/>
        <v/>
      </c>
      <c r="K1117" s="7">
        <v>0</v>
      </c>
      <c r="L1117" s="7" t="str">
        <f t="shared" si="89"/>
        <v/>
      </c>
      <c r="M1117" s="7" t="str">
        <f t="shared" si="90"/>
        <v/>
      </c>
      <c r="N1117" s="7">
        <v>0</v>
      </c>
      <c r="O1117" s="7"/>
      <c r="P1117" s="7"/>
      <c r="Q1117" s="7"/>
      <c r="AC1117"/>
      <c r="AD1117" s="14"/>
    </row>
    <row r="1118" spans="1:30" x14ac:dyDescent="0.25">
      <c r="A1118" t="b">
        <f t="shared" si="91"/>
        <v>0</v>
      </c>
      <c r="B1118">
        <v>2006</v>
      </c>
      <c r="C1118">
        <v>167</v>
      </c>
      <c r="D1118">
        <v>0</v>
      </c>
      <c r="E1118">
        <v>2100</v>
      </c>
      <c r="F1118" s="7">
        <v>3.0720000000000001</v>
      </c>
      <c r="G1118" s="7">
        <v>15.93</v>
      </c>
      <c r="H1118" s="7">
        <v>0</v>
      </c>
      <c r="I1118" s="7" t="str">
        <f t="shared" si="87"/>
        <v/>
      </c>
      <c r="J1118" s="7" t="str">
        <f t="shared" si="88"/>
        <v/>
      </c>
      <c r="K1118" s="7">
        <v>0</v>
      </c>
      <c r="L1118" s="7" t="str">
        <f t="shared" si="89"/>
        <v/>
      </c>
      <c r="M1118" s="7" t="str">
        <f t="shared" si="90"/>
        <v/>
      </c>
      <c r="N1118" s="7">
        <v>0</v>
      </c>
      <c r="O1118" s="7"/>
      <c r="P1118" s="7"/>
      <c r="Q1118" s="7"/>
      <c r="AC1118"/>
      <c r="AD1118" s="14"/>
    </row>
    <row r="1119" spans="1:30" x14ac:dyDescent="0.25">
      <c r="A1119" t="b">
        <f t="shared" si="91"/>
        <v>0</v>
      </c>
      <c r="B1119">
        <v>2006</v>
      </c>
      <c r="C1119">
        <v>167</v>
      </c>
      <c r="D1119">
        <v>0</v>
      </c>
      <c r="E1119">
        <v>2200</v>
      </c>
      <c r="F1119" s="7">
        <v>-0.60599999999999998</v>
      </c>
      <c r="G1119" s="7">
        <v>15.61</v>
      </c>
      <c r="H1119" s="7">
        <v>0</v>
      </c>
      <c r="I1119" s="7" t="str">
        <f t="shared" si="87"/>
        <v/>
      </c>
      <c r="J1119" s="7" t="str">
        <f t="shared" si="88"/>
        <v/>
      </c>
      <c r="K1119" s="7">
        <v>0</v>
      </c>
      <c r="L1119" s="7" t="str">
        <f t="shared" si="89"/>
        <v/>
      </c>
      <c r="M1119" s="7" t="str">
        <f t="shared" si="90"/>
        <v/>
      </c>
      <c r="N1119" s="7">
        <v>0</v>
      </c>
      <c r="O1119" s="7"/>
      <c r="P1119" s="7"/>
      <c r="Q1119" s="7"/>
      <c r="AC1119"/>
      <c r="AD1119" s="14"/>
    </row>
    <row r="1120" spans="1:30" x14ac:dyDescent="0.25">
      <c r="A1120" t="b">
        <f t="shared" si="91"/>
        <v>0</v>
      </c>
      <c r="B1120">
        <v>2006</v>
      </c>
      <c r="C1120">
        <v>167</v>
      </c>
      <c r="D1120">
        <v>0</v>
      </c>
      <c r="E1120">
        <v>2300</v>
      </c>
      <c r="F1120" s="7">
        <v>-0.90100000000000002</v>
      </c>
      <c r="G1120" s="7">
        <v>15.27</v>
      </c>
      <c r="H1120" s="7">
        <v>0</v>
      </c>
      <c r="I1120" s="7" t="str">
        <f t="shared" si="87"/>
        <v/>
      </c>
      <c r="J1120" s="7" t="str">
        <f t="shared" si="88"/>
        <v/>
      </c>
      <c r="K1120" s="7">
        <v>0</v>
      </c>
      <c r="L1120" s="7" t="str">
        <f t="shared" si="89"/>
        <v/>
      </c>
      <c r="M1120" s="7" t="str">
        <f t="shared" si="90"/>
        <v/>
      </c>
      <c r="N1120" s="7">
        <v>0</v>
      </c>
      <c r="O1120" s="7"/>
      <c r="P1120" s="7"/>
      <c r="Q1120" s="7"/>
      <c r="AC1120"/>
      <c r="AD1120" s="14"/>
    </row>
    <row r="1121" spans="1:30" x14ac:dyDescent="0.25">
      <c r="A1121" t="b">
        <f t="shared" si="91"/>
        <v>0</v>
      </c>
      <c r="B1121">
        <v>2006</v>
      </c>
      <c r="C1121">
        <v>167</v>
      </c>
      <c r="D1121">
        <v>0</v>
      </c>
      <c r="E1121">
        <v>2400</v>
      </c>
      <c r="F1121" s="7">
        <v>-1.6339999999999999</v>
      </c>
      <c r="G1121" s="7">
        <v>14.51</v>
      </c>
      <c r="H1121" s="7">
        <v>0</v>
      </c>
      <c r="I1121" s="7" t="str">
        <f t="shared" si="87"/>
        <v/>
      </c>
      <c r="J1121" s="7" t="str">
        <f t="shared" si="88"/>
        <v/>
      </c>
      <c r="K1121" s="7">
        <v>0</v>
      </c>
      <c r="L1121" s="7" t="str">
        <f t="shared" si="89"/>
        <v/>
      </c>
      <c r="M1121" s="7" t="str">
        <f t="shared" si="90"/>
        <v/>
      </c>
      <c r="N1121" s="7">
        <v>0</v>
      </c>
      <c r="O1121" s="7"/>
      <c r="P1121" s="7"/>
      <c r="Q1121" s="7"/>
      <c r="AC1121"/>
      <c r="AD1121" s="14"/>
    </row>
    <row r="1122" spans="1:30" x14ac:dyDescent="0.25">
      <c r="A1122" t="b">
        <f t="shared" si="91"/>
        <v>1</v>
      </c>
      <c r="B1122">
        <v>2006</v>
      </c>
      <c r="C1122">
        <v>168</v>
      </c>
      <c r="D1122">
        <v>0</v>
      </c>
      <c r="E1122">
        <v>100</v>
      </c>
      <c r="F1122" s="7">
        <v>-1.145</v>
      </c>
      <c r="G1122" s="7">
        <v>14.32</v>
      </c>
      <c r="H1122" s="7">
        <v>0</v>
      </c>
      <c r="I1122" s="7">
        <f t="shared" si="87"/>
        <v>0.2</v>
      </c>
      <c r="J1122" s="7">
        <f t="shared" si="88"/>
        <v>165.53383333333332</v>
      </c>
      <c r="K1122" s="7">
        <v>0</v>
      </c>
      <c r="L1122" s="7">
        <f t="shared" si="89"/>
        <v>20.5</v>
      </c>
      <c r="M1122" s="7">
        <f t="shared" si="90"/>
        <v>12.84</v>
      </c>
      <c r="N1122" s="7">
        <v>0</v>
      </c>
      <c r="O1122" s="7"/>
      <c r="P1122" s="7"/>
      <c r="Q1122" s="7"/>
      <c r="AC1122"/>
      <c r="AD1122" s="14"/>
    </row>
    <row r="1123" spans="1:30" x14ac:dyDescent="0.25">
      <c r="A1123" t="b">
        <f t="shared" si="91"/>
        <v>0</v>
      </c>
      <c r="B1123">
        <v>2006</v>
      </c>
      <c r="C1123">
        <v>168</v>
      </c>
      <c r="D1123">
        <v>0</v>
      </c>
      <c r="E1123">
        <v>200</v>
      </c>
      <c r="F1123" s="7">
        <v>-1.1479999999999999</v>
      </c>
      <c r="G1123" s="7">
        <v>14.17</v>
      </c>
      <c r="H1123" s="7">
        <v>0</v>
      </c>
      <c r="I1123" s="7" t="str">
        <f t="shared" si="87"/>
        <v/>
      </c>
      <c r="J1123" s="7" t="str">
        <f t="shared" si="88"/>
        <v/>
      </c>
      <c r="K1123" s="7">
        <v>0</v>
      </c>
      <c r="L1123" s="7" t="str">
        <f t="shared" si="89"/>
        <v/>
      </c>
      <c r="M1123" s="7" t="str">
        <f t="shared" si="90"/>
        <v/>
      </c>
      <c r="N1123" s="7">
        <v>0</v>
      </c>
      <c r="O1123" s="7"/>
      <c r="P1123" s="7"/>
      <c r="Q1123" s="7"/>
      <c r="AC1123"/>
      <c r="AD1123" s="14"/>
    </row>
    <row r="1124" spans="1:30" x14ac:dyDescent="0.25">
      <c r="A1124" t="b">
        <f t="shared" si="91"/>
        <v>0</v>
      </c>
      <c r="B1124">
        <v>2006</v>
      </c>
      <c r="C1124">
        <v>168</v>
      </c>
      <c r="D1124">
        <v>0</v>
      </c>
      <c r="E1124">
        <v>300</v>
      </c>
      <c r="F1124" s="7">
        <v>-1.3939999999999999</v>
      </c>
      <c r="G1124" s="7">
        <v>13.64</v>
      </c>
      <c r="H1124" s="7">
        <v>0</v>
      </c>
      <c r="I1124" s="7" t="str">
        <f t="shared" si="87"/>
        <v/>
      </c>
      <c r="J1124" s="7" t="str">
        <f t="shared" si="88"/>
        <v/>
      </c>
      <c r="K1124" s="7">
        <v>0</v>
      </c>
      <c r="L1124" s="7" t="str">
        <f t="shared" si="89"/>
        <v/>
      </c>
      <c r="M1124" s="7" t="str">
        <f t="shared" si="90"/>
        <v/>
      </c>
      <c r="N1124" s="7">
        <v>0</v>
      </c>
      <c r="O1124" s="7"/>
      <c r="P1124" s="7"/>
      <c r="Q1124" s="7"/>
      <c r="AC1124"/>
      <c r="AD1124" s="14"/>
    </row>
    <row r="1125" spans="1:30" x14ac:dyDescent="0.25">
      <c r="A1125" t="b">
        <f t="shared" si="91"/>
        <v>0</v>
      </c>
      <c r="B1125">
        <v>2006</v>
      </c>
      <c r="C1125">
        <v>168</v>
      </c>
      <c r="D1125">
        <v>0</v>
      </c>
      <c r="E1125">
        <v>400</v>
      </c>
      <c r="F1125" s="7">
        <v>1.345</v>
      </c>
      <c r="G1125" s="7">
        <v>13.07</v>
      </c>
      <c r="H1125" s="7">
        <v>0</v>
      </c>
      <c r="I1125" s="7" t="str">
        <f t="shared" si="87"/>
        <v/>
      </c>
      <c r="J1125" s="7" t="str">
        <f t="shared" si="88"/>
        <v/>
      </c>
      <c r="K1125" s="7">
        <v>0</v>
      </c>
      <c r="L1125" s="7" t="str">
        <f t="shared" si="89"/>
        <v/>
      </c>
      <c r="M1125" s="7" t="str">
        <f t="shared" si="90"/>
        <v/>
      </c>
      <c r="N1125" s="7">
        <v>0</v>
      </c>
      <c r="O1125" s="7"/>
      <c r="P1125" s="7"/>
      <c r="Q1125" s="7"/>
      <c r="AC1125"/>
      <c r="AD1125" s="14"/>
    </row>
    <row r="1126" spans="1:30" x14ac:dyDescent="0.25">
      <c r="A1126" t="b">
        <f t="shared" si="91"/>
        <v>0</v>
      </c>
      <c r="B1126">
        <v>2006</v>
      </c>
      <c r="C1126">
        <v>168</v>
      </c>
      <c r="D1126">
        <v>0</v>
      </c>
      <c r="E1126">
        <v>500</v>
      </c>
      <c r="F1126" s="7">
        <v>30.86</v>
      </c>
      <c r="G1126" s="7">
        <v>12.84</v>
      </c>
      <c r="H1126" s="7">
        <v>0</v>
      </c>
      <c r="I1126" s="7" t="str">
        <f t="shared" si="87"/>
        <v/>
      </c>
      <c r="J1126" s="7" t="str">
        <f t="shared" si="88"/>
        <v/>
      </c>
      <c r="K1126" s="7">
        <v>0</v>
      </c>
      <c r="L1126" s="7" t="str">
        <f t="shared" si="89"/>
        <v/>
      </c>
      <c r="M1126" s="7" t="str">
        <f t="shared" si="90"/>
        <v/>
      </c>
      <c r="N1126" s="7">
        <v>0</v>
      </c>
      <c r="O1126" s="7"/>
      <c r="P1126" s="7"/>
      <c r="Q1126" s="7"/>
      <c r="AC1126"/>
      <c r="AD1126" s="14"/>
    </row>
    <row r="1127" spans="1:30" x14ac:dyDescent="0.25">
      <c r="A1127" t="b">
        <f t="shared" si="91"/>
        <v>0</v>
      </c>
      <c r="B1127">
        <v>2006</v>
      </c>
      <c r="C1127">
        <v>168</v>
      </c>
      <c r="D1127">
        <v>0</v>
      </c>
      <c r="E1127">
        <v>600</v>
      </c>
      <c r="F1127" s="7">
        <v>91.7</v>
      </c>
      <c r="G1127" s="7">
        <v>14.13</v>
      </c>
      <c r="H1127" s="7">
        <v>0</v>
      </c>
      <c r="I1127" s="7" t="str">
        <f t="shared" si="87"/>
        <v/>
      </c>
      <c r="J1127" s="7" t="str">
        <f t="shared" si="88"/>
        <v/>
      </c>
      <c r="K1127" s="7">
        <v>0</v>
      </c>
      <c r="L1127" s="7" t="str">
        <f t="shared" si="89"/>
        <v/>
      </c>
      <c r="M1127" s="7" t="str">
        <f t="shared" si="90"/>
        <v/>
      </c>
      <c r="N1127" s="7">
        <v>0</v>
      </c>
      <c r="O1127" s="7"/>
      <c r="P1127" s="7"/>
      <c r="Q1127" s="7"/>
      <c r="AC1127"/>
      <c r="AD1127" s="14"/>
    </row>
    <row r="1128" spans="1:30" x14ac:dyDescent="0.25">
      <c r="A1128" t="b">
        <f t="shared" si="91"/>
        <v>0</v>
      </c>
      <c r="B1128">
        <v>2006</v>
      </c>
      <c r="C1128">
        <v>168</v>
      </c>
      <c r="D1128">
        <v>0</v>
      </c>
      <c r="E1128">
        <v>700</v>
      </c>
      <c r="F1128" s="7">
        <v>169.2</v>
      </c>
      <c r="G1128" s="7">
        <v>15.2</v>
      </c>
      <c r="H1128" s="7">
        <v>0</v>
      </c>
      <c r="I1128" s="7" t="str">
        <f t="shared" si="87"/>
        <v/>
      </c>
      <c r="J1128" s="7" t="str">
        <f t="shared" si="88"/>
        <v/>
      </c>
      <c r="K1128" s="7">
        <v>0</v>
      </c>
      <c r="L1128" s="7" t="str">
        <f t="shared" si="89"/>
        <v/>
      </c>
      <c r="M1128" s="7" t="str">
        <f t="shared" si="90"/>
        <v/>
      </c>
      <c r="N1128" s="7">
        <v>0</v>
      </c>
      <c r="O1128" s="7"/>
      <c r="P1128" s="7"/>
      <c r="Q1128" s="7"/>
      <c r="AC1128"/>
      <c r="AD1128" s="14"/>
    </row>
    <row r="1129" spans="1:30" x14ac:dyDescent="0.25">
      <c r="A1129" t="b">
        <f t="shared" si="91"/>
        <v>0</v>
      </c>
      <c r="B1129">
        <v>2006</v>
      </c>
      <c r="C1129">
        <v>168</v>
      </c>
      <c r="D1129">
        <v>0</v>
      </c>
      <c r="E1129">
        <v>800</v>
      </c>
      <c r="F1129" s="7">
        <v>279</v>
      </c>
      <c r="G1129" s="7">
        <v>17.18</v>
      </c>
      <c r="H1129" s="7">
        <v>0</v>
      </c>
      <c r="I1129" s="7" t="str">
        <f t="shared" si="87"/>
        <v/>
      </c>
      <c r="J1129" s="7" t="str">
        <f t="shared" si="88"/>
        <v/>
      </c>
      <c r="K1129" s="7">
        <v>0</v>
      </c>
      <c r="L1129" s="7" t="str">
        <f t="shared" si="89"/>
        <v/>
      </c>
      <c r="M1129" s="7" t="str">
        <f t="shared" si="90"/>
        <v/>
      </c>
      <c r="N1129" s="7">
        <v>0</v>
      </c>
      <c r="O1129" s="7"/>
      <c r="P1129" s="7"/>
      <c r="Q1129" s="7"/>
      <c r="AC1129"/>
      <c r="AD1129" s="14"/>
    </row>
    <row r="1130" spans="1:30" x14ac:dyDescent="0.25">
      <c r="A1130" t="b">
        <f t="shared" si="91"/>
        <v>0</v>
      </c>
      <c r="B1130">
        <v>2006</v>
      </c>
      <c r="C1130">
        <v>168</v>
      </c>
      <c r="D1130">
        <v>0</v>
      </c>
      <c r="E1130">
        <v>900</v>
      </c>
      <c r="F1130" s="7">
        <v>241.7</v>
      </c>
      <c r="G1130" s="7">
        <v>17.920000000000002</v>
      </c>
      <c r="H1130" s="7">
        <v>0</v>
      </c>
      <c r="I1130" s="7" t="str">
        <f t="shared" si="87"/>
        <v/>
      </c>
      <c r="J1130" s="7" t="str">
        <f t="shared" si="88"/>
        <v/>
      </c>
      <c r="K1130" s="7">
        <v>0</v>
      </c>
      <c r="L1130" s="7" t="str">
        <f t="shared" si="89"/>
        <v/>
      </c>
      <c r="M1130" s="7" t="str">
        <f t="shared" si="90"/>
        <v/>
      </c>
      <c r="N1130" s="7">
        <v>0</v>
      </c>
      <c r="O1130" s="7"/>
      <c r="P1130" s="7"/>
      <c r="Q1130" s="7"/>
      <c r="AC1130"/>
      <c r="AD1130" s="14"/>
    </row>
    <row r="1131" spans="1:30" x14ac:dyDescent="0.25">
      <c r="A1131" t="b">
        <f t="shared" si="91"/>
        <v>0</v>
      </c>
      <c r="B1131">
        <v>2006</v>
      </c>
      <c r="C1131">
        <v>168</v>
      </c>
      <c r="D1131">
        <v>0</v>
      </c>
      <c r="E1131">
        <v>1000</v>
      </c>
      <c r="F1131" s="7">
        <v>310</v>
      </c>
      <c r="G1131" s="7">
        <v>18.32</v>
      </c>
      <c r="H1131" s="7">
        <v>0</v>
      </c>
      <c r="I1131" s="7" t="str">
        <f t="shared" si="87"/>
        <v/>
      </c>
      <c r="J1131" s="7" t="str">
        <f t="shared" si="88"/>
        <v/>
      </c>
      <c r="K1131" s="7">
        <v>0</v>
      </c>
      <c r="L1131" s="7" t="str">
        <f t="shared" si="89"/>
        <v/>
      </c>
      <c r="M1131" s="7" t="str">
        <f t="shared" si="90"/>
        <v/>
      </c>
      <c r="N1131" s="7">
        <v>0</v>
      </c>
      <c r="O1131" s="7"/>
      <c r="P1131" s="7"/>
      <c r="Q1131" s="7"/>
      <c r="AC1131"/>
      <c r="AD1131" s="14"/>
    </row>
    <row r="1132" spans="1:30" x14ac:dyDescent="0.25">
      <c r="A1132" t="b">
        <f t="shared" si="91"/>
        <v>0</v>
      </c>
      <c r="B1132">
        <v>2006</v>
      </c>
      <c r="C1132">
        <v>168</v>
      </c>
      <c r="D1132">
        <v>0</v>
      </c>
      <c r="E1132">
        <v>1100</v>
      </c>
      <c r="F1132" s="7">
        <v>453.6</v>
      </c>
      <c r="G1132" s="7">
        <v>20.11</v>
      </c>
      <c r="H1132" s="7">
        <v>0</v>
      </c>
      <c r="I1132" s="7" t="str">
        <f t="shared" si="87"/>
        <v/>
      </c>
      <c r="J1132" s="7" t="str">
        <f t="shared" si="88"/>
        <v/>
      </c>
      <c r="K1132" s="7">
        <v>0</v>
      </c>
      <c r="L1132" s="7" t="str">
        <f t="shared" si="89"/>
        <v/>
      </c>
      <c r="M1132" s="7" t="str">
        <f t="shared" si="90"/>
        <v/>
      </c>
      <c r="N1132" s="7">
        <v>0</v>
      </c>
      <c r="O1132" s="7"/>
      <c r="P1132" s="7"/>
      <c r="Q1132" s="7"/>
      <c r="AC1132"/>
      <c r="AD1132" s="14"/>
    </row>
    <row r="1133" spans="1:30" x14ac:dyDescent="0.25">
      <c r="A1133" t="b">
        <f t="shared" si="91"/>
        <v>0</v>
      </c>
      <c r="B1133">
        <v>2006</v>
      </c>
      <c r="C1133">
        <v>168</v>
      </c>
      <c r="D1133">
        <v>0</v>
      </c>
      <c r="E1133">
        <v>1200</v>
      </c>
      <c r="F1133" s="7">
        <v>359</v>
      </c>
      <c r="G1133" s="7">
        <v>20.100000000000001</v>
      </c>
      <c r="H1133" s="7">
        <v>0.2</v>
      </c>
      <c r="I1133" s="7" t="str">
        <f t="shared" si="87"/>
        <v/>
      </c>
      <c r="J1133" s="7" t="str">
        <f t="shared" si="88"/>
        <v/>
      </c>
      <c r="K1133" s="7">
        <v>0</v>
      </c>
      <c r="L1133" s="7" t="str">
        <f t="shared" si="89"/>
        <v/>
      </c>
      <c r="M1133" s="7" t="str">
        <f t="shared" si="90"/>
        <v/>
      </c>
      <c r="N1133" s="7">
        <v>0</v>
      </c>
      <c r="O1133" s="7"/>
      <c r="P1133" s="7"/>
      <c r="Q1133" s="7"/>
      <c r="AC1133"/>
      <c r="AD1133" s="14"/>
    </row>
    <row r="1134" spans="1:30" x14ac:dyDescent="0.25">
      <c r="A1134" t="b">
        <f t="shared" si="91"/>
        <v>0</v>
      </c>
      <c r="B1134">
        <v>2006</v>
      </c>
      <c r="C1134">
        <v>168</v>
      </c>
      <c r="D1134">
        <v>0</v>
      </c>
      <c r="E1134">
        <v>1300</v>
      </c>
      <c r="F1134" s="7">
        <v>509.5</v>
      </c>
      <c r="G1134" s="7">
        <v>20.5</v>
      </c>
      <c r="H1134" s="7">
        <v>0</v>
      </c>
      <c r="I1134" s="7" t="str">
        <f t="shared" si="87"/>
        <v/>
      </c>
      <c r="J1134" s="7" t="str">
        <f t="shared" si="88"/>
        <v/>
      </c>
      <c r="K1134" s="7">
        <v>0</v>
      </c>
      <c r="L1134" s="7" t="str">
        <f t="shared" si="89"/>
        <v/>
      </c>
      <c r="M1134" s="7" t="str">
        <f t="shared" si="90"/>
        <v/>
      </c>
      <c r="N1134" s="7">
        <v>0</v>
      </c>
      <c r="O1134" s="7"/>
      <c r="P1134" s="7"/>
      <c r="Q1134" s="7"/>
      <c r="AC1134"/>
      <c r="AD1134" s="14"/>
    </row>
    <row r="1135" spans="1:30" x14ac:dyDescent="0.25">
      <c r="A1135" t="b">
        <f t="shared" si="91"/>
        <v>0</v>
      </c>
      <c r="B1135">
        <v>2006</v>
      </c>
      <c r="C1135">
        <v>168</v>
      </c>
      <c r="D1135">
        <v>0</v>
      </c>
      <c r="E1135">
        <v>1400</v>
      </c>
      <c r="F1135" s="7">
        <v>269.89999999999998</v>
      </c>
      <c r="G1135" s="7">
        <v>18.09</v>
      </c>
      <c r="H1135" s="7">
        <v>0</v>
      </c>
      <c r="I1135" s="7" t="str">
        <f t="shared" si="87"/>
        <v/>
      </c>
      <c r="J1135" s="7" t="str">
        <f t="shared" si="88"/>
        <v/>
      </c>
      <c r="K1135" s="7">
        <v>0</v>
      </c>
      <c r="L1135" s="7" t="str">
        <f t="shared" si="89"/>
        <v/>
      </c>
      <c r="M1135" s="7" t="str">
        <f t="shared" si="90"/>
        <v/>
      </c>
      <c r="N1135" s="7">
        <v>0</v>
      </c>
      <c r="O1135" s="7"/>
      <c r="P1135" s="7"/>
      <c r="Q1135" s="7"/>
      <c r="AC1135"/>
      <c r="AD1135" s="14"/>
    </row>
    <row r="1136" spans="1:30" x14ac:dyDescent="0.25">
      <c r="A1136" t="b">
        <f t="shared" si="91"/>
        <v>0</v>
      </c>
      <c r="B1136">
        <v>2006</v>
      </c>
      <c r="C1136">
        <v>168</v>
      </c>
      <c r="D1136">
        <v>0</v>
      </c>
      <c r="E1136">
        <v>1500</v>
      </c>
      <c r="F1136" s="7">
        <v>254.3</v>
      </c>
      <c r="G1136" s="7">
        <v>18.239999999999998</v>
      </c>
      <c r="H1136" s="7">
        <v>0</v>
      </c>
      <c r="I1136" s="7" t="str">
        <f t="shared" si="87"/>
        <v/>
      </c>
      <c r="J1136" s="7" t="str">
        <f t="shared" si="88"/>
        <v/>
      </c>
      <c r="K1136" s="7">
        <v>0</v>
      </c>
      <c r="L1136" s="7" t="str">
        <f t="shared" si="89"/>
        <v/>
      </c>
      <c r="M1136" s="7" t="str">
        <f t="shared" si="90"/>
        <v/>
      </c>
      <c r="N1136" s="7">
        <v>0</v>
      </c>
      <c r="O1136" s="7"/>
      <c r="P1136" s="7"/>
      <c r="Q1136" s="7"/>
      <c r="AC1136"/>
      <c r="AD1136" s="14"/>
    </row>
    <row r="1137" spans="1:30" x14ac:dyDescent="0.25">
      <c r="A1137" t="b">
        <f t="shared" si="91"/>
        <v>0</v>
      </c>
      <c r="B1137">
        <v>2006</v>
      </c>
      <c r="C1137">
        <v>168</v>
      </c>
      <c r="D1137">
        <v>0</v>
      </c>
      <c r="E1137">
        <v>1600</v>
      </c>
      <c r="F1137" s="7">
        <v>400.9</v>
      </c>
      <c r="G1137" s="7">
        <v>19.71</v>
      </c>
      <c r="H1137" s="7">
        <v>0</v>
      </c>
      <c r="I1137" s="7" t="str">
        <f t="shared" si="87"/>
        <v/>
      </c>
      <c r="J1137" s="7" t="str">
        <f t="shared" si="88"/>
        <v/>
      </c>
      <c r="K1137" s="7">
        <v>0</v>
      </c>
      <c r="L1137" s="7" t="str">
        <f t="shared" si="89"/>
        <v/>
      </c>
      <c r="M1137" s="7" t="str">
        <f t="shared" si="90"/>
        <v/>
      </c>
      <c r="N1137" s="7">
        <v>0</v>
      </c>
      <c r="O1137" s="7"/>
      <c r="P1137" s="7"/>
      <c r="Q1137" s="7"/>
      <c r="AC1137"/>
      <c r="AD1137" s="14"/>
    </row>
    <row r="1138" spans="1:30" x14ac:dyDescent="0.25">
      <c r="A1138" t="b">
        <f t="shared" si="91"/>
        <v>0</v>
      </c>
      <c r="B1138">
        <v>2006</v>
      </c>
      <c r="C1138">
        <v>168</v>
      </c>
      <c r="D1138">
        <v>0</v>
      </c>
      <c r="E1138">
        <v>1700</v>
      </c>
      <c r="F1138" s="7">
        <v>304.89999999999998</v>
      </c>
      <c r="G1138" s="7">
        <v>19.059999999999999</v>
      </c>
      <c r="H1138" s="7">
        <v>0</v>
      </c>
      <c r="I1138" s="7" t="str">
        <f t="shared" si="87"/>
        <v/>
      </c>
      <c r="J1138" s="7" t="str">
        <f t="shared" si="88"/>
        <v/>
      </c>
      <c r="K1138" s="7">
        <v>0</v>
      </c>
      <c r="L1138" s="7" t="str">
        <f t="shared" si="89"/>
        <v/>
      </c>
      <c r="M1138" s="7" t="str">
        <f t="shared" si="90"/>
        <v/>
      </c>
      <c r="N1138" s="7">
        <v>0</v>
      </c>
      <c r="O1138" s="7"/>
      <c r="P1138" s="7"/>
      <c r="Q1138" s="7"/>
      <c r="AC1138"/>
      <c r="AD1138" s="14"/>
    </row>
    <row r="1139" spans="1:30" x14ac:dyDescent="0.25">
      <c r="A1139" t="b">
        <f t="shared" si="91"/>
        <v>0</v>
      </c>
      <c r="B1139">
        <v>2006</v>
      </c>
      <c r="C1139">
        <v>168</v>
      </c>
      <c r="D1139">
        <v>0</v>
      </c>
      <c r="E1139">
        <v>1800</v>
      </c>
      <c r="F1139" s="7">
        <v>191.5</v>
      </c>
      <c r="G1139" s="7">
        <v>18.420000000000002</v>
      </c>
      <c r="H1139" s="7">
        <v>0</v>
      </c>
      <c r="I1139" s="7" t="str">
        <f t="shared" si="87"/>
        <v/>
      </c>
      <c r="J1139" s="7" t="str">
        <f t="shared" si="88"/>
        <v/>
      </c>
      <c r="K1139" s="7">
        <v>0</v>
      </c>
      <c r="L1139" s="7" t="str">
        <f t="shared" si="89"/>
        <v/>
      </c>
      <c r="M1139" s="7" t="str">
        <f t="shared" si="90"/>
        <v/>
      </c>
      <c r="N1139" s="7">
        <v>0</v>
      </c>
      <c r="O1139" s="7"/>
      <c r="P1139" s="7"/>
      <c r="Q1139" s="7"/>
      <c r="AC1139"/>
      <c r="AD1139" s="14"/>
    </row>
    <row r="1140" spans="1:30" x14ac:dyDescent="0.25">
      <c r="A1140" t="b">
        <f t="shared" si="91"/>
        <v>0</v>
      </c>
      <c r="B1140">
        <v>2006</v>
      </c>
      <c r="C1140">
        <v>168</v>
      </c>
      <c r="D1140">
        <v>0</v>
      </c>
      <c r="E1140">
        <v>1900</v>
      </c>
      <c r="F1140" s="7">
        <v>84.5</v>
      </c>
      <c r="G1140" s="7">
        <v>18.02</v>
      </c>
      <c r="H1140" s="7">
        <v>0</v>
      </c>
      <c r="I1140" s="7" t="str">
        <f t="shared" si="87"/>
        <v/>
      </c>
      <c r="J1140" s="7" t="str">
        <f t="shared" si="88"/>
        <v/>
      </c>
      <c r="K1140" s="7">
        <v>0</v>
      </c>
      <c r="L1140" s="7" t="str">
        <f t="shared" si="89"/>
        <v/>
      </c>
      <c r="M1140" s="7" t="str">
        <f t="shared" si="90"/>
        <v/>
      </c>
      <c r="N1140" s="7">
        <v>0</v>
      </c>
      <c r="O1140" s="7"/>
      <c r="P1140" s="7"/>
      <c r="Q1140" s="7"/>
      <c r="AC1140"/>
      <c r="AD1140" s="14"/>
    </row>
    <row r="1141" spans="1:30" x14ac:dyDescent="0.25">
      <c r="A1141" t="b">
        <f t="shared" si="91"/>
        <v>0</v>
      </c>
      <c r="B1141">
        <v>2006</v>
      </c>
      <c r="C1141">
        <v>168</v>
      </c>
      <c r="D1141">
        <v>0</v>
      </c>
      <c r="E1141">
        <v>2000</v>
      </c>
      <c r="F1141" s="7">
        <v>27.41</v>
      </c>
      <c r="G1141" s="7">
        <v>17.440000000000001</v>
      </c>
      <c r="H1141" s="7">
        <v>0</v>
      </c>
      <c r="I1141" s="7" t="str">
        <f t="shared" si="87"/>
        <v/>
      </c>
      <c r="J1141" s="7" t="str">
        <f t="shared" si="88"/>
        <v/>
      </c>
      <c r="K1141" s="7">
        <v>0</v>
      </c>
      <c r="L1141" s="7" t="str">
        <f t="shared" si="89"/>
        <v/>
      </c>
      <c r="M1141" s="7" t="str">
        <f t="shared" si="90"/>
        <v/>
      </c>
      <c r="N1141" s="7">
        <v>0</v>
      </c>
      <c r="O1141" s="7"/>
      <c r="P1141" s="7"/>
      <c r="Q1141" s="7"/>
      <c r="AC1141"/>
      <c r="AD1141" s="14"/>
    </row>
    <row r="1142" spans="1:30" x14ac:dyDescent="0.25">
      <c r="A1142" t="b">
        <f t="shared" si="91"/>
        <v>0</v>
      </c>
      <c r="B1142">
        <v>2006</v>
      </c>
      <c r="C1142">
        <v>168</v>
      </c>
      <c r="D1142">
        <v>0</v>
      </c>
      <c r="E1142">
        <v>2100</v>
      </c>
      <c r="F1142" s="7">
        <v>3.51</v>
      </c>
      <c r="G1142" s="7">
        <v>16.43</v>
      </c>
      <c r="H1142" s="7">
        <v>0</v>
      </c>
      <c r="I1142" s="7" t="str">
        <f t="shared" si="87"/>
        <v/>
      </c>
      <c r="J1142" s="7" t="str">
        <f t="shared" si="88"/>
        <v/>
      </c>
      <c r="K1142" s="7">
        <v>0</v>
      </c>
      <c r="L1142" s="7" t="str">
        <f t="shared" si="89"/>
        <v/>
      </c>
      <c r="M1142" s="7" t="str">
        <f t="shared" si="90"/>
        <v/>
      </c>
      <c r="N1142" s="7">
        <v>0</v>
      </c>
      <c r="O1142" s="7"/>
      <c r="P1142" s="7"/>
      <c r="Q1142" s="7"/>
      <c r="AC1142"/>
      <c r="AD1142" s="14"/>
    </row>
    <row r="1143" spans="1:30" x14ac:dyDescent="0.25">
      <c r="A1143" t="b">
        <f t="shared" si="91"/>
        <v>0</v>
      </c>
      <c r="B1143">
        <v>2006</v>
      </c>
      <c r="C1143">
        <v>168</v>
      </c>
      <c r="D1143">
        <v>0</v>
      </c>
      <c r="E1143">
        <v>2200</v>
      </c>
      <c r="F1143" s="7">
        <v>-2.1059999999999999</v>
      </c>
      <c r="G1143" s="7">
        <v>15.45</v>
      </c>
      <c r="H1143" s="7">
        <v>0</v>
      </c>
      <c r="I1143" s="7" t="str">
        <f t="shared" si="87"/>
        <v/>
      </c>
      <c r="J1143" s="7" t="str">
        <f t="shared" si="88"/>
        <v/>
      </c>
      <c r="K1143" s="7">
        <v>0</v>
      </c>
      <c r="L1143" s="7" t="str">
        <f t="shared" si="89"/>
        <v/>
      </c>
      <c r="M1143" s="7" t="str">
        <f t="shared" si="90"/>
        <v/>
      </c>
      <c r="N1143" s="7">
        <v>0</v>
      </c>
      <c r="O1143" s="7"/>
      <c r="P1143" s="7"/>
      <c r="Q1143" s="7"/>
      <c r="AC1143"/>
      <c r="AD1143" s="14"/>
    </row>
    <row r="1144" spans="1:30" x14ac:dyDescent="0.25">
      <c r="A1144" t="b">
        <f t="shared" si="91"/>
        <v>0</v>
      </c>
      <c r="B1144">
        <v>2006</v>
      </c>
      <c r="C1144">
        <v>168</v>
      </c>
      <c r="D1144">
        <v>0</v>
      </c>
      <c r="E1144">
        <v>2300</v>
      </c>
      <c r="F1144" s="7">
        <v>-2.726</v>
      </c>
      <c r="G1144" s="7">
        <v>14.33</v>
      </c>
      <c r="H1144" s="7">
        <v>0</v>
      </c>
      <c r="I1144" s="7" t="str">
        <f t="shared" si="87"/>
        <v/>
      </c>
      <c r="J1144" s="7" t="str">
        <f t="shared" si="88"/>
        <v/>
      </c>
      <c r="K1144" s="7">
        <v>0</v>
      </c>
      <c r="L1144" s="7" t="str">
        <f t="shared" si="89"/>
        <v/>
      </c>
      <c r="M1144" s="7" t="str">
        <f t="shared" si="90"/>
        <v/>
      </c>
      <c r="N1144" s="7">
        <v>0</v>
      </c>
      <c r="O1144" s="7"/>
      <c r="P1144" s="7"/>
      <c r="Q1144" s="7"/>
      <c r="AC1144"/>
      <c r="AD1144" s="14"/>
    </row>
    <row r="1145" spans="1:30" x14ac:dyDescent="0.25">
      <c r="A1145" t="b">
        <f t="shared" si="91"/>
        <v>0</v>
      </c>
      <c r="B1145">
        <v>2006</v>
      </c>
      <c r="C1145">
        <v>168</v>
      </c>
      <c r="D1145">
        <v>0</v>
      </c>
      <c r="E1145">
        <v>2400</v>
      </c>
      <c r="F1145" s="7">
        <v>-1.494</v>
      </c>
      <c r="G1145" s="7">
        <v>13.92</v>
      </c>
      <c r="H1145" s="7">
        <v>0</v>
      </c>
      <c r="I1145" s="7" t="str">
        <f t="shared" si="87"/>
        <v/>
      </c>
      <c r="J1145" s="7" t="str">
        <f t="shared" si="88"/>
        <v/>
      </c>
      <c r="K1145" s="7">
        <v>0</v>
      </c>
      <c r="L1145" s="7" t="str">
        <f t="shared" si="89"/>
        <v/>
      </c>
      <c r="M1145" s="7" t="str">
        <f t="shared" si="90"/>
        <v/>
      </c>
      <c r="N1145" s="7">
        <v>0</v>
      </c>
      <c r="O1145" s="7"/>
      <c r="P1145" s="7"/>
      <c r="Q1145" s="7"/>
      <c r="AC1145"/>
      <c r="AD1145" s="14"/>
    </row>
    <row r="1146" spans="1:30" x14ac:dyDescent="0.25">
      <c r="A1146" t="b">
        <f t="shared" si="91"/>
        <v>1</v>
      </c>
      <c r="B1146">
        <v>2006</v>
      </c>
      <c r="C1146">
        <v>169</v>
      </c>
      <c r="D1146">
        <v>0</v>
      </c>
      <c r="E1146">
        <v>100</v>
      </c>
      <c r="F1146" s="7">
        <v>-1.145</v>
      </c>
      <c r="G1146" s="7">
        <v>14.01</v>
      </c>
      <c r="H1146" s="7">
        <v>0</v>
      </c>
      <c r="I1146" s="7">
        <f t="shared" si="87"/>
        <v>0</v>
      </c>
      <c r="J1146" s="7">
        <f t="shared" si="88"/>
        <v>87.557624999999973</v>
      </c>
      <c r="K1146" s="7">
        <v>0</v>
      </c>
      <c r="L1146" s="7">
        <f t="shared" si="89"/>
        <v>16.75</v>
      </c>
      <c r="M1146" s="7">
        <f t="shared" si="90"/>
        <v>12.68</v>
      </c>
      <c r="N1146" s="7">
        <v>0</v>
      </c>
      <c r="O1146" s="7"/>
      <c r="P1146" s="7"/>
      <c r="Q1146" s="7"/>
      <c r="AC1146"/>
      <c r="AD1146" s="14"/>
    </row>
    <row r="1147" spans="1:30" x14ac:dyDescent="0.25">
      <c r="A1147" t="b">
        <f t="shared" si="91"/>
        <v>0</v>
      </c>
      <c r="B1147">
        <v>2006</v>
      </c>
      <c r="C1147">
        <v>169</v>
      </c>
      <c r="D1147">
        <v>0</v>
      </c>
      <c r="E1147">
        <v>200</v>
      </c>
      <c r="F1147" s="7">
        <v>-1.145</v>
      </c>
      <c r="G1147" s="7">
        <v>14.14</v>
      </c>
      <c r="H1147" s="7">
        <v>0</v>
      </c>
      <c r="I1147" s="7" t="str">
        <f t="shared" si="87"/>
        <v/>
      </c>
      <c r="J1147" s="7" t="str">
        <f t="shared" si="88"/>
        <v/>
      </c>
      <c r="K1147" s="7">
        <v>0</v>
      </c>
      <c r="L1147" s="7" t="str">
        <f t="shared" si="89"/>
        <v/>
      </c>
      <c r="M1147" s="7" t="str">
        <f t="shared" si="90"/>
        <v/>
      </c>
      <c r="N1147" s="7">
        <v>0</v>
      </c>
      <c r="O1147" s="7"/>
      <c r="P1147" s="7"/>
      <c r="Q1147" s="7"/>
      <c r="AC1147"/>
      <c r="AD1147" s="14"/>
    </row>
    <row r="1148" spans="1:30" x14ac:dyDescent="0.25">
      <c r="A1148" t="b">
        <f t="shared" si="91"/>
        <v>0</v>
      </c>
      <c r="B1148">
        <v>2006</v>
      </c>
      <c r="C1148">
        <v>169</v>
      </c>
      <c r="D1148">
        <v>0</v>
      </c>
      <c r="E1148">
        <v>300</v>
      </c>
      <c r="F1148" s="7">
        <v>-1.145</v>
      </c>
      <c r="G1148" s="7">
        <v>13.92</v>
      </c>
      <c r="H1148" s="7">
        <v>0</v>
      </c>
      <c r="I1148" s="7" t="str">
        <f t="shared" si="87"/>
        <v/>
      </c>
      <c r="J1148" s="7" t="str">
        <f t="shared" si="88"/>
        <v/>
      </c>
      <c r="K1148" s="7">
        <v>0</v>
      </c>
      <c r="L1148" s="7" t="str">
        <f t="shared" si="89"/>
        <v/>
      </c>
      <c r="M1148" s="7" t="str">
        <f t="shared" si="90"/>
        <v/>
      </c>
      <c r="N1148" s="7">
        <v>0</v>
      </c>
      <c r="O1148" s="7"/>
      <c r="P1148" s="7"/>
      <c r="Q1148" s="7"/>
      <c r="AC1148"/>
      <c r="AD1148" s="14"/>
    </row>
    <row r="1149" spans="1:30" x14ac:dyDescent="0.25">
      <c r="A1149" t="b">
        <f t="shared" si="91"/>
        <v>0</v>
      </c>
      <c r="B1149">
        <v>2006</v>
      </c>
      <c r="C1149">
        <v>169</v>
      </c>
      <c r="D1149">
        <v>0</v>
      </c>
      <c r="E1149">
        <v>400</v>
      </c>
      <c r="F1149" s="7">
        <v>-0.48799999999999999</v>
      </c>
      <c r="G1149" s="7">
        <v>13.95</v>
      </c>
      <c r="H1149" s="7">
        <v>0</v>
      </c>
      <c r="I1149" s="7" t="str">
        <f t="shared" si="87"/>
        <v/>
      </c>
      <c r="J1149" s="7" t="str">
        <f t="shared" si="88"/>
        <v/>
      </c>
      <c r="K1149" s="7">
        <v>0</v>
      </c>
      <c r="L1149" s="7" t="str">
        <f t="shared" si="89"/>
        <v/>
      </c>
      <c r="M1149" s="7" t="str">
        <f t="shared" si="90"/>
        <v/>
      </c>
      <c r="N1149" s="7">
        <v>0</v>
      </c>
      <c r="O1149" s="7"/>
      <c r="P1149" s="7"/>
      <c r="Q1149" s="7"/>
      <c r="AC1149"/>
      <c r="AD1149" s="14"/>
    </row>
    <row r="1150" spans="1:30" x14ac:dyDescent="0.25">
      <c r="A1150" t="b">
        <f t="shared" si="91"/>
        <v>0</v>
      </c>
      <c r="B1150">
        <v>2006</v>
      </c>
      <c r="C1150">
        <v>169</v>
      </c>
      <c r="D1150">
        <v>0</v>
      </c>
      <c r="E1150">
        <v>500</v>
      </c>
      <c r="F1150" s="7">
        <v>8.6300000000000008</v>
      </c>
      <c r="G1150" s="7">
        <v>14.21</v>
      </c>
      <c r="H1150" s="7">
        <v>0</v>
      </c>
      <c r="I1150" s="7" t="str">
        <f t="shared" si="87"/>
        <v/>
      </c>
      <c r="J1150" s="7" t="str">
        <f t="shared" si="88"/>
        <v/>
      </c>
      <c r="K1150" s="7">
        <v>0</v>
      </c>
      <c r="L1150" s="7" t="str">
        <f t="shared" si="89"/>
        <v/>
      </c>
      <c r="M1150" s="7" t="str">
        <f t="shared" si="90"/>
        <v/>
      </c>
      <c r="N1150" s="7">
        <v>0</v>
      </c>
      <c r="O1150" s="7"/>
      <c r="P1150" s="7"/>
      <c r="Q1150" s="7"/>
      <c r="AC1150"/>
      <c r="AD1150" s="14"/>
    </row>
    <row r="1151" spans="1:30" x14ac:dyDescent="0.25">
      <c r="A1151" t="b">
        <f t="shared" si="91"/>
        <v>0</v>
      </c>
      <c r="B1151">
        <v>2006</v>
      </c>
      <c r="C1151">
        <v>169</v>
      </c>
      <c r="D1151">
        <v>0</v>
      </c>
      <c r="E1151">
        <v>600</v>
      </c>
      <c r="F1151" s="7">
        <v>31.54</v>
      </c>
      <c r="G1151" s="7">
        <v>14.41</v>
      </c>
      <c r="H1151" s="7">
        <v>0</v>
      </c>
      <c r="I1151" s="7" t="str">
        <f t="shared" si="87"/>
        <v/>
      </c>
      <c r="J1151" s="7" t="str">
        <f t="shared" si="88"/>
        <v/>
      </c>
      <c r="K1151" s="7">
        <v>0</v>
      </c>
      <c r="L1151" s="7" t="str">
        <f t="shared" si="89"/>
        <v/>
      </c>
      <c r="M1151" s="7" t="str">
        <f t="shared" si="90"/>
        <v/>
      </c>
      <c r="N1151" s="7">
        <v>0</v>
      </c>
      <c r="O1151" s="7"/>
      <c r="P1151" s="7"/>
      <c r="Q1151" s="7"/>
      <c r="AC1151"/>
      <c r="AD1151" s="14"/>
    </row>
    <row r="1152" spans="1:30" x14ac:dyDescent="0.25">
      <c r="A1152" t="b">
        <f t="shared" si="91"/>
        <v>0</v>
      </c>
      <c r="B1152">
        <v>2006</v>
      </c>
      <c r="C1152">
        <v>169</v>
      </c>
      <c r="D1152">
        <v>0</v>
      </c>
      <c r="E1152">
        <v>700</v>
      </c>
      <c r="F1152" s="7">
        <v>45</v>
      </c>
      <c r="G1152" s="7">
        <v>14.52</v>
      </c>
      <c r="H1152" s="7">
        <v>0</v>
      </c>
      <c r="I1152" s="7" t="str">
        <f t="shared" si="87"/>
        <v/>
      </c>
      <c r="J1152" s="7" t="str">
        <f t="shared" si="88"/>
        <v/>
      </c>
      <c r="K1152" s="7">
        <v>0</v>
      </c>
      <c r="L1152" s="7" t="str">
        <f t="shared" si="89"/>
        <v/>
      </c>
      <c r="M1152" s="7" t="str">
        <f t="shared" si="90"/>
        <v/>
      </c>
      <c r="N1152" s="7">
        <v>0</v>
      </c>
      <c r="O1152" s="7"/>
      <c r="P1152" s="7"/>
      <c r="Q1152" s="7"/>
      <c r="AC1152"/>
      <c r="AD1152" s="14"/>
    </row>
    <row r="1153" spans="1:30" x14ac:dyDescent="0.25">
      <c r="A1153" t="b">
        <f t="shared" si="91"/>
        <v>0</v>
      </c>
      <c r="B1153">
        <v>2006</v>
      </c>
      <c r="C1153">
        <v>169</v>
      </c>
      <c r="D1153">
        <v>0</v>
      </c>
      <c r="E1153">
        <v>800</v>
      </c>
      <c r="F1153" s="7">
        <v>39.340000000000003</v>
      </c>
      <c r="G1153" s="7">
        <v>14.14</v>
      </c>
      <c r="H1153" s="7">
        <v>0</v>
      </c>
      <c r="I1153" s="7" t="str">
        <f t="shared" si="87"/>
        <v/>
      </c>
      <c r="J1153" s="7" t="str">
        <f t="shared" si="88"/>
        <v/>
      </c>
      <c r="K1153" s="7">
        <v>0</v>
      </c>
      <c r="L1153" s="7" t="str">
        <f t="shared" si="89"/>
        <v/>
      </c>
      <c r="M1153" s="7" t="str">
        <f t="shared" si="90"/>
        <v/>
      </c>
      <c r="N1153" s="7">
        <v>0</v>
      </c>
      <c r="O1153" s="7"/>
      <c r="P1153" s="7"/>
      <c r="Q1153" s="7"/>
      <c r="AC1153"/>
      <c r="AD1153" s="14"/>
    </row>
    <row r="1154" spans="1:30" x14ac:dyDescent="0.25">
      <c r="A1154" t="b">
        <f t="shared" si="91"/>
        <v>0</v>
      </c>
      <c r="B1154">
        <v>2006</v>
      </c>
      <c r="C1154">
        <v>169</v>
      </c>
      <c r="D1154">
        <v>0</v>
      </c>
      <c r="E1154">
        <v>900</v>
      </c>
      <c r="F1154" s="7">
        <v>84.6</v>
      </c>
      <c r="G1154" s="7">
        <v>14.1</v>
      </c>
      <c r="H1154" s="7">
        <v>0</v>
      </c>
      <c r="I1154" s="7" t="str">
        <f t="shared" ref="I1154:I1217" si="92">IF(AND(B1154=B1153,C1154=C1153),"",SUMIFS($H$2:$H$1529,$B$2:$B$1529,B1154,$C$2:$C$1529,C1154))</f>
        <v/>
      </c>
      <c r="J1154" s="7" t="str">
        <f t="shared" ref="J1154:J1217" si="93">IF(AND(B1154=B1153,C1154=C1153),"",AVERAGEIFS($F$2:$F$1529,$B$2:$B$1529,B1154,$C$2:$C$1529,C1154))</f>
        <v/>
      </c>
      <c r="K1154" s="7">
        <v>0</v>
      </c>
      <c r="L1154" s="7" t="str">
        <f t="shared" ref="L1154:L1217" si="94">IF(AND(B1154=B1153,C1154=C1153),"",_xlfn.MAXIFS($G$2:$G$1529,$B$2:$B$1529,B1154,$C$2:$C$1529,C1154))</f>
        <v/>
      </c>
      <c r="M1154" s="7" t="str">
        <f t="shared" ref="M1154:M1217" si="95">IF(AND(B1154=B1153,C1154=C1153),"",_xlfn.MINIFS($G$2:$G$1529,$B$2:$B$1529,B1154,$C$2:$C$1529,C1154))</f>
        <v/>
      </c>
      <c r="N1154" s="7">
        <v>0</v>
      </c>
      <c r="O1154" s="7"/>
      <c r="P1154" s="7"/>
      <c r="Q1154" s="7"/>
      <c r="AC1154"/>
      <c r="AD1154" s="14"/>
    </row>
    <row r="1155" spans="1:30" x14ac:dyDescent="0.25">
      <c r="A1155" t="b">
        <f t="shared" ref="A1155:A1218" si="96">NOT(I1155="")</f>
        <v>0</v>
      </c>
      <c r="B1155">
        <v>2006</v>
      </c>
      <c r="C1155">
        <v>169</v>
      </c>
      <c r="D1155">
        <v>0</v>
      </c>
      <c r="E1155">
        <v>1000</v>
      </c>
      <c r="F1155" s="7">
        <v>246.4</v>
      </c>
      <c r="G1155" s="7">
        <v>14.95</v>
      </c>
      <c r="H1155" s="7">
        <v>0</v>
      </c>
      <c r="I1155" s="7" t="str">
        <f t="shared" si="92"/>
        <v/>
      </c>
      <c r="J1155" s="7" t="str">
        <f t="shared" si="93"/>
        <v/>
      </c>
      <c r="K1155" s="7">
        <v>0</v>
      </c>
      <c r="L1155" s="7" t="str">
        <f t="shared" si="94"/>
        <v/>
      </c>
      <c r="M1155" s="7" t="str">
        <f t="shared" si="95"/>
        <v/>
      </c>
      <c r="N1155" s="7">
        <v>0</v>
      </c>
      <c r="O1155" s="7"/>
      <c r="P1155" s="7"/>
      <c r="Q1155" s="7"/>
      <c r="AC1155"/>
      <c r="AD1155" s="14"/>
    </row>
    <row r="1156" spans="1:30" x14ac:dyDescent="0.25">
      <c r="A1156" t="b">
        <f t="shared" si="96"/>
        <v>0</v>
      </c>
      <c r="B1156">
        <v>2006</v>
      </c>
      <c r="C1156">
        <v>169</v>
      </c>
      <c r="D1156">
        <v>0</v>
      </c>
      <c r="E1156">
        <v>1100</v>
      </c>
      <c r="F1156" s="7">
        <v>182.1</v>
      </c>
      <c r="G1156" s="7">
        <v>15.46</v>
      </c>
      <c r="H1156" s="7">
        <v>0</v>
      </c>
      <c r="I1156" s="7" t="str">
        <f t="shared" si="92"/>
        <v/>
      </c>
      <c r="J1156" s="7" t="str">
        <f t="shared" si="93"/>
        <v/>
      </c>
      <c r="K1156" s="7">
        <v>0</v>
      </c>
      <c r="L1156" s="7" t="str">
        <f t="shared" si="94"/>
        <v/>
      </c>
      <c r="M1156" s="7" t="str">
        <f t="shared" si="95"/>
        <v/>
      </c>
      <c r="N1156" s="7">
        <v>0</v>
      </c>
      <c r="O1156" s="7"/>
      <c r="P1156" s="7"/>
      <c r="Q1156" s="7"/>
      <c r="AC1156"/>
      <c r="AD1156" s="14"/>
    </row>
    <row r="1157" spans="1:30" x14ac:dyDescent="0.25">
      <c r="A1157" t="b">
        <f t="shared" si="96"/>
        <v>0</v>
      </c>
      <c r="B1157">
        <v>2006</v>
      </c>
      <c r="C1157">
        <v>169</v>
      </c>
      <c r="D1157">
        <v>0</v>
      </c>
      <c r="E1157">
        <v>1200</v>
      </c>
      <c r="F1157" s="7">
        <v>129.69999999999999</v>
      </c>
      <c r="G1157" s="7">
        <v>15.07</v>
      </c>
      <c r="H1157" s="7">
        <v>0</v>
      </c>
      <c r="I1157" s="7" t="str">
        <f t="shared" si="92"/>
        <v/>
      </c>
      <c r="J1157" s="7" t="str">
        <f t="shared" si="93"/>
        <v/>
      </c>
      <c r="K1157" s="7">
        <v>0</v>
      </c>
      <c r="L1157" s="7" t="str">
        <f t="shared" si="94"/>
        <v/>
      </c>
      <c r="M1157" s="7" t="str">
        <f t="shared" si="95"/>
        <v/>
      </c>
      <c r="N1157" s="7">
        <v>0</v>
      </c>
      <c r="O1157" s="7"/>
      <c r="P1157" s="7"/>
      <c r="Q1157" s="7"/>
      <c r="AC1157"/>
      <c r="AD1157" s="14"/>
    </row>
    <row r="1158" spans="1:30" x14ac:dyDescent="0.25">
      <c r="A1158" t="b">
        <f t="shared" si="96"/>
        <v>0</v>
      </c>
      <c r="B1158">
        <v>2006</v>
      </c>
      <c r="C1158">
        <v>169</v>
      </c>
      <c r="D1158">
        <v>0</v>
      </c>
      <c r="E1158">
        <v>1300</v>
      </c>
      <c r="F1158" s="7">
        <v>183</v>
      </c>
      <c r="G1158" s="7">
        <v>14.92</v>
      </c>
      <c r="H1158" s="7">
        <v>0</v>
      </c>
      <c r="I1158" s="7" t="str">
        <f t="shared" si="92"/>
        <v/>
      </c>
      <c r="J1158" s="7" t="str">
        <f t="shared" si="93"/>
        <v/>
      </c>
      <c r="K1158" s="7">
        <v>0</v>
      </c>
      <c r="L1158" s="7" t="str">
        <f t="shared" si="94"/>
        <v/>
      </c>
      <c r="M1158" s="7" t="str">
        <f t="shared" si="95"/>
        <v/>
      </c>
      <c r="N1158" s="7">
        <v>0</v>
      </c>
      <c r="O1158" s="7"/>
      <c r="P1158" s="7"/>
      <c r="Q1158" s="7"/>
      <c r="AC1158"/>
      <c r="AD1158" s="14"/>
    </row>
    <row r="1159" spans="1:30" x14ac:dyDescent="0.25">
      <c r="A1159" t="b">
        <f t="shared" si="96"/>
        <v>0</v>
      </c>
      <c r="B1159">
        <v>2006</v>
      </c>
      <c r="C1159">
        <v>169</v>
      </c>
      <c r="D1159">
        <v>0</v>
      </c>
      <c r="E1159">
        <v>1400</v>
      </c>
      <c r="F1159" s="7">
        <v>177.6</v>
      </c>
      <c r="G1159" s="7">
        <v>15.03</v>
      </c>
      <c r="H1159" s="7">
        <v>0</v>
      </c>
      <c r="I1159" s="7" t="str">
        <f t="shared" si="92"/>
        <v/>
      </c>
      <c r="J1159" s="7" t="str">
        <f t="shared" si="93"/>
        <v/>
      </c>
      <c r="K1159" s="7">
        <v>0</v>
      </c>
      <c r="L1159" s="7" t="str">
        <f t="shared" si="94"/>
        <v/>
      </c>
      <c r="M1159" s="7" t="str">
        <f t="shared" si="95"/>
        <v/>
      </c>
      <c r="N1159" s="7">
        <v>0</v>
      </c>
      <c r="O1159" s="7"/>
      <c r="P1159" s="7"/>
      <c r="Q1159" s="7"/>
      <c r="AC1159"/>
      <c r="AD1159" s="14"/>
    </row>
    <row r="1160" spans="1:30" x14ac:dyDescent="0.25">
      <c r="A1160" t="b">
        <f t="shared" si="96"/>
        <v>0</v>
      </c>
      <c r="B1160">
        <v>2006</v>
      </c>
      <c r="C1160">
        <v>169</v>
      </c>
      <c r="D1160">
        <v>0</v>
      </c>
      <c r="E1160">
        <v>1500</v>
      </c>
      <c r="F1160" s="7">
        <v>347.5</v>
      </c>
      <c r="G1160" s="7">
        <v>16.13</v>
      </c>
      <c r="H1160" s="7">
        <v>0</v>
      </c>
      <c r="I1160" s="7" t="str">
        <f t="shared" si="92"/>
        <v/>
      </c>
      <c r="J1160" s="7" t="str">
        <f t="shared" si="93"/>
        <v/>
      </c>
      <c r="K1160" s="7">
        <v>0</v>
      </c>
      <c r="L1160" s="7" t="str">
        <f t="shared" si="94"/>
        <v/>
      </c>
      <c r="M1160" s="7" t="str">
        <f t="shared" si="95"/>
        <v/>
      </c>
      <c r="N1160" s="7">
        <v>0</v>
      </c>
      <c r="O1160" s="7"/>
      <c r="P1160" s="7"/>
      <c r="Q1160" s="7"/>
      <c r="AC1160"/>
      <c r="AD1160" s="14"/>
    </row>
    <row r="1161" spans="1:30" x14ac:dyDescent="0.25">
      <c r="A1161" t="b">
        <f t="shared" si="96"/>
        <v>0</v>
      </c>
      <c r="B1161">
        <v>2006</v>
      </c>
      <c r="C1161">
        <v>169</v>
      </c>
      <c r="D1161">
        <v>0</v>
      </c>
      <c r="E1161">
        <v>1600</v>
      </c>
      <c r="F1161" s="7">
        <v>256.3</v>
      </c>
      <c r="G1161" s="7">
        <v>16.75</v>
      </c>
      <c r="H1161" s="7">
        <v>0</v>
      </c>
      <c r="I1161" s="7" t="str">
        <f t="shared" si="92"/>
        <v/>
      </c>
      <c r="J1161" s="7" t="str">
        <f t="shared" si="93"/>
        <v/>
      </c>
      <c r="K1161" s="7">
        <v>0</v>
      </c>
      <c r="L1161" s="7" t="str">
        <f t="shared" si="94"/>
        <v/>
      </c>
      <c r="M1161" s="7" t="str">
        <f t="shared" si="95"/>
        <v/>
      </c>
      <c r="N1161" s="7">
        <v>0</v>
      </c>
      <c r="O1161" s="7"/>
      <c r="P1161" s="7"/>
      <c r="Q1161" s="7"/>
      <c r="AC1161"/>
      <c r="AD1161" s="14"/>
    </row>
    <row r="1162" spans="1:30" x14ac:dyDescent="0.25">
      <c r="A1162" t="b">
        <f t="shared" si="96"/>
        <v>0</v>
      </c>
      <c r="B1162">
        <v>2006</v>
      </c>
      <c r="C1162">
        <v>169</v>
      </c>
      <c r="D1162">
        <v>0</v>
      </c>
      <c r="E1162">
        <v>1700</v>
      </c>
      <c r="F1162" s="7">
        <v>142.4</v>
      </c>
      <c r="G1162" s="7">
        <v>16.399999999999999</v>
      </c>
      <c r="H1162" s="7">
        <v>0</v>
      </c>
      <c r="I1162" s="7" t="str">
        <f t="shared" si="92"/>
        <v/>
      </c>
      <c r="J1162" s="7" t="str">
        <f t="shared" si="93"/>
        <v/>
      </c>
      <c r="K1162" s="7">
        <v>0</v>
      </c>
      <c r="L1162" s="7" t="str">
        <f t="shared" si="94"/>
        <v/>
      </c>
      <c r="M1162" s="7" t="str">
        <f t="shared" si="95"/>
        <v/>
      </c>
      <c r="N1162" s="7">
        <v>0</v>
      </c>
      <c r="O1162" s="7"/>
      <c r="P1162" s="7"/>
      <c r="Q1162" s="7"/>
      <c r="AC1162"/>
      <c r="AD1162" s="14"/>
    </row>
    <row r="1163" spans="1:30" x14ac:dyDescent="0.25">
      <c r="A1163" t="b">
        <f t="shared" si="96"/>
        <v>0</v>
      </c>
      <c r="B1163">
        <v>2006</v>
      </c>
      <c r="C1163">
        <v>169</v>
      </c>
      <c r="D1163">
        <v>0</v>
      </c>
      <c r="E1163">
        <v>1800</v>
      </c>
      <c r="F1163" s="7">
        <v>141.69999999999999</v>
      </c>
      <c r="G1163" s="7">
        <v>15.94</v>
      </c>
      <c r="H1163" s="7">
        <v>0</v>
      </c>
      <c r="I1163" s="7" t="str">
        <f t="shared" si="92"/>
        <v/>
      </c>
      <c r="J1163" s="7" t="str">
        <f t="shared" si="93"/>
        <v/>
      </c>
      <c r="K1163" s="7">
        <v>0</v>
      </c>
      <c r="L1163" s="7" t="str">
        <f t="shared" si="94"/>
        <v/>
      </c>
      <c r="M1163" s="7" t="str">
        <f t="shared" si="95"/>
        <v/>
      </c>
      <c r="N1163" s="7">
        <v>0</v>
      </c>
      <c r="O1163" s="7"/>
      <c r="P1163" s="7"/>
      <c r="Q1163" s="7"/>
      <c r="AC1163"/>
      <c r="AD1163" s="14"/>
    </row>
    <row r="1164" spans="1:30" x14ac:dyDescent="0.25">
      <c r="A1164" t="b">
        <f t="shared" si="96"/>
        <v>0</v>
      </c>
      <c r="B1164">
        <v>2006</v>
      </c>
      <c r="C1164">
        <v>169</v>
      </c>
      <c r="D1164">
        <v>0</v>
      </c>
      <c r="E1164">
        <v>1900</v>
      </c>
      <c r="F1164" s="7">
        <v>54.5</v>
      </c>
      <c r="G1164" s="7">
        <v>15.51</v>
      </c>
      <c r="H1164" s="7">
        <v>0</v>
      </c>
      <c r="I1164" s="7" t="str">
        <f t="shared" si="92"/>
        <v/>
      </c>
      <c r="J1164" s="7" t="str">
        <f t="shared" si="93"/>
        <v/>
      </c>
      <c r="K1164" s="7">
        <v>0</v>
      </c>
      <c r="L1164" s="7" t="str">
        <f t="shared" si="94"/>
        <v/>
      </c>
      <c r="M1164" s="7" t="str">
        <f t="shared" si="95"/>
        <v/>
      </c>
      <c r="N1164" s="7">
        <v>0</v>
      </c>
      <c r="O1164" s="7"/>
      <c r="P1164" s="7"/>
      <c r="Q1164" s="7"/>
      <c r="AC1164"/>
      <c r="AD1164" s="14"/>
    </row>
    <row r="1165" spans="1:30" x14ac:dyDescent="0.25">
      <c r="A1165" t="b">
        <f t="shared" si="96"/>
        <v>0</v>
      </c>
      <c r="B1165">
        <v>2006</v>
      </c>
      <c r="C1165">
        <v>169</v>
      </c>
      <c r="D1165">
        <v>0</v>
      </c>
      <c r="E1165">
        <v>2000</v>
      </c>
      <c r="F1165" s="7">
        <v>33.24</v>
      </c>
      <c r="G1165" s="7">
        <v>15.09</v>
      </c>
      <c r="H1165" s="7">
        <v>0</v>
      </c>
      <c r="I1165" s="7" t="str">
        <f t="shared" si="92"/>
        <v/>
      </c>
      <c r="J1165" s="7" t="str">
        <f t="shared" si="93"/>
        <v/>
      </c>
      <c r="K1165" s="7">
        <v>0</v>
      </c>
      <c r="L1165" s="7" t="str">
        <f t="shared" si="94"/>
        <v/>
      </c>
      <c r="M1165" s="7" t="str">
        <f t="shared" si="95"/>
        <v/>
      </c>
      <c r="N1165" s="7">
        <v>0</v>
      </c>
      <c r="O1165" s="7"/>
      <c r="P1165" s="7"/>
      <c r="Q1165" s="7"/>
      <c r="AC1165"/>
      <c r="AD1165" s="14"/>
    </row>
    <row r="1166" spans="1:30" x14ac:dyDescent="0.25">
      <c r="A1166" t="b">
        <f t="shared" si="96"/>
        <v>0</v>
      </c>
      <c r="B1166">
        <v>2006</v>
      </c>
      <c r="C1166">
        <v>169</v>
      </c>
      <c r="D1166">
        <v>0</v>
      </c>
      <c r="E1166">
        <v>2100</v>
      </c>
      <c r="F1166" s="7">
        <v>5.8259999999999996</v>
      </c>
      <c r="G1166" s="7">
        <v>13.15</v>
      </c>
      <c r="H1166" s="7">
        <v>0</v>
      </c>
      <c r="I1166" s="7" t="str">
        <f t="shared" si="92"/>
        <v/>
      </c>
      <c r="J1166" s="7" t="str">
        <f t="shared" si="93"/>
        <v/>
      </c>
      <c r="K1166" s="7">
        <v>0</v>
      </c>
      <c r="L1166" s="7" t="str">
        <f t="shared" si="94"/>
        <v/>
      </c>
      <c r="M1166" s="7" t="str">
        <f t="shared" si="95"/>
        <v/>
      </c>
      <c r="N1166" s="7">
        <v>0</v>
      </c>
      <c r="O1166" s="7"/>
      <c r="P1166" s="7"/>
      <c r="Q1166" s="7"/>
      <c r="AC1166"/>
      <c r="AD1166" s="14"/>
    </row>
    <row r="1167" spans="1:30" x14ac:dyDescent="0.25">
      <c r="A1167" t="b">
        <f t="shared" si="96"/>
        <v>0</v>
      </c>
      <c r="B1167">
        <v>2006</v>
      </c>
      <c r="C1167">
        <v>169</v>
      </c>
      <c r="D1167">
        <v>0</v>
      </c>
      <c r="E1167">
        <v>2200</v>
      </c>
      <c r="F1167" s="7">
        <v>-1.337</v>
      </c>
      <c r="G1167" s="7">
        <v>12.68</v>
      </c>
      <c r="H1167" s="7">
        <v>0</v>
      </c>
      <c r="I1167" s="7" t="str">
        <f t="shared" si="92"/>
        <v/>
      </c>
      <c r="J1167" s="7" t="str">
        <f t="shared" si="93"/>
        <v/>
      </c>
      <c r="K1167" s="7">
        <v>0</v>
      </c>
      <c r="L1167" s="7" t="str">
        <f t="shared" si="94"/>
        <v/>
      </c>
      <c r="M1167" s="7" t="str">
        <f t="shared" si="95"/>
        <v/>
      </c>
      <c r="N1167" s="7">
        <v>0</v>
      </c>
      <c r="O1167" s="7"/>
      <c r="P1167" s="7"/>
      <c r="Q1167" s="7"/>
      <c r="AC1167"/>
      <c r="AD1167" s="14"/>
    </row>
    <row r="1168" spans="1:30" x14ac:dyDescent="0.25">
      <c r="A1168" t="b">
        <f t="shared" si="96"/>
        <v>0</v>
      </c>
      <c r="B1168">
        <v>2006</v>
      </c>
      <c r="C1168">
        <v>169</v>
      </c>
      <c r="D1168">
        <v>0</v>
      </c>
      <c r="E1168">
        <v>2300</v>
      </c>
      <c r="F1168" s="7">
        <v>-1.2210000000000001</v>
      </c>
      <c r="G1168" s="7">
        <v>12.68</v>
      </c>
      <c r="H1168" s="7">
        <v>0</v>
      </c>
      <c r="I1168" s="7" t="str">
        <f t="shared" si="92"/>
        <v/>
      </c>
      <c r="J1168" s="7" t="str">
        <f t="shared" si="93"/>
        <v/>
      </c>
      <c r="K1168" s="7">
        <v>0</v>
      </c>
      <c r="L1168" s="7" t="str">
        <f t="shared" si="94"/>
        <v/>
      </c>
      <c r="M1168" s="7" t="str">
        <f t="shared" si="95"/>
        <v/>
      </c>
      <c r="N1168" s="7">
        <v>0</v>
      </c>
      <c r="O1168" s="7"/>
      <c r="P1168" s="7"/>
      <c r="Q1168" s="7"/>
      <c r="AC1168"/>
      <c r="AD1168" s="14"/>
    </row>
    <row r="1169" spans="1:30" x14ac:dyDescent="0.25">
      <c r="A1169" t="b">
        <f t="shared" si="96"/>
        <v>0</v>
      </c>
      <c r="B1169">
        <v>2006</v>
      </c>
      <c r="C1169">
        <v>169</v>
      </c>
      <c r="D1169">
        <v>0</v>
      </c>
      <c r="E1169">
        <v>2400</v>
      </c>
      <c r="F1169" s="7">
        <v>-1.512</v>
      </c>
      <c r="G1169" s="7">
        <v>12.73</v>
      </c>
      <c r="H1169" s="7">
        <v>0</v>
      </c>
      <c r="I1169" s="7" t="str">
        <f t="shared" si="92"/>
        <v/>
      </c>
      <c r="J1169" s="7" t="str">
        <f t="shared" si="93"/>
        <v/>
      </c>
      <c r="K1169" s="7">
        <v>0</v>
      </c>
      <c r="L1169" s="7" t="str">
        <f t="shared" si="94"/>
        <v/>
      </c>
      <c r="M1169" s="7" t="str">
        <f t="shared" si="95"/>
        <v/>
      </c>
      <c r="N1169" s="7">
        <v>0</v>
      </c>
      <c r="O1169" s="7"/>
      <c r="P1169" s="7"/>
      <c r="Q1169" s="7"/>
      <c r="AC1169"/>
      <c r="AD1169" s="14"/>
    </row>
    <row r="1170" spans="1:30" x14ac:dyDescent="0.25">
      <c r="A1170" t="b">
        <f t="shared" si="96"/>
        <v>1</v>
      </c>
      <c r="B1170">
        <v>2006</v>
      </c>
      <c r="C1170">
        <v>170</v>
      </c>
      <c r="D1170">
        <v>0</v>
      </c>
      <c r="E1170">
        <v>100</v>
      </c>
      <c r="F1170" s="7">
        <v>-1.508</v>
      </c>
      <c r="G1170" s="7">
        <v>12.74</v>
      </c>
      <c r="H1170" s="7">
        <v>0</v>
      </c>
      <c r="I1170" s="7">
        <f t="shared" si="92"/>
        <v>0</v>
      </c>
      <c r="J1170" s="7">
        <f t="shared" si="93"/>
        <v>152.04516666666669</v>
      </c>
      <c r="K1170" s="7">
        <v>0</v>
      </c>
      <c r="L1170" s="7">
        <f t="shared" si="94"/>
        <v>15.62</v>
      </c>
      <c r="M1170" s="7">
        <f t="shared" si="95"/>
        <v>11.84</v>
      </c>
      <c r="N1170" s="7">
        <v>0</v>
      </c>
      <c r="O1170" s="7"/>
      <c r="P1170" s="7"/>
      <c r="Q1170" s="7"/>
      <c r="AC1170"/>
      <c r="AD1170" s="14"/>
    </row>
    <row r="1171" spans="1:30" x14ac:dyDescent="0.25">
      <c r="A1171" t="b">
        <f t="shared" si="96"/>
        <v>0</v>
      </c>
      <c r="B1171">
        <v>2006</v>
      </c>
      <c r="C1171">
        <v>170</v>
      </c>
      <c r="D1171">
        <v>0</v>
      </c>
      <c r="E1171">
        <v>200</v>
      </c>
      <c r="F1171" s="7">
        <v>-1.629</v>
      </c>
      <c r="G1171" s="7">
        <v>12.61</v>
      </c>
      <c r="H1171" s="7">
        <v>0</v>
      </c>
      <c r="I1171" s="7" t="str">
        <f t="shared" si="92"/>
        <v/>
      </c>
      <c r="J1171" s="7" t="str">
        <f t="shared" si="93"/>
        <v/>
      </c>
      <c r="K1171" s="7">
        <v>0</v>
      </c>
      <c r="L1171" s="7" t="str">
        <f t="shared" si="94"/>
        <v/>
      </c>
      <c r="M1171" s="7" t="str">
        <f t="shared" si="95"/>
        <v/>
      </c>
      <c r="N1171" s="7">
        <v>0</v>
      </c>
      <c r="O1171" s="7"/>
      <c r="P1171" s="7"/>
      <c r="Q1171" s="7"/>
      <c r="AC1171"/>
      <c r="AD1171" s="14"/>
    </row>
    <row r="1172" spans="1:30" x14ac:dyDescent="0.25">
      <c r="A1172" t="b">
        <f t="shared" si="96"/>
        <v>0</v>
      </c>
      <c r="B1172">
        <v>2006</v>
      </c>
      <c r="C1172">
        <v>170</v>
      </c>
      <c r="D1172">
        <v>0</v>
      </c>
      <c r="E1172">
        <v>300</v>
      </c>
      <c r="F1172" s="7">
        <v>-1.6910000000000001</v>
      </c>
      <c r="G1172" s="7">
        <v>12.03</v>
      </c>
      <c r="H1172" s="7">
        <v>0</v>
      </c>
      <c r="I1172" s="7" t="str">
        <f t="shared" si="92"/>
        <v/>
      </c>
      <c r="J1172" s="7" t="str">
        <f t="shared" si="93"/>
        <v/>
      </c>
      <c r="K1172" s="7">
        <v>0</v>
      </c>
      <c r="L1172" s="7" t="str">
        <f t="shared" si="94"/>
        <v/>
      </c>
      <c r="M1172" s="7" t="str">
        <f t="shared" si="95"/>
        <v/>
      </c>
      <c r="N1172" s="7">
        <v>0</v>
      </c>
      <c r="O1172" s="7"/>
      <c r="P1172" s="7"/>
      <c r="Q1172" s="7"/>
      <c r="AC1172"/>
      <c r="AD1172" s="14"/>
    </row>
    <row r="1173" spans="1:30" x14ac:dyDescent="0.25">
      <c r="A1173" t="b">
        <f t="shared" si="96"/>
        <v>0</v>
      </c>
      <c r="B1173">
        <v>2006</v>
      </c>
      <c r="C1173">
        <v>170</v>
      </c>
      <c r="D1173">
        <v>0</v>
      </c>
      <c r="E1173">
        <v>400</v>
      </c>
      <c r="F1173" s="7">
        <v>6.4000000000000001E-2</v>
      </c>
      <c r="G1173" s="7">
        <v>12.19</v>
      </c>
      <c r="H1173" s="7">
        <v>0</v>
      </c>
      <c r="I1173" s="7" t="str">
        <f t="shared" si="92"/>
        <v/>
      </c>
      <c r="J1173" s="7" t="str">
        <f t="shared" si="93"/>
        <v/>
      </c>
      <c r="K1173" s="7">
        <v>0</v>
      </c>
      <c r="L1173" s="7" t="str">
        <f t="shared" si="94"/>
        <v/>
      </c>
      <c r="M1173" s="7" t="str">
        <f t="shared" si="95"/>
        <v/>
      </c>
      <c r="N1173" s="7">
        <v>0</v>
      </c>
      <c r="O1173" s="7"/>
      <c r="P1173" s="7"/>
      <c r="Q1173" s="7"/>
      <c r="AC1173"/>
      <c r="AD1173" s="14"/>
    </row>
    <row r="1174" spans="1:30" x14ac:dyDescent="0.25">
      <c r="A1174" t="b">
        <f t="shared" si="96"/>
        <v>0</v>
      </c>
      <c r="B1174">
        <v>2006</v>
      </c>
      <c r="C1174">
        <v>170</v>
      </c>
      <c r="D1174">
        <v>0</v>
      </c>
      <c r="E1174">
        <v>500</v>
      </c>
      <c r="F1174" s="7">
        <v>19.64</v>
      </c>
      <c r="G1174" s="7">
        <v>12.44</v>
      </c>
      <c r="H1174" s="7">
        <v>0</v>
      </c>
      <c r="I1174" s="7" t="str">
        <f t="shared" si="92"/>
        <v/>
      </c>
      <c r="J1174" s="7" t="str">
        <f t="shared" si="93"/>
        <v/>
      </c>
      <c r="K1174" s="7">
        <v>0</v>
      </c>
      <c r="L1174" s="7" t="str">
        <f t="shared" si="94"/>
        <v/>
      </c>
      <c r="M1174" s="7" t="str">
        <f t="shared" si="95"/>
        <v/>
      </c>
      <c r="N1174" s="7">
        <v>0</v>
      </c>
      <c r="O1174" s="7"/>
      <c r="P1174" s="7"/>
      <c r="Q1174" s="7"/>
      <c r="AC1174"/>
      <c r="AD1174" s="14"/>
    </row>
    <row r="1175" spans="1:30" x14ac:dyDescent="0.25">
      <c r="A1175" t="b">
        <f t="shared" si="96"/>
        <v>0</v>
      </c>
      <c r="B1175">
        <v>2006</v>
      </c>
      <c r="C1175">
        <v>170</v>
      </c>
      <c r="D1175">
        <v>0</v>
      </c>
      <c r="E1175">
        <v>600</v>
      </c>
      <c r="F1175" s="7">
        <v>26.86</v>
      </c>
      <c r="G1175" s="7">
        <v>12.6</v>
      </c>
      <c r="H1175" s="7">
        <v>0</v>
      </c>
      <c r="I1175" s="7" t="str">
        <f t="shared" si="92"/>
        <v/>
      </c>
      <c r="J1175" s="7" t="str">
        <f t="shared" si="93"/>
        <v/>
      </c>
      <c r="K1175" s="7">
        <v>0</v>
      </c>
      <c r="L1175" s="7" t="str">
        <f t="shared" si="94"/>
        <v/>
      </c>
      <c r="M1175" s="7" t="str">
        <f t="shared" si="95"/>
        <v/>
      </c>
      <c r="N1175" s="7">
        <v>0</v>
      </c>
      <c r="O1175" s="7"/>
      <c r="P1175" s="7"/>
      <c r="Q1175" s="7"/>
      <c r="AC1175"/>
      <c r="AD1175" s="14"/>
    </row>
    <row r="1176" spans="1:30" x14ac:dyDescent="0.25">
      <c r="A1176" t="b">
        <f t="shared" si="96"/>
        <v>0</v>
      </c>
      <c r="B1176">
        <v>2006</v>
      </c>
      <c r="C1176">
        <v>170</v>
      </c>
      <c r="D1176">
        <v>0</v>
      </c>
      <c r="E1176">
        <v>700</v>
      </c>
      <c r="F1176" s="7">
        <v>71.5</v>
      </c>
      <c r="G1176" s="7">
        <v>12.86</v>
      </c>
      <c r="H1176" s="7">
        <v>0</v>
      </c>
      <c r="I1176" s="7" t="str">
        <f t="shared" si="92"/>
        <v/>
      </c>
      <c r="J1176" s="7" t="str">
        <f t="shared" si="93"/>
        <v/>
      </c>
      <c r="K1176" s="7">
        <v>0</v>
      </c>
      <c r="L1176" s="7" t="str">
        <f t="shared" si="94"/>
        <v/>
      </c>
      <c r="M1176" s="7" t="str">
        <f t="shared" si="95"/>
        <v/>
      </c>
      <c r="N1176" s="7">
        <v>0</v>
      </c>
      <c r="O1176" s="7"/>
      <c r="P1176" s="7"/>
      <c r="Q1176" s="7"/>
      <c r="AC1176"/>
      <c r="AD1176" s="14"/>
    </row>
    <row r="1177" spans="1:30" x14ac:dyDescent="0.25">
      <c r="A1177" t="b">
        <f t="shared" si="96"/>
        <v>0</v>
      </c>
      <c r="B1177">
        <v>2006</v>
      </c>
      <c r="C1177">
        <v>170</v>
      </c>
      <c r="D1177">
        <v>0</v>
      </c>
      <c r="E1177">
        <v>800</v>
      </c>
      <c r="F1177" s="7">
        <v>206.7</v>
      </c>
      <c r="G1177" s="7">
        <v>13.56</v>
      </c>
      <c r="H1177" s="7">
        <v>0</v>
      </c>
      <c r="I1177" s="7" t="str">
        <f t="shared" si="92"/>
        <v/>
      </c>
      <c r="J1177" s="7" t="str">
        <f t="shared" si="93"/>
        <v/>
      </c>
      <c r="K1177" s="7">
        <v>0</v>
      </c>
      <c r="L1177" s="7" t="str">
        <f t="shared" si="94"/>
        <v/>
      </c>
      <c r="M1177" s="7" t="str">
        <f t="shared" si="95"/>
        <v/>
      </c>
      <c r="N1177" s="7">
        <v>0</v>
      </c>
      <c r="O1177" s="7"/>
      <c r="P1177" s="7"/>
      <c r="Q1177" s="7"/>
      <c r="AC1177"/>
      <c r="AD1177" s="14"/>
    </row>
    <row r="1178" spans="1:30" x14ac:dyDescent="0.25">
      <c r="A1178" t="b">
        <f t="shared" si="96"/>
        <v>0</v>
      </c>
      <c r="B1178">
        <v>2006</v>
      </c>
      <c r="C1178">
        <v>170</v>
      </c>
      <c r="D1178">
        <v>0</v>
      </c>
      <c r="E1178">
        <v>900</v>
      </c>
      <c r="F1178" s="7">
        <v>213.5</v>
      </c>
      <c r="G1178" s="7">
        <v>14.56</v>
      </c>
      <c r="H1178" s="7">
        <v>0</v>
      </c>
      <c r="I1178" s="7" t="str">
        <f t="shared" si="92"/>
        <v/>
      </c>
      <c r="J1178" s="7" t="str">
        <f t="shared" si="93"/>
        <v/>
      </c>
      <c r="K1178" s="7">
        <v>0</v>
      </c>
      <c r="L1178" s="7" t="str">
        <f t="shared" si="94"/>
        <v/>
      </c>
      <c r="M1178" s="7" t="str">
        <f t="shared" si="95"/>
        <v/>
      </c>
      <c r="N1178" s="7">
        <v>0</v>
      </c>
      <c r="O1178" s="7"/>
      <c r="P1178" s="7"/>
      <c r="Q1178" s="7"/>
      <c r="AC1178"/>
      <c r="AD1178" s="14"/>
    </row>
    <row r="1179" spans="1:30" x14ac:dyDescent="0.25">
      <c r="A1179" t="b">
        <f t="shared" si="96"/>
        <v>0</v>
      </c>
      <c r="B1179">
        <v>2006</v>
      </c>
      <c r="C1179">
        <v>170</v>
      </c>
      <c r="D1179">
        <v>0</v>
      </c>
      <c r="E1179">
        <v>1000</v>
      </c>
      <c r="F1179" s="7">
        <v>237.6</v>
      </c>
      <c r="G1179" s="7">
        <v>15.15</v>
      </c>
      <c r="H1179" s="7">
        <v>0</v>
      </c>
      <c r="I1179" s="7" t="str">
        <f t="shared" si="92"/>
        <v/>
      </c>
      <c r="J1179" s="7" t="str">
        <f t="shared" si="93"/>
        <v/>
      </c>
      <c r="K1179" s="7">
        <v>0</v>
      </c>
      <c r="L1179" s="7" t="str">
        <f t="shared" si="94"/>
        <v/>
      </c>
      <c r="M1179" s="7" t="str">
        <f t="shared" si="95"/>
        <v/>
      </c>
      <c r="N1179" s="7">
        <v>0</v>
      </c>
      <c r="O1179" s="7"/>
      <c r="P1179" s="7"/>
      <c r="Q1179" s="7"/>
      <c r="AC1179"/>
      <c r="AD1179" s="14"/>
    </row>
    <row r="1180" spans="1:30" x14ac:dyDescent="0.25">
      <c r="A1180" t="b">
        <f t="shared" si="96"/>
        <v>0</v>
      </c>
      <c r="B1180">
        <v>2006</v>
      </c>
      <c r="C1180">
        <v>170</v>
      </c>
      <c r="D1180">
        <v>0</v>
      </c>
      <c r="E1180">
        <v>1100</v>
      </c>
      <c r="F1180" s="7">
        <v>261.39999999999998</v>
      </c>
      <c r="G1180" s="7">
        <v>15.6</v>
      </c>
      <c r="H1180" s="7">
        <v>0</v>
      </c>
      <c r="I1180" s="7" t="str">
        <f t="shared" si="92"/>
        <v/>
      </c>
      <c r="J1180" s="7" t="str">
        <f t="shared" si="93"/>
        <v/>
      </c>
      <c r="K1180" s="7">
        <v>0</v>
      </c>
      <c r="L1180" s="7" t="str">
        <f t="shared" si="94"/>
        <v/>
      </c>
      <c r="M1180" s="7" t="str">
        <f t="shared" si="95"/>
        <v/>
      </c>
      <c r="N1180" s="7">
        <v>0</v>
      </c>
      <c r="O1180" s="7"/>
      <c r="P1180" s="7"/>
      <c r="Q1180" s="7"/>
      <c r="AC1180"/>
      <c r="AD1180" s="14"/>
    </row>
    <row r="1181" spans="1:30" x14ac:dyDescent="0.25">
      <c r="A1181" t="b">
        <f t="shared" si="96"/>
        <v>0</v>
      </c>
      <c r="B1181">
        <v>2006</v>
      </c>
      <c r="C1181">
        <v>170</v>
      </c>
      <c r="D1181">
        <v>0</v>
      </c>
      <c r="E1181">
        <v>1200</v>
      </c>
      <c r="F1181" s="7">
        <v>249.2</v>
      </c>
      <c r="G1181" s="7">
        <v>15</v>
      </c>
      <c r="H1181" s="7">
        <v>0</v>
      </c>
      <c r="I1181" s="7" t="str">
        <f t="shared" si="92"/>
        <v/>
      </c>
      <c r="J1181" s="7" t="str">
        <f t="shared" si="93"/>
        <v/>
      </c>
      <c r="K1181" s="7">
        <v>0</v>
      </c>
      <c r="L1181" s="7" t="str">
        <f t="shared" si="94"/>
        <v/>
      </c>
      <c r="M1181" s="7" t="str">
        <f t="shared" si="95"/>
        <v/>
      </c>
      <c r="N1181" s="7">
        <v>0</v>
      </c>
      <c r="O1181" s="7"/>
      <c r="P1181" s="7"/>
      <c r="Q1181" s="7"/>
      <c r="AC1181"/>
      <c r="AD1181" s="14"/>
    </row>
    <row r="1182" spans="1:30" x14ac:dyDescent="0.25">
      <c r="A1182" t="b">
        <f t="shared" si="96"/>
        <v>0</v>
      </c>
      <c r="B1182">
        <v>2006</v>
      </c>
      <c r="C1182">
        <v>170</v>
      </c>
      <c r="D1182">
        <v>0</v>
      </c>
      <c r="E1182">
        <v>1300</v>
      </c>
      <c r="F1182" s="7">
        <v>196.7</v>
      </c>
      <c r="G1182" s="7">
        <v>14.32</v>
      </c>
      <c r="H1182" s="7">
        <v>0</v>
      </c>
      <c r="I1182" s="7" t="str">
        <f t="shared" si="92"/>
        <v/>
      </c>
      <c r="J1182" s="7" t="str">
        <f t="shared" si="93"/>
        <v/>
      </c>
      <c r="K1182" s="7">
        <v>0</v>
      </c>
      <c r="L1182" s="7" t="str">
        <f t="shared" si="94"/>
        <v/>
      </c>
      <c r="M1182" s="7" t="str">
        <f t="shared" si="95"/>
        <v/>
      </c>
      <c r="N1182" s="7">
        <v>0</v>
      </c>
      <c r="O1182" s="7"/>
      <c r="P1182" s="7"/>
      <c r="Q1182" s="7"/>
      <c r="AC1182"/>
      <c r="AD1182" s="14"/>
    </row>
    <row r="1183" spans="1:30" x14ac:dyDescent="0.25">
      <c r="A1183" t="b">
        <f t="shared" si="96"/>
        <v>0</v>
      </c>
      <c r="B1183">
        <v>2006</v>
      </c>
      <c r="C1183">
        <v>170</v>
      </c>
      <c r="D1183">
        <v>0</v>
      </c>
      <c r="E1183">
        <v>1400</v>
      </c>
      <c r="F1183" s="7">
        <v>449.1</v>
      </c>
      <c r="G1183" s="7">
        <v>14.93</v>
      </c>
      <c r="H1183" s="7">
        <v>0</v>
      </c>
      <c r="I1183" s="7" t="str">
        <f t="shared" si="92"/>
        <v/>
      </c>
      <c r="J1183" s="7" t="str">
        <f t="shared" si="93"/>
        <v/>
      </c>
      <c r="K1183" s="7">
        <v>0</v>
      </c>
      <c r="L1183" s="7" t="str">
        <f t="shared" si="94"/>
        <v/>
      </c>
      <c r="M1183" s="7" t="str">
        <f t="shared" si="95"/>
        <v/>
      </c>
      <c r="N1183" s="7">
        <v>0</v>
      </c>
      <c r="O1183" s="7"/>
      <c r="P1183" s="7"/>
      <c r="Q1183" s="7"/>
      <c r="AC1183"/>
      <c r="AD1183" s="14"/>
    </row>
    <row r="1184" spans="1:30" x14ac:dyDescent="0.25">
      <c r="A1184" t="b">
        <f t="shared" si="96"/>
        <v>0</v>
      </c>
      <c r="B1184">
        <v>2006</v>
      </c>
      <c r="C1184">
        <v>170</v>
      </c>
      <c r="D1184">
        <v>0</v>
      </c>
      <c r="E1184">
        <v>1500</v>
      </c>
      <c r="F1184" s="7">
        <v>368</v>
      </c>
      <c r="G1184" s="7">
        <v>15.62</v>
      </c>
      <c r="H1184" s="7">
        <v>0</v>
      </c>
      <c r="I1184" s="7" t="str">
        <f t="shared" si="92"/>
        <v/>
      </c>
      <c r="J1184" s="7" t="str">
        <f t="shared" si="93"/>
        <v/>
      </c>
      <c r="K1184" s="7">
        <v>0</v>
      </c>
      <c r="L1184" s="7" t="str">
        <f t="shared" si="94"/>
        <v/>
      </c>
      <c r="M1184" s="7" t="str">
        <f t="shared" si="95"/>
        <v/>
      </c>
      <c r="N1184" s="7">
        <v>0</v>
      </c>
      <c r="O1184" s="7"/>
      <c r="P1184" s="7"/>
      <c r="Q1184" s="7"/>
      <c r="AC1184"/>
      <c r="AD1184" s="14"/>
    </row>
    <row r="1185" spans="1:30" x14ac:dyDescent="0.25">
      <c r="A1185" t="b">
        <f t="shared" si="96"/>
        <v>0</v>
      </c>
      <c r="B1185">
        <v>2006</v>
      </c>
      <c r="C1185">
        <v>170</v>
      </c>
      <c r="D1185">
        <v>0</v>
      </c>
      <c r="E1185">
        <v>1600</v>
      </c>
      <c r="F1185" s="7">
        <v>293.8</v>
      </c>
      <c r="G1185" s="7">
        <v>14.86</v>
      </c>
      <c r="H1185" s="7">
        <v>0</v>
      </c>
      <c r="I1185" s="7" t="str">
        <f t="shared" si="92"/>
        <v/>
      </c>
      <c r="J1185" s="7" t="str">
        <f t="shared" si="93"/>
        <v/>
      </c>
      <c r="K1185" s="7">
        <v>0</v>
      </c>
      <c r="L1185" s="7" t="str">
        <f t="shared" si="94"/>
        <v/>
      </c>
      <c r="M1185" s="7" t="str">
        <f t="shared" si="95"/>
        <v/>
      </c>
      <c r="N1185" s="7">
        <v>0</v>
      </c>
      <c r="O1185" s="7"/>
      <c r="P1185" s="7"/>
      <c r="Q1185" s="7"/>
      <c r="AC1185"/>
      <c r="AD1185" s="14"/>
    </row>
    <row r="1186" spans="1:30" x14ac:dyDescent="0.25">
      <c r="A1186" t="b">
        <f t="shared" si="96"/>
        <v>0</v>
      </c>
      <c r="B1186">
        <v>2006</v>
      </c>
      <c r="C1186">
        <v>170</v>
      </c>
      <c r="D1186">
        <v>0</v>
      </c>
      <c r="E1186">
        <v>1700</v>
      </c>
      <c r="F1186" s="7">
        <v>400.1</v>
      </c>
      <c r="G1186" s="7">
        <v>15.47</v>
      </c>
      <c r="H1186" s="7">
        <v>0</v>
      </c>
      <c r="I1186" s="7" t="str">
        <f t="shared" si="92"/>
        <v/>
      </c>
      <c r="J1186" s="7" t="str">
        <f t="shared" si="93"/>
        <v/>
      </c>
      <c r="K1186" s="7">
        <v>0</v>
      </c>
      <c r="L1186" s="7" t="str">
        <f t="shared" si="94"/>
        <v/>
      </c>
      <c r="M1186" s="7" t="str">
        <f t="shared" si="95"/>
        <v/>
      </c>
      <c r="N1186" s="7">
        <v>0</v>
      </c>
      <c r="O1186" s="7"/>
      <c r="P1186" s="7"/>
      <c r="Q1186" s="7"/>
      <c r="AC1186"/>
      <c r="AD1186" s="14"/>
    </row>
    <row r="1187" spans="1:30" x14ac:dyDescent="0.25">
      <c r="A1187" t="b">
        <f t="shared" si="96"/>
        <v>0</v>
      </c>
      <c r="B1187">
        <v>2006</v>
      </c>
      <c r="C1187">
        <v>170</v>
      </c>
      <c r="D1187">
        <v>0</v>
      </c>
      <c r="E1187">
        <v>1800</v>
      </c>
      <c r="F1187" s="7">
        <v>386.8</v>
      </c>
      <c r="G1187" s="7">
        <v>15.62</v>
      </c>
      <c r="H1187" s="7">
        <v>0</v>
      </c>
      <c r="I1187" s="7" t="str">
        <f t="shared" si="92"/>
        <v/>
      </c>
      <c r="J1187" s="7" t="str">
        <f t="shared" si="93"/>
        <v/>
      </c>
      <c r="K1187" s="7">
        <v>0</v>
      </c>
      <c r="L1187" s="7" t="str">
        <f t="shared" si="94"/>
        <v/>
      </c>
      <c r="M1187" s="7" t="str">
        <f t="shared" si="95"/>
        <v/>
      </c>
      <c r="N1187" s="7">
        <v>0</v>
      </c>
      <c r="O1187" s="7"/>
      <c r="P1187" s="7"/>
      <c r="Q1187" s="7"/>
      <c r="AC1187"/>
      <c r="AD1187" s="14"/>
    </row>
    <row r="1188" spans="1:30" x14ac:dyDescent="0.25">
      <c r="A1188" t="b">
        <f t="shared" si="96"/>
        <v>0</v>
      </c>
      <c r="B1188">
        <v>2006</v>
      </c>
      <c r="C1188">
        <v>170</v>
      </c>
      <c r="D1188">
        <v>0</v>
      </c>
      <c r="E1188">
        <v>1900</v>
      </c>
      <c r="F1188" s="7">
        <v>198.6</v>
      </c>
      <c r="G1188" s="7">
        <v>14.72</v>
      </c>
      <c r="H1188" s="7">
        <v>0</v>
      </c>
      <c r="I1188" s="7" t="str">
        <f t="shared" si="92"/>
        <v/>
      </c>
      <c r="J1188" s="7" t="str">
        <f t="shared" si="93"/>
        <v/>
      </c>
      <c r="K1188" s="7">
        <v>0</v>
      </c>
      <c r="L1188" s="7" t="str">
        <f t="shared" si="94"/>
        <v/>
      </c>
      <c r="M1188" s="7" t="str">
        <f t="shared" si="95"/>
        <v/>
      </c>
      <c r="N1188" s="7">
        <v>0</v>
      </c>
      <c r="O1188" s="7"/>
      <c r="P1188" s="7"/>
      <c r="Q1188" s="7"/>
      <c r="AC1188"/>
      <c r="AD1188" s="14"/>
    </row>
    <row r="1189" spans="1:30" x14ac:dyDescent="0.25">
      <c r="A1189" t="b">
        <f t="shared" si="96"/>
        <v>0</v>
      </c>
      <c r="B1189">
        <v>2006</v>
      </c>
      <c r="C1189">
        <v>170</v>
      </c>
      <c r="D1189">
        <v>0</v>
      </c>
      <c r="E1189">
        <v>2000</v>
      </c>
      <c r="F1189" s="7">
        <v>65.88</v>
      </c>
      <c r="G1189" s="7">
        <v>13.7</v>
      </c>
      <c r="H1189" s="7">
        <v>0</v>
      </c>
      <c r="I1189" s="7" t="str">
        <f t="shared" si="92"/>
        <v/>
      </c>
      <c r="J1189" s="7" t="str">
        <f t="shared" si="93"/>
        <v/>
      </c>
      <c r="K1189" s="7">
        <v>0</v>
      </c>
      <c r="L1189" s="7" t="str">
        <f t="shared" si="94"/>
        <v/>
      </c>
      <c r="M1189" s="7" t="str">
        <f t="shared" si="95"/>
        <v/>
      </c>
      <c r="N1189" s="7">
        <v>0</v>
      </c>
      <c r="O1189" s="7"/>
      <c r="P1189" s="7"/>
      <c r="Q1189" s="7"/>
      <c r="AC1189"/>
      <c r="AD1189" s="14"/>
    </row>
    <row r="1190" spans="1:30" x14ac:dyDescent="0.25">
      <c r="A1190" t="b">
        <f t="shared" si="96"/>
        <v>0</v>
      </c>
      <c r="B1190">
        <v>2006</v>
      </c>
      <c r="C1190">
        <v>170</v>
      </c>
      <c r="D1190">
        <v>0</v>
      </c>
      <c r="E1190">
        <v>2100</v>
      </c>
      <c r="F1190" s="7">
        <v>12.23</v>
      </c>
      <c r="G1190" s="7">
        <v>13.08</v>
      </c>
      <c r="H1190" s="7">
        <v>0</v>
      </c>
      <c r="I1190" s="7" t="str">
        <f t="shared" si="92"/>
        <v/>
      </c>
      <c r="J1190" s="7" t="str">
        <f t="shared" si="93"/>
        <v/>
      </c>
      <c r="K1190" s="7">
        <v>0</v>
      </c>
      <c r="L1190" s="7" t="str">
        <f t="shared" si="94"/>
        <v/>
      </c>
      <c r="M1190" s="7" t="str">
        <f t="shared" si="95"/>
        <v/>
      </c>
      <c r="N1190" s="7">
        <v>0</v>
      </c>
      <c r="O1190" s="7"/>
      <c r="P1190" s="7"/>
      <c r="Q1190" s="7"/>
      <c r="AC1190"/>
      <c r="AD1190" s="14"/>
    </row>
    <row r="1191" spans="1:30" x14ac:dyDescent="0.25">
      <c r="A1191" t="b">
        <f t="shared" si="96"/>
        <v>0</v>
      </c>
      <c r="B1191">
        <v>2006</v>
      </c>
      <c r="C1191">
        <v>170</v>
      </c>
      <c r="D1191">
        <v>0</v>
      </c>
      <c r="E1191">
        <v>2200</v>
      </c>
      <c r="F1191" s="7">
        <v>-0.69799999999999995</v>
      </c>
      <c r="G1191" s="7">
        <v>12.81</v>
      </c>
      <c r="H1191" s="7">
        <v>0</v>
      </c>
      <c r="I1191" s="7" t="str">
        <f t="shared" si="92"/>
        <v/>
      </c>
      <c r="J1191" s="7" t="str">
        <f t="shared" si="93"/>
        <v/>
      </c>
      <c r="K1191" s="7">
        <v>0</v>
      </c>
      <c r="L1191" s="7" t="str">
        <f t="shared" si="94"/>
        <v/>
      </c>
      <c r="M1191" s="7" t="str">
        <f t="shared" si="95"/>
        <v/>
      </c>
      <c r="N1191" s="7">
        <v>0</v>
      </c>
      <c r="O1191" s="7"/>
      <c r="P1191" s="7"/>
      <c r="Q1191" s="7"/>
      <c r="AC1191"/>
      <c r="AD1191" s="14"/>
    </row>
    <row r="1192" spans="1:30" x14ac:dyDescent="0.25">
      <c r="A1192" t="b">
        <f t="shared" si="96"/>
        <v>0</v>
      </c>
      <c r="B1192">
        <v>2006</v>
      </c>
      <c r="C1192">
        <v>170</v>
      </c>
      <c r="D1192">
        <v>0</v>
      </c>
      <c r="E1192">
        <v>2300</v>
      </c>
      <c r="F1192" s="7">
        <v>-1.145</v>
      </c>
      <c r="G1192" s="7">
        <v>12.43</v>
      </c>
      <c r="H1192" s="7">
        <v>0</v>
      </c>
      <c r="I1192" s="7" t="str">
        <f t="shared" si="92"/>
        <v/>
      </c>
      <c r="J1192" s="7" t="str">
        <f t="shared" si="93"/>
        <v/>
      </c>
      <c r="K1192" s="7">
        <v>0</v>
      </c>
      <c r="L1192" s="7" t="str">
        <f t="shared" si="94"/>
        <v/>
      </c>
      <c r="M1192" s="7" t="str">
        <f t="shared" si="95"/>
        <v/>
      </c>
      <c r="N1192" s="7">
        <v>0</v>
      </c>
      <c r="O1192" s="7"/>
      <c r="P1192" s="7"/>
      <c r="Q1192" s="7"/>
      <c r="AC1192"/>
      <c r="AD1192" s="14"/>
    </row>
    <row r="1193" spans="1:30" x14ac:dyDescent="0.25">
      <c r="A1193" t="b">
        <f t="shared" si="96"/>
        <v>0</v>
      </c>
      <c r="B1193">
        <v>2006</v>
      </c>
      <c r="C1193">
        <v>170</v>
      </c>
      <c r="D1193">
        <v>0</v>
      </c>
      <c r="E1193">
        <v>2400</v>
      </c>
      <c r="F1193" s="7">
        <v>-1.919</v>
      </c>
      <c r="G1193" s="7">
        <v>11.84</v>
      </c>
      <c r="H1193" s="7">
        <v>0</v>
      </c>
      <c r="I1193" s="7" t="str">
        <f t="shared" si="92"/>
        <v/>
      </c>
      <c r="J1193" s="7" t="str">
        <f t="shared" si="93"/>
        <v/>
      </c>
      <c r="K1193" s="7">
        <v>0</v>
      </c>
      <c r="L1193" s="7" t="str">
        <f t="shared" si="94"/>
        <v/>
      </c>
      <c r="M1193" s="7" t="str">
        <f t="shared" si="95"/>
        <v/>
      </c>
      <c r="N1193" s="7">
        <v>0</v>
      </c>
      <c r="O1193" s="7"/>
      <c r="P1193" s="7"/>
      <c r="Q1193" s="7"/>
      <c r="AC1193"/>
      <c r="AD1193" s="14"/>
    </row>
    <row r="1194" spans="1:30" x14ac:dyDescent="0.25">
      <c r="A1194" t="b">
        <f t="shared" si="96"/>
        <v>1</v>
      </c>
      <c r="B1194">
        <v>2006</v>
      </c>
      <c r="C1194">
        <v>171</v>
      </c>
      <c r="D1194">
        <v>0</v>
      </c>
      <c r="E1194">
        <v>100</v>
      </c>
      <c r="F1194" s="7">
        <v>-3.4159999999999999</v>
      </c>
      <c r="G1194" s="7">
        <v>9.94</v>
      </c>
      <c r="H1194" s="7">
        <v>0</v>
      </c>
      <c r="I1194" s="7">
        <f t="shared" si="92"/>
        <v>0</v>
      </c>
      <c r="J1194" s="7">
        <f t="shared" si="93"/>
        <v>112.96208333333335</v>
      </c>
      <c r="K1194" s="7">
        <v>0</v>
      </c>
      <c r="L1194" s="7">
        <f t="shared" si="94"/>
        <v>14.82</v>
      </c>
      <c r="M1194" s="7">
        <f t="shared" si="95"/>
        <v>9.94</v>
      </c>
      <c r="N1194" s="7">
        <v>0</v>
      </c>
      <c r="O1194" s="7"/>
      <c r="P1194" s="7"/>
      <c r="Q1194" s="7"/>
      <c r="AC1194"/>
      <c r="AD1194" s="14"/>
    </row>
    <row r="1195" spans="1:30" x14ac:dyDescent="0.25">
      <c r="A1195" t="b">
        <f t="shared" si="96"/>
        <v>0</v>
      </c>
      <c r="B1195">
        <v>2006</v>
      </c>
      <c r="C1195">
        <v>171</v>
      </c>
      <c r="D1195">
        <v>0</v>
      </c>
      <c r="E1195">
        <v>200</v>
      </c>
      <c r="F1195" s="7">
        <v>-1.6060000000000001</v>
      </c>
      <c r="G1195" s="7">
        <v>10.56</v>
      </c>
      <c r="H1195" s="7">
        <v>0</v>
      </c>
      <c r="I1195" s="7" t="str">
        <f t="shared" si="92"/>
        <v/>
      </c>
      <c r="J1195" s="7" t="str">
        <f t="shared" si="93"/>
        <v/>
      </c>
      <c r="K1195" s="7">
        <v>0</v>
      </c>
      <c r="L1195" s="7" t="str">
        <f t="shared" si="94"/>
        <v/>
      </c>
      <c r="M1195" s="7" t="str">
        <f t="shared" si="95"/>
        <v/>
      </c>
      <c r="N1195" s="7">
        <v>0</v>
      </c>
      <c r="O1195" s="7"/>
      <c r="P1195" s="7"/>
      <c r="Q1195" s="7"/>
      <c r="AC1195"/>
      <c r="AD1195" s="14"/>
    </row>
    <row r="1196" spans="1:30" x14ac:dyDescent="0.25">
      <c r="A1196" t="b">
        <f t="shared" si="96"/>
        <v>0</v>
      </c>
      <c r="B1196">
        <v>2006</v>
      </c>
      <c r="C1196">
        <v>171</v>
      </c>
      <c r="D1196">
        <v>0</v>
      </c>
      <c r="E1196">
        <v>300</v>
      </c>
      <c r="F1196" s="7">
        <v>-1.4430000000000001</v>
      </c>
      <c r="G1196" s="7">
        <v>10.82</v>
      </c>
      <c r="H1196" s="7">
        <v>0</v>
      </c>
      <c r="I1196" s="7" t="str">
        <f t="shared" si="92"/>
        <v/>
      </c>
      <c r="J1196" s="7" t="str">
        <f t="shared" si="93"/>
        <v/>
      </c>
      <c r="K1196" s="7">
        <v>0</v>
      </c>
      <c r="L1196" s="7" t="str">
        <f t="shared" si="94"/>
        <v/>
      </c>
      <c r="M1196" s="7" t="str">
        <f t="shared" si="95"/>
        <v/>
      </c>
      <c r="N1196" s="7">
        <v>0</v>
      </c>
      <c r="O1196" s="7"/>
      <c r="P1196" s="7"/>
      <c r="Q1196" s="7"/>
      <c r="AC1196"/>
      <c r="AD1196" s="14"/>
    </row>
    <row r="1197" spans="1:30" x14ac:dyDescent="0.25">
      <c r="A1197" t="b">
        <f t="shared" si="96"/>
        <v>0</v>
      </c>
      <c r="B1197">
        <v>2006</v>
      </c>
      <c r="C1197">
        <v>171</v>
      </c>
      <c r="D1197">
        <v>0</v>
      </c>
      <c r="E1197">
        <v>400</v>
      </c>
      <c r="F1197" s="7">
        <v>-0.498</v>
      </c>
      <c r="G1197" s="7">
        <v>10.64</v>
      </c>
      <c r="H1197" s="7">
        <v>0</v>
      </c>
      <c r="I1197" s="7" t="str">
        <f t="shared" si="92"/>
        <v/>
      </c>
      <c r="J1197" s="7" t="str">
        <f t="shared" si="93"/>
        <v/>
      </c>
      <c r="K1197" s="7">
        <v>0</v>
      </c>
      <c r="L1197" s="7" t="str">
        <f t="shared" si="94"/>
        <v/>
      </c>
      <c r="M1197" s="7" t="str">
        <f t="shared" si="95"/>
        <v/>
      </c>
      <c r="N1197" s="7">
        <v>0</v>
      </c>
      <c r="O1197" s="7"/>
      <c r="P1197" s="7"/>
      <c r="Q1197" s="7"/>
      <c r="AC1197"/>
      <c r="AD1197" s="14"/>
    </row>
    <row r="1198" spans="1:30" x14ac:dyDescent="0.25">
      <c r="A1198" t="b">
        <f t="shared" si="96"/>
        <v>0</v>
      </c>
      <c r="B1198">
        <v>2006</v>
      </c>
      <c r="C1198">
        <v>171</v>
      </c>
      <c r="D1198">
        <v>0</v>
      </c>
      <c r="E1198">
        <v>500</v>
      </c>
      <c r="F1198" s="7">
        <v>22.92</v>
      </c>
      <c r="G1198" s="7">
        <v>10.96</v>
      </c>
      <c r="H1198" s="7">
        <v>0</v>
      </c>
      <c r="I1198" s="7" t="str">
        <f t="shared" si="92"/>
        <v/>
      </c>
      <c r="J1198" s="7" t="str">
        <f t="shared" si="93"/>
        <v/>
      </c>
      <c r="K1198" s="7">
        <v>0</v>
      </c>
      <c r="L1198" s="7" t="str">
        <f t="shared" si="94"/>
        <v/>
      </c>
      <c r="M1198" s="7" t="str">
        <f t="shared" si="95"/>
        <v/>
      </c>
      <c r="N1198" s="7">
        <v>0</v>
      </c>
      <c r="O1198" s="7"/>
      <c r="P1198" s="7"/>
      <c r="Q1198" s="7"/>
      <c r="AC1198"/>
      <c r="AD1198" s="14"/>
    </row>
    <row r="1199" spans="1:30" x14ac:dyDescent="0.25">
      <c r="A1199" t="b">
        <f t="shared" si="96"/>
        <v>0</v>
      </c>
      <c r="B1199">
        <v>2006</v>
      </c>
      <c r="C1199">
        <v>171</v>
      </c>
      <c r="D1199">
        <v>0</v>
      </c>
      <c r="E1199">
        <v>600</v>
      </c>
      <c r="F1199" s="7">
        <v>70.7</v>
      </c>
      <c r="G1199" s="7">
        <v>11.59</v>
      </c>
      <c r="H1199" s="7">
        <v>0</v>
      </c>
      <c r="I1199" s="7" t="str">
        <f t="shared" si="92"/>
        <v/>
      </c>
      <c r="J1199" s="7" t="str">
        <f t="shared" si="93"/>
        <v/>
      </c>
      <c r="K1199" s="7">
        <v>0</v>
      </c>
      <c r="L1199" s="7" t="str">
        <f t="shared" si="94"/>
        <v/>
      </c>
      <c r="M1199" s="7" t="str">
        <f t="shared" si="95"/>
        <v/>
      </c>
      <c r="N1199" s="7">
        <v>0</v>
      </c>
      <c r="O1199" s="7"/>
      <c r="P1199" s="7"/>
      <c r="Q1199" s="7"/>
      <c r="AC1199"/>
      <c r="AD1199" s="14"/>
    </row>
    <row r="1200" spans="1:30" x14ac:dyDescent="0.25">
      <c r="A1200" t="b">
        <f t="shared" si="96"/>
        <v>0</v>
      </c>
      <c r="B1200">
        <v>2006</v>
      </c>
      <c r="C1200">
        <v>171</v>
      </c>
      <c r="D1200">
        <v>0</v>
      </c>
      <c r="E1200">
        <v>700</v>
      </c>
      <c r="F1200" s="7">
        <v>118</v>
      </c>
      <c r="G1200" s="7">
        <v>12.09</v>
      </c>
      <c r="H1200" s="7">
        <v>0</v>
      </c>
      <c r="I1200" s="7" t="str">
        <f t="shared" si="92"/>
        <v/>
      </c>
      <c r="J1200" s="7" t="str">
        <f t="shared" si="93"/>
        <v/>
      </c>
      <c r="K1200" s="7">
        <v>0</v>
      </c>
      <c r="L1200" s="7" t="str">
        <f t="shared" si="94"/>
        <v/>
      </c>
      <c r="M1200" s="7" t="str">
        <f t="shared" si="95"/>
        <v/>
      </c>
      <c r="N1200" s="7">
        <v>0</v>
      </c>
      <c r="O1200" s="7"/>
      <c r="P1200" s="7"/>
      <c r="Q1200" s="7"/>
      <c r="AC1200"/>
      <c r="AD1200" s="14"/>
    </row>
    <row r="1201" spans="1:30" x14ac:dyDescent="0.25">
      <c r="A1201" t="b">
        <f t="shared" si="96"/>
        <v>0</v>
      </c>
      <c r="B1201">
        <v>2006</v>
      </c>
      <c r="C1201">
        <v>171</v>
      </c>
      <c r="D1201">
        <v>0</v>
      </c>
      <c r="E1201">
        <v>800</v>
      </c>
      <c r="F1201" s="7">
        <v>297.7</v>
      </c>
      <c r="G1201" s="7">
        <v>13.06</v>
      </c>
      <c r="H1201" s="7">
        <v>0</v>
      </c>
      <c r="I1201" s="7" t="str">
        <f t="shared" si="92"/>
        <v/>
      </c>
      <c r="J1201" s="7" t="str">
        <f t="shared" si="93"/>
        <v/>
      </c>
      <c r="K1201" s="7">
        <v>0</v>
      </c>
      <c r="L1201" s="7" t="str">
        <f t="shared" si="94"/>
        <v/>
      </c>
      <c r="M1201" s="7" t="str">
        <f t="shared" si="95"/>
        <v/>
      </c>
      <c r="N1201" s="7">
        <v>0</v>
      </c>
      <c r="O1201" s="7"/>
      <c r="P1201" s="7"/>
      <c r="Q1201" s="7"/>
      <c r="AC1201"/>
      <c r="AD1201" s="14"/>
    </row>
    <row r="1202" spans="1:30" x14ac:dyDescent="0.25">
      <c r="A1202" t="b">
        <f t="shared" si="96"/>
        <v>0</v>
      </c>
      <c r="B1202">
        <v>2006</v>
      </c>
      <c r="C1202">
        <v>171</v>
      </c>
      <c r="D1202">
        <v>0</v>
      </c>
      <c r="E1202">
        <v>900</v>
      </c>
      <c r="F1202" s="7">
        <v>440.5</v>
      </c>
      <c r="G1202" s="7">
        <v>14.13</v>
      </c>
      <c r="H1202" s="7">
        <v>0</v>
      </c>
      <c r="I1202" s="7" t="str">
        <f t="shared" si="92"/>
        <v/>
      </c>
      <c r="J1202" s="7" t="str">
        <f t="shared" si="93"/>
        <v/>
      </c>
      <c r="K1202" s="7">
        <v>0</v>
      </c>
      <c r="L1202" s="7" t="str">
        <f t="shared" si="94"/>
        <v/>
      </c>
      <c r="M1202" s="7" t="str">
        <f t="shared" si="95"/>
        <v/>
      </c>
      <c r="N1202" s="7">
        <v>0</v>
      </c>
      <c r="O1202" s="7"/>
      <c r="P1202" s="7"/>
      <c r="Q1202" s="7"/>
      <c r="AC1202"/>
      <c r="AD1202" s="14"/>
    </row>
    <row r="1203" spans="1:30" x14ac:dyDescent="0.25">
      <c r="A1203" t="b">
        <f t="shared" si="96"/>
        <v>0</v>
      </c>
      <c r="B1203">
        <v>2006</v>
      </c>
      <c r="C1203">
        <v>171</v>
      </c>
      <c r="D1203">
        <v>0</v>
      </c>
      <c r="E1203">
        <v>1000</v>
      </c>
      <c r="F1203" s="7">
        <v>204.2</v>
      </c>
      <c r="G1203" s="7">
        <v>13.27</v>
      </c>
      <c r="H1203" s="7">
        <v>0</v>
      </c>
      <c r="I1203" s="7" t="str">
        <f t="shared" si="92"/>
        <v/>
      </c>
      <c r="J1203" s="7" t="str">
        <f t="shared" si="93"/>
        <v/>
      </c>
      <c r="K1203" s="7">
        <v>0</v>
      </c>
      <c r="L1203" s="7" t="str">
        <f t="shared" si="94"/>
        <v/>
      </c>
      <c r="M1203" s="7" t="str">
        <f t="shared" si="95"/>
        <v/>
      </c>
      <c r="N1203" s="7">
        <v>0</v>
      </c>
      <c r="O1203" s="7"/>
      <c r="P1203" s="7"/>
      <c r="Q1203" s="7"/>
      <c r="AC1203"/>
      <c r="AD1203" s="14"/>
    </row>
    <row r="1204" spans="1:30" x14ac:dyDescent="0.25">
      <c r="A1204" t="b">
        <f t="shared" si="96"/>
        <v>0</v>
      </c>
      <c r="B1204">
        <v>2006</v>
      </c>
      <c r="C1204">
        <v>171</v>
      </c>
      <c r="D1204">
        <v>0</v>
      </c>
      <c r="E1204">
        <v>1100</v>
      </c>
      <c r="F1204" s="7">
        <v>195.5</v>
      </c>
      <c r="G1204" s="7">
        <v>12.2</v>
      </c>
      <c r="H1204" s="7">
        <v>0</v>
      </c>
      <c r="I1204" s="7" t="str">
        <f t="shared" si="92"/>
        <v/>
      </c>
      <c r="J1204" s="7" t="str">
        <f t="shared" si="93"/>
        <v/>
      </c>
      <c r="K1204" s="7">
        <v>0</v>
      </c>
      <c r="L1204" s="7" t="str">
        <f t="shared" si="94"/>
        <v/>
      </c>
      <c r="M1204" s="7" t="str">
        <f t="shared" si="95"/>
        <v/>
      </c>
      <c r="N1204" s="7">
        <v>0</v>
      </c>
      <c r="O1204" s="7"/>
      <c r="P1204" s="7"/>
      <c r="Q1204" s="7"/>
      <c r="AC1204"/>
      <c r="AD1204" s="14"/>
    </row>
    <row r="1205" spans="1:30" x14ac:dyDescent="0.25">
      <c r="A1205" t="b">
        <f t="shared" si="96"/>
        <v>0</v>
      </c>
      <c r="B1205">
        <v>2006</v>
      </c>
      <c r="C1205">
        <v>171</v>
      </c>
      <c r="D1205">
        <v>0</v>
      </c>
      <c r="E1205">
        <v>1200</v>
      </c>
      <c r="F1205" s="7">
        <v>185.6</v>
      </c>
      <c r="G1205" s="7">
        <v>12.5</v>
      </c>
      <c r="H1205" s="7">
        <v>0</v>
      </c>
      <c r="I1205" s="7" t="str">
        <f t="shared" si="92"/>
        <v/>
      </c>
      <c r="J1205" s="7" t="str">
        <f t="shared" si="93"/>
        <v/>
      </c>
      <c r="K1205" s="7">
        <v>0</v>
      </c>
      <c r="L1205" s="7" t="str">
        <f t="shared" si="94"/>
        <v/>
      </c>
      <c r="M1205" s="7" t="str">
        <f t="shared" si="95"/>
        <v/>
      </c>
      <c r="N1205" s="7">
        <v>0</v>
      </c>
      <c r="O1205" s="7"/>
      <c r="P1205" s="7"/>
      <c r="Q1205" s="7"/>
      <c r="AC1205"/>
      <c r="AD1205" s="14"/>
    </row>
    <row r="1206" spans="1:30" x14ac:dyDescent="0.25">
      <c r="A1206" t="b">
        <f t="shared" si="96"/>
        <v>0</v>
      </c>
      <c r="B1206">
        <v>2006</v>
      </c>
      <c r="C1206">
        <v>171</v>
      </c>
      <c r="D1206">
        <v>0</v>
      </c>
      <c r="E1206">
        <v>1300</v>
      </c>
      <c r="F1206" s="7">
        <v>138.4</v>
      </c>
      <c r="G1206" s="7">
        <v>12.72</v>
      </c>
      <c r="H1206" s="7">
        <v>0</v>
      </c>
      <c r="I1206" s="7" t="str">
        <f t="shared" si="92"/>
        <v/>
      </c>
      <c r="J1206" s="7" t="str">
        <f t="shared" si="93"/>
        <v/>
      </c>
      <c r="K1206" s="7">
        <v>0</v>
      </c>
      <c r="L1206" s="7" t="str">
        <f t="shared" si="94"/>
        <v/>
      </c>
      <c r="M1206" s="7" t="str">
        <f t="shared" si="95"/>
        <v/>
      </c>
      <c r="N1206" s="7">
        <v>0</v>
      </c>
      <c r="O1206" s="7"/>
      <c r="P1206" s="7"/>
      <c r="Q1206" s="7"/>
      <c r="AC1206"/>
      <c r="AD1206" s="14"/>
    </row>
    <row r="1207" spans="1:30" x14ac:dyDescent="0.25">
      <c r="A1207" t="b">
        <f t="shared" si="96"/>
        <v>0</v>
      </c>
      <c r="B1207">
        <v>2006</v>
      </c>
      <c r="C1207">
        <v>171</v>
      </c>
      <c r="D1207">
        <v>0</v>
      </c>
      <c r="E1207">
        <v>1400</v>
      </c>
      <c r="F1207" s="7">
        <v>95</v>
      </c>
      <c r="G1207" s="7">
        <v>13.04</v>
      </c>
      <c r="H1207" s="7">
        <v>0</v>
      </c>
      <c r="I1207" s="7" t="str">
        <f t="shared" si="92"/>
        <v/>
      </c>
      <c r="J1207" s="7" t="str">
        <f t="shared" si="93"/>
        <v/>
      </c>
      <c r="K1207" s="7">
        <v>0</v>
      </c>
      <c r="L1207" s="7" t="str">
        <f t="shared" si="94"/>
        <v/>
      </c>
      <c r="M1207" s="7" t="str">
        <f t="shared" si="95"/>
        <v/>
      </c>
      <c r="N1207" s="7">
        <v>0</v>
      </c>
      <c r="O1207" s="7"/>
      <c r="P1207" s="7"/>
      <c r="Q1207" s="7"/>
      <c r="AC1207"/>
      <c r="AD1207" s="14"/>
    </row>
    <row r="1208" spans="1:30" x14ac:dyDescent="0.25">
      <c r="A1208" t="b">
        <f t="shared" si="96"/>
        <v>0</v>
      </c>
      <c r="B1208">
        <v>2006</v>
      </c>
      <c r="C1208">
        <v>171</v>
      </c>
      <c r="D1208">
        <v>0</v>
      </c>
      <c r="E1208">
        <v>1500</v>
      </c>
      <c r="F1208" s="7">
        <v>97.9</v>
      </c>
      <c r="G1208" s="7">
        <v>14.03</v>
      </c>
      <c r="H1208" s="7">
        <v>0</v>
      </c>
      <c r="I1208" s="7" t="str">
        <f t="shared" si="92"/>
        <v/>
      </c>
      <c r="J1208" s="7" t="str">
        <f t="shared" si="93"/>
        <v/>
      </c>
      <c r="K1208" s="7">
        <v>0</v>
      </c>
      <c r="L1208" s="7" t="str">
        <f t="shared" si="94"/>
        <v/>
      </c>
      <c r="M1208" s="7" t="str">
        <f t="shared" si="95"/>
        <v/>
      </c>
      <c r="N1208" s="7">
        <v>0</v>
      </c>
      <c r="O1208" s="7"/>
      <c r="P1208" s="7"/>
      <c r="Q1208" s="7"/>
      <c r="AC1208"/>
      <c r="AD1208" s="14"/>
    </row>
    <row r="1209" spans="1:30" x14ac:dyDescent="0.25">
      <c r="A1209" t="b">
        <f t="shared" si="96"/>
        <v>0</v>
      </c>
      <c r="B1209">
        <v>2006</v>
      </c>
      <c r="C1209">
        <v>171</v>
      </c>
      <c r="D1209">
        <v>0</v>
      </c>
      <c r="E1209">
        <v>1600</v>
      </c>
      <c r="F1209" s="7">
        <v>123.5</v>
      </c>
      <c r="G1209" s="7">
        <v>14.82</v>
      </c>
      <c r="H1209" s="7">
        <v>0</v>
      </c>
      <c r="I1209" s="7" t="str">
        <f t="shared" si="92"/>
        <v/>
      </c>
      <c r="J1209" s="7" t="str">
        <f t="shared" si="93"/>
        <v/>
      </c>
      <c r="K1209" s="7">
        <v>0</v>
      </c>
      <c r="L1209" s="7" t="str">
        <f t="shared" si="94"/>
        <v/>
      </c>
      <c r="M1209" s="7" t="str">
        <f t="shared" si="95"/>
        <v/>
      </c>
      <c r="N1209" s="7">
        <v>0</v>
      </c>
      <c r="O1209" s="7"/>
      <c r="P1209" s="7"/>
      <c r="Q1209" s="7"/>
      <c r="AC1209"/>
      <c r="AD1209" s="14"/>
    </row>
    <row r="1210" spans="1:30" x14ac:dyDescent="0.25">
      <c r="A1210" t="b">
        <f t="shared" si="96"/>
        <v>0</v>
      </c>
      <c r="B1210">
        <v>2006</v>
      </c>
      <c r="C1210">
        <v>171</v>
      </c>
      <c r="D1210">
        <v>0</v>
      </c>
      <c r="E1210">
        <v>1700</v>
      </c>
      <c r="F1210" s="7">
        <v>248.5</v>
      </c>
      <c r="G1210" s="7">
        <v>14.4</v>
      </c>
      <c r="H1210" s="7">
        <v>0</v>
      </c>
      <c r="I1210" s="7" t="str">
        <f t="shared" si="92"/>
        <v/>
      </c>
      <c r="J1210" s="7" t="str">
        <f t="shared" si="93"/>
        <v/>
      </c>
      <c r="K1210" s="7">
        <v>0</v>
      </c>
      <c r="L1210" s="7" t="str">
        <f t="shared" si="94"/>
        <v/>
      </c>
      <c r="M1210" s="7" t="str">
        <f t="shared" si="95"/>
        <v/>
      </c>
      <c r="N1210" s="7">
        <v>0</v>
      </c>
      <c r="O1210" s="7"/>
      <c r="P1210" s="7"/>
      <c r="Q1210" s="7"/>
      <c r="AC1210"/>
      <c r="AD1210" s="14"/>
    </row>
    <row r="1211" spans="1:30" x14ac:dyDescent="0.25">
      <c r="A1211" t="b">
        <f t="shared" si="96"/>
        <v>0</v>
      </c>
      <c r="B1211">
        <v>2006</v>
      </c>
      <c r="C1211">
        <v>171</v>
      </c>
      <c r="D1211">
        <v>0</v>
      </c>
      <c r="E1211">
        <v>1800</v>
      </c>
      <c r="F1211" s="7">
        <v>149.5</v>
      </c>
      <c r="G1211" s="7">
        <v>13.38</v>
      </c>
      <c r="H1211" s="7">
        <v>0</v>
      </c>
      <c r="I1211" s="7" t="str">
        <f t="shared" si="92"/>
        <v/>
      </c>
      <c r="J1211" s="7" t="str">
        <f t="shared" si="93"/>
        <v/>
      </c>
      <c r="K1211" s="7">
        <v>0</v>
      </c>
      <c r="L1211" s="7" t="str">
        <f t="shared" si="94"/>
        <v/>
      </c>
      <c r="M1211" s="7" t="str">
        <f t="shared" si="95"/>
        <v/>
      </c>
      <c r="N1211" s="7">
        <v>0</v>
      </c>
      <c r="O1211" s="7"/>
      <c r="P1211" s="7"/>
      <c r="Q1211" s="7"/>
      <c r="AC1211"/>
      <c r="AD1211" s="14"/>
    </row>
    <row r="1212" spans="1:30" x14ac:dyDescent="0.25">
      <c r="A1212" t="b">
        <f t="shared" si="96"/>
        <v>0</v>
      </c>
      <c r="B1212">
        <v>2006</v>
      </c>
      <c r="C1212">
        <v>171</v>
      </c>
      <c r="D1212">
        <v>0</v>
      </c>
      <c r="E1212">
        <v>1900</v>
      </c>
      <c r="F1212" s="7">
        <v>206.9</v>
      </c>
      <c r="G1212" s="7">
        <v>13.6</v>
      </c>
      <c r="H1212" s="7">
        <v>0</v>
      </c>
      <c r="I1212" s="7" t="str">
        <f t="shared" si="92"/>
        <v/>
      </c>
      <c r="J1212" s="7" t="str">
        <f t="shared" si="93"/>
        <v/>
      </c>
      <c r="K1212" s="7">
        <v>0</v>
      </c>
      <c r="L1212" s="7" t="str">
        <f t="shared" si="94"/>
        <v/>
      </c>
      <c r="M1212" s="7" t="str">
        <f t="shared" si="95"/>
        <v/>
      </c>
      <c r="N1212" s="7">
        <v>0</v>
      </c>
      <c r="O1212" s="7"/>
      <c r="P1212" s="7"/>
      <c r="Q1212" s="7"/>
      <c r="AC1212"/>
      <c r="AD1212" s="14"/>
    </row>
    <row r="1213" spans="1:30" x14ac:dyDescent="0.25">
      <c r="A1213" t="b">
        <f t="shared" si="96"/>
        <v>0</v>
      </c>
      <c r="B1213">
        <v>2006</v>
      </c>
      <c r="C1213">
        <v>171</v>
      </c>
      <c r="D1213">
        <v>0</v>
      </c>
      <c r="E1213">
        <v>2000</v>
      </c>
      <c r="F1213" s="7">
        <v>104.6</v>
      </c>
      <c r="G1213" s="7">
        <v>13.13</v>
      </c>
      <c r="H1213" s="7">
        <v>0</v>
      </c>
      <c r="I1213" s="7" t="str">
        <f t="shared" si="92"/>
        <v/>
      </c>
      <c r="J1213" s="7" t="str">
        <f t="shared" si="93"/>
        <v/>
      </c>
      <c r="K1213" s="7">
        <v>0</v>
      </c>
      <c r="L1213" s="7" t="str">
        <f t="shared" si="94"/>
        <v/>
      </c>
      <c r="M1213" s="7" t="str">
        <f t="shared" si="95"/>
        <v/>
      </c>
      <c r="N1213" s="7">
        <v>0</v>
      </c>
      <c r="O1213" s="7"/>
      <c r="P1213" s="7"/>
      <c r="Q1213" s="7"/>
      <c r="AC1213"/>
      <c r="AD1213" s="14"/>
    </row>
    <row r="1214" spans="1:30" x14ac:dyDescent="0.25">
      <c r="A1214" t="b">
        <f t="shared" si="96"/>
        <v>0</v>
      </c>
      <c r="B1214">
        <v>2006</v>
      </c>
      <c r="C1214">
        <v>171</v>
      </c>
      <c r="D1214">
        <v>0</v>
      </c>
      <c r="E1214">
        <v>2100</v>
      </c>
      <c r="F1214" s="7">
        <v>22.8</v>
      </c>
      <c r="G1214" s="7">
        <v>11.92</v>
      </c>
      <c r="H1214" s="7">
        <v>0</v>
      </c>
      <c r="I1214" s="7" t="str">
        <f t="shared" si="92"/>
        <v/>
      </c>
      <c r="J1214" s="7" t="str">
        <f t="shared" si="93"/>
        <v/>
      </c>
      <c r="K1214" s="7">
        <v>0</v>
      </c>
      <c r="L1214" s="7" t="str">
        <f t="shared" si="94"/>
        <v/>
      </c>
      <c r="M1214" s="7" t="str">
        <f t="shared" si="95"/>
        <v/>
      </c>
      <c r="N1214" s="7">
        <v>0</v>
      </c>
      <c r="O1214" s="7"/>
      <c r="P1214" s="7"/>
      <c r="Q1214" s="7"/>
      <c r="AC1214"/>
      <c r="AD1214" s="14"/>
    </row>
    <row r="1215" spans="1:30" x14ac:dyDescent="0.25">
      <c r="A1215" t="b">
        <f t="shared" si="96"/>
        <v>0</v>
      </c>
      <c r="B1215">
        <v>2006</v>
      </c>
      <c r="C1215">
        <v>171</v>
      </c>
      <c r="D1215">
        <v>0</v>
      </c>
      <c r="E1215">
        <v>2200</v>
      </c>
      <c r="F1215" s="7">
        <v>-0.77600000000000002</v>
      </c>
      <c r="G1215" s="7">
        <v>11.26</v>
      </c>
      <c r="H1215" s="7">
        <v>0</v>
      </c>
      <c r="I1215" s="7" t="str">
        <f t="shared" si="92"/>
        <v/>
      </c>
      <c r="J1215" s="7" t="str">
        <f t="shared" si="93"/>
        <v/>
      </c>
      <c r="K1215" s="7">
        <v>0</v>
      </c>
      <c r="L1215" s="7" t="str">
        <f t="shared" si="94"/>
        <v/>
      </c>
      <c r="M1215" s="7" t="str">
        <f t="shared" si="95"/>
        <v/>
      </c>
      <c r="N1215" s="7">
        <v>0</v>
      </c>
      <c r="O1215" s="7"/>
      <c r="P1215" s="7"/>
      <c r="Q1215" s="7"/>
      <c r="AC1215"/>
      <c r="AD1215" s="14"/>
    </row>
    <row r="1216" spans="1:30" x14ac:dyDescent="0.25">
      <c r="A1216" t="b">
        <f t="shared" si="96"/>
        <v>0</v>
      </c>
      <c r="B1216">
        <v>2006</v>
      </c>
      <c r="C1216">
        <v>171</v>
      </c>
      <c r="D1216">
        <v>0</v>
      </c>
      <c r="E1216">
        <v>2300</v>
      </c>
      <c r="F1216" s="7">
        <v>-2.0419999999999998</v>
      </c>
      <c r="G1216" s="7">
        <v>10.3</v>
      </c>
      <c r="H1216" s="7">
        <v>0</v>
      </c>
      <c r="I1216" s="7" t="str">
        <f t="shared" si="92"/>
        <v/>
      </c>
      <c r="J1216" s="7" t="str">
        <f t="shared" si="93"/>
        <v/>
      </c>
      <c r="K1216" s="7">
        <v>0</v>
      </c>
      <c r="L1216" s="7" t="str">
        <f t="shared" si="94"/>
        <v/>
      </c>
      <c r="M1216" s="7" t="str">
        <f t="shared" si="95"/>
        <v/>
      </c>
      <c r="N1216" s="7">
        <v>0</v>
      </c>
      <c r="O1216" s="7"/>
      <c r="P1216" s="7"/>
      <c r="Q1216" s="7"/>
      <c r="AC1216"/>
      <c r="AD1216" s="14"/>
    </row>
    <row r="1217" spans="1:30" x14ac:dyDescent="0.25">
      <c r="A1217" t="b">
        <f t="shared" si="96"/>
        <v>0</v>
      </c>
      <c r="B1217">
        <v>2006</v>
      </c>
      <c r="C1217">
        <v>171</v>
      </c>
      <c r="D1217">
        <v>0</v>
      </c>
      <c r="E1217">
        <v>2400</v>
      </c>
      <c r="F1217" s="7">
        <v>-1.349</v>
      </c>
      <c r="G1217" s="7">
        <v>10.3</v>
      </c>
      <c r="H1217" s="7">
        <v>0</v>
      </c>
      <c r="I1217" s="7" t="str">
        <f t="shared" si="92"/>
        <v/>
      </c>
      <c r="J1217" s="7" t="str">
        <f t="shared" si="93"/>
        <v/>
      </c>
      <c r="K1217" s="7">
        <v>0</v>
      </c>
      <c r="L1217" s="7" t="str">
        <f t="shared" si="94"/>
        <v/>
      </c>
      <c r="M1217" s="7" t="str">
        <f t="shared" si="95"/>
        <v/>
      </c>
      <c r="N1217" s="7">
        <v>0</v>
      </c>
      <c r="O1217" s="7"/>
      <c r="P1217" s="7"/>
      <c r="Q1217" s="7"/>
      <c r="AC1217"/>
      <c r="AD1217" s="14"/>
    </row>
    <row r="1218" spans="1:30" x14ac:dyDescent="0.25">
      <c r="A1218" t="b">
        <f t="shared" si="96"/>
        <v>1</v>
      </c>
      <c r="B1218">
        <v>2006</v>
      </c>
      <c r="C1218">
        <v>172</v>
      </c>
      <c r="D1218">
        <v>0</v>
      </c>
      <c r="E1218">
        <v>100</v>
      </c>
      <c r="F1218" s="7">
        <v>-1.4239999999999999</v>
      </c>
      <c r="G1218" s="7">
        <v>9.99</v>
      </c>
      <c r="H1218" s="7">
        <v>0</v>
      </c>
      <c r="I1218" s="7">
        <f t="shared" ref="I1218:I1281" si="97">IF(AND(B1218=B1217,C1218=C1217),"",SUMIFS($H$2:$H$1529,$B$2:$B$1529,B1218,$C$2:$C$1529,C1218))</f>
        <v>15.200000000000001</v>
      </c>
      <c r="J1218" s="7">
        <f t="shared" ref="J1218:J1281" si="98">IF(AND(B1218=B1217,C1218=C1217),"",AVERAGEIFS($F$2:$F$1529,$B$2:$B$1529,B1218,$C$2:$C$1529,C1218))</f>
        <v>196.52741666666668</v>
      </c>
      <c r="K1218" s="7">
        <v>0</v>
      </c>
      <c r="L1218" s="7">
        <f t="shared" ref="L1218:L1281" si="99">IF(AND(B1218=B1217,C1218=C1217),"",_xlfn.MAXIFS($G$2:$G$1529,$B$2:$B$1529,B1218,$C$2:$C$1529,C1218))</f>
        <v>14.15</v>
      </c>
      <c r="M1218" s="7">
        <f t="shared" ref="M1218:M1281" si="100">IF(AND(B1218=B1217,C1218=C1217),"",_xlfn.MINIFS($G$2:$G$1529,$B$2:$B$1529,B1218,$C$2:$C$1529,C1218))</f>
        <v>9.42</v>
      </c>
      <c r="N1218" s="7">
        <v>0</v>
      </c>
      <c r="O1218" s="7"/>
      <c r="P1218" s="7"/>
      <c r="Q1218" s="7"/>
      <c r="AC1218"/>
      <c r="AD1218" s="14"/>
    </row>
    <row r="1219" spans="1:30" x14ac:dyDescent="0.25">
      <c r="A1219" t="b">
        <f t="shared" ref="A1219:A1282" si="101">NOT(I1219="")</f>
        <v>0</v>
      </c>
      <c r="B1219">
        <v>2006</v>
      </c>
      <c r="C1219">
        <v>172</v>
      </c>
      <c r="D1219">
        <v>0</v>
      </c>
      <c r="E1219">
        <v>200</v>
      </c>
      <c r="F1219" s="7">
        <v>-1.3939999999999999</v>
      </c>
      <c r="G1219" s="7">
        <v>9.94</v>
      </c>
      <c r="H1219" s="7">
        <v>0</v>
      </c>
      <c r="I1219" s="7" t="str">
        <f t="shared" si="97"/>
        <v/>
      </c>
      <c r="J1219" s="7" t="str">
        <f t="shared" si="98"/>
        <v/>
      </c>
      <c r="K1219" s="7">
        <v>0</v>
      </c>
      <c r="L1219" s="7" t="str">
        <f t="shared" si="99"/>
        <v/>
      </c>
      <c r="M1219" s="7" t="str">
        <f t="shared" si="100"/>
        <v/>
      </c>
      <c r="N1219" s="7">
        <v>0</v>
      </c>
      <c r="O1219" s="7"/>
      <c r="P1219" s="7"/>
      <c r="Q1219" s="7"/>
      <c r="AC1219"/>
      <c r="AD1219" s="14"/>
    </row>
    <row r="1220" spans="1:30" x14ac:dyDescent="0.25">
      <c r="A1220" t="b">
        <f t="shared" si="101"/>
        <v>0</v>
      </c>
      <c r="B1220">
        <v>2006</v>
      </c>
      <c r="C1220">
        <v>172</v>
      </c>
      <c r="D1220">
        <v>0</v>
      </c>
      <c r="E1220">
        <v>300</v>
      </c>
      <c r="F1220" s="7">
        <v>-1.347</v>
      </c>
      <c r="G1220" s="7">
        <v>9.69</v>
      </c>
      <c r="H1220" s="7">
        <v>0</v>
      </c>
      <c r="I1220" s="7" t="str">
        <f t="shared" si="97"/>
        <v/>
      </c>
      <c r="J1220" s="7" t="str">
        <f t="shared" si="98"/>
        <v/>
      </c>
      <c r="K1220" s="7">
        <v>0</v>
      </c>
      <c r="L1220" s="7" t="str">
        <f t="shared" si="99"/>
        <v/>
      </c>
      <c r="M1220" s="7" t="str">
        <f t="shared" si="100"/>
        <v/>
      </c>
      <c r="N1220" s="7">
        <v>0</v>
      </c>
      <c r="O1220" s="7"/>
      <c r="P1220" s="7"/>
      <c r="Q1220" s="7"/>
      <c r="AC1220"/>
      <c r="AD1220" s="14"/>
    </row>
    <row r="1221" spans="1:30" x14ac:dyDescent="0.25">
      <c r="A1221" t="b">
        <f t="shared" si="101"/>
        <v>0</v>
      </c>
      <c r="B1221">
        <v>2006</v>
      </c>
      <c r="C1221">
        <v>172</v>
      </c>
      <c r="D1221">
        <v>0</v>
      </c>
      <c r="E1221">
        <v>400</v>
      </c>
      <c r="F1221" s="7">
        <v>0.10299999999999999</v>
      </c>
      <c r="G1221" s="7">
        <v>9.42</v>
      </c>
      <c r="H1221" s="7">
        <v>0</v>
      </c>
      <c r="I1221" s="7" t="str">
        <f t="shared" si="97"/>
        <v/>
      </c>
      <c r="J1221" s="7" t="str">
        <f t="shared" si="98"/>
        <v/>
      </c>
      <c r="K1221" s="7">
        <v>0</v>
      </c>
      <c r="L1221" s="7" t="str">
        <f t="shared" si="99"/>
        <v/>
      </c>
      <c r="M1221" s="7" t="str">
        <f t="shared" si="100"/>
        <v/>
      </c>
      <c r="N1221" s="7">
        <v>0</v>
      </c>
      <c r="O1221" s="7"/>
      <c r="P1221" s="7"/>
      <c r="Q1221" s="7"/>
      <c r="AC1221"/>
      <c r="AD1221" s="14"/>
    </row>
    <row r="1222" spans="1:30" x14ac:dyDescent="0.25">
      <c r="A1222" t="b">
        <f t="shared" si="101"/>
        <v>0</v>
      </c>
      <c r="B1222">
        <v>2006</v>
      </c>
      <c r="C1222">
        <v>172</v>
      </c>
      <c r="D1222">
        <v>0</v>
      </c>
      <c r="E1222">
        <v>500</v>
      </c>
      <c r="F1222" s="7">
        <v>24.99</v>
      </c>
      <c r="G1222" s="7">
        <v>9.67</v>
      </c>
      <c r="H1222" s="7">
        <v>0</v>
      </c>
      <c r="I1222" s="7" t="str">
        <f t="shared" si="97"/>
        <v/>
      </c>
      <c r="J1222" s="7" t="str">
        <f t="shared" si="98"/>
        <v/>
      </c>
      <c r="K1222" s="7">
        <v>0</v>
      </c>
      <c r="L1222" s="7" t="str">
        <f t="shared" si="99"/>
        <v/>
      </c>
      <c r="M1222" s="7" t="str">
        <f t="shared" si="100"/>
        <v/>
      </c>
      <c r="N1222" s="7">
        <v>0</v>
      </c>
      <c r="O1222" s="7"/>
      <c r="P1222" s="7"/>
      <c r="Q1222" s="7"/>
      <c r="AC1222"/>
      <c r="AD1222" s="14"/>
    </row>
    <row r="1223" spans="1:30" x14ac:dyDescent="0.25">
      <c r="A1223" t="b">
        <f t="shared" si="101"/>
        <v>0</v>
      </c>
      <c r="B1223">
        <v>2006</v>
      </c>
      <c r="C1223">
        <v>172</v>
      </c>
      <c r="D1223">
        <v>0</v>
      </c>
      <c r="E1223">
        <v>600</v>
      </c>
      <c r="F1223" s="7">
        <v>67.930000000000007</v>
      </c>
      <c r="G1223" s="7">
        <v>10.07</v>
      </c>
      <c r="H1223" s="7">
        <v>0</v>
      </c>
      <c r="I1223" s="7" t="str">
        <f t="shared" si="97"/>
        <v/>
      </c>
      <c r="J1223" s="7" t="str">
        <f t="shared" si="98"/>
        <v/>
      </c>
      <c r="K1223" s="7">
        <v>0</v>
      </c>
      <c r="L1223" s="7" t="str">
        <f t="shared" si="99"/>
        <v/>
      </c>
      <c r="M1223" s="7" t="str">
        <f t="shared" si="100"/>
        <v/>
      </c>
      <c r="N1223" s="7">
        <v>0</v>
      </c>
      <c r="O1223" s="7"/>
      <c r="P1223" s="7"/>
      <c r="Q1223" s="7"/>
      <c r="AC1223"/>
      <c r="AD1223" s="14"/>
    </row>
    <row r="1224" spans="1:30" x14ac:dyDescent="0.25">
      <c r="A1224" t="b">
        <f t="shared" si="101"/>
        <v>0</v>
      </c>
      <c r="B1224">
        <v>2006</v>
      </c>
      <c r="C1224">
        <v>172</v>
      </c>
      <c r="D1224">
        <v>0</v>
      </c>
      <c r="E1224">
        <v>700</v>
      </c>
      <c r="F1224" s="7">
        <v>183.5</v>
      </c>
      <c r="G1224" s="7">
        <v>10.44</v>
      </c>
      <c r="H1224" s="7">
        <v>0</v>
      </c>
      <c r="I1224" s="7" t="str">
        <f t="shared" si="97"/>
        <v/>
      </c>
      <c r="J1224" s="7" t="str">
        <f t="shared" si="98"/>
        <v/>
      </c>
      <c r="K1224" s="7">
        <v>0</v>
      </c>
      <c r="L1224" s="7" t="str">
        <f t="shared" si="99"/>
        <v/>
      </c>
      <c r="M1224" s="7" t="str">
        <f t="shared" si="100"/>
        <v/>
      </c>
      <c r="N1224" s="7">
        <v>0</v>
      </c>
      <c r="O1224" s="7"/>
      <c r="P1224" s="7"/>
      <c r="Q1224" s="7"/>
      <c r="AC1224"/>
      <c r="AD1224" s="14"/>
    </row>
    <row r="1225" spans="1:30" x14ac:dyDescent="0.25">
      <c r="A1225" t="b">
        <f t="shared" si="101"/>
        <v>0</v>
      </c>
      <c r="B1225">
        <v>2006</v>
      </c>
      <c r="C1225">
        <v>172</v>
      </c>
      <c r="D1225">
        <v>0</v>
      </c>
      <c r="E1225">
        <v>800</v>
      </c>
      <c r="F1225" s="7">
        <v>262.10000000000002</v>
      </c>
      <c r="G1225" s="7">
        <v>11.29</v>
      </c>
      <c r="H1225" s="7">
        <v>0</v>
      </c>
      <c r="I1225" s="7" t="str">
        <f t="shared" si="97"/>
        <v/>
      </c>
      <c r="J1225" s="7" t="str">
        <f t="shared" si="98"/>
        <v/>
      </c>
      <c r="K1225" s="7">
        <v>0</v>
      </c>
      <c r="L1225" s="7" t="str">
        <f t="shared" si="99"/>
        <v/>
      </c>
      <c r="M1225" s="7" t="str">
        <f t="shared" si="100"/>
        <v/>
      </c>
      <c r="N1225" s="7">
        <v>0</v>
      </c>
      <c r="O1225" s="7"/>
      <c r="P1225" s="7"/>
      <c r="Q1225" s="7"/>
      <c r="AC1225"/>
      <c r="AD1225" s="14"/>
    </row>
    <row r="1226" spans="1:30" x14ac:dyDescent="0.25">
      <c r="A1226" t="b">
        <f t="shared" si="101"/>
        <v>0</v>
      </c>
      <c r="B1226">
        <v>2006</v>
      </c>
      <c r="C1226">
        <v>172</v>
      </c>
      <c r="D1226">
        <v>0</v>
      </c>
      <c r="E1226">
        <v>900</v>
      </c>
      <c r="F1226" s="7">
        <v>305.3</v>
      </c>
      <c r="G1226" s="7">
        <v>11.46</v>
      </c>
      <c r="H1226" s="7">
        <v>0</v>
      </c>
      <c r="I1226" s="7" t="str">
        <f t="shared" si="97"/>
        <v/>
      </c>
      <c r="J1226" s="7" t="str">
        <f t="shared" si="98"/>
        <v/>
      </c>
      <c r="K1226" s="7">
        <v>0</v>
      </c>
      <c r="L1226" s="7" t="str">
        <f t="shared" si="99"/>
        <v/>
      </c>
      <c r="M1226" s="7" t="str">
        <f t="shared" si="100"/>
        <v/>
      </c>
      <c r="N1226" s="7">
        <v>0</v>
      </c>
      <c r="O1226" s="7"/>
      <c r="P1226" s="7"/>
      <c r="Q1226" s="7"/>
      <c r="AC1226"/>
      <c r="AD1226" s="14"/>
    </row>
    <row r="1227" spans="1:30" x14ac:dyDescent="0.25">
      <c r="A1227" t="b">
        <f t="shared" si="101"/>
        <v>0</v>
      </c>
      <c r="B1227">
        <v>2006</v>
      </c>
      <c r="C1227">
        <v>172</v>
      </c>
      <c r="D1227">
        <v>0</v>
      </c>
      <c r="E1227">
        <v>1000</v>
      </c>
      <c r="F1227" s="7">
        <v>320.60000000000002</v>
      </c>
      <c r="G1227" s="7">
        <v>12.08</v>
      </c>
      <c r="H1227" s="7">
        <v>13.8</v>
      </c>
      <c r="I1227" s="7" t="str">
        <f t="shared" si="97"/>
        <v/>
      </c>
      <c r="J1227" s="7" t="str">
        <f t="shared" si="98"/>
        <v/>
      </c>
      <c r="K1227" s="7">
        <v>0</v>
      </c>
      <c r="L1227" s="7" t="str">
        <f t="shared" si="99"/>
        <v/>
      </c>
      <c r="M1227" s="7" t="str">
        <f t="shared" si="100"/>
        <v/>
      </c>
      <c r="N1227" s="7">
        <v>0</v>
      </c>
      <c r="O1227" s="7"/>
      <c r="P1227" s="7"/>
      <c r="Q1227" s="7"/>
      <c r="AC1227"/>
      <c r="AD1227" s="14"/>
    </row>
    <row r="1228" spans="1:30" x14ac:dyDescent="0.25">
      <c r="A1228" t="b">
        <f t="shared" si="101"/>
        <v>0</v>
      </c>
      <c r="B1228">
        <v>2006</v>
      </c>
      <c r="C1228">
        <v>172</v>
      </c>
      <c r="D1228">
        <v>0</v>
      </c>
      <c r="E1228">
        <v>1100</v>
      </c>
      <c r="F1228" s="7">
        <v>389.4</v>
      </c>
      <c r="G1228" s="7">
        <v>11.68</v>
      </c>
      <c r="H1228" s="7">
        <v>0</v>
      </c>
      <c r="I1228" s="7" t="str">
        <f t="shared" si="97"/>
        <v/>
      </c>
      <c r="J1228" s="7" t="str">
        <f t="shared" si="98"/>
        <v/>
      </c>
      <c r="K1228" s="7">
        <v>0</v>
      </c>
      <c r="L1228" s="7" t="str">
        <f t="shared" si="99"/>
        <v/>
      </c>
      <c r="M1228" s="7" t="str">
        <f t="shared" si="100"/>
        <v/>
      </c>
      <c r="N1228" s="7">
        <v>0</v>
      </c>
      <c r="O1228" s="7"/>
      <c r="P1228" s="7"/>
      <c r="Q1228" s="7"/>
      <c r="AC1228"/>
      <c r="AD1228" s="14"/>
    </row>
    <row r="1229" spans="1:30" x14ac:dyDescent="0.25">
      <c r="A1229" t="b">
        <f t="shared" si="101"/>
        <v>0</v>
      </c>
      <c r="B1229">
        <v>2006</v>
      </c>
      <c r="C1229">
        <v>172</v>
      </c>
      <c r="D1229">
        <v>0</v>
      </c>
      <c r="E1229">
        <v>1200</v>
      </c>
      <c r="F1229" s="7">
        <v>610.6</v>
      </c>
      <c r="G1229" s="7">
        <v>11.53</v>
      </c>
      <c r="H1229" s="7">
        <v>1.4</v>
      </c>
      <c r="I1229" s="7" t="str">
        <f t="shared" si="97"/>
        <v/>
      </c>
      <c r="J1229" s="7" t="str">
        <f t="shared" si="98"/>
        <v/>
      </c>
      <c r="K1229" s="7">
        <v>0</v>
      </c>
      <c r="L1229" s="7" t="str">
        <f t="shared" si="99"/>
        <v/>
      </c>
      <c r="M1229" s="7" t="str">
        <f t="shared" si="100"/>
        <v/>
      </c>
      <c r="N1229" s="7">
        <v>0</v>
      </c>
      <c r="O1229" s="7"/>
      <c r="P1229" s="7"/>
      <c r="Q1229" s="7"/>
      <c r="AC1229"/>
      <c r="AD1229" s="14"/>
    </row>
    <row r="1230" spans="1:30" x14ac:dyDescent="0.25">
      <c r="A1230" t="b">
        <f t="shared" si="101"/>
        <v>0</v>
      </c>
      <c r="B1230">
        <v>2006</v>
      </c>
      <c r="C1230">
        <v>172</v>
      </c>
      <c r="D1230">
        <v>0</v>
      </c>
      <c r="E1230">
        <v>1300</v>
      </c>
      <c r="F1230" s="7">
        <v>708</v>
      </c>
      <c r="G1230" s="7">
        <v>13.42</v>
      </c>
      <c r="H1230" s="7">
        <v>0</v>
      </c>
      <c r="I1230" s="7" t="str">
        <f t="shared" si="97"/>
        <v/>
      </c>
      <c r="J1230" s="7" t="str">
        <f t="shared" si="98"/>
        <v/>
      </c>
      <c r="K1230" s="7">
        <v>0</v>
      </c>
      <c r="L1230" s="7" t="str">
        <f t="shared" si="99"/>
        <v/>
      </c>
      <c r="M1230" s="7" t="str">
        <f t="shared" si="100"/>
        <v/>
      </c>
      <c r="N1230" s="7">
        <v>0</v>
      </c>
      <c r="O1230" s="7"/>
      <c r="P1230" s="7"/>
      <c r="Q1230" s="7"/>
      <c r="AC1230"/>
      <c r="AD1230" s="14"/>
    </row>
    <row r="1231" spans="1:30" x14ac:dyDescent="0.25">
      <c r="A1231" t="b">
        <f t="shared" si="101"/>
        <v>0</v>
      </c>
      <c r="B1231">
        <v>2006</v>
      </c>
      <c r="C1231">
        <v>172</v>
      </c>
      <c r="D1231">
        <v>0</v>
      </c>
      <c r="E1231">
        <v>1400</v>
      </c>
      <c r="F1231" s="7">
        <v>583.4</v>
      </c>
      <c r="G1231" s="7">
        <v>14.15</v>
      </c>
      <c r="H1231" s="7">
        <v>0</v>
      </c>
      <c r="I1231" s="7" t="str">
        <f t="shared" si="97"/>
        <v/>
      </c>
      <c r="J1231" s="7" t="str">
        <f t="shared" si="98"/>
        <v/>
      </c>
      <c r="K1231" s="7">
        <v>0</v>
      </c>
      <c r="L1231" s="7" t="str">
        <f t="shared" si="99"/>
        <v/>
      </c>
      <c r="M1231" s="7" t="str">
        <f t="shared" si="100"/>
        <v/>
      </c>
      <c r="N1231" s="7">
        <v>0</v>
      </c>
      <c r="O1231" s="7"/>
      <c r="P1231" s="7"/>
      <c r="Q1231" s="7"/>
      <c r="AC1231"/>
      <c r="AD1231" s="14"/>
    </row>
    <row r="1232" spans="1:30" x14ac:dyDescent="0.25">
      <c r="A1232" t="b">
        <f t="shared" si="101"/>
        <v>0</v>
      </c>
      <c r="B1232">
        <v>2006</v>
      </c>
      <c r="C1232">
        <v>172</v>
      </c>
      <c r="D1232">
        <v>0</v>
      </c>
      <c r="E1232">
        <v>1500</v>
      </c>
      <c r="F1232" s="7">
        <v>418.9</v>
      </c>
      <c r="G1232" s="7">
        <v>13.46</v>
      </c>
      <c r="H1232" s="7">
        <v>0</v>
      </c>
      <c r="I1232" s="7" t="str">
        <f t="shared" si="97"/>
        <v/>
      </c>
      <c r="J1232" s="7" t="str">
        <f t="shared" si="98"/>
        <v/>
      </c>
      <c r="K1232" s="7">
        <v>0</v>
      </c>
      <c r="L1232" s="7" t="str">
        <f t="shared" si="99"/>
        <v/>
      </c>
      <c r="M1232" s="7" t="str">
        <f t="shared" si="100"/>
        <v/>
      </c>
      <c r="N1232" s="7">
        <v>0</v>
      </c>
      <c r="O1232" s="7"/>
      <c r="P1232" s="7"/>
      <c r="Q1232" s="7"/>
      <c r="AC1232"/>
      <c r="AD1232" s="14"/>
    </row>
    <row r="1233" spans="1:30" x14ac:dyDescent="0.25">
      <c r="A1233" t="b">
        <f t="shared" si="101"/>
        <v>0</v>
      </c>
      <c r="B1233">
        <v>2006</v>
      </c>
      <c r="C1233">
        <v>172</v>
      </c>
      <c r="D1233">
        <v>0</v>
      </c>
      <c r="E1233">
        <v>1600</v>
      </c>
      <c r="F1233" s="7">
        <v>225.3</v>
      </c>
      <c r="G1233" s="7">
        <v>12.57</v>
      </c>
      <c r="H1233" s="7">
        <v>0</v>
      </c>
      <c r="I1233" s="7" t="str">
        <f t="shared" si="97"/>
        <v/>
      </c>
      <c r="J1233" s="7" t="str">
        <f t="shared" si="98"/>
        <v/>
      </c>
      <c r="K1233" s="7">
        <v>0</v>
      </c>
      <c r="L1233" s="7" t="str">
        <f t="shared" si="99"/>
        <v/>
      </c>
      <c r="M1233" s="7" t="str">
        <f t="shared" si="100"/>
        <v/>
      </c>
      <c r="N1233" s="7">
        <v>0</v>
      </c>
      <c r="O1233" s="7"/>
      <c r="P1233" s="7"/>
      <c r="Q1233" s="7"/>
      <c r="AC1233"/>
      <c r="AD1233" s="14"/>
    </row>
    <row r="1234" spans="1:30" x14ac:dyDescent="0.25">
      <c r="A1234" t="b">
        <f t="shared" si="101"/>
        <v>0</v>
      </c>
      <c r="B1234">
        <v>2006</v>
      </c>
      <c r="C1234">
        <v>172</v>
      </c>
      <c r="D1234">
        <v>0</v>
      </c>
      <c r="E1234">
        <v>1700</v>
      </c>
      <c r="F1234" s="7">
        <v>172.5</v>
      </c>
      <c r="G1234" s="7">
        <v>11.78</v>
      </c>
      <c r="H1234" s="7">
        <v>0</v>
      </c>
      <c r="I1234" s="7" t="str">
        <f t="shared" si="97"/>
        <v/>
      </c>
      <c r="J1234" s="7" t="str">
        <f t="shared" si="98"/>
        <v/>
      </c>
      <c r="K1234" s="7">
        <v>0</v>
      </c>
      <c r="L1234" s="7" t="str">
        <f t="shared" si="99"/>
        <v/>
      </c>
      <c r="M1234" s="7" t="str">
        <f t="shared" si="100"/>
        <v/>
      </c>
      <c r="N1234" s="7">
        <v>0</v>
      </c>
      <c r="O1234" s="7"/>
      <c r="P1234" s="7"/>
      <c r="Q1234" s="7"/>
      <c r="AC1234"/>
      <c r="AD1234" s="14"/>
    </row>
    <row r="1235" spans="1:30" x14ac:dyDescent="0.25">
      <c r="A1235" t="b">
        <f t="shared" si="101"/>
        <v>0</v>
      </c>
      <c r="B1235">
        <v>2006</v>
      </c>
      <c r="C1235">
        <v>172</v>
      </c>
      <c r="D1235">
        <v>0</v>
      </c>
      <c r="E1235">
        <v>1800</v>
      </c>
      <c r="F1235" s="7">
        <v>192.8</v>
      </c>
      <c r="G1235" s="7">
        <v>11.84</v>
      </c>
      <c r="H1235" s="7">
        <v>0</v>
      </c>
      <c r="I1235" s="7" t="str">
        <f t="shared" si="97"/>
        <v/>
      </c>
      <c r="J1235" s="7" t="str">
        <f t="shared" si="98"/>
        <v/>
      </c>
      <c r="K1235" s="7">
        <v>0</v>
      </c>
      <c r="L1235" s="7" t="str">
        <f t="shared" si="99"/>
        <v/>
      </c>
      <c r="M1235" s="7" t="str">
        <f t="shared" si="100"/>
        <v/>
      </c>
      <c r="N1235" s="7">
        <v>0</v>
      </c>
      <c r="O1235" s="7"/>
      <c r="P1235" s="7"/>
      <c r="Q1235" s="7"/>
      <c r="AC1235"/>
      <c r="AD1235" s="14"/>
    </row>
    <row r="1236" spans="1:30" x14ac:dyDescent="0.25">
      <c r="A1236" t="b">
        <f t="shared" si="101"/>
        <v>0</v>
      </c>
      <c r="B1236">
        <v>2006</v>
      </c>
      <c r="C1236">
        <v>172</v>
      </c>
      <c r="D1236">
        <v>0</v>
      </c>
      <c r="E1236">
        <v>1900</v>
      </c>
      <c r="F1236" s="7">
        <v>158</v>
      </c>
      <c r="G1236" s="7">
        <v>12.23</v>
      </c>
      <c r="H1236" s="7">
        <v>0</v>
      </c>
      <c r="I1236" s="7" t="str">
        <f t="shared" si="97"/>
        <v/>
      </c>
      <c r="J1236" s="7" t="str">
        <f t="shared" si="98"/>
        <v/>
      </c>
      <c r="K1236" s="7">
        <v>0</v>
      </c>
      <c r="L1236" s="7" t="str">
        <f t="shared" si="99"/>
        <v/>
      </c>
      <c r="M1236" s="7" t="str">
        <f t="shared" si="100"/>
        <v/>
      </c>
      <c r="N1236" s="7">
        <v>0</v>
      </c>
      <c r="O1236" s="7"/>
      <c r="P1236" s="7"/>
      <c r="Q1236" s="7"/>
      <c r="AC1236"/>
      <c r="AD1236" s="14"/>
    </row>
    <row r="1237" spans="1:30" x14ac:dyDescent="0.25">
      <c r="A1237" t="b">
        <f t="shared" si="101"/>
        <v>0</v>
      </c>
      <c r="B1237">
        <v>2006</v>
      </c>
      <c r="C1237">
        <v>172</v>
      </c>
      <c r="D1237">
        <v>0</v>
      </c>
      <c r="E1237">
        <v>2000</v>
      </c>
      <c r="F1237" s="7">
        <v>81.599999999999994</v>
      </c>
      <c r="G1237" s="7">
        <v>11.94</v>
      </c>
      <c r="H1237" s="7">
        <v>0</v>
      </c>
      <c r="I1237" s="7" t="str">
        <f t="shared" si="97"/>
        <v/>
      </c>
      <c r="J1237" s="7" t="str">
        <f t="shared" si="98"/>
        <v/>
      </c>
      <c r="K1237" s="7">
        <v>0</v>
      </c>
      <c r="L1237" s="7" t="str">
        <f t="shared" si="99"/>
        <v/>
      </c>
      <c r="M1237" s="7" t="str">
        <f t="shared" si="100"/>
        <v/>
      </c>
      <c r="N1237" s="7">
        <v>0</v>
      </c>
      <c r="O1237" s="7"/>
      <c r="P1237" s="7"/>
      <c r="Q1237" s="7"/>
      <c r="AC1237"/>
      <c r="AD1237" s="14"/>
    </row>
    <row r="1238" spans="1:30" x14ac:dyDescent="0.25">
      <c r="A1238" t="b">
        <f t="shared" si="101"/>
        <v>0</v>
      </c>
      <c r="B1238">
        <v>2006</v>
      </c>
      <c r="C1238">
        <v>172</v>
      </c>
      <c r="D1238">
        <v>0</v>
      </c>
      <c r="E1238">
        <v>2100</v>
      </c>
      <c r="F1238" s="7">
        <v>17.84</v>
      </c>
      <c r="G1238" s="7">
        <v>10.76</v>
      </c>
      <c r="H1238" s="7">
        <v>0</v>
      </c>
      <c r="I1238" s="7" t="str">
        <f t="shared" si="97"/>
        <v/>
      </c>
      <c r="J1238" s="7" t="str">
        <f t="shared" si="98"/>
        <v/>
      </c>
      <c r="K1238" s="7">
        <v>0</v>
      </c>
      <c r="L1238" s="7" t="str">
        <f t="shared" si="99"/>
        <v/>
      </c>
      <c r="M1238" s="7" t="str">
        <f t="shared" si="100"/>
        <v/>
      </c>
      <c r="N1238" s="7">
        <v>0</v>
      </c>
      <c r="O1238" s="7"/>
      <c r="P1238" s="7"/>
      <c r="Q1238" s="7"/>
      <c r="AC1238"/>
      <c r="AD1238" s="14"/>
    </row>
    <row r="1239" spans="1:30" x14ac:dyDescent="0.25">
      <c r="A1239" t="b">
        <f t="shared" si="101"/>
        <v>0</v>
      </c>
      <c r="B1239">
        <v>2006</v>
      </c>
      <c r="C1239">
        <v>172</v>
      </c>
      <c r="D1239">
        <v>0</v>
      </c>
      <c r="E1239">
        <v>2200</v>
      </c>
      <c r="F1239" s="7">
        <v>-0.108</v>
      </c>
      <c r="G1239" s="7">
        <v>10.59</v>
      </c>
      <c r="H1239" s="7">
        <v>0</v>
      </c>
      <c r="I1239" s="7" t="str">
        <f t="shared" si="97"/>
        <v/>
      </c>
      <c r="J1239" s="7" t="str">
        <f t="shared" si="98"/>
        <v/>
      </c>
      <c r="K1239" s="7">
        <v>0</v>
      </c>
      <c r="L1239" s="7" t="str">
        <f t="shared" si="99"/>
        <v/>
      </c>
      <c r="M1239" s="7" t="str">
        <f t="shared" si="100"/>
        <v/>
      </c>
      <c r="N1239" s="7">
        <v>0</v>
      </c>
      <c r="O1239" s="7"/>
      <c r="P1239" s="7"/>
      <c r="Q1239" s="7"/>
      <c r="AC1239"/>
      <c r="AD1239" s="14"/>
    </row>
    <row r="1240" spans="1:30" x14ac:dyDescent="0.25">
      <c r="A1240" t="b">
        <f t="shared" si="101"/>
        <v>0</v>
      </c>
      <c r="B1240">
        <v>2006</v>
      </c>
      <c r="C1240">
        <v>172</v>
      </c>
      <c r="D1240">
        <v>0</v>
      </c>
      <c r="E1240">
        <v>2300</v>
      </c>
      <c r="F1240" s="7">
        <v>-0.58199999999999996</v>
      </c>
      <c r="G1240" s="7">
        <v>10.52</v>
      </c>
      <c r="H1240" s="7">
        <v>0</v>
      </c>
      <c r="I1240" s="7" t="str">
        <f t="shared" si="97"/>
        <v/>
      </c>
      <c r="J1240" s="7" t="str">
        <f t="shared" si="98"/>
        <v/>
      </c>
      <c r="K1240" s="7">
        <v>0</v>
      </c>
      <c r="L1240" s="7" t="str">
        <f t="shared" si="99"/>
        <v/>
      </c>
      <c r="M1240" s="7" t="str">
        <f t="shared" si="100"/>
        <v/>
      </c>
      <c r="N1240" s="7">
        <v>0</v>
      </c>
      <c r="O1240" s="7"/>
      <c r="P1240" s="7"/>
      <c r="Q1240" s="7"/>
      <c r="AC1240"/>
      <c r="AD1240" s="14"/>
    </row>
    <row r="1241" spans="1:30" x14ac:dyDescent="0.25">
      <c r="A1241" t="b">
        <f t="shared" si="101"/>
        <v>0</v>
      </c>
      <c r="B1241">
        <v>2006</v>
      </c>
      <c r="C1241">
        <v>172</v>
      </c>
      <c r="D1241">
        <v>0</v>
      </c>
      <c r="E1241">
        <v>2400</v>
      </c>
      <c r="F1241" s="7">
        <v>-1.35</v>
      </c>
      <c r="G1241" s="7">
        <v>10.24</v>
      </c>
      <c r="H1241" s="7">
        <v>0</v>
      </c>
      <c r="I1241" s="7" t="str">
        <f t="shared" si="97"/>
        <v/>
      </c>
      <c r="J1241" s="7" t="str">
        <f t="shared" si="98"/>
        <v/>
      </c>
      <c r="K1241" s="7">
        <v>0</v>
      </c>
      <c r="L1241" s="7" t="str">
        <f t="shared" si="99"/>
        <v/>
      </c>
      <c r="M1241" s="7" t="str">
        <f t="shared" si="100"/>
        <v/>
      </c>
      <c r="N1241" s="7">
        <v>0</v>
      </c>
      <c r="O1241" s="7"/>
      <c r="P1241" s="7"/>
      <c r="Q1241" s="7"/>
      <c r="AC1241"/>
      <c r="AD1241" s="14"/>
    </row>
    <row r="1242" spans="1:30" x14ac:dyDescent="0.25">
      <c r="A1242" t="b">
        <f t="shared" si="101"/>
        <v>1</v>
      </c>
      <c r="B1242">
        <v>2006</v>
      </c>
      <c r="C1242">
        <v>173</v>
      </c>
      <c r="D1242">
        <v>0</v>
      </c>
      <c r="E1242">
        <v>100</v>
      </c>
      <c r="F1242" s="7">
        <v>-0.94</v>
      </c>
      <c r="G1242" s="7">
        <v>10.37</v>
      </c>
      <c r="H1242" s="7">
        <v>0</v>
      </c>
      <c r="I1242" s="7">
        <f t="shared" si="97"/>
        <v>1</v>
      </c>
      <c r="J1242" s="7">
        <f t="shared" si="98"/>
        <v>84.376458333333346</v>
      </c>
      <c r="K1242" s="7">
        <v>0</v>
      </c>
      <c r="L1242" s="7">
        <f t="shared" si="99"/>
        <v>13.26</v>
      </c>
      <c r="M1242" s="7">
        <f t="shared" si="100"/>
        <v>9.3000000000000007</v>
      </c>
      <c r="N1242" s="7">
        <v>0</v>
      </c>
      <c r="O1242" s="7"/>
      <c r="P1242" s="7"/>
      <c r="Q1242" s="7"/>
      <c r="AC1242"/>
      <c r="AD1242" s="14"/>
    </row>
    <row r="1243" spans="1:30" x14ac:dyDescent="0.25">
      <c r="A1243" t="b">
        <f t="shared" si="101"/>
        <v>0</v>
      </c>
      <c r="B1243">
        <v>2006</v>
      </c>
      <c r="C1243">
        <v>173</v>
      </c>
      <c r="D1243">
        <v>0</v>
      </c>
      <c r="E1243">
        <v>200</v>
      </c>
      <c r="F1243" s="7">
        <v>-0.89900000000000002</v>
      </c>
      <c r="G1243" s="7">
        <v>10.09</v>
      </c>
      <c r="H1243" s="7">
        <v>0</v>
      </c>
      <c r="I1243" s="7" t="str">
        <f t="shared" si="97"/>
        <v/>
      </c>
      <c r="J1243" s="7" t="str">
        <f t="shared" si="98"/>
        <v/>
      </c>
      <c r="K1243" s="7">
        <v>0</v>
      </c>
      <c r="L1243" s="7" t="str">
        <f t="shared" si="99"/>
        <v/>
      </c>
      <c r="M1243" s="7" t="str">
        <f t="shared" si="100"/>
        <v/>
      </c>
      <c r="N1243" s="7">
        <v>0</v>
      </c>
      <c r="O1243" s="7"/>
      <c r="P1243" s="7"/>
      <c r="Q1243" s="7"/>
      <c r="AC1243"/>
      <c r="AD1243" s="14"/>
    </row>
    <row r="1244" spans="1:30" x14ac:dyDescent="0.25">
      <c r="A1244" t="b">
        <f t="shared" si="101"/>
        <v>0</v>
      </c>
      <c r="B1244">
        <v>2006</v>
      </c>
      <c r="C1244">
        <v>173</v>
      </c>
      <c r="D1244">
        <v>0</v>
      </c>
      <c r="E1244">
        <v>300</v>
      </c>
      <c r="F1244" s="7">
        <v>-0.96399999999999997</v>
      </c>
      <c r="G1244" s="7">
        <v>9.86</v>
      </c>
      <c r="H1244" s="7">
        <v>0</v>
      </c>
      <c r="I1244" s="7" t="str">
        <f t="shared" si="97"/>
        <v/>
      </c>
      <c r="J1244" s="7" t="str">
        <f t="shared" si="98"/>
        <v/>
      </c>
      <c r="K1244" s="7">
        <v>0</v>
      </c>
      <c r="L1244" s="7" t="str">
        <f t="shared" si="99"/>
        <v/>
      </c>
      <c r="M1244" s="7" t="str">
        <f t="shared" si="100"/>
        <v/>
      </c>
      <c r="N1244" s="7">
        <v>0</v>
      </c>
      <c r="O1244" s="7"/>
      <c r="P1244" s="7"/>
      <c r="Q1244" s="7"/>
      <c r="AC1244"/>
      <c r="AD1244" s="14"/>
    </row>
    <row r="1245" spans="1:30" x14ac:dyDescent="0.25">
      <c r="A1245" t="b">
        <f t="shared" si="101"/>
        <v>0</v>
      </c>
      <c r="B1245">
        <v>2006</v>
      </c>
      <c r="C1245">
        <v>173</v>
      </c>
      <c r="D1245">
        <v>0</v>
      </c>
      <c r="E1245">
        <v>400</v>
      </c>
      <c r="F1245" s="7">
        <v>-0.14299999999999999</v>
      </c>
      <c r="G1245" s="7">
        <v>9.74</v>
      </c>
      <c r="H1245" s="7">
        <v>0</v>
      </c>
      <c r="I1245" s="7" t="str">
        <f t="shared" si="97"/>
        <v/>
      </c>
      <c r="J1245" s="7" t="str">
        <f t="shared" si="98"/>
        <v/>
      </c>
      <c r="K1245" s="7">
        <v>0</v>
      </c>
      <c r="L1245" s="7" t="str">
        <f t="shared" si="99"/>
        <v/>
      </c>
      <c r="M1245" s="7" t="str">
        <f t="shared" si="100"/>
        <v/>
      </c>
      <c r="N1245" s="7">
        <v>0</v>
      </c>
      <c r="O1245" s="7"/>
      <c r="P1245" s="7"/>
      <c r="Q1245" s="7"/>
      <c r="AC1245"/>
      <c r="AD1245" s="14"/>
    </row>
    <row r="1246" spans="1:30" x14ac:dyDescent="0.25">
      <c r="A1246" t="b">
        <f t="shared" si="101"/>
        <v>0</v>
      </c>
      <c r="B1246">
        <v>2006</v>
      </c>
      <c r="C1246">
        <v>173</v>
      </c>
      <c r="D1246">
        <v>0</v>
      </c>
      <c r="E1246">
        <v>500</v>
      </c>
      <c r="F1246" s="7">
        <v>9.64</v>
      </c>
      <c r="G1246" s="7">
        <v>9.75</v>
      </c>
      <c r="H1246" s="7">
        <v>0</v>
      </c>
      <c r="I1246" s="7" t="str">
        <f t="shared" si="97"/>
        <v/>
      </c>
      <c r="J1246" s="7" t="str">
        <f t="shared" si="98"/>
        <v/>
      </c>
      <c r="K1246" s="7">
        <v>0</v>
      </c>
      <c r="L1246" s="7" t="str">
        <f t="shared" si="99"/>
        <v/>
      </c>
      <c r="M1246" s="7" t="str">
        <f t="shared" si="100"/>
        <v/>
      </c>
      <c r="N1246" s="7">
        <v>0</v>
      </c>
      <c r="O1246" s="7"/>
      <c r="P1246" s="7"/>
      <c r="Q1246" s="7"/>
      <c r="AC1246"/>
      <c r="AD1246" s="14"/>
    </row>
    <row r="1247" spans="1:30" x14ac:dyDescent="0.25">
      <c r="A1247" t="b">
        <f t="shared" si="101"/>
        <v>0</v>
      </c>
      <c r="B1247">
        <v>2006</v>
      </c>
      <c r="C1247">
        <v>173</v>
      </c>
      <c r="D1247">
        <v>0</v>
      </c>
      <c r="E1247">
        <v>600</v>
      </c>
      <c r="F1247" s="7">
        <v>31.73</v>
      </c>
      <c r="G1247" s="7">
        <v>9.86</v>
      </c>
      <c r="H1247" s="7">
        <v>0</v>
      </c>
      <c r="I1247" s="7" t="str">
        <f t="shared" si="97"/>
        <v/>
      </c>
      <c r="J1247" s="7" t="str">
        <f t="shared" si="98"/>
        <v/>
      </c>
      <c r="K1247" s="7">
        <v>0</v>
      </c>
      <c r="L1247" s="7" t="str">
        <f t="shared" si="99"/>
        <v/>
      </c>
      <c r="M1247" s="7" t="str">
        <f t="shared" si="100"/>
        <v/>
      </c>
      <c r="N1247" s="7">
        <v>0</v>
      </c>
      <c r="O1247" s="7"/>
      <c r="P1247" s="7"/>
      <c r="Q1247" s="7"/>
      <c r="AC1247"/>
      <c r="AD1247" s="14"/>
    </row>
    <row r="1248" spans="1:30" x14ac:dyDescent="0.25">
      <c r="A1248" t="b">
        <f t="shared" si="101"/>
        <v>0</v>
      </c>
      <c r="B1248">
        <v>2006</v>
      </c>
      <c r="C1248">
        <v>173</v>
      </c>
      <c r="D1248">
        <v>0</v>
      </c>
      <c r="E1248">
        <v>700</v>
      </c>
      <c r="F1248" s="7">
        <v>46.38</v>
      </c>
      <c r="G1248" s="7">
        <v>10.08</v>
      </c>
      <c r="H1248" s="7">
        <v>0</v>
      </c>
      <c r="I1248" s="7" t="str">
        <f t="shared" si="97"/>
        <v/>
      </c>
      <c r="J1248" s="7" t="str">
        <f t="shared" si="98"/>
        <v/>
      </c>
      <c r="K1248" s="7">
        <v>0</v>
      </c>
      <c r="L1248" s="7" t="str">
        <f t="shared" si="99"/>
        <v/>
      </c>
      <c r="M1248" s="7" t="str">
        <f t="shared" si="100"/>
        <v/>
      </c>
      <c r="N1248" s="7">
        <v>0</v>
      </c>
      <c r="O1248" s="7"/>
      <c r="P1248" s="7"/>
      <c r="Q1248" s="7"/>
      <c r="AC1248"/>
      <c r="AD1248" s="14"/>
    </row>
    <row r="1249" spans="1:30" x14ac:dyDescent="0.25">
      <c r="A1249" t="b">
        <f t="shared" si="101"/>
        <v>0</v>
      </c>
      <c r="B1249">
        <v>2006</v>
      </c>
      <c r="C1249">
        <v>173</v>
      </c>
      <c r="D1249">
        <v>0</v>
      </c>
      <c r="E1249">
        <v>800</v>
      </c>
      <c r="F1249" s="7">
        <v>61.58</v>
      </c>
      <c r="G1249" s="7">
        <v>10.54</v>
      </c>
      <c r="H1249" s="7">
        <v>0</v>
      </c>
      <c r="I1249" s="7" t="str">
        <f t="shared" si="97"/>
        <v/>
      </c>
      <c r="J1249" s="7" t="str">
        <f t="shared" si="98"/>
        <v/>
      </c>
      <c r="K1249" s="7">
        <v>0</v>
      </c>
      <c r="L1249" s="7" t="str">
        <f t="shared" si="99"/>
        <v/>
      </c>
      <c r="M1249" s="7" t="str">
        <f t="shared" si="100"/>
        <v/>
      </c>
      <c r="N1249" s="7">
        <v>0</v>
      </c>
      <c r="O1249" s="7"/>
      <c r="P1249" s="7"/>
      <c r="Q1249" s="7"/>
      <c r="AC1249"/>
      <c r="AD1249" s="14"/>
    </row>
    <row r="1250" spans="1:30" x14ac:dyDescent="0.25">
      <c r="A1250" t="b">
        <f t="shared" si="101"/>
        <v>0</v>
      </c>
      <c r="B1250">
        <v>2006</v>
      </c>
      <c r="C1250">
        <v>173</v>
      </c>
      <c r="D1250">
        <v>0</v>
      </c>
      <c r="E1250">
        <v>900</v>
      </c>
      <c r="F1250" s="7">
        <v>78.5</v>
      </c>
      <c r="G1250" s="7">
        <v>10.71</v>
      </c>
      <c r="H1250" s="7">
        <v>0</v>
      </c>
      <c r="I1250" s="7" t="str">
        <f t="shared" si="97"/>
        <v/>
      </c>
      <c r="J1250" s="7" t="str">
        <f t="shared" si="98"/>
        <v/>
      </c>
      <c r="K1250" s="7">
        <v>0</v>
      </c>
      <c r="L1250" s="7" t="str">
        <f t="shared" si="99"/>
        <v/>
      </c>
      <c r="M1250" s="7" t="str">
        <f t="shared" si="100"/>
        <v/>
      </c>
      <c r="N1250" s="7">
        <v>0</v>
      </c>
      <c r="O1250" s="7"/>
      <c r="P1250" s="7"/>
      <c r="Q1250" s="7"/>
      <c r="AC1250"/>
      <c r="AD1250" s="14"/>
    </row>
    <row r="1251" spans="1:30" x14ac:dyDescent="0.25">
      <c r="A1251" t="b">
        <f t="shared" si="101"/>
        <v>0</v>
      </c>
      <c r="B1251">
        <v>2006</v>
      </c>
      <c r="C1251">
        <v>173</v>
      </c>
      <c r="D1251">
        <v>0</v>
      </c>
      <c r="E1251">
        <v>1000</v>
      </c>
      <c r="F1251" s="7">
        <v>252.1</v>
      </c>
      <c r="G1251" s="7">
        <v>11.88</v>
      </c>
      <c r="H1251" s="7">
        <v>0</v>
      </c>
      <c r="I1251" s="7" t="str">
        <f t="shared" si="97"/>
        <v/>
      </c>
      <c r="J1251" s="7" t="str">
        <f t="shared" si="98"/>
        <v/>
      </c>
      <c r="K1251" s="7">
        <v>0</v>
      </c>
      <c r="L1251" s="7" t="str">
        <f t="shared" si="99"/>
        <v/>
      </c>
      <c r="M1251" s="7" t="str">
        <f t="shared" si="100"/>
        <v/>
      </c>
      <c r="N1251" s="7">
        <v>0</v>
      </c>
      <c r="O1251" s="7"/>
      <c r="P1251" s="7"/>
      <c r="Q1251" s="7"/>
      <c r="AC1251"/>
      <c r="AD1251" s="14"/>
    </row>
    <row r="1252" spans="1:30" x14ac:dyDescent="0.25">
      <c r="A1252" t="b">
        <f t="shared" si="101"/>
        <v>0</v>
      </c>
      <c r="B1252">
        <v>2006</v>
      </c>
      <c r="C1252">
        <v>173</v>
      </c>
      <c r="D1252">
        <v>0</v>
      </c>
      <c r="E1252">
        <v>1100</v>
      </c>
      <c r="F1252" s="7">
        <v>161.5</v>
      </c>
      <c r="G1252" s="7">
        <v>12.23</v>
      </c>
      <c r="H1252" s="7">
        <v>0</v>
      </c>
      <c r="I1252" s="7" t="str">
        <f t="shared" si="97"/>
        <v/>
      </c>
      <c r="J1252" s="7" t="str">
        <f t="shared" si="98"/>
        <v/>
      </c>
      <c r="K1252" s="7">
        <v>0</v>
      </c>
      <c r="L1252" s="7" t="str">
        <f t="shared" si="99"/>
        <v/>
      </c>
      <c r="M1252" s="7" t="str">
        <f t="shared" si="100"/>
        <v/>
      </c>
      <c r="N1252" s="7">
        <v>0</v>
      </c>
      <c r="O1252" s="7"/>
      <c r="P1252" s="7"/>
      <c r="Q1252" s="7"/>
      <c r="AC1252"/>
      <c r="AD1252" s="14"/>
    </row>
    <row r="1253" spans="1:30" x14ac:dyDescent="0.25">
      <c r="A1253" t="b">
        <f t="shared" si="101"/>
        <v>0</v>
      </c>
      <c r="B1253">
        <v>2006</v>
      </c>
      <c r="C1253">
        <v>173</v>
      </c>
      <c r="D1253">
        <v>0</v>
      </c>
      <c r="E1253">
        <v>1200</v>
      </c>
      <c r="F1253" s="7">
        <v>217.6</v>
      </c>
      <c r="G1253" s="7">
        <v>12.58</v>
      </c>
      <c r="H1253" s="7">
        <v>0</v>
      </c>
      <c r="I1253" s="7" t="str">
        <f t="shared" si="97"/>
        <v/>
      </c>
      <c r="J1253" s="7" t="str">
        <f t="shared" si="98"/>
        <v/>
      </c>
      <c r="K1253" s="7">
        <v>0</v>
      </c>
      <c r="L1253" s="7" t="str">
        <f t="shared" si="99"/>
        <v/>
      </c>
      <c r="M1253" s="7" t="str">
        <f t="shared" si="100"/>
        <v/>
      </c>
      <c r="N1253" s="7">
        <v>0</v>
      </c>
      <c r="O1253" s="7"/>
      <c r="P1253" s="7"/>
      <c r="Q1253" s="7"/>
      <c r="AC1253"/>
      <c r="AD1253" s="14"/>
    </row>
    <row r="1254" spans="1:30" x14ac:dyDescent="0.25">
      <c r="A1254" t="b">
        <f t="shared" si="101"/>
        <v>0</v>
      </c>
      <c r="B1254">
        <v>2006</v>
      </c>
      <c r="C1254">
        <v>173</v>
      </c>
      <c r="D1254">
        <v>0</v>
      </c>
      <c r="E1254">
        <v>1300</v>
      </c>
      <c r="F1254" s="7">
        <v>231</v>
      </c>
      <c r="G1254" s="7">
        <v>12.89</v>
      </c>
      <c r="H1254" s="7">
        <v>0</v>
      </c>
      <c r="I1254" s="7" t="str">
        <f t="shared" si="97"/>
        <v/>
      </c>
      <c r="J1254" s="7" t="str">
        <f t="shared" si="98"/>
        <v/>
      </c>
      <c r="K1254" s="7">
        <v>0</v>
      </c>
      <c r="L1254" s="7" t="str">
        <f t="shared" si="99"/>
        <v/>
      </c>
      <c r="M1254" s="7" t="str">
        <f t="shared" si="100"/>
        <v/>
      </c>
      <c r="N1254" s="7">
        <v>0</v>
      </c>
      <c r="O1254" s="7"/>
      <c r="P1254" s="7"/>
      <c r="Q1254" s="7"/>
      <c r="AC1254"/>
      <c r="AD1254" s="14"/>
    </row>
    <row r="1255" spans="1:30" x14ac:dyDescent="0.25">
      <c r="A1255" t="b">
        <f t="shared" si="101"/>
        <v>0</v>
      </c>
      <c r="B1255">
        <v>2006</v>
      </c>
      <c r="C1255">
        <v>173</v>
      </c>
      <c r="D1255">
        <v>0</v>
      </c>
      <c r="E1255">
        <v>1400</v>
      </c>
      <c r="F1255" s="7">
        <v>226.7</v>
      </c>
      <c r="G1255" s="7">
        <v>13.07</v>
      </c>
      <c r="H1255" s="7">
        <v>0</v>
      </c>
      <c r="I1255" s="7" t="str">
        <f t="shared" si="97"/>
        <v/>
      </c>
      <c r="J1255" s="7" t="str">
        <f t="shared" si="98"/>
        <v/>
      </c>
      <c r="K1255" s="7">
        <v>0</v>
      </c>
      <c r="L1255" s="7" t="str">
        <f t="shared" si="99"/>
        <v/>
      </c>
      <c r="M1255" s="7" t="str">
        <f t="shared" si="100"/>
        <v/>
      </c>
      <c r="N1255" s="7">
        <v>0</v>
      </c>
      <c r="O1255" s="7"/>
      <c r="P1255" s="7"/>
      <c r="Q1255" s="7"/>
      <c r="AC1255"/>
      <c r="AD1255" s="14"/>
    </row>
    <row r="1256" spans="1:30" x14ac:dyDescent="0.25">
      <c r="A1256" t="b">
        <f t="shared" si="101"/>
        <v>0</v>
      </c>
      <c r="B1256">
        <v>2006</v>
      </c>
      <c r="C1256">
        <v>173</v>
      </c>
      <c r="D1256">
        <v>0</v>
      </c>
      <c r="E1256">
        <v>1500</v>
      </c>
      <c r="F1256" s="7">
        <v>268.89999999999998</v>
      </c>
      <c r="G1256" s="7">
        <v>13.26</v>
      </c>
      <c r="H1256" s="7">
        <v>0</v>
      </c>
      <c r="I1256" s="7" t="str">
        <f t="shared" si="97"/>
        <v/>
      </c>
      <c r="J1256" s="7" t="str">
        <f t="shared" si="98"/>
        <v/>
      </c>
      <c r="K1256" s="7">
        <v>0</v>
      </c>
      <c r="L1256" s="7" t="str">
        <f t="shared" si="99"/>
        <v/>
      </c>
      <c r="M1256" s="7" t="str">
        <f t="shared" si="100"/>
        <v/>
      </c>
      <c r="N1256" s="7">
        <v>0</v>
      </c>
      <c r="O1256" s="7"/>
      <c r="P1256" s="7"/>
      <c r="Q1256" s="7"/>
      <c r="AC1256"/>
      <c r="AD1256" s="14"/>
    </row>
    <row r="1257" spans="1:30" x14ac:dyDescent="0.25">
      <c r="A1257" t="b">
        <f t="shared" si="101"/>
        <v>0</v>
      </c>
      <c r="B1257">
        <v>2006</v>
      </c>
      <c r="C1257">
        <v>173</v>
      </c>
      <c r="D1257">
        <v>0</v>
      </c>
      <c r="E1257">
        <v>1600</v>
      </c>
      <c r="F1257" s="7">
        <v>150.19999999999999</v>
      </c>
      <c r="G1257" s="7">
        <v>12.64</v>
      </c>
      <c r="H1257" s="7">
        <v>0.4</v>
      </c>
      <c r="I1257" s="7" t="str">
        <f t="shared" si="97"/>
        <v/>
      </c>
      <c r="J1257" s="7" t="str">
        <f t="shared" si="98"/>
        <v/>
      </c>
      <c r="K1257" s="7">
        <v>0</v>
      </c>
      <c r="L1257" s="7" t="str">
        <f t="shared" si="99"/>
        <v/>
      </c>
      <c r="M1257" s="7" t="str">
        <f t="shared" si="100"/>
        <v/>
      </c>
      <c r="N1257" s="7">
        <v>0</v>
      </c>
      <c r="O1257" s="7"/>
      <c r="P1257" s="7"/>
      <c r="Q1257" s="7"/>
      <c r="AC1257"/>
      <c r="AD1257" s="14"/>
    </row>
    <row r="1258" spans="1:30" x14ac:dyDescent="0.25">
      <c r="A1258" t="b">
        <f t="shared" si="101"/>
        <v>0</v>
      </c>
      <c r="B1258">
        <v>2006</v>
      </c>
      <c r="C1258">
        <v>173</v>
      </c>
      <c r="D1258">
        <v>0</v>
      </c>
      <c r="E1258">
        <v>1700</v>
      </c>
      <c r="F1258" s="7">
        <v>134.4</v>
      </c>
      <c r="G1258" s="7">
        <v>12.36</v>
      </c>
      <c r="H1258" s="7">
        <v>0</v>
      </c>
      <c r="I1258" s="7" t="str">
        <f t="shared" si="97"/>
        <v/>
      </c>
      <c r="J1258" s="7" t="str">
        <f t="shared" si="98"/>
        <v/>
      </c>
      <c r="K1258" s="7">
        <v>0</v>
      </c>
      <c r="L1258" s="7" t="str">
        <f t="shared" si="99"/>
        <v/>
      </c>
      <c r="M1258" s="7" t="str">
        <f t="shared" si="100"/>
        <v/>
      </c>
      <c r="N1258" s="7">
        <v>0</v>
      </c>
      <c r="O1258" s="7"/>
      <c r="P1258" s="7"/>
      <c r="Q1258" s="7"/>
      <c r="AC1258"/>
      <c r="AD1258" s="14"/>
    </row>
    <row r="1259" spans="1:30" x14ac:dyDescent="0.25">
      <c r="A1259" t="b">
        <f t="shared" si="101"/>
        <v>0</v>
      </c>
      <c r="B1259">
        <v>2006</v>
      </c>
      <c r="C1259">
        <v>173</v>
      </c>
      <c r="D1259">
        <v>0</v>
      </c>
      <c r="E1259">
        <v>1800</v>
      </c>
      <c r="F1259" s="7">
        <v>90</v>
      </c>
      <c r="G1259" s="7">
        <v>12.2</v>
      </c>
      <c r="H1259" s="7">
        <v>0</v>
      </c>
      <c r="I1259" s="7" t="str">
        <f t="shared" si="97"/>
        <v/>
      </c>
      <c r="J1259" s="7" t="str">
        <f t="shared" si="98"/>
        <v/>
      </c>
      <c r="K1259" s="7">
        <v>0</v>
      </c>
      <c r="L1259" s="7" t="str">
        <f t="shared" si="99"/>
        <v/>
      </c>
      <c r="M1259" s="7" t="str">
        <f t="shared" si="100"/>
        <v/>
      </c>
      <c r="N1259" s="7">
        <v>0</v>
      </c>
      <c r="O1259" s="7"/>
      <c r="P1259" s="7"/>
      <c r="Q1259" s="7"/>
      <c r="AC1259"/>
      <c r="AD1259" s="14"/>
    </row>
    <row r="1260" spans="1:30" x14ac:dyDescent="0.25">
      <c r="A1260" t="b">
        <f t="shared" si="101"/>
        <v>0</v>
      </c>
      <c r="B1260">
        <v>2006</v>
      </c>
      <c r="C1260">
        <v>173</v>
      </c>
      <c r="D1260">
        <v>0</v>
      </c>
      <c r="E1260">
        <v>1900</v>
      </c>
      <c r="F1260" s="7">
        <v>63.1</v>
      </c>
      <c r="G1260" s="7">
        <v>12.16</v>
      </c>
      <c r="H1260" s="7">
        <v>0</v>
      </c>
      <c r="I1260" s="7" t="str">
        <f t="shared" si="97"/>
        <v/>
      </c>
      <c r="J1260" s="7" t="str">
        <f t="shared" si="98"/>
        <v/>
      </c>
      <c r="K1260" s="7">
        <v>0</v>
      </c>
      <c r="L1260" s="7" t="str">
        <f t="shared" si="99"/>
        <v/>
      </c>
      <c r="M1260" s="7" t="str">
        <f t="shared" si="100"/>
        <v/>
      </c>
      <c r="N1260" s="7">
        <v>0</v>
      </c>
      <c r="O1260" s="7"/>
      <c r="P1260" s="7"/>
      <c r="Q1260" s="7"/>
      <c r="AC1260"/>
      <c r="AD1260" s="14"/>
    </row>
    <row r="1261" spans="1:30" x14ac:dyDescent="0.25">
      <c r="A1261" t="b">
        <f t="shared" si="101"/>
        <v>0</v>
      </c>
      <c r="B1261">
        <v>2006</v>
      </c>
      <c r="C1261">
        <v>173</v>
      </c>
      <c r="D1261">
        <v>0</v>
      </c>
      <c r="E1261">
        <v>2000</v>
      </c>
      <c r="F1261" s="7">
        <v>6.2460000000000004</v>
      </c>
      <c r="G1261" s="7">
        <v>11.33</v>
      </c>
      <c r="H1261" s="7">
        <v>0.4</v>
      </c>
      <c r="I1261" s="7" t="str">
        <f t="shared" si="97"/>
        <v/>
      </c>
      <c r="J1261" s="7" t="str">
        <f t="shared" si="98"/>
        <v/>
      </c>
      <c r="K1261" s="7">
        <v>0</v>
      </c>
      <c r="L1261" s="7" t="str">
        <f t="shared" si="99"/>
        <v/>
      </c>
      <c r="M1261" s="7" t="str">
        <f t="shared" si="100"/>
        <v/>
      </c>
      <c r="N1261" s="7">
        <v>0</v>
      </c>
      <c r="O1261" s="7"/>
      <c r="P1261" s="7"/>
      <c r="Q1261" s="7"/>
      <c r="AC1261"/>
      <c r="AD1261" s="14"/>
    </row>
    <row r="1262" spans="1:30" x14ac:dyDescent="0.25">
      <c r="A1262" t="b">
        <f t="shared" si="101"/>
        <v>0</v>
      </c>
      <c r="B1262">
        <v>2006</v>
      </c>
      <c r="C1262">
        <v>173</v>
      </c>
      <c r="D1262">
        <v>0</v>
      </c>
      <c r="E1262">
        <v>2100</v>
      </c>
      <c r="F1262" s="7">
        <v>2.42</v>
      </c>
      <c r="G1262" s="7">
        <v>10.67</v>
      </c>
      <c r="H1262" s="7">
        <v>0.2</v>
      </c>
      <c r="I1262" s="7" t="str">
        <f t="shared" si="97"/>
        <v/>
      </c>
      <c r="J1262" s="7" t="str">
        <f t="shared" si="98"/>
        <v/>
      </c>
      <c r="K1262" s="7">
        <v>0</v>
      </c>
      <c r="L1262" s="7" t="str">
        <f t="shared" si="99"/>
        <v/>
      </c>
      <c r="M1262" s="7" t="str">
        <f t="shared" si="100"/>
        <v/>
      </c>
      <c r="N1262" s="7">
        <v>0</v>
      </c>
      <c r="O1262" s="7"/>
      <c r="P1262" s="7"/>
      <c r="Q1262" s="7"/>
      <c r="AC1262"/>
      <c r="AD1262" s="14"/>
    </row>
    <row r="1263" spans="1:30" x14ac:dyDescent="0.25">
      <c r="A1263" t="b">
        <f t="shared" si="101"/>
        <v>0</v>
      </c>
      <c r="B1263">
        <v>2006</v>
      </c>
      <c r="C1263">
        <v>173</v>
      </c>
      <c r="D1263">
        <v>0</v>
      </c>
      <c r="E1263">
        <v>2200</v>
      </c>
      <c r="F1263" s="7">
        <v>-0.77800000000000002</v>
      </c>
      <c r="G1263" s="7">
        <v>10.27</v>
      </c>
      <c r="H1263" s="7">
        <v>0</v>
      </c>
      <c r="I1263" s="7" t="str">
        <f t="shared" si="97"/>
        <v/>
      </c>
      <c r="J1263" s="7" t="str">
        <f t="shared" si="98"/>
        <v/>
      </c>
      <c r="K1263" s="7">
        <v>0</v>
      </c>
      <c r="L1263" s="7" t="str">
        <f t="shared" si="99"/>
        <v/>
      </c>
      <c r="M1263" s="7" t="str">
        <f t="shared" si="100"/>
        <v/>
      </c>
      <c r="N1263" s="7">
        <v>0</v>
      </c>
      <c r="O1263" s="7"/>
      <c r="P1263" s="7"/>
      <c r="Q1263" s="7"/>
      <c r="AC1263"/>
      <c r="AD1263" s="14"/>
    </row>
    <row r="1264" spans="1:30" x14ac:dyDescent="0.25">
      <c r="A1264" t="b">
        <f t="shared" si="101"/>
        <v>0</v>
      </c>
      <c r="B1264">
        <v>2006</v>
      </c>
      <c r="C1264">
        <v>173</v>
      </c>
      <c r="D1264">
        <v>0</v>
      </c>
      <c r="E1264">
        <v>2300</v>
      </c>
      <c r="F1264" s="7">
        <v>-1.4410000000000001</v>
      </c>
      <c r="G1264" s="7">
        <v>9.9499999999999993</v>
      </c>
      <c r="H1264" s="7">
        <v>0</v>
      </c>
      <c r="I1264" s="7" t="str">
        <f t="shared" si="97"/>
        <v/>
      </c>
      <c r="J1264" s="7" t="str">
        <f t="shared" si="98"/>
        <v/>
      </c>
      <c r="K1264" s="7">
        <v>0</v>
      </c>
      <c r="L1264" s="7" t="str">
        <f t="shared" si="99"/>
        <v/>
      </c>
      <c r="M1264" s="7" t="str">
        <f t="shared" si="100"/>
        <v/>
      </c>
      <c r="N1264" s="7">
        <v>0</v>
      </c>
      <c r="O1264" s="7"/>
      <c r="P1264" s="7"/>
      <c r="Q1264" s="7"/>
      <c r="AC1264"/>
      <c r="AD1264" s="14"/>
    </row>
    <row r="1265" spans="1:30" x14ac:dyDescent="0.25">
      <c r="A1265" t="b">
        <f t="shared" si="101"/>
        <v>0</v>
      </c>
      <c r="B1265">
        <v>2006</v>
      </c>
      <c r="C1265">
        <v>173</v>
      </c>
      <c r="D1265">
        <v>0</v>
      </c>
      <c r="E1265">
        <v>2400</v>
      </c>
      <c r="F1265" s="7">
        <v>-1.796</v>
      </c>
      <c r="G1265" s="7">
        <v>9.3000000000000007</v>
      </c>
      <c r="H1265" s="7">
        <v>0</v>
      </c>
      <c r="I1265" s="7" t="str">
        <f t="shared" si="97"/>
        <v/>
      </c>
      <c r="J1265" s="7" t="str">
        <f t="shared" si="98"/>
        <v/>
      </c>
      <c r="K1265" s="7">
        <v>0</v>
      </c>
      <c r="L1265" s="7" t="str">
        <f t="shared" si="99"/>
        <v/>
      </c>
      <c r="M1265" s="7" t="str">
        <f t="shared" si="100"/>
        <v/>
      </c>
      <c r="N1265" s="7">
        <v>0</v>
      </c>
      <c r="O1265" s="7"/>
      <c r="P1265" s="7"/>
      <c r="Q1265" s="7"/>
      <c r="AC1265"/>
      <c r="AD1265" s="14"/>
    </row>
    <row r="1266" spans="1:30" x14ac:dyDescent="0.25">
      <c r="A1266" t="b">
        <f t="shared" si="101"/>
        <v>1</v>
      </c>
      <c r="B1266">
        <v>2006</v>
      </c>
      <c r="C1266">
        <v>174</v>
      </c>
      <c r="D1266">
        <v>0</v>
      </c>
      <c r="E1266">
        <v>100</v>
      </c>
      <c r="F1266" s="7">
        <v>-2.1749999999999998</v>
      </c>
      <c r="G1266" s="7">
        <v>8.8699999999999992</v>
      </c>
      <c r="H1266" s="7">
        <v>0</v>
      </c>
      <c r="I1266" s="7">
        <f t="shared" si="97"/>
        <v>0</v>
      </c>
      <c r="J1266" s="7">
        <f t="shared" si="98"/>
        <v>178.41570833333333</v>
      </c>
      <c r="K1266" s="7">
        <v>0</v>
      </c>
      <c r="L1266" s="7">
        <f t="shared" si="99"/>
        <v>16.46</v>
      </c>
      <c r="M1266" s="7">
        <f t="shared" si="100"/>
        <v>8.8699999999999992</v>
      </c>
      <c r="N1266" s="7">
        <v>0</v>
      </c>
      <c r="O1266" s="7"/>
      <c r="P1266" s="7"/>
      <c r="Q1266" s="7"/>
      <c r="AC1266"/>
      <c r="AD1266" s="14"/>
    </row>
    <row r="1267" spans="1:30" x14ac:dyDescent="0.25">
      <c r="A1267" t="b">
        <f t="shared" si="101"/>
        <v>0</v>
      </c>
      <c r="B1267">
        <v>2006</v>
      </c>
      <c r="C1267">
        <v>174</v>
      </c>
      <c r="D1267">
        <v>0</v>
      </c>
      <c r="E1267">
        <v>200</v>
      </c>
      <c r="F1267" s="7">
        <v>-1.198</v>
      </c>
      <c r="G1267" s="7">
        <v>9.33</v>
      </c>
      <c r="H1267" s="7">
        <v>0</v>
      </c>
      <c r="I1267" s="7" t="str">
        <f t="shared" si="97"/>
        <v/>
      </c>
      <c r="J1267" s="7" t="str">
        <f t="shared" si="98"/>
        <v/>
      </c>
      <c r="K1267" s="7">
        <v>0</v>
      </c>
      <c r="L1267" s="7" t="str">
        <f t="shared" si="99"/>
        <v/>
      </c>
      <c r="M1267" s="7" t="str">
        <f t="shared" si="100"/>
        <v/>
      </c>
      <c r="N1267" s="7">
        <v>0</v>
      </c>
      <c r="O1267" s="7"/>
      <c r="P1267" s="7"/>
      <c r="Q1267" s="7"/>
      <c r="AC1267"/>
      <c r="AD1267" s="14"/>
    </row>
    <row r="1268" spans="1:30" x14ac:dyDescent="0.25">
      <c r="A1268" t="b">
        <f t="shared" si="101"/>
        <v>0</v>
      </c>
      <c r="B1268">
        <v>2006</v>
      </c>
      <c r="C1268">
        <v>174</v>
      </c>
      <c r="D1268">
        <v>0</v>
      </c>
      <c r="E1268">
        <v>300</v>
      </c>
      <c r="F1268" s="7">
        <v>-0.65700000000000003</v>
      </c>
      <c r="G1268" s="7">
        <v>9.57</v>
      </c>
      <c r="H1268" s="7">
        <v>0</v>
      </c>
      <c r="I1268" s="7" t="str">
        <f t="shared" si="97"/>
        <v/>
      </c>
      <c r="J1268" s="7" t="str">
        <f t="shared" si="98"/>
        <v/>
      </c>
      <c r="K1268" s="7">
        <v>0</v>
      </c>
      <c r="L1268" s="7" t="str">
        <f t="shared" si="99"/>
        <v/>
      </c>
      <c r="M1268" s="7" t="str">
        <f t="shared" si="100"/>
        <v/>
      </c>
      <c r="N1268" s="7">
        <v>0</v>
      </c>
      <c r="O1268" s="7"/>
      <c r="P1268" s="7"/>
      <c r="Q1268" s="7"/>
      <c r="AC1268"/>
      <c r="AD1268" s="14"/>
    </row>
    <row r="1269" spans="1:30" x14ac:dyDescent="0.25">
      <c r="A1269" t="b">
        <f t="shared" si="101"/>
        <v>0</v>
      </c>
      <c r="B1269">
        <v>2006</v>
      </c>
      <c r="C1269">
        <v>174</v>
      </c>
      <c r="D1269">
        <v>0</v>
      </c>
      <c r="E1269">
        <v>400</v>
      </c>
      <c r="F1269" s="7">
        <v>-0.10299999999999999</v>
      </c>
      <c r="G1269" s="7">
        <v>9.7100000000000009</v>
      </c>
      <c r="H1269" s="7">
        <v>0</v>
      </c>
      <c r="I1269" s="7" t="str">
        <f t="shared" si="97"/>
        <v/>
      </c>
      <c r="J1269" s="7" t="str">
        <f t="shared" si="98"/>
        <v/>
      </c>
      <c r="K1269" s="7">
        <v>0</v>
      </c>
      <c r="L1269" s="7" t="str">
        <f t="shared" si="99"/>
        <v/>
      </c>
      <c r="M1269" s="7" t="str">
        <f t="shared" si="100"/>
        <v/>
      </c>
      <c r="N1269" s="7">
        <v>0</v>
      </c>
      <c r="O1269" s="7"/>
      <c r="P1269" s="7"/>
      <c r="Q1269" s="7"/>
      <c r="AC1269"/>
      <c r="AD1269" s="14"/>
    </row>
    <row r="1270" spans="1:30" x14ac:dyDescent="0.25">
      <c r="A1270" t="b">
        <f t="shared" si="101"/>
        <v>0</v>
      </c>
      <c r="B1270">
        <v>2006</v>
      </c>
      <c r="C1270">
        <v>174</v>
      </c>
      <c r="D1270">
        <v>0</v>
      </c>
      <c r="E1270">
        <v>500</v>
      </c>
      <c r="F1270" s="7">
        <v>5.9550000000000001</v>
      </c>
      <c r="G1270" s="7">
        <v>9.7100000000000009</v>
      </c>
      <c r="H1270" s="7">
        <v>0</v>
      </c>
      <c r="I1270" s="7" t="str">
        <f t="shared" si="97"/>
        <v/>
      </c>
      <c r="J1270" s="7" t="str">
        <f t="shared" si="98"/>
        <v/>
      </c>
      <c r="K1270" s="7">
        <v>0</v>
      </c>
      <c r="L1270" s="7" t="str">
        <f t="shared" si="99"/>
        <v/>
      </c>
      <c r="M1270" s="7" t="str">
        <f t="shared" si="100"/>
        <v/>
      </c>
      <c r="N1270" s="7">
        <v>0</v>
      </c>
      <c r="O1270" s="7"/>
      <c r="P1270" s="7"/>
      <c r="Q1270" s="7"/>
      <c r="AC1270"/>
      <c r="AD1270" s="14"/>
    </row>
    <row r="1271" spans="1:30" x14ac:dyDescent="0.25">
      <c r="A1271" t="b">
        <f t="shared" si="101"/>
        <v>0</v>
      </c>
      <c r="B1271">
        <v>2006</v>
      </c>
      <c r="C1271">
        <v>174</v>
      </c>
      <c r="D1271">
        <v>0</v>
      </c>
      <c r="E1271">
        <v>600</v>
      </c>
      <c r="F1271" s="7">
        <v>42.44</v>
      </c>
      <c r="G1271" s="7">
        <v>9.98</v>
      </c>
      <c r="H1271" s="7">
        <v>0</v>
      </c>
      <c r="I1271" s="7" t="str">
        <f t="shared" si="97"/>
        <v/>
      </c>
      <c r="J1271" s="7" t="str">
        <f t="shared" si="98"/>
        <v/>
      </c>
      <c r="K1271" s="7">
        <v>0</v>
      </c>
      <c r="L1271" s="7" t="str">
        <f t="shared" si="99"/>
        <v/>
      </c>
      <c r="M1271" s="7" t="str">
        <f t="shared" si="100"/>
        <v/>
      </c>
      <c r="N1271" s="7">
        <v>0</v>
      </c>
      <c r="O1271" s="7"/>
      <c r="P1271" s="7"/>
      <c r="Q1271" s="7"/>
      <c r="AC1271"/>
      <c r="AD1271" s="14"/>
    </row>
    <row r="1272" spans="1:30" x14ac:dyDescent="0.25">
      <c r="A1272" t="b">
        <f t="shared" si="101"/>
        <v>0</v>
      </c>
      <c r="B1272">
        <v>2006</v>
      </c>
      <c r="C1272">
        <v>174</v>
      </c>
      <c r="D1272">
        <v>0</v>
      </c>
      <c r="E1272">
        <v>700</v>
      </c>
      <c r="F1272" s="7">
        <v>109.2</v>
      </c>
      <c r="G1272" s="7">
        <v>10.63</v>
      </c>
      <c r="H1272" s="7">
        <v>0</v>
      </c>
      <c r="I1272" s="7" t="str">
        <f t="shared" si="97"/>
        <v/>
      </c>
      <c r="J1272" s="7" t="str">
        <f t="shared" si="98"/>
        <v/>
      </c>
      <c r="K1272" s="7">
        <v>0</v>
      </c>
      <c r="L1272" s="7" t="str">
        <f t="shared" si="99"/>
        <v/>
      </c>
      <c r="M1272" s="7" t="str">
        <f t="shared" si="100"/>
        <v/>
      </c>
      <c r="N1272" s="7">
        <v>0</v>
      </c>
      <c r="O1272" s="7"/>
      <c r="P1272" s="7"/>
      <c r="Q1272" s="7"/>
      <c r="AC1272"/>
      <c r="AD1272" s="14"/>
    </row>
    <row r="1273" spans="1:30" x14ac:dyDescent="0.25">
      <c r="A1273" t="b">
        <f t="shared" si="101"/>
        <v>0</v>
      </c>
      <c r="B1273">
        <v>2006</v>
      </c>
      <c r="C1273">
        <v>174</v>
      </c>
      <c r="D1273">
        <v>0</v>
      </c>
      <c r="E1273">
        <v>800</v>
      </c>
      <c r="F1273" s="7">
        <v>196.2</v>
      </c>
      <c r="G1273" s="7">
        <v>11.48</v>
      </c>
      <c r="H1273" s="7">
        <v>0</v>
      </c>
      <c r="I1273" s="7" t="str">
        <f t="shared" si="97"/>
        <v/>
      </c>
      <c r="J1273" s="7" t="str">
        <f t="shared" si="98"/>
        <v/>
      </c>
      <c r="K1273" s="7">
        <v>0</v>
      </c>
      <c r="L1273" s="7" t="str">
        <f t="shared" si="99"/>
        <v/>
      </c>
      <c r="M1273" s="7" t="str">
        <f t="shared" si="100"/>
        <v/>
      </c>
      <c r="N1273" s="7">
        <v>0</v>
      </c>
      <c r="O1273" s="7"/>
      <c r="P1273" s="7"/>
      <c r="Q1273" s="7"/>
      <c r="AC1273"/>
      <c r="AD1273" s="14"/>
    </row>
    <row r="1274" spans="1:30" x14ac:dyDescent="0.25">
      <c r="A1274" t="b">
        <f t="shared" si="101"/>
        <v>0</v>
      </c>
      <c r="B1274">
        <v>2006</v>
      </c>
      <c r="C1274">
        <v>174</v>
      </c>
      <c r="D1274">
        <v>0</v>
      </c>
      <c r="E1274">
        <v>900</v>
      </c>
      <c r="F1274" s="7">
        <v>308.5</v>
      </c>
      <c r="G1274" s="7">
        <v>12.71</v>
      </c>
      <c r="H1274" s="7">
        <v>0</v>
      </c>
      <c r="I1274" s="7" t="str">
        <f t="shared" si="97"/>
        <v/>
      </c>
      <c r="J1274" s="7" t="str">
        <f t="shared" si="98"/>
        <v/>
      </c>
      <c r="K1274" s="7">
        <v>0</v>
      </c>
      <c r="L1274" s="7" t="str">
        <f t="shared" si="99"/>
        <v/>
      </c>
      <c r="M1274" s="7" t="str">
        <f t="shared" si="100"/>
        <v/>
      </c>
      <c r="N1274" s="7">
        <v>0</v>
      </c>
      <c r="O1274" s="7"/>
      <c r="P1274" s="7"/>
      <c r="Q1274" s="7"/>
      <c r="AC1274"/>
      <c r="AD1274" s="14"/>
    </row>
    <row r="1275" spans="1:30" x14ac:dyDescent="0.25">
      <c r="A1275" t="b">
        <f t="shared" si="101"/>
        <v>0</v>
      </c>
      <c r="B1275">
        <v>2006</v>
      </c>
      <c r="C1275">
        <v>174</v>
      </c>
      <c r="D1275">
        <v>0</v>
      </c>
      <c r="E1275">
        <v>1000</v>
      </c>
      <c r="F1275" s="7">
        <v>341.5</v>
      </c>
      <c r="G1275" s="7">
        <v>13.56</v>
      </c>
      <c r="H1275" s="7">
        <v>0</v>
      </c>
      <c r="I1275" s="7" t="str">
        <f t="shared" si="97"/>
        <v/>
      </c>
      <c r="J1275" s="7" t="str">
        <f t="shared" si="98"/>
        <v/>
      </c>
      <c r="K1275" s="7">
        <v>0</v>
      </c>
      <c r="L1275" s="7" t="str">
        <f t="shared" si="99"/>
        <v/>
      </c>
      <c r="M1275" s="7" t="str">
        <f t="shared" si="100"/>
        <v/>
      </c>
      <c r="N1275" s="7">
        <v>0</v>
      </c>
      <c r="O1275" s="7"/>
      <c r="P1275" s="7"/>
      <c r="Q1275" s="7"/>
      <c r="AC1275"/>
      <c r="AD1275" s="14"/>
    </row>
    <row r="1276" spans="1:30" x14ac:dyDescent="0.25">
      <c r="A1276" t="b">
        <f t="shared" si="101"/>
        <v>0</v>
      </c>
      <c r="B1276">
        <v>2006</v>
      </c>
      <c r="C1276">
        <v>174</v>
      </c>
      <c r="D1276">
        <v>0</v>
      </c>
      <c r="E1276">
        <v>1100</v>
      </c>
      <c r="F1276" s="7">
        <v>214</v>
      </c>
      <c r="G1276" s="7">
        <v>13.47</v>
      </c>
      <c r="H1276" s="7">
        <v>0</v>
      </c>
      <c r="I1276" s="7" t="str">
        <f t="shared" si="97"/>
        <v/>
      </c>
      <c r="J1276" s="7" t="str">
        <f t="shared" si="98"/>
        <v/>
      </c>
      <c r="K1276" s="7">
        <v>0</v>
      </c>
      <c r="L1276" s="7" t="str">
        <f t="shared" si="99"/>
        <v/>
      </c>
      <c r="M1276" s="7" t="str">
        <f t="shared" si="100"/>
        <v/>
      </c>
      <c r="N1276" s="7">
        <v>0</v>
      </c>
      <c r="O1276" s="7"/>
      <c r="P1276" s="7"/>
      <c r="Q1276" s="7"/>
      <c r="AC1276"/>
      <c r="AD1276" s="14"/>
    </row>
    <row r="1277" spans="1:30" x14ac:dyDescent="0.25">
      <c r="A1277" t="b">
        <f t="shared" si="101"/>
        <v>0</v>
      </c>
      <c r="B1277">
        <v>2006</v>
      </c>
      <c r="C1277">
        <v>174</v>
      </c>
      <c r="D1277">
        <v>0</v>
      </c>
      <c r="E1277">
        <v>1200</v>
      </c>
      <c r="F1277" s="7">
        <v>382.3</v>
      </c>
      <c r="G1277" s="7">
        <v>14.32</v>
      </c>
      <c r="H1277" s="7">
        <v>0</v>
      </c>
      <c r="I1277" s="7" t="str">
        <f t="shared" si="97"/>
        <v/>
      </c>
      <c r="J1277" s="7" t="str">
        <f t="shared" si="98"/>
        <v/>
      </c>
      <c r="K1277" s="7">
        <v>0</v>
      </c>
      <c r="L1277" s="7" t="str">
        <f t="shared" si="99"/>
        <v/>
      </c>
      <c r="M1277" s="7" t="str">
        <f t="shared" si="100"/>
        <v/>
      </c>
      <c r="N1277" s="7">
        <v>0</v>
      </c>
      <c r="O1277" s="7"/>
      <c r="P1277" s="7"/>
      <c r="Q1277" s="7"/>
      <c r="AC1277"/>
      <c r="AD1277" s="14"/>
    </row>
    <row r="1278" spans="1:30" x14ac:dyDescent="0.25">
      <c r="A1278" t="b">
        <f t="shared" si="101"/>
        <v>0</v>
      </c>
      <c r="B1278">
        <v>2006</v>
      </c>
      <c r="C1278">
        <v>174</v>
      </c>
      <c r="D1278">
        <v>0</v>
      </c>
      <c r="E1278">
        <v>1300</v>
      </c>
      <c r="F1278" s="7">
        <v>389.3</v>
      </c>
      <c r="G1278" s="7">
        <v>14.48</v>
      </c>
      <c r="H1278" s="7">
        <v>0</v>
      </c>
      <c r="I1278" s="7" t="str">
        <f t="shared" si="97"/>
        <v/>
      </c>
      <c r="J1278" s="7" t="str">
        <f t="shared" si="98"/>
        <v/>
      </c>
      <c r="K1278" s="7">
        <v>0</v>
      </c>
      <c r="L1278" s="7" t="str">
        <f t="shared" si="99"/>
        <v/>
      </c>
      <c r="M1278" s="7" t="str">
        <f t="shared" si="100"/>
        <v/>
      </c>
      <c r="N1278" s="7">
        <v>0</v>
      </c>
      <c r="O1278" s="7"/>
      <c r="P1278" s="7"/>
      <c r="Q1278" s="7"/>
      <c r="AC1278"/>
      <c r="AD1278" s="14"/>
    </row>
    <row r="1279" spans="1:30" x14ac:dyDescent="0.25">
      <c r="A1279" t="b">
        <f t="shared" si="101"/>
        <v>0</v>
      </c>
      <c r="B1279">
        <v>2006</v>
      </c>
      <c r="C1279">
        <v>174</v>
      </c>
      <c r="D1279">
        <v>0</v>
      </c>
      <c r="E1279">
        <v>1400</v>
      </c>
      <c r="F1279" s="7">
        <v>546.29999999999995</v>
      </c>
      <c r="G1279" s="7">
        <v>15.37</v>
      </c>
      <c r="H1279" s="7">
        <v>0</v>
      </c>
      <c r="I1279" s="7" t="str">
        <f t="shared" si="97"/>
        <v/>
      </c>
      <c r="J1279" s="7" t="str">
        <f t="shared" si="98"/>
        <v/>
      </c>
      <c r="K1279" s="7">
        <v>0</v>
      </c>
      <c r="L1279" s="7" t="str">
        <f t="shared" si="99"/>
        <v/>
      </c>
      <c r="M1279" s="7" t="str">
        <f t="shared" si="100"/>
        <v/>
      </c>
      <c r="N1279" s="7">
        <v>0</v>
      </c>
      <c r="O1279" s="7"/>
      <c r="P1279" s="7"/>
      <c r="Q1279" s="7"/>
      <c r="AC1279"/>
      <c r="AD1279" s="14"/>
    </row>
    <row r="1280" spans="1:30" x14ac:dyDescent="0.25">
      <c r="A1280" t="b">
        <f t="shared" si="101"/>
        <v>0</v>
      </c>
      <c r="B1280">
        <v>2006</v>
      </c>
      <c r="C1280">
        <v>174</v>
      </c>
      <c r="D1280">
        <v>0</v>
      </c>
      <c r="E1280">
        <v>1500</v>
      </c>
      <c r="F1280" s="7">
        <v>493.7</v>
      </c>
      <c r="G1280" s="7">
        <v>16</v>
      </c>
      <c r="H1280" s="7">
        <v>0</v>
      </c>
      <c r="I1280" s="7" t="str">
        <f t="shared" si="97"/>
        <v/>
      </c>
      <c r="J1280" s="7" t="str">
        <f t="shared" si="98"/>
        <v/>
      </c>
      <c r="K1280" s="7">
        <v>0</v>
      </c>
      <c r="L1280" s="7" t="str">
        <f t="shared" si="99"/>
        <v/>
      </c>
      <c r="M1280" s="7" t="str">
        <f t="shared" si="100"/>
        <v/>
      </c>
      <c r="N1280" s="7">
        <v>0</v>
      </c>
      <c r="O1280" s="7"/>
      <c r="P1280" s="7"/>
      <c r="Q1280" s="7"/>
      <c r="AC1280"/>
      <c r="AD1280" s="14"/>
    </row>
    <row r="1281" spans="1:30" x14ac:dyDescent="0.25">
      <c r="A1281" t="b">
        <f t="shared" si="101"/>
        <v>0</v>
      </c>
      <c r="B1281">
        <v>2006</v>
      </c>
      <c r="C1281">
        <v>174</v>
      </c>
      <c r="D1281">
        <v>0</v>
      </c>
      <c r="E1281">
        <v>1600</v>
      </c>
      <c r="F1281" s="7">
        <v>452.7</v>
      </c>
      <c r="G1281" s="7">
        <v>16.36</v>
      </c>
      <c r="H1281" s="7">
        <v>0</v>
      </c>
      <c r="I1281" s="7" t="str">
        <f t="shared" si="97"/>
        <v/>
      </c>
      <c r="J1281" s="7" t="str">
        <f t="shared" si="98"/>
        <v/>
      </c>
      <c r="K1281" s="7">
        <v>0</v>
      </c>
      <c r="L1281" s="7" t="str">
        <f t="shared" si="99"/>
        <v/>
      </c>
      <c r="M1281" s="7" t="str">
        <f t="shared" si="100"/>
        <v/>
      </c>
      <c r="N1281" s="7">
        <v>0</v>
      </c>
      <c r="O1281" s="7"/>
      <c r="P1281" s="7"/>
      <c r="Q1281" s="7"/>
      <c r="AC1281"/>
      <c r="AD1281" s="14"/>
    </row>
    <row r="1282" spans="1:30" x14ac:dyDescent="0.25">
      <c r="A1282" t="b">
        <f t="shared" si="101"/>
        <v>0</v>
      </c>
      <c r="B1282">
        <v>2006</v>
      </c>
      <c r="C1282">
        <v>174</v>
      </c>
      <c r="D1282">
        <v>0</v>
      </c>
      <c r="E1282">
        <v>1700</v>
      </c>
      <c r="F1282" s="7">
        <v>369.1</v>
      </c>
      <c r="G1282" s="7">
        <v>16.41</v>
      </c>
      <c r="H1282" s="7">
        <v>0</v>
      </c>
      <c r="I1282" s="7" t="str">
        <f t="shared" ref="I1282:I1345" si="102">IF(AND(B1282=B1281,C1282=C1281),"",SUMIFS($H$2:$H$1529,$B$2:$B$1529,B1282,$C$2:$C$1529,C1282))</f>
        <v/>
      </c>
      <c r="J1282" s="7" t="str">
        <f t="shared" ref="J1282:J1345" si="103">IF(AND(B1282=B1281,C1282=C1281),"",AVERAGEIFS($F$2:$F$1529,$B$2:$B$1529,B1282,$C$2:$C$1529,C1282))</f>
        <v/>
      </c>
      <c r="K1282" s="7">
        <v>0</v>
      </c>
      <c r="L1282" s="7" t="str">
        <f t="shared" ref="L1282:L1345" si="104">IF(AND(B1282=B1281,C1282=C1281),"",_xlfn.MAXIFS($G$2:$G$1529,$B$2:$B$1529,B1282,$C$2:$C$1529,C1282))</f>
        <v/>
      </c>
      <c r="M1282" s="7" t="str">
        <f t="shared" ref="M1282:M1345" si="105">IF(AND(B1282=B1281,C1282=C1281),"",_xlfn.MINIFS($G$2:$G$1529,$B$2:$B$1529,B1282,$C$2:$C$1529,C1282))</f>
        <v/>
      </c>
      <c r="N1282" s="7">
        <v>0</v>
      </c>
      <c r="O1282" s="7"/>
      <c r="P1282" s="7"/>
      <c r="Q1282" s="7"/>
      <c r="AC1282"/>
      <c r="AD1282" s="14"/>
    </row>
    <row r="1283" spans="1:30" x14ac:dyDescent="0.25">
      <c r="A1283" t="b">
        <f t="shared" ref="A1283:A1346" si="106">NOT(I1283="")</f>
        <v>0</v>
      </c>
      <c r="B1283">
        <v>2006</v>
      </c>
      <c r="C1283">
        <v>174</v>
      </c>
      <c r="D1283">
        <v>0</v>
      </c>
      <c r="E1283">
        <v>1800</v>
      </c>
      <c r="F1283" s="7">
        <v>212</v>
      </c>
      <c r="G1283" s="7">
        <v>16.25</v>
      </c>
      <c r="H1283" s="7">
        <v>0</v>
      </c>
      <c r="I1283" s="7" t="str">
        <f t="shared" si="102"/>
        <v/>
      </c>
      <c r="J1283" s="7" t="str">
        <f t="shared" si="103"/>
        <v/>
      </c>
      <c r="K1283" s="7">
        <v>0</v>
      </c>
      <c r="L1283" s="7" t="str">
        <f t="shared" si="104"/>
        <v/>
      </c>
      <c r="M1283" s="7" t="str">
        <f t="shared" si="105"/>
        <v/>
      </c>
      <c r="N1283" s="7">
        <v>0</v>
      </c>
      <c r="O1283" s="7"/>
      <c r="P1283" s="7"/>
      <c r="Q1283" s="7"/>
      <c r="AC1283"/>
      <c r="AD1283" s="14"/>
    </row>
    <row r="1284" spans="1:30" x14ac:dyDescent="0.25">
      <c r="A1284" t="b">
        <f t="shared" si="106"/>
        <v>0</v>
      </c>
      <c r="B1284">
        <v>2006</v>
      </c>
      <c r="C1284">
        <v>174</v>
      </c>
      <c r="D1284">
        <v>0</v>
      </c>
      <c r="E1284">
        <v>1900</v>
      </c>
      <c r="F1284" s="7">
        <v>162.30000000000001</v>
      </c>
      <c r="G1284" s="7">
        <v>16.46</v>
      </c>
      <c r="H1284" s="7">
        <v>0</v>
      </c>
      <c r="I1284" s="7" t="str">
        <f t="shared" si="102"/>
        <v/>
      </c>
      <c r="J1284" s="7" t="str">
        <f t="shared" si="103"/>
        <v/>
      </c>
      <c r="K1284" s="7">
        <v>0</v>
      </c>
      <c r="L1284" s="7" t="str">
        <f t="shared" si="104"/>
        <v/>
      </c>
      <c r="M1284" s="7" t="str">
        <f t="shared" si="105"/>
        <v/>
      </c>
      <c r="N1284" s="7">
        <v>0</v>
      </c>
      <c r="O1284" s="7"/>
      <c r="P1284" s="7"/>
      <c r="Q1284" s="7"/>
      <c r="AC1284"/>
      <c r="AD1284" s="14"/>
    </row>
    <row r="1285" spans="1:30" x14ac:dyDescent="0.25">
      <c r="A1285" t="b">
        <f t="shared" si="106"/>
        <v>0</v>
      </c>
      <c r="B1285">
        <v>2006</v>
      </c>
      <c r="C1285">
        <v>174</v>
      </c>
      <c r="D1285">
        <v>0</v>
      </c>
      <c r="E1285">
        <v>2000</v>
      </c>
      <c r="F1285" s="7">
        <v>56.52</v>
      </c>
      <c r="G1285" s="7">
        <v>14.8</v>
      </c>
      <c r="H1285" s="7">
        <v>0</v>
      </c>
      <c r="I1285" s="7" t="str">
        <f t="shared" si="102"/>
        <v/>
      </c>
      <c r="J1285" s="7" t="str">
        <f t="shared" si="103"/>
        <v/>
      </c>
      <c r="K1285" s="7">
        <v>0</v>
      </c>
      <c r="L1285" s="7" t="str">
        <f t="shared" si="104"/>
        <v/>
      </c>
      <c r="M1285" s="7" t="str">
        <f t="shared" si="105"/>
        <v/>
      </c>
      <c r="N1285" s="7">
        <v>0</v>
      </c>
      <c r="O1285" s="7"/>
      <c r="P1285" s="7"/>
      <c r="Q1285" s="7"/>
      <c r="AC1285"/>
      <c r="AD1285" s="14"/>
    </row>
    <row r="1286" spans="1:30" x14ac:dyDescent="0.25">
      <c r="A1286" t="b">
        <f t="shared" si="106"/>
        <v>0</v>
      </c>
      <c r="B1286">
        <v>2006</v>
      </c>
      <c r="C1286">
        <v>174</v>
      </c>
      <c r="D1286">
        <v>0</v>
      </c>
      <c r="E1286">
        <v>2100</v>
      </c>
      <c r="F1286" s="7">
        <v>11.46</v>
      </c>
      <c r="G1286" s="7">
        <v>13.07</v>
      </c>
      <c r="H1286" s="7">
        <v>0</v>
      </c>
      <c r="I1286" s="7" t="str">
        <f t="shared" si="102"/>
        <v/>
      </c>
      <c r="J1286" s="7" t="str">
        <f t="shared" si="103"/>
        <v/>
      </c>
      <c r="K1286" s="7">
        <v>0</v>
      </c>
      <c r="L1286" s="7" t="str">
        <f t="shared" si="104"/>
        <v/>
      </c>
      <c r="M1286" s="7" t="str">
        <f t="shared" si="105"/>
        <v/>
      </c>
      <c r="N1286" s="7">
        <v>0</v>
      </c>
      <c r="O1286" s="7"/>
      <c r="P1286" s="7"/>
      <c r="Q1286" s="7"/>
      <c r="AC1286"/>
      <c r="AD1286" s="14"/>
    </row>
    <row r="1287" spans="1:30" x14ac:dyDescent="0.25">
      <c r="A1287" t="b">
        <f t="shared" si="106"/>
        <v>0</v>
      </c>
      <c r="B1287">
        <v>2006</v>
      </c>
      <c r="C1287">
        <v>174</v>
      </c>
      <c r="D1287">
        <v>0</v>
      </c>
      <c r="E1287">
        <v>2200</v>
      </c>
      <c r="F1287" s="7">
        <v>-1.2450000000000001</v>
      </c>
      <c r="G1287" s="7">
        <v>12.47</v>
      </c>
      <c r="H1287" s="7">
        <v>0</v>
      </c>
      <c r="I1287" s="7" t="str">
        <f t="shared" si="102"/>
        <v/>
      </c>
      <c r="J1287" s="7" t="str">
        <f t="shared" si="103"/>
        <v/>
      </c>
      <c r="K1287" s="7">
        <v>0</v>
      </c>
      <c r="L1287" s="7" t="str">
        <f t="shared" si="104"/>
        <v/>
      </c>
      <c r="M1287" s="7" t="str">
        <f t="shared" si="105"/>
        <v/>
      </c>
      <c r="N1287" s="7">
        <v>0</v>
      </c>
      <c r="O1287" s="7"/>
      <c r="P1287" s="7"/>
      <c r="Q1287" s="7"/>
      <c r="AC1287"/>
      <c r="AD1287" s="14"/>
    </row>
    <row r="1288" spans="1:30" x14ac:dyDescent="0.25">
      <c r="A1288" t="b">
        <f t="shared" si="106"/>
        <v>0</v>
      </c>
      <c r="B1288">
        <v>2006</v>
      </c>
      <c r="C1288">
        <v>174</v>
      </c>
      <c r="D1288">
        <v>0</v>
      </c>
      <c r="E1288">
        <v>2300</v>
      </c>
      <c r="F1288" s="7">
        <v>-2.9670000000000001</v>
      </c>
      <c r="G1288" s="7">
        <v>11.11</v>
      </c>
      <c r="H1288" s="7">
        <v>0</v>
      </c>
      <c r="I1288" s="7" t="str">
        <f t="shared" si="102"/>
        <v/>
      </c>
      <c r="J1288" s="7" t="str">
        <f t="shared" si="103"/>
        <v/>
      </c>
      <c r="K1288" s="7">
        <v>0</v>
      </c>
      <c r="L1288" s="7" t="str">
        <f t="shared" si="104"/>
        <v/>
      </c>
      <c r="M1288" s="7" t="str">
        <f t="shared" si="105"/>
        <v/>
      </c>
      <c r="N1288" s="7">
        <v>0</v>
      </c>
      <c r="O1288" s="7"/>
      <c r="P1288" s="7"/>
      <c r="Q1288" s="7"/>
      <c r="AC1288"/>
      <c r="AD1288" s="14"/>
    </row>
    <row r="1289" spans="1:30" x14ac:dyDescent="0.25">
      <c r="A1289" t="b">
        <f t="shared" si="106"/>
        <v>0</v>
      </c>
      <c r="B1289">
        <v>2006</v>
      </c>
      <c r="C1289">
        <v>174</v>
      </c>
      <c r="D1289">
        <v>0</v>
      </c>
      <c r="E1289">
        <v>2400</v>
      </c>
      <c r="F1289" s="7">
        <v>-3.153</v>
      </c>
      <c r="G1289" s="7">
        <v>9.93</v>
      </c>
      <c r="H1289" s="7">
        <v>0</v>
      </c>
      <c r="I1289" s="7" t="str">
        <f t="shared" si="102"/>
        <v/>
      </c>
      <c r="J1289" s="7" t="str">
        <f t="shared" si="103"/>
        <v/>
      </c>
      <c r="K1289" s="7">
        <v>0</v>
      </c>
      <c r="L1289" s="7" t="str">
        <f t="shared" si="104"/>
        <v/>
      </c>
      <c r="M1289" s="7" t="str">
        <f t="shared" si="105"/>
        <v/>
      </c>
      <c r="N1289" s="7">
        <v>0</v>
      </c>
      <c r="O1289" s="7"/>
      <c r="P1289" s="7"/>
      <c r="Q1289" s="7"/>
      <c r="AC1289"/>
      <c r="AD1289" s="14"/>
    </row>
    <row r="1290" spans="1:30" x14ac:dyDescent="0.25">
      <c r="A1290" t="b">
        <f t="shared" si="106"/>
        <v>1</v>
      </c>
      <c r="B1290">
        <v>2006</v>
      </c>
      <c r="C1290">
        <v>175</v>
      </c>
      <c r="D1290">
        <v>0</v>
      </c>
      <c r="E1290">
        <v>100</v>
      </c>
      <c r="F1290" s="7">
        <v>-2.8039999999999998</v>
      </c>
      <c r="G1290" s="7">
        <v>7.71</v>
      </c>
      <c r="H1290" s="7">
        <v>0</v>
      </c>
      <c r="I1290" s="7">
        <f t="shared" si="102"/>
        <v>0</v>
      </c>
      <c r="J1290" s="7">
        <f t="shared" si="103"/>
        <v>183.36812499999999</v>
      </c>
      <c r="K1290" s="7">
        <v>0</v>
      </c>
      <c r="L1290" s="7">
        <f t="shared" si="104"/>
        <v>17.43</v>
      </c>
      <c r="M1290" s="7">
        <f t="shared" si="105"/>
        <v>5.54</v>
      </c>
      <c r="N1290" s="7">
        <v>0</v>
      </c>
      <c r="O1290" s="7"/>
      <c r="P1290" s="7"/>
      <c r="Q1290" s="7"/>
      <c r="AC1290"/>
      <c r="AD1290" s="14"/>
    </row>
    <row r="1291" spans="1:30" x14ac:dyDescent="0.25">
      <c r="A1291" t="b">
        <f t="shared" si="106"/>
        <v>0</v>
      </c>
      <c r="B1291">
        <v>2006</v>
      </c>
      <c r="C1291">
        <v>175</v>
      </c>
      <c r="D1291">
        <v>0</v>
      </c>
      <c r="E1291">
        <v>200</v>
      </c>
      <c r="F1291" s="7">
        <v>-0.58899999999999997</v>
      </c>
      <c r="G1291" s="7">
        <v>8.7200000000000006</v>
      </c>
      <c r="H1291" s="7">
        <v>0</v>
      </c>
      <c r="I1291" s="7" t="str">
        <f t="shared" si="102"/>
        <v/>
      </c>
      <c r="J1291" s="7" t="str">
        <f t="shared" si="103"/>
        <v/>
      </c>
      <c r="K1291" s="7">
        <v>0</v>
      </c>
      <c r="L1291" s="7" t="str">
        <f t="shared" si="104"/>
        <v/>
      </c>
      <c r="M1291" s="7" t="str">
        <f t="shared" si="105"/>
        <v/>
      </c>
      <c r="N1291" s="7">
        <v>0</v>
      </c>
      <c r="O1291" s="7"/>
      <c r="P1291" s="7"/>
      <c r="Q1291" s="7"/>
      <c r="AC1291"/>
      <c r="AD1291" s="14"/>
    </row>
    <row r="1292" spans="1:30" x14ac:dyDescent="0.25">
      <c r="A1292" t="b">
        <f t="shared" si="106"/>
        <v>0</v>
      </c>
      <c r="B1292">
        <v>2006</v>
      </c>
      <c r="C1292">
        <v>175</v>
      </c>
      <c r="D1292">
        <v>0</v>
      </c>
      <c r="E1292">
        <v>300</v>
      </c>
      <c r="F1292" s="7">
        <v>-0.57299999999999995</v>
      </c>
      <c r="G1292" s="7">
        <v>9.82</v>
      </c>
      <c r="H1292" s="7">
        <v>0</v>
      </c>
      <c r="I1292" s="7" t="str">
        <f t="shared" si="102"/>
        <v/>
      </c>
      <c r="J1292" s="7" t="str">
        <f t="shared" si="103"/>
        <v/>
      </c>
      <c r="K1292" s="7">
        <v>0</v>
      </c>
      <c r="L1292" s="7" t="str">
        <f t="shared" si="104"/>
        <v/>
      </c>
      <c r="M1292" s="7" t="str">
        <f t="shared" si="105"/>
        <v/>
      </c>
      <c r="N1292" s="7">
        <v>0</v>
      </c>
      <c r="O1292" s="7"/>
      <c r="P1292" s="7"/>
      <c r="Q1292" s="7"/>
      <c r="AC1292"/>
      <c r="AD1292" s="14"/>
    </row>
    <row r="1293" spans="1:30" x14ac:dyDescent="0.25">
      <c r="A1293" t="b">
        <f t="shared" si="106"/>
        <v>0</v>
      </c>
      <c r="B1293">
        <v>2006</v>
      </c>
      <c r="C1293">
        <v>175</v>
      </c>
      <c r="D1293">
        <v>0</v>
      </c>
      <c r="E1293">
        <v>400</v>
      </c>
      <c r="F1293" s="7">
        <v>-0.29399999999999998</v>
      </c>
      <c r="G1293" s="7">
        <v>10.18</v>
      </c>
      <c r="H1293" s="7">
        <v>0</v>
      </c>
      <c r="I1293" s="7" t="str">
        <f t="shared" si="102"/>
        <v/>
      </c>
      <c r="J1293" s="7" t="str">
        <f t="shared" si="103"/>
        <v/>
      </c>
      <c r="K1293" s="7">
        <v>0</v>
      </c>
      <c r="L1293" s="7" t="str">
        <f t="shared" si="104"/>
        <v/>
      </c>
      <c r="M1293" s="7" t="str">
        <f t="shared" si="105"/>
        <v/>
      </c>
      <c r="N1293" s="7">
        <v>0</v>
      </c>
      <c r="O1293" s="7"/>
      <c r="P1293" s="7"/>
      <c r="Q1293" s="7"/>
      <c r="AC1293"/>
      <c r="AD1293" s="14"/>
    </row>
    <row r="1294" spans="1:30" x14ac:dyDescent="0.25">
      <c r="A1294" t="b">
        <f t="shared" si="106"/>
        <v>0</v>
      </c>
      <c r="B1294">
        <v>2006</v>
      </c>
      <c r="C1294">
        <v>175</v>
      </c>
      <c r="D1294">
        <v>0</v>
      </c>
      <c r="E1294">
        <v>500</v>
      </c>
      <c r="F1294" s="7">
        <v>8.73</v>
      </c>
      <c r="G1294" s="7">
        <v>10.39</v>
      </c>
      <c r="H1294" s="7">
        <v>0</v>
      </c>
      <c r="I1294" s="7" t="str">
        <f t="shared" si="102"/>
        <v/>
      </c>
      <c r="J1294" s="7" t="str">
        <f t="shared" si="103"/>
        <v/>
      </c>
      <c r="K1294" s="7">
        <v>0</v>
      </c>
      <c r="L1294" s="7" t="str">
        <f t="shared" si="104"/>
        <v/>
      </c>
      <c r="M1294" s="7" t="str">
        <f t="shared" si="105"/>
        <v/>
      </c>
      <c r="N1294" s="7">
        <v>0</v>
      </c>
      <c r="O1294" s="7"/>
      <c r="P1294" s="7"/>
      <c r="Q1294" s="7"/>
      <c r="AC1294"/>
      <c r="AD1294" s="14"/>
    </row>
    <row r="1295" spans="1:30" x14ac:dyDescent="0.25">
      <c r="A1295" t="b">
        <f t="shared" si="106"/>
        <v>0</v>
      </c>
      <c r="B1295">
        <v>2006</v>
      </c>
      <c r="C1295">
        <v>175</v>
      </c>
      <c r="D1295">
        <v>0</v>
      </c>
      <c r="E1295">
        <v>600</v>
      </c>
      <c r="F1295" s="7">
        <v>41.81</v>
      </c>
      <c r="G1295" s="7">
        <v>10.8</v>
      </c>
      <c r="H1295" s="7">
        <v>0</v>
      </c>
      <c r="I1295" s="7" t="str">
        <f t="shared" si="102"/>
        <v/>
      </c>
      <c r="J1295" s="7" t="str">
        <f t="shared" si="103"/>
        <v/>
      </c>
      <c r="K1295" s="7">
        <v>0</v>
      </c>
      <c r="L1295" s="7" t="str">
        <f t="shared" si="104"/>
        <v/>
      </c>
      <c r="M1295" s="7" t="str">
        <f t="shared" si="105"/>
        <v/>
      </c>
      <c r="N1295" s="7">
        <v>0</v>
      </c>
      <c r="O1295" s="7"/>
      <c r="P1295" s="7"/>
      <c r="Q1295" s="7"/>
      <c r="AC1295"/>
      <c r="AD1295" s="14"/>
    </row>
    <row r="1296" spans="1:30" x14ac:dyDescent="0.25">
      <c r="A1296" t="b">
        <f t="shared" si="106"/>
        <v>0</v>
      </c>
      <c r="B1296">
        <v>2006</v>
      </c>
      <c r="C1296">
        <v>175</v>
      </c>
      <c r="D1296">
        <v>0</v>
      </c>
      <c r="E1296">
        <v>700</v>
      </c>
      <c r="F1296" s="7">
        <v>104.2</v>
      </c>
      <c r="G1296" s="7">
        <v>11.51</v>
      </c>
      <c r="H1296" s="7">
        <v>0</v>
      </c>
      <c r="I1296" s="7" t="str">
        <f t="shared" si="102"/>
        <v/>
      </c>
      <c r="J1296" s="7" t="str">
        <f t="shared" si="103"/>
        <v/>
      </c>
      <c r="K1296" s="7">
        <v>0</v>
      </c>
      <c r="L1296" s="7" t="str">
        <f t="shared" si="104"/>
        <v/>
      </c>
      <c r="M1296" s="7" t="str">
        <f t="shared" si="105"/>
        <v/>
      </c>
      <c r="N1296" s="7">
        <v>0</v>
      </c>
      <c r="O1296" s="7"/>
      <c r="P1296" s="7"/>
      <c r="Q1296" s="7"/>
      <c r="AC1296"/>
      <c r="AD1296" s="14"/>
    </row>
    <row r="1297" spans="1:30" x14ac:dyDescent="0.25">
      <c r="A1297" t="b">
        <f t="shared" si="106"/>
        <v>0</v>
      </c>
      <c r="B1297">
        <v>2006</v>
      </c>
      <c r="C1297">
        <v>175</v>
      </c>
      <c r="D1297">
        <v>0</v>
      </c>
      <c r="E1297">
        <v>800</v>
      </c>
      <c r="F1297" s="7">
        <v>158.6</v>
      </c>
      <c r="G1297" s="7">
        <v>12.02</v>
      </c>
      <c r="H1297" s="7">
        <v>0</v>
      </c>
      <c r="I1297" s="7" t="str">
        <f t="shared" si="102"/>
        <v/>
      </c>
      <c r="J1297" s="7" t="str">
        <f t="shared" si="103"/>
        <v/>
      </c>
      <c r="K1297" s="7">
        <v>0</v>
      </c>
      <c r="L1297" s="7" t="str">
        <f t="shared" si="104"/>
        <v/>
      </c>
      <c r="M1297" s="7" t="str">
        <f t="shared" si="105"/>
        <v/>
      </c>
      <c r="N1297" s="7">
        <v>0</v>
      </c>
      <c r="O1297" s="7"/>
      <c r="P1297" s="7"/>
      <c r="Q1297" s="7"/>
      <c r="AC1297"/>
      <c r="AD1297" s="14"/>
    </row>
    <row r="1298" spans="1:30" x14ac:dyDescent="0.25">
      <c r="A1298" t="b">
        <f t="shared" si="106"/>
        <v>0</v>
      </c>
      <c r="B1298">
        <v>2006</v>
      </c>
      <c r="C1298">
        <v>175</v>
      </c>
      <c r="D1298">
        <v>0</v>
      </c>
      <c r="E1298">
        <v>900</v>
      </c>
      <c r="F1298" s="7">
        <v>267.39999999999998</v>
      </c>
      <c r="G1298" s="7">
        <v>13.21</v>
      </c>
      <c r="H1298" s="7">
        <v>0</v>
      </c>
      <c r="I1298" s="7" t="str">
        <f t="shared" si="102"/>
        <v/>
      </c>
      <c r="J1298" s="7" t="str">
        <f t="shared" si="103"/>
        <v/>
      </c>
      <c r="K1298" s="7">
        <v>0</v>
      </c>
      <c r="L1298" s="7" t="str">
        <f t="shared" si="104"/>
        <v/>
      </c>
      <c r="M1298" s="7" t="str">
        <f t="shared" si="105"/>
        <v/>
      </c>
      <c r="N1298" s="7">
        <v>0</v>
      </c>
      <c r="O1298" s="7"/>
      <c r="P1298" s="7"/>
      <c r="Q1298" s="7"/>
      <c r="AC1298"/>
      <c r="AD1298" s="14"/>
    </row>
    <row r="1299" spans="1:30" x14ac:dyDescent="0.25">
      <c r="A1299" t="b">
        <f t="shared" si="106"/>
        <v>0</v>
      </c>
      <c r="B1299">
        <v>2006</v>
      </c>
      <c r="C1299">
        <v>175</v>
      </c>
      <c r="D1299">
        <v>0</v>
      </c>
      <c r="E1299">
        <v>1000</v>
      </c>
      <c r="F1299" s="7">
        <v>356.9</v>
      </c>
      <c r="G1299" s="7">
        <v>14.11</v>
      </c>
      <c r="H1299" s="7">
        <v>0</v>
      </c>
      <c r="I1299" s="7" t="str">
        <f t="shared" si="102"/>
        <v/>
      </c>
      <c r="J1299" s="7" t="str">
        <f t="shared" si="103"/>
        <v/>
      </c>
      <c r="K1299" s="7">
        <v>0</v>
      </c>
      <c r="L1299" s="7" t="str">
        <f t="shared" si="104"/>
        <v/>
      </c>
      <c r="M1299" s="7" t="str">
        <f t="shared" si="105"/>
        <v/>
      </c>
      <c r="N1299" s="7">
        <v>0</v>
      </c>
      <c r="O1299" s="7"/>
      <c r="P1299" s="7"/>
      <c r="Q1299" s="7"/>
      <c r="AC1299"/>
      <c r="AD1299" s="14"/>
    </row>
    <row r="1300" spans="1:30" x14ac:dyDescent="0.25">
      <c r="A1300" t="b">
        <f t="shared" si="106"/>
        <v>0</v>
      </c>
      <c r="B1300">
        <v>2006</v>
      </c>
      <c r="C1300">
        <v>175</v>
      </c>
      <c r="D1300">
        <v>0</v>
      </c>
      <c r="E1300">
        <v>1100</v>
      </c>
      <c r="F1300" s="7">
        <v>604.1</v>
      </c>
      <c r="G1300" s="7">
        <v>16.23</v>
      </c>
      <c r="H1300" s="7">
        <v>0</v>
      </c>
      <c r="I1300" s="7" t="str">
        <f t="shared" si="102"/>
        <v/>
      </c>
      <c r="J1300" s="7" t="str">
        <f t="shared" si="103"/>
        <v/>
      </c>
      <c r="K1300" s="7">
        <v>0</v>
      </c>
      <c r="L1300" s="7" t="str">
        <f t="shared" si="104"/>
        <v/>
      </c>
      <c r="M1300" s="7" t="str">
        <f t="shared" si="105"/>
        <v/>
      </c>
      <c r="N1300" s="7">
        <v>0</v>
      </c>
      <c r="O1300" s="7"/>
      <c r="P1300" s="7"/>
      <c r="Q1300" s="7"/>
      <c r="AC1300"/>
      <c r="AD1300" s="14"/>
    </row>
    <row r="1301" spans="1:30" x14ac:dyDescent="0.25">
      <c r="A1301" t="b">
        <f t="shared" si="106"/>
        <v>0</v>
      </c>
      <c r="B1301">
        <v>2006</v>
      </c>
      <c r="C1301">
        <v>175</v>
      </c>
      <c r="D1301">
        <v>0</v>
      </c>
      <c r="E1301">
        <v>1200</v>
      </c>
      <c r="F1301" s="7">
        <v>337.8</v>
      </c>
      <c r="G1301" s="7">
        <v>15.66</v>
      </c>
      <c r="H1301" s="7">
        <v>0</v>
      </c>
      <c r="I1301" s="7" t="str">
        <f t="shared" si="102"/>
        <v/>
      </c>
      <c r="J1301" s="7" t="str">
        <f t="shared" si="103"/>
        <v/>
      </c>
      <c r="K1301" s="7">
        <v>0</v>
      </c>
      <c r="L1301" s="7" t="str">
        <f t="shared" si="104"/>
        <v/>
      </c>
      <c r="M1301" s="7" t="str">
        <f t="shared" si="105"/>
        <v/>
      </c>
      <c r="N1301" s="7">
        <v>0</v>
      </c>
      <c r="O1301" s="7"/>
      <c r="P1301" s="7"/>
      <c r="Q1301" s="7"/>
      <c r="AC1301"/>
      <c r="AD1301" s="14"/>
    </row>
    <row r="1302" spans="1:30" x14ac:dyDescent="0.25">
      <c r="A1302" t="b">
        <f t="shared" si="106"/>
        <v>0</v>
      </c>
      <c r="B1302">
        <v>2006</v>
      </c>
      <c r="C1302">
        <v>175</v>
      </c>
      <c r="D1302">
        <v>0</v>
      </c>
      <c r="E1302">
        <v>1300</v>
      </c>
      <c r="F1302" s="7">
        <v>411.7</v>
      </c>
      <c r="G1302" s="7">
        <v>15.75</v>
      </c>
      <c r="H1302" s="7">
        <v>0</v>
      </c>
      <c r="I1302" s="7" t="str">
        <f t="shared" si="102"/>
        <v/>
      </c>
      <c r="J1302" s="7" t="str">
        <f t="shared" si="103"/>
        <v/>
      </c>
      <c r="K1302" s="7">
        <v>0</v>
      </c>
      <c r="L1302" s="7" t="str">
        <f t="shared" si="104"/>
        <v/>
      </c>
      <c r="M1302" s="7" t="str">
        <f t="shared" si="105"/>
        <v/>
      </c>
      <c r="N1302" s="7">
        <v>0</v>
      </c>
      <c r="O1302" s="7"/>
      <c r="P1302" s="7"/>
      <c r="Q1302" s="7"/>
      <c r="AC1302"/>
      <c r="AD1302" s="14"/>
    </row>
    <row r="1303" spans="1:30" x14ac:dyDescent="0.25">
      <c r="A1303" t="b">
        <f t="shared" si="106"/>
        <v>0</v>
      </c>
      <c r="B1303">
        <v>2006</v>
      </c>
      <c r="C1303">
        <v>175</v>
      </c>
      <c r="D1303">
        <v>0</v>
      </c>
      <c r="E1303">
        <v>1400</v>
      </c>
      <c r="F1303" s="7">
        <v>594.29999999999995</v>
      </c>
      <c r="G1303" s="7">
        <v>16.989999999999998</v>
      </c>
      <c r="H1303" s="7">
        <v>0</v>
      </c>
      <c r="I1303" s="7" t="str">
        <f t="shared" si="102"/>
        <v/>
      </c>
      <c r="J1303" s="7" t="str">
        <f t="shared" si="103"/>
        <v/>
      </c>
      <c r="K1303" s="7">
        <v>0</v>
      </c>
      <c r="L1303" s="7" t="str">
        <f t="shared" si="104"/>
        <v/>
      </c>
      <c r="M1303" s="7" t="str">
        <f t="shared" si="105"/>
        <v/>
      </c>
      <c r="N1303" s="7">
        <v>0</v>
      </c>
      <c r="O1303" s="7"/>
      <c r="P1303" s="7"/>
      <c r="Q1303" s="7"/>
      <c r="AC1303"/>
      <c r="AD1303" s="14"/>
    </row>
    <row r="1304" spans="1:30" x14ac:dyDescent="0.25">
      <c r="A1304" t="b">
        <f t="shared" si="106"/>
        <v>0</v>
      </c>
      <c r="B1304">
        <v>2006</v>
      </c>
      <c r="C1304">
        <v>175</v>
      </c>
      <c r="D1304">
        <v>0</v>
      </c>
      <c r="E1304">
        <v>1500</v>
      </c>
      <c r="F1304" s="7">
        <v>495.6</v>
      </c>
      <c r="G1304" s="7">
        <v>17.43</v>
      </c>
      <c r="H1304" s="7">
        <v>0</v>
      </c>
      <c r="I1304" s="7" t="str">
        <f t="shared" si="102"/>
        <v/>
      </c>
      <c r="J1304" s="7" t="str">
        <f t="shared" si="103"/>
        <v/>
      </c>
      <c r="K1304" s="7">
        <v>0</v>
      </c>
      <c r="L1304" s="7" t="str">
        <f t="shared" si="104"/>
        <v/>
      </c>
      <c r="M1304" s="7" t="str">
        <f t="shared" si="105"/>
        <v/>
      </c>
      <c r="N1304" s="7">
        <v>0</v>
      </c>
      <c r="O1304" s="7"/>
      <c r="P1304" s="7"/>
      <c r="Q1304" s="7"/>
      <c r="AC1304"/>
      <c r="AD1304" s="14"/>
    </row>
    <row r="1305" spans="1:30" x14ac:dyDescent="0.25">
      <c r="A1305" t="b">
        <f t="shared" si="106"/>
        <v>0</v>
      </c>
      <c r="B1305">
        <v>2006</v>
      </c>
      <c r="C1305">
        <v>175</v>
      </c>
      <c r="D1305">
        <v>0</v>
      </c>
      <c r="E1305">
        <v>1600</v>
      </c>
      <c r="F1305" s="7">
        <v>339.9</v>
      </c>
      <c r="G1305" s="7">
        <v>16.399999999999999</v>
      </c>
      <c r="H1305" s="7">
        <v>0</v>
      </c>
      <c r="I1305" s="7" t="str">
        <f t="shared" si="102"/>
        <v/>
      </c>
      <c r="J1305" s="7" t="str">
        <f t="shared" si="103"/>
        <v/>
      </c>
      <c r="K1305" s="7">
        <v>0</v>
      </c>
      <c r="L1305" s="7" t="str">
        <f t="shared" si="104"/>
        <v/>
      </c>
      <c r="M1305" s="7" t="str">
        <f t="shared" si="105"/>
        <v/>
      </c>
      <c r="N1305" s="7">
        <v>0</v>
      </c>
      <c r="O1305" s="7"/>
      <c r="P1305" s="7"/>
      <c r="Q1305" s="7"/>
      <c r="AC1305"/>
      <c r="AD1305" s="14"/>
    </row>
    <row r="1306" spans="1:30" x14ac:dyDescent="0.25">
      <c r="A1306" t="b">
        <f t="shared" si="106"/>
        <v>0</v>
      </c>
      <c r="B1306">
        <v>2006</v>
      </c>
      <c r="C1306">
        <v>175</v>
      </c>
      <c r="D1306">
        <v>0</v>
      </c>
      <c r="E1306">
        <v>1700</v>
      </c>
      <c r="F1306" s="7">
        <v>344</v>
      </c>
      <c r="G1306" s="7">
        <v>16.34</v>
      </c>
      <c r="H1306" s="7">
        <v>0</v>
      </c>
      <c r="I1306" s="7" t="str">
        <f t="shared" si="102"/>
        <v/>
      </c>
      <c r="J1306" s="7" t="str">
        <f t="shared" si="103"/>
        <v/>
      </c>
      <c r="K1306" s="7">
        <v>0</v>
      </c>
      <c r="L1306" s="7" t="str">
        <f t="shared" si="104"/>
        <v/>
      </c>
      <c r="M1306" s="7" t="str">
        <f t="shared" si="105"/>
        <v/>
      </c>
      <c r="N1306" s="7">
        <v>0</v>
      </c>
      <c r="O1306" s="7"/>
      <c r="P1306" s="7"/>
      <c r="Q1306" s="7"/>
      <c r="AC1306"/>
      <c r="AD1306" s="14"/>
    </row>
    <row r="1307" spans="1:30" x14ac:dyDescent="0.25">
      <c r="A1307" t="b">
        <f t="shared" si="106"/>
        <v>0</v>
      </c>
      <c r="B1307">
        <v>2006</v>
      </c>
      <c r="C1307">
        <v>175</v>
      </c>
      <c r="D1307">
        <v>0</v>
      </c>
      <c r="E1307">
        <v>1800</v>
      </c>
      <c r="F1307" s="7">
        <v>208.3</v>
      </c>
      <c r="G1307" s="7">
        <v>15.73</v>
      </c>
      <c r="H1307" s="7">
        <v>0</v>
      </c>
      <c r="I1307" s="7" t="str">
        <f t="shared" si="102"/>
        <v/>
      </c>
      <c r="J1307" s="7" t="str">
        <f t="shared" si="103"/>
        <v/>
      </c>
      <c r="K1307" s="7">
        <v>0</v>
      </c>
      <c r="L1307" s="7" t="str">
        <f t="shared" si="104"/>
        <v/>
      </c>
      <c r="M1307" s="7" t="str">
        <f t="shared" si="105"/>
        <v/>
      </c>
      <c r="N1307" s="7">
        <v>0</v>
      </c>
      <c r="O1307" s="7"/>
      <c r="P1307" s="7"/>
      <c r="Q1307" s="7"/>
      <c r="AC1307"/>
      <c r="AD1307" s="14"/>
    </row>
    <row r="1308" spans="1:30" x14ac:dyDescent="0.25">
      <c r="A1308" t="b">
        <f t="shared" si="106"/>
        <v>0</v>
      </c>
      <c r="B1308">
        <v>2006</v>
      </c>
      <c r="C1308">
        <v>175</v>
      </c>
      <c r="D1308">
        <v>0</v>
      </c>
      <c r="E1308">
        <v>1900</v>
      </c>
      <c r="F1308" s="7">
        <v>74.599999999999994</v>
      </c>
      <c r="G1308" s="7">
        <v>14.44</v>
      </c>
      <c r="H1308" s="7">
        <v>0</v>
      </c>
      <c r="I1308" s="7" t="str">
        <f t="shared" si="102"/>
        <v/>
      </c>
      <c r="J1308" s="7" t="str">
        <f t="shared" si="103"/>
        <v/>
      </c>
      <c r="K1308" s="7">
        <v>0</v>
      </c>
      <c r="L1308" s="7" t="str">
        <f t="shared" si="104"/>
        <v/>
      </c>
      <c r="M1308" s="7" t="str">
        <f t="shared" si="105"/>
        <v/>
      </c>
      <c r="N1308" s="7">
        <v>0</v>
      </c>
      <c r="O1308" s="7"/>
      <c r="P1308" s="7"/>
      <c r="Q1308" s="7"/>
      <c r="AC1308"/>
      <c r="AD1308" s="14"/>
    </row>
    <row r="1309" spans="1:30" x14ac:dyDescent="0.25">
      <c r="A1309" t="b">
        <f t="shared" si="106"/>
        <v>0</v>
      </c>
      <c r="B1309">
        <v>2006</v>
      </c>
      <c r="C1309">
        <v>175</v>
      </c>
      <c r="D1309">
        <v>0</v>
      </c>
      <c r="E1309">
        <v>2000</v>
      </c>
      <c r="F1309" s="7">
        <v>47.9</v>
      </c>
      <c r="G1309" s="7">
        <v>13.59</v>
      </c>
      <c r="H1309" s="7">
        <v>0</v>
      </c>
      <c r="I1309" s="7" t="str">
        <f t="shared" si="102"/>
        <v/>
      </c>
      <c r="J1309" s="7" t="str">
        <f t="shared" si="103"/>
        <v/>
      </c>
      <c r="K1309" s="7">
        <v>0</v>
      </c>
      <c r="L1309" s="7" t="str">
        <f t="shared" si="104"/>
        <v/>
      </c>
      <c r="M1309" s="7" t="str">
        <f t="shared" si="105"/>
        <v/>
      </c>
      <c r="N1309" s="7">
        <v>0</v>
      </c>
      <c r="O1309" s="7"/>
      <c r="P1309" s="7"/>
      <c r="Q1309" s="7"/>
      <c r="AC1309"/>
      <c r="AD1309" s="14"/>
    </row>
    <row r="1310" spans="1:30" x14ac:dyDescent="0.25">
      <c r="A1310" t="b">
        <f t="shared" si="106"/>
        <v>0</v>
      </c>
      <c r="B1310">
        <v>2006</v>
      </c>
      <c r="C1310">
        <v>175</v>
      </c>
      <c r="D1310">
        <v>0</v>
      </c>
      <c r="E1310">
        <v>2100</v>
      </c>
      <c r="F1310" s="7">
        <v>18.760000000000002</v>
      </c>
      <c r="G1310" s="7">
        <v>12.86</v>
      </c>
      <c r="H1310" s="7">
        <v>0</v>
      </c>
      <c r="I1310" s="7" t="str">
        <f t="shared" si="102"/>
        <v/>
      </c>
      <c r="J1310" s="7" t="str">
        <f t="shared" si="103"/>
        <v/>
      </c>
      <c r="K1310" s="7">
        <v>0</v>
      </c>
      <c r="L1310" s="7" t="str">
        <f t="shared" si="104"/>
        <v/>
      </c>
      <c r="M1310" s="7" t="str">
        <f t="shared" si="105"/>
        <v/>
      </c>
      <c r="N1310" s="7">
        <v>0</v>
      </c>
      <c r="O1310" s="7"/>
      <c r="P1310" s="7"/>
      <c r="Q1310" s="7"/>
      <c r="AC1310"/>
      <c r="AD1310" s="14"/>
    </row>
    <row r="1311" spans="1:30" x14ac:dyDescent="0.25">
      <c r="A1311" t="b">
        <f t="shared" si="106"/>
        <v>0</v>
      </c>
      <c r="B1311">
        <v>2006</v>
      </c>
      <c r="C1311">
        <v>175</v>
      </c>
      <c r="D1311">
        <v>0</v>
      </c>
      <c r="E1311">
        <v>2200</v>
      </c>
      <c r="F1311" s="7">
        <v>-2.5369999999999999</v>
      </c>
      <c r="G1311" s="7">
        <v>10.02</v>
      </c>
      <c r="H1311" s="7">
        <v>0</v>
      </c>
      <c r="I1311" s="7" t="str">
        <f t="shared" si="102"/>
        <v/>
      </c>
      <c r="J1311" s="7" t="str">
        <f t="shared" si="103"/>
        <v/>
      </c>
      <c r="K1311" s="7">
        <v>0</v>
      </c>
      <c r="L1311" s="7" t="str">
        <f t="shared" si="104"/>
        <v/>
      </c>
      <c r="M1311" s="7" t="str">
        <f t="shared" si="105"/>
        <v/>
      </c>
      <c r="N1311" s="7">
        <v>0</v>
      </c>
      <c r="O1311" s="7"/>
      <c r="P1311" s="7"/>
      <c r="Q1311" s="7"/>
      <c r="AC1311"/>
      <c r="AD1311" s="14"/>
    </row>
    <row r="1312" spans="1:30" x14ac:dyDescent="0.25">
      <c r="A1312" t="b">
        <f t="shared" si="106"/>
        <v>0</v>
      </c>
      <c r="B1312">
        <v>2006</v>
      </c>
      <c r="C1312">
        <v>175</v>
      </c>
      <c r="D1312">
        <v>0</v>
      </c>
      <c r="E1312">
        <v>2300</v>
      </c>
      <c r="F1312" s="7">
        <v>-3.9009999999999998</v>
      </c>
      <c r="G1312" s="7">
        <v>6.9290000000000003</v>
      </c>
      <c r="H1312" s="7">
        <v>0</v>
      </c>
      <c r="I1312" s="7" t="str">
        <f t="shared" si="102"/>
        <v/>
      </c>
      <c r="J1312" s="7" t="str">
        <f t="shared" si="103"/>
        <v/>
      </c>
      <c r="K1312" s="7">
        <v>0</v>
      </c>
      <c r="L1312" s="7" t="str">
        <f t="shared" si="104"/>
        <v/>
      </c>
      <c r="M1312" s="7" t="str">
        <f t="shared" si="105"/>
        <v/>
      </c>
      <c r="N1312" s="7">
        <v>0</v>
      </c>
      <c r="O1312" s="7"/>
      <c r="P1312" s="7"/>
      <c r="Q1312" s="7"/>
      <c r="AC1312"/>
      <c r="AD1312" s="14"/>
    </row>
    <row r="1313" spans="1:30" x14ac:dyDescent="0.25">
      <c r="A1313" t="b">
        <f t="shared" si="106"/>
        <v>0</v>
      </c>
      <c r="B1313">
        <v>2006</v>
      </c>
      <c r="C1313">
        <v>175</v>
      </c>
      <c r="D1313">
        <v>0</v>
      </c>
      <c r="E1313">
        <v>2400</v>
      </c>
      <c r="F1313" s="7">
        <v>-3.0670000000000002</v>
      </c>
      <c r="G1313" s="7">
        <v>5.54</v>
      </c>
      <c r="H1313" s="7">
        <v>0</v>
      </c>
      <c r="I1313" s="7" t="str">
        <f t="shared" si="102"/>
        <v/>
      </c>
      <c r="J1313" s="7" t="str">
        <f t="shared" si="103"/>
        <v/>
      </c>
      <c r="K1313" s="7">
        <v>0</v>
      </c>
      <c r="L1313" s="7" t="str">
        <f t="shared" si="104"/>
        <v/>
      </c>
      <c r="M1313" s="7" t="str">
        <f t="shared" si="105"/>
        <v/>
      </c>
      <c r="N1313" s="7">
        <v>0</v>
      </c>
      <c r="O1313" s="7"/>
      <c r="P1313" s="7"/>
      <c r="Q1313" s="7"/>
      <c r="AC1313"/>
      <c r="AD1313" s="14"/>
    </row>
    <row r="1314" spans="1:30" x14ac:dyDescent="0.25">
      <c r="A1314" t="b">
        <f t="shared" si="106"/>
        <v>1</v>
      </c>
      <c r="B1314">
        <v>2006</v>
      </c>
      <c r="C1314">
        <v>176</v>
      </c>
      <c r="D1314">
        <v>0</v>
      </c>
      <c r="E1314">
        <v>100</v>
      </c>
      <c r="F1314" s="7">
        <v>-1.974</v>
      </c>
      <c r="G1314" s="7">
        <v>5.4480000000000004</v>
      </c>
      <c r="H1314" s="7">
        <v>0</v>
      </c>
      <c r="I1314" s="7">
        <f t="shared" si="102"/>
        <v>0</v>
      </c>
      <c r="J1314" s="7">
        <f t="shared" si="103"/>
        <v>298.3617083333333</v>
      </c>
      <c r="K1314" s="7">
        <v>0</v>
      </c>
      <c r="L1314" s="7">
        <f t="shared" si="104"/>
        <v>18.48</v>
      </c>
      <c r="M1314" s="7">
        <f t="shared" si="105"/>
        <v>4.2450000000000001</v>
      </c>
      <c r="N1314" s="7">
        <v>0</v>
      </c>
      <c r="O1314" s="7"/>
      <c r="P1314" s="7"/>
      <c r="Q1314" s="7"/>
      <c r="AC1314"/>
      <c r="AD1314" s="14"/>
    </row>
    <row r="1315" spans="1:30" x14ac:dyDescent="0.25">
      <c r="A1315" t="b">
        <f t="shared" si="106"/>
        <v>0</v>
      </c>
      <c r="B1315">
        <v>2006</v>
      </c>
      <c r="C1315">
        <v>176</v>
      </c>
      <c r="D1315">
        <v>0</v>
      </c>
      <c r="E1315">
        <v>200</v>
      </c>
      <c r="F1315" s="7">
        <v>-2.6019999999999999</v>
      </c>
      <c r="G1315" s="7">
        <v>5.3419999999999996</v>
      </c>
      <c r="H1315" s="7">
        <v>0</v>
      </c>
      <c r="I1315" s="7" t="str">
        <f t="shared" si="102"/>
        <v/>
      </c>
      <c r="J1315" s="7" t="str">
        <f t="shared" si="103"/>
        <v/>
      </c>
      <c r="K1315" s="7">
        <v>0</v>
      </c>
      <c r="L1315" s="7" t="str">
        <f t="shared" si="104"/>
        <v/>
      </c>
      <c r="M1315" s="7" t="str">
        <f t="shared" si="105"/>
        <v/>
      </c>
      <c r="N1315" s="7">
        <v>0</v>
      </c>
      <c r="O1315" s="7"/>
      <c r="P1315" s="7"/>
      <c r="Q1315" s="7"/>
      <c r="AC1315"/>
      <c r="AD1315" s="14"/>
    </row>
    <row r="1316" spans="1:30" x14ac:dyDescent="0.25">
      <c r="A1316" t="b">
        <f t="shared" si="106"/>
        <v>0</v>
      </c>
      <c r="B1316">
        <v>2006</v>
      </c>
      <c r="C1316">
        <v>176</v>
      </c>
      <c r="D1316">
        <v>0</v>
      </c>
      <c r="E1316">
        <v>300</v>
      </c>
      <c r="F1316" s="7">
        <v>-2.5289999999999999</v>
      </c>
      <c r="G1316" s="7">
        <v>4.5670000000000002</v>
      </c>
      <c r="H1316" s="7">
        <v>0</v>
      </c>
      <c r="I1316" s="7" t="str">
        <f t="shared" si="102"/>
        <v/>
      </c>
      <c r="J1316" s="7" t="str">
        <f t="shared" si="103"/>
        <v/>
      </c>
      <c r="K1316" s="7">
        <v>0</v>
      </c>
      <c r="L1316" s="7" t="str">
        <f t="shared" si="104"/>
        <v/>
      </c>
      <c r="M1316" s="7" t="str">
        <f t="shared" si="105"/>
        <v/>
      </c>
      <c r="N1316" s="7">
        <v>0</v>
      </c>
      <c r="O1316" s="7"/>
      <c r="P1316" s="7"/>
      <c r="Q1316" s="7"/>
      <c r="AC1316"/>
      <c r="AD1316" s="14"/>
    </row>
    <row r="1317" spans="1:30" x14ac:dyDescent="0.25">
      <c r="A1317" t="b">
        <f t="shared" si="106"/>
        <v>0</v>
      </c>
      <c r="B1317">
        <v>2006</v>
      </c>
      <c r="C1317">
        <v>176</v>
      </c>
      <c r="D1317">
        <v>0</v>
      </c>
      <c r="E1317">
        <v>400</v>
      </c>
      <c r="F1317" s="7">
        <v>-4.9000000000000002E-2</v>
      </c>
      <c r="G1317" s="7">
        <v>4.2450000000000001</v>
      </c>
      <c r="H1317" s="7">
        <v>0</v>
      </c>
      <c r="I1317" s="7" t="str">
        <f t="shared" si="102"/>
        <v/>
      </c>
      <c r="J1317" s="7" t="str">
        <f t="shared" si="103"/>
        <v/>
      </c>
      <c r="K1317" s="7">
        <v>0</v>
      </c>
      <c r="L1317" s="7" t="str">
        <f t="shared" si="104"/>
        <v/>
      </c>
      <c r="M1317" s="7" t="str">
        <f t="shared" si="105"/>
        <v/>
      </c>
      <c r="N1317" s="7">
        <v>0</v>
      </c>
      <c r="O1317" s="7"/>
      <c r="P1317" s="7"/>
      <c r="Q1317" s="7"/>
      <c r="AC1317"/>
      <c r="AD1317" s="14"/>
    </row>
    <row r="1318" spans="1:30" x14ac:dyDescent="0.25">
      <c r="A1318" t="b">
        <f t="shared" si="106"/>
        <v>0</v>
      </c>
      <c r="B1318">
        <v>2006</v>
      </c>
      <c r="C1318">
        <v>176</v>
      </c>
      <c r="D1318">
        <v>0</v>
      </c>
      <c r="E1318">
        <v>500</v>
      </c>
      <c r="F1318" s="7">
        <v>19.62</v>
      </c>
      <c r="G1318" s="7">
        <v>4.4029999999999996</v>
      </c>
      <c r="H1318" s="7">
        <v>0</v>
      </c>
      <c r="I1318" s="7" t="str">
        <f t="shared" si="102"/>
        <v/>
      </c>
      <c r="J1318" s="7" t="str">
        <f t="shared" si="103"/>
        <v/>
      </c>
      <c r="K1318" s="7">
        <v>0</v>
      </c>
      <c r="L1318" s="7" t="str">
        <f t="shared" si="104"/>
        <v/>
      </c>
      <c r="M1318" s="7" t="str">
        <f t="shared" si="105"/>
        <v/>
      </c>
      <c r="N1318" s="7">
        <v>0</v>
      </c>
      <c r="O1318" s="7"/>
      <c r="P1318" s="7"/>
      <c r="Q1318" s="7"/>
      <c r="AC1318"/>
      <c r="AD1318" s="14"/>
    </row>
    <row r="1319" spans="1:30" x14ac:dyDescent="0.25">
      <c r="A1319" t="b">
        <f t="shared" si="106"/>
        <v>0</v>
      </c>
      <c r="B1319">
        <v>2006</v>
      </c>
      <c r="C1319">
        <v>176</v>
      </c>
      <c r="D1319">
        <v>0</v>
      </c>
      <c r="E1319">
        <v>600</v>
      </c>
      <c r="F1319" s="7">
        <v>110.2</v>
      </c>
      <c r="G1319" s="7">
        <v>7.26</v>
      </c>
      <c r="H1319" s="7">
        <v>0</v>
      </c>
      <c r="I1319" s="7" t="str">
        <f t="shared" si="102"/>
        <v/>
      </c>
      <c r="J1319" s="7" t="str">
        <f t="shared" si="103"/>
        <v/>
      </c>
      <c r="K1319" s="7">
        <v>0</v>
      </c>
      <c r="L1319" s="7" t="str">
        <f t="shared" si="104"/>
        <v/>
      </c>
      <c r="M1319" s="7" t="str">
        <f t="shared" si="105"/>
        <v/>
      </c>
      <c r="N1319" s="7">
        <v>0</v>
      </c>
      <c r="O1319" s="7"/>
      <c r="P1319" s="7"/>
      <c r="Q1319" s="7"/>
      <c r="AC1319"/>
      <c r="AD1319" s="14"/>
    </row>
    <row r="1320" spans="1:30" x14ac:dyDescent="0.25">
      <c r="A1320" t="b">
        <f t="shared" si="106"/>
        <v>0</v>
      </c>
      <c r="B1320">
        <v>2006</v>
      </c>
      <c r="C1320">
        <v>176</v>
      </c>
      <c r="D1320">
        <v>0</v>
      </c>
      <c r="E1320">
        <v>700</v>
      </c>
      <c r="F1320" s="7">
        <v>221.7</v>
      </c>
      <c r="G1320" s="7">
        <v>10</v>
      </c>
      <c r="H1320" s="7">
        <v>0</v>
      </c>
      <c r="I1320" s="7" t="str">
        <f t="shared" si="102"/>
        <v/>
      </c>
      <c r="J1320" s="7" t="str">
        <f t="shared" si="103"/>
        <v/>
      </c>
      <c r="K1320" s="7">
        <v>0</v>
      </c>
      <c r="L1320" s="7" t="str">
        <f t="shared" si="104"/>
        <v/>
      </c>
      <c r="M1320" s="7" t="str">
        <f t="shared" si="105"/>
        <v/>
      </c>
      <c r="N1320" s="7">
        <v>0</v>
      </c>
      <c r="O1320" s="7"/>
      <c r="P1320" s="7"/>
      <c r="Q1320" s="7"/>
      <c r="AC1320"/>
      <c r="AD1320" s="14"/>
    </row>
    <row r="1321" spans="1:30" x14ac:dyDescent="0.25">
      <c r="A1321" t="b">
        <f t="shared" si="106"/>
        <v>0</v>
      </c>
      <c r="B1321">
        <v>2006</v>
      </c>
      <c r="C1321">
        <v>176</v>
      </c>
      <c r="D1321">
        <v>0</v>
      </c>
      <c r="E1321">
        <v>800</v>
      </c>
      <c r="F1321" s="7">
        <v>400.1</v>
      </c>
      <c r="G1321" s="7">
        <v>12.87</v>
      </c>
      <c r="H1321" s="7">
        <v>0</v>
      </c>
      <c r="I1321" s="7" t="str">
        <f t="shared" si="102"/>
        <v/>
      </c>
      <c r="J1321" s="7" t="str">
        <f t="shared" si="103"/>
        <v/>
      </c>
      <c r="K1321" s="7">
        <v>0</v>
      </c>
      <c r="L1321" s="7" t="str">
        <f t="shared" si="104"/>
        <v/>
      </c>
      <c r="M1321" s="7" t="str">
        <f t="shared" si="105"/>
        <v/>
      </c>
      <c r="N1321" s="7">
        <v>0</v>
      </c>
      <c r="O1321" s="7"/>
      <c r="P1321" s="7"/>
      <c r="Q1321" s="7"/>
      <c r="AC1321"/>
      <c r="AD1321" s="14"/>
    </row>
    <row r="1322" spans="1:30" x14ac:dyDescent="0.25">
      <c r="A1322" t="b">
        <f t="shared" si="106"/>
        <v>0</v>
      </c>
      <c r="B1322">
        <v>2006</v>
      </c>
      <c r="C1322">
        <v>176</v>
      </c>
      <c r="D1322">
        <v>0</v>
      </c>
      <c r="E1322">
        <v>900</v>
      </c>
      <c r="F1322" s="7">
        <v>552.70000000000005</v>
      </c>
      <c r="G1322" s="7">
        <v>15.63</v>
      </c>
      <c r="H1322" s="7">
        <v>0</v>
      </c>
      <c r="I1322" s="7" t="str">
        <f t="shared" si="102"/>
        <v/>
      </c>
      <c r="J1322" s="7" t="str">
        <f t="shared" si="103"/>
        <v/>
      </c>
      <c r="K1322" s="7">
        <v>0</v>
      </c>
      <c r="L1322" s="7" t="str">
        <f t="shared" si="104"/>
        <v/>
      </c>
      <c r="M1322" s="7" t="str">
        <f t="shared" si="105"/>
        <v/>
      </c>
      <c r="N1322" s="7">
        <v>0</v>
      </c>
      <c r="O1322" s="7"/>
      <c r="P1322" s="7"/>
      <c r="Q1322" s="7"/>
      <c r="AC1322"/>
      <c r="AD1322" s="14"/>
    </row>
    <row r="1323" spans="1:30" x14ac:dyDescent="0.25">
      <c r="A1323" t="b">
        <f t="shared" si="106"/>
        <v>0</v>
      </c>
      <c r="B1323">
        <v>2006</v>
      </c>
      <c r="C1323">
        <v>176</v>
      </c>
      <c r="D1323">
        <v>0</v>
      </c>
      <c r="E1323">
        <v>1000</v>
      </c>
      <c r="F1323" s="7">
        <v>636.1</v>
      </c>
      <c r="G1323" s="7">
        <v>17.03</v>
      </c>
      <c r="H1323" s="7">
        <v>0</v>
      </c>
      <c r="I1323" s="7" t="str">
        <f t="shared" si="102"/>
        <v/>
      </c>
      <c r="J1323" s="7" t="str">
        <f t="shared" si="103"/>
        <v/>
      </c>
      <c r="K1323" s="7">
        <v>0</v>
      </c>
      <c r="L1323" s="7" t="str">
        <f t="shared" si="104"/>
        <v/>
      </c>
      <c r="M1323" s="7" t="str">
        <f t="shared" si="105"/>
        <v/>
      </c>
      <c r="N1323" s="7">
        <v>0</v>
      </c>
      <c r="O1323" s="7"/>
      <c r="P1323" s="7"/>
      <c r="Q1323" s="7"/>
      <c r="AC1323"/>
      <c r="AD1323" s="14"/>
    </row>
    <row r="1324" spans="1:30" x14ac:dyDescent="0.25">
      <c r="A1324" t="b">
        <f t="shared" si="106"/>
        <v>0</v>
      </c>
      <c r="B1324">
        <v>2006</v>
      </c>
      <c r="C1324">
        <v>176</v>
      </c>
      <c r="D1324">
        <v>0</v>
      </c>
      <c r="E1324">
        <v>1100</v>
      </c>
      <c r="F1324" s="7">
        <v>801</v>
      </c>
      <c r="G1324" s="7">
        <v>18.100000000000001</v>
      </c>
      <c r="H1324" s="7">
        <v>0</v>
      </c>
      <c r="I1324" s="7" t="str">
        <f t="shared" si="102"/>
        <v/>
      </c>
      <c r="J1324" s="7" t="str">
        <f t="shared" si="103"/>
        <v/>
      </c>
      <c r="K1324" s="7">
        <v>0</v>
      </c>
      <c r="L1324" s="7" t="str">
        <f t="shared" si="104"/>
        <v/>
      </c>
      <c r="M1324" s="7" t="str">
        <f t="shared" si="105"/>
        <v/>
      </c>
      <c r="N1324" s="7">
        <v>0</v>
      </c>
      <c r="O1324" s="7"/>
      <c r="P1324" s="7"/>
      <c r="Q1324" s="7"/>
      <c r="AC1324"/>
      <c r="AD1324" s="14"/>
    </row>
    <row r="1325" spans="1:30" x14ac:dyDescent="0.25">
      <c r="A1325" t="b">
        <f t="shared" si="106"/>
        <v>0</v>
      </c>
      <c r="B1325">
        <v>2006</v>
      </c>
      <c r="C1325">
        <v>176</v>
      </c>
      <c r="D1325">
        <v>0</v>
      </c>
      <c r="E1325">
        <v>1200</v>
      </c>
      <c r="F1325" s="7">
        <v>865</v>
      </c>
      <c r="G1325" s="7">
        <v>18.079999999999998</v>
      </c>
      <c r="H1325" s="7">
        <v>0</v>
      </c>
      <c r="I1325" s="7" t="str">
        <f t="shared" si="102"/>
        <v/>
      </c>
      <c r="J1325" s="7" t="str">
        <f t="shared" si="103"/>
        <v/>
      </c>
      <c r="K1325" s="7">
        <v>0</v>
      </c>
      <c r="L1325" s="7" t="str">
        <f t="shared" si="104"/>
        <v/>
      </c>
      <c r="M1325" s="7" t="str">
        <f t="shared" si="105"/>
        <v/>
      </c>
      <c r="N1325" s="7">
        <v>0</v>
      </c>
      <c r="O1325" s="7"/>
      <c r="P1325" s="7"/>
      <c r="Q1325" s="7"/>
      <c r="AC1325"/>
      <c r="AD1325" s="14"/>
    </row>
    <row r="1326" spans="1:30" x14ac:dyDescent="0.25">
      <c r="A1326" t="b">
        <f t="shared" si="106"/>
        <v>0</v>
      </c>
      <c r="B1326">
        <v>2006</v>
      </c>
      <c r="C1326">
        <v>176</v>
      </c>
      <c r="D1326">
        <v>0</v>
      </c>
      <c r="E1326">
        <v>1300</v>
      </c>
      <c r="F1326" s="7">
        <v>856</v>
      </c>
      <c r="G1326" s="7">
        <v>18.48</v>
      </c>
      <c r="H1326" s="7">
        <v>0</v>
      </c>
      <c r="I1326" s="7" t="str">
        <f t="shared" si="102"/>
        <v/>
      </c>
      <c r="J1326" s="7" t="str">
        <f t="shared" si="103"/>
        <v/>
      </c>
      <c r="K1326" s="7">
        <v>0</v>
      </c>
      <c r="L1326" s="7" t="str">
        <f t="shared" si="104"/>
        <v/>
      </c>
      <c r="M1326" s="7" t="str">
        <f t="shared" si="105"/>
        <v/>
      </c>
      <c r="N1326" s="7">
        <v>0</v>
      </c>
      <c r="O1326" s="7"/>
      <c r="P1326" s="7"/>
      <c r="Q1326" s="7"/>
      <c r="AC1326"/>
      <c r="AD1326" s="14"/>
    </row>
    <row r="1327" spans="1:30" x14ac:dyDescent="0.25">
      <c r="A1327" t="b">
        <f t="shared" si="106"/>
        <v>0</v>
      </c>
      <c r="B1327">
        <v>2006</v>
      </c>
      <c r="C1327">
        <v>176</v>
      </c>
      <c r="D1327">
        <v>0</v>
      </c>
      <c r="E1327">
        <v>1400</v>
      </c>
      <c r="F1327" s="7">
        <v>513.9</v>
      </c>
      <c r="G1327" s="7">
        <v>17.98</v>
      </c>
      <c r="H1327" s="7">
        <v>0</v>
      </c>
      <c r="I1327" s="7" t="str">
        <f t="shared" si="102"/>
        <v/>
      </c>
      <c r="J1327" s="7" t="str">
        <f t="shared" si="103"/>
        <v/>
      </c>
      <c r="K1327" s="7">
        <v>0</v>
      </c>
      <c r="L1327" s="7" t="str">
        <f t="shared" si="104"/>
        <v/>
      </c>
      <c r="M1327" s="7" t="str">
        <f t="shared" si="105"/>
        <v/>
      </c>
      <c r="N1327" s="7">
        <v>0</v>
      </c>
      <c r="O1327" s="7"/>
      <c r="P1327" s="7"/>
      <c r="Q1327" s="7"/>
      <c r="AC1327"/>
      <c r="AD1327" s="14"/>
    </row>
    <row r="1328" spans="1:30" x14ac:dyDescent="0.25">
      <c r="A1328" t="b">
        <f t="shared" si="106"/>
        <v>0</v>
      </c>
      <c r="B1328">
        <v>2006</v>
      </c>
      <c r="C1328">
        <v>176</v>
      </c>
      <c r="D1328">
        <v>0</v>
      </c>
      <c r="E1328">
        <v>1500</v>
      </c>
      <c r="F1328" s="7">
        <v>570</v>
      </c>
      <c r="G1328" s="7">
        <v>17.600000000000001</v>
      </c>
      <c r="H1328" s="7">
        <v>0</v>
      </c>
      <c r="I1328" s="7" t="str">
        <f t="shared" si="102"/>
        <v/>
      </c>
      <c r="J1328" s="7" t="str">
        <f t="shared" si="103"/>
        <v/>
      </c>
      <c r="K1328" s="7">
        <v>0</v>
      </c>
      <c r="L1328" s="7" t="str">
        <f t="shared" si="104"/>
        <v/>
      </c>
      <c r="M1328" s="7" t="str">
        <f t="shared" si="105"/>
        <v/>
      </c>
      <c r="N1328" s="7">
        <v>0</v>
      </c>
      <c r="O1328" s="7"/>
      <c r="P1328" s="7"/>
      <c r="Q1328" s="7"/>
      <c r="AC1328"/>
      <c r="AD1328" s="14"/>
    </row>
    <row r="1329" spans="1:30" x14ac:dyDescent="0.25">
      <c r="A1329" t="b">
        <f t="shared" si="106"/>
        <v>0</v>
      </c>
      <c r="B1329">
        <v>2006</v>
      </c>
      <c r="C1329">
        <v>176</v>
      </c>
      <c r="D1329">
        <v>0</v>
      </c>
      <c r="E1329">
        <v>1600</v>
      </c>
      <c r="F1329" s="7">
        <v>720</v>
      </c>
      <c r="G1329" s="7">
        <v>18.100000000000001</v>
      </c>
      <c r="H1329" s="7">
        <v>0</v>
      </c>
      <c r="I1329" s="7" t="str">
        <f t="shared" si="102"/>
        <v/>
      </c>
      <c r="J1329" s="7" t="str">
        <f t="shared" si="103"/>
        <v/>
      </c>
      <c r="K1329" s="7">
        <v>0</v>
      </c>
      <c r="L1329" s="7" t="str">
        <f t="shared" si="104"/>
        <v/>
      </c>
      <c r="M1329" s="7" t="str">
        <f t="shared" si="105"/>
        <v/>
      </c>
      <c r="N1329" s="7">
        <v>0</v>
      </c>
      <c r="O1329" s="7"/>
      <c r="P1329" s="7"/>
      <c r="Q1329" s="7"/>
      <c r="AC1329"/>
      <c r="AD1329" s="14"/>
    </row>
    <row r="1330" spans="1:30" x14ac:dyDescent="0.25">
      <c r="A1330" t="b">
        <f t="shared" si="106"/>
        <v>0</v>
      </c>
      <c r="B1330">
        <v>2006</v>
      </c>
      <c r="C1330">
        <v>176</v>
      </c>
      <c r="D1330">
        <v>0</v>
      </c>
      <c r="E1330">
        <v>1700</v>
      </c>
      <c r="F1330" s="7">
        <v>478.6</v>
      </c>
      <c r="G1330" s="7">
        <v>17.690000000000001</v>
      </c>
      <c r="H1330" s="7">
        <v>0</v>
      </c>
      <c r="I1330" s="7" t="str">
        <f t="shared" si="102"/>
        <v/>
      </c>
      <c r="J1330" s="7" t="str">
        <f t="shared" si="103"/>
        <v/>
      </c>
      <c r="K1330" s="7">
        <v>0</v>
      </c>
      <c r="L1330" s="7" t="str">
        <f t="shared" si="104"/>
        <v/>
      </c>
      <c r="M1330" s="7" t="str">
        <f t="shared" si="105"/>
        <v/>
      </c>
      <c r="N1330" s="7">
        <v>0</v>
      </c>
      <c r="O1330" s="7"/>
      <c r="P1330" s="7"/>
      <c r="Q1330" s="7"/>
      <c r="AC1330"/>
      <c r="AD1330" s="14"/>
    </row>
    <row r="1331" spans="1:30" x14ac:dyDescent="0.25">
      <c r="A1331" t="b">
        <f t="shared" si="106"/>
        <v>0</v>
      </c>
      <c r="B1331">
        <v>2006</v>
      </c>
      <c r="C1331">
        <v>176</v>
      </c>
      <c r="D1331">
        <v>0</v>
      </c>
      <c r="E1331">
        <v>1800</v>
      </c>
      <c r="F1331" s="7">
        <v>225.6</v>
      </c>
      <c r="G1331" s="7">
        <v>16.28</v>
      </c>
      <c r="H1331" s="7">
        <v>0</v>
      </c>
      <c r="I1331" s="7" t="str">
        <f t="shared" si="102"/>
        <v/>
      </c>
      <c r="J1331" s="7" t="str">
        <f t="shared" si="103"/>
        <v/>
      </c>
      <c r="K1331" s="7">
        <v>0</v>
      </c>
      <c r="L1331" s="7" t="str">
        <f t="shared" si="104"/>
        <v/>
      </c>
      <c r="M1331" s="7" t="str">
        <f t="shared" si="105"/>
        <v/>
      </c>
      <c r="N1331" s="7">
        <v>0</v>
      </c>
      <c r="O1331" s="7"/>
      <c r="P1331" s="7"/>
      <c r="Q1331" s="7"/>
      <c r="AC1331"/>
      <c r="AD1331" s="14"/>
    </row>
    <row r="1332" spans="1:30" x14ac:dyDescent="0.25">
      <c r="A1332" t="b">
        <f t="shared" si="106"/>
        <v>0</v>
      </c>
      <c r="B1332">
        <v>2006</v>
      </c>
      <c r="C1332">
        <v>176</v>
      </c>
      <c r="D1332">
        <v>0</v>
      </c>
      <c r="E1332">
        <v>1900</v>
      </c>
      <c r="F1332" s="7">
        <v>94.2</v>
      </c>
      <c r="G1332" s="7">
        <v>14.75</v>
      </c>
      <c r="H1332" s="7">
        <v>0</v>
      </c>
      <c r="I1332" s="7" t="str">
        <f t="shared" si="102"/>
        <v/>
      </c>
      <c r="J1332" s="7" t="str">
        <f t="shared" si="103"/>
        <v/>
      </c>
      <c r="K1332" s="7">
        <v>0</v>
      </c>
      <c r="L1332" s="7" t="str">
        <f t="shared" si="104"/>
        <v/>
      </c>
      <c r="M1332" s="7" t="str">
        <f t="shared" si="105"/>
        <v/>
      </c>
      <c r="N1332" s="7">
        <v>0</v>
      </c>
      <c r="O1332" s="7"/>
      <c r="P1332" s="7"/>
      <c r="Q1332" s="7"/>
      <c r="AC1332"/>
      <c r="AD1332" s="14"/>
    </row>
    <row r="1333" spans="1:30" x14ac:dyDescent="0.25">
      <c r="A1333" t="b">
        <f t="shared" si="106"/>
        <v>0</v>
      </c>
      <c r="B1333">
        <v>2006</v>
      </c>
      <c r="C1333">
        <v>176</v>
      </c>
      <c r="D1333">
        <v>0</v>
      </c>
      <c r="E1333">
        <v>2000</v>
      </c>
      <c r="F1333" s="7">
        <v>90.9</v>
      </c>
      <c r="G1333" s="7">
        <v>14.84</v>
      </c>
      <c r="H1333" s="7">
        <v>0</v>
      </c>
      <c r="I1333" s="7" t="str">
        <f t="shared" si="102"/>
        <v/>
      </c>
      <c r="J1333" s="7" t="str">
        <f t="shared" si="103"/>
        <v/>
      </c>
      <c r="K1333" s="7">
        <v>0</v>
      </c>
      <c r="L1333" s="7" t="str">
        <f t="shared" si="104"/>
        <v/>
      </c>
      <c r="M1333" s="7" t="str">
        <f t="shared" si="105"/>
        <v/>
      </c>
      <c r="N1333" s="7">
        <v>0</v>
      </c>
      <c r="O1333" s="7"/>
      <c r="P1333" s="7"/>
      <c r="Q1333" s="7"/>
      <c r="AC1333"/>
      <c r="AD1333" s="14"/>
    </row>
    <row r="1334" spans="1:30" x14ac:dyDescent="0.25">
      <c r="A1334" t="b">
        <f t="shared" si="106"/>
        <v>0</v>
      </c>
      <c r="B1334">
        <v>2006</v>
      </c>
      <c r="C1334">
        <v>176</v>
      </c>
      <c r="D1334">
        <v>0</v>
      </c>
      <c r="E1334">
        <v>2100</v>
      </c>
      <c r="F1334" s="7">
        <v>20.61</v>
      </c>
      <c r="G1334" s="7">
        <v>13.34</v>
      </c>
      <c r="H1334" s="7">
        <v>0</v>
      </c>
      <c r="I1334" s="7" t="str">
        <f t="shared" si="102"/>
        <v/>
      </c>
      <c r="J1334" s="7" t="str">
        <f t="shared" si="103"/>
        <v/>
      </c>
      <c r="K1334" s="7">
        <v>0</v>
      </c>
      <c r="L1334" s="7" t="str">
        <f t="shared" si="104"/>
        <v/>
      </c>
      <c r="M1334" s="7" t="str">
        <f t="shared" si="105"/>
        <v/>
      </c>
      <c r="N1334" s="7">
        <v>0</v>
      </c>
      <c r="O1334" s="7"/>
      <c r="P1334" s="7"/>
      <c r="Q1334" s="7"/>
      <c r="AC1334"/>
      <c r="AD1334" s="14"/>
    </row>
    <row r="1335" spans="1:30" x14ac:dyDescent="0.25">
      <c r="A1335" t="b">
        <f t="shared" si="106"/>
        <v>0</v>
      </c>
      <c r="B1335">
        <v>2006</v>
      </c>
      <c r="C1335">
        <v>176</v>
      </c>
      <c r="D1335">
        <v>0</v>
      </c>
      <c r="E1335">
        <v>2200</v>
      </c>
      <c r="F1335" s="7">
        <v>-2.222</v>
      </c>
      <c r="G1335" s="7">
        <v>11.27</v>
      </c>
      <c r="H1335" s="7">
        <v>0</v>
      </c>
      <c r="I1335" s="7" t="str">
        <f t="shared" si="102"/>
        <v/>
      </c>
      <c r="J1335" s="7" t="str">
        <f t="shared" si="103"/>
        <v/>
      </c>
      <c r="K1335" s="7">
        <v>0</v>
      </c>
      <c r="L1335" s="7" t="str">
        <f t="shared" si="104"/>
        <v/>
      </c>
      <c r="M1335" s="7" t="str">
        <f t="shared" si="105"/>
        <v/>
      </c>
      <c r="N1335" s="7">
        <v>0</v>
      </c>
      <c r="O1335" s="7"/>
      <c r="P1335" s="7"/>
      <c r="Q1335" s="7"/>
      <c r="AC1335"/>
      <c r="AD1335" s="14"/>
    </row>
    <row r="1336" spans="1:30" x14ac:dyDescent="0.25">
      <c r="A1336" t="b">
        <f t="shared" si="106"/>
        <v>0</v>
      </c>
      <c r="B1336">
        <v>2006</v>
      </c>
      <c r="C1336">
        <v>176</v>
      </c>
      <c r="D1336">
        <v>0</v>
      </c>
      <c r="E1336">
        <v>2300</v>
      </c>
      <c r="F1336" s="7">
        <v>-3.1629999999999998</v>
      </c>
      <c r="G1336" s="7">
        <v>10.76</v>
      </c>
      <c r="H1336" s="7">
        <v>0</v>
      </c>
      <c r="I1336" s="7" t="str">
        <f t="shared" si="102"/>
        <v/>
      </c>
      <c r="J1336" s="7" t="str">
        <f t="shared" si="103"/>
        <v/>
      </c>
      <c r="K1336" s="7">
        <v>0</v>
      </c>
      <c r="L1336" s="7" t="str">
        <f t="shared" si="104"/>
        <v/>
      </c>
      <c r="M1336" s="7" t="str">
        <f t="shared" si="105"/>
        <v/>
      </c>
      <c r="N1336" s="7">
        <v>0</v>
      </c>
      <c r="O1336" s="7"/>
      <c r="P1336" s="7"/>
      <c r="Q1336" s="7"/>
      <c r="AC1336"/>
      <c r="AD1336" s="14"/>
    </row>
    <row r="1337" spans="1:30" x14ac:dyDescent="0.25">
      <c r="A1337" t="b">
        <f t="shared" si="106"/>
        <v>0</v>
      </c>
      <c r="B1337">
        <v>2006</v>
      </c>
      <c r="C1337">
        <v>176</v>
      </c>
      <c r="D1337">
        <v>0</v>
      </c>
      <c r="E1337">
        <v>2400</v>
      </c>
      <c r="F1337" s="7">
        <v>-3.01</v>
      </c>
      <c r="G1337" s="7">
        <v>8.6199999999999992</v>
      </c>
      <c r="H1337" s="7">
        <v>0</v>
      </c>
      <c r="I1337" s="7" t="str">
        <f t="shared" si="102"/>
        <v/>
      </c>
      <c r="J1337" s="7" t="str">
        <f t="shared" si="103"/>
        <v/>
      </c>
      <c r="K1337" s="7">
        <v>0</v>
      </c>
      <c r="L1337" s="7" t="str">
        <f t="shared" si="104"/>
        <v/>
      </c>
      <c r="M1337" s="7" t="str">
        <f t="shared" si="105"/>
        <v/>
      </c>
      <c r="N1337" s="7">
        <v>0</v>
      </c>
      <c r="O1337" s="7"/>
      <c r="P1337" s="7"/>
      <c r="Q1337" s="7"/>
      <c r="AC1337"/>
      <c r="AD1337" s="14"/>
    </row>
    <row r="1338" spans="1:30" x14ac:dyDescent="0.25">
      <c r="A1338" t="b">
        <f t="shared" si="106"/>
        <v>1</v>
      </c>
      <c r="B1338">
        <v>2006</v>
      </c>
      <c r="C1338">
        <v>177</v>
      </c>
      <c r="D1338">
        <v>0</v>
      </c>
      <c r="E1338">
        <v>100</v>
      </c>
      <c r="F1338" s="7">
        <v>-2.6160000000000001</v>
      </c>
      <c r="G1338" s="7">
        <v>8.7100000000000009</v>
      </c>
      <c r="H1338" s="7">
        <v>0</v>
      </c>
      <c r="I1338" s="7">
        <f t="shared" si="102"/>
        <v>0</v>
      </c>
      <c r="J1338" s="7">
        <f t="shared" si="103"/>
        <v>146.32004166666664</v>
      </c>
      <c r="K1338" s="7">
        <v>0</v>
      </c>
      <c r="L1338" s="7">
        <f t="shared" si="104"/>
        <v>15.74</v>
      </c>
      <c r="M1338" s="7">
        <f t="shared" si="105"/>
        <v>8.7100000000000009</v>
      </c>
      <c r="N1338" s="7">
        <v>0</v>
      </c>
      <c r="O1338" s="7"/>
      <c r="P1338" s="7"/>
      <c r="Q1338" s="7"/>
      <c r="AC1338"/>
      <c r="AD1338" s="14"/>
    </row>
    <row r="1339" spans="1:30" x14ac:dyDescent="0.25">
      <c r="A1339" t="b">
        <f t="shared" si="106"/>
        <v>0</v>
      </c>
      <c r="B1339">
        <v>2006</v>
      </c>
      <c r="C1339">
        <v>177</v>
      </c>
      <c r="D1339">
        <v>0</v>
      </c>
      <c r="E1339">
        <v>200</v>
      </c>
      <c r="F1339" s="7">
        <v>-2.7170000000000001</v>
      </c>
      <c r="G1339" s="7">
        <v>9.86</v>
      </c>
      <c r="H1339" s="7">
        <v>0</v>
      </c>
      <c r="I1339" s="7" t="str">
        <f t="shared" si="102"/>
        <v/>
      </c>
      <c r="J1339" s="7" t="str">
        <f t="shared" si="103"/>
        <v/>
      </c>
      <c r="K1339" s="7">
        <v>0</v>
      </c>
      <c r="L1339" s="7" t="str">
        <f t="shared" si="104"/>
        <v/>
      </c>
      <c r="M1339" s="7" t="str">
        <f t="shared" si="105"/>
        <v/>
      </c>
      <c r="N1339" s="7">
        <v>0</v>
      </c>
      <c r="O1339" s="7"/>
      <c r="P1339" s="7"/>
      <c r="Q1339" s="7"/>
      <c r="AC1339"/>
      <c r="AD1339" s="14"/>
    </row>
    <row r="1340" spans="1:30" x14ac:dyDescent="0.25">
      <c r="A1340" t="b">
        <f t="shared" si="106"/>
        <v>0</v>
      </c>
      <c r="B1340">
        <v>2006</v>
      </c>
      <c r="C1340">
        <v>177</v>
      </c>
      <c r="D1340">
        <v>0</v>
      </c>
      <c r="E1340">
        <v>300</v>
      </c>
      <c r="F1340" s="7">
        <v>-1.669</v>
      </c>
      <c r="G1340" s="7">
        <v>10.51</v>
      </c>
      <c r="H1340" s="7">
        <v>0</v>
      </c>
      <c r="I1340" s="7" t="str">
        <f t="shared" si="102"/>
        <v/>
      </c>
      <c r="J1340" s="7" t="str">
        <f t="shared" si="103"/>
        <v/>
      </c>
      <c r="K1340" s="7">
        <v>0</v>
      </c>
      <c r="L1340" s="7" t="str">
        <f t="shared" si="104"/>
        <v/>
      </c>
      <c r="M1340" s="7" t="str">
        <f t="shared" si="105"/>
        <v/>
      </c>
      <c r="N1340" s="7">
        <v>0</v>
      </c>
      <c r="O1340" s="7"/>
      <c r="P1340" s="7"/>
      <c r="Q1340" s="7"/>
      <c r="AC1340"/>
      <c r="AD1340" s="14"/>
    </row>
    <row r="1341" spans="1:30" x14ac:dyDescent="0.25">
      <c r="A1341" t="b">
        <f t="shared" si="106"/>
        <v>0</v>
      </c>
      <c r="B1341">
        <v>2006</v>
      </c>
      <c r="C1341">
        <v>177</v>
      </c>
      <c r="D1341">
        <v>0</v>
      </c>
      <c r="E1341">
        <v>400</v>
      </c>
      <c r="F1341" s="7">
        <v>-0.20200000000000001</v>
      </c>
      <c r="G1341" s="7">
        <v>10.85</v>
      </c>
      <c r="H1341" s="7">
        <v>0</v>
      </c>
      <c r="I1341" s="7" t="str">
        <f t="shared" si="102"/>
        <v/>
      </c>
      <c r="J1341" s="7" t="str">
        <f t="shared" si="103"/>
        <v/>
      </c>
      <c r="K1341" s="7">
        <v>0</v>
      </c>
      <c r="L1341" s="7" t="str">
        <f t="shared" si="104"/>
        <v/>
      </c>
      <c r="M1341" s="7" t="str">
        <f t="shared" si="105"/>
        <v/>
      </c>
      <c r="N1341" s="7">
        <v>0</v>
      </c>
      <c r="O1341" s="7"/>
      <c r="P1341" s="7"/>
      <c r="Q1341" s="7"/>
      <c r="AC1341"/>
      <c r="AD1341" s="14"/>
    </row>
    <row r="1342" spans="1:30" x14ac:dyDescent="0.25">
      <c r="A1342" t="b">
        <f t="shared" si="106"/>
        <v>0</v>
      </c>
      <c r="B1342">
        <v>2006</v>
      </c>
      <c r="C1342">
        <v>177</v>
      </c>
      <c r="D1342">
        <v>0</v>
      </c>
      <c r="E1342">
        <v>500</v>
      </c>
      <c r="F1342" s="7">
        <v>4.9669999999999996</v>
      </c>
      <c r="G1342" s="7">
        <v>10.81</v>
      </c>
      <c r="H1342" s="7">
        <v>0</v>
      </c>
      <c r="I1342" s="7" t="str">
        <f t="shared" si="102"/>
        <v/>
      </c>
      <c r="J1342" s="7" t="str">
        <f t="shared" si="103"/>
        <v/>
      </c>
      <c r="K1342" s="7">
        <v>0</v>
      </c>
      <c r="L1342" s="7" t="str">
        <f t="shared" si="104"/>
        <v/>
      </c>
      <c r="M1342" s="7" t="str">
        <f t="shared" si="105"/>
        <v/>
      </c>
      <c r="N1342" s="7">
        <v>0</v>
      </c>
      <c r="O1342" s="7"/>
      <c r="P1342" s="7"/>
      <c r="Q1342" s="7"/>
      <c r="AC1342"/>
      <c r="AD1342" s="14"/>
    </row>
    <row r="1343" spans="1:30" x14ac:dyDescent="0.25">
      <c r="A1343" t="b">
        <f t="shared" si="106"/>
        <v>0</v>
      </c>
      <c r="B1343">
        <v>2006</v>
      </c>
      <c r="C1343">
        <v>177</v>
      </c>
      <c r="D1343">
        <v>0</v>
      </c>
      <c r="E1343">
        <v>600</v>
      </c>
      <c r="F1343" s="7">
        <v>44.85</v>
      </c>
      <c r="G1343" s="7">
        <v>11.05</v>
      </c>
      <c r="H1343" s="7">
        <v>0</v>
      </c>
      <c r="I1343" s="7" t="str">
        <f t="shared" si="102"/>
        <v/>
      </c>
      <c r="J1343" s="7" t="str">
        <f t="shared" si="103"/>
        <v/>
      </c>
      <c r="K1343" s="7">
        <v>0</v>
      </c>
      <c r="L1343" s="7" t="str">
        <f t="shared" si="104"/>
        <v/>
      </c>
      <c r="M1343" s="7" t="str">
        <f t="shared" si="105"/>
        <v/>
      </c>
      <c r="N1343" s="7">
        <v>0</v>
      </c>
      <c r="O1343" s="7"/>
      <c r="P1343" s="7"/>
      <c r="Q1343" s="7"/>
      <c r="AC1343"/>
      <c r="AD1343" s="14"/>
    </row>
    <row r="1344" spans="1:30" x14ac:dyDescent="0.25">
      <c r="A1344" t="b">
        <f t="shared" si="106"/>
        <v>0</v>
      </c>
      <c r="B1344">
        <v>2006</v>
      </c>
      <c r="C1344">
        <v>177</v>
      </c>
      <c r="D1344">
        <v>0</v>
      </c>
      <c r="E1344">
        <v>700</v>
      </c>
      <c r="F1344" s="7">
        <v>50.74</v>
      </c>
      <c r="G1344" s="7">
        <v>11.22</v>
      </c>
      <c r="H1344" s="7">
        <v>0</v>
      </c>
      <c r="I1344" s="7" t="str">
        <f t="shared" si="102"/>
        <v/>
      </c>
      <c r="J1344" s="7" t="str">
        <f t="shared" si="103"/>
        <v/>
      </c>
      <c r="K1344" s="7">
        <v>0</v>
      </c>
      <c r="L1344" s="7" t="str">
        <f t="shared" si="104"/>
        <v/>
      </c>
      <c r="M1344" s="7" t="str">
        <f t="shared" si="105"/>
        <v/>
      </c>
      <c r="N1344" s="7">
        <v>0</v>
      </c>
      <c r="O1344" s="7"/>
      <c r="P1344" s="7"/>
      <c r="Q1344" s="7"/>
      <c r="AC1344"/>
      <c r="AD1344" s="14"/>
    </row>
    <row r="1345" spans="1:30" x14ac:dyDescent="0.25">
      <c r="A1345" t="b">
        <f t="shared" si="106"/>
        <v>0</v>
      </c>
      <c r="B1345">
        <v>2006</v>
      </c>
      <c r="C1345">
        <v>177</v>
      </c>
      <c r="D1345">
        <v>0</v>
      </c>
      <c r="E1345">
        <v>800</v>
      </c>
      <c r="F1345" s="7">
        <v>94.5</v>
      </c>
      <c r="G1345" s="7">
        <v>11.71</v>
      </c>
      <c r="H1345" s="7">
        <v>0</v>
      </c>
      <c r="I1345" s="7" t="str">
        <f t="shared" si="102"/>
        <v/>
      </c>
      <c r="J1345" s="7" t="str">
        <f t="shared" si="103"/>
        <v/>
      </c>
      <c r="K1345" s="7">
        <v>0</v>
      </c>
      <c r="L1345" s="7" t="str">
        <f t="shared" si="104"/>
        <v/>
      </c>
      <c r="M1345" s="7" t="str">
        <f t="shared" si="105"/>
        <v/>
      </c>
      <c r="N1345" s="7">
        <v>0</v>
      </c>
      <c r="O1345" s="7"/>
      <c r="P1345" s="7"/>
      <c r="Q1345" s="7"/>
      <c r="AC1345"/>
      <c r="AD1345" s="14"/>
    </row>
    <row r="1346" spans="1:30" x14ac:dyDescent="0.25">
      <c r="A1346" t="b">
        <f t="shared" si="106"/>
        <v>0</v>
      </c>
      <c r="B1346">
        <v>2006</v>
      </c>
      <c r="C1346">
        <v>177</v>
      </c>
      <c r="D1346">
        <v>0</v>
      </c>
      <c r="E1346">
        <v>900</v>
      </c>
      <c r="F1346" s="7">
        <v>125.3</v>
      </c>
      <c r="G1346" s="7">
        <v>12.24</v>
      </c>
      <c r="H1346" s="7">
        <v>0</v>
      </c>
      <c r="I1346" s="7" t="str">
        <f t="shared" ref="I1346:I1409" si="107">IF(AND(B1346=B1345,C1346=C1345),"",SUMIFS($H$2:$H$1529,$B$2:$B$1529,B1346,$C$2:$C$1529,C1346))</f>
        <v/>
      </c>
      <c r="J1346" s="7" t="str">
        <f t="shared" ref="J1346:J1409" si="108">IF(AND(B1346=B1345,C1346=C1345),"",AVERAGEIFS($F$2:$F$1529,$B$2:$B$1529,B1346,$C$2:$C$1529,C1346))</f>
        <v/>
      </c>
      <c r="K1346" s="7">
        <v>0</v>
      </c>
      <c r="L1346" s="7" t="str">
        <f t="shared" ref="L1346:L1409" si="109">IF(AND(B1346=B1345,C1346=C1345),"",_xlfn.MAXIFS($G$2:$G$1529,$B$2:$B$1529,B1346,$C$2:$C$1529,C1346))</f>
        <v/>
      </c>
      <c r="M1346" s="7" t="str">
        <f t="shared" ref="M1346:M1409" si="110">IF(AND(B1346=B1345,C1346=C1345),"",_xlfn.MINIFS($G$2:$G$1529,$B$2:$B$1529,B1346,$C$2:$C$1529,C1346))</f>
        <v/>
      </c>
      <c r="N1346" s="7">
        <v>0</v>
      </c>
      <c r="O1346" s="7"/>
      <c r="P1346" s="7"/>
      <c r="Q1346" s="7"/>
      <c r="AC1346"/>
      <c r="AD1346" s="14"/>
    </row>
    <row r="1347" spans="1:30" x14ac:dyDescent="0.25">
      <c r="A1347" t="b">
        <f t="shared" ref="A1347:A1410" si="111">NOT(I1347="")</f>
        <v>0</v>
      </c>
      <c r="B1347">
        <v>2006</v>
      </c>
      <c r="C1347">
        <v>177</v>
      </c>
      <c r="D1347">
        <v>0</v>
      </c>
      <c r="E1347">
        <v>1000</v>
      </c>
      <c r="F1347" s="7">
        <v>121.7</v>
      </c>
      <c r="G1347" s="7">
        <v>12.48</v>
      </c>
      <c r="H1347" s="7">
        <v>0</v>
      </c>
      <c r="I1347" s="7" t="str">
        <f t="shared" si="107"/>
        <v/>
      </c>
      <c r="J1347" s="7" t="str">
        <f t="shared" si="108"/>
        <v/>
      </c>
      <c r="K1347" s="7">
        <v>0</v>
      </c>
      <c r="L1347" s="7" t="str">
        <f t="shared" si="109"/>
        <v/>
      </c>
      <c r="M1347" s="7" t="str">
        <f t="shared" si="110"/>
        <v/>
      </c>
      <c r="N1347" s="7">
        <v>0</v>
      </c>
      <c r="O1347" s="7"/>
      <c r="P1347" s="7"/>
      <c r="Q1347" s="7"/>
      <c r="AC1347"/>
      <c r="AD1347" s="14"/>
    </row>
    <row r="1348" spans="1:30" x14ac:dyDescent="0.25">
      <c r="A1348" t="b">
        <f t="shared" si="111"/>
        <v>0</v>
      </c>
      <c r="B1348">
        <v>2006</v>
      </c>
      <c r="C1348">
        <v>177</v>
      </c>
      <c r="D1348">
        <v>0</v>
      </c>
      <c r="E1348">
        <v>1100</v>
      </c>
      <c r="F1348" s="7">
        <v>207.7</v>
      </c>
      <c r="G1348" s="7">
        <v>12.74</v>
      </c>
      <c r="H1348" s="7">
        <v>0</v>
      </c>
      <c r="I1348" s="7" t="str">
        <f t="shared" si="107"/>
        <v/>
      </c>
      <c r="J1348" s="7" t="str">
        <f t="shared" si="108"/>
        <v/>
      </c>
      <c r="K1348" s="7">
        <v>0</v>
      </c>
      <c r="L1348" s="7" t="str">
        <f t="shared" si="109"/>
        <v/>
      </c>
      <c r="M1348" s="7" t="str">
        <f t="shared" si="110"/>
        <v/>
      </c>
      <c r="N1348" s="7">
        <v>0</v>
      </c>
      <c r="O1348" s="7"/>
      <c r="P1348" s="7"/>
      <c r="Q1348" s="7"/>
      <c r="AC1348"/>
      <c r="AD1348" s="14"/>
    </row>
    <row r="1349" spans="1:30" x14ac:dyDescent="0.25">
      <c r="A1349" t="b">
        <f t="shared" si="111"/>
        <v>0</v>
      </c>
      <c r="B1349">
        <v>2006</v>
      </c>
      <c r="C1349">
        <v>177</v>
      </c>
      <c r="D1349">
        <v>0</v>
      </c>
      <c r="E1349">
        <v>1200</v>
      </c>
      <c r="F1349" s="7">
        <v>387.3</v>
      </c>
      <c r="G1349" s="7">
        <v>13.89</v>
      </c>
      <c r="H1349" s="7">
        <v>0</v>
      </c>
      <c r="I1349" s="7" t="str">
        <f t="shared" si="107"/>
        <v/>
      </c>
      <c r="J1349" s="7" t="str">
        <f t="shared" si="108"/>
        <v/>
      </c>
      <c r="K1349" s="7">
        <v>0</v>
      </c>
      <c r="L1349" s="7" t="str">
        <f t="shared" si="109"/>
        <v/>
      </c>
      <c r="M1349" s="7" t="str">
        <f t="shared" si="110"/>
        <v/>
      </c>
      <c r="N1349" s="7">
        <v>0</v>
      </c>
      <c r="O1349" s="7"/>
      <c r="P1349" s="7"/>
      <c r="Q1349" s="7"/>
      <c r="AC1349"/>
      <c r="AD1349" s="14"/>
    </row>
    <row r="1350" spans="1:30" x14ac:dyDescent="0.25">
      <c r="A1350" t="b">
        <f t="shared" si="111"/>
        <v>0</v>
      </c>
      <c r="B1350">
        <v>2006</v>
      </c>
      <c r="C1350">
        <v>177</v>
      </c>
      <c r="D1350">
        <v>0</v>
      </c>
      <c r="E1350">
        <v>1300</v>
      </c>
      <c r="F1350" s="7">
        <v>423.9</v>
      </c>
      <c r="G1350" s="7">
        <v>14.83</v>
      </c>
      <c r="H1350" s="7">
        <v>0</v>
      </c>
      <c r="I1350" s="7" t="str">
        <f t="shared" si="107"/>
        <v/>
      </c>
      <c r="J1350" s="7" t="str">
        <f t="shared" si="108"/>
        <v/>
      </c>
      <c r="K1350" s="7">
        <v>0</v>
      </c>
      <c r="L1350" s="7" t="str">
        <f t="shared" si="109"/>
        <v/>
      </c>
      <c r="M1350" s="7" t="str">
        <f t="shared" si="110"/>
        <v/>
      </c>
      <c r="N1350" s="7">
        <v>0</v>
      </c>
      <c r="O1350" s="7"/>
      <c r="P1350" s="7"/>
      <c r="Q1350" s="7"/>
      <c r="AC1350"/>
      <c r="AD1350" s="14"/>
    </row>
    <row r="1351" spans="1:30" x14ac:dyDescent="0.25">
      <c r="A1351" t="b">
        <f t="shared" si="111"/>
        <v>0</v>
      </c>
      <c r="B1351">
        <v>2006</v>
      </c>
      <c r="C1351">
        <v>177</v>
      </c>
      <c r="D1351">
        <v>0</v>
      </c>
      <c r="E1351">
        <v>1400</v>
      </c>
      <c r="F1351" s="7">
        <v>454</v>
      </c>
      <c r="G1351" s="7">
        <v>15.29</v>
      </c>
      <c r="H1351" s="7">
        <v>0</v>
      </c>
      <c r="I1351" s="7" t="str">
        <f t="shared" si="107"/>
        <v/>
      </c>
      <c r="J1351" s="7" t="str">
        <f t="shared" si="108"/>
        <v/>
      </c>
      <c r="K1351" s="7">
        <v>0</v>
      </c>
      <c r="L1351" s="7" t="str">
        <f t="shared" si="109"/>
        <v/>
      </c>
      <c r="M1351" s="7" t="str">
        <f t="shared" si="110"/>
        <v/>
      </c>
      <c r="N1351" s="7">
        <v>0</v>
      </c>
      <c r="O1351" s="7"/>
      <c r="P1351" s="7"/>
      <c r="Q1351" s="7"/>
      <c r="AC1351"/>
      <c r="AD1351" s="14"/>
    </row>
    <row r="1352" spans="1:30" x14ac:dyDescent="0.25">
      <c r="A1352" t="b">
        <f t="shared" si="111"/>
        <v>0</v>
      </c>
      <c r="B1352">
        <v>2006</v>
      </c>
      <c r="C1352">
        <v>177</v>
      </c>
      <c r="D1352">
        <v>0</v>
      </c>
      <c r="E1352">
        <v>1500</v>
      </c>
      <c r="F1352" s="7">
        <v>421.6</v>
      </c>
      <c r="G1352" s="7">
        <v>15.66</v>
      </c>
      <c r="H1352" s="7">
        <v>0</v>
      </c>
      <c r="I1352" s="7" t="str">
        <f t="shared" si="107"/>
        <v/>
      </c>
      <c r="J1352" s="7" t="str">
        <f t="shared" si="108"/>
        <v/>
      </c>
      <c r="K1352" s="7">
        <v>0</v>
      </c>
      <c r="L1352" s="7" t="str">
        <f t="shared" si="109"/>
        <v/>
      </c>
      <c r="M1352" s="7" t="str">
        <f t="shared" si="110"/>
        <v/>
      </c>
      <c r="N1352" s="7">
        <v>0</v>
      </c>
      <c r="O1352" s="7"/>
      <c r="P1352" s="7"/>
      <c r="Q1352" s="7"/>
      <c r="AC1352"/>
      <c r="AD1352" s="14"/>
    </row>
    <row r="1353" spans="1:30" x14ac:dyDescent="0.25">
      <c r="A1353" t="b">
        <f t="shared" si="111"/>
        <v>0</v>
      </c>
      <c r="B1353">
        <v>2006</v>
      </c>
      <c r="C1353">
        <v>177</v>
      </c>
      <c r="D1353">
        <v>0</v>
      </c>
      <c r="E1353">
        <v>1600</v>
      </c>
      <c r="F1353" s="7">
        <v>295.2</v>
      </c>
      <c r="G1353" s="7">
        <v>15.16</v>
      </c>
      <c r="H1353" s="7">
        <v>0</v>
      </c>
      <c r="I1353" s="7" t="str">
        <f t="shared" si="107"/>
        <v/>
      </c>
      <c r="J1353" s="7" t="str">
        <f t="shared" si="108"/>
        <v/>
      </c>
      <c r="K1353" s="7">
        <v>0</v>
      </c>
      <c r="L1353" s="7" t="str">
        <f t="shared" si="109"/>
        <v/>
      </c>
      <c r="M1353" s="7" t="str">
        <f t="shared" si="110"/>
        <v/>
      </c>
      <c r="N1353" s="7">
        <v>0</v>
      </c>
      <c r="O1353" s="7"/>
      <c r="P1353" s="7"/>
      <c r="Q1353" s="7"/>
      <c r="AC1353"/>
      <c r="AD1353" s="14"/>
    </row>
    <row r="1354" spans="1:30" x14ac:dyDescent="0.25">
      <c r="A1354" t="b">
        <f t="shared" si="111"/>
        <v>0</v>
      </c>
      <c r="B1354">
        <v>2006</v>
      </c>
      <c r="C1354">
        <v>177</v>
      </c>
      <c r="D1354">
        <v>0</v>
      </c>
      <c r="E1354">
        <v>1700</v>
      </c>
      <c r="F1354" s="7">
        <v>301.2</v>
      </c>
      <c r="G1354" s="7">
        <v>15.57</v>
      </c>
      <c r="H1354" s="7">
        <v>0</v>
      </c>
      <c r="I1354" s="7" t="str">
        <f t="shared" si="107"/>
        <v/>
      </c>
      <c r="J1354" s="7" t="str">
        <f t="shared" si="108"/>
        <v/>
      </c>
      <c r="K1354" s="7">
        <v>0</v>
      </c>
      <c r="L1354" s="7" t="str">
        <f t="shared" si="109"/>
        <v/>
      </c>
      <c r="M1354" s="7" t="str">
        <f t="shared" si="110"/>
        <v/>
      </c>
      <c r="N1354" s="7">
        <v>0</v>
      </c>
      <c r="O1354" s="7"/>
      <c r="P1354" s="7"/>
      <c r="Q1354" s="7"/>
      <c r="AC1354"/>
      <c r="AD1354" s="14"/>
    </row>
    <row r="1355" spans="1:30" x14ac:dyDescent="0.25">
      <c r="A1355" t="b">
        <f t="shared" si="111"/>
        <v>0</v>
      </c>
      <c r="B1355">
        <v>2006</v>
      </c>
      <c r="C1355">
        <v>177</v>
      </c>
      <c r="D1355">
        <v>0</v>
      </c>
      <c r="E1355">
        <v>1800</v>
      </c>
      <c r="F1355" s="7">
        <v>261.60000000000002</v>
      </c>
      <c r="G1355" s="7">
        <v>15.74</v>
      </c>
      <c r="H1355" s="7">
        <v>0</v>
      </c>
      <c r="I1355" s="7" t="str">
        <f t="shared" si="107"/>
        <v/>
      </c>
      <c r="J1355" s="7" t="str">
        <f t="shared" si="108"/>
        <v/>
      </c>
      <c r="K1355" s="7">
        <v>0</v>
      </c>
      <c r="L1355" s="7" t="str">
        <f t="shared" si="109"/>
        <v/>
      </c>
      <c r="M1355" s="7" t="str">
        <f t="shared" si="110"/>
        <v/>
      </c>
      <c r="N1355" s="7">
        <v>0</v>
      </c>
      <c r="O1355" s="7"/>
      <c r="P1355" s="7"/>
      <c r="Q1355" s="7"/>
      <c r="AC1355"/>
      <c r="AD1355" s="14"/>
    </row>
    <row r="1356" spans="1:30" x14ac:dyDescent="0.25">
      <c r="A1356" t="b">
        <f t="shared" si="111"/>
        <v>0</v>
      </c>
      <c r="B1356">
        <v>2006</v>
      </c>
      <c r="C1356">
        <v>177</v>
      </c>
      <c r="D1356">
        <v>0</v>
      </c>
      <c r="E1356">
        <v>1900</v>
      </c>
      <c r="F1356" s="7">
        <v>216.7</v>
      </c>
      <c r="G1356" s="7">
        <v>15.58</v>
      </c>
      <c r="H1356" s="7">
        <v>0</v>
      </c>
      <c r="I1356" s="7" t="str">
        <f t="shared" si="107"/>
        <v/>
      </c>
      <c r="J1356" s="7" t="str">
        <f t="shared" si="108"/>
        <v/>
      </c>
      <c r="K1356" s="7">
        <v>0</v>
      </c>
      <c r="L1356" s="7" t="str">
        <f t="shared" si="109"/>
        <v/>
      </c>
      <c r="M1356" s="7" t="str">
        <f t="shared" si="110"/>
        <v/>
      </c>
      <c r="N1356" s="7">
        <v>0</v>
      </c>
      <c r="O1356" s="7"/>
      <c r="P1356" s="7"/>
      <c r="Q1356" s="7"/>
      <c r="AC1356"/>
      <c r="AD1356" s="14"/>
    </row>
    <row r="1357" spans="1:30" x14ac:dyDescent="0.25">
      <c r="A1357" t="b">
        <f t="shared" si="111"/>
        <v>0</v>
      </c>
      <c r="B1357">
        <v>2006</v>
      </c>
      <c r="C1357">
        <v>177</v>
      </c>
      <c r="D1357">
        <v>0</v>
      </c>
      <c r="E1357">
        <v>2000</v>
      </c>
      <c r="F1357" s="7">
        <v>88</v>
      </c>
      <c r="G1357" s="7">
        <v>14.73</v>
      </c>
      <c r="H1357" s="7">
        <v>0</v>
      </c>
      <c r="I1357" s="7" t="str">
        <f t="shared" si="107"/>
        <v/>
      </c>
      <c r="J1357" s="7" t="str">
        <f t="shared" si="108"/>
        <v/>
      </c>
      <c r="K1357" s="7">
        <v>0</v>
      </c>
      <c r="L1357" s="7" t="str">
        <f t="shared" si="109"/>
        <v/>
      </c>
      <c r="M1357" s="7" t="str">
        <f t="shared" si="110"/>
        <v/>
      </c>
      <c r="N1357" s="7">
        <v>0</v>
      </c>
      <c r="O1357" s="7"/>
      <c r="P1357" s="7"/>
      <c r="Q1357" s="7"/>
      <c r="AC1357"/>
      <c r="AD1357" s="14"/>
    </row>
    <row r="1358" spans="1:30" x14ac:dyDescent="0.25">
      <c r="A1358" t="b">
        <f t="shared" si="111"/>
        <v>0</v>
      </c>
      <c r="B1358">
        <v>2006</v>
      </c>
      <c r="C1358">
        <v>177</v>
      </c>
      <c r="D1358">
        <v>0</v>
      </c>
      <c r="E1358">
        <v>2100</v>
      </c>
      <c r="F1358" s="7">
        <v>23.01</v>
      </c>
      <c r="G1358" s="7">
        <v>13.53</v>
      </c>
      <c r="H1358" s="7">
        <v>0</v>
      </c>
      <c r="I1358" s="7" t="str">
        <f t="shared" si="107"/>
        <v/>
      </c>
      <c r="J1358" s="7" t="str">
        <f t="shared" si="108"/>
        <v/>
      </c>
      <c r="K1358" s="7">
        <v>0</v>
      </c>
      <c r="L1358" s="7" t="str">
        <f t="shared" si="109"/>
        <v/>
      </c>
      <c r="M1358" s="7" t="str">
        <f t="shared" si="110"/>
        <v/>
      </c>
      <c r="N1358" s="7">
        <v>0</v>
      </c>
      <c r="O1358" s="7"/>
      <c r="P1358" s="7"/>
      <c r="Q1358" s="7"/>
      <c r="AC1358"/>
      <c r="AD1358" s="14"/>
    </row>
    <row r="1359" spans="1:30" x14ac:dyDescent="0.25">
      <c r="A1359" t="b">
        <f t="shared" si="111"/>
        <v>0</v>
      </c>
      <c r="B1359">
        <v>2006</v>
      </c>
      <c r="C1359">
        <v>177</v>
      </c>
      <c r="D1359">
        <v>0</v>
      </c>
      <c r="E1359">
        <v>2200</v>
      </c>
      <c r="F1359" s="7">
        <v>-0.71399999999999997</v>
      </c>
      <c r="G1359" s="7">
        <v>12.1</v>
      </c>
      <c r="H1359" s="7">
        <v>0</v>
      </c>
      <c r="I1359" s="7" t="str">
        <f t="shared" si="107"/>
        <v/>
      </c>
      <c r="J1359" s="7" t="str">
        <f t="shared" si="108"/>
        <v/>
      </c>
      <c r="K1359" s="7">
        <v>0</v>
      </c>
      <c r="L1359" s="7" t="str">
        <f t="shared" si="109"/>
        <v/>
      </c>
      <c r="M1359" s="7" t="str">
        <f t="shared" si="110"/>
        <v/>
      </c>
      <c r="N1359" s="7">
        <v>0</v>
      </c>
      <c r="O1359" s="7"/>
      <c r="P1359" s="7"/>
      <c r="Q1359" s="7"/>
      <c r="AC1359"/>
      <c r="AD1359" s="14"/>
    </row>
    <row r="1360" spans="1:30" x14ac:dyDescent="0.25">
      <c r="A1360" t="b">
        <f t="shared" si="111"/>
        <v>0</v>
      </c>
      <c r="B1360">
        <v>2006</v>
      </c>
      <c r="C1360">
        <v>177</v>
      </c>
      <c r="D1360">
        <v>0</v>
      </c>
      <c r="E1360">
        <v>2300</v>
      </c>
      <c r="F1360" s="7">
        <v>-1.35</v>
      </c>
      <c r="G1360" s="7">
        <v>11.5</v>
      </c>
      <c r="H1360" s="7">
        <v>0</v>
      </c>
      <c r="I1360" s="7" t="str">
        <f t="shared" si="107"/>
        <v/>
      </c>
      <c r="J1360" s="7" t="str">
        <f t="shared" si="108"/>
        <v/>
      </c>
      <c r="K1360" s="7">
        <v>0</v>
      </c>
      <c r="L1360" s="7" t="str">
        <f t="shared" si="109"/>
        <v/>
      </c>
      <c r="M1360" s="7" t="str">
        <f t="shared" si="110"/>
        <v/>
      </c>
      <c r="N1360" s="7">
        <v>0</v>
      </c>
      <c r="O1360" s="7"/>
      <c r="P1360" s="7"/>
      <c r="Q1360" s="7"/>
      <c r="AC1360"/>
      <c r="AD1360" s="14"/>
    </row>
    <row r="1361" spans="1:30" x14ac:dyDescent="0.25">
      <c r="A1361" t="b">
        <f t="shared" si="111"/>
        <v>0</v>
      </c>
      <c r="B1361">
        <v>2006</v>
      </c>
      <c r="C1361">
        <v>177</v>
      </c>
      <c r="D1361">
        <v>0</v>
      </c>
      <c r="E1361">
        <v>2400</v>
      </c>
      <c r="F1361" s="7">
        <v>-1.3180000000000001</v>
      </c>
      <c r="G1361" s="7">
        <v>11.29</v>
      </c>
      <c r="H1361" s="7">
        <v>0</v>
      </c>
      <c r="I1361" s="7" t="str">
        <f t="shared" si="107"/>
        <v/>
      </c>
      <c r="J1361" s="7" t="str">
        <f t="shared" si="108"/>
        <v/>
      </c>
      <c r="K1361" s="7">
        <v>0</v>
      </c>
      <c r="L1361" s="7" t="str">
        <f t="shared" si="109"/>
        <v/>
      </c>
      <c r="M1361" s="7" t="str">
        <f t="shared" si="110"/>
        <v/>
      </c>
      <c r="N1361" s="7">
        <v>0</v>
      </c>
      <c r="O1361" s="7"/>
      <c r="P1361" s="7"/>
      <c r="Q1361" s="7"/>
      <c r="AC1361"/>
      <c r="AD1361" s="14"/>
    </row>
    <row r="1362" spans="1:30" x14ac:dyDescent="0.25">
      <c r="A1362" t="b">
        <f t="shared" si="111"/>
        <v>1</v>
      </c>
      <c r="B1362">
        <v>2006</v>
      </c>
      <c r="C1362">
        <v>178</v>
      </c>
      <c r="D1362">
        <v>0</v>
      </c>
      <c r="E1362">
        <v>100</v>
      </c>
      <c r="F1362" s="7">
        <v>-1.6</v>
      </c>
      <c r="G1362" s="7">
        <v>10.88</v>
      </c>
      <c r="H1362" s="7">
        <v>0</v>
      </c>
      <c r="I1362" s="7">
        <f t="shared" si="107"/>
        <v>0</v>
      </c>
      <c r="J1362" s="7">
        <f t="shared" si="108"/>
        <v>173.12100000000001</v>
      </c>
      <c r="K1362" s="7">
        <v>0</v>
      </c>
      <c r="L1362" s="7">
        <f t="shared" si="109"/>
        <v>18.62</v>
      </c>
      <c r="M1362" s="7">
        <f t="shared" si="110"/>
        <v>6.907</v>
      </c>
      <c r="N1362" s="7">
        <v>0</v>
      </c>
      <c r="O1362" s="7"/>
      <c r="P1362" s="7"/>
      <c r="Q1362" s="7"/>
      <c r="AC1362"/>
      <c r="AD1362" s="14"/>
    </row>
    <row r="1363" spans="1:30" x14ac:dyDescent="0.25">
      <c r="A1363" t="b">
        <f t="shared" si="111"/>
        <v>0</v>
      </c>
      <c r="B1363">
        <v>2006</v>
      </c>
      <c r="C1363">
        <v>178</v>
      </c>
      <c r="D1363">
        <v>0</v>
      </c>
      <c r="E1363">
        <v>200</v>
      </c>
      <c r="F1363" s="7">
        <v>-1.6919999999999999</v>
      </c>
      <c r="G1363" s="7">
        <v>9.9600000000000009</v>
      </c>
      <c r="H1363" s="7">
        <v>0</v>
      </c>
      <c r="I1363" s="7" t="str">
        <f t="shared" si="107"/>
        <v/>
      </c>
      <c r="J1363" s="7" t="str">
        <f t="shared" si="108"/>
        <v/>
      </c>
      <c r="K1363" s="7">
        <v>0</v>
      </c>
      <c r="L1363" s="7" t="str">
        <f t="shared" si="109"/>
        <v/>
      </c>
      <c r="M1363" s="7" t="str">
        <f t="shared" si="110"/>
        <v/>
      </c>
      <c r="N1363" s="7">
        <v>0</v>
      </c>
      <c r="O1363" s="7"/>
      <c r="P1363" s="7"/>
      <c r="Q1363" s="7"/>
      <c r="AC1363"/>
      <c r="AD1363" s="14"/>
    </row>
    <row r="1364" spans="1:30" x14ac:dyDescent="0.25">
      <c r="A1364" t="b">
        <f t="shared" si="111"/>
        <v>0</v>
      </c>
      <c r="B1364">
        <v>2006</v>
      </c>
      <c r="C1364">
        <v>178</v>
      </c>
      <c r="D1364">
        <v>0</v>
      </c>
      <c r="E1364">
        <v>300</v>
      </c>
      <c r="F1364" s="7">
        <v>-0.97599999999999998</v>
      </c>
      <c r="G1364" s="7">
        <v>10.67</v>
      </c>
      <c r="H1364" s="7">
        <v>0</v>
      </c>
      <c r="I1364" s="7" t="str">
        <f t="shared" si="107"/>
        <v/>
      </c>
      <c r="J1364" s="7" t="str">
        <f t="shared" si="108"/>
        <v/>
      </c>
      <c r="K1364" s="7">
        <v>0</v>
      </c>
      <c r="L1364" s="7" t="str">
        <f t="shared" si="109"/>
        <v/>
      </c>
      <c r="M1364" s="7" t="str">
        <f t="shared" si="110"/>
        <v/>
      </c>
      <c r="N1364" s="7">
        <v>0</v>
      </c>
      <c r="O1364" s="7"/>
      <c r="P1364" s="7"/>
      <c r="Q1364" s="7"/>
      <c r="AC1364"/>
      <c r="AD1364" s="14"/>
    </row>
    <row r="1365" spans="1:30" x14ac:dyDescent="0.25">
      <c r="A1365" t="b">
        <f t="shared" si="111"/>
        <v>0</v>
      </c>
      <c r="B1365">
        <v>2006</v>
      </c>
      <c r="C1365">
        <v>178</v>
      </c>
      <c r="D1365">
        <v>0</v>
      </c>
      <c r="E1365">
        <v>400</v>
      </c>
      <c r="F1365" s="7">
        <v>-0.66200000000000003</v>
      </c>
      <c r="G1365" s="7">
        <v>10.09</v>
      </c>
      <c r="H1365" s="7">
        <v>0</v>
      </c>
      <c r="I1365" s="7" t="str">
        <f t="shared" si="107"/>
        <v/>
      </c>
      <c r="J1365" s="7" t="str">
        <f t="shared" si="108"/>
        <v/>
      </c>
      <c r="K1365" s="7">
        <v>0</v>
      </c>
      <c r="L1365" s="7" t="str">
        <f t="shared" si="109"/>
        <v/>
      </c>
      <c r="M1365" s="7" t="str">
        <f t="shared" si="110"/>
        <v/>
      </c>
      <c r="N1365" s="7">
        <v>0</v>
      </c>
      <c r="O1365" s="7"/>
      <c r="P1365" s="7"/>
      <c r="Q1365" s="7"/>
      <c r="AC1365"/>
      <c r="AD1365" s="14"/>
    </row>
    <row r="1366" spans="1:30" x14ac:dyDescent="0.25">
      <c r="A1366" t="b">
        <f t="shared" si="111"/>
        <v>0</v>
      </c>
      <c r="B1366">
        <v>2006</v>
      </c>
      <c r="C1366">
        <v>178</v>
      </c>
      <c r="D1366">
        <v>0</v>
      </c>
      <c r="E1366">
        <v>500</v>
      </c>
      <c r="F1366" s="7">
        <v>13.95</v>
      </c>
      <c r="G1366" s="7">
        <v>10.19</v>
      </c>
      <c r="H1366" s="7">
        <v>0</v>
      </c>
      <c r="I1366" s="7" t="str">
        <f t="shared" si="107"/>
        <v/>
      </c>
      <c r="J1366" s="7" t="str">
        <f t="shared" si="108"/>
        <v/>
      </c>
      <c r="K1366" s="7">
        <v>0</v>
      </c>
      <c r="L1366" s="7" t="str">
        <f t="shared" si="109"/>
        <v/>
      </c>
      <c r="M1366" s="7" t="str">
        <f t="shared" si="110"/>
        <v/>
      </c>
      <c r="N1366" s="7">
        <v>0</v>
      </c>
      <c r="O1366" s="7"/>
      <c r="P1366" s="7"/>
      <c r="Q1366" s="7"/>
      <c r="AC1366"/>
      <c r="AD1366" s="14"/>
    </row>
    <row r="1367" spans="1:30" x14ac:dyDescent="0.25">
      <c r="A1367" t="b">
        <f t="shared" si="111"/>
        <v>0</v>
      </c>
      <c r="B1367">
        <v>2006</v>
      </c>
      <c r="C1367">
        <v>178</v>
      </c>
      <c r="D1367">
        <v>0</v>
      </c>
      <c r="E1367">
        <v>600</v>
      </c>
      <c r="F1367" s="7">
        <v>57.22</v>
      </c>
      <c r="G1367" s="7">
        <v>10.95</v>
      </c>
      <c r="H1367" s="7">
        <v>0</v>
      </c>
      <c r="I1367" s="7" t="str">
        <f t="shared" si="107"/>
        <v/>
      </c>
      <c r="J1367" s="7" t="str">
        <f t="shared" si="108"/>
        <v/>
      </c>
      <c r="K1367" s="7">
        <v>0</v>
      </c>
      <c r="L1367" s="7" t="str">
        <f t="shared" si="109"/>
        <v/>
      </c>
      <c r="M1367" s="7" t="str">
        <f t="shared" si="110"/>
        <v/>
      </c>
      <c r="N1367" s="7">
        <v>0</v>
      </c>
      <c r="O1367" s="7"/>
      <c r="P1367" s="7"/>
      <c r="Q1367" s="7"/>
      <c r="AC1367"/>
      <c r="AD1367" s="14"/>
    </row>
    <row r="1368" spans="1:30" x14ac:dyDescent="0.25">
      <c r="A1368" t="b">
        <f t="shared" si="111"/>
        <v>0</v>
      </c>
      <c r="B1368">
        <v>2006</v>
      </c>
      <c r="C1368">
        <v>178</v>
      </c>
      <c r="D1368">
        <v>0</v>
      </c>
      <c r="E1368">
        <v>700</v>
      </c>
      <c r="F1368" s="7">
        <v>156.30000000000001</v>
      </c>
      <c r="G1368" s="7">
        <v>12.12</v>
      </c>
      <c r="H1368" s="7">
        <v>0</v>
      </c>
      <c r="I1368" s="7" t="str">
        <f t="shared" si="107"/>
        <v/>
      </c>
      <c r="J1368" s="7" t="str">
        <f t="shared" si="108"/>
        <v/>
      </c>
      <c r="K1368" s="7">
        <v>0</v>
      </c>
      <c r="L1368" s="7" t="str">
        <f t="shared" si="109"/>
        <v/>
      </c>
      <c r="M1368" s="7" t="str">
        <f t="shared" si="110"/>
        <v/>
      </c>
      <c r="N1368" s="7">
        <v>0</v>
      </c>
      <c r="O1368" s="7"/>
      <c r="P1368" s="7"/>
      <c r="Q1368" s="7"/>
      <c r="AC1368"/>
      <c r="AD1368" s="14"/>
    </row>
    <row r="1369" spans="1:30" x14ac:dyDescent="0.25">
      <c r="A1369" t="b">
        <f t="shared" si="111"/>
        <v>0</v>
      </c>
      <c r="B1369">
        <v>2006</v>
      </c>
      <c r="C1369">
        <v>178</v>
      </c>
      <c r="D1369">
        <v>0</v>
      </c>
      <c r="E1369">
        <v>800</v>
      </c>
      <c r="F1369" s="7">
        <v>341.6</v>
      </c>
      <c r="G1369" s="7">
        <v>14.13</v>
      </c>
      <c r="H1369" s="7">
        <v>0</v>
      </c>
      <c r="I1369" s="7" t="str">
        <f t="shared" si="107"/>
        <v/>
      </c>
      <c r="J1369" s="7" t="str">
        <f t="shared" si="108"/>
        <v/>
      </c>
      <c r="K1369" s="7">
        <v>0</v>
      </c>
      <c r="L1369" s="7" t="str">
        <f t="shared" si="109"/>
        <v/>
      </c>
      <c r="M1369" s="7" t="str">
        <f t="shared" si="110"/>
        <v/>
      </c>
      <c r="N1369" s="7">
        <v>0</v>
      </c>
      <c r="O1369" s="7"/>
      <c r="P1369" s="7"/>
      <c r="Q1369" s="7"/>
      <c r="AC1369"/>
      <c r="AD1369" s="14"/>
    </row>
    <row r="1370" spans="1:30" x14ac:dyDescent="0.25">
      <c r="A1370" t="b">
        <f t="shared" si="111"/>
        <v>0</v>
      </c>
      <c r="B1370">
        <v>2006</v>
      </c>
      <c r="C1370">
        <v>178</v>
      </c>
      <c r="D1370">
        <v>0</v>
      </c>
      <c r="E1370">
        <v>900</v>
      </c>
      <c r="F1370" s="7">
        <v>547.4</v>
      </c>
      <c r="G1370" s="7">
        <v>16.79</v>
      </c>
      <c r="H1370" s="7">
        <v>0</v>
      </c>
      <c r="I1370" s="7" t="str">
        <f t="shared" si="107"/>
        <v/>
      </c>
      <c r="J1370" s="7" t="str">
        <f t="shared" si="108"/>
        <v/>
      </c>
      <c r="K1370" s="7">
        <v>0</v>
      </c>
      <c r="L1370" s="7" t="str">
        <f t="shared" si="109"/>
        <v/>
      </c>
      <c r="M1370" s="7" t="str">
        <f t="shared" si="110"/>
        <v/>
      </c>
      <c r="N1370" s="7">
        <v>0</v>
      </c>
      <c r="O1370" s="7"/>
      <c r="P1370" s="7"/>
      <c r="Q1370" s="7"/>
      <c r="AC1370"/>
      <c r="AD1370" s="14"/>
    </row>
    <row r="1371" spans="1:30" x14ac:dyDescent="0.25">
      <c r="A1371" t="b">
        <f t="shared" si="111"/>
        <v>0</v>
      </c>
      <c r="B1371">
        <v>2006</v>
      </c>
      <c r="C1371">
        <v>178</v>
      </c>
      <c r="D1371">
        <v>0</v>
      </c>
      <c r="E1371">
        <v>1000</v>
      </c>
      <c r="F1371" s="7">
        <v>346</v>
      </c>
      <c r="G1371" s="7">
        <v>16.75</v>
      </c>
      <c r="H1371" s="7">
        <v>0</v>
      </c>
      <c r="I1371" s="7" t="str">
        <f t="shared" si="107"/>
        <v/>
      </c>
      <c r="J1371" s="7" t="str">
        <f t="shared" si="108"/>
        <v/>
      </c>
      <c r="K1371" s="7">
        <v>0</v>
      </c>
      <c r="L1371" s="7" t="str">
        <f t="shared" si="109"/>
        <v/>
      </c>
      <c r="M1371" s="7" t="str">
        <f t="shared" si="110"/>
        <v/>
      </c>
      <c r="N1371" s="7">
        <v>0</v>
      </c>
      <c r="O1371" s="7"/>
      <c r="P1371" s="7"/>
      <c r="Q1371" s="7"/>
      <c r="AC1371"/>
      <c r="AD1371" s="14"/>
    </row>
    <row r="1372" spans="1:30" x14ac:dyDescent="0.25">
      <c r="A1372" t="b">
        <f t="shared" si="111"/>
        <v>0</v>
      </c>
      <c r="B1372">
        <v>2006</v>
      </c>
      <c r="C1372">
        <v>178</v>
      </c>
      <c r="D1372">
        <v>0</v>
      </c>
      <c r="E1372">
        <v>1100</v>
      </c>
      <c r="F1372" s="7">
        <v>294.39999999999998</v>
      </c>
      <c r="G1372" s="7">
        <v>17.37</v>
      </c>
      <c r="H1372" s="7">
        <v>0</v>
      </c>
      <c r="I1372" s="7" t="str">
        <f t="shared" si="107"/>
        <v/>
      </c>
      <c r="J1372" s="7" t="str">
        <f t="shared" si="108"/>
        <v/>
      </c>
      <c r="K1372" s="7">
        <v>0</v>
      </c>
      <c r="L1372" s="7" t="str">
        <f t="shared" si="109"/>
        <v/>
      </c>
      <c r="M1372" s="7" t="str">
        <f t="shared" si="110"/>
        <v/>
      </c>
      <c r="N1372" s="7">
        <v>0</v>
      </c>
      <c r="O1372" s="7"/>
      <c r="P1372" s="7"/>
      <c r="Q1372" s="7"/>
      <c r="AC1372"/>
      <c r="AD1372" s="14"/>
    </row>
    <row r="1373" spans="1:30" x14ac:dyDescent="0.25">
      <c r="A1373" t="b">
        <f t="shared" si="111"/>
        <v>0</v>
      </c>
      <c r="B1373">
        <v>2006</v>
      </c>
      <c r="C1373">
        <v>178</v>
      </c>
      <c r="D1373">
        <v>0</v>
      </c>
      <c r="E1373">
        <v>1200</v>
      </c>
      <c r="F1373" s="7">
        <v>305</v>
      </c>
      <c r="G1373" s="7">
        <v>16.829999999999998</v>
      </c>
      <c r="H1373" s="7">
        <v>0</v>
      </c>
      <c r="I1373" s="7" t="str">
        <f t="shared" si="107"/>
        <v/>
      </c>
      <c r="J1373" s="7" t="str">
        <f t="shared" si="108"/>
        <v/>
      </c>
      <c r="K1373" s="7">
        <v>0</v>
      </c>
      <c r="L1373" s="7" t="str">
        <f t="shared" si="109"/>
        <v/>
      </c>
      <c r="M1373" s="7" t="str">
        <f t="shared" si="110"/>
        <v/>
      </c>
      <c r="N1373" s="7">
        <v>0</v>
      </c>
      <c r="O1373" s="7"/>
      <c r="P1373" s="7"/>
      <c r="Q1373" s="7"/>
      <c r="AC1373"/>
      <c r="AD1373" s="14"/>
    </row>
    <row r="1374" spans="1:30" x14ac:dyDescent="0.25">
      <c r="A1374" t="b">
        <f t="shared" si="111"/>
        <v>0</v>
      </c>
      <c r="B1374">
        <v>2006</v>
      </c>
      <c r="C1374">
        <v>178</v>
      </c>
      <c r="D1374">
        <v>0</v>
      </c>
      <c r="E1374">
        <v>1300</v>
      </c>
      <c r="F1374" s="7">
        <v>194</v>
      </c>
      <c r="G1374" s="7">
        <v>16.62</v>
      </c>
      <c r="H1374" s="7">
        <v>0</v>
      </c>
      <c r="I1374" s="7" t="str">
        <f t="shared" si="107"/>
        <v/>
      </c>
      <c r="J1374" s="7" t="str">
        <f t="shared" si="108"/>
        <v/>
      </c>
      <c r="K1374" s="7">
        <v>0</v>
      </c>
      <c r="L1374" s="7" t="str">
        <f t="shared" si="109"/>
        <v/>
      </c>
      <c r="M1374" s="7" t="str">
        <f t="shared" si="110"/>
        <v/>
      </c>
      <c r="N1374" s="7">
        <v>0</v>
      </c>
      <c r="O1374" s="7"/>
      <c r="P1374" s="7"/>
      <c r="Q1374" s="7"/>
      <c r="AC1374"/>
      <c r="AD1374" s="14"/>
    </row>
    <row r="1375" spans="1:30" x14ac:dyDescent="0.25">
      <c r="A1375" t="b">
        <f t="shared" si="111"/>
        <v>0</v>
      </c>
      <c r="B1375">
        <v>2006</v>
      </c>
      <c r="C1375">
        <v>178</v>
      </c>
      <c r="D1375">
        <v>0</v>
      </c>
      <c r="E1375">
        <v>1400</v>
      </c>
      <c r="F1375" s="7">
        <v>144.1</v>
      </c>
      <c r="G1375" s="7">
        <v>15.99</v>
      </c>
      <c r="H1375" s="7">
        <v>0</v>
      </c>
      <c r="I1375" s="7" t="str">
        <f t="shared" si="107"/>
        <v/>
      </c>
      <c r="J1375" s="7" t="str">
        <f t="shared" si="108"/>
        <v/>
      </c>
      <c r="K1375" s="7">
        <v>0</v>
      </c>
      <c r="L1375" s="7" t="str">
        <f t="shared" si="109"/>
        <v/>
      </c>
      <c r="M1375" s="7" t="str">
        <f t="shared" si="110"/>
        <v/>
      </c>
      <c r="N1375" s="7">
        <v>0</v>
      </c>
      <c r="O1375" s="7"/>
      <c r="P1375" s="7"/>
      <c r="Q1375" s="7"/>
      <c r="AC1375"/>
      <c r="AD1375" s="14"/>
    </row>
    <row r="1376" spans="1:30" x14ac:dyDescent="0.25">
      <c r="A1376" t="b">
        <f t="shared" si="111"/>
        <v>0</v>
      </c>
      <c r="B1376">
        <v>2006</v>
      </c>
      <c r="C1376">
        <v>178</v>
      </c>
      <c r="D1376">
        <v>0</v>
      </c>
      <c r="E1376">
        <v>1500</v>
      </c>
      <c r="F1376" s="7">
        <v>175.1</v>
      </c>
      <c r="G1376" s="7">
        <v>15.57</v>
      </c>
      <c r="H1376" s="7">
        <v>0</v>
      </c>
      <c r="I1376" s="7" t="str">
        <f t="shared" si="107"/>
        <v/>
      </c>
      <c r="J1376" s="7" t="str">
        <f t="shared" si="108"/>
        <v/>
      </c>
      <c r="K1376" s="7">
        <v>0</v>
      </c>
      <c r="L1376" s="7" t="str">
        <f t="shared" si="109"/>
        <v/>
      </c>
      <c r="M1376" s="7" t="str">
        <f t="shared" si="110"/>
        <v/>
      </c>
      <c r="N1376" s="7">
        <v>0</v>
      </c>
      <c r="O1376" s="7"/>
      <c r="P1376" s="7"/>
      <c r="Q1376" s="7"/>
      <c r="AC1376"/>
      <c r="AD1376" s="14"/>
    </row>
    <row r="1377" spans="1:30" x14ac:dyDescent="0.25">
      <c r="A1377" t="b">
        <f t="shared" si="111"/>
        <v>0</v>
      </c>
      <c r="B1377">
        <v>2006</v>
      </c>
      <c r="C1377">
        <v>178</v>
      </c>
      <c r="D1377">
        <v>0</v>
      </c>
      <c r="E1377">
        <v>1600</v>
      </c>
      <c r="F1377" s="7">
        <v>544.5</v>
      </c>
      <c r="G1377" s="7">
        <v>17.62</v>
      </c>
      <c r="H1377" s="7">
        <v>0</v>
      </c>
      <c r="I1377" s="7" t="str">
        <f t="shared" si="107"/>
        <v/>
      </c>
      <c r="J1377" s="7" t="str">
        <f t="shared" si="108"/>
        <v/>
      </c>
      <c r="K1377" s="7">
        <v>0</v>
      </c>
      <c r="L1377" s="7" t="str">
        <f t="shared" si="109"/>
        <v/>
      </c>
      <c r="M1377" s="7" t="str">
        <f t="shared" si="110"/>
        <v/>
      </c>
      <c r="N1377" s="7">
        <v>0</v>
      </c>
      <c r="O1377" s="7"/>
      <c r="P1377" s="7"/>
      <c r="Q1377" s="7"/>
      <c r="AC1377"/>
      <c r="AD1377" s="14"/>
    </row>
    <row r="1378" spans="1:30" x14ac:dyDescent="0.25">
      <c r="A1378" t="b">
        <f t="shared" si="111"/>
        <v>0</v>
      </c>
      <c r="B1378">
        <v>2006</v>
      </c>
      <c r="C1378">
        <v>178</v>
      </c>
      <c r="D1378">
        <v>0</v>
      </c>
      <c r="E1378">
        <v>1700</v>
      </c>
      <c r="F1378" s="7">
        <v>535.6</v>
      </c>
      <c r="G1378" s="7">
        <v>18.62</v>
      </c>
      <c r="H1378" s="7">
        <v>0</v>
      </c>
      <c r="I1378" s="7" t="str">
        <f t="shared" si="107"/>
        <v/>
      </c>
      <c r="J1378" s="7" t="str">
        <f t="shared" si="108"/>
        <v/>
      </c>
      <c r="K1378" s="7">
        <v>0</v>
      </c>
      <c r="L1378" s="7" t="str">
        <f t="shared" si="109"/>
        <v/>
      </c>
      <c r="M1378" s="7" t="str">
        <f t="shared" si="110"/>
        <v/>
      </c>
      <c r="N1378" s="7">
        <v>0</v>
      </c>
      <c r="O1378" s="7"/>
      <c r="P1378" s="7"/>
      <c r="Q1378" s="7"/>
      <c r="AC1378"/>
      <c r="AD1378" s="14"/>
    </row>
    <row r="1379" spans="1:30" x14ac:dyDescent="0.25">
      <c r="A1379" t="b">
        <f t="shared" si="111"/>
        <v>0</v>
      </c>
      <c r="B1379">
        <v>2006</v>
      </c>
      <c r="C1379">
        <v>178</v>
      </c>
      <c r="D1379">
        <v>0</v>
      </c>
      <c r="E1379">
        <v>1800</v>
      </c>
      <c r="F1379" s="7">
        <v>355</v>
      </c>
      <c r="G1379" s="7">
        <v>17.75</v>
      </c>
      <c r="H1379" s="7">
        <v>0</v>
      </c>
      <c r="I1379" s="7" t="str">
        <f t="shared" si="107"/>
        <v/>
      </c>
      <c r="J1379" s="7" t="str">
        <f t="shared" si="108"/>
        <v/>
      </c>
      <c r="K1379" s="7">
        <v>0</v>
      </c>
      <c r="L1379" s="7" t="str">
        <f t="shared" si="109"/>
        <v/>
      </c>
      <c r="M1379" s="7" t="str">
        <f t="shared" si="110"/>
        <v/>
      </c>
      <c r="N1379" s="7">
        <v>0</v>
      </c>
      <c r="O1379" s="7"/>
      <c r="P1379" s="7"/>
      <c r="Q1379" s="7"/>
      <c r="AC1379"/>
      <c r="AD1379" s="14"/>
    </row>
    <row r="1380" spans="1:30" x14ac:dyDescent="0.25">
      <c r="A1380" t="b">
        <f t="shared" si="111"/>
        <v>0</v>
      </c>
      <c r="B1380">
        <v>2006</v>
      </c>
      <c r="C1380">
        <v>178</v>
      </c>
      <c r="D1380">
        <v>0</v>
      </c>
      <c r="E1380">
        <v>1900</v>
      </c>
      <c r="F1380" s="7">
        <v>85.3</v>
      </c>
      <c r="G1380" s="7">
        <v>15.6</v>
      </c>
      <c r="H1380" s="7">
        <v>0</v>
      </c>
      <c r="I1380" s="7" t="str">
        <f t="shared" si="107"/>
        <v/>
      </c>
      <c r="J1380" s="7" t="str">
        <f t="shared" si="108"/>
        <v/>
      </c>
      <c r="K1380" s="7">
        <v>0</v>
      </c>
      <c r="L1380" s="7" t="str">
        <f t="shared" si="109"/>
        <v/>
      </c>
      <c r="M1380" s="7" t="str">
        <f t="shared" si="110"/>
        <v/>
      </c>
      <c r="N1380" s="7">
        <v>0</v>
      </c>
      <c r="O1380" s="7"/>
      <c r="P1380" s="7"/>
      <c r="Q1380" s="7"/>
      <c r="AC1380"/>
      <c r="AD1380" s="14"/>
    </row>
    <row r="1381" spans="1:30" x14ac:dyDescent="0.25">
      <c r="A1381" t="b">
        <f t="shared" si="111"/>
        <v>0</v>
      </c>
      <c r="B1381">
        <v>2006</v>
      </c>
      <c r="C1381">
        <v>178</v>
      </c>
      <c r="D1381">
        <v>0</v>
      </c>
      <c r="E1381">
        <v>2000</v>
      </c>
      <c r="F1381" s="7">
        <v>58.21</v>
      </c>
      <c r="G1381" s="7">
        <v>14.75</v>
      </c>
      <c r="H1381" s="7">
        <v>0</v>
      </c>
      <c r="I1381" s="7" t="str">
        <f t="shared" si="107"/>
        <v/>
      </c>
      <c r="J1381" s="7" t="str">
        <f t="shared" si="108"/>
        <v/>
      </c>
      <c r="K1381" s="7">
        <v>0</v>
      </c>
      <c r="L1381" s="7" t="str">
        <f t="shared" si="109"/>
        <v/>
      </c>
      <c r="M1381" s="7" t="str">
        <f t="shared" si="110"/>
        <v/>
      </c>
      <c r="N1381" s="7">
        <v>0</v>
      </c>
      <c r="O1381" s="7"/>
      <c r="P1381" s="7"/>
      <c r="Q1381" s="7"/>
      <c r="AC1381"/>
      <c r="AD1381" s="14"/>
    </row>
    <row r="1382" spans="1:30" x14ac:dyDescent="0.25">
      <c r="A1382" t="b">
        <f t="shared" si="111"/>
        <v>0</v>
      </c>
      <c r="B1382">
        <v>2006</v>
      </c>
      <c r="C1382">
        <v>178</v>
      </c>
      <c r="D1382">
        <v>0</v>
      </c>
      <c r="E1382">
        <v>2100</v>
      </c>
      <c r="F1382" s="7">
        <v>14.43</v>
      </c>
      <c r="G1382" s="7">
        <v>13.82</v>
      </c>
      <c r="H1382" s="7">
        <v>0</v>
      </c>
      <c r="I1382" s="7" t="str">
        <f t="shared" si="107"/>
        <v/>
      </c>
      <c r="J1382" s="7" t="str">
        <f t="shared" si="108"/>
        <v/>
      </c>
      <c r="K1382" s="7">
        <v>0</v>
      </c>
      <c r="L1382" s="7" t="str">
        <f t="shared" si="109"/>
        <v/>
      </c>
      <c r="M1382" s="7" t="str">
        <f t="shared" si="110"/>
        <v/>
      </c>
      <c r="N1382" s="7">
        <v>0</v>
      </c>
      <c r="O1382" s="7"/>
      <c r="P1382" s="7"/>
      <c r="Q1382" s="7"/>
      <c r="AC1382"/>
      <c r="AD1382" s="14"/>
    </row>
    <row r="1383" spans="1:30" x14ac:dyDescent="0.25">
      <c r="A1383" t="b">
        <f t="shared" si="111"/>
        <v>0</v>
      </c>
      <c r="B1383">
        <v>2006</v>
      </c>
      <c r="C1383">
        <v>178</v>
      </c>
      <c r="D1383">
        <v>0</v>
      </c>
      <c r="E1383">
        <v>2200</v>
      </c>
      <c r="F1383" s="7">
        <v>-1.254</v>
      </c>
      <c r="G1383" s="7">
        <v>12.71</v>
      </c>
      <c r="H1383" s="7">
        <v>0</v>
      </c>
      <c r="I1383" s="7" t="str">
        <f t="shared" si="107"/>
        <v/>
      </c>
      <c r="J1383" s="7" t="str">
        <f t="shared" si="108"/>
        <v/>
      </c>
      <c r="K1383" s="7">
        <v>0</v>
      </c>
      <c r="L1383" s="7" t="str">
        <f t="shared" si="109"/>
        <v/>
      </c>
      <c r="M1383" s="7" t="str">
        <f t="shared" si="110"/>
        <v/>
      </c>
      <c r="N1383" s="7">
        <v>0</v>
      </c>
      <c r="O1383" s="7"/>
      <c r="P1383" s="7"/>
      <c r="Q1383" s="7"/>
      <c r="AC1383"/>
      <c r="AD1383" s="14"/>
    </row>
    <row r="1384" spans="1:30" x14ac:dyDescent="0.25">
      <c r="A1384" t="b">
        <f t="shared" si="111"/>
        <v>0</v>
      </c>
      <c r="B1384">
        <v>2006</v>
      </c>
      <c r="C1384">
        <v>178</v>
      </c>
      <c r="D1384">
        <v>0</v>
      </c>
      <c r="E1384">
        <v>2300</v>
      </c>
      <c r="F1384" s="7">
        <v>-3.851</v>
      </c>
      <c r="G1384" s="7">
        <v>9.2799999999999994</v>
      </c>
      <c r="H1384" s="7">
        <v>0</v>
      </c>
      <c r="I1384" s="7" t="str">
        <f t="shared" si="107"/>
        <v/>
      </c>
      <c r="J1384" s="7" t="str">
        <f t="shared" si="108"/>
        <v/>
      </c>
      <c r="K1384" s="7">
        <v>0</v>
      </c>
      <c r="L1384" s="7" t="str">
        <f t="shared" si="109"/>
        <v/>
      </c>
      <c r="M1384" s="7" t="str">
        <f t="shared" si="110"/>
        <v/>
      </c>
      <c r="N1384" s="7">
        <v>0</v>
      </c>
      <c r="O1384" s="7"/>
      <c r="P1384" s="7"/>
      <c r="Q1384" s="7"/>
      <c r="AC1384"/>
      <c r="AD1384" s="14"/>
    </row>
    <row r="1385" spans="1:30" x14ac:dyDescent="0.25">
      <c r="A1385" t="b">
        <f t="shared" si="111"/>
        <v>0</v>
      </c>
      <c r="B1385">
        <v>2006</v>
      </c>
      <c r="C1385">
        <v>178</v>
      </c>
      <c r="D1385">
        <v>0</v>
      </c>
      <c r="E1385">
        <v>2400</v>
      </c>
      <c r="F1385" s="7">
        <v>-3.1709999999999998</v>
      </c>
      <c r="G1385" s="7">
        <v>6.907</v>
      </c>
      <c r="H1385" s="7">
        <v>0</v>
      </c>
      <c r="I1385" s="7" t="str">
        <f t="shared" si="107"/>
        <v/>
      </c>
      <c r="J1385" s="7" t="str">
        <f t="shared" si="108"/>
        <v/>
      </c>
      <c r="K1385" s="7">
        <v>0</v>
      </c>
      <c r="L1385" s="7" t="str">
        <f t="shared" si="109"/>
        <v/>
      </c>
      <c r="M1385" s="7" t="str">
        <f t="shared" si="110"/>
        <v/>
      </c>
      <c r="N1385" s="7">
        <v>0</v>
      </c>
      <c r="O1385" s="7"/>
      <c r="P1385" s="7"/>
      <c r="Q1385" s="7"/>
      <c r="AC1385"/>
      <c r="AD1385" s="14"/>
    </row>
    <row r="1386" spans="1:30" x14ac:dyDescent="0.25">
      <c r="A1386" t="b">
        <f t="shared" si="111"/>
        <v>1</v>
      </c>
      <c r="B1386">
        <v>2006</v>
      </c>
      <c r="C1386">
        <v>179</v>
      </c>
      <c r="D1386">
        <v>0</v>
      </c>
      <c r="E1386">
        <v>100</v>
      </c>
      <c r="F1386" s="7">
        <v>-1.774</v>
      </c>
      <c r="G1386" s="7">
        <v>6.68</v>
      </c>
      <c r="H1386" s="7">
        <v>0</v>
      </c>
      <c r="I1386" s="7">
        <f t="shared" si="107"/>
        <v>0</v>
      </c>
      <c r="J1386" s="7">
        <f t="shared" si="108"/>
        <v>224.86350000000002</v>
      </c>
      <c r="K1386" s="7">
        <v>0</v>
      </c>
      <c r="L1386" s="7">
        <f t="shared" si="109"/>
        <v>18.84</v>
      </c>
      <c r="M1386" s="7">
        <f t="shared" si="110"/>
        <v>6.68</v>
      </c>
      <c r="N1386" s="7">
        <v>0</v>
      </c>
      <c r="O1386" s="7"/>
      <c r="P1386" s="7"/>
      <c r="Q1386" s="7"/>
      <c r="AC1386"/>
      <c r="AD1386" s="14"/>
    </row>
    <row r="1387" spans="1:30" x14ac:dyDescent="0.25">
      <c r="A1387" t="b">
        <f t="shared" si="111"/>
        <v>0</v>
      </c>
      <c r="B1387">
        <v>2006</v>
      </c>
      <c r="C1387">
        <v>179</v>
      </c>
      <c r="D1387">
        <v>0</v>
      </c>
      <c r="E1387">
        <v>200</v>
      </c>
      <c r="F1387" s="7">
        <v>-2.415</v>
      </c>
      <c r="G1387" s="7">
        <v>7.35</v>
      </c>
      <c r="H1387" s="7">
        <v>0</v>
      </c>
      <c r="I1387" s="7" t="str">
        <f t="shared" si="107"/>
        <v/>
      </c>
      <c r="J1387" s="7" t="str">
        <f t="shared" si="108"/>
        <v/>
      </c>
      <c r="K1387" s="7">
        <v>0</v>
      </c>
      <c r="L1387" s="7" t="str">
        <f t="shared" si="109"/>
        <v/>
      </c>
      <c r="M1387" s="7" t="str">
        <f t="shared" si="110"/>
        <v/>
      </c>
      <c r="N1387" s="7">
        <v>0</v>
      </c>
      <c r="O1387" s="7"/>
      <c r="P1387" s="7"/>
      <c r="Q1387" s="7"/>
      <c r="AC1387"/>
      <c r="AD1387" s="14"/>
    </row>
    <row r="1388" spans="1:30" x14ac:dyDescent="0.25">
      <c r="A1388" t="b">
        <f t="shared" si="111"/>
        <v>0</v>
      </c>
      <c r="B1388">
        <v>2006</v>
      </c>
      <c r="C1388">
        <v>179</v>
      </c>
      <c r="D1388">
        <v>0</v>
      </c>
      <c r="E1388">
        <v>300</v>
      </c>
      <c r="F1388" s="7">
        <v>-2.0699999999999998</v>
      </c>
      <c r="G1388" s="7">
        <v>9.14</v>
      </c>
      <c r="H1388" s="7">
        <v>0</v>
      </c>
      <c r="I1388" s="7" t="str">
        <f t="shared" si="107"/>
        <v/>
      </c>
      <c r="J1388" s="7" t="str">
        <f t="shared" si="108"/>
        <v/>
      </c>
      <c r="K1388" s="7">
        <v>0</v>
      </c>
      <c r="L1388" s="7" t="str">
        <f t="shared" si="109"/>
        <v/>
      </c>
      <c r="M1388" s="7" t="str">
        <f t="shared" si="110"/>
        <v/>
      </c>
      <c r="N1388" s="7">
        <v>0</v>
      </c>
      <c r="O1388" s="7"/>
      <c r="P1388" s="7"/>
      <c r="Q1388" s="7"/>
      <c r="AC1388"/>
      <c r="AD1388" s="14"/>
    </row>
    <row r="1389" spans="1:30" x14ac:dyDescent="0.25">
      <c r="A1389" t="b">
        <f t="shared" si="111"/>
        <v>0</v>
      </c>
      <c r="B1389">
        <v>2006</v>
      </c>
      <c r="C1389">
        <v>179</v>
      </c>
      <c r="D1389">
        <v>0</v>
      </c>
      <c r="E1389">
        <v>400</v>
      </c>
      <c r="F1389" s="7">
        <v>0.26400000000000001</v>
      </c>
      <c r="G1389" s="7">
        <v>10.53</v>
      </c>
      <c r="H1389" s="7">
        <v>0</v>
      </c>
      <c r="I1389" s="7" t="str">
        <f t="shared" si="107"/>
        <v/>
      </c>
      <c r="J1389" s="7" t="str">
        <f t="shared" si="108"/>
        <v/>
      </c>
      <c r="K1389" s="7">
        <v>0</v>
      </c>
      <c r="L1389" s="7" t="str">
        <f t="shared" si="109"/>
        <v/>
      </c>
      <c r="M1389" s="7" t="str">
        <f t="shared" si="110"/>
        <v/>
      </c>
      <c r="N1389" s="7">
        <v>0</v>
      </c>
      <c r="O1389" s="7"/>
      <c r="P1389" s="7"/>
      <c r="Q1389" s="7"/>
      <c r="AC1389"/>
      <c r="AD1389" s="14"/>
    </row>
    <row r="1390" spans="1:30" x14ac:dyDescent="0.25">
      <c r="A1390" t="b">
        <f t="shared" si="111"/>
        <v>0</v>
      </c>
      <c r="B1390">
        <v>2006</v>
      </c>
      <c r="C1390">
        <v>179</v>
      </c>
      <c r="D1390">
        <v>0</v>
      </c>
      <c r="E1390">
        <v>500</v>
      </c>
      <c r="F1390" s="7">
        <v>27.07</v>
      </c>
      <c r="G1390" s="7">
        <v>10.54</v>
      </c>
      <c r="H1390" s="7">
        <v>0</v>
      </c>
      <c r="I1390" s="7" t="str">
        <f t="shared" si="107"/>
        <v/>
      </c>
      <c r="J1390" s="7" t="str">
        <f t="shared" si="108"/>
        <v/>
      </c>
      <c r="K1390" s="7">
        <v>0</v>
      </c>
      <c r="L1390" s="7" t="str">
        <f t="shared" si="109"/>
        <v/>
      </c>
      <c r="M1390" s="7" t="str">
        <f t="shared" si="110"/>
        <v/>
      </c>
      <c r="N1390" s="7">
        <v>0</v>
      </c>
      <c r="O1390" s="7"/>
      <c r="P1390" s="7"/>
      <c r="Q1390" s="7"/>
      <c r="AC1390"/>
      <c r="AD1390" s="14"/>
    </row>
    <row r="1391" spans="1:30" x14ac:dyDescent="0.25">
      <c r="A1391" t="b">
        <f t="shared" si="111"/>
        <v>0</v>
      </c>
      <c r="B1391">
        <v>2006</v>
      </c>
      <c r="C1391">
        <v>179</v>
      </c>
      <c r="D1391">
        <v>0</v>
      </c>
      <c r="E1391">
        <v>600</v>
      </c>
      <c r="F1391" s="7">
        <v>121.7</v>
      </c>
      <c r="G1391" s="7">
        <v>11.35</v>
      </c>
      <c r="H1391" s="7">
        <v>0</v>
      </c>
      <c r="I1391" s="7" t="str">
        <f t="shared" si="107"/>
        <v/>
      </c>
      <c r="J1391" s="7" t="str">
        <f t="shared" si="108"/>
        <v/>
      </c>
      <c r="K1391" s="7">
        <v>0</v>
      </c>
      <c r="L1391" s="7" t="str">
        <f t="shared" si="109"/>
        <v/>
      </c>
      <c r="M1391" s="7" t="str">
        <f t="shared" si="110"/>
        <v/>
      </c>
      <c r="N1391" s="7">
        <v>0</v>
      </c>
      <c r="O1391" s="7"/>
      <c r="P1391" s="7"/>
      <c r="Q1391" s="7"/>
      <c r="AC1391"/>
      <c r="AD1391" s="14"/>
    </row>
    <row r="1392" spans="1:30" x14ac:dyDescent="0.25">
      <c r="A1392" t="b">
        <f t="shared" si="111"/>
        <v>0</v>
      </c>
      <c r="B1392">
        <v>2006</v>
      </c>
      <c r="C1392">
        <v>179</v>
      </c>
      <c r="D1392">
        <v>0</v>
      </c>
      <c r="E1392">
        <v>700</v>
      </c>
      <c r="F1392" s="7">
        <v>275.8</v>
      </c>
      <c r="G1392" s="7">
        <v>13.71</v>
      </c>
      <c r="H1392" s="7">
        <v>0</v>
      </c>
      <c r="I1392" s="7" t="str">
        <f t="shared" si="107"/>
        <v/>
      </c>
      <c r="J1392" s="7" t="str">
        <f t="shared" si="108"/>
        <v/>
      </c>
      <c r="K1392" s="7">
        <v>0</v>
      </c>
      <c r="L1392" s="7" t="str">
        <f t="shared" si="109"/>
        <v/>
      </c>
      <c r="M1392" s="7" t="str">
        <f t="shared" si="110"/>
        <v/>
      </c>
      <c r="N1392" s="7">
        <v>0</v>
      </c>
      <c r="O1392" s="7"/>
      <c r="P1392" s="7"/>
      <c r="Q1392" s="7"/>
      <c r="AC1392"/>
      <c r="AD1392" s="14"/>
    </row>
    <row r="1393" spans="1:30" x14ac:dyDescent="0.25">
      <c r="A1393" t="b">
        <f t="shared" si="111"/>
        <v>0</v>
      </c>
      <c r="B1393">
        <v>2006</v>
      </c>
      <c r="C1393">
        <v>179</v>
      </c>
      <c r="D1393">
        <v>0</v>
      </c>
      <c r="E1393">
        <v>800</v>
      </c>
      <c r="F1393" s="7">
        <v>300.39999999999998</v>
      </c>
      <c r="G1393" s="7">
        <v>15.4</v>
      </c>
      <c r="H1393" s="7">
        <v>0</v>
      </c>
      <c r="I1393" s="7" t="str">
        <f t="shared" si="107"/>
        <v/>
      </c>
      <c r="J1393" s="7" t="str">
        <f t="shared" si="108"/>
        <v/>
      </c>
      <c r="K1393" s="7">
        <v>0</v>
      </c>
      <c r="L1393" s="7" t="str">
        <f t="shared" si="109"/>
        <v/>
      </c>
      <c r="M1393" s="7" t="str">
        <f t="shared" si="110"/>
        <v/>
      </c>
      <c r="N1393" s="7">
        <v>0</v>
      </c>
      <c r="O1393" s="7"/>
      <c r="P1393" s="7"/>
      <c r="Q1393" s="7"/>
      <c r="AC1393"/>
      <c r="AD1393" s="14"/>
    </row>
    <row r="1394" spans="1:30" x14ac:dyDescent="0.25">
      <c r="A1394" t="b">
        <f t="shared" si="111"/>
        <v>0</v>
      </c>
      <c r="B1394">
        <v>2006</v>
      </c>
      <c r="C1394">
        <v>179</v>
      </c>
      <c r="D1394">
        <v>0</v>
      </c>
      <c r="E1394">
        <v>900</v>
      </c>
      <c r="F1394" s="7">
        <v>334.6</v>
      </c>
      <c r="G1394" s="7">
        <v>15.75</v>
      </c>
      <c r="H1394" s="7">
        <v>0</v>
      </c>
      <c r="I1394" s="7" t="str">
        <f t="shared" si="107"/>
        <v/>
      </c>
      <c r="J1394" s="7" t="str">
        <f t="shared" si="108"/>
        <v/>
      </c>
      <c r="K1394" s="7">
        <v>0</v>
      </c>
      <c r="L1394" s="7" t="str">
        <f t="shared" si="109"/>
        <v/>
      </c>
      <c r="M1394" s="7" t="str">
        <f t="shared" si="110"/>
        <v/>
      </c>
      <c r="N1394" s="7">
        <v>0</v>
      </c>
      <c r="O1394" s="7"/>
      <c r="P1394" s="7"/>
      <c r="Q1394" s="7"/>
      <c r="AC1394"/>
      <c r="AD1394" s="14"/>
    </row>
    <row r="1395" spans="1:30" x14ac:dyDescent="0.25">
      <c r="A1395" t="b">
        <f t="shared" si="111"/>
        <v>0</v>
      </c>
      <c r="B1395">
        <v>2006</v>
      </c>
      <c r="C1395">
        <v>179</v>
      </c>
      <c r="D1395">
        <v>0</v>
      </c>
      <c r="E1395">
        <v>1000</v>
      </c>
      <c r="F1395" s="7">
        <v>337.6</v>
      </c>
      <c r="G1395" s="7">
        <v>16.16</v>
      </c>
      <c r="H1395" s="7">
        <v>0</v>
      </c>
      <c r="I1395" s="7" t="str">
        <f t="shared" si="107"/>
        <v/>
      </c>
      <c r="J1395" s="7" t="str">
        <f t="shared" si="108"/>
        <v/>
      </c>
      <c r="K1395" s="7">
        <v>0</v>
      </c>
      <c r="L1395" s="7" t="str">
        <f t="shared" si="109"/>
        <v/>
      </c>
      <c r="M1395" s="7" t="str">
        <f t="shared" si="110"/>
        <v/>
      </c>
      <c r="N1395" s="7">
        <v>0</v>
      </c>
      <c r="O1395" s="7"/>
      <c r="P1395" s="7"/>
      <c r="Q1395" s="7"/>
      <c r="AC1395"/>
      <c r="AD1395" s="14"/>
    </row>
    <row r="1396" spans="1:30" x14ac:dyDescent="0.25">
      <c r="A1396" t="b">
        <f t="shared" si="111"/>
        <v>0</v>
      </c>
      <c r="B1396">
        <v>2006</v>
      </c>
      <c r="C1396">
        <v>179</v>
      </c>
      <c r="D1396">
        <v>0</v>
      </c>
      <c r="E1396">
        <v>1100</v>
      </c>
      <c r="F1396" s="7">
        <v>488.9</v>
      </c>
      <c r="G1396" s="7">
        <v>17.13</v>
      </c>
      <c r="H1396" s="7">
        <v>0</v>
      </c>
      <c r="I1396" s="7" t="str">
        <f t="shared" si="107"/>
        <v/>
      </c>
      <c r="J1396" s="7" t="str">
        <f t="shared" si="108"/>
        <v/>
      </c>
      <c r="K1396" s="7">
        <v>0</v>
      </c>
      <c r="L1396" s="7" t="str">
        <f t="shared" si="109"/>
        <v/>
      </c>
      <c r="M1396" s="7" t="str">
        <f t="shared" si="110"/>
        <v/>
      </c>
      <c r="N1396" s="7">
        <v>0</v>
      </c>
      <c r="O1396" s="7"/>
      <c r="P1396" s="7"/>
      <c r="Q1396" s="7"/>
      <c r="AC1396"/>
      <c r="AD1396" s="14"/>
    </row>
    <row r="1397" spans="1:30" x14ac:dyDescent="0.25">
      <c r="A1397" t="b">
        <f t="shared" si="111"/>
        <v>0</v>
      </c>
      <c r="B1397">
        <v>2006</v>
      </c>
      <c r="C1397">
        <v>179</v>
      </c>
      <c r="D1397">
        <v>0</v>
      </c>
      <c r="E1397">
        <v>1200</v>
      </c>
      <c r="F1397" s="7">
        <v>648.9</v>
      </c>
      <c r="G1397" s="7">
        <v>18.41</v>
      </c>
      <c r="H1397" s="7">
        <v>0</v>
      </c>
      <c r="I1397" s="7" t="str">
        <f t="shared" si="107"/>
        <v/>
      </c>
      <c r="J1397" s="7" t="str">
        <f t="shared" si="108"/>
        <v/>
      </c>
      <c r="K1397" s="7">
        <v>0</v>
      </c>
      <c r="L1397" s="7" t="str">
        <f t="shared" si="109"/>
        <v/>
      </c>
      <c r="M1397" s="7" t="str">
        <f t="shared" si="110"/>
        <v/>
      </c>
      <c r="N1397" s="7">
        <v>0</v>
      </c>
      <c r="O1397" s="7"/>
      <c r="P1397" s="7"/>
      <c r="Q1397" s="7"/>
      <c r="AC1397"/>
      <c r="AD1397" s="14"/>
    </row>
    <row r="1398" spans="1:30" x14ac:dyDescent="0.25">
      <c r="A1398" t="b">
        <f t="shared" si="111"/>
        <v>0</v>
      </c>
      <c r="B1398">
        <v>2006</v>
      </c>
      <c r="C1398">
        <v>179</v>
      </c>
      <c r="D1398">
        <v>0</v>
      </c>
      <c r="E1398">
        <v>1300</v>
      </c>
      <c r="F1398" s="7">
        <v>414.8</v>
      </c>
      <c r="G1398" s="7">
        <v>18.260000000000002</v>
      </c>
      <c r="H1398" s="7">
        <v>0</v>
      </c>
      <c r="I1398" s="7" t="str">
        <f t="shared" si="107"/>
        <v/>
      </c>
      <c r="J1398" s="7" t="str">
        <f t="shared" si="108"/>
        <v/>
      </c>
      <c r="K1398" s="7">
        <v>0</v>
      </c>
      <c r="L1398" s="7" t="str">
        <f t="shared" si="109"/>
        <v/>
      </c>
      <c r="M1398" s="7" t="str">
        <f t="shared" si="110"/>
        <v/>
      </c>
      <c r="N1398" s="7">
        <v>0</v>
      </c>
      <c r="O1398" s="7"/>
      <c r="P1398" s="7"/>
      <c r="Q1398" s="7"/>
      <c r="AC1398"/>
      <c r="AD1398" s="14"/>
    </row>
    <row r="1399" spans="1:30" x14ac:dyDescent="0.25">
      <c r="A1399" t="b">
        <f t="shared" si="111"/>
        <v>0</v>
      </c>
      <c r="B1399">
        <v>2006</v>
      </c>
      <c r="C1399">
        <v>179</v>
      </c>
      <c r="D1399">
        <v>0</v>
      </c>
      <c r="E1399">
        <v>1400</v>
      </c>
      <c r="F1399" s="7">
        <v>559.1</v>
      </c>
      <c r="G1399" s="7">
        <v>18.420000000000002</v>
      </c>
      <c r="H1399" s="7">
        <v>0</v>
      </c>
      <c r="I1399" s="7" t="str">
        <f t="shared" si="107"/>
        <v/>
      </c>
      <c r="J1399" s="7" t="str">
        <f t="shared" si="108"/>
        <v/>
      </c>
      <c r="K1399" s="7">
        <v>0</v>
      </c>
      <c r="L1399" s="7" t="str">
        <f t="shared" si="109"/>
        <v/>
      </c>
      <c r="M1399" s="7" t="str">
        <f t="shared" si="110"/>
        <v/>
      </c>
      <c r="N1399" s="7">
        <v>0</v>
      </c>
      <c r="O1399" s="7"/>
      <c r="P1399" s="7"/>
      <c r="Q1399" s="7"/>
      <c r="AC1399"/>
      <c r="AD1399" s="14"/>
    </row>
    <row r="1400" spans="1:30" x14ac:dyDescent="0.25">
      <c r="A1400" t="b">
        <f t="shared" si="111"/>
        <v>0</v>
      </c>
      <c r="B1400">
        <v>2006</v>
      </c>
      <c r="C1400">
        <v>179</v>
      </c>
      <c r="D1400">
        <v>0</v>
      </c>
      <c r="E1400">
        <v>1500</v>
      </c>
      <c r="F1400" s="7">
        <v>584.4</v>
      </c>
      <c r="G1400" s="7">
        <v>18.77</v>
      </c>
      <c r="H1400" s="7">
        <v>0</v>
      </c>
      <c r="I1400" s="7" t="str">
        <f t="shared" si="107"/>
        <v/>
      </c>
      <c r="J1400" s="7" t="str">
        <f t="shared" si="108"/>
        <v/>
      </c>
      <c r="K1400" s="7">
        <v>0</v>
      </c>
      <c r="L1400" s="7" t="str">
        <f t="shared" si="109"/>
        <v/>
      </c>
      <c r="M1400" s="7" t="str">
        <f t="shared" si="110"/>
        <v/>
      </c>
      <c r="N1400" s="7">
        <v>0</v>
      </c>
      <c r="O1400" s="7"/>
      <c r="P1400" s="7"/>
      <c r="Q1400" s="7"/>
      <c r="AC1400"/>
      <c r="AD1400" s="14"/>
    </row>
    <row r="1401" spans="1:30" x14ac:dyDescent="0.25">
      <c r="A1401" t="b">
        <f t="shared" si="111"/>
        <v>0</v>
      </c>
      <c r="B1401">
        <v>2006</v>
      </c>
      <c r="C1401">
        <v>179</v>
      </c>
      <c r="D1401">
        <v>0</v>
      </c>
      <c r="E1401">
        <v>1600</v>
      </c>
      <c r="F1401" s="7">
        <v>503</v>
      </c>
      <c r="G1401" s="7">
        <v>18.84</v>
      </c>
      <c r="H1401" s="7">
        <v>0</v>
      </c>
      <c r="I1401" s="7" t="str">
        <f t="shared" si="107"/>
        <v/>
      </c>
      <c r="J1401" s="7" t="str">
        <f t="shared" si="108"/>
        <v/>
      </c>
      <c r="K1401" s="7">
        <v>0</v>
      </c>
      <c r="L1401" s="7" t="str">
        <f t="shared" si="109"/>
        <v/>
      </c>
      <c r="M1401" s="7" t="str">
        <f t="shared" si="110"/>
        <v/>
      </c>
      <c r="N1401" s="7">
        <v>0</v>
      </c>
      <c r="O1401" s="7"/>
      <c r="P1401" s="7"/>
      <c r="Q1401" s="7"/>
      <c r="AC1401"/>
      <c r="AD1401" s="14"/>
    </row>
    <row r="1402" spans="1:30" x14ac:dyDescent="0.25">
      <c r="A1402" t="b">
        <f t="shared" si="111"/>
        <v>0</v>
      </c>
      <c r="B1402">
        <v>2006</v>
      </c>
      <c r="C1402">
        <v>179</v>
      </c>
      <c r="D1402">
        <v>0</v>
      </c>
      <c r="E1402">
        <v>1700</v>
      </c>
      <c r="F1402" s="7">
        <v>377.9</v>
      </c>
      <c r="G1402" s="7">
        <v>18.14</v>
      </c>
      <c r="H1402" s="7">
        <v>0</v>
      </c>
      <c r="I1402" s="7" t="str">
        <f t="shared" si="107"/>
        <v/>
      </c>
      <c r="J1402" s="7" t="str">
        <f t="shared" si="108"/>
        <v/>
      </c>
      <c r="K1402" s="7">
        <v>0</v>
      </c>
      <c r="L1402" s="7" t="str">
        <f t="shared" si="109"/>
        <v/>
      </c>
      <c r="M1402" s="7" t="str">
        <f t="shared" si="110"/>
        <v/>
      </c>
      <c r="N1402" s="7">
        <v>0</v>
      </c>
      <c r="O1402" s="7"/>
      <c r="P1402" s="7"/>
      <c r="Q1402" s="7"/>
      <c r="AC1402"/>
      <c r="AD1402" s="14"/>
    </row>
    <row r="1403" spans="1:30" x14ac:dyDescent="0.25">
      <c r="A1403" t="b">
        <f t="shared" si="111"/>
        <v>0</v>
      </c>
      <c r="B1403">
        <v>2006</v>
      </c>
      <c r="C1403">
        <v>179</v>
      </c>
      <c r="D1403">
        <v>0</v>
      </c>
      <c r="E1403">
        <v>1800</v>
      </c>
      <c r="F1403" s="7">
        <v>238.5</v>
      </c>
      <c r="G1403" s="7">
        <v>17.37</v>
      </c>
      <c r="H1403" s="7">
        <v>0</v>
      </c>
      <c r="I1403" s="7" t="str">
        <f t="shared" si="107"/>
        <v/>
      </c>
      <c r="J1403" s="7" t="str">
        <f t="shared" si="108"/>
        <v/>
      </c>
      <c r="K1403" s="7">
        <v>0</v>
      </c>
      <c r="L1403" s="7" t="str">
        <f t="shared" si="109"/>
        <v/>
      </c>
      <c r="M1403" s="7" t="str">
        <f t="shared" si="110"/>
        <v/>
      </c>
      <c r="N1403" s="7">
        <v>0</v>
      </c>
      <c r="O1403" s="7"/>
      <c r="P1403" s="7"/>
      <c r="Q1403" s="7"/>
      <c r="AC1403"/>
      <c r="AD1403" s="14"/>
    </row>
    <row r="1404" spans="1:30" x14ac:dyDescent="0.25">
      <c r="A1404" t="b">
        <f t="shared" si="111"/>
        <v>0</v>
      </c>
      <c r="B1404">
        <v>2006</v>
      </c>
      <c r="C1404">
        <v>179</v>
      </c>
      <c r="D1404">
        <v>0</v>
      </c>
      <c r="E1404">
        <v>1900</v>
      </c>
      <c r="F1404" s="7">
        <v>133.1</v>
      </c>
      <c r="G1404" s="7">
        <v>16.73</v>
      </c>
      <c r="H1404" s="7">
        <v>0</v>
      </c>
      <c r="I1404" s="7" t="str">
        <f t="shared" si="107"/>
        <v/>
      </c>
      <c r="J1404" s="7" t="str">
        <f t="shared" si="108"/>
        <v/>
      </c>
      <c r="K1404" s="7">
        <v>0</v>
      </c>
      <c r="L1404" s="7" t="str">
        <f t="shared" si="109"/>
        <v/>
      </c>
      <c r="M1404" s="7" t="str">
        <f t="shared" si="110"/>
        <v/>
      </c>
      <c r="N1404" s="7">
        <v>0</v>
      </c>
      <c r="O1404" s="7"/>
      <c r="P1404" s="7"/>
      <c r="Q1404" s="7"/>
      <c r="AC1404"/>
      <c r="AD1404" s="14"/>
    </row>
    <row r="1405" spans="1:30" x14ac:dyDescent="0.25">
      <c r="A1405" t="b">
        <f t="shared" si="111"/>
        <v>0</v>
      </c>
      <c r="B1405">
        <v>2006</v>
      </c>
      <c r="C1405">
        <v>179</v>
      </c>
      <c r="D1405">
        <v>0</v>
      </c>
      <c r="E1405">
        <v>2000</v>
      </c>
      <c r="F1405" s="7">
        <v>52.13</v>
      </c>
      <c r="G1405" s="7">
        <v>15.97</v>
      </c>
      <c r="H1405" s="7">
        <v>0</v>
      </c>
      <c r="I1405" s="7" t="str">
        <f t="shared" si="107"/>
        <v/>
      </c>
      <c r="J1405" s="7" t="str">
        <f t="shared" si="108"/>
        <v/>
      </c>
      <c r="K1405" s="7">
        <v>0</v>
      </c>
      <c r="L1405" s="7" t="str">
        <f t="shared" si="109"/>
        <v/>
      </c>
      <c r="M1405" s="7" t="str">
        <f t="shared" si="110"/>
        <v/>
      </c>
      <c r="N1405" s="7">
        <v>0</v>
      </c>
      <c r="O1405" s="7"/>
      <c r="P1405" s="7"/>
      <c r="Q1405" s="7"/>
      <c r="AC1405"/>
      <c r="AD1405" s="14"/>
    </row>
    <row r="1406" spans="1:30" x14ac:dyDescent="0.25">
      <c r="A1406" t="b">
        <f t="shared" si="111"/>
        <v>0</v>
      </c>
      <c r="B1406">
        <v>2006</v>
      </c>
      <c r="C1406">
        <v>179</v>
      </c>
      <c r="D1406">
        <v>0</v>
      </c>
      <c r="E1406">
        <v>2100</v>
      </c>
      <c r="F1406" s="7">
        <v>8.65</v>
      </c>
      <c r="G1406" s="7">
        <v>15.52</v>
      </c>
      <c r="H1406" s="7">
        <v>0</v>
      </c>
      <c r="I1406" s="7" t="str">
        <f t="shared" si="107"/>
        <v/>
      </c>
      <c r="J1406" s="7" t="str">
        <f t="shared" si="108"/>
        <v/>
      </c>
      <c r="K1406" s="7">
        <v>0</v>
      </c>
      <c r="L1406" s="7" t="str">
        <f t="shared" si="109"/>
        <v/>
      </c>
      <c r="M1406" s="7" t="str">
        <f t="shared" si="110"/>
        <v/>
      </c>
      <c r="N1406" s="7">
        <v>0</v>
      </c>
      <c r="O1406" s="7"/>
      <c r="P1406" s="7"/>
      <c r="Q1406" s="7"/>
      <c r="AC1406"/>
      <c r="AD1406" s="14"/>
    </row>
    <row r="1407" spans="1:30" x14ac:dyDescent="0.25">
      <c r="A1407" t="b">
        <f t="shared" si="111"/>
        <v>0</v>
      </c>
      <c r="B1407">
        <v>2006</v>
      </c>
      <c r="C1407">
        <v>179</v>
      </c>
      <c r="D1407">
        <v>0</v>
      </c>
      <c r="E1407">
        <v>2200</v>
      </c>
      <c r="F1407" s="7">
        <v>-1.2330000000000001</v>
      </c>
      <c r="G1407" s="7">
        <v>15.12</v>
      </c>
      <c r="H1407" s="7">
        <v>0</v>
      </c>
      <c r="I1407" s="7" t="str">
        <f t="shared" si="107"/>
        <v/>
      </c>
      <c r="J1407" s="7" t="str">
        <f t="shared" si="108"/>
        <v/>
      </c>
      <c r="K1407" s="7">
        <v>0</v>
      </c>
      <c r="L1407" s="7" t="str">
        <f t="shared" si="109"/>
        <v/>
      </c>
      <c r="M1407" s="7" t="str">
        <f t="shared" si="110"/>
        <v/>
      </c>
      <c r="N1407" s="7">
        <v>0</v>
      </c>
      <c r="O1407" s="7"/>
      <c r="P1407" s="7"/>
      <c r="Q1407" s="7"/>
      <c r="AC1407"/>
      <c r="AD1407" s="14"/>
    </row>
    <row r="1408" spans="1:30" x14ac:dyDescent="0.25">
      <c r="A1408" t="b">
        <f t="shared" si="111"/>
        <v>0</v>
      </c>
      <c r="B1408">
        <v>2006</v>
      </c>
      <c r="C1408">
        <v>179</v>
      </c>
      <c r="D1408">
        <v>0</v>
      </c>
      <c r="E1408">
        <v>2300</v>
      </c>
      <c r="F1408" s="7">
        <v>-1.4610000000000001</v>
      </c>
      <c r="G1408" s="7">
        <v>14.96</v>
      </c>
      <c r="H1408" s="7">
        <v>0</v>
      </c>
      <c r="I1408" s="7" t="str">
        <f t="shared" si="107"/>
        <v/>
      </c>
      <c r="J1408" s="7" t="str">
        <f t="shared" si="108"/>
        <v/>
      </c>
      <c r="K1408" s="7">
        <v>0</v>
      </c>
      <c r="L1408" s="7" t="str">
        <f t="shared" si="109"/>
        <v/>
      </c>
      <c r="M1408" s="7" t="str">
        <f t="shared" si="110"/>
        <v/>
      </c>
      <c r="N1408" s="7">
        <v>0</v>
      </c>
      <c r="O1408" s="7"/>
      <c r="P1408" s="7"/>
      <c r="Q1408" s="7"/>
      <c r="AC1408"/>
      <c r="AD1408" s="14"/>
    </row>
    <row r="1409" spans="1:30" x14ac:dyDescent="0.25">
      <c r="A1409" t="b">
        <f t="shared" si="111"/>
        <v>0</v>
      </c>
      <c r="B1409">
        <v>2006</v>
      </c>
      <c r="C1409">
        <v>179</v>
      </c>
      <c r="D1409">
        <v>0</v>
      </c>
      <c r="E1409">
        <v>2400</v>
      </c>
      <c r="F1409" s="7">
        <v>-1.137</v>
      </c>
      <c r="G1409" s="7">
        <v>15.1</v>
      </c>
      <c r="H1409" s="7">
        <v>0</v>
      </c>
      <c r="I1409" s="7" t="str">
        <f t="shared" si="107"/>
        <v/>
      </c>
      <c r="J1409" s="7" t="str">
        <f t="shared" si="108"/>
        <v/>
      </c>
      <c r="K1409" s="7">
        <v>0</v>
      </c>
      <c r="L1409" s="7" t="str">
        <f t="shared" si="109"/>
        <v/>
      </c>
      <c r="M1409" s="7" t="str">
        <f t="shared" si="110"/>
        <v/>
      </c>
      <c r="N1409" s="7">
        <v>0</v>
      </c>
      <c r="O1409" s="7"/>
      <c r="P1409" s="7"/>
      <c r="Q1409" s="7"/>
      <c r="AC1409"/>
      <c r="AD1409" s="14"/>
    </row>
    <row r="1410" spans="1:30" x14ac:dyDescent="0.25">
      <c r="A1410" t="b">
        <f t="shared" si="111"/>
        <v>1</v>
      </c>
      <c r="B1410">
        <v>2006</v>
      </c>
      <c r="C1410">
        <v>180</v>
      </c>
      <c r="D1410">
        <v>0</v>
      </c>
      <c r="E1410">
        <v>100</v>
      </c>
      <c r="F1410" s="7">
        <v>-1.073</v>
      </c>
      <c r="G1410" s="7">
        <v>14.83</v>
      </c>
      <c r="H1410" s="7">
        <v>0</v>
      </c>
      <c r="I1410" s="7">
        <f t="shared" ref="I1410:I1473" si="112">IF(AND(B1410=B1409,C1410=C1409),"",SUMIFS($H$2:$H$1529,$B$2:$B$1529,B1410,$C$2:$C$1529,C1410))</f>
        <v>0</v>
      </c>
      <c r="J1410" s="7">
        <f t="shared" ref="J1410:J1473" si="113">IF(AND(B1410=B1409,C1410=C1409),"",AVERAGEIFS($F$2:$F$1529,$B$2:$B$1529,B1410,$C$2:$C$1529,C1410))</f>
        <v>141.30491666666668</v>
      </c>
      <c r="K1410" s="7">
        <v>0</v>
      </c>
      <c r="L1410" s="7">
        <f t="shared" ref="L1410:L1473" si="114">IF(AND(B1410=B1409,C1410=C1409),"",_xlfn.MAXIFS($G$2:$G$1529,$B$2:$B$1529,B1410,$C$2:$C$1529,C1410))</f>
        <v>18.21</v>
      </c>
      <c r="M1410" s="7">
        <f t="shared" ref="M1410:M1473" si="115">IF(AND(B1410=B1409,C1410=C1409),"",_xlfn.MINIFS($G$2:$G$1529,$B$2:$B$1529,B1410,$C$2:$C$1529,C1410))</f>
        <v>13.96</v>
      </c>
      <c r="N1410" s="7">
        <v>0</v>
      </c>
      <c r="O1410" s="7"/>
      <c r="P1410" s="7"/>
      <c r="Q1410" s="7"/>
      <c r="AC1410"/>
      <c r="AD1410" s="14"/>
    </row>
    <row r="1411" spans="1:30" x14ac:dyDescent="0.25">
      <c r="A1411" t="b">
        <f t="shared" ref="A1411:A1474" si="116">NOT(I1411="")</f>
        <v>0</v>
      </c>
      <c r="B1411">
        <v>2006</v>
      </c>
      <c r="C1411">
        <v>180</v>
      </c>
      <c r="D1411">
        <v>0</v>
      </c>
      <c r="E1411">
        <v>200</v>
      </c>
      <c r="F1411" s="7">
        <v>-1.113</v>
      </c>
      <c r="G1411" s="7">
        <v>14.61</v>
      </c>
      <c r="H1411" s="7">
        <v>0</v>
      </c>
      <c r="I1411" s="7" t="str">
        <f t="shared" si="112"/>
        <v/>
      </c>
      <c r="J1411" s="7" t="str">
        <f t="shared" si="113"/>
        <v/>
      </c>
      <c r="K1411" s="7">
        <v>0</v>
      </c>
      <c r="L1411" s="7" t="str">
        <f t="shared" si="114"/>
        <v/>
      </c>
      <c r="M1411" s="7" t="str">
        <f t="shared" si="115"/>
        <v/>
      </c>
      <c r="N1411" s="7">
        <v>0</v>
      </c>
      <c r="O1411" s="7"/>
      <c r="P1411" s="7"/>
      <c r="Q1411" s="7"/>
      <c r="AC1411"/>
      <c r="AD1411" s="14"/>
    </row>
    <row r="1412" spans="1:30" x14ac:dyDescent="0.25">
      <c r="A1412" t="b">
        <f t="shared" si="116"/>
        <v>0</v>
      </c>
      <c r="B1412">
        <v>2006</v>
      </c>
      <c r="C1412">
        <v>180</v>
      </c>
      <c r="D1412">
        <v>0</v>
      </c>
      <c r="E1412">
        <v>300</v>
      </c>
      <c r="F1412" s="7">
        <v>-1.51</v>
      </c>
      <c r="G1412" s="7">
        <v>14.36</v>
      </c>
      <c r="H1412" s="7">
        <v>0</v>
      </c>
      <c r="I1412" s="7" t="str">
        <f t="shared" si="112"/>
        <v/>
      </c>
      <c r="J1412" s="7" t="str">
        <f t="shared" si="113"/>
        <v/>
      </c>
      <c r="K1412" s="7">
        <v>0</v>
      </c>
      <c r="L1412" s="7" t="str">
        <f t="shared" si="114"/>
        <v/>
      </c>
      <c r="M1412" s="7" t="str">
        <f t="shared" si="115"/>
        <v/>
      </c>
      <c r="N1412" s="7">
        <v>0</v>
      </c>
      <c r="O1412" s="7"/>
      <c r="P1412" s="7"/>
      <c r="Q1412" s="7"/>
      <c r="AC1412"/>
      <c r="AD1412" s="14"/>
    </row>
    <row r="1413" spans="1:30" x14ac:dyDescent="0.25">
      <c r="A1413" t="b">
        <f t="shared" si="116"/>
        <v>0</v>
      </c>
      <c r="B1413">
        <v>2006</v>
      </c>
      <c r="C1413">
        <v>180</v>
      </c>
      <c r="D1413">
        <v>0</v>
      </c>
      <c r="E1413">
        <v>400</v>
      </c>
      <c r="F1413" s="7">
        <v>-1.3779999999999999</v>
      </c>
      <c r="G1413" s="7">
        <v>13.96</v>
      </c>
      <c r="H1413" s="7">
        <v>0</v>
      </c>
      <c r="I1413" s="7" t="str">
        <f t="shared" si="112"/>
        <v/>
      </c>
      <c r="J1413" s="7" t="str">
        <f t="shared" si="113"/>
        <v/>
      </c>
      <c r="K1413" s="7">
        <v>0</v>
      </c>
      <c r="L1413" s="7" t="str">
        <f t="shared" si="114"/>
        <v/>
      </c>
      <c r="M1413" s="7" t="str">
        <f t="shared" si="115"/>
        <v/>
      </c>
      <c r="N1413" s="7">
        <v>0</v>
      </c>
      <c r="O1413" s="7"/>
      <c r="P1413" s="7"/>
      <c r="Q1413" s="7"/>
      <c r="AC1413"/>
      <c r="AD1413" s="14"/>
    </row>
    <row r="1414" spans="1:30" x14ac:dyDescent="0.25">
      <c r="A1414" t="b">
        <f t="shared" si="116"/>
        <v>0</v>
      </c>
      <c r="B1414">
        <v>2006</v>
      </c>
      <c r="C1414">
        <v>180</v>
      </c>
      <c r="D1414">
        <v>0</v>
      </c>
      <c r="E1414">
        <v>500</v>
      </c>
      <c r="F1414" s="7">
        <v>7.05</v>
      </c>
      <c r="G1414" s="7">
        <v>14.03</v>
      </c>
      <c r="H1414" s="7">
        <v>0</v>
      </c>
      <c r="I1414" s="7" t="str">
        <f t="shared" si="112"/>
        <v/>
      </c>
      <c r="J1414" s="7" t="str">
        <f t="shared" si="113"/>
        <v/>
      </c>
      <c r="K1414" s="7">
        <v>0</v>
      </c>
      <c r="L1414" s="7" t="str">
        <f t="shared" si="114"/>
        <v/>
      </c>
      <c r="M1414" s="7" t="str">
        <f t="shared" si="115"/>
        <v/>
      </c>
      <c r="N1414" s="7">
        <v>0</v>
      </c>
      <c r="O1414" s="7"/>
      <c r="P1414" s="7"/>
      <c r="Q1414" s="7"/>
      <c r="AC1414"/>
      <c r="AD1414" s="14"/>
    </row>
    <row r="1415" spans="1:30" x14ac:dyDescent="0.25">
      <c r="A1415" t="b">
        <f t="shared" si="116"/>
        <v>0</v>
      </c>
      <c r="B1415">
        <v>2006</v>
      </c>
      <c r="C1415">
        <v>180</v>
      </c>
      <c r="D1415">
        <v>0</v>
      </c>
      <c r="E1415">
        <v>600</v>
      </c>
      <c r="F1415" s="7">
        <v>27.7</v>
      </c>
      <c r="G1415" s="7">
        <v>14.62</v>
      </c>
      <c r="H1415" s="7">
        <v>0</v>
      </c>
      <c r="I1415" s="7" t="str">
        <f t="shared" si="112"/>
        <v/>
      </c>
      <c r="J1415" s="7" t="str">
        <f t="shared" si="113"/>
        <v/>
      </c>
      <c r="K1415" s="7">
        <v>0</v>
      </c>
      <c r="L1415" s="7" t="str">
        <f t="shared" si="114"/>
        <v/>
      </c>
      <c r="M1415" s="7" t="str">
        <f t="shared" si="115"/>
        <v/>
      </c>
      <c r="N1415" s="7">
        <v>0</v>
      </c>
      <c r="O1415" s="7"/>
      <c r="P1415" s="7"/>
      <c r="Q1415" s="7"/>
      <c r="AC1415"/>
      <c r="AD1415" s="14"/>
    </row>
    <row r="1416" spans="1:30" x14ac:dyDescent="0.25">
      <c r="A1416" t="b">
        <f t="shared" si="116"/>
        <v>0</v>
      </c>
      <c r="B1416">
        <v>2006</v>
      </c>
      <c r="C1416">
        <v>180</v>
      </c>
      <c r="D1416">
        <v>0</v>
      </c>
      <c r="E1416">
        <v>700</v>
      </c>
      <c r="F1416" s="7">
        <v>75.7</v>
      </c>
      <c r="G1416" s="7">
        <v>15.36</v>
      </c>
      <c r="H1416" s="7">
        <v>0</v>
      </c>
      <c r="I1416" s="7" t="str">
        <f t="shared" si="112"/>
        <v/>
      </c>
      <c r="J1416" s="7" t="str">
        <f t="shared" si="113"/>
        <v/>
      </c>
      <c r="K1416" s="7">
        <v>0</v>
      </c>
      <c r="L1416" s="7" t="str">
        <f t="shared" si="114"/>
        <v/>
      </c>
      <c r="M1416" s="7" t="str">
        <f t="shared" si="115"/>
        <v/>
      </c>
      <c r="N1416" s="7">
        <v>0</v>
      </c>
      <c r="O1416" s="7"/>
      <c r="P1416" s="7"/>
      <c r="Q1416" s="7"/>
      <c r="AC1416"/>
      <c r="AD1416" s="14"/>
    </row>
    <row r="1417" spans="1:30" x14ac:dyDescent="0.25">
      <c r="A1417" t="b">
        <f t="shared" si="116"/>
        <v>0</v>
      </c>
      <c r="B1417">
        <v>2006</v>
      </c>
      <c r="C1417">
        <v>180</v>
      </c>
      <c r="D1417">
        <v>0</v>
      </c>
      <c r="E1417">
        <v>800</v>
      </c>
      <c r="F1417" s="7">
        <v>66.37</v>
      </c>
      <c r="G1417" s="7">
        <v>15.63</v>
      </c>
      <c r="H1417" s="7">
        <v>0</v>
      </c>
      <c r="I1417" s="7" t="str">
        <f t="shared" si="112"/>
        <v/>
      </c>
      <c r="J1417" s="7" t="str">
        <f t="shared" si="113"/>
        <v/>
      </c>
      <c r="K1417" s="7">
        <v>0</v>
      </c>
      <c r="L1417" s="7" t="str">
        <f t="shared" si="114"/>
        <v/>
      </c>
      <c r="M1417" s="7" t="str">
        <f t="shared" si="115"/>
        <v/>
      </c>
      <c r="N1417" s="7">
        <v>0</v>
      </c>
      <c r="O1417" s="7"/>
      <c r="P1417" s="7"/>
      <c r="Q1417" s="7"/>
      <c r="AC1417"/>
      <c r="AD1417" s="14"/>
    </row>
    <row r="1418" spans="1:30" x14ac:dyDescent="0.25">
      <c r="A1418" t="b">
        <f t="shared" si="116"/>
        <v>0</v>
      </c>
      <c r="B1418">
        <v>2006</v>
      </c>
      <c r="C1418">
        <v>180</v>
      </c>
      <c r="D1418">
        <v>0</v>
      </c>
      <c r="E1418">
        <v>900</v>
      </c>
      <c r="F1418" s="7">
        <v>188</v>
      </c>
      <c r="G1418" s="7">
        <v>15.84</v>
      </c>
      <c r="H1418" s="7">
        <v>0</v>
      </c>
      <c r="I1418" s="7" t="str">
        <f t="shared" si="112"/>
        <v/>
      </c>
      <c r="J1418" s="7" t="str">
        <f t="shared" si="113"/>
        <v/>
      </c>
      <c r="K1418" s="7">
        <v>0</v>
      </c>
      <c r="L1418" s="7" t="str">
        <f t="shared" si="114"/>
        <v/>
      </c>
      <c r="M1418" s="7" t="str">
        <f t="shared" si="115"/>
        <v/>
      </c>
      <c r="N1418" s="7">
        <v>0</v>
      </c>
      <c r="O1418" s="7"/>
      <c r="P1418" s="7"/>
      <c r="Q1418" s="7"/>
      <c r="AC1418"/>
      <c r="AD1418" s="14"/>
    </row>
    <row r="1419" spans="1:30" x14ac:dyDescent="0.25">
      <c r="A1419" t="b">
        <f t="shared" si="116"/>
        <v>0</v>
      </c>
      <c r="B1419">
        <v>2006</v>
      </c>
      <c r="C1419">
        <v>180</v>
      </c>
      <c r="D1419">
        <v>0</v>
      </c>
      <c r="E1419">
        <v>1000</v>
      </c>
      <c r="F1419" s="7">
        <v>330.5</v>
      </c>
      <c r="G1419" s="7">
        <v>17.03</v>
      </c>
      <c r="H1419" s="7">
        <v>0</v>
      </c>
      <c r="I1419" s="7" t="str">
        <f t="shared" si="112"/>
        <v/>
      </c>
      <c r="J1419" s="7" t="str">
        <f t="shared" si="113"/>
        <v/>
      </c>
      <c r="K1419" s="7">
        <v>0</v>
      </c>
      <c r="L1419" s="7" t="str">
        <f t="shared" si="114"/>
        <v/>
      </c>
      <c r="M1419" s="7" t="str">
        <f t="shared" si="115"/>
        <v/>
      </c>
      <c r="N1419" s="7">
        <v>0</v>
      </c>
      <c r="O1419" s="7"/>
      <c r="P1419" s="7"/>
      <c r="Q1419" s="7"/>
      <c r="AC1419"/>
      <c r="AD1419" s="14"/>
    </row>
    <row r="1420" spans="1:30" x14ac:dyDescent="0.25">
      <c r="A1420" t="b">
        <f t="shared" si="116"/>
        <v>0</v>
      </c>
      <c r="B1420">
        <v>2006</v>
      </c>
      <c r="C1420">
        <v>180</v>
      </c>
      <c r="D1420">
        <v>0</v>
      </c>
      <c r="E1420">
        <v>1100</v>
      </c>
      <c r="F1420" s="7">
        <v>255</v>
      </c>
      <c r="G1420" s="7">
        <v>17.11</v>
      </c>
      <c r="H1420" s="7">
        <v>0</v>
      </c>
      <c r="I1420" s="7" t="str">
        <f t="shared" si="112"/>
        <v/>
      </c>
      <c r="J1420" s="7" t="str">
        <f t="shared" si="113"/>
        <v/>
      </c>
      <c r="K1420" s="7">
        <v>0</v>
      </c>
      <c r="L1420" s="7" t="str">
        <f t="shared" si="114"/>
        <v/>
      </c>
      <c r="M1420" s="7" t="str">
        <f t="shared" si="115"/>
        <v/>
      </c>
      <c r="N1420" s="7">
        <v>0</v>
      </c>
      <c r="O1420" s="7"/>
      <c r="P1420" s="7"/>
      <c r="Q1420" s="7"/>
      <c r="AC1420"/>
      <c r="AD1420" s="14"/>
    </row>
    <row r="1421" spans="1:30" x14ac:dyDescent="0.25">
      <c r="A1421" t="b">
        <f t="shared" si="116"/>
        <v>0</v>
      </c>
      <c r="B1421">
        <v>2006</v>
      </c>
      <c r="C1421">
        <v>180</v>
      </c>
      <c r="D1421">
        <v>0</v>
      </c>
      <c r="E1421">
        <v>1200</v>
      </c>
      <c r="F1421" s="7">
        <v>299.2</v>
      </c>
      <c r="G1421" s="7">
        <v>17.38</v>
      </c>
      <c r="H1421" s="7">
        <v>0</v>
      </c>
      <c r="I1421" s="7" t="str">
        <f t="shared" si="112"/>
        <v/>
      </c>
      <c r="J1421" s="7" t="str">
        <f t="shared" si="113"/>
        <v/>
      </c>
      <c r="K1421" s="7">
        <v>0</v>
      </c>
      <c r="L1421" s="7" t="str">
        <f t="shared" si="114"/>
        <v/>
      </c>
      <c r="M1421" s="7" t="str">
        <f t="shared" si="115"/>
        <v/>
      </c>
      <c r="N1421" s="7">
        <v>0</v>
      </c>
      <c r="O1421" s="7"/>
      <c r="P1421" s="7"/>
      <c r="Q1421" s="7"/>
      <c r="AC1421"/>
      <c r="AD1421" s="14"/>
    </row>
    <row r="1422" spans="1:30" x14ac:dyDescent="0.25">
      <c r="A1422" t="b">
        <f t="shared" si="116"/>
        <v>0</v>
      </c>
      <c r="B1422">
        <v>2006</v>
      </c>
      <c r="C1422">
        <v>180</v>
      </c>
      <c r="D1422">
        <v>0</v>
      </c>
      <c r="E1422">
        <v>1300</v>
      </c>
      <c r="F1422" s="7">
        <v>236.4</v>
      </c>
      <c r="G1422" s="7">
        <v>16.89</v>
      </c>
      <c r="H1422" s="7">
        <v>0</v>
      </c>
      <c r="I1422" s="7" t="str">
        <f t="shared" si="112"/>
        <v/>
      </c>
      <c r="J1422" s="7" t="str">
        <f t="shared" si="113"/>
        <v/>
      </c>
      <c r="K1422" s="7">
        <v>0</v>
      </c>
      <c r="L1422" s="7" t="str">
        <f t="shared" si="114"/>
        <v/>
      </c>
      <c r="M1422" s="7" t="str">
        <f t="shared" si="115"/>
        <v/>
      </c>
      <c r="N1422" s="7">
        <v>0</v>
      </c>
      <c r="O1422" s="7"/>
      <c r="P1422" s="7"/>
      <c r="Q1422" s="7"/>
      <c r="AC1422"/>
      <c r="AD1422" s="14"/>
    </row>
    <row r="1423" spans="1:30" x14ac:dyDescent="0.25">
      <c r="A1423" t="b">
        <f t="shared" si="116"/>
        <v>0</v>
      </c>
      <c r="B1423">
        <v>2006</v>
      </c>
      <c r="C1423">
        <v>180</v>
      </c>
      <c r="D1423">
        <v>0</v>
      </c>
      <c r="E1423">
        <v>1400</v>
      </c>
      <c r="F1423" s="7">
        <v>322.8</v>
      </c>
      <c r="G1423" s="7">
        <v>17.38</v>
      </c>
      <c r="H1423" s="7">
        <v>0</v>
      </c>
      <c r="I1423" s="7" t="str">
        <f t="shared" si="112"/>
        <v/>
      </c>
      <c r="J1423" s="7" t="str">
        <f t="shared" si="113"/>
        <v/>
      </c>
      <c r="K1423" s="7">
        <v>0</v>
      </c>
      <c r="L1423" s="7" t="str">
        <f t="shared" si="114"/>
        <v/>
      </c>
      <c r="M1423" s="7" t="str">
        <f t="shared" si="115"/>
        <v/>
      </c>
      <c r="N1423" s="7">
        <v>0</v>
      </c>
      <c r="O1423" s="7"/>
      <c r="P1423" s="7"/>
      <c r="Q1423" s="7"/>
      <c r="AC1423"/>
      <c r="AD1423" s="14"/>
    </row>
    <row r="1424" spans="1:30" x14ac:dyDescent="0.25">
      <c r="A1424" t="b">
        <f t="shared" si="116"/>
        <v>0</v>
      </c>
      <c r="B1424">
        <v>2006</v>
      </c>
      <c r="C1424">
        <v>180</v>
      </c>
      <c r="D1424">
        <v>0</v>
      </c>
      <c r="E1424">
        <v>1500</v>
      </c>
      <c r="F1424" s="7">
        <v>575</v>
      </c>
      <c r="G1424" s="7">
        <v>18.21</v>
      </c>
      <c r="H1424" s="7">
        <v>0</v>
      </c>
      <c r="I1424" s="7" t="str">
        <f t="shared" si="112"/>
        <v/>
      </c>
      <c r="J1424" s="7" t="str">
        <f t="shared" si="113"/>
        <v/>
      </c>
      <c r="K1424" s="7">
        <v>0</v>
      </c>
      <c r="L1424" s="7" t="str">
        <f t="shared" si="114"/>
        <v/>
      </c>
      <c r="M1424" s="7" t="str">
        <f t="shared" si="115"/>
        <v/>
      </c>
      <c r="N1424" s="7">
        <v>0</v>
      </c>
      <c r="O1424" s="7"/>
      <c r="P1424" s="7"/>
      <c r="Q1424" s="7"/>
      <c r="AC1424"/>
      <c r="AD1424" s="14"/>
    </row>
    <row r="1425" spans="1:30" x14ac:dyDescent="0.25">
      <c r="A1425" t="b">
        <f t="shared" si="116"/>
        <v>0</v>
      </c>
      <c r="B1425">
        <v>2006</v>
      </c>
      <c r="C1425">
        <v>180</v>
      </c>
      <c r="D1425">
        <v>0</v>
      </c>
      <c r="E1425">
        <v>1600</v>
      </c>
      <c r="F1425" s="7">
        <v>383.4</v>
      </c>
      <c r="G1425" s="7">
        <v>18.07</v>
      </c>
      <c r="H1425" s="7">
        <v>0</v>
      </c>
      <c r="I1425" s="7" t="str">
        <f t="shared" si="112"/>
        <v/>
      </c>
      <c r="J1425" s="7" t="str">
        <f t="shared" si="113"/>
        <v/>
      </c>
      <c r="K1425" s="7">
        <v>0</v>
      </c>
      <c r="L1425" s="7" t="str">
        <f t="shared" si="114"/>
        <v/>
      </c>
      <c r="M1425" s="7" t="str">
        <f t="shared" si="115"/>
        <v/>
      </c>
      <c r="N1425" s="7">
        <v>0</v>
      </c>
      <c r="O1425" s="7"/>
      <c r="P1425" s="7"/>
      <c r="Q1425" s="7"/>
      <c r="AC1425"/>
      <c r="AD1425" s="14"/>
    </row>
    <row r="1426" spans="1:30" x14ac:dyDescent="0.25">
      <c r="A1426" t="b">
        <f t="shared" si="116"/>
        <v>0</v>
      </c>
      <c r="B1426">
        <v>2006</v>
      </c>
      <c r="C1426">
        <v>180</v>
      </c>
      <c r="D1426">
        <v>0</v>
      </c>
      <c r="E1426">
        <v>1700</v>
      </c>
      <c r="F1426" s="7">
        <v>246.1</v>
      </c>
      <c r="G1426" s="7">
        <v>17.440000000000001</v>
      </c>
      <c r="H1426" s="7">
        <v>0</v>
      </c>
      <c r="I1426" s="7" t="str">
        <f t="shared" si="112"/>
        <v/>
      </c>
      <c r="J1426" s="7" t="str">
        <f t="shared" si="113"/>
        <v/>
      </c>
      <c r="K1426" s="7">
        <v>0</v>
      </c>
      <c r="L1426" s="7" t="str">
        <f t="shared" si="114"/>
        <v/>
      </c>
      <c r="M1426" s="7" t="str">
        <f t="shared" si="115"/>
        <v/>
      </c>
      <c r="N1426" s="7">
        <v>0</v>
      </c>
      <c r="O1426" s="7"/>
      <c r="P1426" s="7"/>
      <c r="Q1426" s="7"/>
      <c r="AC1426"/>
      <c r="AD1426" s="14"/>
    </row>
    <row r="1427" spans="1:30" x14ac:dyDescent="0.25">
      <c r="A1427" t="b">
        <f t="shared" si="116"/>
        <v>0</v>
      </c>
      <c r="B1427">
        <v>2006</v>
      </c>
      <c r="C1427">
        <v>180</v>
      </c>
      <c r="D1427">
        <v>0</v>
      </c>
      <c r="E1427">
        <v>1800</v>
      </c>
      <c r="F1427" s="7">
        <v>221.8</v>
      </c>
      <c r="G1427" s="7">
        <v>17.54</v>
      </c>
      <c r="H1427" s="7">
        <v>0</v>
      </c>
      <c r="I1427" s="7" t="str">
        <f t="shared" si="112"/>
        <v/>
      </c>
      <c r="J1427" s="7" t="str">
        <f t="shared" si="113"/>
        <v/>
      </c>
      <c r="K1427" s="7">
        <v>0</v>
      </c>
      <c r="L1427" s="7" t="str">
        <f t="shared" si="114"/>
        <v/>
      </c>
      <c r="M1427" s="7" t="str">
        <f t="shared" si="115"/>
        <v/>
      </c>
      <c r="N1427" s="7">
        <v>0</v>
      </c>
      <c r="O1427" s="7"/>
      <c r="P1427" s="7"/>
      <c r="Q1427" s="7"/>
      <c r="AC1427"/>
      <c r="AD1427" s="14"/>
    </row>
    <row r="1428" spans="1:30" x14ac:dyDescent="0.25">
      <c r="A1428" t="b">
        <f t="shared" si="116"/>
        <v>0</v>
      </c>
      <c r="B1428">
        <v>2006</v>
      </c>
      <c r="C1428">
        <v>180</v>
      </c>
      <c r="D1428">
        <v>0</v>
      </c>
      <c r="E1428">
        <v>1900</v>
      </c>
      <c r="F1428" s="7">
        <v>120</v>
      </c>
      <c r="G1428" s="7">
        <v>16.829999999999998</v>
      </c>
      <c r="H1428" s="7">
        <v>0</v>
      </c>
      <c r="I1428" s="7" t="str">
        <f t="shared" si="112"/>
        <v/>
      </c>
      <c r="J1428" s="7" t="str">
        <f t="shared" si="113"/>
        <v/>
      </c>
      <c r="K1428" s="7">
        <v>0</v>
      </c>
      <c r="L1428" s="7" t="str">
        <f t="shared" si="114"/>
        <v/>
      </c>
      <c r="M1428" s="7" t="str">
        <f t="shared" si="115"/>
        <v/>
      </c>
      <c r="N1428" s="7">
        <v>0</v>
      </c>
      <c r="O1428" s="7"/>
      <c r="P1428" s="7"/>
      <c r="Q1428" s="7"/>
      <c r="AC1428"/>
      <c r="AD1428" s="14"/>
    </row>
    <row r="1429" spans="1:30" x14ac:dyDescent="0.25">
      <c r="A1429" t="b">
        <f t="shared" si="116"/>
        <v>0</v>
      </c>
      <c r="B1429">
        <v>2006</v>
      </c>
      <c r="C1429">
        <v>180</v>
      </c>
      <c r="D1429">
        <v>0</v>
      </c>
      <c r="E1429">
        <v>2000</v>
      </c>
      <c r="F1429" s="7">
        <v>36.69</v>
      </c>
      <c r="G1429" s="7">
        <v>15.82</v>
      </c>
      <c r="H1429" s="7">
        <v>0</v>
      </c>
      <c r="I1429" s="7" t="str">
        <f t="shared" si="112"/>
        <v/>
      </c>
      <c r="J1429" s="7" t="str">
        <f t="shared" si="113"/>
        <v/>
      </c>
      <c r="K1429" s="7">
        <v>0</v>
      </c>
      <c r="L1429" s="7" t="str">
        <f t="shared" si="114"/>
        <v/>
      </c>
      <c r="M1429" s="7" t="str">
        <f t="shared" si="115"/>
        <v/>
      </c>
      <c r="N1429" s="7">
        <v>0</v>
      </c>
      <c r="O1429" s="7"/>
      <c r="P1429" s="7"/>
      <c r="Q1429" s="7"/>
      <c r="AC1429"/>
      <c r="AD1429" s="14"/>
    </row>
    <row r="1430" spans="1:30" x14ac:dyDescent="0.25">
      <c r="A1430" t="b">
        <f t="shared" si="116"/>
        <v>0</v>
      </c>
      <c r="B1430">
        <v>2006</v>
      </c>
      <c r="C1430">
        <v>180</v>
      </c>
      <c r="D1430">
        <v>0</v>
      </c>
      <c r="E1430">
        <v>2100</v>
      </c>
      <c r="F1430" s="7">
        <v>7.34</v>
      </c>
      <c r="G1430" s="7">
        <v>15.44</v>
      </c>
      <c r="H1430" s="7">
        <v>0</v>
      </c>
      <c r="I1430" s="7" t="str">
        <f t="shared" si="112"/>
        <v/>
      </c>
      <c r="J1430" s="7" t="str">
        <f t="shared" si="113"/>
        <v/>
      </c>
      <c r="K1430" s="7">
        <v>0</v>
      </c>
      <c r="L1430" s="7" t="str">
        <f t="shared" si="114"/>
        <v/>
      </c>
      <c r="M1430" s="7" t="str">
        <f t="shared" si="115"/>
        <v/>
      </c>
      <c r="N1430" s="7">
        <v>0</v>
      </c>
      <c r="O1430" s="7"/>
      <c r="P1430" s="7"/>
      <c r="Q1430" s="7"/>
      <c r="AC1430"/>
      <c r="AD1430" s="14"/>
    </row>
    <row r="1431" spans="1:30" x14ac:dyDescent="0.25">
      <c r="A1431" t="b">
        <f t="shared" si="116"/>
        <v>0</v>
      </c>
      <c r="B1431">
        <v>2006</v>
      </c>
      <c r="C1431">
        <v>180</v>
      </c>
      <c r="D1431">
        <v>0</v>
      </c>
      <c r="E1431">
        <v>2200</v>
      </c>
      <c r="F1431" s="7">
        <v>-1.044</v>
      </c>
      <c r="G1431" s="7">
        <v>15.04</v>
      </c>
      <c r="H1431" s="7">
        <v>0</v>
      </c>
      <c r="I1431" s="7" t="str">
        <f t="shared" si="112"/>
        <v/>
      </c>
      <c r="J1431" s="7" t="str">
        <f t="shared" si="113"/>
        <v/>
      </c>
      <c r="K1431" s="7">
        <v>0</v>
      </c>
      <c r="L1431" s="7" t="str">
        <f t="shared" si="114"/>
        <v/>
      </c>
      <c r="M1431" s="7" t="str">
        <f t="shared" si="115"/>
        <v/>
      </c>
      <c r="N1431" s="7">
        <v>0</v>
      </c>
      <c r="O1431" s="7"/>
      <c r="P1431" s="7"/>
      <c r="Q1431" s="7"/>
      <c r="AC1431"/>
      <c r="AD1431" s="14"/>
    </row>
    <row r="1432" spans="1:30" x14ac:dyDescent="0.25">
      <c r="A1432" t="b">
        <f t="shared" si="116"/>
        <v>0</v>
      </c>
      <c r="B1432">
        <v>2006</v>
      </c>
      <c r="C1432">
        <v>180</v>
      </c>
      <c r="D1432">
        <v>0</v>
      </c>
      <c r="E1432">
        <v>2300</v>
      </c>
      <c r="F1432" s="7">
        <v>-0.91400000000000003</v>
      </c>
      <c r="G1432" s="7">
        <v>14.99</v>
      </c>
      <c r="H1432" s="7">
        <v>0</v>
      </c>
      <c r="I1432" s="7" t="str">
        <f t="shared" si="112"/>
        <v/>
      </c>
      <c r="J1432" s="7" t="str">
        <f t="shared" si="113"/>
        <v/>
      </c>
      <c r="K1432" s="7">
        <v>0</v>
      </c>
      <c r="L1432" s="7" t="str">
        <f t="shared" si="114"/>
        <v/>
      </c>
      <c r="M1432" s="7" t="str">
        <f t="shared" si="115"/>
        <v/>
      </c>
      <c r="N1432" s="7">
        <v>0</v>
      </c>
      <c r="O1432" s="7"/>
      <c r="P1432" s="7"/>
      <c r="Q1432" s="7"/>
      <c r="AC1432"/>
      <c r="AD1432" s="14"/>
    </row>
    <row r="1433" spans="1:30" x14ac:dyDescent="0.25">
      <c r="A1433" t="b">
        <f t="shared" si="116"/>
        <v>0</v>
      </c>
      <c r="B1433">
        <v>2006</v>
      </c>
      <c r="C1433">
        <v>180</v>
      </c>
      <c r="D1433">
        <v>0</v>
      </c>
      <c r="E1433">
        <v>2400</v>
      </c>
      <c r="F1433" s="7">
        <v>-0.7</v>
      </c>
      <c r="G1433" s="7">
        <v>15.18</v>
      </c>
      <c r="H1433" s="7">
        <v>0</v>
      </c>
      <c r="I1433" s="7" t="str">
        <f t="shared" si="112"/>
        <v/>
      </c>
      <c r="J1433" s="7" t="str">
        <f t="shared" si="113"/>
        <v/>
      </c>
      <c r="K1433" s="7">
        <v>0</v>
      </c>
      <c r="L1433" s="7" t="str">
        <f t="shared" si="114"/>
        <v/>
      </c>
      <c r="M1433" s="7" t="str">
        <f t="shared" si="115"/>
        <v/>
      </c>
      <c r="N1433" s="7">
        <v>0</v>
      </c>
      <c r="O1433" s="7"/>
      <c r="P1433" s="7"/>
      <c r="Q1433" s="7"/>
      <c r="AC1433"/>
      <c r="AD1433" s="14"/>
    </row>
    <row r="1434" spans="1:30" x14ac:dyDescent="0.25">
      <c r="A1434" t="b">
        <f t="shared" si="116"/>
        <v>1</v>
      </c>
      <c r="B1434">
        <v>2006</v>
      </c>
      <c r="C1434">
        <v>181</v>
      </c>
      <c r="D1434">
        <v>0</v>
      </c>
      <c r="E1434">
        <v>100</v>
      </c>
      <c r="F1434" s="7">
        <v>-0.86599999999999999</v>
      </c>
      <c r="G1434" s="7">
        <v>15.03</v>
      </c>
      <c r="H1434" s="7">
        <v>0</v>
      </c>
      <c r="I1434" s="7">
        <f t="shared" si="112"/>
        <v>5.6</v>
      </c>
      <c r="J1434" s="7">
        <f t="shared" si="113"/>
        <v>197.89762500000003</v>
      </c>
      <c r="K1434" s="7">
        <v>0</v>
      </c>
      <c r="L1434" s="7">
        <f t="shared" si="114"/>
        <v>21.44</v>
      </c>
      <c r="M1434" s="7">
        <f t="shared" si="115"/>
        <v>13.63</v>
      </c>
      <c r="N1434" s="7">
        <v>0</v>
      </c>
      <c r="O1434" s="7"/>
      <c r="P1434" s="7"/>
      <c r="Q1434" s="7"/>
      <c r="AC1434"/>
      <c r="AD1434" s="14"/>
    </row>
    <row r="1435" spans="1:30" x14ac:dyDescent="0.25">
      <c r="A1435" t="b">
        <f t="shared" si="116"/>
        <v>0</v>
      </c>
      <c r="B1435">
        <v>2006</v>
      </c>
      <c r="C1435">
        <v>181</v>
      </c>
      <c r="D1435">
        <v>0</v>
      </c>
      <c r="E1435">
        <v>200</v>
      </c>
      <c r="F1435" s="7">
        <v>-0.96199999999999997</v>
      </c>
      <c r="G1435" s="7">
        <v>15.02</v>
      </c>
      <c r="H1435" s="7">
        <v>0</v>
      </c>
      <c r="I1435" s="7" t="str">
        <f t="shared" si="112"/>
        <v/>
      </c>
      <c r="J1435" s="7" t="str">
        <f t="shared" si="113"/>
        <v/>
      </c>
      <c r="K1435" s="7">
        <v>0</v>
      </c>
      <c r="L1435" s="7" t="str">
        <f t="shared" si="114"/>
        <v/>
      </c>
      <c r="M1435" s="7" t="str">
        <f t="shared" si="115"/>
        <v/>
      </c>
      <c r="N1435" s="7">
        <v>0</v>
      </c>
      <c r="O1435" s="7"/>
      <c r="P1435" s="7"/>
      <c r="Q1435" s="7"/>
      <c r="AC1435"/>
      <c r="AD1435" s="14"/>
    </row>
    <row r="1436" spans="1:30" x14ac:dyDescent="0.25">
      <c r="A1436" t="b">
        <f t="shared" si="116"/>
        <v>0</v>
      </c>
      <c r="B1436">
        <v>2006</v>
      </c>
      <c r="C1436">
        <v>181</v>
      </c>
      <c r="D1436">
        <v>0</v>
      </c>
      <c r="E1436">
        <v>300</v>
      </c>
      <c r="F1436" s="7">
        <v>-1.1459999999999999</v>
      </c>
      <c r="G1436" s="7">
        <v>13.83</v>
      </c>
      <c r="H1436" s="7">
        <v>0</v>
      </c>
      <c r="I1436" s="7" t="str">
        <f t="shared" si="112"/>
        <v/>
      </c>
      <c r="J1436" s="7" t="str">
        <f t="shared" si="113"/>
        <v/>
      </c>
      <c r="K1436" s="7">
        <v>0</v>
      </c>
      <c r="L1436" s="7" t="str">
        <f t="shared" si="114"/>
        <v/>
      </c>
      <c r="M1436" s="7" t="str">
        <f t="shared" si="115"/>
        <v/>
      </c>
      <c r="N1436" s="7">
        <v>0</v>
      </c>
      <c r="O1436" s="7"/>
      <c r="P1436" s="7"/>
      <c r="Q1436" s="7"/>
      <c r="AC1436"/>
      <c r="AD1436" s="14"/>
    </row>
    <row r="1437" spans="1:30" x14ac:dyDescent="0.25">
      <c r="A1437" t="b">
        <f t="shared" si="116"/>
        <v>0</v>
      </c>
      <c r="B1437">
        <v>2006</v>
      </c>
      <c r="C1437">
        <v>181</v>
      </c>
      <c r="D1437">
        <v>0</v>
      </c>
      <c r="E1437">
        <v>400</v>
      </c>
      <c r="F1437" s="7">
        <v>-0.55200000000000005</v>
      </c>
      <c r="G1437" s="7">
        <v>13.68</v>
      </c>
      <c r="H1437" s="7">
        <v>0</v>
      </c>
      <c r="I1437" s="7" t="str">
        <f t="shared" si="112"/>
        <v/>
      </c>
      <c r="J1437" s="7" t="str">
        <f t="shared" si="113"/>
        <v/>
      </c>
      <c r="K1437" s="7">
        <v>0</v>
      </c>
      <c r="L1437" s="7" t="str">
        <f t="shared" si="114"/>
        <v/>
      </c>
      <c r="M1437" s="7" t="str">
        <f t="shared" si="115"/>
        <v/>
      </c>
      <c r="N1437" s="7">
        <v>0</v>
      </c>
      <c r="O1437" s="7"/>
      <c r="P1437" s="7"/>
      <c r="Q1437" s="7"/>
      <c r="AC1437"/>
      <c r="AD1437" s="14"/>
    </row>
    <row r="1438" spans="1:30" x14ac:dyDescent="0.25">
      <c r="A1438" t="b">
        <f t="shared" si="116"/>
        <v>0</v>
      </c>
      <c r="B1438">
        <v>2006</v>
      </c>
      <c r="C1438">
        <v>181</v>
      </c>
      <c r="D1438">
        <v>0</v>
      </c>
      <c r="E1438">
        <v>500</v>
      </c>
      <c r="F1438" s="7">
        <v>3.6760000000000002</v>
      </c>
      <c r="G1438" s="7">
        <v>13.63</v>
      </c>
      <c r="H1438" s="7">
        <v>0.8</v>
      </c>
      <c r="I1438" s="7" t="str">
        <f t="shared" si="112"/>
        <v/>
      </c>
      <c r="J1438" s="7" t="str">
        <f t="shared" si="113"/>
        <v/>
      </c>
      <c r="K1438" s="7">
        <v>0</v>
      </c>
      <c r="L1438" s="7" t="str">
        <f t="shared" si="114"/>
        <v/>
      </c>
      <c r="M1438" s="7" t="str">
        <f t="shared" si="115"/>
        <v/>
      </c>
      <c r="N1438" s="7">
        <v>0</v>
      </c>
      <c r="O1438" s="7"/>
      <c r="P1438" s="7"/>
      <c r="Q1438" s="7"/>
      <c r="AC1438"/>
      <c r="AD1438" s="14"/>
    </row>
    <row r="1439" spans="1:30" x14ac:dyDescent="0.25">
      <c r="A1439" t="b">
        <f t="shared" si="116"/>
        <v>0</v>
      </c>
      <c r="B1439">
        <v>2006</v>
      </c>
      <c r="C1439">
        <v>181</v>
      </c>
      <c r="D1439">
        <v>0</v>
      </c>
      <c r="E1439">
        <v>600</v>
      </c>
      <c r="F1439" s="7">
        <v>22.69</v>
      </c>
      <c r="G1439" s="7">
        <v>13.66</v>
      </c>
      <c r="H1439" s="7">
        <v>0.2</v>
      </c>
      <c r="I1439" s="7" t="str">
        <f t="shared" si="112"/>
        <v/>
      </c>
      <c r="J1439" s="7" t="str">
        <f t="shared" si="113"/>
        <v/>
      </c>
      <c r="K1439" s="7">
        <v>0</v>
      </c>
      <c r="L1439" s="7" t="str">
        <f t="shared" si="114"/>
        <v/>
      </c>
      <c r="M1439" s="7" t="str">
        <f t="shared" si="115"/>
        <v/>
      </c>
      <c r="N1439" s="7">
        <v>0</v>
      </c>
      <c r="O1439" s="7"/>
      <c r="P1439" s="7"/>
      <c r="Q1439" s="7"/>
      <c r="AC1439"/>
      <c r="AD1439" s="14"/>
    </row>
    <row r="1440" spans="1:30" x14ac:dyDescent="0.25">
      <c r="A1440" t="b">
        <f t="shared" si="116"/>
        <v>0</v>
      </c>
      <c r="B1440">
        <v>2006</v>
      </c>
      <c r="C1440">
        <v>181</v>
      </c>
      <c r="D1440">
        <v>0</v>
      </c>
      <c r="E1440">
        <v>700</v>
      </c>
      <c r="F1440" s="7">
        <v>84.7</v>
      </c>
      <c r="G1440" s="7">
        <v>13.97</v>
      </c>
      <c r="H1440" s="7">
        <v>0</v>
      </c>
      <c r="I1440" s="7" t="str">
        <f t="shared" si="112"/>
        <v/>
      </c>
      <c r="J1440" s="7" t="str">
        <f t="shared" si="113"/>
        <v/>
      </c>
      <c r="K1440" s="7">
        <v>0</v>
      </c>
      <c r="L1440" s="7" t="str">
        <f t="shared" si="114"/>
        <v/>
      </c>
      <c r="M1440" s="7" t="str">
        <f t="shared" si="115"/>
        <v/>
      </c>
      <c r="N1440" s="7">
        <v>0</v>
      </c>
      <c r="O1440" s="7"/>
      <c r="P1440" s="7"/>
      <c r="Q1440" s="7"/>
      <c r="AC1440"/>
      <c r="AD1440" s="14"/>
    </row>
    <row r="1441" spans="1:30" x14ac:dyDescent="0.25">
      <c r="A1441" t="b">
        <f t="shared" si="116"/>
        <v>0</v>
      </c>
      <c r="B1441">
        <v>2006</v>
      </c>
      <c r="C1441">
        <v>181</v>
      </c>
      <c r="D1441">
        <v>0</v>
      </c>
      <c r="E1441">
        <v>800</v>
      </c>
      <c r="F1441" s="7">
        <v>77.8</v>
      </c>
      <c r="G1441" s="7">
        <v>14.21</v>
      </c>
      <c r="H1441" s="7">
        <v>1</v>
      </c>
      <c r="I1441" s="7" t="str">
        <f t="shared" si="112"/>
        <v/>
      </c>
      <c r="J1441" s="7" t="str">
        <f t="shared" si="113"/>
        <v/>
      </c>
      <c r="K1441" s="7">
        <v>0</v>
      </c>
      <c r="L1441" s="7" t="str">
        <f t="shared" si="114"/>
        <v/>
      </c>
      <c r="M1441" s="7" t="str">
        <f t="shared" si="115"/>
        <v/>
      </c>
      <c r="N1441" s="7">
        <v>0</v>
      </c>
      <c r="O1441" s="7"/>
      <c r="P1441" s="7"/>
      <c r="Q1441" s="7"/>
      <c r="AC1441"/>
      <c r="AD1441" s="14"/>
    </row>
    <row r="1442" spans="1:30" x14ac:dyDescent="0.25">
      <c r="A1442" t="b">
        <f t="shared" si="116"/>
        <v>0</v>
      </c>
      <c r="B1442">
        <v>2006</v>
      </c>
      <c r="C1442">
        <v>181</v>
      </c>
      <c r="D1442">
        <v>0</v>
      </c>
      <c r="E1442">
        <v>900</v>
      </c>
      <c r="F1442" s="7">
        <v>93.1</v>
      </c>
      <c r="G1442" s="7">
        <v>14.46</v>
      </c>
      <c r="H1442" s="7">
        <v>3</v>
      </c>
      <c r="I1442" s="7" t="str">
        <f t="shared" si="112"/>
        <v/>
      </c>
      <c r="J1442" s="7" t="str">
        <f t="shared" si="113"/>
        <v/>
      </c>
      <c r="K1442" s="7">
        <v>0</v>
      </c>
      <c r="L1442" s="7" t="str">
        <f t="shared" si="114"/>
        <v/>
      </c>
      <c r="M1442" s="7" t="str">
        <f t="shared" si="115"/>
        <v/>
      </c>
      <c r="N1442" s="7">
        <v>0</v>
      </c>
      <c r="O1442" s="7"/>
      <c r="P1442" s="7"/>
      <c r="Q1442" s="7"/>
      <c r="AC1442"/>
      <c r="AD1442" s="14"/>
    </row>
    <row r="1443" spans="1:30" x14ac:dyDescent="0.25">
      <c r="A1443" t="b">
        <f t="shared" si="116"/>
        <v>0</v>
      </c>
      <c r="B1443">
        <v>2006</v>
      </c>
      <c r="C1443">
        <v>181</v>
      </c>
      <c r="D1443">
        <v>0</v>
      </c>
      <c r="E1443">
        <v>1000</v>
      </c>
      <c r="F1443" s="7">
        <v>301.39999999999998</v>
      </c>
      <c r="G1443" s="7">
        <v>15.21</v>
      </c>
      <c r="H1443" s="7">
        <v>0.6</v>
      </c>
      <c r="I1443" s="7" t="str">
        <f t="shared" si="112"/>
        <v/>
      </c>
      <c r="J1443" s="7" t="str">
        <f t="shared" si="113"/>
        <v/>
      </c>
      <c r="K1443" s="7">
        <v>0</v>
      </c>
      <c r="L1443" s="7" t="str">
        <f t="shared" si="114"/>
        <v/>
      </c>
      <c r="M1443" s="7" t="str">
        <f t="shared" si="115"/>
        <v/>
      </c>
      <c r="N1443" s="7">
        <v>0</v>
      </c>
      <c r="O1443" s="7"/>
      <c r="P1443" s="7"/>
      <c r="Q1443" s="7"/>
      <c r="AC1443"/>
      <c r="AD1443" s="14"/>
    </row>
    <row r="1444" spans="1:30" x14ac:dyDescent="0.25">
      <c r="A1444" t="b">
        <f t="shared" si="116"/>
        <v>0</v>
      </c>
      <c r="B1444">
        <v>2006</v>
      </c>
      <c r="C1444">
        <v>181</v>
      </c>
      <c r="D1444">
        <v>0</v>
      </c>
      <c r="E1444">
        <v>1100</v>
      </c>
      <c r="F1444" s="7">
        <v>450.1</v>
      </c>
      <c r="G1444" s="7">
        <v>16.79</v>
      </c>
      <c r="H1444" s="7">
        <v>0</v>
      </c>
      <c r="I1444" s="7" t="str">
        <f t="shared" si="112"/>
        <v/>
      </c>
      <c r="J1444" s="7" t="str">
        <f t="shared" si="113"/>
        <v/>
      </c>
      <c r="K1444" s="7">
        <v>0</v>
      </c>
      <c r="L1444" s="7" t="str">
        <f t="shared" si="114"/>
        <v/>
      </c>
      <c r="M1444" s="7" t="str">
        <f t="shared" si="115"/>
        <v/>
      </c>
      <c r="N1444" s="7">
        <v>0</v>
      </c>
      <c r="O1444" s="7"/>
      <c r="P1444" s="7"/>
      <c r="Q1444" s="7"/>
      <c r="AC1444"/>
      <c r="AD1444" s="14"/>
    </row>
    <row r="1445" spans="1:30" x14ac:dyDescent="0.25">
      <c r="A1445" t="b">
        <f t="shared" si="116"/>
        <v>0</v>
      </c>
      <c r="B1445">
        <v>2006</v>
      </c>
      <c r="C1445">
        <v>181</v>
      </c>
      <c r="D1445">
        <v>0</v>
      </c>
      <c r="E1445">
        <v>1200</v>
      </c>
      <c r="F1445" s="7">
        <v>732</v>
      </c>
      <c r="G1445" s="7">
        <v>19.010000000000002</v>
      </c>
      <c r="H1445" s="7">
        <v>0</v>
      </c>
      <c r="I1445" s="7" t="str">
        <f t="shared" si="112"/>
        <v/>
      </c>
      <c r="J1445" s="7" t="str">
        <f t="shared" si="113"/>
        <v/>
      </c>
      <c r="K1445" s="7">
        <v>0</v>
      </c>
      <c r="L1445" s="7" t="str">
        <f t="shared" si="114"/>
        <v/>
      </c>
      <c r="M1445" s="7" t="str">
        <f t="shared" si="115"/>
        <v/>
      </c>
      <c r="N1445" s="7">
        <v>0</v>
      </c>
      <c r="O1445" s="7"/>
      <c r="P1445" s="7"/>
      <c r="Q1445" s="7"/>
      <c r="AC1445"/>
      <c r="AD1445" s="14"/>
    </row>
    <row r="1446" spans="1:30" x14ac:dyDescent="0.25">
      <c r="A1446" t="b">
        <f t="shared" si="116"/>
        <v>0</v>
      </c>
      <c r="B1446">
        <v>2006</v>
      </c>
      <c r="C1446">
        <v>181</v>
      </c>
      <c r="D1446">
        <v>0</v>
      </c>
      <c r="E1446">
        <v>1300</v>
      </c>
      <c r="F1446" s="7">
        <v>444.1</v>
      </c>
      <c r="G1446" s="7">
        <v>19.18</v>
      </c>
      <c r="H1446" s="7">
        <v>0</v>
      </c>
      <c r="I1446" s="7" t="str">
        <f t="shared" si="112"/>
        <v/>
      </c>
      <c r="J1446" s="7" t="str">
        <f t="shared" si="113"/>
        <v/>
      </c>
      <c r="K1446" s="7">
        <v>0</v>
      </c>
      <c r="L1446" s="7" t="str">
        <f t="shared" si="114"/>
        <v/>
      </c>
      <c r="M1446" s="7" t="str">
        <f t="shared" si="115"/>
        <v/>
      </c>
      <c r="N1446" s="7">
        <v>0</v>
      </c>
      <c r="O1446" s="7"/>
      <c r="P1446" s="7"/>
      <c r="Q1446" s="7"/>
      <c r="AC1446"/>
      <c r="AD1446" s="14"/>
    </row>
    <row r="1447" spans="1:30" x14ac:dyDescent="0.25">
      <c r="A1447" t="b">
        <f t="shared" si="116"/>
        <v>0</v>
      </c>
      <c r="B1447">
        <v>2006</v>
      </c>
      <c r="C1447">
        <v>181</v>
      </c>
      <c r="D1447">
        <v>0</v>
      </c>
      <c r="E1447">
        <v>1400</v>
      </c>
      <c r="F1447" s="7">
        <v>462.4</v>
      </c>
      <c r="G1447" s="7">
        <v>19.760000000000002</v>
      </c>
      <c r="H1447" s="7">
        <v>0</v>
      </c>
      <c r="I1447" s="7" t="str">
        <f t="shared" si="112"/>
        <v/>
      </c>
      <c r="J1447" s="7" t="str">
        <f t="shared" si="113"/>
        <v/>
      </c>
      <c r="K1447" s="7">
        <v>0</v>
      </c>
      <c r="L1447" s="7" t="str">
        <f t="shared" si="114"/>
        <v/>
      </c>
      <c r="M1447" s="7" t="str">
        <f t="shared" si="115"/>
        <v/>
      </c>
      <c r="N1447" s="7">
        <v>0</v>
      </c>
      <c r="O1447" s="7"/>
      <c r="P1447" s="7"/>
      <c r="Q1447" s="7"/>
      <c r="AC1447"/>
      <c r="AD1447" s="14"/>
    </row>
    <row r="1448" spans="1:30" x14ac:dyDescent="0.25">
      <c r="A1448" t="b">
        <f t="shared" si="116"/>
        <v>0</v>
      </c>
      <c r="B1448">
        <v>2006</v>
      </c>
      <c r="C1448">
        <v>181</v>
      </c>
      <c r="D1448">
        <v>0</v>
      </c>
      <c r="E1448">
        <v>1500</v>
      </c>
      <c r="F1448" s="7">
        <v>381.3</v>
      </c>
      <c r="G1448" s="7">
        <v>19.91</v>
      </c>
      <c r="H1448" s="7">
        <v>0</v>
      </c>
      <c r="I1448" s="7" t="str">
        <f t="shared" si="112"/>
        <v/>
      </c>
      <c r="J1448" s="7" t="str">
        <f t="shared" si="113"/>
        <v/>
      </c>
      <c r="K1448" s="7">
        <v>0</v>
      </c>
      <c r="L1448" s="7" t="str">
        <f t="shared" si="114"/>
        <v/>
      </c>
      <c r="M1448" s="7" t="str">
        <f t="shared" si="115"/>
        <v/>
      </c>
      <c r="N1448" s="7">
        <v>0</v>
      </c>
      <c r="O1448" s="7"/>
      <c r="P1448" s="7"/>
      <c r="Q1448" s="7"/>
      <c r="AC1448"/>
      <c r="AD1448" s="14"/>
    </row>
    <row r="1449" spans="1:30" x14ac:dyDescent="0.25">
      <c r="A1449" t="b">
        <f t="shared" si="116"/>
        <v>0</v>
      </c>
      <c r="B1449">
        <v>2006</v>
      </c>
      <c r="C1449">
        <v>181</v>
      </c>
      <c r="D1449">
        <v>0</v>
      </c>
      <c r="E1449">
        <v>1600</v>
      </c>
      <c r="F1449" s="7">
        <v>552.79999999999995</v>
      </c>
      <c r="G1449" s="7">
        <v>20.78</v>
      </c>
      <c r="H1449" s="7">
        <v>0</v>
      </c>
      <c r="I1449" s="7" t="str">
        <f t="shared" si="112"/>
        <v/>
      </c>
      <c r="J1449" s="7" t="str">
        <f t="shared" si="113"/>
        <v/>
      </c>
      <c r="K1449" s="7">
        <v>0</v>
      </c>
      <c r="L1449" s="7" t="str">
        <f t="shared" si="114"/>
        <v/>
      </c>
      <c r="M1449" s="7" t="str">
        <f t="shared" si="115"/>
        <v/>
      </c>
      <c r="N1449" s="7">
        <v>0</v>
      </c>
      <c r="O1449" s="7"/>
      <c r="P1449" s="7"/>
      <c r="Q1449" s="7"/>
      <c r="AC1449"/>
      <c r="AD1449" s="14"/>
    </row>
    <row r="1450" spans="1:30" x14ac:dyDescent="0.25">
      <c r="A1450" t="b">
        <f t="shared" si="116"/>
        <v>0</v>
      </c>
      <c r="B1450">
        <v>2006</v>
      </c>
      <c r="C1450">
        <v>181</v>
      </c>
      <c r="D1450">
        <v>0</v>
      </c>
      <c r="E1450">
        <v>1700</v>
      </c>
      <c r="F1450" s="7">
        <v>556.20000000000005</v>
      </c>
      <c r="G1450" s="7">
        <v>21.44</v>
      </c>
      <c r="H1450" s="7">
        <v>0</v>
      </c>
      <c r="I1450" s="7" t="str">
        <f t="shared" si="112"/>
        <v/>
      </c>
      <c r="J1450" s="7" t="str">
        <f t="shared" si="113"/>
        <v/>
      </c>
      <c r="K1450" s="7">
        <v>0</v>
      </c>
      <c r="L1450" s="7" t="str">
        <f t="shared" si="114"/>
        <v/>
      </c>
      <c r="M1450" s="7" t="str">
        <f t="shared" si="115"/>
        <v/>
      </c>
      <c r="N1450" s="7">
        <v>0</v>
      </c>
      <c r="O1450" s="7"/>
      <c r="P1450" s="7"/>
      <c r="Q1450" s="7"/>
      <c r="AC1450"/>
      <c r="AD1450" s="14"/>
    </row>
    <row r="1451" spans="1:30" x14ac:dyDescent="0.25">
      <c r="A1451" t="b">
        <f t="shared" si="116"/>
        <v>0</v>
      </c>
      <c r="B1451">
        <v>2006</v>
      </c>
      <c r="C1451">
        <v>181</v>
      </c>
      <c r="D1451">
        <v>0</v>
      </c>
      <c r="E1451">
        <v>1800</v>
      </c>
      <c r="F1451" s="7">
        <v>233.1</v>
      </c>
      <c r="G1451" s="7">
        <v>20.49</v>
      </c>
      <c r="H1451" s="7">
        <v>0</v>
      </c>
      <c r="I1451" s="7" t="str">
        <f t="shared" si="112"/>
        <v/>
      </c>
      <c r="J1451" s="7" t="str">
        <f t="shared" si="113"/>
        <v/>
      </c>
      <c r="K1451" s="7">
        <v>0</v>
      </c>
      <c r="L1451" s="7" t="str">
        <f t="shared" si="114"/>
        <v/>
      </c>
      <c r="M1451" s="7" t="str">
        <f t="shared" si="115"/>
        <v/>
      </c>
      <c r="N1451" s="7">
        <v>0</v>
      </c>
      <c r="O1451" s="7"/>
      <c r="P1451" s="7"/>
      <c r="Q1451" s="7"/>
      <c r="AC1451"/>
      <c r="AD1451" s="14"/>
    </row>
    <row r="1452" spans="1:30" x14ac:dyDescent="0.25">
      <c r="A1452" t="b">
        <f t="shared" si="116"/>
        <v>0</v>
      </c>
      <c r="B1452">
        <v>2006</v>
      </c>
      <c r="C1452">
        <v>181</v>
      </c>
      <c r="D1452">
        <v>0</v>
      </c>
      <c r="E1452">
        <v>1900</v>
      </c>
      <c r="F1452" s="7">
        <v>216.2</v>
      </c>
      <c r="G1452" s="7">
        <v>20.68</v>
      </c>
      <c r="H1452" s="7">
        <v>0</v>
      </c>
      <c r="I1452" s="7" t="str">
        <f t="shared" si="112"/>
        <v/>
      </c>
      <c r="J1452" s="7" t="str">
        <f t="shared" si="113"/>
        <v/>
      </c>
      <c r="K1452" s="7">
        <v>0</v>
      </c>
      <c r="L1452" s="7" t="str">
        <f t="shared" si="114"/>
        <v/>
      </c>
      <c r="M1452" s="7" t="str">
        <f t="shared" si="115"/>
        <v/>
      </c>
      <c r="N1452" s="7">
        <v>0</v>
      </c>
      <c r="O1452" s="7"/>
      <c r="P1452" s="7"/>
      <c r="Q1452" s="7"/>
      <c r="AC1452"/>
      <c r="AD1452" s="14"/>
    </row>
    <row r="1453" spans="1:30" x14ac:dyDescent="0.25">
      <c r="A1453" t="b">
        <f t="shared" si="116"/>
        <v>0</v>
      </c>
      <c r="B1453">
        <v>2006</v>
      </c>
      <c r="C1453">
        <v>181</v>
      </c>
      <c r="D1453">
        <v>0</v>
      </c>
      <c r="E1453">
        <v>2000</v>
      </c>
      <c r="F1453" s="7">
        <v>125.6</v>
      </c>
      <c r="G1453" s="7">
        <v>20.100000000000001</v>
      </c>
      <c r="H1453" s="7">
        <v>0</v>
      </c>
      <c r="I1453" s="7" t="str">
        <f t="shared" si="112"/>
        <v/>
      </c>
      <c r="J1453" s="7" t="str">
        <f t="shared" si="113"/>
        <v/>
      </c>
      <c r="K1453" s="7">
        <v>0</v>
      </c>
      <c r="L1453" s="7" t="str">
        <f t="shared" si="114"/>
        <v/>
      </c>
      <c r="M1453" s="7" t="str">
        <f t="shared" si="115"/>
        <v/>
      </c>
      <c r="N1453" s="7">
        <v>0</v>
      </c>
      <c r="O1453" s="7"/>
      <c r="P1453" s="7"/>
      <c r="Q1453" s="7"/>
      <c r="AC1453"/>
      <c r="AD1453" s="14"/>
    </row>
    <row r="1454" spans="1:30" x14ac:dyDescent="0.25">
      <c r="A1454" t="b">
        <f t="shared" si="116"/>
        <v>0</v>
      </c>
      <c r="B1454">
        <v>2006</v>
      </c>
      <c r="C1454">
        <v>181</v>
      </c>
      <c r="D1454">
        <v>0</v>
      </c>
      <c r="E1454">
        <v>2100</v>
      </c>
      <c r="F1454" s="7">
        <v>24.54</v>
      </c>
      <c r="G1454" s="7">
        <v>17.45</v>
      </c>
      <c r="H1454" s="7">
        <v>0</v>
      </c>
      <c r="I1454" s="7" t="str">
        <f t="shared" si="112"/>
        <v/>
      </c>
      <c r="J1454" s="7" t="str">
        <f t="shared" si="113"/>
        <v/>
      </c>
      <c r="K1454" s="7">
        <v>0</v>
      </c>
      <c r="L1454" s="7" t="str">
        <f t="shared" si="114"/>
        <v/>
      </c>
      <c r="M1454" s="7" t="str">
        <f t="shared" si="115"/>
        <v/>
      </c>
      <c r="N1454" s="7">
        <v>0</v>
      </c>
      <c r="O1454" s="7"/>
      <c r="P1454" s="7"/>
      <c r="Q1454" s="7"/>
      <c r="AC1454"/>
      <c r="AD1454" s="14"/>
    </row>
    <row r="1455" spans="1:30" x14ac:dyDescent="0.25">
      <c r="A1455" t="b">
        <f t="shared" si="116"/>
        <v>0</v>
      </c>
      <c r="B1455">
        <v>2006</v>
      </c>
      <c r="C1455">
        <v>181</v>
      </c>
      <c r="D1455">
        <v>0</v>
      </c>
      <c r="E1455">
        <v>2200</v>
      </c>
      <c r="F1455" s="7">
        <v>-2.8340000000000001</v>
      </c>
      <c r="G1455" s="7">
        <v>14.87</v>
      </c>
      <c r="H1455" s="7">
        <v>0</v>
      </c>
      <c r="I1455" s="7" t="str">
        <f t="shared" si="112"/>
        <v/>
      </c>
      <c r="J1455" s="7" t="str">
        <f t="shared" si="113"/>
        <v/>
      </c>
      <c r="K1455" s="7">
        <v>0</v>
      </c>
      <c r="L1455" s="7" t="str">
        <f t="shared" si="114"/>
        <v/>
      </c>
      <c r="M1455" s="7" t="str">
        <f t="shared" si="115"/>
        <v/>
      </c>
      <c r="N1455" s="7">
        <v>0</v>
      </c>
      <c r="O1455" s="7"/>
      <c r="P1455" s="7"/>
      <c r="Q1455" s="7"/>
      <c r="AC1455"/>
      <c r="AD1455" s="14"/>
    </row>
    <row r="1456" spans="1:30" x14ac:dyDescent="0.25">
      <c r="A1456" t="b">
        <f t="shared" si="116"/>
        <v>0</v>
      </c>
      <c r="B1456">
        <v>2006</v>
      </c>
      <c r="C1456">
        <v>181</v>
      </c>
      <c r="D1456">
        <v>0</v>
      </c>
      <c r="E1456">
        <v>2300</v>
      </c>
      <c r="F1456" s="7">
        <v>-3.0179999999999998</v>
      </c>
      <c r="G1456" s="7">
        <v>14.38</v>
      </c>
      <c r="H1456" s="7">
        <v>0</v>
      </c>
      <c r="I1456" s="7" t="str">
        <f t="shared" si="112"/>
        <v/>
      </c>
      <c r="J1456" s="7" t="str">
        <f t="shared" si="113"/>
        <v/>
      </c>
      <c r="K1456" s="7">
        <v>0</v>
      </c>
      <c r="L1456" s="7" t="str">
        <f t="shared" si="114"/>
        <v/>
      </c>
      <c r="M1456" s="7" t="str">
        <f t="shared" si="115"/>
        <v/>
      </c>
      <c r="N1456" s="7">
        <v>0</v>
      </c>
      <c r="O1456" s="7"/>
      <c r="P1456" s="7"/>
      <c r="Q1456" s="7"/>
      <c r="AC1456"/>
      <c r="AD1456" s="14"/>
    </row>
    <row r="1457" spans="1:30" x14ac:dyDescent="0.25">
      <c r="A1457" t="b">
        <f t="shared" si="116"/>
        <v>0</v>
      </c>
      <c r="B1457">
        <v>2006</v>
      </c>
      <c r="C1457">
        <v>181</v>
      </c>
      <c r="D1457">
        <v>0</v>
      </c>
      <c r="E1457">
        <v>2400</v>
      </c>
      <c r="F1457" s="7">
        <v>-2.7850000000000001</v>
      </c>
      <c r="G1457" s="7">
        <v>14.12</v>
      </c>
      <c r="H1457" s="7">
        <v>0</v>
      </c>
      <c r="I1457" s="7" t="str">
        <f t="shared" si="112"/>
        <v/>
      </c>
      <c r="J1457" s="7" t="str">
        <f t="shared" si="113"/>
        <v/>
      </c>
      <c r="K1457" s="7">
        <v>0</v>
      </c>
      <c r="L1457" s="7" t="str">
        <f t="shared" si="114"/>
        <v/>
      </c>
      <c r="M1457" s="7" t="str">
        <f t="shared" si="115"/>
        <v/>
      </c>
      <c r="N1457" s="7">
        <v>0</v>
      </c>
      <c r="O1457" s="7"/>
      <c r="P1457" s="7"/>
      <c r="Q1457" s="7"/>
      <c r="AC1457"/>
      <c r="AD1457" s="14"/>
    </row>
    <row r="1458" spans="1:30" x14ac:dyDescent="0.25">
      <c r="A1458" t="b">
        <f t="shared" si="116"/>
        <v>1</v>
      </c>
      <c r="B1458">
        <v>2006</v>
      </c>
      <c r="C1458">
        <v>182</v>
      </c>
      <c r="D1458">
        <v>0</v>
      </c>
      <c r="E1458">
        <v>100</v>
      </c>
      <c r="F1458" s="7">
        <v>-3.073</v>
      </c>
      <c r="G1458" s="7">
        <v>13.04</v>
      </c>
      <c r="H1458" s="7">
        <v>0</v>
      </c>
      <c r="I1458" s="7">
        <f t="shared" si="112"/>
        <v>0</v>
      </c>
      <c r="J1458" s="7">
        <f t="shared" si="113"/>
        <v>300.66608333333335</v>
      </c>
      <c r="K1458" s="7">
        <v>0</v>
      </c>
      <c r="L1458" s="7">
        <f t="shared" si="114"/>
        <v>22.49</v>
      </c>
      <c r="M1458" s="7">
        <f t="shared" si="115"/>
        <v>11.5</v>
      </c>
      <c r="N1458" s="7">
        <v>0</v>
      </c>
      <c r="O1458" s="7"/>
      <c r="P1458" s="7"/>
      <c r="Q1458" s="7"/>
      <c r="AC1458"/>
      <c r="AD1458" s="14"/>
    </row>
    <row r="1459" spans="1:30" x14ac:dyDescent="0.25">
      <c r="A1459" t="b">
        <f t="shared" si="116"/>
        <v>0</v>
      </c>
      <c r="B1459">
        <v>2006</v>
      </c>
      <c r="C1459">
        <v>182</v>
      </c>
      <c r="D1459">
        <v>0</v>
      </c>
      <c r="E1459">
        <v>200</v>
      </c>
      <c r="F1459">
        <v>-2.2589999999999999</v>
      </c>
      <c r="G1459">
        <v>11.9</v>
      </c>
      <c r="H1459">
        <v>0</v>
      </c>
      <c r="I1459" s="7" t="str">
        <f t="shared" si="112"/>
        <v/>
      </c>
      <c r="J1459" s="7" t="str">
        <f t="shared" si="113"/>
        <v/>
      </c>
      <c r="K1459" s="7">
        <v>0</v>
      </c>
      <c r="L1459" s="7" t="str">
        <f t="shared" si="114"/>
        <v/>
      </c>
      <c r="M1459" s="7" t="str">
        <f t="shared" si="115"/>
        <v/>
      </c>
      <c r="N1459" s="7">
        <v>0</v>
      </c>
      <c r="AC1459"/>
      <c r="AD1459" s="14"/>
    </row>
    <row r="1460" spans="1:30" x14ac:dyDescent="0.25">
      <c r="A1460" t="b">
        <f t="shared" si="116"/>
        <v>0</v>
      </c>
      <c r="B1460">
        <v>2006</v>
      </c>
      <c r="C1460">
        <v>182</v>
      </c>
      <c r="D1460">
        <v>0</v>
      </c>
      <c r="E1460">
        <v>300</v>
      </c>
      <c r="F1460">
        <v>-0.77800000000000002</v>
      </c>
      <c r="G1460">
        <v>11.68</v>
      </c>
      <c r="H1460">
        <v>0</v>
      </c>
      <c r="I1460" s="7" t="str">
        <f t="shared" si="112"/>
        <v/>
      </c>
      <c r="J1460" s="7" t="str">
        <f t="shared" si="113"/>
        <v/>
      </c>
      <c r="K1460" s="7">
        <v>0</v>
      </c>
      <c r="L1460" s="7" t="str">
        <f t="shared" si="114"/>
        <v/>
      </c>
      <c r="M1460" s="7" t="str">
        <f t="shared" si="115"/>
        <v/>
      </c>
      <c r="N1460" s="7">
        <v>0</v>
      </c>
      <c r="AC1460"/>
      <c r="AD1460" s="14"/>
    </row>
    <row r="1461" spans="1:30" x14ac:dyDescent="0.25">
      <c r="A1461" t="b">
        <f t="shared" si="116"/>
        <v>0</v>
      </c>
      <c r="B1461">
        <v>2006</v>
      </c>
      <c r="C1461">
        <v>182</v>
      </c>
      <c r="D1461">
        <v>0</v>
      </c>
      <c r="E1461">
        <v>400</v>
      </c>
      <c r="F1461">
        <v>-0.77100000000000002</v>
      </c>
      <c r="G1461">
        <v>11.5</v>
      </c>
      <c r="H1461">
        <v>0</v>
      </c>
      <c r="I1461" s="7" t="str">
        <f t="shared" si="112"/>
        <v/>
      </c>
      <c r="J1461" s="7" t="str">
        <f t="shared" si="113"/>
        <v/>
      </c>
      <c r="K1461" s="7">
        <v>0</v>
      </c>
      <c r="L1461" s="7" t="str">
        <f t="shared" si="114"/>
        <v/>
      </c>
      <c r="M1461" s="7" t="str">
        <f t="shared" si="115"/>
        <v/>
      </c>
      <c r="N1461" s="7">
        <v>0</v>
      </c>
      <c r="AC1461"/>
      <c r="AD1461" s="14"/>
    </row>
    <row r="1462" spans="1:30" x14ac:dyDescent="0.25">
      <c r="A1462" t="b">
        <f t="shared" si="116"/>
        <v>0</v>
      </c>
      <c r="B1462">
        <v>2006</v>
      </c>
      <c r="C1462">
        <v>182</v>
      </c>
      <c r="D1462">
        <v>0</v>
      </c>
      <c r="E1462">
        <v>500</v>
      </c>
      <c r="F1462">
        <v>18.63</v>
      </c>
      <c r="G1462">
        <v>11.63</v>
      </c>
      <c r="H1462">
        <v>0</v>
      </c>
      <c r="I1462" s="7" t="str">
        <f t="shared" si="112"/>
        <v/>
      </c>
      <c r="J1462" s="7" t="str">
        <f t="shared" si="113"/>
        <v/>
      </c>
      <c r="K1462" s="7">
        <v>0</v>
      </c>
      <c r="L1462" s="7" t="str">
        <f t="shared" si="114"/>
        <v/>
      </c>
      <c r="M1462" s="7" t="str">
        <f t="shared" si="115"/>
        <v/>
      </c>
      <c r="N1462" s="7">
        <v>0</v>
      </c>
      <c r="AC1462"/>
      <c r="AD1462" s="14"/>
    </row>
    <row r="1463" spans="1:30" x14ac:dyDescent="0.25">
      <c r="A1463" t="b">
        <f t="shared" si="116"/>
        <v>0</v>
      </c>
      <c r="B1463">
        <v>2006</v>
      </c>
      <c r="C1463">
        <v>182</v>
      </c>
      <c r="D1463">
        <v>0</v>
      </c>
      <c r="E1463">
        <v>600</v>
      </c>
      <c r="F1463">
        <v>100.8</v>
      </c>
      <c r="G1463">
        <v>12.68</v>
      </c>
      <c r="H1463">
        <v>0</v>
      </c>
      <c r="I1463" s="7" t="str">
        <f t="shared" si="112"/>
        <v/>
      </c>
      <c r="J1463" s="7" t="str">
        <f t="shared" si="113"/>
        <v/>
      </c>
      <c r="K1463" s="7">
        <v>0</v>
      </c>
      <c r="L1463" s="7" t="str">
        <f t="shared" si="114"/>
        <v/>
      </c>
      <c r="M1463" s="7" t="str">
        <f t="shared" si="115"/>
        <v/>
      </c>
      <c r="N1463" s="7">
        <v>0</v>
      </c>
      <c r="AC1463"/>
      <c r="AD1463" s="14"/>
    </row>
    <row r="1464" spans="1:30" x14ac:dyDescent="0.25">
      <c r="A1464" t="b">
        <f t="shared" si="116"/>
        <v>0</v>
      </c>
      <c r="B1464">
        <v>2006</v>
      </c>
      <c r="C1464">
        <v>182</v>
      </c>
      <c r="D1464">
        <v>0</v>
      </c>
      <c r="E1464">
        <v>700</v>
      </c>
      <c r="F1464">
        <v>190</v>
      </c>
      <c r="G1464">
        <v>14.7</v>
      </c>
      <c r="H1464">
        <v>0</v>
      </c>
      <c r="I1464" s="7" t="str">
        <f t="shared" si="112"/>
        <v/>
      </c>
      <c r="J1464" s="7" t="str">
        <f t="shared" si="113"/>
        <v/>
      </c>
      <c r="K1464" s="7">
        <v>0</v>
      </c>
      <c r="L1464" s="7" t="str">
        <f t="shared" si="114"/>
        <v/>
      </c>
      <c r="M1464" s="7" t="str">
        <f t="shared" si="115"/>
        <v/>
      </c>
      <c r="N1464" s="7">
        <v>0</v>
      </c>
      <c r="AC1464"/>
      <c r="AD1464" s="14"/>
    </row>
    <row r="1465" spans="1:30" x14ac:dyDescent="0.25">
      <c r="A1465" t="b">
        <f t="shared" si="116"/>
        <v>0</v>
      </c>
      <c r="B1465">
        <v>2006</v>
      </c>
      <c r="C1465">
        <v>182</v>
      </c>
      <c r="D1465">
        <v>0</v>
      </c>
      <c r="E1465">
        <v>800</v>
      </c>
      <c r="F1465">
        <v>261.7</v>
      </c>
      <c r="G1465">
        <v>15.43</v>
      </c>
      <c r="H1465">
        <v>0</v>
      </c>
      <c r="I1465" s="7" t="str">
        <f t="shared" si="112"/>
        <v/>
      </c>
      <c r="J1465" s="7" t="str">
        <f t="shared" si="113"/>
        <v/>
      </c>
      <c r="K1465" s="7">
        <v>0</v>
      </c>
      <c r="L1465" s="7" t="str">
        <f t="shared" si="114"/>
        <v/>
      </c>
      <c r="M1465" s="7" t="str">
        <f t="shared" si="115"/>
        <v/>
      </c>
      <c r="N1465" s="7">
        <v>0</v>
      </c>
      <c r="AC1465"/>
      <c r="AD1465" s="14"/>
    </row>
    <row r="1466" spans="1:30" x14ac:dyDescent="0.25">
      <c r="A1466" t="b">
        <f t="shared" si="116"/>
        <v>0</v>
      </c>
      <c r="B1466">
        <v>2006</v>
      </c>
      <c r="C1466">
        <v>182</v>
      </c>
      <c r="D1466">
        <v>0</v>
      </c>
      <c r="E1466">
        <v>900</v>
      </c>
      <c r="F1466">
        <v>335.4</v>
      </c>
      <c r="G1466">
        <v>16.38</v>
      </c>
      <c r="H1466">
        <v>0</v>
      </c>
      <c r="I1466" s="7" t="str">
        <f t="shared" si="112"/>
        <v/>
      </c>
      <c r="J1466" s="7" t="str">
        <f t="shared" si="113"/>
        <v/>
      </c>
      <c r="K1466" s="7">
        <v>0</v>
      </c>
      <c r="L1466" s="7" t="str">
        <f t="shared" si="114"/>
        <v/>
      </c>
      <c r="M1466" s="7" t="str">
        <f t="shared" si="115"/>
        <v/>
      </c>
      <c r="N1466" s="7">
        <v>0</v>
      </c>
      <c r="AC1466"/>
      <c r="AD1466" s="14"/>
    </row>
    <row r="1467" spans="1:30" x14ac:dyDescent="0.25">
      <c r="A1467" t="b">
        <f t="shared" si="116"/>
        <v>0</v>
      </c>
      <c r="B1467">
        <v>2006</v>
      </c>
      <c r="C1467">
        <v>182</v>
      </c>
      <c r="D1467">
        <v>0</v>
      </c>
      <c r="E1467">
        <v>1000</v>
      </c>
      <c r="F1467">
        <v>677.2</v>
      </c>
      <c r="G1467">
        <v>17.579999999999998</v>
      </c>
      <c r="H1467">
        <v>0</v>
      </c>
      <c r="I1467" s="7" t="str">
        <f t="shared" si="112"/>
        <v/>
      </c>
      <c r="J1467" s="7" t="str">
        <f t="shared" si="113"/>
        <v/>
      </c>
      <c r="K1467" s="7">
        <v>0</v>
      </c>
      <c r="L1467" s="7" t="str">
        <f t="shared" si="114"/>
        <v/>
      </c>
      <c r="M1467" s="7" t="str">
        <f t="shared" si="115"/>
        <v/>
      </c>
      <c r="N1467" s="7">
        <v>0</v>
      </c>
      <c r="AC1467"/>
      <c r="AD1467" s="14"/>
    </row>
    <row r="1468" spans="1:30" x14ac:dyDescent="0.25">
      <c r="A1468" t="b">
        <f t="shared" si="116"/>
        <v>0</v>
      </c>
      <c r="B1468">
        <v>2006</v>
      </c>
      <c r="C1468">
        <v>182</v>
      </c>
      <c r="D1468">
        <v>0</v>
      </c>
      <c r="E1468">
        <v>1100</v>
      </c>
      <c r="F1468">
        <v>699.7</v>
      </c>
      <c r="G1468">
        <v>19.28</v>
      </c>
      <c r="H1468">
        <v>0</v>
      </c>
      <c r="I1468" s="7" t="str">
        <f t="shared" si="112"/>
        <v/>
      </c>
      <c r="J1468" s="7" t="str">
        <f t="shared" si="113"/>
        <v/>
      </c>
      <c r="K1468" s="7">
        <v>0</v>
      </c>
      <c r="L1468" s="7" t="str">
        <f t="shared" si="114"/>
        <v/>
      </c>
      <c r="M1468" s="7" t="str">
        <f t="shared" si="115"/>
        <v/>
      </c>
      <c r="N1468" s="7">
        <v>0</v>
      </c>
      <c r="AC1468"/>
      <c r="AD1468" s="14"/>
    </row>
    <row r="1469" spans="1:30" x14ac:dyDescent="0.25">
      <c r="A1469" t="b">
        <f t="shared" si="116"/>
        <v>0</v>
      </c>
      <c r="B1469">
        <v>2006</v>
      </c>
      <c r="C1469">
        <v>182</v>
      </c>
      <c r="D1469">
        <v>0</v>
      </c>
      <c r="E1469">
        <v>1200</v>
      </c>
      <c r="F1469">
        <v>851</v>
      </c>
      <c r="G1469">
        <v>21.25</v>
      </c>
      <c r="H1469">
        <v>0</v>
      </c>
      <c r="I1469" s="7" t="str">
        <f t="shared" si="112"/>
        <v/>
      </c>
      <c r="J1469" s="7" t="str">
        <f t="shared" si="113"/>
        <v/>
      </c>
      <c r="K1469" s="7">
        <v>0</v>
      </c>
      <c r="L1469" s="7" t="str">
        <f t="shared" si="114"/>
        <v/>
      </c>
      <c r="M1469" s="7" t="str">
        <f t="shared" si="115"/>
        <v/>
      </c>
      <c r="N1469" s="7">
        <v>0</v>
      </c>
      <c r="AC1469"/>
      <c r="AD1469" s="14"/>
    </row>
    <row r="1470" spans="1:30" x14ac:dyDescent="0.25">
      <c r="A1470" t="b">
        <f t="shared" si="116"/>
        <v>0</v>
      </c>
      <c r="B1470">
        <v>2006</v>
      </c>
      <c r="C1470">
        <v>182</v>
      </c>
      <c r="D1470">
        <v>0</v>
      </c>
      <c r="E1470">
        <v>1300</v>
      </c>
      <c r="F1470">
        <v>890</v>
      </c>
      <c r="G1470">
        <v>21.76</v>
      </c>
      <c r="H1470">
        <v>0</v>
      </c>
      <c r="I1470" s="7" t="str">
        <f t="shared" si="112"/>
        <v/>
      </c>
      <c r="J1470" s="7" t="str">
        <f t="shared" si="113"/>
        <v/>
      </c>
      <c r="K1470" s="7">
        <v>0</v>
      </c>
      <c r="L1470" s="7" t="str">
        <f t="shared" si="114"/>
        <v/>
      </c>
      <c r="M1470" s="7" t="str">
        <f t="shared" si="115"/>
        <v/>
      </c>
      <c r="N1470" s="7">
        <v>0</v>
      </c>
      <c r="AC1470"/>
      <c r="AD1470" s="14"/>
    </row>
    <row r="1471" spans="1:30" x14ac:dyDescent="0.25">
      <c r="A1471" t="b">
        <f t="shared" si="116"/>
        <v>0</v>
      </c>
      <c r="B1471">
        <v>2006</v>
      </c>
      <c r="C1471">
        <v>182</v>
      </c>
      <c r="D1471">
        <v>0</v>
      </c>
      <c r="E1471">
        <v>1400</v>
      </c>
      <c r="F1471">
        <v>662.4</v>
      </c>
      <c r="G1471">
        <v>21.64</v>
      </c>
      <c r="H1471">
        <v>0</v>
      </c>
      <c r="I1471" s="7" t="str">
        <f t="shared" si="112"/>
        <v/>
      </c>
      <c r="J1471" s="7" t="str">
        <f t="shared" si="113"/>
        <v/>
      </c>
      <c r="K1471" s="7">
        <v>0</v>
      </c>
      <c r="L1471" s="7" t="str">
        <f t="shared" si="114"/>
        <v/>
      </c>
      <c r="M1471" s="7" t="str">
        <f t="shared" si="115"/>
        <v/>
      </c>
      <c r="N1471" s="7">
        <v>0</v>
      </c>
      <c r="AC1471"/>
      <c r="AD1471" s="14"/>
    </row>
    <row r="1472" spans="1:30" x14ac:dyDescent="0.25">
      <c r="A1472" t="b">
        <f t="shared" si="116"/>
        <v>0</v>
      </c>
      <c r="B1472">
        <v>2006</v>
      </c>
      <c r="C1472">
        <v>182</v>
      </c>
      <c r="D1472">
        <v>0</v>
      </c>
      <c r="E1472">
        <v>1500</v>
      </c>
      <c r="F1472">
        <v>617.1</v>
      </c>
      <c r="G1472">
        <v>21.62</v>
      </c>
      <c r="H1472">
        <v>0</v>
      </c>
      <c r="I1472" s="7" t="str">
        <f t="shared" si="112"/>
        <v/>
      </c>
      <c r="J1472" s="7" t="str">
        <f t="shared" si="113"/>
        <v/>
      </c>
      <c r="K1472" s="7">
        <v>0</v>
      </c>
      <c r="L1472" s="7" t="str">
        <f t="shared" si="114"/>
        <v/>
      </c>
      <c r="M1472" s="7" t="str">
        <f t="shared" si="115"/>
        <v/>
      </c>
      <c r="N1472" s="7">
        <v>0</v>
      </c>
      <c r="AC1472"/>
      <c r="AD1472" s="14"/>
    </row>
    <row r="1473" spans="1:30" x14ac:dyDescent="0.25">
      <c r="A1473" t="b">
        <f t="shared" si="116"/>
        <v>0</v>
      </c>
      <c r="B1473">
        <v>2006</v>
      </c>
      <c r="C1473">
        <v>182</v>
      </c>
      <c r="D1473">
        <v>0</v>
      </c>
      <c r="E1473">
        <v>1600</v>
      </c>
      <c r="F1473">
        <v>598.70000000000005</v>
      </c>
      <c r="G1473">
        <v>22.27</v>
      </c>
      <c r="H1473">
        <v>0</v>
      </c>
      <c r="I1473" s="7" t="str">
        <f t="shared" si="112"/>
        <v/>
      </c>
      <c r="J1473" s="7" t="str">
        <f t="shared" si="113"/>
        <v/>
      </c>
      <c r="K1473" s="7">
        <v>0</v>
      </c>
      <c r="L1473" s="7" t="str">
        <f t="shared" si="114"/>
        <v/>
      </c>
      <c r="M1473" s="7" t="str">
        <f t="shared" si="115"/>
        <v/>
      </c>
      <c r="N1473" s="7">
        <v>0</v>
      </c>
      <c r="AC1473"/>
      <c r="AD1473" s="14"/>
    </row>
    <row r="1474" spans="1:30" x14ac:dyDescent="0.25">
      <c r="A1474" t="b">
        <f t="shared" si="116"/>
        <v>0</v>
      </c>
      <c r="B1474">
        <v>2006</v>
      </c>
      <c r="C1474">
        <v>182</v>
      </c>
      <c r="D1474">
        <v>0</v>
      </c>
      <c r="E1474">
        <v>1700</v>
      </c>
      <c r="F1474">
        <v>546.1</v>
      </c>
      <c r="G1474">
        <v>22.49</v>
      </c>
      <c r="H1474">
        <v>0</v>
      </c>
      <c r="I1474" s="7" t="str">
        <f t="shared" ref="I1474:I1529" si="117">IF(AND(B1474=B1473,C1474=C1473),"",SUMIFS($H$2:$H$1529,$B$2:$B$1529,B1474,$C$2:$C$1529,C1474))</f>
        <v/>
      </c>
      <c r="J1474" s="7" t="str">
        <f t="shared" ref="J1474:J1529" si="118">IF(AND(B1474=B1473,C1474=C1473),"",AVERAGEIFS($F$2:$F$1529,$B$2:$B$1529,B1474,$C$2:$C$1529,C1474))</f>
        <v/>
      </c>
      <c r="K1474" s="7">
        <v>0</v>
      </c>
      <c r="L1474" s="7" t="str">
        <f t="shared" ref="L1474:L1529" si="119">IF(AND(B1474=B1473,C1474=C1473),"",_xlfn.MAXIFS($G$2:$G$1529,$B$2:$B$1529,B1474,$C$2:$C$1529,C1474))</f>
        <v/>
      </c>
      <c r="M1474" s="7" t="str">
        <f t="shared" ref="M1474:M1529" si="120">IF(AND(B1474=B1473,C1474=C1473),"",_xlfn.MINIFS($G$2:$G$1529,$B$2:$B$1529,B1474,$C$2:$C$1529,C1474))</f>
        <v/>
      </c>
      <c r="N1474" s="7">
        <v>0</v>
      </c>
      <c r="AC1474"/>
      <c r="AD1474" s="14"/>
    </row>
    <row r="1475" spans="1:30" x14ac:dyDescent="0.25">
      <c r="A1475" t="b">
        <f t="shared" ref="A1475:A1529" si="121">NOT(I1475="")</f>
        <v>0</v>
      </c>
      <c r="B1475">
        <v>2006</v>
      </c>
      <c r="C1475">
        <v>182</v>
      </c>
      <c r="D1475">
        <v>0</v>
      </c>
      <c r="E1475">
        <v>1800</v>
      </c>
      <c r="F1475">
        <v>364.6</v>
      </c>
      <c r="G1475">
        <v>21.75</v>
      </c>
      <c r="H1475">
        <v>0</v>
      </c>
      <c r="I1475" s="7" t="str">
        <f t="shared" si="117"/>
        <v/>
      </c>
      <c r="J1475" s="7" t="str">
        <f t="shared" si="118"/>
        <v/>
      </c>
      <c r="K1475" s="7">
        <v>0</v>
      </c>
      <c r="L1475" s="7" t="str">
        <f t="shared" si="119"/>
        <v/>
      </c>
      <c r="M1475" s="7" t="str">
        <f t="shared" si="120"/>
        <v/>
      </c>
      <c r="N1475" s="7">
        <v>0</v>
      </c>
      <c r="AC1475"/>
      <c r="AD1475" s="14"/>
    </row>
    <row r="1476" spans="1:30" x14ac:dyDescent="0.25">
      <c r="A1476" t="b">
        <f t="shared" si="121"/>
        <v>0</v>
      </c>
      <c r="B1476">
        <v>2006</v>
      </c>
      <c r="C1476">
        <v>182</v>
      </c>
      <c r="D1476">
        <v>0</v>
      </c>
      <c r="E1476">
        <v>1900</v>
      </c>
      <c r="F1476">
        <v>269.60000000000002</v>
      </c>
      <c r="G1476">
        <v>21.22</v>
      </c>
      <c r="H1476">
        <v>0</v>
      </c>
      <c r="I1476" s="7" t="str">
        <f t="shared" si="117"/>
        <v/>
      </c>
      <c r="J1476" s="7" t="str">
        <f t="shared" si="118"/>
        <v/>
      </c>
      <c r="K1476" s="7">
        <v>0</v>
      </c>
      <c r="L1476" s="7" t="str">
        <f t="shared" si="119"/>
        <v/>
      </c>
      <c r="M1476" s="7" t="str">
        <f t="shared" si="120"/>
        <v/>
      </c>
      <c r="N1476" s="7">
        <v>0</v>
      </c>
      <c r="AC1476"/>
      <c r="AD1476" s="14"/>
    </row>
    <row r="1477" spans="1:30" x14ac:dyDescent="0.25">
      <c r="A1477" t="b">
        <f t="shared" si="121"/>
        <v>0</v>
      </c>
      <c r="B1477">
        <v>2006</v>
      </c>
      <c r="C1477">
        <v>182</v>
      </c>
      <c r="D1477">
        <v>0</v>
      </c>
      <c r="E1477">
        <v>2000</v>
      </c>
      <c r="F1477">
        <v>131.30000000000001</v>
      </c>
      <c r="G1477">
        <v>20.5</v>
      </c>
      <c r="H1477">
        <v>0</v>
      </c>
      <c r="I1477" s="7" t="str">
        <f t="shared" si="117"/>
        <v/>
      </c>
      <c r="J1477" s="7" t="str">
        <f t="shared" si="118"/>
        <v/>
      </c>
      <c r="K1477" s="7">
        <v>0</v>
      </c>
      <c r="L1477" s="7" t="str">
        <f t="shared" si="119"/>
        <v/>
      </c>
      <c r="M1477" s="7" t="str">
        <f t="shared" si="120"/>
        <v/>
      </c>
      <c r="N1477" s="7">
        <v>0</v>
      </c>
      <c r="AC1477"/>
      <c r="AD1477" s="14"/>
    </row>
    <row r="1478" spans="1:30" x14ac:dyDescent="0.25">
      <c r="A1478" t="b">
        <f t="shared" si="121"/>
        <v>0</v>
      </c>
      <c r="B1478">
        <v>2006</v>
      </c>
      <c r="C1478">
        <v>182</v>
      </c>
      <c r="D1478">
        <v>0</v>
      </c>
      <c r="E1478">
        <v>2100</v>
      </c>
      <c r="F1478">
        <v>18.23</v>
      </c>
      <c r="G1478">
        <v>18.39</v>
      </c>
      <c r="H1478">
        <v>0</v>
      </c>
      <c r="I1478" s="7" t="str">
        <f t="shared" si="117"/>
        <v/>
      </c>
      <c r="J1478" s="7" t="str">
        <f t="shared" si="118"/>
        <v/>
      </c>
      <c r="K1478" s="7">
        <v>0</v>
      </c>
      <c r="L1478" s="7" t="str">
        <f t="shared" si="119"/>
        <v/>
      </c>
      <c r="M1478" s="7" t="str">
        <f t="shared" si="120"/>
        <v/>
      </c>
      <c r="N1478" s="7">
        <v>0</v>
      </c>
      <c r="AC1478"/>
      <c r="AD1478" s="14"/>
    </row>
    <row r="1479" spans="1:30" x14ac:dyDescent="0.25">
      <c r="A1479" t="b">
        <f t="shared" si="121"/>
        <v>0</v>
      </c>
      <c r="B1479">
        <v>2006</v>
      </c>
      <c r="C1479">
        <v>182</v>
      </c>
      <c r="D1479">
        <v>0</v>
      </c>
      <c r="E1479">
        <v>2200</v>
      </c>
      <c r="F1479">
        <v>-2.448</v>
      </c>
      <c r="G1479">
        <v>16.5</v>
      </c>
      <c r="H1479">
        <v>0</v>
      </c>
      <c r="I1479" s="7" t="str">
        <f t="shared" si="117"/>
        <v/>
      </c>
      <c r="J1479" s="7" t="str">
        <f t="shared" si="118"/>
        <v/>
      </c>
      <c r="K1479" s="7">
        <v>0</v>
      </c>
      <c r="L1479" s="7" t="str">
        <f t="shared" si="119"/>
        <v/>
      </c>
      <c r="M1479" s="7" t="str">
        <f t="shared" si="120"/>
        <v/>
      </c>
      <c r="N1479" s="7">
        <v>0</v>
      </c>
      <c r="AC1479"/>
      <c r="AD1479" s="14"/>
    </row>
    <row r="1480" spans="1:30" x14ac:dyDescent="0.25">
      <c r="A1480" t="b">
        <f t="shared" si="121"/>
        <v>0</v>
      </c>
      <c r="B1480">
        <v>2006</v>
      </c>
      <c r="C1480">
        <v>182</v>
      </c>
      <c r="D1480">
        <v>0</v>
      </c>
      <c r="E1480">
        <v>2300</v>
      </c>
      <c r="F1480">
        <v>-3.6720000000000002</v>
      </c>
      <c r="G1480">
        <v>14.57</v>
      </c>
      <c r="H1480">
        <v>0</v>
      </c>
      <c r="I1480" s="7" t="str">
        <f t="shared" si="117"/>
        <v/>
      </c>
      <c r="J1480" s="7" t="str">
        <f t="shared" si="118"/>
        <v/>
      </c>
      <c r="K1480" s="7">
        <v>0</v>
      </c>
      <c r="L1480" s="7" t="str">
        <f t="shared" si="119"/>
        <v/>
      </c>
      <c r="M1480" s="7" t="str">
        <f t="shared" si="120"/>
        <v/>
      </c>
      <c r="N1480" s="7">
        <v>0</v>
      </c>
      <c r="AC1480"/>
      <c r="AD1480" s="14"/>
    </row>
    <row r="1481" spans="1:30" x14ac:dyDescent="0.25">
      <c r="A1481" t="b">
        <f t="shared" si="121"/>
        <v>0</v>
      </c>
      <c r="B1481">
        <v>2006</v>
      </c>
      <c r="C1481">
        <v>182</v>
      </c>
      <c r="D1481">
        <v>0</v>
      </c>
      <c r="E1481">
        <v>2400</v>
      </c>
      <c r="F1481">
        <v>-3.4729999999999999</v>
      </c>
      <c r="G1481">
        <v>12.47</v>
      </c>
      <c r="H1481">
        <v>0</v>
      </c>
      <c r="I1481" s="7" t="str">
        <f t="shared" si="117"/>
        <v/>
      </c>
      <c r="J1481" s="7" t="str">
        <f t="shared" si="118"/>
        <v/>
      </c>
      <c r="K1481" s="7">
        <v>0</v>
      </c>
      <c r="L1481" s="7" t="str">
        <f t="shared" si="119"/>
        <v/>
      </c>
      <c r="M1481" s="7" t="str">
        <f t="shared" si="120"/>
        <v/>
      </c>
      <c r="N1481" s="7">
        <v>0</v>
      </c>
      <c r="AC1481"/>
      <c r="AD1481" s="14"/>
    </row>
    <row r="1482" spans="1:30" x14ac:dyDescent="0.25">
      <c r="A1482" t="b">
        <f t="shared" si="121"/>
        <v>1</v>
      </c>
      <c r="B1482">
        <v>2006</v>
      </c>
      <c r="C1482">
        <v>183</v>
      </c>
      <c r="D1482">
        <v>0</v>
      </c>
      <c r="E1482">
        <v>100</v>
      </c>
      <c r="F1482">
        <v>-2.738</v>
      </c>
      <c r="G1482">
        <v>11.13</v>
      </c>
      <c r="H1482">
        <v>0</v>
      </c>
      <c r="I1482" s="7">
        <f t="shared" si="117"/>
        <v>0.6</v>
      </c>
      <c r="J1482" s="7">
        <f t="shared" si="118"/>
        <v>167.18154166666667</v>
      </c>
      <c r="K1482" s="7">
        <v>0</v>
      </c>
      <c r="L1482" s="7">
        <f t="shared" si="119"/>
        <v>22</v>
      </c>
      <c r="M1482" s="7">
        <f t="shared" si="120"/>
        <v>9.58</v>
      </c>
      <c r="N1482" s="7">
        <v>0</v>
      </c>
      <c r="AC1482"/>
      <c r="AD1482" s="14"/>
    </row>
    <row r="1483" spans="1:30" x14ac:dyDescent="0.25">
      <c r="A1483" t="b">
        <f t="shared" si="121"/>
        <v>0</v>
      </c>
      <c r="B1483">
        <v>2006</v>
      </c>
      <c r="C1483">
        <v>183</v>
      </c>
      <c r="D1483">
        <v>0</v>
      </c>
      <c r="E1483">
        <v>200</v>
      </c>
      <c r="F1483">
        <v>-2.3610000000000002</v>
      </c>
      <c r="G1483">
        <v>10.29</v>
      </c>
      <c r="H1483">
        <v>0</v>
      </c>
      <c r="I1483" s="7" t="str">
        <f t="shared" si="117"/>
        <v/>
      </c>
      <c r="J1483" s="7" t="str">
        <f t="shared" si="118"/>
        <v/>
      </c>
      <c r="K1483" s="7">
        <v>0</v>
      </c>
      <c r="L1483" s="7" t="str">
        <f t="shared" si="119"/>
        <v/>
      </c>
      <c r="M1483" s="7" t="str">
        <f t="shared" si="120"/>
        <v/>
      </c>
      <c r="N1483" s="7">
        <v>0</v>
      </c>
      <c r="AC1483"/>
      <c r="AD1483" s="14"/>
    </row>
    <row r="1484" spans="1:30" x14ac:dyDescent="0.25">
      <c r="A1484" t="b">
        <f t="shared" si="121"/>
        <v>0</v>
      </c>
      <c r="B1484">
        <v>2006</v>
      </c>
      <c r="C1484">
        <v>183</v>
      </c>
      <c r="D1484">
        <v>0</v>
      </c>
      <c r="E1484">
        <v>300</v>
      </c>
      <c r="F1484">
        <v>-2.331</v>
      </c>
      <c r="G1484">
        <v>10.49</v>
      </c>
      <c r="H1484">
        <v>0</v>
      </c>
      <c r="I1484" s="7" t="str">
        <f t="shared" si="117"/>
        <v/>
      </c>
      <c r="J1484" s="7" t="str">
        <f t="shared" si="118"/>
        <v/>
      </c>
      <c r="K1484" s="7">
        <v>0</v>
      </c>
      <c r="L1484" s="7" t="str">
        <f t="shared" si="119"/>
        <v/>
      </c>
      <c r="M1484" s="7" t="str">
        <f t="shared" si="120"/>
        <v/>
      </c>
      <c r="N1484" s="7">
        <v>0</v>
      </c>
      <c r="AC1484"/>
      <c r="AD1484" s="14"/>
    </row>
    <row r="1485" spans="1:30" x14ac:dyDescent="0.25">
      <c r="A1485" t="b">
        <f t="shared" si="121"/>
        <v>0</v>
      </c>
      <c r="B1485">
        <v>2006</v>
      </c>
      <c r="C1485">
        <v>183</v>
      </c>
      <c r="D1485">
        <v>0</v>
      </c>
      <c r="E1485">
        <v>400</v>
      </c>
      <c r="F1485">
        <v>-1.198</v>
      </c>
      <c r="G1485">
        <v>11.04</v>
      </c>
      <c r="H1485">
        <v>0</v>
      </c>
      <c r="I1485" s="7" t="str">
        <f t="shared" si="117"/>
        <v/>
      </c>
      <c r="J1485" s="7" t="str">
        <f t="shared" si="118"/>
        <v/>
      </c>
      <c r="K1485" s="7">
        <v>0</v>
      </c>
      <c r="L1485" s="7" t="str">
        <f t="shared" si="119"/>
        <v/>
      </c>
      <c r="M1485" s="7" t="str">
        <f t="shared" si="120"/>
        <v/>
      </c>
      <c r="N1485" s="7">
        <v>0</v>
      </c>
      <c r="AC1485"/>
      <c r="AD1485" s="14"/>
    </row>
    <row r="1486" spans="1:30" x14ac:dyDescent="0.25">
      <c r="A1486" t="b">
        <f t="shared" si="121"/>
        <v>0</v>
      </c>
      <c r="B1486">
        <v>2006</v>
      </c>
      <c r="C1486">
        <v>183</v>
      </c>
      <c r="D1486">
        <v>0</v>
      </c>
      <c r="E1486">
        <v>500</v>
      </c>
      <c r="F1486">
        <v>17.11</v>
      </c>
      <c r="G1486">
        <v>9.58</v>
      </c>
      <c r="H1486">
        <v>0</v>
      </c>
      <c r="I1486" s="7" t="str">
        <f t="shared" si="117"/>
        <v/>
      </c>
      <c r="J1486" s="7" t="str">
        <f t="shared" si="118"/>
        <v/>
      </c>
      <c r="K1486" s="7">
        <v>0</v>
      </c>
      <c r="L1486" s="7" t="str">
        <f t="shared" si="119"/>
        <v/>
      </c>
      <c r="M1486" s="7" t="str">
        <f t="shared" si="120"/>
        <v/>
      </c>
      <c r="N1486" s="7">
        <v>0</v>
      </c>
      <c r="AC1486"/>
      <c r="AD1486" s="14"/>
    </row>
    <row r="1487" spans="1:30" x14ac:dyDescent="0.25">
      <c r="A1487" t="b">
        <f t="shared" si="121"/>
        <v>0</v>
      </c>
      <c r="B1487">
        <v>2006</v>
      </c>
      <c r="C1487">
        <v>183</v>
      </c>
      <c r="D1487">
        <v>0</v>
      </c>
      <c r="E1487">
        <v>600</v>
      </c>
      <c r="F1487">
        <v>79.900000000000006</v>
      </c>
      <c r="G1487">
        <v>11.9</v>
      </c>
      <c r="H1487">
        <v>0</v>
      </c>
      <c r="I1487" s="7" t="str">
        <f t="shared" si="117"/>
        <v/>
      </c>
      <c r="J1487" s="7" t="str">
        <f t="shared" si="118"/>
        <v/>
      </c>
      <c r="K1487" s="7">
        <v>0</v>
      </c>
      <c r="L1487" s="7" t="str">
        <f t="shared" si="119"/>
        <v/>
      </c>
      <c r="M1487" s="7" t="str">
        <f t="shared" si="120"/>
        <v/>
      </c>
      <c r="N1487" s="7">
        <v>0</v>
      </c>
      <c r="AC1487"/>
      <c r="AD1487" s="14"/>
    </row>
    <row r="1488" spans="1:30" x14ac:dyDescent="0.25">
      <c r="A1488" t="b">
        <f t="shared" si="121"/>
        <v>0</v>
      </c>
      <c r="B1488">
        <v>2006</v>
      </c>
      <c r="C1488">
        <v>183</v>
      </c>
      <c r="D1488">
        <v>0</v>
      </c>
      <c r="E1488">
        <v>700</v>
      </c>
      <c r="F1488">
        <v>169.2</v>
      </c>
      <c r="G1488">
        <v>14.51</v>
      </c>
      <c r="H1488">
        <v>0</v>
      </c>
      <c r="I1488" s="7" t="str">
        <f t="shared" si="117"/>
        <v/>
      </c>
      <c r="J1488" s="7" t="str">
        <f t="shared" si="118"/>
        <v/>
      </c>
      <c r="K1488" s="7">
        <v>0</v>
      </c>
      <c r="L1488" s="7" t="str">
        <f t="shared" si="119"/>
        <v/>
      </c>
      <c r="M1488" s="7" t="str">
        <f t="shared" si="120"/>
        <v/>
      </c>
      <c r="N1488" s="7">
        <v>0</v>
      </c>
      <c r="AC1488"/>
      <c r="AD1488" s="14"/>
    </row>
    <row r="1489" spans="1:30" x14ac:dyDescent="0.25">
      <c r="A1489" t="b">
        <f t="shared" si="121"/>
        <v>0</v>
      </c>
      <c r="B1489">
        <v>2006</v>
      </c>
      <c r="C1489">
        <v>183</v>
      </c>
      <c r="D1489">
        <v>0</v>
      </c>
      <c r="E1489">
        <v>800</v>
      </c>
      <c r="F1489">
        <v>303.3</v>
      </c>
      <c r="G1489">
        <v>16.41</v>
      </c>
      <c r="H1489">
        <v>0</v>
      </c>
      <c r="I1489" s="7" t="str">
        <f t="shared" si="117"/>
        <v/>
      </c>
      <c r="J1489" s="7" t="str">
        <f t="shared" si="118"/>
        <v/>
      </c>
      <c r="K1489" s="7">
        <v>0</v>
      </c>
      <c r="L1489" s="7" t="str">
        <f t="shared" si="119"/>
        <v/>
      </c>
      <c r="M1489" s="7" t="str">
        <f t="shared" si="120"/>
        <v/>
      </c>
      <c r="N1489" s="7">
        <v>0</v>
      </c>
      <c r="AC1489"/>
      <c r="AD1489" s="14"/>
    </row>
    <row r="1490" spans="1:30" x14ac:dyDescent="0.25">
      <c r="A1490" t="b">
        <f t="shared" si="121"/>
        <v>0</v>
      </c>
      <c r="B1490">
        <v>2006</v>
      </c>
      <c r="C1490">
        <v>183</v>
      </c>
      <c r="D1490">
        <v>0</v>
      </c>
      <c r="E1490">
        <v>900</v>
      </c>
      <c r="F1490">
        <v>271.5</v>
      </c>
      <c r="G1490">
        <v>17.63</v>
      </c>
      <c r="H1490">
        <v>0</v>
      </c>
      <c r="I1490" s="7" t="str">
        <f t="shared" si="117"/>
        <v/>
      </c>
      <c r="J1490" s="7" t="str">
        <f t="shared" si="118"/>
        <v/>
      </c>
      <c r="K1490" s="7">
        <v>0</v>
      </c>
      <c r="L1490" s="7" t="str">
        <f t="shared" si="119"/>
        <v/>
      </c>
      <c r="M1490" s="7" t="str">
        <f t="shared" si="120"/>
        <v/>
      </c>
      <c r="N1490" s="7">
        <v>0</v>
      </c>
      <c r="AC1490"/>
      <c r="AD1490" s="14"/>
    </row>
    <row r="1491" spans="1:30" x14ac:dyDescent="0.25">
      <c r="A1491" t="b">
        <f t="shared" si="121"/>
        <v>0</v>
      </c>
      <c r="B1491">
        <v>2006</v>
      </c>
      <c r="C1491">
        <v>183</v>
      </c>
      <c r="D1491">
        <v>0</v>
      </c>
      <c r="E1491">
        <v>1000</v>
      </c>
      <c r="F1491">
        <v>209.6</v>
      </c>
      <c r="G1491">
        <v>17.850000000000001</v>
      </c>
      <c r="H1491">
        <v>0</v>
      </c>
      <c r="I1491" s="7" t="str">
        <f t="shared" si="117"/>
        <v/>
      </c>
      <c r="J1491" s="7" t="str">
        <f t="shared" si="118"/>
        <v/>
      </c>
      <c r="K1491" s="7">
        <v>0</v>
      </c>
      <c r="L1491" s="7" t="str">
        <f t="shared" si="119"/>
        <v/>
      </c>
      <c r="M1491" s="7" t="str">
        <f t="shared" si="120"/>
        <v/>
      </c>
      <c r="N1491" s="7">
        <v>0</v>
      </c>
      <c r="AC1491"/>
      <c r="AD1491" s="14"/>
    </row>
    <row r="1492" spans="1:30" x14ac:dyDescent="0.25">
      <c r="A1492" t="b">
        <f t="shared" si="121"/>
        <v>0</v>
      </c>
      <c r="B1492">
        <v>2006</v>
      </c>
      <c r="C1492">
        <v>183</v>
      </c>
      <c r="D1492">
        <v>0</v>
      </c>
      <c r="E1492">
        <v>1100</v>
      </c>
      <c r="F1492">
        <v>304.3</v>
      </c>
      <c r="G1492">
        <v>18.239999999999998</v>
      </c>
      <c r="H1492">
        <v>0</v>
      </c>
      <c r="I1492" s="7" t="str">
        <f t="shared" si="117"/>
        <v/>
      </c>
      <c r="J1492" s="7" t="str">
        <f t="shared" si="118"/>
        <v/>
      </c>
      <c r="K1492" s="7">
        <v>0</v>
      </c>
      <c r="L1492" s="7" t="str">
        <f t="shared" si="119"/>
        <v/>
      </c>
      <c r="M1492" s="7" t="str">
        <f t="shared" si="120"/>
        <v/>
      </c>
      <c r="N1492" s="7">
        <v>0</v>
      </c>
      <c r="AC1492"/>
      <c r="AD1492" s="14"/>
    </row>
    <row r="1493" spans="1:30" x14ac:dyDescent="0.25">
      <c r="A1493" t="b">
        <f t="shared" si="121"/>
        <v>0</v>
      </c>
      <c r="B1493">
        <v>2006</v>
      </c>
      <c r="C1493">
        <v>183</v>
      </c>
      <c r="D1493">
        <v>0</v>
      </c>
      <c r="E1493">
        <v>1200</v>
      </c>
      <c r="F1493">
        <v>322.89999999999998</v>
      </c>
      <c r="G1493">
        <v>18.68</v>
      </c>
      <c r="H1493">
        <v>0</v>
      </c>
      <c r="I1493" s="7" t="str">
        <f t="shared" si="117"/>
        <v/>
      </c>
      <c r="J1493" s="7" t="str">
        <f t="shared" si="118"/>
        <v/>
      </c>
      <c r="K1493" s="7">
        <v>0</v>
      </c>
      <c r="L1493" s="7" t="str">
        <f t="shared" si="119"/>
        <v/>
      </c>
      <c r="M1493" s="7" t="str">
        <f t="shared" si="120"/>
        <v/>
      </c>
      <c r="N1493" s="7">
        <v>0</v>
      </c>
      <c r="AC1493"/>
      <c r="AD1493" s="14"/>
    </row>
    <row r="1494" spans="1:30" x14ac:dyDescent="0.25">
      <c r="A1494" t="b">
        <f t="shared" si="121"/>
        <v>0</v>
      </c>
      <c r="B1494">
        <v>2006</v>
      </c>
      <c r="C1494">
        <v>183</v>
      </c>
      <c r="D1494">
        <v>0</v>
      </c>
      <c r="E1494">
        <v>1300</v>
      </c>
      <c r="F1494">
        <v>351.3</v>
      </c>
      <c r="G1494">
        <v>19.48</v>
      </c>
      <c r="H1494">
        <v>0</v>
      </c>
      <c r="I1494" s="7" t="str">
        <f t="shared" si="117"/>
        <v/>
      </c>
      <c r="J1494" s="7" t="str">
        <f t="shared" si="118"/>
        <v/>
      </c>
      <c r="K1494" s="7">
        <v>0</v>
      </c>
      <c r="L1494" s="7" t="str">
        <f t="shared" si="119"/>
        <v/>
      </c>
      <c r="M1494" s="7" t="str">
        <f t="shared" si="120"/>
        <v/>
      </c>
      <c r="N1494" s="7">
        <v>0</v>
      </c>
      <c r="AC1494"/>
      <c r="AD1494" s="14"/>
    </row>
    <row r="1495" spans="1:30" x14ac:dyDescent="0.25">
      <c r="A1495" t="b">
        <f t="shared" si="121"/>
        <v>0</v>
      </c>
      <c r="B1495">
        <v>2006</v>
      </c>
      <c r="C1495">
        <v>183</v>
      </c>
      <c r="D1495">
        <v>0</v>
      </c>
      <c r="E1495">
        <v>1400</v>
      </c>
      <c r="F1495">
        <v>494.9</v>
      </c>
      <c r="G1495">
        <v>20.85</v>
      </c>
      <c r="H1495">
        <v>0</v>
      </c>
      <c r="I1495" s="7" t="str">
        <f t="shared" si="117"/>
        <v/>
      </c>
      <c r="J1495" s="7" t="str">
        <f t="shared" si="118"/>
        <v/>
      </c>
      <c r="K1495" s="7">
        <v>0</v>
      </c>
      <c r="L1495" s="7" t="str">
        <f t="shared" si="119"/>
        <v/>
      </c>
      <c r="M1495" s="7" t="str">
        <f t="shared" si="120"/>
        <v/>
      </c>
      <c r="N1495" s="7">
        <v>0</v>
      </c>
      <c r="AC1495"/>
      <c r="AD1495" s="14"/>
    </row>
    <row r="1496" spans="1:30" x14ac:dyDescent="0.25">
      <c r="A1496" t="b">
        <f t="shared" si="121"/>
        <v>0</v>
      </c>
      <c r="B1496">
        <v>2006</v>
      </c>
      <c r="C1496">
        <v>183</v>
      </c>
      <c r="D1496">
        <v>0</v>
      </c>
      <c r="E1496">
        <v>1500</v>
      </c>
      <c r="F1496">
        <v>621.5</v>
      </c>
      <c r="G1496">
        <v>22</v>
      </c>
      <c r="H1496">
        <v>0</v>
      </c>
      <c r="I1496" s="7" t="str">
        <f t="shared" si="117"/>
        <v/>
      </c>
      <c r="J1496" s="7" t="str">
        <f t="shared" si="118"/>
        <v/>
      </c>
      <c r="K1496" s="7">
        <v>0</v>
      </c>
      <c r="L1496" s="7" t="str">
        <f t="shared" si="119"/>
        <v/>
      </c>
      <c r="M1496" s="7" t="str">
        <f t="shared" si="120"/>
        <v/>
      </c>
      <c r="N1496" s="7">
        <v>0</v>
      </c>
      <c r="AC1496"/>
      <c r="AD1496" s="14"/>
    </row>
    <row r="1497" spans="1:30" x14ac:dyDescent="0.25">
      <c r="A1497" t="b">
        <f t="shared" si="121"/>
        <v>0</v>
      </c>
      <c r="B1497">
        <v>2006</v>
      </c>
      <c r="C1497">
        <v>183</v>
      </c>
      <c r="D1497">
        <v>0</v>
      </c>
      <c r="E1497">
        <v>1600</v>
      </c>
      <c r="F1497">
        <v>435.3</v>
      </c>
      <c r="G1497">
        <v>21.84</v>
      </c>
      <c r="H1497">
        <v>0</v>
      </c>
      <c r="I1497" s="7" t="str">
        <f t="shared" si="117"/>
        <v/>
      </c>
      <c r="J1497" s="7" t="str">
        <f t="shared" si="118"/>
        <v/>
      </c>
      <c r="K1497" s="7">
        <v>0</v>
      </c>
      <c r="L1497" s="7" t="str">
        <f t="shared" si="119"/>
        <v/>
      </c>
      <c r="M1497" s="7" t="str">
        <f t="shared" si="120"/>
        <v/>
      </c>
      <c r="N1497" s="7">
        <v>0</v>
      </c>
      <c r="AC1497"/>
      <c r="AD1497" s="14"/>
    </row>
    <row r="1498" spans="1:30" x14ac:dyDescent="0.25">
      <c r="A1498" t="b">
        <f t="shared" si="121"/>
        <v>0</v>
      </c>
      <c r="B1498">
        <v>2006</v>
      </c>
      <c r="C1498">
        <v>183</v>
      </c>
      <c r="D1498">
        <v>0</v>
      </c>
      <c r="E1498">
        <v>1700</v>
      </c>
      <c r="F1498">
        <v>203.8</v>
      </c>
      <c r="G1498">
        <v>20.97</v>
      </c>
      <c r="H1498">
        <v>0</v>
      </c>
      <c r="I1498" s="7" t="str">
        <f t="shared" si="117"/>
        <v/>
      </c>
      <c r="J1498" s="7" t="str">
        <f t="shared" si="118"/>
        <v/>
      </c>
      <c r="K1498" s="7">
        <v>0</v>
      </c>
      <c r="L1498" s="7" t="str">
        <f t="shared" si="119"/>
        <v/>
      </c>
      <c r="M1498" s="7" t="str">
        <f t="shared" si="120"/>
        <v/>
      </c>
      <c r="N1498" s="7">
        <v>0</v>
      </c>
      <c r="AC1498"/>
      <c r="AD1498" s="14"/>
    </row>
    <row r="1499" spans="1:30" x14ac:dyDescent="0.25">
      <c r="A1499" t="b">
        <f t="shared" si="121"/>
        <v>0</v>
      </c>
      <c r="B1499">
        <v>2006</v>
      </c>
      <c r="C1499">
        <v>183</v>
      </c>
      <c r="D1499">
        <v>0</v>
      </c>
      <c r="E1499">
        <v>1800</v>
      </c>
      <c r="F1499">
        <v>126.4</v>
      </c>
      <c r="G1499">
        <v>19.420000000000002</v>
      </c>
      <c r="H1499">
        <v>0.6</v>
      </c>
      <c r="I1499" s="7" t="str">
        <f t="shared" si="117"/>
        <v/>
      </c>
      <c r="J1499" s="7" t="str">
        <f t="shared" si="118"/>
        <v/>
      </c>
      <c r="K1499" s="7">
        <v>0</v>
      </c>
      <c r="L1499" s="7" t="str">
        <f t="shared" si="119"/>
        <v/>
      </c>
      <c r="M1499" s="7" t="str">
        <f t="shared" si="120"/>
        <v/>
      </c>
      <c r="N1499" s="7">
        <v>0</v>
      </c>
      <c r="AC1499"/>
      <c r="AD1499" s="14"/>
    </row>
    <row r="1500" spans="1:30" x14ac:dyDescent="0.25">
      <c r="A1500" t="b">
        <f t="shared" si="121"/>
        <v>0</v>
      </c>
      <c r="B1500">
        <v>2006</v>
      </c>
      <c r="C1500">
        <v>183</v>
      </c>
      <c r="D1500">
        <v>0</v>
      </c>
      <c r="E1500">
        <v>1900</v>
      </c>
      <c r="F1500">
        <v>67.44</v>
      </c>
      <c r="G1500">
        <v>17.920000000000002</v>
      </c>
      <c r="H1500">
        <v>0</v>
      </c>
      <c r="I1500" s="7" t="str">
        <f t="shared" si="117"/>
        <v/>
      </c>
      <c r="J1500" s="7" t="str">
        <f t="shared" si="118"/>
        <v/>
      </c>
      <c r="K1500" s="7">
        <v>0</v>
      </c>
      <c r="L1500" s="7" t="str">
        <f t="shared" si="119"/>
        <v/>
      </c>
      <c r="M1500" s="7" t="str">
        <f t="shared" si="120"/>
        <v/>
      </c>
      <c r="N1500" s="7">
        <v>0</v>
      </c>
      <c r="AC1500"/>
      <c r="AD1500" s="14"/>
    </row>
    <row r="1501" spans="1:30" x14ac:dyDescent="0.25">
      <c r="A1501" t="b">
        <f t="shared" si="121"/>
        <v>0</v>
      </c>
      <c r="B1501">
        <v>2006</v>
      </c>
      <c r="C1501">
        <v>183</v>
      </c>
      <c r="D1501">
        <v>0</v>
      </c>
      <c r="E1501">
        <v>2000</v>
      </c>
      <c r="F1501">
        <v>41.85</v>
      </c>
      <c r="G1501">
        <v>17.11</v>
      </c>
      <c r="H1501">
        <v>0</v>
      </c>
      <c r="I1501" s="7" t="str">
        <f t="shared" si="117"/>
        <v/>
      </c>
      <c r="J1501" s="7" t="str">
        <f t="shared" si="118"/>
        <v/>
      </c>
      <c r="K1501" s="7">
        <v>0</v>
      </c>
      <c r="L1501" s="7" t="str">
        <f t="shared" si="119"/>
        <v/>
      </c>
      <c r="M1501" s="7" t="str">
        <f t="shared" si="120"/>
        <v/>
      </c>
      <c r="N1501" s="7">
        <v>0</v>
      </c>
      <c r="AC1501"/>
      <c r="AD1501" s="14"/>
    </row>
    <row r="1502" spans="1:30" x14ac:dyDescent="0.25">
      <c r="A1502" t="b">
        <f t="shared" si="121"/>
        <v>0</v>
      </c>
      <c r="B1502">
        <v>2006</v>
      </c>
      <c r="C1502">
        <v>183</v>
      </c>
      <c r="D1502">
        <v>0</v>
      </c>
      <c r="E1502">
        <v>2100</v>
      </c>
      <c r="F1502">
        <v>3.605</v>
      </c>
      <c r="G1502">
        <v>16.170000000000002</v>
      </c>
      <c r="H1502">
        <v>0</v>
      </c>
      <c r="I1502" s="7" t="str">
        <f t="shared" si="117"/>
        <v/>
      </c>
      <c r="J1502" s="7" t="str">
        <f t="shared" si="118"/>
        <v/>
      </c>
      <c r="K1502" s="7">
        <v>0</v>
      </c>
      <c r="L1502" s="7" t="str">
        <f t="shared" si="119"/>
        <v/>
      </c>
      <c r="M1502" s="7" t="str">
        <f t="shared" si="120"/>
        <v/>
      </c>
      <c r="N1502" s="7">
        <v>0</v>
      </c>
      <c r="AC1502"/>
      <c r="AD1502" s="14"/>
    </row>
    <row r="1503" spans="1:30" x14ac:dyDescent="0.25">
      <c r="A1503" t="b">
        <f t="shared" si="121"/>
        <v>0</v>
      </c>
      <c r="B1503">
        <v>2006</v>
      </c>
      <c r="C1503">
        <v>183</v>
      </c>
      <c r="D1503">
        <v>0</v>
      </c>
      <c r="E1503">
        <v>2200</v>
      </c>
      <c r="F1503">
        <v>-0.76300000000000001</v>
      </c>
      <c r="G1503">
        <v>14.9</v>
      </c>
      <c r="H1503">
        <v>0</v>
      </c>
      <c r="I1503" s="7" t="str">
        <f t="shared" si="117"/>
        <v/>
      </c>
      <c r="J1503" s="7" t="str">
        <f t="shared" si="118"/>
        <v/>
      </c>
      <c r="K1503" s="7">
        <v>0</v>
      </c>
      <c r="L1503" s="7" t="str">
        <f t="shared" si="119"/>
        <v/>
      </c>
      <c r="M1503" s="7" t="str">
        <f t="shared" si="120"/>
        <v/>
      </c>
      <c r="N1503" s="7">
        <v>0</v>
      </c>
      <c r="AC1503"/>
      <c r="AD1503" s="14"/>
    </row>
    <row r="1504" spans="1:30" x14ac:dyDescent="0.25">
      <c r="A1504" t="b">
        <f t="shared" si="121"/>
        <v>0</v>
      </c>
      <c r="B1504">
        <v>2006</v>
      </c>
      <c r="C1504">
        <v>183</v>
      </c>
      <c r="D1504">
        <v>0</v>
      </c>
      <c r="E1504">
        <v>2300</v>
      </c>
      <c r="F1504">
        <v>-0.91700000000000004</v>
      </c>
      <c r="G1504">
        <v>14.24</v>
      </c>
      <c r="H1504">
        <v>0</v>
      </c>
      <c r="I1504" s="7" t="str">
        <f t="shared" si="117"/>
        <v/>
      </c>
      <c r="J1504" s="7" t="str">
        <f t="shared" si="118"/>
        <v/>
      </c>
      <c r="K1504" s="7">
        <v>0</v>
      </c>
      <c r="L1504" s="7" t="str">
        <f t="shared" si="119"/>
        <v/>
      </c>
      <c r="M1504" s="7" t="str">
        <f t="shared" si="120"/>
        <v/>
      </c>
      <c r="N1504" s="7">
        <v>0</v>
      </c>
      <c r="AC1504"/>
      <c r="AD1504" s="14"/>
    </row>
    <row r="1505" spans="1:30" x14ac:dyDescent="0.25">
      <c r="A1505" t="b">
        <f t="shared" si="121"/>
        <v>0</v>
      </c>
      <c r="B1505">
        <v>2006</v>
      </c>
      <c r="C1505">
        <v>183</v>
      </c>
      <c r="D1505">
        <v>0</v>
      </c>
      <c r="E1505">
        <v>2400</v>
      </c>
      <c r="F1505">
        <v>-1.24</v>
      </c>
      <c r="G1505">
        <v>13.73</v>
      </c>
      <c r="H1505">
        <v>0</v>
      </c>
      <c r="I1505" s="7" t="str">
        <f t="shared" si="117"/>
        <v/>
      </c>
      <c r="J1505" s="7" t="str">
        <f t="shared" si="118"/>
        <v/>
      </c>
      <c r="K1505" s="7">
        <v>0</v>
      </c>
      <c r="L1505" s="7" t="str">
        <f t="shared" si="119"/>
        <v/>
      </c>
      <c r="M1505" s="7" t="str">
        <f t="shared" si="120"/>
        <v/>
      </c>
      <c r="N1505" s="7">
        <v>0</v>
      </c>
      <c r="AC1505"/>
      <c r="AD1505" s="14"/>
    </row>
    <row r="1506" spans="1:30" x14ac:dyDescent="0.25">
      <c r="A1506" t="b">
        <f t="shared" si="121"/>
        <v>1</v>
      </c>
      <c r="B1506">
        <v>2006</v>
      </c>
      <c r="C1506">
        <v>184</v>
      </c>
      <c r="D1506">
        <v>0</v>
      </c>
      <c r="E1506">
        <v>100</v>
      </c>
      <c r="F1506">
        <v>-1.5249999999999999</v>
      </c>
      <c r="G1506">
        <v>12.7</v>
      </c>
      <c r="H1506">
        <v>0</v>
      </c>
      <c r="I1506" s="7">
        <f t="shared" si="117"/>
        <v>0.2</v>
      </c>
      <c r="J1506" s="7">
        <f t="shared" si="118"/>
        <v>264.73087499999997</v>
      </c>
      <c r="K1506" s="7">
        <v>0</v>
      </c>
      <c r="L1506" s="7">
        <f t="shared" si="119"/>
        <v>21.14</v>
      </c>
      <c r="M1506" s="7">
        <f t="shared" si="120"/>
        <v>12.08</v>
      </c>
      <c r="N1506" s="7">
        <v>0</v>
      </c>
      <c r="AC1506"/>
      <c r="AD1506" s="14"/>
    </row>
    <row r="1507" spans="1:30" x14ac:dyDescent="0.25">
      <c r="A1507" t="b">
        <f t="shared" si="121"/>
        <v>0</v>
      </c>
      <c r="B1507">
        <v>2006</v>
      </c>
      <c r="C1507">
        <v>184</v>
      </c>
      <c r="D1507">
        <v>0</v>
      </c>
      <c r="E1507">
        <v>200</v>
      </c>
      <c r="F1507">
        <v>-1.25</v>
      </c>
      <c r="G1507">
        <v>12.2</v>
      </c>
      <c r="H1507">
        <v>0</v>
      </c>
      <c r="I1507" s="7" t="str">
        <f t="shared" si="117"/>
        <v/>
      </c>
      <c r="J1507" s="7" t="str">
        <f t="shared" si="118"/>
        <v/>
      </c>
      <c r="K1507" s="7">
        <v>0</v>
      </c>
      <c r="L1507" s="7" t="str">
        <f t="shared" si="119"/>
        <v/>
      </c>
      <c r="M1507" s="7" t="str">
        <f t="shared" si="120"/>
        <v/>
      </c>
      <c r="N1507" s="7">
        <v>0</v>
      </c>
      <c r="AC1507"/>
      <c r="AD1507" s="14"/>
    </row>
    <row r="1508" spans="1:30" x14ac:dyDescent="0.25">
      <c r="A1508" t="b">
        <f t="shared" si="121"/>
        <v>0</v>
      </c>
      <c r="B1508">
        <v>2006</v>
      </c>
      <c r="C1508">
        <v>184</v>
      </c>
      <c r="D1508">
        <v>0</v>
      </c>
      <c r="E1508">
        <v>300</v>
      </c>
      <c r="F1508">
        <v>-0.85899999999999999</v>
      </c>
      <c r="G1508">
        <v>12.1</v>
      </c>
      <c r="H1508">
        <v>0</v>
      </c>
      <c r="I1508" s="7" t="str">
        <f t="shared" si="117"/>
        <v/>
      </c>
      <c r="J1508" s="7" t="str">
        <f t="shared" si="118"/>
        <v/>
      </c>
      <c r="K1508" s="7">
        <v>0</v>
      </c>
      <c r="L1508" s="7" t="str">
        <f t="shared" si="119"/>
        <v/>
      </c>
      <c r="M1508" s="7" t="str">
        <f t="shared" si="120"/>
        <v/>
      </c>
      <c r="N1508" s="7">
        <v>0</v>
      </c>
      <c r="AC1508"/>
      <c r="AD1508" s="14"/>
    </row>
    <row r="1509" spans="1:30" x14ac:dyDescent="0.25">
      <c r="A1509" t="b">
        <f t="shared" si="121"/>
        <v>0</v>
      </c>
      <c r="B1509">
        <v>2006</v>
      </c>
      <c r="C1509">
        <v>184</v>
      </c>
      <c r="D1509">
        <v>0</v>
      </c>
      <c r="E1509">
        <v>400</v>
      </c>
      <c r="F1509">
        <v>-0.83499999999999996</v>
      </c>
      <c r="G1509">
        <v>12.18</v>
      </c>
      <c r="H1509">
        <v>0</v>
      </c>
      <c r="I1509" s="7" t="str">
        <f t="shared" si="117"/>
        <v/>
      </c>
      <c r="J1509" s="7" t="str">
        <f t="shared" si="118"/>
        <v/>
      </c>
      <c r="K1509" s="7">
        <v>0</v>
      </c>
      <c r="L1509" s="7" t="str">
        <f t="shared" si="119"/>
        <v/>
      </c>
      <c r="M1509" s="7" t="str">
        <f t="shared" si="120"/>
        <v/>
      </c>
      <c r="N1509" s="7">
        <v>0</v>
      </c>
      <c r="AC1509"/>
      <c r="AD1509" s="14"/>
    </row>
    <row r="1510" spans="1:30" x14ac:dyDescent="0.25">
      <c r="A1510" t="b">
        <f t="shared" si="121"/>
        <v>0</v>
      </c>
      <c r="B1510">
        <v>2006</v>
      </c>
      <c r="C1510">
        <v>184</v>
      </c>
      <c r="D1510">
        <v>0</v>
      </c>
      <c r="E1510">
        <v>500</v>
      </c>
      <c r="F1510">
        <v>6.0369999999999999</v>
      </c>
      <c r="G1510">
        <v>12.08</v>
      </c>
      <c r="H1510">
        <v>0.2</v>
      </c>
      <c r="I1510" s="7" t="str">
        <f t="shared" si="117"/>
        <v/>
      </c>
      <c r="J1510" s="7" t="str">
        <f t="shared" si="118"/>
        <v/>
      </c>
      <c r="K1510" s="7">
        <v>0</v>
      </c>
      <c r="L1510" s="7" t="str">
        <f t="shared" si="119"/>
        <v/>
      </c>
      <c r="M1510" s="7" t="str">
        <f t="shared" si="120"/>
        <v/>
      </c>
      <c r="N1510" s="7">
        <v>0</v>
      </c>
      <c r="AC1510"/>
      <c r="AD1510" s="14"/>
    </row>
    <row r="1511" spans="1:30" x14ac:dyDescent="0.25">
      <c r="A1511" t="b">
        <f t="shared" si="121"/>
        <v>0</v>
      </c>
      <c r="B1511">
        <v>2006</v>
      </c>
      <c r="C1511">
        <v>184</v>
      </c>
      <c r="D1511">
        <v>0</v>
      </c>
      <c r="E1511">
        <v>600</v>
      </c>
      <c r="F1511">
        <v>44.09</v>
      </c>
      <c r="G1511">
        <v>12.25</v>
      </c>
      <c r="H1511">
        <v>0</v>
      </c>
      <c r="I1511" s="7" t="str">
        <f t="shared" si="117"/>
        <v/>
      </c>
      <c r="J1511" s="7" t="str">
        <f t="shared" si="118"/>
        <v/>
      </c>
      <c r="K1511" s="7">
        <v>0</v>
      </c>
      <c r="L1511" s="7" t="str">
        <f t="shared" si="119"/>
        <v/>
      </c>
      <c r="M1511" s="7" t="str">
        <f t="shared" si="120"/>
        <v/>
      </c>
      <c r="N1511" s="7">
        <v>0</v>
      </c>
      <c r="AC1511"/>
      <c r="AD1511" s="14"/>
    </row>
    <row r="1512" spans="1:30" x14ac:dyDescent="0.25">
      <c r="A1512" t="b">
        <f t="shared" si="121"/>
        <v>0</v>
      </c>
      <c r="B1512">
        <v>2006</v>
      </c>
      <c r="C1512">
        <v>184</v>
      </c>
      <c r="D1512">
        <v>0</v>
      </c>
      <c r="E1512">
        <v>700</v>
      </c>
      <c r="F1512">
        <v>106.8</v>
      </c>
      <c r="G1512">
        <v>12.79</v>
      </c>
      <c r="H1512">
        <v>0</v>
      </c>
      <c r="I1512" s="7" t="str">
        <f t="shared" si="117"/>
        <v/>
      </c>
      <c r="J1512" s="7" t="str">
        <f t="shared" si="118"/>
        <v/>
      </c>
      <c r="K1512" s="7">
        <v>0</v>
      </c>
      <c r="L1512" s="7" t="str">
        <f t="shared" si="119"/>
        <v/>
      </c>
      <c r="M1512" s="7" t="str">
        <f t="shared" si="120"/>
        <v/>
      </c>
      <c r="N1512" s="7">
        <v>0</v>
      </c>
      <c r="AC1512"/>
      <c r="AD1512" s="14"/>
    </row>
    <row r="1513" spans="1:30" x14ac:dyDescent="0.25">
      <c r="A1513" t="b">
        <f t="shared" si="121"/>
        <v>0</v>
      </c>
      <c r="B1513">
        <v>2006</v>
      </c>
      <c r="C1513">
        <v>184</v>
      </c>
      <c r="D1513">
        <v>0</v>
      </c>
      <c r="E1513">
        <v>800</v>
      </c>
      <c r="F1513">
        <v>179.6</v>
      </c>
      <c r="G1513">
        <v>13.62</v>
      </c>
      <c r="H1513">
        <v>0</v>
      </c>
      <c r="I1513" s="7" t="str">
        <f t="shared" si="117"/>
        <v/>
      </c>
      <c r="J1513" s="7" t="str">
        <f t="shared" si="118"/>
        <v/>
      </c>
      <c r="K1513" s="7">
        <v>0</v>
      </c>
      <c r="L1513" s="7" t="str">
        <f t="shared" si="119"/>
        <v/>
      </c>
      <c r="M1513" s="7" t="str">
        <f t="shared" si="120"/>
        <v/>
      </c>
      <c r="N1513" s="7">
        <v>0</v>
      </c>
      <c r="AC1513"/>
      <c r="AD1513" s="14"/>
    </row>
    <row r="1514" spans="1:30" x14ac:dyDescent="0.25">
      <c r="A1514" t="b">
        <f t="shared" si="121"/>
        <v>0</v>
      </c>
      <c r="B1514">
        <v>2006</v>
      </c>
      <c r="C1514">
        <v>184</v>
      </c>
      <c r="D1514">
        <v>0</v>
      </c>
      <c r="E1514">
        <v>900</v>
      </c>
      <c r="F1514">
        <v>453.7</v>
      </c>
      <c r="G1514">
        <v>15.46</v>
      </c>
      <c r="H1514">
        <v>0</v>
      </c>
      <c r="I1514" s="7" t="str">
        <f t="shared" si="117"/>
        <v/>
      </c>
      <c r="J1514" s="7" t="str">
        <f t="shared" si="118"/>
        <v/>
      </c>
      <c r="K1514" s="7">
        <v>0</v>
      </c>
      <c r="L1514" s="7" t="str">
        <f t="shared" si="119"/>
        <v/>
      </c>
      <c r="M1514" s="7" t="str">
        <f t="shared" si="120"/>
        <v/>
      </c>
      <c r="N1514" s="7">
        <v>0</v>
      </c>
      <c r="AC1514"/>
      <c r="AD1514" s="14"/>
    </row>
    <row r="1515" spans="1:30" x14ac:dyDescent="0.25">
      <c r="A1515" t="b">
        <f t="shared" si="121"/>
        <v>0</v>
      </c>
      <c r="B1515">
        <v>2006</v>
      </c>
      <c r="C1515">
        <v>184</v>
      </c>
      <c r="D1515">
        <v>0</v>
      </c>
      <c r="E1515">
        <v>1000</v>
      </c>
      <c r="F1515">
        <v>546.6</v>
      </c>
      <c r="G1515">
        <v>17.11</v>
      </c>
      <c r="H1515">
        <v>0</v>
      </c>
      <c r="I1515" s="7" t="str">
        <f t="shared" si="117"/>
        <v/>
      </c>
      <c r="J1515" s="7" t="str">
        <f t="shared" si="118"/>
        <v/>
      </c>
      <c r="K1515" s="7">
        <v>0</v>
      </c>
      <c r="L1515" s="7" t="str">
        <f t="shared" si="119"/>
        <v/>
      </c>
      <c r="M1515" s="7" t="str">
        <f t="shared" si="120"/>
        <v/>
      </c>
      <c r="N1515" s="7">
        <v>0</v>
      </c>
      <c r="AC1515"/>
      <c r="AD1515" s="14"/>
    </row>
    <row r="1516" spans="1:30" x14ac:dyDescent="0.25">
      <c r="A1516" t="b">
        <f t="shared" si="121"/>
        <v>0</v>
      </c>
      <c r="B1516">
        <v>2006</v>
      </c>
      <c r="C1516">
        <v>184</v>
      </c>
      <c r="D1516">
        <v>0</v>
      </c>
      <c r="E1516">
        <v>1100</v>
      </c>
      <c r="F1516">
        <v>651.79999999999995</v>
      </c>
      <c r="G1516">
        <v>18.510000000000002</v>
      </c>
      <c r="H1516">
        <v>0</v>
      </c>
      <c r="I1516" s="7" t="str">
        <f t="shared" si="117"/>
        <v/>
      </c>
      <c r="J1516" s="7" t="str">
        <f t="shared" si="118"/>
        <v/>
      </c>
      <c r="K1516" s="7">
        <v>0</v>
      </c>
      <c r="L1516" s="7" t="str">
        <f t="shared" si="119"/>
        <v/>
      </c>
      <c r="M1516" s="7" t="str">
        <f t="shared" si="120"/>
        <v/>
      </c>
      <c r="N1516" s="7">
        <v>0</v>
      </c>
      <c r="AC1516"/>
      <c r="AD1516" s="14"/>
    </row>
    <row r="1517" spans="1:30" x14ac:dyDescent="0.25">
      <c r="A1517" t="b">
        <f t="shared" si="121"/>
        <v>0</v>
      </c>
      <c r="B1517">
        <v>2006</v>
      </c>
      <c r="C1517">
        <v>184</v>
      </c>
      <c r="D1517">
        <v>0</v>
      </c>
      <c r="E1517">
        <v>1200</v>
      </c>
      <c r="F1517">
        <v>696.1</v>
      </c>
      <c r="G1517">
        <v>19.16</v>
      </c>
      <c r="H1517">
        <v>0</v>
      </c>
      <c r="I1517" s="7" t="str">
        <f t="shared" si="117"/>
        <v/>
      </c>
      <c r="J1517" s="7" t="str">
        <f t="shared" si="118"/>
        <v/>
      </c>
      <c r="K1517" s="7">
        <v>0</v>
      </c>
      <c r="L1517" s="7" t="str">
        <f t="shared" si="119"/>
        <v/>
      </c>
      <c r="M1517" s="7" t="str">
        <f t="shared" si="120"/>
        <v/>
      </c>
      <c r="N1517" s="7">
        <v>0</v>
      </c>
      <c r="AC1517"/>
      <c r="AD1517" s="14"/>
    </row>
    <row r="1518" spans="1:30" x14ac:dyDescent="0.25">
      <c r="A1518" t="b">
        <f t="shared" si="121"/>
        <v>0</v>
      </c>
      <c r="B1518">
        <v>2006</v>
      </c>
      <c r="C1518">
        <v>184</v>
      </c>
      <c r="D1518">
        <v>0</v>
      </c>
      <c r="E1518">
        <v>1300</v>
      </c>
      <c r="F1518">
        <v>689.6</v>
      </c>
      <c r="G1518">
        <v>19.989999999999998</v>
      </c>
      <c r="H1518">
        <v>0</v>
      </c>
      <c r="I1518" s="7" t="str">
        <f t="shared" si="117"/>
        <v/>
      </c>
      <c r="J1518" s="7" t="str">
        <f t="shared" si="118"/>
        <v/>
      </c>
      <c r="K1518" s="7">
        <v>0</v>
      </c>
      <c r="L1518" s="7" t="str">
        <f t="shared" si="119"/>
        <v/>
      </c>
      <c r="M1518" s="7" t="str">
        <f t="shared" si="120"/>
        <v/>
      </c>
      <c r="N1518" s="7">
        <v>0</v>
      </c>
      <c r="AC1518"/>
      <c r="AD1518" s="14"/>
    </row>
    <row r="1519" spans="1:30" x14ac:dyDescent="0.25">
      <c r="A1519" t="b">
        <f t="shared" si="121"/>
        <v>0</v>
      </c>
      <c r="B1519">
        <v>2006</v>
      </c>
      <c r="C1519">
        <v>184</v>
      </c>
      <c r="D1519">
        <v>0</v>
      </c>
      <c r="E1519">
        <v>1400</v>
      </c>
      <c r="F1519">
        <v>638.70000000000005</v>
      </c>
      <c r="G1519">
        <v>20.85</v>
      </c>
      <c r="H1519">
        <v>0</v>
      </c>
      <c r="I1519" s="7" t="str">
        <f t="shared" si="117"/>
        <v/>
      </c>
      <c r="J1519" s="7" t="str">
        <f t="shared" si="118"/>
        <v/>
      </c>
      <c r="K1519" s="7">
        <v>0</v>
      </c>
      <c r="L1519" s="7" t="str">
        <f t="shared" si="119"/>
        <v/>
      </c>
      <c r="M1519" s="7" t="str">
        <f t="shared" si="120"/>
        <v/>
      </c>
      <c r="N1519" s="7">
        <v>0</v>
      </c>
      <c r="AC1519"/>
      <c r="AD1519" s="14"/>
    </row>
    <row r="1520" spans="1:30" x14ac:dyDescent="0.25">
      <c r="A1520" t="b">
        <f t="shared" si="121"/>
        <v>0</v>
      </c>
      <c r="B1520">
        <v>2006</v>
      </c>
      <c r="C1520">
        <v>184</v>
      </c>
      <c r="D1520">
        <v>0</v>
      </c>
      <c r="E1520">
        <v>1500</v>
      </c>
      <c r="F1520">
        <v>659.3</v>
      </c>
      <c r="G1520">
        <v>21.14</v>
      </c>
      <c r="H1520">
        <v>0</v>
      </c>
      <c r="I1520" s="7" t="str">
        <f t="shared" si="117"/>
        <v/>
      </c>
      <c r="J1520" s="7" t="str">
        <f t="shared" si="118"/>
        <v/>
      </c>
      <c r="K1520" s="7">
        <v>0</v>
      </c>
      <c r="L1520" s="7" t="str">
        <f t="shared" si="119"/>
        <v/>
      </c>
      <c r="M1520" s="7" t="str">
        <f t="shared" si="120"/>
        <v/>
      </c>
      <c r="N1520" s="7">
        <v>0</v>
      </c>
      <c r="AC1520"/>
      <c r="AD1520" s="14"/>
    </row>
    <row r="1521" spans="1:30" x14ac:dyDescent="0.25">
      <c r="A1521" t="b">
        <f t="shared" si="121"/>
        <v>0</v>
      </c>
      <c r="B1521">
        <v>2006</v>
      </c>
      <c r="C1521">
        <v>184</v>
      </c>
      <c r="D1521">
        <v>0</v>
      </c>
      <c r="E1521">
        <v>1600</v>
      </c>
      <c r="F1521">
        <v>640.4</v>
      </c>
      <c r="G1521">
        <v>21.09</v>
      </c>
      <c r="H1521">
        <v>0</v>
      </c>
      <c r="I1521" s="7" t="str">
        <f t="shared" si="117"/>
        <v/>
      </c>
      <c r="J1521" s="7" t="str">
        <f t="shared" si="118"/>
        <v/>
      </c>
      <c r="K1521" s="7">
        <v>0</v>
      </c>
      <c r="L1521" s="7" t="str">
        <f t="shared" si="119"/>
        <v/>
      </c>
      <c r="M1521" s="7" t="str">
        <f t="shared" si="120"/>
        <v/>
      </c>
      <c r="N1521" s="7">
        <v>0</v>
      </c>
      <c r="AC1521"/>
      <c r="AD1521" s="14"/>
    </row>
    <row r="1522" spans="1:30" x14ac:dyDescent="0.25">
      <c r="A1522" t="b">
        <f t="shared" si="121"/>
        <v>0</v>
      </c>
      <c r="B1522">
        <v>2006</v>
      </c>
      <c r="C1522">
        <v>184</v>
      </c>
      <c r="D1522">
        <v>0</v>
      </c>
      <c r="E1522">
        <v>1700</v>
      </c>
      <c r="F1522">
        <v>476.8</v>
      </c>
      <c r="G1522">
        <v>20.32</v>
      </c>
      <c r="H1522">
        <v>0</v>
      </c>
      <c r="I1522" s="7" t="str">
        <f t="shared" si="117"/>
        <v/>
      </c>
      <c r="J1522" s="7" t="str">
        <f t="shared" si="118"/>
        <v/>
      </c>
      <c r="K1522" s="7">
        <v>0</v>
      </c>
      <c r="L1522" s="7" t="str">
        <f t="shared" si="119"/>
        <v/>
      </c>
      <c r="M1522" s="7" t="str">
        <f t="shared" si="120"/>
        <v/>
      </c>
      <c r="N1522" s="7">
        <v>0</v>
      </c>
      <c r="AC1522"/>
      <c r="AD1522" s="14"/>
    </row>
    <row r="1523" spans="1:30" x14ac:dyDescent="0.25">
      <c r="A1523" t="b">
        <f t="shared" si="121"/>
        <v>0</v>
      </c>
      <c r="B1523">
        <v>2006</v>
      </c>
      <c r="C1523">
        <v>184</v>
      </c>
      <c r="D1523">
        <v>0</v>
      </c>
      <c r="E1523">
        <v>1800</v>
      </c>
      <c r="F1523">
        <v>272.7</v>
      </c>
      <c r="G1523">
        <v>19.34</v>
      </c>
      <c r="H1523">
        <v>0</v>
      </c>
      <c r="I1523" s="7" t="str">
        <f t="shared" si="117"/>
        <v/>
      </c>
      <c r="J1523" s="7" t="str">
        <f t="shared" si="118"/>
        <v/>
      </c>
      <c r="K1523" s="7">
        <v>0</v>
      </c>
      <c r="L1523" s="7" t="str">
        <f t="shared" si="119"/>
        <v/>
      </c>
      <c r="M1523" s="7" t="str">
        <f t="shared" si="120"/>
        <v/>
      </c>
      <c r="N1523" s="7">
        <v>0</v>
      </c>
      <c r="AC1523"/>
      <c r="AD1523" s="14"/>
    </row>
    <row r="1524" spans="1:30" x14ac:dyDescent="0.25">
      <c r="A1524" t="b">
        <f t="shared" si="121"/>
        <v>0</v>
      </c>
      <c r="B1524">
        <v>2006</v>
      </c>
      <c r="C1524">
        <v>184</v>
      </c>
      <c r="D1524">
        <v>0</v>
      </c>
      <c r="E1524">
        <v>1900</v>
      </c>
      <c r="F1524">
        <v>164.9</v>
      </c>
      <c r="G1524">
        <v>18.28</v>
      </c>
      <c r="H1524">
        <v>0</v>
      </c>
      <c r="I1524" s="7" t="str">
        <f t="shared" si="117"/>
        <v/>
      </c>
      <c r="J1524" s="7" t="str">
        <f t="shared" si="118"/>
        <v/>
      </c>
      <c r="K1524" s="7">
        <v>0</v>
      </c>
      <c r="L1524" s="7" t="str">
        <f t="shared" si="119"/>
        <v/>
      </c>
      <c r="M1524" s="7" t="str">
        <f t="shared" si="120"/>
        <v/>
      </c>
      <c r="N1524" s="7">
        <v>0</v>
      </c>
      <c r="AC1524"/>
      <c r="AD1524" s="14"/>
    </row>
    <row r="1525" spans="1:30" x14ac:dyDescent="0.25">
      <c r="A1525" t="b">
        <f t="shared" si="121"/>
        <v>0</v>
      </c>
      <c r="B1525">
        <v>2006</v>
      </c>
      <c r="C1525">
        <v>184</v>
      </c>
      <c r="D1525">
        <v>0</v>
      </c>
      <c r="E1525">
        <v>2000</v>
      </c>
      <c r="F1525">
        <v>113.7</v>
      </c>
      <c r="G1525">
        <v>17.239999999999998</v>
      </c>
      <c r="H1525">
        <v>0</v>
      </c>
      <c r="I1525" s="7" t="str">
        <f t="shared" si="117"/>
        <v/>
      </c>
      <c r="J1525" s="7" t="str">
        <f t="shared" si="118"/>
        <v/>
      </c>
      <c r="K1525" s="7">
        <v>0</v>
      </c>
      <c r="L1525" s="7" t="str">
        <f t="shared" si="119"/>
        <v/>
      </c>
      <c r="M1525" s="7" t="str">
        <f t="shared" si="120"/>
        <v/>
      </c>
      <c r="N1525" s="7">
        <v>0</v>
      </c>
      <c r="AC1525"/>
      <c r="AD1525" s="14"/>
    </row>
    <row r="1526" spans="1:30" x14ac:dyDescent="0.25">
      <c r="A1526" t="b">
        <f t="shared" si="121"/>
        <v>0</v>
      </c>
      <c r="B1526">
        <v>2006</v>
      </c>
      <c r="C1526">
        <v>184</v>
      </c>
      <c r="D1526">
        <v>0</v>
      </c>
      <c r="E1526">
        <v>2100</v>
      </c>
      <c r="F1526">
        <v>20.420000000000002</v>
      </c>
      <c r="G1526">
        <v>15.22</v>
      </c>
      <c r="H1526">
        <v>0</v>
      </c>
      <c r="I1526" s="7" t="str">
        <f t="shared" si="117"/>
        <v/>
      </c>
      <c r="J1526" s="7" t="str">
        <f t="shared" si="118"/>
        <v/>
      </c>
      <c r="K1526" s="7">
        <v>0</v>
      </c>
      <c r="L1526" s="7" t="str">
        <f t="shared" si="119"/>
        <v/>
      </c>
      <c r="M1526" s="7" t="str">
        <f t="shared" si="120"/>
        <v/>
      </c>
      <c r="N1526" s="7">
        <v>0</v>
      </c>
      <c r="AC1526"/>
      <c r="AD1526" s="14"/>
    </row>
    <row r="1527" spans="1:30" x14ac:dyDescent="0.25">
      <c r="A1527" t="b">
        <f t="shared" si="121"/>
        <v>0</v>
      </c>
      <c r="B1527">
        <v>2006</v>
      </c>
      <c r="C1527">
        <v>184</v>
      </c>
      <c r="D1527">
        <v>0</v>
      </c>
      <c r="E1527">
        <v>2200</v>
      </c>
      <c r="F1527">
        <v>-0.89800000000000002</v>
      </c>
      <c r="G1527">
        <v>13.62</v>
      </c>
      <c r="H1527">
        <v>0</v>
      </c>
      <c r="I1527" s="7" t="str">
        <f t="shared" si="117"/>
        <v/>
      </c>
      <c r="J1527" s="7" t="str">
        <f t="shared" si="118"/>
        <v/>
      </c>
      <c r="K1527" s="7">
        <v>0</v>
      </c>
      <c r="L1527" s="7" t="str">
        <f t="shared" si="119"/>
        <v/>
      </c>
      <c r="M1527" s="7" t="str">
        <f t="shared" si="120"/>
        <v/>
      </c>
      <c r="N1527" s="7">
        <v>0</v>
      </c>
      <c r="AC1527"/>
      <c r="AD1527" s="14"/>
    </row>
    <row r="1528" spans="1:30" x14ac:dyDescent="0.25">
      <c r="A1528" t="b">
        <f t="shared" si="121"/>
        <v>0</v>
      </c>
      <c r="B1528">
        <v>2006</v>
      </c>
      <c r="C1528">
        <v>184</v>
      </c>
      <c r="D1528">
        <v>0</v>
      </c>
      <c r="E1528">
        <v>2300</v>
      </c>
      <c r="F1528">
        <v>-1.369</v>
      </c>
      <c r="G1528">
        <v>12.97</v>
      </c>
      <c r="H1528">
        <v>0</v>
      </c>
      <c r="I1528" s="7" t="str">
        <f t="shared" si="117"/>
        <v/>
      </c>
      <c r="J1528" s="7" t="str">
        <f t="shared" si="118"/>
        <v/>
      </c>
      <c r="K1528" s="7">
        <v>0</v>
      </c>
      <c r="L1528" s="7" t="str">
        <f t="shared" si="119"/>
        <v/>
      </c>
      <c r="M1528" s="7" t="str">
        <f t="shared" si="120"/>
        <v/>
      </c>
      <c r="N1528" s="7">
        <v>0</v>
      </c>
      <c r="AC1528"/>
      <c r="AD1528" s="14"/>
    </row>
    <row r="1529" spans="1:30" x14ac:dyDescent="0.25">
      <c r="A1529" t="b">
        <f t="shared" si="121"/>
        <v>0</v>
      </c>
      <c r="B1529">
        <v>2006</v>
      </c>
      <c r="C1529">
        <v>184</v>
      </c>
      <c r="D1529">
        <v>0</v>
      </c>
      <c r="E1529">
        <v>2400</v>
      </c>
      <c r="F1529">
        <v>-0.97</v>
      </c>
      <c r="G1529">
        <v>12.66</v>
      </c>
      <c r="H1529">
        <v>0</v>
      </c>
      <c r="I1529" s="7" t="str">
        <f t="shared" si="117"/>
        <v/>
      </c>
      <c r="J1529" s="7" t="str">
        <f t="shared" si="118"/>
        <v/>
      </c>
      <c r="K1529" s="7">
        <v>0</v>
      </c>
      <c r="L1529" s="7" t="str">
        <f t="shared" si="119"/>
        <v/>
      </c>
      <c r="M1529" s="7" t="str">
        <f t="shared" si="120"/>
        <v/>
      </c>
      <c r="N1529" s="7">
        <v>0</v>
      </c>
      <c r="AC1529"/>
      <c r="AD1529" s="1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1AC6-909D-42EB-A57B-63F2FD52C4D3}">
  <dimension ref="A1:BU1529"/>
  <sheetViews>
    <sheetView topLeftCell="A38" zoomScale="78" zoomScaleNormal="78" workbookViewId="0">
      <selection sqref="A1:I65"/>
    </sheetView>
  </sheetViews>
  <sheetFormatPr defaultRowHeight="15" x14ac:dyDescent="0.25"/>
  <cols>
    <col min="7" max="7" width="11.5703125" bestFit="1" customWidth="1"/>
    <col min="14" max="14" width="17" customWidth="1"/>
    <col min="20" max="20" width="12.7109375" customWidth="1"/>
    <col min="22" max="22" width="9.140625" style="34"/>
    <col min="23" max="23" width="9.140625" style="39"/>
    <col min="24" max="24" width="9.140625" style="34"/>
    <col min="25" max="25" width="11.5703125" style="34" bestFit="1" customWidth="1"/>
    <col min="26" max="36" width="9.140625" style="34"/>
    <col min="37" max="37" width="13.85546875" style="34" bestFit="1" customWidth="1"/>
    <col min="38" max="55" width="9.140625" style="34"/>
  </cols>
  <sheetData>
    <row r="1" spans="1:73" ht="39" x14ac:dyDescent="0.25">
      <c r="A1" s="8" t="s">
        <v>155</v>
      </c>
      <c r="B1" s="8" t="s">
        <v>206</v>
      </c>
      <c r="C1" s="8" t="s">
        <v>207</v>
      </c>
      <c r="D1" s="8" t="s">
        <v>208</v>
      </c>
      <c r="E1" s="8" t="s">
        <v>209</v>
      </c>
      <c r="F1" s="8" t="s">
        <v>210</v>
      </c>
      <c r="G1" s="8" t="s">
        <v>211</v>
      </c>
      <c r="H1" s="8" t="s">
        <v>212</v>
      </c>
      <c r="I1" s="8" t="s">
        <v>213</v>
      </c>
      <c r="J1" s="11"/>
      <c r="K1" s="11"/>
      <c r="L1" s="8"/>
      <c r="M1" s="18"/>
      <c r="N1" s="18"/>
      <c r="O1" s="18"/>
      <c r="P1" s="18"/>
      <c r="Q1" s="8"/>
      <c r="R1" s="11"/>
      <c r="S1" s="19"/>
      <c r="T1" s="19"/>
      <c r="U1" s="19"/>
      <c r="V1" s="32"/>
      <c r="W1" s="32"/>
      <c r="X1" s="31"/>
      <c r="Y1" s="26"/>
      <c r="Z1" s="33"/>
      <c r="AA1" s="29"/>
      <c r="AB1" s="29"/>
      <c r="AC1" s="29"/>
      <c r="AD1" s="29"/>
      <c r="BL1" s="22"/>
      <c r="BU1" s="22"/>
    </row>
    <row r="2" spans="1:73" x14ac:dyDescent="0.25">
      <c r="A2">
        <v>2006</v>
      </c>
      <c r="B2">
        <v>121</v>
      </c>
      <c r="C2">
        <v>0</v>
      </c>
      <c r="D2" s="7">
        <v>2.1999999999999997</v>
      </c>
      <c r="E2" s="7">
        <v>271.08931249999995</v>
      </c>
      <c r="F2" s="7">
        <v>0</v>
      </c>
      <c r="G2" s="7">
        <v>10.71</v>
      </c>
      <c r="H2" s="7">
        <v>5.319</v>
      </c>
      <c r="I2" s="7">
        <v>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35"/>
      <c r="W2" s="29"/>
      <c r="X2" s="31"/>
      <c r="Y2" s="26"/>
      <c r="Z2" s="36"/>
      <c r="BL2" s="22"/>
      <c r="BU2" s="22"/>
    </row>
    <row r="3" spans="1:73" x14ac:dyDescent="0.25">
      <c r="A3">
        <v>2006</v>
      </c>
      <c r="B3">
        <v>122</v>
      </c>
      <c r="C3">
        <v>0</v>
      </c>
      <c r="D3" s="7">
        <v>1</v>
      </c>
      <c r="E3" s="7">
        <v>52.590875000000004</v>
      </c>
      <c r="F3" s="7">
        <v>0</v>
      </c>
      <c r="G3" s="7">
        <v>10.39</v>
      </c>
      <c r="H3" s="7">
        <v>6.5519999999999996</v>
      </c>
      <c r="I3" s="7">
        <v>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35"/>
      <c r="W3" s="29"/>
      <c r="X3" s="31"/>
      <c r="Y3" s="26"/>
      <c r="Z3" s="36"/>
    </row>
    <row r="4" spans="1:73" x14ac:dyDescent="0.25">
      <c r="A4">
        <v>2006</v>
      </c>
      <c r="B4">
        <v>123</v>
      </c>
      <c r="C4">
        <v>0</v>
      </c>
      <c r="D4" s="7">
        <v>8</v>
      </c>
      <c r="E4" s="7">
        <v>100.74716666666667</v>
      </c>
      <c r="F4" s="7">
        <v>0</v>
      </c>
      <c r="G4" s="7">
        <v>13.14</v>
      </c>
      <c r="H4" s="7">
        <v>6.4649999999999999</v>
      </c>
      <c r="I4" s="7">
        <v>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35"/>
      <c r="W4" s="29"/>
      <c r="X4" s="31"/>
      <c r="Y4" s="26"/>
      <c r="Z4" s="36"/>
    </row>
    <row r="5" spans="1:73" x14ac:dyDescent="0.25">
      <c r="A5">
        <v>2006</v>
      </c>
      <c r="B5">
        <v>124</v>
      </c>
      <c r="C5">
        <v>0</v>
      </c>
      <c r="D5" s="7">
        <v>12.799999999999999</v>
      </c>
      <c r="E5" s="7">
        <v>30.506166666666669</v>
      </c>
      <c r="F5" s="7">
        <v>0</v>
      </c>
      <c r="G5" s="7">
        <v>12.36</v>
      </c>
      <c r="H5" s="7">
        <v>8.23</v>
      </c>
      <c r="I5" s="7">
        <v>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35"/>
      <c r="W5" s="29"/>
      <c r="X5" s="31"/>
      <c r="Y5" s="26"/>
      <c r="Z5" s="36"/>
    </row>
    <row r="6" spans="1:73" x14ac:dyDescent="0.25">
      <c r="A6">
        <v>2006</v>
      </c>
      <c r="B6">
        <v>125</v>
      </c>
      <c r="C6">
        <v>0</v>
      </c>
      <c r="D6" s="7">
        <v>0</v>
      </c>
      <c r="E6" s="7">
        <v>274.18625000000003</v>
      </c>
      <c r="F6" s="7">
        <v>0</v>
      </c>
      <c r="G6" s="7">
        <v>14.45</v>
      </c>
      <c r="H6" s="7">
        <v>4.7149999999999999</v>
      </c>
      <c r="I6" s="7">
        <v>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35"/>
      <c r="W6" s="29"/>
      <c r="X6" s="31"/>
      <c r="Y6" s="26"/>
      <c r="Z6" s="36"/>
    </row>
    <row r="7" spans="1:73" x14ac:dyDescent="0.25">
      <c r="A7">
        <v>2006</v>
      </c>
      <c r="B7">
        <v>126</v>
      </c>
      <c r="C7">
        <v>0</v>
      </c>
      <c r="D7" s="7">
        <v>0</v>
      </c>
      <c r="E7" s="7">
        <v>217.75887500000007</v>
      </c>
      <c r="F7" s="7">
        <v>0</v>
      </c>
      <c r="G7" s="7">
        <v>14.99</v>
      </c>
      <c r="H7" s="7">
        <v>8.32</v>
      </c>
      <c r="I7" s="7">
        <v>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35"/>
      <c r="W7" s="29"/>
      <c r="X7" s="31"/>
      <c r="Y7" s="26"/>
      <c r="Z7" s="36"/>
    </row>
    <row r="8" spans="1:73" x14ac:dyDescent="0.25">
      <c r="A8">
        <v>2006</v>
      </c>
      <c r="B8">
        <v>127</v>
      </c>
      <c r="C8">
        <v>0</v>
      </c>
      <c r="D8" s="7">
        <v>0</v>
      </c>
      <c r="E8" s="7">
        <v>273.510875</v>
      </c>
      <c r="F8" s="7">
        <v>0</v>
      </c>
      <c r="G8" s="7">
        <v>14.95</v>
      </c>
      <c r="H8" s="7">
        <v>5.8849999999999998</v>
      </c>
      <c r="I8" s="7">
        <v>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35"/>
      <c r="W8" s="29"/>
      <c r="X8" s="31"/>
      <c r="Y8" s="26"/>
      <c r="Z8" s="36"/>
    </row>
    <row r="9" spans="1:73" x14ac:dyDescent="0.25">
      <c r="A9">
        <v>2006</v>
      </c>
      <c r="B9">
        <v>128</v>
      </c>
      <c r="C9">
        <v>0</v>
      </c>
      <c r="D9" s="7">
        <v>9.4</v>
      </c>
      <c r="E9" s="7">
        <v>120.22891666666663</v>
      </c>
      <c r="F9" s="7">
        <v>0</v>
      </c>
      <c r="G9" s="7">
        <v>17.53</v>
      </c>
      <c r="H9" s="7">
        <v>9.1999999999999993</v>
      </c>
      <c r="I9" s="7">
        <v>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35"/>
      <c r="W9" s="29"/>
      <c r="X9" s="31"/>
      <c r="Y9" s="26"/>
      <c r="Z9" s="36"/>
    </row>
    <row r="10" spans="1:73" x14ac:dyDescent="0.25">
      <c r="A10">
        <v>2006</v>
      </c>
      <c r="B10">
        <v>129</v>
      </c>
      <c r="C10">
        <v>0</v>
      </c>
      <c r="D10" s="7">
        <v>0.2</v>
      </c>
      <c r="E10" s="7">
        <v>234.52854166666665</v>
      </c>
      <c r="F10" s="7">
        <v>0</v>
      </c>
      <c r="G10" s="7">
        <v>18.34</v>
      </c>
      <c r="H10" s="7">
        <v>8.56</v>
      </c>
      <c r="I10" s="7"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35"/>
      <c r="W10" s="29"/>
      <c r="X10" s="31"/>
      <c r="Y10" s="26"/>
      <c r="Z10" s="36"/>
    </row>
    <row r="11" spans="1:73" x14ac:dyDescent="0.25">
      <c r="A11">
        <v>2006</v>
      </c>
      <c r="B11">
        <v>130</v>
      </c>
      <c r="C11">
        <v>0</v>
      </c>
      <c r="D11" s="7">
        <v>0</v>
      </c>
      <c r="E11" s="7">
        <v>278.28179166666672</v>
      </c>
      <c r="F11" s="7">
        <v>0</v>
      </c>
      <c r="G11" s="7">
        <v>19.670000000000002</v>
      </c>
      <c r="H11" s="7">
        <v>6.0620000000000003</v>
      </c>
      <c r="I11" s="7">
        <v>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35"/>
      <c r="W11" s="29"/>
      <c r="X11" s="31"/>
      <c r="Y11" s="26"/>
      <c r="Z11" s="36"/>
    </row>
    <row r="12" spans="1:73" x14ac:dyDescent="0.25">
      <c r="A12">
        <v>2006</v>
      </c>
      <c r="B12">
        <v>131</v>
      </c>
      <c r="C12">
        <v>0</v>
      </c>
      <c r="D12" s="7">
        <v>0</v>
      </c>
      <c r="E12" s="7">
        <v>250.22929166666674</v>
      </c>
      <c r="F12" s="7">
        <v>0</v>
      </c>
      <c r="G12" s="7">
        <v>21.34</v>
      </c>
      <c r="H12" s="7">
        <v>4.282</v>
      </c>
      <c r="I12" s="7">
        <v>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35"/>
      <c r="W12" s="29"/>
      <c r="X12" s="31"/>
      <c r="Y12" s="26"/>
      <c r="Z12" s="36"/>
    </row>
    <row r="13" spans="1:73" x14ac:dyDescent="0.25">
      <c r="A13">
        <v>2006</v>
      </c>
      <c r="B13">
        <v>132</v>
      </c>
      <c r="C13">
        <v>0</v>
      </c>
      <c r="D13" s="7">
        <v>1.7999999999999998</v>
      </c>
      <c r="E13" s="7">
        <v>165.30487499999995</v>
      </c>
      <c r="F13" s="7">
        <v>0</v>
      </c>
      <c r="G13" s="7">
        <v>17.399999999999999</v>
      </c>
      <c r="H13" s="7">
        <v>5.899</v>
      </c>
      <c r="I13" s="7">
        <v>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35"/>
      <c r="W13" s="29"/>
      <c r="X13" s="31"/>
      <c r="Y13" s="26"/>
      <c r="Z13" s="36"/>
    </row>
    <row r="14" spans="1:73" x14ac:dyDescent="0.25">
      <c r="A14">
        <v>2006</v>
      </c>
      <c r="B14">
        <v>133</v>
      </c>
      <c r="C14">
        <v>0</v>
      </c>
      <c r="D14" s="7">
        <v>0</v>
      </c>
      <c r="E14" s="7">
        <v>241.08025000000001</v>
      </c>
      <c r="F14" s="7">
        <v>0</v>
      </c>
      <c r="G14" s="7">
        <v>13.56</v>
      </c>
      <c r="H14" s="7">
        <v>3.4340000000000002</v>
      </c>
      <c r="I14" s="7">
        <v>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35"/>
      <c r="W14" s="29"/>
      <c r="X14" s="31"/>
      <c r="Y14" s="26"/>
      <c r="Z14" s="36"/>
    </row>
    <row r="15" spans="1:73" x14ac:dyDescent="0.25">
      <c r="A15">
        <v>2006</v>
      </c>
      <c r="B15">
        <v>134</v>
      </c>
      <c r="C15">
        <v>0</v>
      </c>
      <c r="D15" s="7">
        <v>6.6000000000000005</v>
      </c>
      <c r="E15" s="7">
        <v>81.753458333333313</v>
      </c>
      <c r="F15" s="7">
        <v>0</v>
      </c>
      <c r="G15" s="7">
        <v>10.65</v>
      </c>
      <c r="H15" s="7">
        <v>7.09</v>
      </c>
      <c r="I15" s="7">
        <v>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35"/>
      <c r="W15" s="29"/>
      <c r="X15" s="31"/>
      <c r="Y15" s="26"/>
      <c r="Z15" s="36"/>
    </row>
    <row r="16" spans="1:73" x14ac:dyDescent="0.25">
      <c r="A16">
        <v>2006</v>
      </c>
      <c r="B16">
        <v>135</v>
      </c>
      <c r="C16">
        <v>0</v>
      </c>
      <c r="D16" s="7">
        <v>5.6000000000000005</v>
      </c>
      <c r="E16" s="7">
        <v>78.143916666666669</v>
      </c>
      <c r="F16" s="7">
        <v>0</v>
      </c>
      <c r="G16" s="7">
        <v>12.18</v>
      </c>
      <c r="H16" s="7">
        <v>10.31</v>
      </c>
      <c r="I16" s="7">
        <v>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35"/>
      <c r="W16" s="29"/>
      <c r="X16" s="31"/>
      <c r="Y16" s="26"/>
      <c r="Z16" s="36"/>
    </row>
    <row r="17" spans="1:26" x14ac:dyDescent="0.25">
      <c r="A17">
        <v>2006</v>
      </c>
      <c r="B17">
        <v>136</v>
      </c>
      <c r="C17">
        <v>0</v>
      </c>
      <c r="D17" s="7">
        <v>7.2000000000000011</v>
      </c>
      <c r="E17" s="7">
        <v>146.39383333333333</v>
      </c>
      <c r="F17" s="7">
        <v>0</v>
      </c>
      <c r="G17" s="7">
        <v>16.329999999999998</v>
      </c>
      <c r="H17" s="7">
        <v>8.2200000000000006</v>
      </c>
      <c r="I17" s="7">
        <v>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35"/>
      <c r="W17" s="29"/>
      <c r="X17" s="31"/>
      <c r="Y17" s="26"/>
      <c r="Z17" s="36"/>
    </row>
    <row r="18" spans="1:26" x14ac:dyDescent="0.25">
      <c r="A18">
        <v>2006</v>
      </c>
      <c r="B18">
        <v>137</v>
      </c>
      <c r="C18">
        <v>0</v>
      </c>
      <c r="D18" s="7">
        <v>7.6000000000000005</v>
      </c>
      <c r="E18" s="7">
        <v>76.721208333333337</v>
      </c>
      <c r="F18" s="7">
        <v>0</v>
      </c>
      <c r="G18" s="7">
        <v>13.94</v>
      </c>
      <c r="H18" s="7">
        <v>10.39</v>
      </c>
      <c r="I18" s="7"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35"/>
      <c r="W18" s="29"/>
      <c r="X18" s="31"/>
      <c r="Y18" s="26"/>
      <c r="Z18" s="36"/>
    </row>
    <row r="19" spans="1:26" x14ac:dyDescent="0.25">
      <c r="A19">
        <v>2006</v>
      </c>
      <c r="B19">
        <v>138</v>
      </c>
      <c r="C19">
        <v>0</v>
      </c>
      <c r="D19" s="7">
        <v>1.2000000000000002</v>
      </c>
      <c r="E19" s="7">
        <v>208.83874999999998</v>
      </c>
      <c r="F19" s="7">
        <v>0</v>
      </c>
      <c r="G19" s="7">
        <v>15.77</v>
      </c>
      <c r="H19" s="7">
        <v>9.39</v>
      </c>
      <c r="I19" s="7">
        <v>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35"/>
      <c r="W19" s="29"/>
      <c r="X19" s="31"/>
      <c r="Y19" s="26"/>
      <c r="Z19" s="36"/>
    </row>
    <row r="20" spans="1:26" x14ac:dyDescent="0.25">
      <c r="A20">
        <v>2006</v>
      </c>
      <c r="B20">
        <v>139</v>
      </c>
      <c r="C20">
        <v>0</v>
      </c>
      <c r="D20" s="7">
        <v>3.0000000000000004</v>
      </c>
      <c r="E20" s="7">
        <v>137.8079166666667</v>
      </c>
      <c r="F20" s="7">
        <v>0</v>
      </c>
      <c r="G20" s="7">
        <v>14.67</v>
      </c>
      <c r="H20" s="7">
        <v>9.5500000000000007</v>
      </c>
      <c r="I20" s="7"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35"/>
      <c r="W20" s="29"/>
      <c r="X20" s="31"/>
      <c r="Y20" s="26"/>
      <c r="Z20" s="36"/>
    </row>
    <row r="21" spans="1:26" x14ac:dyDescent="0.25">
      <c r="A21">
        <v>2006</v>
      </c>
      <c r="B21">
        <v>140</v>
      </c>
      <c r="C21">
        <v>0</v>
      </c>
      <c r="D21" s="7">
        <v>3</v>
      </c>
      <c r="E21" s="7">
        <v>142.93362500000003</v>
      </c>
      <c r="F21" s="7">
        <v>0</v>
      </c>
      <c r="G21" s="7">
        <v>11.4</v>
      </c>
      <c r="H21" s="7">
        <v>3.1960000000000002</v>
      </c>
      <c r="I21" s="7"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35"/>
      <c r="W21" s="29"/>
      <c r="X21" s="31"/>
      <c r="Y21" s="26"/>
      <c r="Z21" s="36"/>
    </row>
    <row r="22" spans="1:26" x14ac:dyDescent="0.25">
      <c r="A22">
        <v>2006</v>
      </c>
      <c r="B22">
        <v>141</v>
      </c>
      <c r="C22">
        <v>0</v>
      </c>
      <c r="D22" s="7">
        <v>7.6</v>
      </c>
      <c r="E22" s="7">
        <v>88.032291666666666</v>
      </c>
      <c r="F22" s="7">
        <v>0</v>
      </c>
      <c r="G22" s="7">
        <v>9.18</v>
      </c>
      <c r="H22" s="7">
        <v>0.33100000000000002</v>
      </c>
      <c r="I22" s="7">
        <v>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35"/>
      <c r="W22" s="29"/>
      <c r="X22" s="31"/>
      <c r="Y22" s="26"/>
      <c r="Z22" s="36"/>
    </row>
    <row r="23" spans="1:26" x14ac:dyDescent="0.25">
      <c r="A23">
        <v>2006</v>
      </c>
      <c r="B23">
        <v>142</v>
      </c>
      <c r="C23">
        <v>0</v>
      </c>
      <c r="D23" s="7">
        <v>0.60000000000000009</v>
      </c>
      <c r="E23" s="7">
        <v>158.50641666666667</v>
      </c>
      <c r="F23" s="7">
        <v>0</v>
      </c>
      <c r="G23" s="7">
        <v>10.06</v>
      </c>
      <c r="H23" s="7">
        <v>1.74</v>
      </c>
      <c r="I23" s="7">
        <v>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35"/>
      <c r="W23" s="29"/>
      <c r="X23" s="31"/>
      <c r="Y23" s="26"/>
      <c r="Z23" s="36"/>
    </row>
    <row r="24" spans="1:26" x14ac:dyDescent="0.25">
      <c r="A24">
        <v>2006</v>
      </c>
      <c r="B24">
        <v>143</v>
      </c>
      <c r="C24">
        <v>0</v>
      </c>
      <c r="D24" s="7">
        <v>5.8000000000000007</v>
      </c>
      <c r="E24" s="7">
        <v>192.62549999999996</v>
      </c>
      <c r="F24" s="7">
        <v>0</v>
      </c>
      <c r="G24" s="7">
        <v>11.61</v>
      </c>
      <c r="H24" s="7">
        <v>2.008</v>
      </c>
      <c r="I24" s="7">
        <v>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35"/>
      <c r="W24" s="29"/>
      <c r="X24" s="31"/>
      <c r="Y24" s="26"/>
      <c r="Z24" s="36"/>
    </row>
    <row r="25" spans="1:26" x14ac:dyDescent="0.25">
      <c r="A25">
        <v>2006</v>
      </c>
      <c r="B25">
        <v>144</v>
      </c>
      <c r="C25">
        <v>0</v>
      </c>
      <c r="D25" s="7">
        <v>1.2</v>
      </c>
      <c r="E25" s="7">
        <v>227.96545833333332</v>
      </c>
      <c r="F25" s="7">
        <v>0</v>
      </c>
      <c r="G25" s="7">
        <v>12.02</v>
      </c>
      <c r="H25" s="7">
        <v>4.4109999999999996</v>
      </c>
      <c r="I25" s="7">
        <v>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35"/>
      <c r="W25" s="29"/>
      <c r="X25" s="31"/>
      <c r="Y25" s="26"/>
      <c r="Z25" s="36"/>
    </row>
    <row r="26" spans="1:26" x14ac:dyDescent="0.25">
      <c r="A26">
        <v>2006</v>
      </c>
      <c r="B26">
        <v>145</v>
      </c>
      <c r="C26">
        <v>0</v>
      </c>
      <c r="D26" s="7">
        <v>0.2</v>
      </c>
      <c r="E26" s="7">
        <v>272.14875000000001</v>
      </c>
      <c r="F26" s="7">
        <v>0</v>
      </c>
      <c r="G26" s="7">
        <v>15.1</v>
      </c>
      <c r="H26" s="7">
        <v>1.2569999999999999</v>
      </c>
      <c r="I26" s="7"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35"/>
      <c r="W26" s="26"/>
      <c r="X26" s="31"/>
      <c r="Y26" s="26"/>
      <c r="Z26" s="36"/>
    </row>
    <row r="27" spans="1:26" x14ac:dyDescent="0.25">
      <c r="A27">
        <v>2006</v>
      </c>
      <c r="B27">
        <v>146</v>
      </c>
      <c r="C27">
        <v>0</v>
      </c>
      <c r="D27" s="7">
        <v>7.2</v>
      </c>
      <c r="E27" s="7">
        <v>197.87637500000005</v>
      </c>
      <c r="F27" s="7">
        <v>0</v>
      </c>
      <c r="G27" s="7">
        <v>17.72</v>
      </c>
      <c r="H27" s="7">
        <v>9.77</v>
      </c>
      <c r="I27" s="7">
        <v>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35"/>
      <c r="W27" s="35"/>
      <c r="X27" s="31"/>
      <c r="Y27" s="26"/>
      <c r="Z27" s="36"/>
    </row>
    <row r="28" spans="1:26" x14ac:dyDescent="0.25">
      <c r="A28">
        <v>2006</v>
      </c>
      <c r="B28">
        <v>147</v>
      </c>
      <c r="C28">
        <v>0</v>
      </c>
      <c r="D28" s="7">
        <v>4.6000000000000005</v>
      </c>
      <c r="E28" s="7">
        <v>199.40933333333336</v>
      </c>
      <c r="F28" s="7">
        <v>0</v>
      </c>
      <c r="G28" s="7">
        <v>16.29</v>
      </c>
      <c r="H28" s="7">
        <v>9.64</v>
      </c>
      <c r="I28" s="7">
        <v>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35"/>
      <c r="W28" s="35"/>
      <c r="X28" s="31"/>
      <c r="Y28" s="26"/>
      <c r="Z28" s="36"/>
    </row>
    <row r="29" spans="1:26" x14ac:dyDescent="0.25">
      <c r="A29">
        <v>2006</v>
      </c>
      <c r="B29">
        <v>148</v>
      </c>
      <c r="C29">
        <v>0</v>
      </c>
      <c r="D29" s="7">
        <v>0</v>
      </c>
      <c r="E29" s="7">
        <v>204.84520833333332</v>
      </c>
      <c r="F29" s="7">
        <v>0</v>
      </c>
      <c r="G29" s="7">
        <v>14.65</v>
      </c>
      <c r="H29" s="7">
        <v>7.4</v>
      </c>
      <c r="I29" s="7">
        <v>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35"/>
      <c r="W29" s="35"/>
      <c r="X29" s="31"/>
      <c r="Y29" s="26"/>
      <c r="Z29" s="36"/>
    </row>
    <row r="30" spans="1:26" x14ac:dyDescent="0.25">
      <c r="A30">
        <v>2006</v>
      </c>
      <c r="B30">
        <v>149</v>
      </c>
      <c r="C30">
        <v>0</v>
      </c>
      <c r="D30" s="7">
        <v>0</v>
      </c>
      <c r="E30" s="7">
        <v>245.15579166666669</v>
      </c>
      <c r="F30" s="7">
        <v>0</v>
      </c>
      <c r="G30" s="7">
        <v>12.75</v>
      </c>
      <c r="H30" s="7">
        <v>5.51</v>
      </c>
      <c r="I30" s="7">
        <v>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35"/>
      <c r="W30" s="35"/>
      <c r="X30" s="31"/>
      <c r="Y30" s="26"/>
      <c r="Z30" s="36"/>
    </row>
    <row r="31" spans="1:26" x14ac:dyDescent="0.25">
      <c r="A31">
        <v>2006</v>
      </c>
      <c r="B31">
        <v>150</v>
      </c>
      <c r="C31">
        <v>0</v>
      </c>
      <c r="D31" s="7">
        <v>0</v>
      </c>
      <c r="E31" s="7">
        <v>332.5972083333333</v>
      </c>
      <c r="F31" s="7">
        <v>0</v>
      </c>
      <c r="G31" s="7">
        <v>12.38</v>
      </c>
      <c r="H31" s="7">
        <v>5.9219999999999997</v>
      </c>
      <c r="I31" s="7">
        <v>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35"/>
      <c r="W31" s="35"/>
      <c r="X31" s="31"/>
      <c r="Y31" s="26"/>
      <c r="Z31" s="36"/>
    </row>
    <row r="32" spans="1:26" x14ac:dyDescent="0.25">
      <c r="A32">
        <v>2006</v>
      </c>
      <c r="B32">
        <v>151</v>
      </c>
      <c r="C32">
        <v>0</v>
      </c>
      <c r="D32" s="7">
        <v>0</v>
      </c>
      <c r="E32" s="7">
        <v>290.89858333333331</v>
      </c>
      <c r="F32" s="7">
        <v>0</v>
      </c>
      <c r="G32" s="7">
        <v>15.81</v>
      </c>
      <c r="H32" s="7">
        <v>1.411</v>
      </c>
      <c r="I32" s="7">
        <v>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35"/>
      <c r="W32" s="35"/>
      <c r="X32" s="31"/>
      <c r="Y32" s="26"/>
      <c r="Z32" s="36"/>
    </row>
    <row r="33" spans="1:26" x14ac:dyDescent="0.25">
      <c r="A33">
        <v>2006</v>
      </c>
      <c r="B33">
        <v>152</v>
      </c>
      <c r="C33">
        <v>0</v>
      </c>
      <c r="D33" s="7">
        <v>0</v>
      </c>
      <c r="E33" s="7">
        <v>267.57704166666662</v>
      </c>
      <c r="F33" s="7">
        <v>0</v>
      </c>
      <c r="G33" s="7">
        <v>18.47</v>
      </c>
      <c r="H33" s="7">
        <v>6.4359999999999999</v>
      </c>
      <c r="I33" s="7">
        <v>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35"/>
      <c r="W33" s="35"/>
      <c r="X33" s="31"/>
      <c r="Y33" s="26"/>
      <c r="Z33" s="36"/>
    </row>
    <row r="34" spans="1:26" x14ac:dyDescent="0.25">
      <c r="A34">
        <v>2006</v>
      </c>
      <c r="B34">
        <v>153</v>
      </c>
      <c r="C34">
        <v>0</v>
      </c>
      <c r="D34" s="7">
        <v>0</v>
      </c>
      <c r="E34" s="7">
        <v>331.931625</v>
      </c>
      <c r="F34" s="7">
        <v>0</v>
      </c>
      <c r="G34" s="7">
        <v>20.66</v>
      </c>
      <c r="H34" s="7">
        <v>6.2709999999999999</v>
      </c>
      <c r="I34" s="7">
        <v>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35"/>
      <c r="W34" s="35"/>
      <c r="X34" s="31"/>
      <c r="Y34" s="26"/>
      <c r="Z34" s="36"/>
    </row>
    <row r="35" spans="1:26" x14ac:dyDescent="0.25">
      <c r="A35">
        <v>2006</v>
      </c>
      <c r="B35">
        <v>154</v>
      </c>
      <c r="C35">
        <v>0</v>
      </c>
      <c r="D35" s="7">
        <v>0</v>
      </c>
      <c r="E35" s="7">
        <v>323.48291666666665</v>
      </c>
      <c r="F35" s="7">
        <v>0</v>
      </c>
      <c r="G35" s="7">
        <v>22</v>
      </c>
      <c r="H35" s="7">
        <v>3.69</v>
      </c>
      <c r="I35" s="7">
        <v>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35"/>
      <c r="W35" s="35"/>
      <c r="X35" s="31"/>
      <c r="Y35" s="26"/>
      <c r="Z35" s="36"/>
    </row>
    <row r="36" spans="1:26" x14ac:dyDescent="0.25">
      <c r="A36">
        <v>2006</v>
      </c>
      <c r="B36">
        <v>155</v>
      </c>
      <c r="C36">
        <v>0</v>
      </c>
      <c r="D36" s="7">
        <v>0</v>
      </c>
      <c r="E36" s="7">
        <v>210.77691666666661</v>
      </c>
      <c r="F36" s="7">
        <v>0</v>
      </c>
      <c r="G36" s="7">
        <v>18.489999999999998</v>
      </c>
      <c r="H36" s="7">
        <v>10.14</v>
      </c>
      <c r="I36" s="7">
        <v>0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35"/>
      <c r="W36" s="35"/>
      <c r="X36" s="31"/>
      <c r="Y36" s="26"/>
      <c r="Z36" s="36"/>
    </row>
    <row r="37" spans="1:26" x14ac:dyDescent="0.25">
      <c r="A37">
        <v>2006</v>
      </c>
      <c r="B37">
        <v>156</v>
      </c>
      <c r="C37">
        <v>0</v>
      </c>
      <c r="D37" s="7">
        <v>0</v>
      </c>
      <c r="E37" s="7">
        <v>252.62516666666662</v>
      </c>
      <c r="F37" s="7">
        <v>0</v>
      </c>
      <c r="G37" s="7">
        <v>22</v>
      </c>
      <c r="H37" s="7">
        <v>7.08</v>
      </c>
      <c r="I37" s="7">
        <v>0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35"/>
      <c r="W37" s="35"/>
      <c r="X37" s="31"/>
      <c r="Y37" s="26"/>
      <c r="Z37" s="36"/>
    </row>
    <row r="38" spans="1:26" x14ac:dyDescent="0.25">
      <c r="A38">
        <v>2006</v>
      </c>
      <c r="B38">
        <v>157</v>
      </c>
      <c r="C38">
        <v>0</v>
      </c>
      <c r="D38" s="7">
        <v>1.4</v>
      </c>
      <c r="E38" s="7">
        <v>289.94062499999995</v>
      </c>
      <c r="F38" s="7">
        <v>0</v>
      </c>
      <c r="G38" s="7">
        <v>25.82</v>
      </c>
      <c r="H38" s="7">
        <v>7.8</v>
      </c>
      <c r="I38" s="7">
        <v>0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35"/>
      <c r="W38" s="35"/>
      <c r="X38" s="31"/>
      <c r="Y38" s="26"/>
      <c r="Z38" s="36"/>
    </row>
    <row r="39" spans="1:26" x14ac:dyDescent="0.25">
      <c r="A39">
        <v>2006</v>
      </c>
      <c r="B39">
        <v>158</v>
      </c>
      <c r="C39">
        <v>0</v>
      </c>
      <c r="D39" s="7">
        <v>0</v>
      </c>
      <c r="E39" s="7">
        <v>186.22937499999998</v>
      </c>
      <c r="F39" s="7">
        <v>0</v>
      </c>
      <c r="G39" s="7">
        <v>20.78</v>
      </c>
      <c r="H39" s="7">
        <v>9.83</v>
      </c>
      <c r="I39" s="7">
        <v>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35"/>
      <c r="W39" s="35"/>
      <c r="X39" s="31"/>
      <c r="Y39" s="26"/>
      <c r="Z39" s="36"/>
    </row>
    <row r="40" spans="1:26" x14ac:dyDescent="0.25">
      <c r="A40">
        <v>2006</v>
      </c>
      <c r="B40">
        <v>159</v>
      </c>
      <c r="C40">
        <v>0</v>
      </c>
      <c r="D40" s="7">
        <v>0</v>
      </c>
      <c r="E40" s="7">
        <v>303.17866666666674</v>
      </c>
      <c r="F40" s="7">
        <v>0</v>
      </c>
      <c r="G40" s="7">
        <v>24.75</v>
      </c>
      <c r="H40" s="7">
        <v>7.63</v>
      </c>
      <c r="I40" s="7">
        <v>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35"/>
      <c r="W40" s="35"/>
      <c r="X40" s="31"/>
      <c r="Y40" s="26"/>
      <c r="Z40" s="36"/>
    </row>
    <row r="41" spans="1:26" x14ac:dyDescent="0.25">
      <c r="A41">
        <v>2006</v>
      </c>
      <c r="B41">
        <v>160</v>
      </c>
      <c r="C41">
        <v>0</v>
      </c>
      <c r="D41" s="7">
        <v>0</v>
      </c>
      <c r="E41" s="7">
        <v>323.39245833333331</v>
      </c>
      <c r="F41" s="7">
        <v>0</v>
      </c>
      <c r="G41" s="7">
        <v>23.19</v>
      </c>
      <c r="H41" s="7">
        <v>11.47</v>
      </c>
      <c r="I41" s="7">
        <v>0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35"/>
      <c r="W41" s="35"/>
      <c r="X41" s="31"/>
      <c r="Y41" s="26"/>
      <c r="Z41" s="36"/>
    </row>
    <row r="42" spans="1:26" x14ac:dyDescent="0.25">
      <c r="A42">
        <v>2006</v>
      </c>
      <c r="B42">
        <v>161</v>
      </c>
      <c r="C42">
        <v>0</v>
      </c>
      <c r="D42" s="7">
        <v>0.60000000000000009</v>
      </c>
      <c r="E42" s="7">
        <v>178.01270833333334</v>
      </c>
      <c r="F42" s="7">
        <v>0</v>
      </c>
      <c r="G42" s="7">
        <v>21.19</v>
      </c>
      <c r="H42" s="7">
        <v>14.79</v>
      </c>
      <c r="I42" s="7">
        <v>0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35"/>
      <c r="W42" s="35"/>
      <c r="X42" s="31"/>
      <c r="Y42" s="26"/>
      <c r="Z42" s="36"/>
    </row>
    <row r="43" spans="1:26" x14ac:dyDescent="0.25">
      <c r="A43">
        <v>2006</v>
      </c>
      <c r="B43">
        <v>162</v>
      </c>
      <c r="C43">
        <v>0</v>
      </c>
      <c r="D43" s="7">
        <v>0</v>
      </c>
      <c r="E43" s="7">
        <v>338.93212499999998</v>
      </c>
      <c r="F43" s="7">
        <v>0</v>
      </c>
      <c r="G43" s="7">
        <v>20.36</v>
      </c>
      <c r="H43" s="7">
        <v>13.27</v>
      </c>
      <c r="I43" s="7">
        <v>0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35"/>
      <c r="W43" s="35"/>
      <c r="X43" s="31"/>
      <c r="Y43" s="26"/>
      <c r="Z43" s="36"/>
    </row>
    <row r="44" spans="1:26" x14ac:dyDescent="0.25">
      <c r="A44">
        <v>2006</v>
      </c>
      <c r="B44">
        <v>163</v>
      </c>
      <c r="C44">
        <v>0</v>
      </c>
      <c r="D44" s="7">
        <v>0.8</v>
      </c>
      <c r="E44" s="7">
        <v>237.50816666666665</v>
      </c>
      <c r="F44" s="7">
        <v>0</v>
      </c>
      <c r="G44" s="7">
        <v>20.52</v>
      </c>
      <c r="H44" s="7">
        <v>11.92</v>
      </c>
      <c r="I44" s="7">
        <v>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35"/>
      <c r="W44" s="35"/>
      <c r="X44" s="31"/>
      <c r="Y44" s="26"/>
      <c r="Z44" s="36"/>
    </row>
    <row r="45" spans="1:26" x14ac:dyDescent="0.25">
      <c r="A45">
        <v>2006</v>
      </c>
      <c r="B45">
        <v>164</v>
      </c>
      <c r="C45">
        <v>0</v>
      </c>
      <c r="D45" s="7">
        <v>0</v>
      </c>
      <c r="E45" s="7">
        <v>230.88583333333335</v>
      </c>
      <c r="F45" s="7">
        <v>0</v>
      </c>
      <c r="G45" s="7">
        <v>16.97</v>
      </c>
      <c r="H45" s="7">
        <v>10.89</v>
      </c>
      <c r="I45" s="7">
        <v>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35"/>
      <c r="W45" s="35"/>
      <c r="X45" s="31"/>
      <c r="Y45" s="26"/>
      <c r="Z45" s="36"/>
    </row>
    <row r="46" spans="1:26" x14ac:dyDescent="0.25">
      <c r="A46">
        <v>2006</v>
      </c>
      <c r="B46">
        <v>165</v>
      </c>
      <c r="C46">
        <v>0</v>
      </c>
      <c r="D46" s="7">
        <v>0</v>
      </c>
      <c r="E46" s="7">
        <v>193.40829166666666</v>
      </c>
      <c r="F46" s="7">
        <v>0</v>
      </c>
      <c r="G46" s="7">
        <v>17.68</v>
      </c>
      <c r="H46" s="7">
        <v>5.1890000000000001</v>
      </c>
      <c r="I46" s="7">
        <v>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35"/>
      <c r="W46" s="35"/>
      <c r="X46" s="31"/>
      <c r="Y46" s="26"/>
      <c r="Z46" s="36"/>
    </row>
    <row r="47" spans="1:26" x14ac:dyDescent="0.25">
      <c r="A47">
        <v>2006</v>
      </c>
      <c r="B47">
        <v>166</v>
      </c>
      <c r="C47">
        <v>0</v>
      </c>
      <c r="D47" s="7">
        <v>0</v>
      </c>
      <c r="E47" s="7">
        <v>189.36695833333337</v>
      </c>
      <c r="F47" s="7">
        <v>0</v>
      </c>
      <c r="G47" s="7">
        <v>19.600000000000001</v>
      </c>
      <c r="H47" s="7">
        <v>3.492</v>
      </c>
      <c r="I47" s="7">
        <v>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35"/>
      <c r="W47" s="35"/>
      <c r="X47" s="31"/>
      <c r="Y47" s="26"/>
      <c r="Z47" s="36"/>
    </row>
    <row r="48" spans="1:26" x14ac:dyDescent="0.25">
      <c r="A48">
        <v>2006</v>
      </c>
      <c r="B48">
        <v>167</v>
      </c>
      <c r="C48">
        <v>0</v>
      </c>
      <c r="D48" s="7">
        <v>1.8</v>
      </c>
      <c r="E48" s="7">
        <v>102.236</v>
      </c>
      <c r="F48" s="7">
        <v>0</v>
      </c>
      <c r="G48" s="7">
        <v>17.010000000000002</v>
      </c>
      <c r="H48" s="7">
        <v>13.14</v>
      </c>
      <c r="I48" s="7">
        <v>0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35"/>
      <c r="W48" s="35"/>
      <c r="X48" s="31"/>
      <c r="Y48" s="26"/>
      <c r="Z48" s="36"/>
    </row>
    <row r="49" spans="1:26" x14ac:dyDescent="0.25">
      <c r="A49">
        <v>2006</v>
      </c>
      <c r="B49">
        <v>168</v>
      </c>
      <c r="C49">
        <v>0</v>
      </c>
      <c r="D49" s="7">
        <v>0.2</v>
      </c>
      <c r="E49" s="7">
        <v>165.53383333333332</v>
      </c>
      <c r="F49" s="7">
        <v>0</v>
      </c>
      <c r="G49" s="7">
        <v>20.5</v>
      </c>
      <c r="H49" s="7">
        <v>12.84</v>
      </c>
      <c r="I49" s="7">
        <v>0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35"/>
      <c r="W49" s="35"/>
      <c r="X49" s="31"/>
      <c r="Y49" s="26"/>
      <c r="Z49" s="36"/>
    </row>
    <row r="50" spans="1:26" x14ac:dyDescent="0.25">
      <c r="A50">
        <v>2006</v>
      </c>
      <c r="B50">
        <v>169</v>
      </c>
      <c r="C50">
        <v>0</v>
      </c>
      <c r="D50" s="7">
        <v>0</v>
      </c>
      <c r="E50" s="7">
        <v>87.557624999999973</v>
      </c>
      <c r="F50" s="7">
        <v>0</v>
      </c>
      <c r="G50" s="7">
        <v>16.75</v>
      </c>
      <c r="H50" s="7">
        <v>12.68</v>
      </c>
      <c r="I50" s="7">
        <v>0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35"/>
      <c r="W50" s="35"/>
      <c r="X50" s="31"/>
      <c r="Y50" s="26"/>
      <c r="Z50" s="36"/>
    </row>
    <row r="51" spans="1:26" x14ac:dyDescent="0.25">
      <c r="A51">
        <v>2006</v>
      </c>
      <c r="B51">
        <v>170</v>
      </c>
      <c r="C51">
        <v>0</v>
      </c>
      <c r="D51" s="7">
        <v>0</v>
      </c>
      <c r="E51" s="7">
        <v>152.04516666666669</v>
      </c>
      <c r="F51" s="7">
        <v>0</v>
      </c>
      <c r="G51" s="7">
        <v>15.62</v>
      </c>
      <c r="H51" s="7">
        <v>11.84</v>
      </c>
      <c r="I51" s="7">
        <v>0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35"/>
      <c r="W51" s="35"/>
      <c r="X51" s="31"/>
      <c r="Y51" s="26"/>
      <c r="Z51" s="36"/>
    </row>
    <row r="52" spans="1:26" x14ac:dyDescent="0.25">
      <c r="A52">
        <v>2006</v>
      </c>
      <c r="B52">
        <v>171</v>
      </c>
      <c r="C52">
        <v>0</v>
      </c>
      <c r="D52" s="7">
        <v>0</v>
      </c>
      <c r="E52" s="7">
        <v>112.96208333333335</v>
      </c>
      <c r="F52" s="7">
        <v>0</v>
      </c>
      <c r="G52" s="7">
        <v>14.82</v>
      </c>
      <c r="H52" s="7">
        <v>9.94</v>
      </c>
      <c r="I52" s="7">
        <v>0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35"/>
      <c r="W52" s="35"/>
      <c r="X52" s="31"/>
      <c r="Y52" s="26"/>
      <c r="Z52" s="36"/>
    </row>
    <row r="53" spans="1:26" x14ac:dyDescent="0.25">
      <c r="A53">
        <v>2006</v>
      </c>
      <c r="B53">
        <v>172</v>
      </c>
      <c r="C53">
        <v>0</v>
      </c>
      <c r="D53" s="7">
        <v>15.200000000000001</v>
      </c>
      <c r="E53" s="7">
        <v>196.52741666666668</v>
      </c>
      <c r="F53" s="7">
        <v>0</v>
      </c>
      <c r="G53" s="7">
        <v>14.15</v>
      </c>
      <c r="H53" s="7">
        <v>9.42</v>
      </c>
      <c r="I53" s="7">
        <v>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35"/>
      <c r="W53" s="35"/>
      <c r="X53" s="31"/>
      <c r="Y53" s="26"/>
      <c r="Z53" s="36"/>
    </row>
    <row r="54" spans="1:26" x14ac:dyDescent="0.25">
      <c r="A54">
        <v>2006</v>
      </c>
      <c r="B54">
        <v>173</v>
      </c>
      <c r="C54">
        <v>0</v>
      </c>
      <c r="D54" s="7">
        <v>1</v>
      </c>
      <c r="E54" s="7">
        <v>84.376458333333346</v>
      </c>
      <c r="F54" s="7">
        <v>0</v>
      </c>
      <c r="G54" s="7">
        <v>13.26</v>
      </c>
      <c r="H54" s="7">
        <v>9.3000000000000007</v>
      </c>
      <c r="I54" s="7">
        <v>0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35"/>
      <c r="W54" s="35"/>
      <c r="X54" s="31"/>
      <c r="Y54" s="26"/>
      <c r="Z54" s="36"/>
    </row>
    <row r="55" spans="1:26" x14ac:dyDescent="0.25">
      <c r="A55">
        <v>2006</v>
      </c>
      <c r="B55">
        <v>174</v>
      </c>
      <c r="C55">
        <v>0</v>
      </c>
      <c r="D55" s="7">
        <v>0</v>
      </c>
      <c r="E55" s="7">
        <v>178.41570833333333</v>
      </c>
      <c r="F55" s="7">
        <v>0</v>
      </c>
      <c r="G55" s="7">
        <v>16.46</v>
      </c>
      <c r="H55" s="7">
        <v>8.8699999999999992</v>
      </c>
      <c r="I55" s="7">
        <v>0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35"/>
      <c r="W55" s="35"/>
      <c r="X55" s="31"/>
      <c r="Y55" s="26"/>
      <c r="Z55" s="36"/>
    </row>
    <row r="56" spans="1:26" x14ac:dyDescent="0.25">
      <c r="A56">
        <v>2006</v>
      </c>
      <c r="B56">
        <v>175</v>
      </c>
      <c r="C56">
        <v>0</v>
      </c>
      <c r="D56" s="7">
        <v>0</v>
      </c>
      <c r="E56" s="7">
        <v>183.36812499999999</v>
      </c>
      <c r="F56" s="7">
        <v>0</v>
      </c>
      <c r="G56" s="7">
        <v>17.43</v>
      </c>
      <c r="H56" s="7">
        <v>5.54</v>
      </c>
      <c r="I56" s="7">
        <v>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35"/>
      <c r="W56" s="35"/>
      <c r="X56" s="31"/>
      <c r="Y56" s="26"/>
      <c r="Z56" s="36"/>
    </row>
    <row r="57" spans="1:26" x14ac:dyDescent="0.25">
      <c r="A57">
        <v>2006</v>
      </c>
      <c r="B57">
        <v>176</v>
      </c>
      <c r="C57">
        <v>0</v>
      </c>
      <c r="D57" s="7">
        <v>0</v>
      </c>
      <c r="E57" s="7">
        <v>298.3617083333333</v>
      </c>
      <c r="F57" s="7">
        <v>0</v>
      </c>
      <c r="G57" s="7">
        <v>18.48</v>
      </c>
      <c r="H57" s="7">
        <v>4.2450000000000001</v>
      </c>
      <c r="I57" s="7">
        <v>0</v>
      </c>
      <c r="J57" s="7"/>
      <c r="K57" s="7"/>
      <c r="W57" s="35"/>
      <c r="X57" s="31"/>
      <c r="Y57" s="26"/>
      <c r="Z57" s="36"/>
    </row>
    <row r="58" spans="1:26" x14ac:dyDescent="0.25">
      <c r="A58">
        <v>2006</v>
      </c>
      <c r="B58">
        <v>177</v>
      </c>
      <c r="C58">
        <v>0</v>
      </c>
      <c r="D58" s="7">
        <v>0</v>
      </c>
      <c r="E58" s="7">
        <v>146.32004166666664</v>
      </c>
      <c r="F58" s="7">
        <v>0</v>
      </c>
      <c r="G58" s="7">
        <v>15.74</v>
      </c>
      <c r="H58" s="7">
        <v>8.7100000000000009</v>
      </c>
      <c r="I58" s="7">
        <v>0</v>
      </c>
      <c r="J58" s="7"/>
      <c r="K58" s="7"/>
      <c r="W58" s="35"/>
      <c r="X58" s="31"/>
      <c r="Y58" s="26"/>
      <c r="Z58" s="36"/>
    </row>
    <row r="59" spans="1:26" x14ac:dyDescent="0.25">
      <c r="A59">
        <v>2006</v>
      </c>
      <c r="B59">
        <v>178</v>
      </c>
      <c r="C59">
        <v>0</v>
      </c>
      <c r="D59" s="7">
        <v>0</v>
      </c>
      <c r="E59" s="7">
        <v>173.12100000000001</v>
      </c>
      <c r="F59" s="7">
        <v>0</v>
      </c>
      <c r="G59" s="7">
        <v>18.62</v>
      </c>
      <c r="H59" s="7">
        <v>6.907</v>
      </c>
      <c r="I59" s="7">
        <v>0</v>
      </c>
      <c r="J59" s="7"/>
      <c r="K59" s="7"/>
      <c r="W59" s="35"/>
      <c r="X59" s="31"/>
      <c r="Y59" s="26"/>
      <c r="Z59" s="36"/>
    </row>
    <row r="60" spans="1:26" x14ac:dyDescent="0.25">
      <c r="A60">
        <v>2006</v>
      </c>
      <c r="B60">
        <v>179</v>
      </c>
      <c r="C60">
        <v>0</v>
      </c>
      <c r="D60" s="7">
        <v>0</v>
      </c>
      <c r="E60" s="7">
        <v>224.86350000000002</v>
      </c>
      <c r="F60" s="7">
        <v>0</v>
      </c>
      <c r="G60" s="7">
        <v>18.84</v>
      </c>
      <c r="H60" s="7">
        <v>6.68</v>
      </c>
      <c r="I60" s="7">
        <v>0</v>
      </c>
      <c r="J60" s="7"/>
      <c r="K60" s="7"/>
      <c r="W60" s="35"/>
      <c r="X60" s="31"/>
      <c r="Y60" s="26"/>
      <c r="Z60" s="36"/>
    </row>
    <row r="61" spans="1:26" x14ac:dyDescent="0.25">
      <c r="A61">
        <v>2006</v>
      </c>
      <c r="B61">
        <v>180</v>
      </c>
      <c r="C61">
        <v>0</v>
      </c>
      <c r="D61" s="7">
        <v>0</v>
      </c>
      <c r="E61" s="7">
        <v>141.30491666666668</v>
      </c>
      <c r="F61" s="7">
        <v>0</v>
      </c>
      <c r="G61" s="7">
        <v>18.21</v>
      </c>
      <c r="H61" s="7">
        <v>13.96</v>
      </c>
      <c r="I61" s="7">
        <v>0</v>
      </c>
      <c r="J61" s="7"/>
      <c r="K61" s="7"/>
      <c r="W61" s="35"/>
      <c r="X61" s="31"/>
      <c r="Y61" s="26"/>
      <c r="Z61" s="36"/>
    </row>
    <row r="62" spans="1:26" x14ac:dyDescent="0.25">
      <c r="A62">
        <v>2006</v>
      </c>
      <c r="B62">
        <v>181</v>
      </c>
      <c r="C62">
        <v>0</v>
      </c>
      <c r="D62" s="7">
        <v>5.6</v>
      </c>
      <c r="E62" s="7">
        <v>197.89762500000003</v>
      </c>
      <c r="F62" s="7">
        <v>0</v>
      </c>
      <c r="G62" s="7">
        <v>21.44</v>
      </c>
      <c r="H62" s="7">
        <v>13.63</v>
      </c>
      <c r="I62" s="7">
        <v>0</v>
      </c>
      <c r="J62" s="7"/>
      <c r="K62" s="7"/>
      <c r="W62" s="35"/>
      <c r="X62" s="31"/>
      <c r="Y62" s="26"/>
      <c r="Z62" s="36"/>
    </row>
    <row r="63" spans="1:26" x14ac:dyDescent="0.25">
      <c r="A63">
        <v>2006</v>
      </c>
      <c r="B63">
        <v>182</v>
      </c>
      <c r="C63">
        <v>0</v>
      </c>
      <c r="D63" s="7">
        <v>0</v>
      </c>
      <c r="E63" s="7">
        <v>300.66608333333335</v>
      </c>
      <c r="F63" s="7">
        <v>0</v>
      </c>
      <c r="G63" s="7">
        <v>22.49</v>
      </c>
      <c r="H63" s="7">
        <v>11.5</v>
      </c>
      <c r="I63" s="7">
        <v>0</v>
      </c>
      <c r="J63" s="7"/>
      <c r="K63" s="7"/>
      <c r="W63" s="35"/>
      <c r="X63" s="31"/>
      <c r="Y63" s="26"/>
      <c r="Z63" s="36"/>
    </row>
    <row r="64" spans="1:26" x14ac:dyDescent="0.25">
      <c r="A64">
        <v>2006</v>
      </c>
      <c r="B64">
        <v>183</v>
      </c>
      <c r="C64">
        <v>0</v>
      </c>
      <c r="D64" s="7">
        <v>0.6</v>
      </c>
      <c r="E64" s="7">
        <v>167.18154166666667</v>
      </c>
      <c r="F64" s="7">
        <v>0</v>
      </c>
      <c r="G64" s="7">
        <v>22</v>
      </c>
      <c r="H64" s="7">
        <v>9.58</v>
      </c>
      <c r="I64" s="7">
        <v>0</v>
      </c>
      <c r="J64" s="7"/>
      <c r="K64" s="7"/>
      <c r="W64" s="35"/>
      <c r="X64" s="31"/>
      <c r="Y64" s="26"/>
      <c r="Z64" s="36"/>
    </row>
    <row r="65" spans="1:26" x14ac:dyDescent="0.25">
      <c r="A65">
        <v>2006</v>
      </c>
      <c r="B65">
        <v>184</v>
      </c>
      <c r="C65">
        <v>0</v>
      </c>
      <c r="D65" s="7">
        <v>0.2</v>
      </c>
      <c r="E65" s="7">
        <v>264.73087499999997</v>
      </c>
      <c r="F65" s="7">
        <v>0</v>
      </c>
      <c r="G65" s="7">
        <v>21.14</v>
      </c>
      <c r="H65" s="7">
        <v>12.08</v>
      </c>
      <c r="I65" s="7">
        <v>0</v>
      </c>
      <c r="J65" s="7"/>
      <c r="K65" s="7"/>
      <c r="W65" s="35"/>
      <c r="X65" s="31"/>
      <c r="Y65" s="26"/>
      <c r="Z65" s="36"/>
    </row>
    <row r="66" spans="1:26" x14ac:dyDescent="0.25">
      <c r="D66" s="7"/>
      <c r="E66" s="7"/>
      <c r="F66" s="7"/>
      <c r="G66" s="7"/>
      <c r="H66" s="7"/>
      <c r="I66" s="7"/>
      <c r="J66" s="7"/>
      <c r="K66" s="7"/>
      <c r="W66" s="35"/>
      <c r="X66" s="31"/>
      <c r="Y66" s="26"/>
      <c r="Z66" s="36"/>
    </row>
    <row r="67" spans="1:26" x14ac:dyDescent="0.25">
      <c r="D67" s="7"/>
      <c r="E67" s="7"/>
      <c r="F67" s="7"/>
      <c r="G67" s="7"/>
      <c r="H67" s="7"/>
      <c r="I67" s="7"/>
      <c r="J67" s="7"/>
      <c r="K67" s="7"/>
      <c r="W67" s="35"/>
      <c r="X67" s="31"/>
      <c r="Y67" s="37"/>
      <c r="Z67" s="26"/>
    </row>
    <row r="68" spans="1:26" x14ac:dyDescent="0.25">
      <c r="D68" s="7"/>
      <c r="E68" s="7"/>
      <c r="F68" s="7"/>
      <c r="G68" s="7"/>
      <c r="H68" s="7"/>
      <c r="I68" s="7"/>
      <c r="J68" s="7"/>
      <c r="K68" s="7"/>
      <c r="W68" s="35"/>
      <c r="X68" s="31"/>
      <c r="Y68" s="38"/>
      <c r="Z68" s="26"/>
    </row>
    <row r="69" spans="1:26" x14ac:dyDescent="0.25">
      <c r="D69" s="7"/>
      <c r="E69" s="7"/>
      <c r="F69" s="7"/>
      <c r="G69" s="7"/>
      <c r="H69" s="7"/>
      <c r="I69" s="7"/>
      <c r="J69" s="7"/>
      <c r="K69" s="7"/>
      <c r="W69" s="35"/>
      <c r="X69" s="31"/>
      <c r="Y69" s="38"/>
      <c r="Z69" s="26"/>
    </row>
    <row r="70" spans="1:26" x14ac:dyDescent="0.25">
      <c r="D70" s="7"/>
      <c r="E70" s="7"/>
      <c r="F70" s="7"/>
      <c r="G70" s="7"/>
      <c r="H70" s="7"/>
      <c r="I70" s="7"/>
      <c r="J70" s="7"/>
      <c r="K70" s="7"/>
      <c r="W70" s="35"/>
      <c r="X70" s="31"/>
      <c r="Y70" s="37"/>
      <c r="Z70" s="26"/>
    </row>
    <row r="71" spans="1:26" x14ac:dyDescent="0.25">
      <c r="D71" s="7"/>
      <c r="E71" s="7"/>
      <c r="F71" s="7"/>
      <c r="G71" s="7"/>
      <c r="H71" s="7"/>
      <c r="I71" s="7"/>
      <c r="J71" s="7"/>
      <c r="K71" s="7"/>
      <c r="W71" s="35"/>
      <c r="X71" s="31"/>
      <c r="Y71" s="38"/>
      <c r="Z71" s="26"/>
    </row>
    <row r="72" spans="1:26" x14ac:dyDescent="0.25">
      <c r="D72" s="7"/>
      <c r="E72" s="7"/>
      <c r="F72" s="7"/>
      <c r="G72" s="7"/>
      <c r="H72" s="7"/>
      <c r="I72" s="7"/>
      <c r="J72" s="7"/>
      <c r="K72" s="7"/>
      <c r="W72" s="35"/>
      <c r="X72" s="31"/>
      <c r="Y72" s="38"/>
      <c r="Z72" s="26"/>
    </row>
    <row r="73" spans="1:26" x14ac:dyDescent="0.25">
      <c r="D73" s="7"/>
      <c r="E73" s="7"/>
      <c r="F73" s="7"/>
      <c r="G73" s="7"/>
      <c r="H73" s="7"/>
      <c r="I73" s="7"/>
      <c r="J73" s="7"/>
      <c r="K73" s="7"/>
      <c r="W73" s="35"/>
      <c r="X73" s="31"/>
      <c r="Y73" s="37"/>
      <c r="Z73" s="26"/>
    </row>
    <row r="74" spans="1:26" x14ac:dyDescent="0.25">
      <c r="D74" s="7"/>
      <c r="E74" s="7"/>
      <c r="F74" s="7"/>
      <c r="G74" s="7"/>
      <c r="H74" s="7"/>
      <c r="I74" s="7"/>
      <c r="J74" s="7"/>
      <c r="K74" s="7"/>
      <c r="W74" s="35"/>
      <c r="X74" s="31"/>
      <c r="Y74" s="38"/>
      <c r="Z74" s="26"/>
    </row>
    <row r="75" spans="1:26" x14ac:dyDescent="0.25">
      <c r="D75" s="7"/>
      <c r="E75" s="7"/>
      <c r="F75" s="7"/>
      <c r="G75" s="7"/>
      <c r="H75" s="7"/>
      <c r="I75" s="7"/>
      <c r="J75" s="7"/>
      <c r="K75" s="7"/>
      <c r="W75" s="35"/>
      <c r="X75" s="31"/>
      <c r="Y75" s="38"/>
      <c r="Z75" s="26"/>
    </row>
    <row r="76" spans="1:26" x14ac:dyDescent="0.25">
      <c r="D76" s="7"/>
      <c r="E76" s="7"/>
      <c r="F76" s="7"/>
      <c r="G76" s="7"/>
      <c r="H76" s="7"/>
      <c r="I76" s="7"/>
      <c r="J76" s="7"/>
      <c r="K76" s="7"/>
      <c r="W76" s="35"/>
      <c r="X76" s="31"/>
      <c r="Y76" s="37"/>
      <c r="Z76" s="26"/>
    </row>
    <row r="77" spans="1:26" x14ac:dyDescent="0.25">
      <c r="D77" s="7"/>
      <c r="E77" s="7"/>
      <c r="F77" s="7"/>
      <c r="G77" s="7"/>
      <c r="H77" s="7"/>
      <c r="I77" s="7"/>
      <c r="J77" s="7"/>
      <c r="K77" s="7"/>
      <c r="W77" s="35"/>
      <c r="X77" s="31"/>
      <c r="Y77" s="38"/>
      <c r="Z77" s="26"/>
    </row>
    <row r="78" spans="1:26" x14ac:dyDescent="0.25">
      <c r="D78" s="7"/>
      <c r="E78" s="7"/>
      <c r="F78" s="7"/>
      <c r="G78" s="7"/>
      <c r="H78" s="7"/>
      <c r="I78" s="7"/>
      <c r="J78" s="7"/>
      <c r="K78" s="7"/>
      <c r="W78" s="35"/>
      <c r="X78" s="31"/>
      <c r="Y78" s="38"/>
      <c r="Z78" s="26"/>
    </row>
    <row r="79" spans="1:26" x14ac:dyDescent="0.25">
      <c r="D79" s="7"/>
      <c r="E79" s="7"/>
      <c r="F79" s="7"/>
      <c r="G79" s="7"/>
      <c r="H79" s="7"/>
      <c r="I79" s="7"/>
      <c r="J79" s="7"/>
      <c r="K79" s="7"/>
      <c r="W79" s="35"/>
      <c r="X79" s="31"/>
      <c r="Y79" s="37"/>
      <c r="Z79" s="26"/>
    </row>
    <row r="80" spans="1:26" x14ac:dyDescent="0.25">
      <c r="D80" s="7"/>
      <c r="E80" s="7"/>
      <c r="F80" s="7"/>
      <c r="G80" s="7"/>
      <c r="H80" s="7"/>
      <c r="I80" s="7"/>
      <c r="J80" s="7"/>
      <c r="K80" s="7"/>
      <c r="W80" s="35"/>
      <c r="X80" s="31"/>
      <c r="Y80" s="38"/>
      <c r="Z80" s="26"/>
    </row>
    <row r="81" spans="4:26" x14ac:dyDescent="0.25">
      <c r="D81" s="7"/>
      <c r="E81" s="7"/>
      <c r="F81" s="7"/>
      <c r="G81" s="7"/>
      <c r="H81" s="7"/>
      <c r="I81" s="7"/>
      <c r="J81" s="7"/>
      <c r="K81" s="7"/>
      <c r="W81" s="35"/>
      <c r="X81" s="31"/>
      <c r="Y81" s="38"/>
      <c r="Z81" s="26"/>
    </row>
    <row r="82" spans="4:26" x14ac:dyDescent="0.25">
      <c r="D82" s="7"/>
      <c r="E82" s="7"/>
      <c r="F82" s="7"/>
      <c r="G82" s="7"/>
      <c r="H82" s="7"/>
      <c r="I82" s="7"/>
      <c r="J82" s="7"/>
      <c r="K82" s="7"/>
      <c r="W82" s="35"/>
      <c r="X82" s="31"/>
      <c r="Y82" s="37"/>
      <c r="Z82" s="26"/>
    </row>
    <row r="83" spans="4:26" x14ac:dyDescent="0.25">
      <c r="D83" s="7"/>
      <c r="E83" s="7"/>
      <c r="F83" s="7"/>
      <c r="G83" s="7"/>
      <c r="H83" s="7"/>
      <c r="I83" s="7"/>
      <c r="J83" s="7"/>
      <c r="K83" s="7"/>
      <c r="W83" s="35"/>
      <c r="X83" s="31"/>
      <c r="Y83" s="38"/>
      <c r="Z83" s="26"/>
    </row>
    <row r="84" spans="4:26" x14ac:dyDescent="0.25">
      <c r="D84" s="7"/>
      <c r="E84" s="7"/>
      <c r="F84" s="7"/>
      <c r="G84" s="7"/>
      <c r="H84" s="7"/>
      <c r="I84" s="7"/>
      <c r="J84" s="7"/>
      <c r="K84" s="7"/>
      <c r="W84" s="35"/>
      <c r="X84" s="31"/>
      <c r="Y84" s="38"/>
      <c r="Z84" s="26"/>
    </row>
    <row r="85" spans="4:26" x14ac:dyDescent="0.25">
      <c r="D85" s="7"/>
      <c r="E85" s="7"/>
      <c r="F85" s="7"/>
      <c r="G85" s="7"/>
      <c r="H85" s="7"/>
      <c r="I85" s="7"/>
      <c r="J85" s="7"/>
      <c r="K85" s="7"/>
      <c r="W85" s="35"/>
      <c r="X85" s="31"/>
      <c r="Y85" s="37"/>
      <c r="Z85" s="26"/>
    </row>
    <row r="86" spans="4:26" x14ac:dyDescent="0.25">
      <c r="D86" s="7"/>
      <c r="E86" s="7"/>
      <c r="F86" s="7"/>
      <c r="G86" s="7"/>
      <c r="H86" s="7"/>
      <c r="I86" s="7"/>
      <c r="J86" s="7"/>
      <c r="K86" s="7"/>
      <c r="W86" s="35"/>
      <c r="X86" s="31"/>
      <c r="Y86" s="38"/>
      <c r="Z86" s="26"/>
    </row>
    <row r="87" spans="4:26" x14ac:dyDescent="0.25">
      <c r="D87" s="7"/>
      <c r="E87" s="7"/>
      <c r="F87" s="7"/>
      <c r="G87" s="7"/>
      <c r="H87" s="7"/>
      <c r="I87" s="7"/>
      <c r="J87" s="7"/>
      <c r="K87" s="7"/>
      <c r="W87" s="35"/>
      <c r="X87" s="31"/>
      <c r="Y87" s="38"/>
      <c r="Z87" s="26"/>
    </row>
    <row r="88" spans="4:26" x14ac:dyDescent="0.25">
      <c r="D88" s="7"/>
      <c r="E88" s="7"/>
      <c r="F88" s="7"/>
      <c r="G88" s="7"/>
      <c r="H88" s="7"/>
      <c r="I88" s="7"/>
      <c r="J88" s="7"/>
      <c r="K88" s="7"/>
      <c r="W88" s="35"/>
      <c r="X88" s="31"/>
      <c r="Y88" s="37"/>
      <c r="Z88" s="26"/>
    </row>
    <row r="89" spans="4:26" x14ac:dyDescent="0.25">
      <c r="D89" s="7"/>
      <c r="E89" s="7"/>
      <c r="F89" s="7"/>
      <c r="G89" s="7"/>
      <c r="H89" s="7"/>
      <c r="I89" s="7"/>
      <c r="J89" s="7"/>
      <c r="K89" s="7"/>
      <c r="W89" s="34"/>
      <c r="X89" s="31"/>
      <c r="Y89" s="38"/>
      <c r="Z89" s="26"/>
    </row>
    <row r="90" spans="4:26" x14ac:dyDescent="0.25">
      <c r="D90" s="7"/>
      <c r="E90" s="7"/>
      <c r="F90" s="7"/>
      <c r="G90" s="7"/>
      <c r="H90" s="7"/>
      <c r="I90" s="7"/>
      <c r="J90" s="7"/>
      <c r="K90" s="7"/>
      <c r="W90" s="34"/>
      <c r="X90" s="31"/>
      <c r="Y90" s="38"/>
      <c r="Z90" s="26"/>
    </row>
    <row r="91" spans="4:26" x14ac:dyDescent="0.25">
      <c r="D91" s="7"/>
      <c r="E91" s="7"/>
      <c r="F91" s="7"/>
      <c r="G91" s="7"/>
      <c r="H91" s="7"/>
      <c r="I91" s="7"/>
      <c r="J91" s="7"/>
      <c r="K91" s="7"/>
      <c r="W91" s="34"/>
      <c r="X91" s="31"/>
      <c r="Y91" s="37"/>
      <c r="Z91" s="26"/>
    </row>
    <row r="92" spans="4:26" x14ac:dyDescent="0.25">
      <c r="D92" s="7"/>
      <c r="E92" s="7"/>
      <c r="F92" s="7"/>
      <c r="G92" s="7"/>
      <c r="H92" s="7"/>
      <c r="I92" s="7"/>
      <c r="J92" s="7"/>
      <c r="K92" s="7"/>
      <c r="W92" s="34"/>
      <c r="X92" s="31"/>
      <c r="Y92" s="38"/>
      <c r="Z92" s="26"/>
    </row>
    <row r="93" spans="4:26" x14ac:dyDescent="0.25">
      <c r="D93" s="7"/>
      <c r="E93" s="7"/>
      <c r="F93" s="7"/>
      <c r="G93" s="7"/>
      <c r="H93" s="7"/>
      <c r="I93" s="7"/>
      <c r="J93" s="7"/>
      <c r="K93" s="7"/>
      <c r="W93" s="34"/>
      <c r="X93" s="31"/>
      <c r="Y93" s="38"/>
      <c r="Z93" s="26"/>
    </row>
    <row r="94" spans="4:26" x14ac:dyDescent="0.25">
      <c r="D94" s="7"/>
      <c r="E94" s="7"/>
      <c r="F94" s="7"/>
      <c r="G94" s="7"/>
      <c r="H94" s="7"/>
      <c r="I94" s="7"/>
      <c r="J94" s="7"/>
      <c r="K94" s="7"/>
      <c r="W94" s="34"/>
      <c r="X94" s="31"/>
      <c r="Y94" s="38"/>
      <c r="Z94" s="26"/>
    </row>
    <row r="95" spans="4:26" x14ac:dyDescent="0.25">
      <c r="D95" s="7"/>
      <c r="E95" s="7"/>
      <c r="F95" s="7"/>
      <c r="G95" s="7"/>
      <c r="H95" s="7"/>
      <c r="I95" s="7"/>
      <c r="J95" s="7"/>
      <c r="K95" s="7"/>
      <c r="W95" s="34"/>
      <c r="X95" s="31"/>
      <c r="Y95" s="38"/>
      <c r="Z95" s="26"/>
    </row>
    <row r="96" spans="4:26" x14ac:dyDescent="0.25">
      <c r="D96" s="7"/>
      <c r="E96" s="7"/>
      <c r="F96" s="7"/>
      <c r="G96" s="7"/>
      <c r="H96" s="7"/>
      <c r="I96" s="7"/>
      <c r="J96" s="7"/>
      <c r="K96" s="7"/>
      <c r="W96" s="34"/>
      <c r="X96" s="31"/>
      <c r="Y96" s="38"/>
      <c r="Z96" s="26"/>
    </row>
    <row r="97" spans="4:26" x14ac:dyDescent="0.25">
      <c r="D97" s="7"/>
      <c r="E97" s="7"/>
      <c r="F97" s="7"/>
      <c r="G97" s="7"/>
      <c r="H97" s="7"/>
      <c r="I97" s="7"/>
      <c r="J97" s="7"/>
      <c r="K97" s="7"/>
      <c r="W97" s="34"/>
      <c r="X97" s="31"/>
      <c r="Y97" s="38"/>
      <c r="Z97" s="26"/>
    </row>
    <row r="98" spans="4:26" x14ac:dyDescent="0.25">
      <c r="D98" s="7"/>
      <c r="E98" s="7"/>
      <c r="F98" s="7"/>
      <c r="G98" s="7"/>
      <c r="H98" s="7"/>
      <c r="I98" s="7"/>
      <c r="J98" s="7"/>
      <c r="K98" s="7"/>
      <c r="W98" s="34"/>
      <c r="X98" s="39"/>
    </row>
    <row r="99" spans="4:26" x14ac:dyDescent="0.25">
      <c r="D99" s="7"/>
      <c r="E99" s="7"/>
      <c r="F99" s="7"/>
      <c r="G99" s="7"/>
      <c r="H99" s="7"/>
      <c r="I99" s="7"/>
      <c r="J99" s="7"/>
      <c r="K99" s="7"/>
      <c r="W99" s="34"/>
      <c r="X99" s="39"/>
    </row>
    <row r="100" spans="4:26" x14ac:dyDescent="0.25">
      <c r="D100" s="7"/>
      <c r="E100" s="7"/>
      <c r="F100" s="7"/>
      <c r="G100" s="7"/>
      <c r="H100" s="7"/>
      <c r="I100" s="7"/>
      <c r="J100" s="7"/>
      <c r="K100" s="7"/>
      <c r="W100" s="34"/>
      <c r="X100" s="39"/>
    </row>
    <row r="101" spans="4:26" x14ac:dyDescent="0.25">
      <c r="D101" s="7"/>
      <c r="E101" s="7"/>
      <c r="F101" s="7"/>
      <c r="G101" s="7"/>
      <c r="H101" s="7"/>
      <c r="I101" s="7"/>
      <c r="J101" s="7"/>
      <c r="K101" s="7"/>
      <c r="W101" s="34"/>
      <c r="X101" s="39"/>
    </row>
    <row r="102" spans="4:26" x14ac:dyDescent="0.25">
      <c r="D102" s="7"/>
      <c r="E102" s="7"/>
      <c r="F102" s="7"/>
      <c r="G102" s="7"/>
      <c r="H102" s="7"/>
      <c r="I102" s="7"/>
      <c r="J102" s="7"/>
      <c r="K102" s="7"/>
      <c r="W102" s="34"/>
      <c r="X102" s="39"/>
    </row>
    <row r="103" spans="4:26" x14ac:dyDescent="0.25">
      <c r="D103" s="7"/>
      <c r="E103" s="7"/>
      <c r="F103" s="7"/>
      <c r="G103" s="7"/>
      <c r="H103" s="7"/>
      <c r="I103" s="7"/>
      <c r="J103" s="7"/>
      <c r="K103" s="7"/>
      <c r="W103" s="34"/>
      <c r="X103" s="39"/>
    </row>
    <row r="104" spans="4:26" x14ac:dyDescent="0.25">
      <c r="D104" s="7"/>
      <c r="E104" s="7"/>
      <c r="F104" s="7"/>
      <c r="G104" s="7"/>
      <c r="H104" s="7"/>
      <c r="I104" s="7"/>
      <c r="J104" s="7"/>
      <c r="K104" s="7"/>
      <c r="W104" s="34"/>
      <c r="X104" s="39"/>
    </row>
    <row r="105" spans="4:26" x14ac:dyDescent="0.25">
      <c r="D105" s="7"/>
      <c r="E105" s="7"/>
      <c r="F105" s="7"/>
      <c r="G105" s="7"/>
      <c r="H105" s="7"/>
      <c r="I105" s="7"/>
      <c r="J105" s="7"/>
      <c r="K105" s="7"/>
      <c r="W105" s="34"/>
      <c r="X105" s="39"/>
    </row>
    <row r="106" spans="4:26" x14ac:dyDescent="0.25">
      <c r="D106" s="7"/>
      <c r="E106" s="7"/>
      <c r="F106" s="7"/>
      <c r="G106" s="7"/>
      <c r="H106" s="7"/>
      <c r="I106" s="7"/>
      <c r="J106" s="7"/>
      <c r="K106" s="7"/>
      <c r="W106" s="34"/>
      <c r="X106" s="39"/>
    </row>
    <row r="107" spans="4:26" x14ac:dyDescent="0.25">
      <c r="D107" s="7"/>
      <c r="E107" s="7"/>
      <c r="F107" s="7"/>
      <c r="G107" s="7"/>
      <c r="H107" s="7"/>
      <c r="I107" s="7"/>
      <c r="J107" s="7"/>
      <c r="K107" s="7"/>
      <c r="W107" s="34"/>
      <c r="X107" s="39"/>
    </row>
    <row r="108" spans="4:26" x14ac:dyDescent="0.25">
      <c r="D108" s="7"/>
      <c r="E108" s="7"/>
      <c r="F108" s="7"/>
      <c r="G108" s="7"/>
      <c r="H108" s="7"/>
      <c r="I108" s="7"/>
      <c r="J108" s="7"/>
      <c r="K108" s="7"/>
      <c r="W108" s="34"/>
      <c r="X108" s="39"/>
    </row>
    <row r="109" spans="4:26" x14ac:dyDescent="0.25">
      <c r="D109" s="7"/>
      <c r="E109" s="7"/>
      <c r="F109" s="7"/>
      <c r="G109" s="7"/>
      <c r="H109" s="7"/>
      <c r="I109" s="7"/>
      <c r="J109" s="7"/>
      <c r="K109" s="7"/>
      <c r="W109" s="34"/>
      <c r="X109" s="39"/>
    </row>
    <row r="110" spans="4:26" x14ac:dyDescent="0.25">
      <c r="D110" s="7"/>
      <c r="E110" s="7"/>
      <c r="F110" s="7"/>
      <c r="G110" s="7"/>
      <c r="H110" s="7"/>
      <c r="I110" s="7"/>
      <c r="J110" s="7"/>
      <c r="K110" s="7"/>
      <c r="W110" s="34"/>
      <c r="X110" s="39"/>
    </row>
    <row r="111" spans="4:26" x14ac:dyDescent="0.25">
      <c r="D111" s="7"/>
      <c r="E111" s="7"/>
      <c r="F111" s="7"/>
      <c r="G111" s="7"/>
      <c r="H111" s="7"/>
      <c r="I111" s="7"/>
      <c r="J111" s="7"/>
      <c r="K111" s="7"/>
      <c r="W111" s="34"/>
      <c r="X111" s="39"/>
    </row>
    <row r="112" spans="4:26" x14ac:dyDescent="0.25">
      <c r="D112" s="7"/>
      <c r="E112" s="7"/>
      <c r="F112" s="7"/>
      <c r="G112" s="7"/>
      <c r="H112" s="7"/>
      <c r="I112" s="7"/>
      <c r="J112" s="7"/>
      <c r="K112" s="7"/>
      <c r="W112" s="34"/>
      <c r="X112" s="39"/>
    </row>
    <row r="113" spans="4:24" x14ac:dyDescent="0.25">
      <c r="D113" s="7"/>
      <c r="E113" s="7"/>
      <c r="F113" s="7"/>
      <c r="G113" s="7"/>
      <c r="H113" s="7"/>
      <c r="I113" s="7"/>
      <c r="J113" s="7"/>
      <c r="K113" s="7"/>
      <c r="W113" s="34"/>
      <c r="X113" s="39"/>
    </row>
    <row r="114" spans="4:24" x14ac:dyDescent="0.25">
      <c r="D114" s="7"/>
      <c r="E114" s="7"/>
      <c r="F114" s="7"/>
      <c r="G114" s="7"/>
      <c r="H114" s="7"/>
      <c r="I114" s="7"/>
      <c r="J114" s="7"/>
      <c r="K114" s="7"/>
      <c r="W114" s="34"/>
      <c r="X114" s="39"/>
    </row>
    <row r="115" spans="4:24" x14ac:dyDescent="0.25">
      <c r="D115" s="7"/>
      <c r="E115" s="7"/>
      <c r="F115" s="7"/>
      <c r="G115" s="7"/>
      <c r="H115" s="7"/>
      <c r="I115" s="7"/>
      <c r="J115" s="7"/>
      <c r="K115" s="7"/>
      <c r="W115" s="34"/>
      <c r="X115" s="39"/>
    </row>
    <row r="116" spans="4:24" x14ac:dyDescent="0.25">
      <c r="D116" s="7"/>
      <c r="E116" s="7"/>
      <c r="F116" s="7"/>
      <c r="G116" s="7"/>
      <c r="H116" s="7"/>
      <c r="I116" s="7"/>
      <c r="J116" s="7"/>
      <c r="K116" s="7"/>
      <c r="W116" s="34"/>
      <c r="X116" s="39"/>
    </row>
    <row r="117" spans="4:24" x14ac:dyDescent="0.25">
      <c r="D117" s="7"/>
      <c r="E117" s="7"/>
      <c r="F117" s="7"/>
      <c r="G117" s="7"/>
      <c r="H117" s="7"/>
      <c r="I117" s="7"/>
      <c r="J117" s="7"/>
      <c r="K117" s="7"/>
      <c r="W117" s="34"/>
      <c r="X117" s="39"/>
    </row>
    <row r="118" spans="4:24" x14ac:dyDescent="0.25">
      <c r="D118" s="7"/>
      <c r="E118" s="7"/>
      <c r="F118" s="7"/>
      <c r="G118" s="7"/>
      <c r="H118" s="7"/>
      <c r="I118" s="7"/>
      <c r="J118" s="7"/>
      <c r="K118" s="7"/>
      <c r="W118" s="34"/>
      <c r="X118" s="39"/>
    </row>
    <row r="119" spans="4:24" x14ac:dyDescent="0.25">
      <c r="D119" s="7"/>
      <c r="E119" s="7"/>
      <c r="F119" s="7"/>
      <c r="G119" s="7"/>
      <c r="H119" s="7"/>
      <c r="I119" s="7"/>
      <c r="J119" s="7"/>
      <c r="K119" s="7"/>
      <c r="W119" s="34"/>
      <c r="X119" s="39"/>
    </row>
    <row r="120" spans="4:24" x14ac:dyDescent="0.25">
      <c r="D120" s="7"/>
      <c r="E120" s="7"/>
      <c r="F120" s="7"/>
      <c r="G120" s="7"/>
      <c r="H120" s="7"/>
      <c r="I120" s="7"/>
      <c r="J120" s="7"/>
      <c r="K120" s="7"/>
      <c r="W120" s="34"/>
      <c r="X120" s="39"/>
    </row>
    <row r="121" spans="4:24" x14ac:dyDescent="0.25">
      <c r="D121" s="7"/>
      <c r="E121" s="7"/>
      <c r="F121" s="7"/>
      <c r="G121" s="7"/>
      <c r="H121" s="7"/>
      <c r="I121" s="7"/>
      <c r="J121" s="7"/>
      <c r="K121" s="7"/>
      <c r="W121" s="34"/>
      <c r="X121" s="39"/>
    </row>
    <row r="122" spans="4:24" x14ac:dyDescent="0.25">
      <c r="D122" s="7"/>
      <c r="E122" s="7"/>
      <c r="F122" s="7"/>
      <c r="G122" s="7"/>
      <c r="H122" s="7"/>
      <c r="I122" s="7"/>
      <c r="J122" s="7"/>
      <c r="K122" s="7"/>
      <c r="W122" s="34"/>
      <c r="X122" s="39"/>
    </row>
    <row r="123" spans="4:24" x14ac:dyDescent="0.25">
      <c r="D123" s="7"/>
      <c r="E123" s="7"/>
      <c r="F123" s="7"/>
      <c r="G123" s="7"/>
      <c r="H123" s="7"/>
      <c r="I123" s="7"/>
      <c r="J123" s="7"/>
      <c r="K123" s="7"/>
      <c r="W123" s="34"/>
      <c r="X123" s="39"/>
    </row>
    <row r="124" spans="4:24" x14ac:dyDescent="0.25">
      <c r="D124" s="7"/>
      <c r="E124" s="7"/>
      <c r="F124" s="7"/>
      <c r="G124" s="7"/>
      <c r="H124" s="7"/>
      <c r="I124" s="7"/>
      <c r="J124" s="7"/>
      <c r="K124" s="7"/>
      <c r="W124" s="34"/>
      <c r="X124" s="39"/>
    </row>
    <row r="125" spans="4:24" x14ac:dyDescent="0.25">
      <c r="D125" s="7"/>
      <c r="E125" s="7"/>
      <c r="F125" s="7"/>
      <c r="G125" s="7"/>
      <c r="H125" s="7"/>
      <c r="I125" s="7"/>
      <c r="J125" s="7"/>
      <c r="K125" s="7"/>
      <c r="W125" s="34"/>
      <c r="X125" s="39"/>
    </row>
    <row r="126" spans="4:24" x14ac:dyDescent="0.25">
      <c r="D126" s="7"/>
      <c r="E126" s="7"/>
      <c r="F126" s="7"/>
      <c r="G126" s="7"/>
      <c r="H126" s="7"/>
      <c r="I126" s="7"/>
      <c r="J126" s="7"/>
      <c r="K126" s="7"/>
      <c r="W126" s="34"/>
      <c r="X126" s="39"/>
    </row>
    <row r="127" spans="4:24" x14ac:dyDescent="0.25">
      <c r="D127" s="7"/>
      <c r="E127" s="7"/>
      <c r="F127" s="7"/>
      <c r="G127" s="7"/>
      <c r="H127" s="7"/>
      <c r="I127" s="7"/>
      <c r="J127" s="7"/>
      <c r="K127" s="7"/>
      <c r="W127" s="34"/>
      <c r="X127" s="39"/>
    </row>
    <row r="128" spans="4:24" x14ac:dyDescent="0.25">
      <c r="D128" s="7"/>
      <c r="E128" s="7"/>
      <c r="F128" s="7"/>
      <c r="G128" s="7"/>
      <c r="H128" s="7"/>
      <c r="I128" s="7"/>
      <c r="J128" s="7"/>
      <c r="K128" s="7"/>
      <c r="W128" s="34"/>
      <c r="X128" s="39"/>
    </row>
    <row r="129" spans="4:24" x14ac:dyDescent="0.25">
      <c r="D129" s="7"/>
      <c r="E129" s="7"/>
      <c r="F129" s="7"/>
      <c r="G129" s="7"/>
      <c r="H129" s="7"/>
      <c r="I129" s="7"/>
      <c r="J129" s="7"/>
      <c r="K129" s="7"/>
      <c r="W129" s="34"/>
      <c r="X129" s="39"/>
    </row>
    <row r="130" spans="4:24" x14ac:dyDescent="0.25">
      <c r="D130" s="7"/>
      <c r="E130" s="7"/>
      <c r="F130" s="7"/>
      <c r="G130" s="7"/>
      <c r="H130" s="7"/>
      <c r="I130" s="7"/>
      <c r="J130" s="7"/>
      <c r="K130" s="7"/>
      <c r="W130" s="34"/>
      <c r="X130" s="39"/>
    </row>
    <row r="131" spans="4:24" x14ac:dyDescent="0.25">
      <c r="D131" s="7"/>
      <c r="E131" s="7"/>
      <c r="F131" s="7"/>
      <c r="G131" s="7"/>
      <c r="H131" s="7"/>
      <c r="I131" s="7"/>
      <c r="J131" s="7"/>
      <c r="K131" s="7"/>
      <c r="W131" s="34"/>
      <c r="X131" s="39"/>
    </row>
    <row r="132" spans="4:24" x14ac:dyDescent="0.25">
      <c r="D132" s="7"/>
      <c r="E132" s="7"/>
      <c r="F132" s="7"/>
      <c r="G132" s="7"/>
      <c r="H132" s="7"/>
      <c r="I132" s="7"/>
      <c r="J132" s="7"/>
      <c r="K132" s="7"/>
      <c r="W132" s="34"/>
      <c r="X132" s="39"/>
    </row>
    <row r="133" spans="4:24" x14ac:dyDescent="0.25">
      <c r="D133" s="7"/>
      <c r="E133" s="7"/>
      <c r="F133" s="7"/>
      <c r="G133" s="7"/>
      <c r="H133" s="7"/>
      <c r="I133" s="7"/>
      <c r="J133" s="7"/>
      <c r="K133" s="7"/>
      <c r="W133" s="34"/>
      <c r="X133" s="39"/>
    </row>
    <row r="134" spans="4:24" x14ac:dyDescent="0.25">
      <c r="D134" s="7"/>
      <c r="E134" s="7"/>
      <c r="F134" s="7"/>
      <c r="G134" s="7"/>
      <c r="H134" s="7"/>
      <c r="I134" s="7"/>
      <c r="J134" s="7"/>
      <c r="K134" s="7"/>
      <c r="W134" s="34"/>
      <c r="X134" s="39"/>
    </row>
    <row r="135" spans="4:24" x14ac:dyDescent="0.25">
      <c r="D135" s="7"/>
      <c r="E135" s="7"/>
      <c r="F135" s="7"/>
      <c r="G135" s="7"/>
      <c r="H135" s="7"/>
      <c r="I135" s="7"/>
      <c r="J135" s="7"/>
      <c r="K135" s="7"/>
      <c r="W135" s="34"/>
      <c r="X135" s="39"/>
    </row>
    <row r="136" spans="4:24" x14ac:dyDescent="0.25">
      <c r="D136" s="7"/>
      <c r="E136" s="7"/>
      <c r="F136" s="7"/>
      <c r="G136" s="7"/>
      <c r="H136" s="7"/>
      <c r="I136" s="7"/>
      <c r="J136" s="7"/>
      <c r="K136" s="7"/>
      <c r="W136" s="34"/>
      <c r="X136" s="39"/>
    </row>
    <row r="137" spans="4:24" x14ac:dyDescent="0.25">
      <c r="D137" s="7"/>
      <c r="E137" s="7"/>
      <c r="F137" s="7"/>
      <c r="G137" s="7"/>
      <c r="H137" s="7"/>
      <c r="I137" s="7"/>
      <c r="J137" s="7"/>
      <c r="K137" s="7"/>
      <c r="W137" s="34"/>
      <c r="X137" s="39"/>
    </row>
    <row r="138" spans="4:24" x14ac:dyDescent="0.25">
      <c r="D138" s="7"/>
      <c r="E138" s="7"/>
      <c r="F138" s="7"/>
      <c r="G138" s="7"/>
      <c r="H138" s="7"/>
      <c r="I138" s="7"/>
      <c r="J138" s="7"/>
      <c r="K138" s="7"/>
      <c r="W138" s="34"/>
      <c r="X138" s="39"/>
    </row>
    <row r="139" spans="4:24" x14ac:dyDescent="0.25">
      <c r="D139" s="7"/>
      <c r="E139" s="7"/>
      <c r="F139" s="7"/>
      <c r="G139" s="7"/>
      <c r="H139" s="7"/>
      <c r="I139" s="7"/>
      <c r="J139" s="7"/>
      <c r="K139" s="7"/>
      <c r="W139" s="34"/>
      <c r="X139" s="39"/>
    </row>
    <row r="140" spans="4:24" x14ac:dyDescent="0.25">
      <c r="D140" s="7"/>
      <c r="E140" s="7"/>
      <c r="F140" s="7"/>
      <c r="G140" s="7"/>
      <c r="H140" s="7"/>
      <c r="I140" s="7"/>
      <c r="J140" s="7"/>
      <c r="K140" s="7"/>
      <c r="W140" s="34"/>
      <c r="X140" s="39"/>
    </row>
    <row r="141" spans="4:24" x14ac:dyDescent="0.25">
      <c r="D141" s="7"/>
      <c r="E141" s="7"/>
      <c r="F141" s="7"/>
      <c r="G141" s="7"/>
      <c r="H141" s="7"/>
      <c r="I141" s="7"/>
      <c r="J141" s="7"/>
      <c r="K141" s="7"/>
      <c r="W141" s="34"/>
      <c r="X141" s="39"/>
    </row>
    <row r="142" spans="4:24" x14ac:dyDescent="0.25">
      <c r="D142" s="7"/>
      <c r="E142" s="7"/>
      <c r="F142" s="7"/>
      <c r="G142" s="7"/>
      <c r="H142" s="7"/>
      <c r="I142" s="7"/>
      <c r="J142" s="7"/>
      <c r="K142" s="7"/>
      <c r="W142" s="34"/>
      <c r="X142" s="39"/>
    </row>
    <row r="143" spans="4:24" x14ac:dyDescent="0.25">
      <c r="D143" s="7"/>
      <c r="E143" s="7"/>
      <c r="F143" s="7"/>
      <c r="G143" s="7"/>
      <c r="H143" s="7"/>
      <c r="I143" s="7"/>
      <c r="J143" s="7"/>
      <c r="K143" s="7"/>
      <c r="W143" s="34"/>
      <c r="X143" s="39"/>
    </row>
    <row r="144" spans="4:24" x14ac:dyDescent="0.25">
      <c r="D144" s="7"/>
      <c r="E144" s="7"/>
      <c r="F144" s="7"/>
      <c r="G144" s="7"/>
      <c r="H144" s="7"/>
      <c r="I144" s="7"/>
      <c r="J144" s="7"/>
      <c r="K144" s="7"/>
      <c r="W144" s="34"/>
      <c r="X144" s="39"/>
    </row>
    <row r="145" spans="4:24" x14ac:dyDescent="0.25">
      <c r="D145" s="7"/>
      <c r="E145" s="7"/>
      <c r="F145" s="7"/>
      <c r="G145" s="7"/>
      <c r="H145" s="7"/>
      <c r="I145" s="7"/>
      <c r="J145" s="7"/>
      <c r="K145" s="7"/>
      <c r="W145" s="34"/>
      <c r="X145" s="39"/>
    </row>
    <row r="146" spans="4:24" x14ac:dyDescent="0.25">
      <c r="D146" s="7"/>
      <c r="E146" s="7"/>
      <c r="F146" s="7"/>
      <c r="G146" s="7"/>
      <c r="H146" s="7"/>
      <c r="I146" s="7"/>
      <c r="J146" s="7"/>
      <c r="K146" s="7"/>
      <c r="W146" s="34"/>
      <c r="X146" s="39"/>
    </row>
    <row r="147" spans="4:24" x14ac:dyDescent="0.25">
      <c r="D147" s="7"/>
      <c r="E147" s="7"/>
      <c r="F147" s="7"/>
      <c r="G147" s="7"/>
      <c r="H147" s="7"/>
      <c r="I147" s="7"/>
      <c r="J147" s="7"/>
      <c r="K147" s="7"/>
      <c r="W147" s="34"/>
      <c r="X147" s="39"/>
    </row>
    <row r="148" spans="4:24" x14ac:dyDescent="0.25">
      <c r="D148" s="7"/>
      <c r="E148" s="7"/>
      <c r="F148" s="7"/>
      <c r="G148" s="7"/>
      <c r="H148" s="7"/>
      <c r="I148" s="7"/>
      <c r="J148" s="7"/>
      <c r="K148" s="7"/>
      <c r="W148" s="34"/>
      <c r="X148" s="39"/>
    </row>
    <row r="149" spans="4:24" x14ac:dyDescent="0.25">
      <c r="D149" s="7"/>
      <c r="E149" s="7"/>
      <c r="F149" s="7"/>
      <c r="G149" s="7"/>
      <c r="H149" s="7"/>
      <c r="I149" s="7"/>
      <c r="J149" s="7"/>
      <c r="K149" s="7"/>
      <c r="W149" s="34"/>
      <c r="X149" s="39"/>
    </row>
    <row r="150" spans="4:24" x14ac:dyDescent="0.25">
      <c r="D150" s="7"/>
      <c r="E150" s="7"/>
      <c r="F150" s="7"/>
      <c r="G150" s="7"/>
      <c r="H150" s="7"/>
      <c r="I150" s="7"/>
      <c r="J150" s="7"/>
      <c r="K150" s="7"/>
      <c r="W150" s="34"/>
      <c r="X150" s="39"/>
    </row>
    <row r="151" spans="4:24" x14ac:dyDescent="0.25">
      <c r="D151" s="7"/>
      <c r="E151" s="7"/>
      <c r="F151" s="7"/>
      <c r="G151" s="7"/>
      <c r="H151" s="7"/>
      <c r="I151" s="7"/>
      <c r="J151" s="7"/>
      <c r="K151" s="7"/>
      <c r="W151" s="34"/>
      <c r="X151" s="39"/>
    </row>
    <row r="152" spans="4:24" x14ac:dyDescent="0.25">
      <c r="D152" s="7"/>
      <c r="E152" s="7"/>
      <c r="F152" s="7"/>
      <c r="G152" s="7"/>
      <c r="H152" s="7"/>
      <c r="I152" s="7"/>
      <c r="J152" s="7"/>
      <c r="K152" s="7"/>
      <c r="W152" s="34"/>
      <c r="X152" s="39"/>
    </row>
    <row r="153" spans="4:24" x14ac:dyDescent="0.25">
      <c r="D153" s="7"/>
      <c r="E153" s="7"/>
      <c r="F153" s="7"/>
      <c r="G153" s="7"/>
      <c r="H153" s="7"/>
      <c r="I153" s="7"/>
      <c r="J153" s="7"/>
      <c r="K153" s="7"/>
      <c r="W153" s="34"/>
      <c r="X153" s="39"/>
    </row>
    <row r="154" spans="4:24" x14ac:dyDescent="0.25">
      <c r="D154" s="7"/>
      <c r="E154" s="7"/>
      <c r="F154" s="7"/>
      <c r="G154" s="7"/>
      <c r="H154" s="7"/>
      <c r="I154" s="7"/>
      <c r="J154" s="7"/>
      <c r="K154" s="7"/>
      <c r="W154" s="34"/>
      <c r="X154" s="39"/>
    </row>
    <row r="155" spans="4:24" x14ac:dyDescent="0.25">
      <c r="D155" s="7"/>
      <c r="E155" s="7"/>
      <c r="F155" s="7"/>
      <c r="G155" s="7"/>
      <c r="H155" s="7"/>
      <c r="I155" s="7"/>
      <c r="J155" s="7"/>
      <c r="K155" s="7"/>
      <c r="W155" s="34"/>
      <c r="X155" s="39"/>
    </row>
    <row r="156" spans="4:24" x14ac:dyDescent="0.25">
      <c r="D156" s="7"/>
      <c r="E156" s="7"/>
      <c r="F156" s="7"/>
      <c r="G156" s="7"/>
      <c r="H156" s="7"/>
      <c r="I156" s="7"/>
      <c r="J156" s="7"/>
      <c r="K156" s="7"/>
      <c r="W156" s="34"/>
      <c r="X156" s="39"/>
    </row>
    <row r="157" spans="4:24" x14ac:dyDescent="0.25">
      <c r="D157" s="7"/>
      <c r="E157" s="7"/>
      <c r="F157" s="7"/>
      <c r="G157" s="7"/>
      <c r="H157" s="7"/>
      <c r="I157" s="7"/>
      <c r="J157" s="7"/>
      <c r="K157" s="7"/>
      <c r="W157" s="34"/>
      <c r="X157" s="39"/>
    </row>
    <row r="158" spans="4:24" x14ac:dyDescent="0.25">
      <c r="D158" s="7"/>
      <c r="E158" s="7"/>
      <c r="F158" s="7"/>
      <c r="G158" s="7"/>
      <c r="H158" s="7"/>
      <c r="I158" s="7"/>
      <c r="J158" s="7"/>
      <c r="K158" s="7"/>
      <c r="W158" s="34"/>
      <c r="X158" s="39"/>
    </row>
    <row r="159" spans="4:24" x14ac:dyDescent="0.25">
      <c r="D159" s="7"/>
      <c r="E159" s="7"/>
      <c r="F159" s="7"/>
      <c r="G159" s="7"/>
      <c r="H159" s="7"/>
      <c r="I159" s="7"/>
      <c r="J159" s="7"/>
      <c r="K159" s="7"/>
      <c r="W159" s="34"/>
      <c r="X159" s="39"/>
    </row>
    <row r="160" spans="4:24" x14ac:dyDescent="0.25">
      <c r="D160" s="7"/>
      <c r="E160" s="7"/>
      <c r="F160" s="7"/>
      <c r="G160" s="7"/>
      <c r="H160" s="7"/>
      <c r="I160" s="7"/>
      <c r="J160" s="7"/>
      <c r="K160" s="7"/>
      <c r="W160" s="34"/>
      <c r="X160" s="39"/>
    </row>
    <row r="161" spans="4:24" x14ac:dyDescent="0.25">
      <c r="D161" s="7"/>
      <c r="E161" s="7"/>
      <c r="F161" s="7"/>
      <c r="G161" s="7"/>
      <c r="H161" s="7"/>
      <c r="I161" s="7"/>
      <c r="J161" s="7"/>
      <c r="K161" s="7"/>
      <c r="W161" s="34"/>
      <c r="X161" s="39"/>
    </row>
    <row r="162" spans="4:24" x14ac:dyDescent="0.25">
      <c r="D162" s="7"/>
      <c r="E162" s="7"/>
      <c r="F162" s="7"/>
      <c r="G162" s="7"/>
      <c r="H162" s="7"/>
      <c r="I162" s="7"/>
      <c r="J162" s="7"/>
      <c r="K162" s="7"/>
      <c r="W162" s="34"/>
      <c r="X162" s="39"/>
    </row>
    <row r="163" spans="4:24" x14ac:dyDescent="0.25">
      <c r="D163" s="7"/>
      <c r="E163" s="7"/>
      <c r="F163" s="7"/>
      <c r="G163" s="7"/>
      <c r="H163" s="7"/>
      <c r="I163" s="7"/>
      <c r="J163" s="7"/>
      <c r="K163" s="7"/>
      <c r="W163" s="34"/>
      <c r="X163" s="39"/>
    </row>
    <row r="164" spans="4:24" x14ac:dyDescent="0.25">
      <c r="D164" s="7"/>
      <c r="E164" s="7"/>
      <c r="F164" s="7"/>
      <c r="G164" s="7"/>
      <c r="H164" s="7"/>
      <c r="I164" s="7"/>
      <c r="J164" s="7"/>
      <c r="K164" s="7"/>
      <c r="W164" s="34"/>
      <c r="X164" s="39"/>
    </row>
    <row r="165" spans="4:24" x14ac:dyDescent="0.25">
      <c r="D165" s="7"/>
      <c r="E165" s="7"/>
      <c r="F165" s="7"/>
      <c r="G165" s="7"/>
      <c r="H165" s="7"/>
      <c r="I165" s="7"/>
      <c r="J165" s="7"/>
      <c r="K165" s="7"/>
      <c r="W165" s="34"/>
      <c r="X165" s="39"/>
    </row>
    <row r="166" spans="4:24" x14ac:dyDescent="0.25">
      <c r="D166" s="7"/>
      <c r="E166" s="7"/>
      <c r="F166" s="7"/>
      <c r="G166" s="7"/>
      <c r="H166" s="7"/>
      <c r="I166" s="7"/>
      <c r="J166" s="7"/>
      <c r="K166" s="7"/>
      <c r="W166" s="34"/>
      <c r="X166" s="39"/>
    </row>
    <row r="167" spans="4:24" x14ac:dyDescent="0.25">
      <c r="D167" s="7"/>
      <c r="E167" s="7"/>
      <c r="F167" s="7"/>
      <c r="G167" s="7"/>
      <c r="H167" s="7"/>
      <c r="I167" s="7"/>
      <c r="J167" s="7"/>
      <c r="K167" s="7"/>
      <c r="W167" s="34"/>
      <c r="X167" s="39"/>
    </row>
    <row r="168" spans="4:24" x14ac:dyDescent="0.25">
      <c r="D168" s="7"/>
      <c r="E168" s="7"/>
      <c r="F168" s="7"/>
      <c r="G168" s="7"/>
      <c r="H168" s="7"/>
      <c r="I168" s="7"/>
      <c r="J168" s="7"/>
      <c r="K168" s="7"/>
      <c r="W168" s="34"/>
      <c r="X168" s="39"/>
    </row>
    <row r="169" spans="4:24" x14ac:dyDescent="0.25">
      <c r="D169" s="7"/>
      <c r="E169" s="7"/>
      <c r="F169" s="7"/>
      <c r="G169" s="7"/>
      <c r="H169" s="7"/>
      <c r="I169" s="7"/>
      <c r="J169" s="7"/>
      <c r="K169" s="7"/>
      <c r="W169" s="34"/>
      <c r="X169" s="39"/>
    </row>
    <row r="170" spans="4:24" x14ac:dyDescent="0.25">
      <c r="D170" s="7"/>
      <c r="E170" s="7"/>
      <c r="F170" s="7"/>
      <c r="G170" s="7"/>
      <c r="H170" s="7"/>
      <c r="I170" s="7"/>
      <c r="J170" s="7"/>
      <c r="K170" s="7"/>
      <c r="W170" s="34"/>
      <c r="X170" s="39"/>
    </row>
    <row r="171" spans="4:24" x14ac:dyDescent="0.25">
      <c r="D171" s="7"/>
      <c r="E171" s="7"/>
      <c r="F171" s="7"/>
      <c r="G171" s="7"/>
      <c r="H171" s="7"/>
      <c r="I171" s="7"/>
      <c r="J171" s="7"/>
      <c r="K171" s="7"/>
      <c r="W171" s="34"/>
      <c r="X171" s="39"/>
    </row>
    <row r="172" spans="4:24" x14ac:dyDescent="0.25">
      <c r="D172" s="7"/>
      <c r="E172" s="7"/>
      <c r="F172" s="7"/>
      <c r="G172" s="7"/>
      <c r="H172" s="7"/>
      <c r="I172" s="7"/>
      <c r="J172" s="7"/>
      <c r="K172" s="7"/>
      <c r="W172" s="34"/>
      <c r="X172" s="39"/>
    </row>
    <row r="173" spans="4:24" x14ac:dyDescent="0.25">
      <c r="D173" s="7"/>
      <c r="E173" s="7"/>
      <c r="F173" s="7"/>
      <c r="G173" s="7"/>
      <c r="H173" s="7"/>
      <c r="I173" s="7"/>
      <c r="J173" s="7"/>
      <c r="K173" s="7"/>
      <c r="W173" s="34"/>
      <c r="X173" s="39"/>
    </row>
    <row r="174" spans="4:24" x14ac:dyDescent="0.25">
      <c r="D174" s="7"/>
      <c r="E174" s="7"/>
      <c r="F174" s="7"/>
      <c r="G174" s="7"/>
      <c r="H174" s="7"/>
      <c r="I174" s="7"/>
      <c r="J174" s="7"/>
      <c r="K174" s="7"/>
      <c r="W174" s="34"/>
      <c r="X174" s="39"/>
    </row>
    <row r="175" spans="4:24" x14ac:dyDescent="0.25">
      <c r="D175" s="7"/>
      <c r="E175" s="7"/>
      <c r="F175" s="7"/>
      <c r="G175" s="7"/>
      <c r="H175" s="7"/>
      <c r="I175" s="7"/>
      <c r="J175" s="7"/>
      <c r="K175" s="7"/>
      <c r="W175" s="34"/>
      <c r="X175" s="39"/>
    </row>
    <row r="176" spans="4:24" x14ac:dyDescent="0.25">
      <c r="D176" s="7"/>
      <c r="E176" s="7"/>
      <c r="F176" s="7"/>
      <c r="G176" s="7"/>
      <c r="H176" s="7"/>
      <c r="I176" s="7"/>
      <c r="J176" s="7"/>
      <c r="K176" s="7"/>
      <c r="W176" s="34"/>
      <c r="X176" s="39"/>
    </row>
    <row r="177" spans="4:24" x14ac:dyDescent="0.25">
      <c r="D177" s="7"/>
      <c r="E177" s="7"/>
      <c r="F177" s="7"/>
      <c r="G177" s="7"/>
      <c r="H177" s="7"/>
      <c r="I177" s="7"/>
      <c r="J177" s="7"/>
      <c r="K177" s="7"/>
      <c r="W177" s="34"/>
      <c r="X177" s="39"/>
    </row>
    <row r="178" spans="4:24" x14ac:dyDescent="0.25">
      <c r="D178" s="7"/>
      <c r="E178" s="7"/>
      <c r="F178" s="7"/>
      <c r="G178" s="7"/>
      <c r="H178" s="7"/>
      <c r="I178" s="7"/>
      <c r="J178" s="7"/>
      <c r="K178" s="7"/>
      <c r="W178" s="34"/>
      <c r="X178" s="39"/>
    </row>
    <row r="179" spans="4:24" x14ac:dyDescent="0.25">
      <c r="D179" s="7"/>
      <c r="E179" s="7"/>
      <c r="F179" s="7"/>
      <c r="G179" s="7"/>
      <c r="H179" s="7"/>
      <c r="I179" s="7"/>
      <c r="J179" s="7"/>
      <c r="K179" s="7"/>
      <c r="W179" s="34"/>
      <c r="X179" s="39"/>
    </row>
    <row r="180" spans="4:24" x14ac:dyDescent="0.25">
      <c r="D180" s="7"/>
      <c r="E180" s="7"/>
      <c r="F180" s="7"/>
      <c r="G180" s="7"/>
      <c r="H180" s="7"/>
      <c r="I180" s="7"/>
      <c r="J180" s="7"/>
      <c r="K180" s="7"/>
      <c r="W180" s="34"/>
      <c r="X180" s="39"/>
    </row>
    <row r="181" spans="4:24" x14ac:dyDescent="0.25">
      <c r="D181" s="7"/>
      <c r="E181" s="7"/>
      <c r="F181" s="7"/>
      <c r="G181" s="7"/>
      <c r="H181" s="7"/>
      <c r="I181" s="7"/>
      <c r="J181" s="7"/>
      <c r="K181" s="7"/>
      <c r="W181" s="34"/>
      <c r="X181" s="39"/>
    </row>
    <row r="182" spans="4:24" x14ac:dyDescent="0.25">
      <c r="D182" s="7"/>
      <c r="E182" s="7"/>
      <c r="F182" s="7"/>
      <c r="G182" s="7"/>
      <c r="H182" s="7"/>
      <c r="I182" s="7"/>
      <c r="J182" s="7"/>
      <c r="K182" s="7"/>
      <c r="W182" s="34"/>
      <c r="X182" s="39"/>
    </row>
    <row r="183" spans="4:24" x14ac:dyDescent="0.25">
      <c r="D183" s="7"/>
      <c r="E183" s="7"/>
      <c r="F183" s="7"/>
      <c r="G183" s="7"/>
      <c r="H183" s="7"/>
      <c r="I183" s="7"/>
      <c r="J183" s="7"/>
      <c r="K183" s="7"/>
      <c r="W183" s="34"/>
      <c r="X183" s="39"/>
    </row>
    <row r="184" spans="4:24" x14ac:dyDescent="0.25">
      <c r="D184" s="7"/>
      <c r="E184" s="7"/>
      <c r="F184" s="7"/>
      <c r="G184" s="7"/>
      <c r="H184" s="7"/>
      <c r="I184" s="7"/>
      <c r="J184" s="7"/>
      <c r="K184" s="7"/>
      <c r="W184" s="34"/>
      <c r="X184" s="39"/>
    </row>
    <row r="185" spans="4:24" x14ac:dyDescent="0.25">
      <c r="D185" s="7"/>
      <c r="E185" s="7"/>
      <c r="F185" s="7"/>
      <c r="G185" s="7"/>
      <c r="H185" s="7"/>
      <c r="I185" s="7"/>
      <c r="J185" s="7"/>
      <c r="K185" s="7"/>
      <c r="W185" s="34"/>
      <c r="X185" s="39"/>
    </row>
    <row r="186" spans="4:24" x14ac:dyDescent="0.25">
      <c r="D186" s="7"/>
      <c r="E186" s="7"/>
      <c r="F186" s="7"/>
      <c r="G186" s="7"/>
      <c r="H186" s="7"/>
      <c r="I186" s="7"/>
      <c r="J186" s="7"/>
      <c r="K186" s="7"/>
      <c r="W186" s="34"/>
      <c r="X186" s="39"/>
    </row>
    <row r="187" spans="4:24" x14ac:dyDescent="0.25">
      <c r="D187" s="7"/>
      <c r="E187" s="7"/>
      <c r="F187" s="7"/>
      <c r="G187" s="7"/>
      <c r="H187" s="7"/>
      <c r="I187" s="7"/>
      <c r="J187" s="7"/>
      <c r="K187" s="7"/>
      <c r="W187" s="34"/>
      <c r="X187" s="39"/>
    </row>
    <row r="188" spans="4:24" x14ac:dyDescent="0.25">
      <c r="D188" s="7"/>
      <c r="E188" s="7"/>
      <c r="F188" s="7"/>
      <c r="G188" s="7"/>
      <c r="H188" s="7"/>
      <c r="I188" s="7"/>
      <c r="J188" s="7"/>
      <c r="K188" s="7"/>
      <c r="W188" s="34"/>
      <c r="X188" s="39"/>
    </row>
    <row r="189" spans="4:24" x14ac:dyDescent="0.25">
      <c r="D189" s="7"/>
      <c r="E189" s="7"/>
      <c r="F189" s="7"/>
      <c r="G189" s="7"/>
      <c r="H189" s="7"/>
      <c r="I189" s="7"/>
      <c r="J189" s="7"/>
      <c r="K189" s="7"/>
      <c r="W189" s="34"/>
      <c r="X189" s="39"/>
    </row>
    <row r="190" spans="4:24" x14ac:dyDescent="0.25">
      <c r="D190" s="7"/>
      <c r="E190" s="7"/>
      <c r="F190" s="7"/>
      <c r="G190" s="7"/>
      <c r="H190" s="7"/>
      <c r="I190" s="7"/>
      <c r="J190" s="7"/>
      <c r="K190" s="7"/>
      <c r="W190" s="34"/>
      <c r="X190" s="39"/>
    </row>
    <row r="191" spans="4:24" x14ac:dyDescent="0.25">
      <c r="D191" s="7"/>
      <c r="E191" s="7"/>
      <c r="F191" s="7"/>
      <c r="G191" s="7"/>
      <c r="H191" s="7"/>
      <c r="I191" s="7"/>
      <c r="J191" s="7"/>
      <c r="K191" s="7"/>
      <c r="W191" s="34"/>
      <c r="X191" s="39"/>
    </row>
    <row r="192" spans="4:24" x14ac:dyDescent="0.25">
      <c r="D192" s="7"/>
      <c r="E192" s="7"/>
      <c r="F192" s="7"/>
      <c r="G192" s="7"/>
      <c r="H192" s="7"/>
      <c r="I192" s="7"/>
      <c r="J192" s="7"/>
      <c r="K192" s="7"/>
      <c r="W192" s="34"/>
      <c r="X192" s="39"/>
    </row>
    <row r="193" spans="4:24" x14ac:dyDescent="0.25">
      <c r="D193" s="7"/>
      <c r="E193" s="7"/>
      <c r="F193" s="7"/>
      <c r="G193" s="7"/>
      <c r="H193" s="7"/>
      <c r="I193" s="7"/>
      <c r="J193" s="7"/>
      <c r="K193" s="7"/>
      <c r="W193" s="34"/>
      <c r="X193" s="39"/>
    </row>
    <row r="194" spans="4:24" x14ac:dyDescent="0.25">
      <c r="D194" s="7"/>
      <c r="E194" s="7"/>
      <c r="F194" s="7"/>
      <c r="G194" s="7"/>
      <c r="H194" s="7"/>
      <c r="I194" s="7"/>
      <c r="J194" s="7"/>
      <c r="K194" s="7"/>
      <c r="W194" s="34"/>
      <c r="X194" s="39"/>
    </row>
    <row r="195" spans="4:24" x14ac:dyDescent="0.25">
      <c r="D195" s="7"/>
      <c r="E195" s="7"/>
      <c r="F195" s="7"/>
      <c r="G195" s="7"/>
      <c r="H195" s="7"/>
      <c r="I195" s="7"/>
      <c r="J195" s="7"/>
      <c r="K195" s="7"/>
      <c r="W195" s="34"/>
      <c r="X195" s="39"/>
    </row>
    <row r="196" spans="4:24" x14ac:dyDescent="0.25">
      <c r="D196" s="7"/>
      <c r="E196" s="7"/>
      <c r="F196" s="7"/>
      <c r="G196" s="7"/>
      <c r="H196" s="7"/>
      <c r="I196" s="7"/>
      <c r="J196" s="7"/>
      <c r="K196" s="7"/>
      <c r="W196" s="34"/>
      <c r="X196" s="39"/>
    </row>
    <row r="197" spans="4:24" x14ac:dyDescent="0.25">
      <c r="D197" s="7"/>
      <c r="E197" s="7"/>
      <c r="F197" s="7"/>
      <c r="G197" s="7"/>
      <c r="H197" s="7"/>
      <c r="I197" s="7"/>
      <c r="J197" s="7"/>
      <c r="K197" s="7"/>
      <c r="W197" s="34"/>
      <c r="X197" s="39"/>
    </row>
    <row r="198" spans="4:24" x14ac:dyDescent="0.25">
      <c r="D198" s="7"/>
      <c r="E198" s="7"/>
      <c r="F198" s="7"/>
      <c r="G198" s="7"/>
      <c r="H198" s="7"/>
      <c r="I198" s="7"/>
      <c r="J198" s="7"/>
      <c r="K198" s="7"/>
      <c r="W198" s="34"/>
      <c r="X198" s="39"/>
    </row>
    <row r="199" spans="4:24" x14ac:dyDescent="0.25">
      <c r="D199" s="7"/>
      <c r="E199" s="7"/>
      <c r="F199" s="7"/>
      <c r="G199" s="7"/>
      <c r="H199" s="7"/>
      <c r="I199" s="7"/>
      <c r="J199" s="7"/>
      <c r="K199" s="7"/>
      <c r="W199" s="34"/>
      <c r="X199" s="39"/>
    </row>
    <row r="200" spans="4:24" x14ac:dyDescent="0.25">
      <c r="D200" s="7"/>
      <c r="E200" s="7"/>
      <c r="F200" s="7"/>
      <c r="G200" s="7"/>
      <c r="H200" s="7"/>
      <c r="I200" s="7"/>
      <c r="J200" s="7"/>
      <c r="K200" s="7"/>
      <c r="W200" s="34"/>
      <c r="X200" s="39"/>
    </row>
    <row r="201" spans="4:24" x14ac:dyDescent="0.25">
      <c r="D201" s="7"/>
      <c r="E201" s="7"/>
      <c r="F201" s="7"/>
      <c r="G201" s="7"/>
      <c r="H201" s="7"/>
      <c r="I201" s="7"/>
      <c r="J201" s="7"/>
      <c r="K201" s="7"/>
      <c r="W201" s="34"/>
      <c r="X201" s="39"/>
    </row>
    <row r="202" spans="4:24" x14ac:dyDescent="0.25">
      <c r="D202" s="7"/>
      <c r="E202" s="7"/>
      <c r="F202" s="7"/>
      <c r="G202" s="7"/>
      <c r="H202" s="7"/>
      <c r="I202" s="7"/>
      <c r="J202" s="7"/>
      <c r="K202" s="7"/>
      <c r="W202" s="34"/>
      <c r="X202" s="39"/>
    </row>
    <row r="203" spans="4:24" x14ac:dyDescent="0.25">
      <c r="D203" s="7"/>
      <c r="E203" s="7"/>
      <c r="F203" s="7"/>
      <c r="G203" s="7"/>
      <c r="H203" s="7"/>
      <c r="I203" s="7"/>
      <c r="J203" s="7"/>
      <c r="K203" s="7"/>
      <c r="W203" s="34"/>
      <c r="X203" s="39"/>
    </row>
    <row r="204" spans="4:24" x14ac:dyDescent="0.25">
      <c r="D204" s="7"/>
      <c r="E204" s="7"/>
      <c r="F204" s="7"/>
      <c r="G204" s="7"/>
      <c r="H204" s="7"/>
      <c r="I204" s="7"/>
      <c r="J204" s="7"/>
      <c r="K204" s="7"/>
      <c r="W204" s="34"/>
      <c r="X204" s="39"/>
    </row>
    <row r="205" spans="4:24" x14ac:dyDescent="0.25">
      <c r="D205" s="7"/>
      <c r="E205" s="7"/>
      <c r="F205" s="7"/>
      <c r="G205" s="7"/>
      <c r="H205" s="7"/>
      <c r="I205" s="7"/>
      <c r="J205" s="7"/>
      <c r="K205" s="7"/>
      <c r="W205" s="34"/>
      <c r="X205" s="39"/>
    </row>
    <row r="206" spans="4:24" x14ac:dyDescent="0.25">
      <c r="D206" s="7"/>
      <c r="E206" s="7"/>
      <c r="F206" s="7"/>
      <c r="G206" s="7"/>
      <c r="H206" s="7"/>
      <c r="I206" s="7"/>
      <c r="J206" s="7"/>
      <c r="K206" s="7"/>
      <c r="W206" s="34"/>
      <c r="X206" s="39"/>
    </row>
    <row r="207" spans="4:24" x14ac:dyDescent="0.25">
      <c r="D207" s="7"/>
      <c r="E207" s="7"/>
      <c r="F207" s="7"/>
      <c r="G207" s="7"/>
      <c r="H207" s="7"/>
      <c r="I207" s="7"/>
      <c r="J207" s="7"/>
      <c r="K207" s="7"/>
      <c r="W207" s="34"/>
      <c r="X207" s="39"/>
    </row>
    <row r="208" spans="4:24" x14ac:dyDescent="0.25">
      <c r="D208" s="7"/>
      <c r="E208" s="7"/>
      <c r="F208" s="7"/>
      <c r="G208" s="7"/>
      <c r="H208" s="7"/>
      <c r="I208" s="7"/>
      <c r="J208" s="7"/>
      <c r="K208" s="7"/>
      <c r="W208" s="34"/>
      <c r="X208" s="39"/>
    </row>
    <row r="209" spans="4:24" x14ac:dyDescent="0.25">
      <c r="D209" s="7"/>
      <c r="E209" s="7"/>
      <c r="F209" s="7"/>
      <c r="G209" s="7"/>
      <c r="H209" s="7"/>
      <c r="I209" s="7"/>
      <c r="J209" s="7"/>
      <c r="K209" s="7"/>
      <c r="W209" s="34"/>
      <c r="X209" s="39"/>
    </row>
    <row r="210" spans="4:24" x14ac:dyDescent="0.25">
      <c r="D210" s="7"/>
      <c r="E210" s="7"/>
      <c r="F210" s="7"/>
      <c r="G210" s="7"/>
      <c r="H210" s="7"/>
      <c r="I210" s="7"/>
      <c r="J210" s="7"/>
      <c r="K210" s="7"/>
      <c r="W210" s="34"/>
      <c r="X210" s="39"/>
    </row>
    <row r="211" spans="4:24" x14ac:dyDescent="0.25">
      <c r="D211" s="7"/>
      <c r="E211" s="7"/>
      <c r="F211" s="7"/>
      <c r="G211" s="7"/>
      <c r="H211" s="7"/>
      <c r="I211" s="7"/>
      <c r="J211" s="7"/>
      <c r="K211" s="7"/>
      <c r="W211" s="34"/>
      <c r="X211" s="39"/>
    </row>
    <row r="212" spans="4:24" x14ac:dyDescent="0.25">
      <c r="D212" s="7"/>
      <c r="E212" s="7"/>
      <c r="F212" s="7"/>
      <c r="G212" s="7"/>
      <c r="H212" s="7"/>
      <c r="I212" s="7"/>
      <c r="J212" s="7"/>
      <c r="K212" s="7"/>
      <c r="W212" s="34"/>
      <c r="X212" s="39"/>
    </row>
    <row r="213" spans="4:24" x14ac:dyDescent="0.25">
      <c r="D213" s="7"/>
      <c r="E213" s="7"/>
      <c r="F213" s="7"/>
      <c r="G213" s="7"/>
      <c r="H213" s="7"/>
      <c r="I213" s="7"/>
      <c r="J213" s="7"/>
      <c r="K213" s="7"/>
      <c r="W213" s="34"/>
      <c r="X213" s="39"/>
    </row>
    <row r="214" spans="4:24" x14ac:dyDescent="0.25">
      <c r="D214" s="7"/>
      <c r="E214" s="7"/>
      <c r="F214" s="7"/>
      <c r="G214" s="7"/>
      <c r="H214" s="7"/>
      <c r="I214" s="7"/>
      <c r="J214" s="7"/>
      <c r="K214" s="7"/>
      <c r="W214" s="34"/>
      <c r="X214" s="39"/>
    </row>
    <row r="215" spans="4:24" x14ac:dyDescent="0.25">
      <c r="D215" s="7"/>
      <c r="E215" s="7"/>
      <c r="F215" s="7"/>
      <c r="G215" s="7"/>
      <c r="H215" s="7"/>
      <c r="I215" s="7"/>
      <c r="J215" s="7"/>
      <c r="K215" s="7"/>
      <c r="W215" s="34"/>
      <c r="X215" s="39"/>
    </row>
    <row r="216" spans="4:24" x14ac:dyDescent="0.25">
      <c r="D216" s="7"/>
      <c r="E216" s="7"/>
      <c r="F216" s="7"/>
      <c r="G216" s="7"/>
      <c r="H216" s="7"/>
      <c r="I216" s="7"/>
      <c r="J216" s="7"/>
      <c r="K216" s="7"/>
      <c r="W216" s="34"/>
      <c r="X216" s="39"/>
    </row>
    <row r="217" spans="4:24" x14ac:dyDescent="0.25">
      <c r="D217" s="7"/>
      <c r="E217" s="7"/>
      <c r="F217" s="7"/>
      <c r="G217" s="7"/>
      <c r="H217" s="7"/>
      <c r="I217" s="7"/>
      <c r="J217" s="7"/>
      <c r="K217" s="7"/>
      <c r="W217" s="34"/>
      <c r="X217" s="39"/>
    </row>
    <row r="218" spans="4:24" x14ac:dyDescent="0.25">
      <c r="D218" s="7"/>
      <c r="E218" s="7"/>
      <c r="F218" s="7"/>
      <c r="G218" s="7"/>
      <c r="H218" s="7"/>
      <c r="I218" s="7"/>
      <c r="J218" s="7"/>
      <c r="K218" s="7"/>
      <c r="W218" s="34"/>
      <c r="X218" s="39"/>
    </row>
    <row r="219" spans="4:24" x14ac:dyDescent="0.25">
      <c r="D219" s="7"/>
      <c r="E219" s="7"/>
      <c r="F219" s="7"/>
      <c r="G219" s="7"/>
      <c r="H219" s="7"/>
      <c r="I219" s="7"/>
      <c r="J219" s="7"/>
      <c r="K219" s="7"/>
      <c r="W219" s="34"/>
      <c r="X219" s="39"/>
    </row>
    <row r="220" spans="4:24" x14ac:dyDescent="0.25">
      <c r="D220" s="7"/>
      <c r="E220" s="7"/>
      <c r="F220" s="7"/>
      <c r="G220" s="7"/>
      <c r="H220" s="7"/>
      <c r="I220" s="7"/>
      <c r="J220" s="7"/>
      <c r="K220" s="7"/>
      <c r="W220" s="34"/>
      <c r="X220" s="39"/>
    </row>
    <row r="221" spans="4:24" x14ac:dyDescent="0.25">
      <c r="D221" s="7"/>
      <c r="E221" s="7"/>
      <c r="F221" s="7"/>
      <c r="G221" s="7"/>
      <c r="H221" s="7"/>
      <c r="I221" s="7"/>
      <c r="J221" s="7"/>
      <c r="K221" s="7"/>
      <c r="W221" s="34"/>
      <c r="X221" s="39"/>
    </row>
    <row r="222" spans="4:24" x14ac:dyDescent="0.25">
      <c r="D222" s="7"/>
      <c r="E222" s="7"/>
      <c r="F222" s="7"/>
      <c r="G222" s="7"/>
      <c r="H222" s="7"/>
      <c r="I222" s="7"/>
      <c r="J222" s="7"/>
      <c r="K222" s="7"/>
      <c r="W222" s="34"/>
      <c r="X222" s="39"/>
    </row>
    <row r="223" spans="4:24" x14ac:dyDescent="0.25">
      <c r="D223" s="7"/>
      <c r="E223" s="7"/>
      <c r="F223" s="7"/>
      <c r="G223" s="7"/>
      <c r="H223" s="7"/>
      <c r="I223" s="7"/>
      <c r="J223" s="7"/>
      <c r="K223" s="7"/>
      <c r="W223" s="34"/>
      <c r="X223" s="39"/>
    </row>
    <row r="224" spans="4:24" x14ac:dyDescent="0.25">
      <c r="D224" s="7"/>
      <c r="E224" s="7"/>
      <c r="F224" s="7"/>
      <c r="G224" s="7"/>
      <c r="H224" s="7"/>
      <c r="I224" s="7"/>
      <c r="J224" s="7"/>
      <c r="K224" s="7"/>
      <c r="W224" s="34"/>
      <c r="X224" s="39"/>
    </row>
    <row r="225" spans="4:24" x14ac:dyDescent="0.25">
      <c r="D225" s="7"/>
      <c r="E225" s="7"/>
      <c r="F225" s="7"/>
      <c r="G225" s="7"/>
      <c r="H225" s="7"/>
      <c r="I225" s="7"/>
      <c r="J225" s="7"/>
      <c r="K225" s="7"/>
      <c r="W225" s="34"/>
      <c r="X225" s="39"/>
    </row>
    <row r="226" spans="4:24" x14ac:dyDescent="0.25">
      <c r="D226" s="7"/>
      <c r="E226" s="7"/>
      <c r="F226" s="7"/>
      <c r="G226" s="7"/>
      <c r="H226" s="7"/>
      <c r="I226" s="7"/>
      <c r="J226" s="7"/>
      <c r="K226" s="7"/>
      <c r="W226" s="34"/>
      <c r="X226" s="39"/>
    </row>
    <row r="227" spans="4:24" x14ac:dyDescent="0.25">
      <c r="D227" s="7"/>
      <c r="E227" s="7"/>
      <c r="F227" s="7"/>
      <c r="G227" s="7"/>
      <c r="H227" s="7"/>
      <c r="I227" s="7"/>
      <c r="J227" s="7"/>
      <c r="K227" s="7"/>
      <c r="W227" s="34"/>
      <c r="X227" s="39"/>
    </row>
    <row r="228" spans="4:24" x14ac:dyDescent="0.25">
      <c r="D228" s="7"/>
      <c r="E228" s="7"/>
      <c r="F228" s="7"/>
      <c r="G228" s="7"/>
      <c r="H228" s="7"/>
      <c r="I228" s="7"/>
      <c r="J228" s="7"/>
      <c r="K228" s="7"/>
      <c r="W228" s="34"/>
      <c r="X228" s="39"/>
    </row>
    <row r="229" spans="4:24" x14ac:dyDescent="0.25">
      <c r="D229" s="7"/>
      <c r="E229" s="7"/>
      <c r="F229" s="7"/>
      <c r="G229" s="7"/>
      <c r="H229" s="7"/>
      <c r="I229" s="7"/>
      <c r="J229" s="7"/>
      <c r="K229" s="7"/>
      <c r="W229" s="34"/>
      <c r="X229" s="39"/>
    </row>
    <row r="230" spans="4:24" x14ac:dyDescent="0.25">
      <c r="D230" s="7"/>
      <c r="E230" s="7"/>
      <c r="F230" s="7"/>
      <c r="G230" s="7"/>
      <c r="H230" s="7"/>
      <c r="I230" s="7"/>
      <c r="J230" s="7"/>
      <c r="K230" s="7"/>
      <c r="W230" s="34"/>
      <c r="X230" s="39"/>
    </row>
    <row r="231" spans="4:24" x14ac:dyDescent="0.25">
      <c r="D231" s="7"/>
      <c r="E231" s="7"/>
      <c r="F231" s="7"/>
      <c r="G231" s="7"/>
      <c r="H231" s="7"/>
      <c r="I231" s="7"/>
      <c r="J231" s="7"/>
      <c r="K231" s="7"/>
      <c r="W231" s="34"/>
      <c r="X231" s="39"/>
    </row>
    <row r="232" spans="4:24" x14ac:dyDescent="0.25">
      <c r="D232" s="7"/>
      <c r="E232" s="7"/>
      <c r="F232" s="7"/>
      <c r="G232" s="7"/>
      <c r="H232" s="7"/>
      <c r="I232" s="7"/>
      <c r="J232" s="7"/>
      <c r="K232" s="7"/>
      <c r="W232" s="34"/>
      <c r="X232" s="39"/>
    </row>
    <row r="233" spans="4:24" x14ac:dyDescent="0.25">
      <c r="D233" s="7"/>
      <c r="E233" s="7"/>
      <c r="F233" s="7"/>
      <c r="G233" s="7"/>
      <c r="H233" s="7"/>
      <c r="I233" s="7"/>
      <c r="J233" s="7"/>
      <c r="K233" s="7"/>
      <c r="W233" s="34"/>
      <c r="X233" s="39"/>
    </row>
    <row r="234" spans="4:24" x14ac:dyDescent="0.25">
      <c r="D234" s="7"/>
      <c r="E234" s="7"/>
      <c r="F234" s="7"/>
      <c r="G234" s="7"/>
      <c r="H234" s="7"/>
      <c r="I234" s="7"/>
      <c r="J234" s="7"/>
      <c r="K234" s="7"/>
      <c r="W234" s="34"/>
      <c r="X234" s="39"/>
    </row>
    <row r="235" spans="4:24" x14ac:dyDescent="0.25">
      <c r="D235" s="7"/>
      <c r="E235" s="7"/>
      <c r="F235" s="7"/>
      <c r="G235" s="7"/>
      <c r="H235" s="7"/>
      <c r="I235" s="7"/>
      <c r="J235" s="7"/>
      <c r="K235" s="7"/>
      <c r="W235" s="34"/>
      <c r="X235" s="39"/>
    </row>
    <row r="236" spans="4:24" x14ac:dyDescent="0.25">
      <c r="D236" s="7"/>
      <c r="E236" s="7"/>
      <c r="F236" s="7"/>
      <c r="G236" s="7"/>
      <c r="H236" s="7"/>
      <c r="I236" s="7"/>
      <c r="J236" s="7"/>
      <c r="K236" s="7"/>
      <c r="W236" s="34"/>
      <c r="X236" s="39"/>
    </row>
    <row r="237" spans="4:24" x14ac:dyDescent="0.25">
      <c r="D237" s="7"/>
      <c r="E237" s="7"/>
      <c r="F237" s="7"/>
      <c r="G237" s="7"/>
      <c r="H237" s="7"/>
      <c r="I237" s="7"/>
      <c r="J237" s="7"/>
      <c r="K237" s="7"/>
      <c r="W237" s="34"/>
      <c r="X237" s="39"/>
    </row>
    <row r="238" spans="4:24" x14ac:dyDescent="0.25">
      <c r="D238" s="7"/>
      <c r="E238" s="7"/>
      <c r="F238" s="7"/>
      <c r="G238" s="7"/>
      <c r="H238" s="7"/>
      <c r="I238" s="7"/>
      <c r="J238" s="7"/>
      <c r="K238" s="7"/>
      <c r="W238" s="34"/>
      <c r="X238" s="39"/>
    </row>
    <row r="239" spans="4:24" x14ac:dyDescent="0.25">
      <c r="D239" s="7"/>
      <c r="E239" s="7"/>
      <c r="F239" s="7"/>
      <c r="G239" s="7"/>
      <c r="H239" s="7"/>
      <c r="I239" s="7"/>
      <c r="J239" s="7"/>
      <c r="K239" s="7"/>
      <c r="W239" s="34"/>
      <c r="X239" s="39"/>
    </row>
    <row r="240" spans="4:24" x14ac:dyDescent="0.25">
      <c r="D240" s="7"/>
      <c r="E240" s="7"/>
      <c r="F240" s="7"/>
      <c r="G240" s="7"/>
      <c r="H240" s="7"/>
      <c r="I240" s="7"/>
      <c r="J240" s="7"/>
      <c r="K240" s="7"/>
      <c r="W240" s="34"/>
      <c r="X240" s="39"/>
    </row>
    <row r="241" spans="4:24" x14ac:dyDescent="0.25">
      <c r="D241" s="7"/>
      <c r="E241" s="7"/>
      <c r="F241" s="7"/>
      <c r="G241" s="7"/>
      <c r="H241" s="7"/>
      <c r="I241" s="7"/>
      <c r="J241" s="7"/>
      <c r="K241" s="7"/>
      <c r="W241" s="34"/>
      <c r="X241" s="39"/>
    </row>
    <row r="242" spans="4:24" x14ac:dyDescent="0.25">
      <c r="D242" s="7"/>
      <c r="E242" s="7"/>
      <c r="F242" s="7"/>
      <c r="G242" s="7"/>
      <c r="H242" s="7"/>
      <c r="I242" s="7"/>
      <c r="J242" s="7"/>
      <c r="K242" s="7"/>
      <c r="W242" s="34"/>
      <c r="X242" s="39"/>
    </row>
    <row r="243" spans="4:24" x14ac:dyDescent="0.25">
      <c r="D243" s="7"/>
      <c r="E243" s="7"/>
      <c r="F243" s="7"/>
      <c r="G243" s="7"/>
      <c r="H243" s="7"/>
      <c r="I243" s="7"/>
      <c r="J243" s="7"/>
      <c r="K243" s="7"/>
      <c r="W243" s="34"/>
      <c r="X243" s="39"/>
    </row>
    <row r="244" spans="4:24" x14ac:dyDescent="0.25">
      <c r="D244" s="7"/>
      <c r="E244" s="7"/>
      <c r="F244" s="7"/>
      <c r="G244" s="7"/>
      <c r="H244" s="7"/>
      <c r="I244" s="7"/>
      <c r="J244" s="7"/>
      <c r="K244" s="7"/>
      <c r="W244" s="34"/>
      <c r="X244" s="39"/>
    </row>
    <row r="245" spans="4:24" x14ac:dyDescent="0.25">
      <c r="D245" s="7"/>
      <c r="E245" s="7"/>
      <c r="F245" s="7"/>
      <c r="G245" s="7"/>
      <c r="H245" s="7"/>
      <c r="I245" s="7"/>
      <c r="J245" s="7"/>
      <c r="K245" s="7"/>
      <c r="W245" s="34"/>
      <c r="X245" s="39"/>
    </row>
    <row r="246" spans="4:24" x14ac:dyDescent="0.25">
      <c r="D246" s="7"/>
      <c r="E246" s="7"/>
      <c r="F246" s="7"/>
      <c r="G246" s="7"/>
      <c r="H246" s="7"/>
      <c r="I246" s="7"/>
      <c r="J246" s="7"/>
      <c r="K246" s="7"/>
      <c r="W246" s="34"/>
      <c r="X246" s="39"/>
    </row>
    <row r="247" spans="4:24" x14ac:dyDescent="0.25">
      <c r="D247" s="7"/>
      <c r="E247" s="7"/>
      <c r="F247" s="7"/>
      <c r="G247" s="7"/>
      <c r="H247" s="7"/>
      <c r="I247" s="7"/>
      <c r="J247" s="7"/>
      <c r="K247" s="7"/>
      <c r="W247" s="34"/>
      <c r="X247" s="39"/>
    </row>
    <row r="248" spans="4:24" x14ac:dyDescent="0.25">
      <c r="D248" s="7"/>
      <c r="E248" s="7"/>
      <c r="F248" s="7"/>
      <c r="G248" s="7"/>
      <c r="H248" s="7"/>
      <c r="I248" s="7"/>
      <c r="J248" s="7"/>
      <c r="K248" s="7"/>
      <c r="W248" s="34"/>
      <c r="X248" s="39"/>
    </row>
    <row r="249" spans="4:24" x14ac:dyDescent="0.25">
      <c r="D249" s="7"/>
      <c r="E249" s="7"/>
      <c r="F249" s="7"/>
      <c r="G249" s="7"/>
      <c r="H249" s="7"/>
      <c r="I249" s="7"/>
      <c r="J249" s="7"/>
      <c r="K249" s="7"/>
      <c r="W249" s="34"/>
      <c r="X249" s="39"/>
    </row>
    <row r="250" spans="4:24" x14ac:dyDescent="0.25">
      <c r="D250" s="7"/>
      <c r="E250" s="7"/>
      <c r="F250" s="7"/>
      <c r="G250" s="7"/>
      <c r="H250" s="7"/>
      <c r="I250" s="7"/>
      <c r="J250" s="7"/>
      <c r="K250" s="7"/>
      <c r="W250" s="34"/>
      <c r="X250" s="39"/>
    </row>
    <row r="251" spans="4:24" x14ac:dyDescent="0.25">
      <c r="D251" s="7"/>
      <c r="E251" s="7"/>
      <c r="F251" s="7"/>
      <c r="G251" s="7"/>
      <c r="H251" s="7"/>
      <c r="I251" s="7"/>
      <c r="J251" s="7"/>
      <c r="K251" s="7"/>
      <c r="W251" s="34"/>
      <c r="X251" s="39"/>
    </row>
    <row r="252" spans="4:24" x14ac:dyDescent="0.25">
      <c r="D252" s="7"/>
      <c r="E252" s="7"/>
      <c r="F252" s="7"/>
      <c r="G252" s="7"/>
      <c r="H252" s="7"/>
      <c r="I252" s="7"/>
      <c r="J252" s="7"/>
      <c r="K252" s="7"/>
      <c r="W252" s="34"/>
      <c r="X252" s="39"/>
    </row>
    <row r="253" spans="4:24" x14ac:dyDescent="0.25">
      <c r="D253" s="7"/>
      <c r="E253" s="7"/>
      <c r="F253" s="7"/>
      <c r="G253" s="7"/>
      <c r="H253" s="7"/>
      <c r="I253" s="7"/>
      <c r="J253" s="7"/>
      <c r="K253" s="7"/>
      <c r="W253" s="34"/>
      <c r="X253" s="39"/>
    </row>
    <row r="254" spans="4:24" x14ac:dyDescent="0.25">
      <c r="D254" s="7"/>
      <c r="E254" s="7"/>
      <c r="F254" s="7"/>
      <c r="G254" s="7"/>
      <c r="H254" s="7"/>
      <c r="I254" s="7"/>
      <c r="J254" s="7"/>
      <c r="K254" s="7"/>
      <c r="W254" s="34"/>
      <c r="X254" s="39"/>
    </row>
    <row r="255" spans="4:24" x14ac:dyDescent="0.25">
      <c r="D255" s="7"/>
      <c r="E255" s="7"/>
      <c r="F255" s="7"/>
      <c r="G255" s="7"/>
      <c r="H255" s="7"/>
      <c r="I255" s="7"/>
      <c r="J255" s="7"/>
      <c r="K255" s="7"/>
      <c r="W255" s="34"/>
      <c r="X255" s="39"/>
    </row>
    <row r="256" spans="4:24" x14ac:dyDescent="0.25">
      <c r="D256" s="7"/>
      <c r="E256" s="7"/>
      <c r="F256" s="7"/>
      <c r="G256" s="7"/>
      <c r="H256" s="7"/>
      <c r="I256" s="7"/>
      <c r="J256" s="7"/>
      <c r="K256" s="7"/>
      <c r="W256" s="34"/>
      <c r="X256" s="39"/>
    </row>
    <row r="257" spans="4:24" x14ac:dyDescent="0.25">
      <c r="D257" s="7"/>
      <c r="E257" s="7"/>
      <c r="F257" s="7"/>
      <c r="G257" s="7"/>
      <c r="H257" s="7"/>
      <c r="I257" s="7"/>
      <c r="J257" s="7"/>
      <c r="K257" s="7"/>
      <c r="W257" s="34"/>
      <c r="X257" s="39"/>
    </row>
    <row r="258" spans="4:24" x14ac:dyDescent="0.25">
      <c r="D258" s="7"/>
      <c r="E258" s="7"/>
      <c r="F258" s="7"/>
      <c r="G258" s="7"/>
      <c r="H258" s="7"/>
      <c r="I258" s="7"/>
      <c r="J258" s="7"/>
      <c r="K258" s="7"/>
      <c r="W258" s="34"/>
      <c r="X258" s="39"/>
    </row>
    <row r="259" spans="4:24" x14ac:dyDescent="0.25">
      <c r="D259" s="7"/>
      <c r="E259" s="7"/>
      <c r="F259" s="7"/>
      <c r="G259" s="7"/>
      <c r="H259" s="7"/>
      <c r="I259" s="7"/>
      <c r="J259" s="7"/>
      <c r="K259" s="7"/>
      <c r="W259" s="34"/>
      <c r="X259" s="39"/>
    </row>
    <row r="260" spans="4:24" x14ac:dyDescent="0.25">
      <c r="D260" s="7"/>
      <c r="E260" s="7"/>
      <c r="F260" s="7"/>
      <c r="G260" s="7"/>
      <c r="H260" s="7"/>
      <c r="I260" s="7"/>
      <c r="J260" s="7"/>
      <c r="K260" s="7"/>
      <c r="W260" s="34"/>
      <c r="X260" s="39"/>
    </row>
    <row r="261" spans="4:24" x14ac:dyDescent="0.25">
      <c r="D261" s="7"/>
      <c r="E261" s="7"/>
      <c r="F261" s="7"/>
      <c r="G261" s="7"/>
      <c r="H261" s="7"/>
      <c r="I261" s="7"/>
      <c r="J261" s="7"/>
      <c r="K261" s="7"/>
      <c r="W261" s="34"/>
      <c r="X261" s="39"/>
    </row>
    <row r="262" spans="4:24" x14ac:dyDescent="0.25">
      <c r="D262" s="7"/>
      <c r="E262" s="7"/>
      <c r="F262" s="7"/>
      <c r="G262" s="7"/>
      <c r="H262" s="7"/>
      <c r="I262" s="7"/>
      <c r="J262" s="7"/>
      <c r="K262" s="7"/>
      <c r="W262" s="34"/>
      <c r="X262" s="39"/>
    </row>
    <row r="263" spans="4:24" x14ac:dyDescent="0.25">
      <c r="D263" s="7"/>
      <c r="E263" s="7"/>
      <c r="F263" s="7"/>
      <c r="G263" s="7"/>
      <c r="H263" s="7"/>
      <c r="I263" s="7"/>
      <c r="J263" s="7"/>
      <c r="K263" s="7"/>
      <c r="W263" s="34"/>
      <c r="X263" s="39"/>
    </row>
    <row r="264" spans="4:24" x14ac:dyDescent="0.25">
      <c r="D264" s="7"/>
      <c r="E264" s="7"/>
      <c r="F264" s="7"/>
      <c r="G264" s="7"/>
      <c r="H264" s="7"/>
      <c r="I264" s="7"/>
      <c r="J264" s="7"/>
      <c r="K264" s="7"/>
      <c r="W264" s="34"/>
      <c r="X264" s="39"/>
    </row>
    <row r="265" spans="4:24" x14ac:dyDescent="0.25">
      <c r="D265" s="7"/>
      <c r="E265" s="7"/>
      <c r="F265" s="7"/>
      <c r="G265" s="7"/>
      <c r="H265" s="7"/>
      <c r="I265" s="7"/>
      <c r="J265" s="7"/>
      <c r="K265" s="7"/>
      <c r="W265" s="34"/>
      <c r="X265" s="39"/>
    </row>
    <row r="266" spans="4:24" x14ac:dyDescent="0.25">
      <c r="D266" s="7"/>
      <c r="E266" s="7"/>
      <c r="F266" s="7"/>
      <c r="G266" s="7"/>
      <c r="H266" s="7"/>
      <c r="I266" s="7"/>
      <c r="J266" s="7"/>
      <c r="K266" s="7"/>
      <c r="W266" s="34"/>
      <c r="X266" s="39"/>
    </row>
    <row r="267" spans="4:24" x14ac:dyDescent="0.25">
      <c r="D267" s="7"/>
      <c r="E267" s="7"/>
      <c r="F267" s="7"/>
      <c r="G267" s="7"/>
      <c r="H267" s="7"/>
      <c r="I267" s="7"/>
      <c r="J267" s="7"/>
      <c r="K267" s="7"/>
      <c r="W267" s="34"/>
      <c r="X267" s="39"/>
    </row>
    <row r="268" spans="4:24" x14ac:dyDescent="0.25">
      <c r="D268" s="7"/>
      <c r="E268" s="7"/>
      <c r="F268" s="7"/>
      <c r="G268" s="7"/>
      <c r="H268" s="7"/>
      <c r="I268" s="7"/>
      <c r="J268" s="7"/>
      <c r="K268" s="7"/>
      <c r="W268" s="34"/>
      <c r="X268" s="39"/>
    </row>
    <row r="269" spans="4:24" x14ac:dyDescent="0.25">
      <c r="D269" s="7"/>
      <c r="E269" s="7"/>
      <c r="F269" s="7"/>
      <c r="G269" s="7"/>
      <c r="H269" s="7"/>
      <c r="I269" s="7"/>
      <c r="J269" s="7"/>
      <c r="K269" s="7"/>
      <c r="W269" s="34"/>
      <c r="X269" s="39"/>
    </row>
    <row r="270" spans="4:24" x14ac:dyDescent="0.25">
      <c r="D270" s="7"/>
      <c r="E270" s="7"/>
      <c r="F270" s="7"/>
      <c r="G270" s="7"/>
      <c r="H270" s="7"/>
      <c r="I270" s="7"/>
      <c r="J270" s="7"/>
      <c r="K270" s="7"/>
      <c r="W270" s="34"/>
      <c r="X270" s="39"/>
    </row>
    <row r="271" spans="4:24" x14ac:dyDescent="0.25">
      <c r="D271" s="7"/>
      <c r="E271" s="7"/>
      <c r="F271" s="7"/>
      <c r="G271" s="7"/>
      <c r="H271" s="7"/>
      <c r="I271" s="7"/>
      <c r="J271" s="7"/>
      <c r="K271" s="7"/>
      <c r="W271" s="34"/>
      <c r="X271" s="39"/>
    </row>
    <row r="272" spans="4:24" x14ac:dyDescent="0.25">
      <c r="D272" s="7"/>
      <c r="E272" s="7"/>
      <c r="F272" s="7"/>
      <c r="G272" s="7"/>
      <c r="H272" s="7"/>
      <c r="I272" s="7"/>
      <c r="J272" s="7"/>
      <c r="K272" s="7"/>
      <c r="W272" s="34"/>
      <c r="X272" s="39"/>
    </row>
    <row r="273" spans="4:24" x14ac:dyDescent="0.25">
      <c r="D273" s="7"/>
      <c r="E273" s="7"/>
      <c r="F273" s="7"/>
      <c r="G273" s="7"/>
      <c r="H273" s="7"/>
      <c r="I273" s="7"/>
      <c r="J273" s="7"/>
      <c r="K273" s="7"/>
      <c r="W273" s="34"/>
      <c r="X273" s="39"/>
    </row>
    <row r="274" spans="4:24" x14ac:dyDescent="0.25">
      <c r="D274" s="7"/>
      <c r="E274" s="7"/>
      <c r="F274" s="7"/>
      <c r="G274" s="7"/>
      <c r="H274" s="7"/>
      <c r="I274" s="7"/>
      <c r="J274" s="7"/>
      <c r="K274" s="7"/>
      <c r="W274" s="34"/>
      <c r="X274" s="39"/>
    </row>
    <row r="275" spans="4:24" x14ac:dyDescent="0.25">
      <c r="D275" s="7"/>
      <c r="E275" s="7"/>
      <c r="F275" s="7"/>
      <c r="G275" s="7"/>
      <c r="H275" s="7"/>
      <c r="I275" s="7"/>
      <c r="J275" s="7"/>
      <c r="K275" s="7"/>
      <c r="W275" s="34"/>
      <c r="X275" s="39"/>
    </row>
    <row r="276" spans="4:24" x14ac:dyDescent="0.25">
      <c r="D276" s="7"/>
      <c r="E276" s="7"/>
      <c r="F276" s="7"/>
      <c r="G276" s="7"/>
      <c r="H276" s="7"/>
      <c r="I276" s="7"/>
      <c r="J276" s="7"/>
      <c r="K276" s="7"/>
      <c r="W276" s="34"/>
      <c r="X276" s="39"/>
    </row>
    <row r="277" spans="4:24" x14ac:dyDescent="0.25">
      <c r="D277" s="7"/>
      <c r="E277" s="7"/>
      <c r="F277" s="7"/>
      <c r="G277" s="7"/>
      <c r="H277" s="7"/>
      <c r="I277" s="7"/>
      <c r="J277" s="7"/>
      <c r="K277" s="7"/>
      <c r="W277" s="34"/>
      <c r="X277" s="39"/>
    </row>
    <row r="278" spans="4:24" x14ac:dyDescent="0.25">
      <c r="D278" s="7"/>
      <c r="E278" s="7"/>
      <c r="F278" s="7"/>
      <c r="G278" s="7"/>
      <c r="H278" s="7"/>
      <c r="I278" s="7"/>
      <c r="J278" s="7"/>
      <c r="K278" s="7"/>
      <c r="W278" s="34"/>
      <c r="X278" s="39"/>
    </row>
    <row r="279" spans="4:24" x14ac:dyDescent="0.25">
      <c r="D279" s="7"/>
      <c r="E279" s="7"/>
      <c r="F279" s="7"/>
      <c r="G279" s="7"/>
      <c r="H279" s="7"/>
      <c r="I279" s="7"/>
      <c r="J279" s="7"/>
      <c r="K279" s="7"/>
      <c r="W279" s="34"/>
      <c r="X279" s="39"/>
    </row>
    <row r="280" spans="4:24" x14ac:dyDescent="0.25">
      <c r="D280" s="7"/>
      <c r="E280" s="7"/>
      <c r="F280" s="7"/>
      <c r="G280" s="7"/>
      <c r="H280" s="7"/>
      <c r="I280" s="7"/>
      <c r="J280" s="7"/>
      <c r="K280" s="7"/>
      <c r="W280" s="34"/>
      <c r="X280" s="39"/>
    </row>
    <row r="281" spans="4:24" x14ac:dyDescent="0.25">
      <c r="D281" s="7"/>
      <c r="E281" s="7"/>
      <c r="F281" s="7"/>
      <c r="G281" s="7"/>
      <c r="H281" s="7"/>
      <c r="I281" s="7"/>
      <c r="J281" s="7"/>
      <c r="K281" s="7"/>
      <c r="W281" s="34"/>
      <c r="X281" s="39"/>
    </row>
    <row r="282" spans="4:24" x14ac:dyDescent="0.25">
      <c r="D282" s="7"/>
      <c r="E282" s="7"/>
      <c r="F282" s="7"/>
      <c r="G282" s="7"/>
      <c r="H282" s="7"/>
      <c r="I282" s="7"/>
      <c r="J282" s="7"/>
      <c r="K282" s="7"/>
      <c r="W282" s="34"/>
      <c r="X282" s="39"/>
    </row>
    <row r="283" spans="4:24" x14ac:dyDescent="0.25">
      <c r="D283" s="7"/>
      <c r="E283" s="7"/>
      <c r="F283" s="7"/>
      <c r="G283" s="7"/>
      <c r="H283" s="7"/>
      <c r="I283" s="7"/>
      <c r="J283" s="7"/>
      <c r="K283" s="7"/>
      <c r="W283" s="34"/>
      <c r="X283" s="39"/>
    </row>
    <row r="284" spans="4:24" x14ac:dyDescent="0.25">
      <c r="D284" s="7"/>
      <c r="E284" s="7"/>
      <c r="F284" s="7"/>
      <c r="G284" s="7"/>
      <c r="H284" s="7"/>
      <c r="I284" s="7"/>
      <c r="J284" s="7"/>
      <c r="K284" s="7"/>
      <c r="W284" s="34"/>
      <c r="X284" s="39"/>
    </row>
    <row r="285" spans="4:24" x14ac:dyDescent="0.25">
      <c r="D285" s="7"/>
      <c r="E285" s="7"/>
      <c r="F285" s="7"/>
      <c r="G285" s="7"/>
      <c r="H285" s="7"/>
      <c r="I285" s="7"/>
      <c r="J285" s="7"/>
      <c r="K285" s="7"/>
      <c r="W285" s="34"/>
      <c r="X285" s="39"/>
    </row>
    <row r="286" spans="4:24" x14ac:dyDescent="0.25">
      <c r="D286" s="7"/>
      <c r="E286" s="7"/>
      <c r="F286" s="7"/>
      <c r="G286" s="7"/>
      <c r="H286" s="7"/>
      <c r="I286" s="7"/>
      <c r="J286" s="7"/>
      <c r="K286" s="7"/>
      <c r="W286" s="34"/>
      <c r="X286" s="39"/>
    </row>
    <row r="287" spans="4:24" x14ac:dyDescent="0.25">
      <c r="D287" s="7"/>
      <c r="E287" s="7"/>
      <c r="F287" s="7"/>
      <c r="G287" s="7"/>
      <c r="H287" s="7"/>
      <c r="I287" s="7"/>
      <c r="J287" s="7"/>
      <c r="K287" s="7"/>
      <c r="W287" s="34"/>
      <c r="X287" s="39"/>
    </row>
    <row r="288" spans="4:24" x14ac:dyDescent="0.25">
      <c r="D288" s="7"/>
      <c r="E288" s="7"/>
      <c r="F288" s="7"/>
      <c r="G288" s="7"/>
      <c r="H288" s="7"/>
      <c r="I288" s="7"/>
      <c r="J288" s="7"/>
      <c r="K288" s="7"/>
      <c r="W288" s="34"/>
      <c r="X288" s="39"/>
    </row>
    <row r="289" spans="4:24" x14ac:dyDescent="0.25">
      <c r="D289" s="7"/>
      <c r="E289" s="7"/>
      <c r="F289" s="7"/>
      <c r="G289" s="7"/>
      <c r="H289" s="7"/>
      <c r="I289" s="7"/>
      <c r="J289" s="7"/>
      <c r="K289" s="7"/>
      <c r="W289" s="34"/>
      <c r="X289" s="39"/>
    </row>
    <row r="290" spans="4:24" x14ac:dyDescent="0.25">
      <c r="D290" s="7"/>
      <c r="E290" s="7"/>
      <c r="F290" s="7"/>
      <c r="G290" s="7"/>
      <c r="H290" s="7"/>
      <c r="I290" s="7"/>
      <c r="J290" s="7"/>
      <c r="K290" s="7"/>
      <c r="W290" s="34"/>
      <c r="X290" s="39"/>
    </row>
    <row r="291" spans="4:24" x14ac:dyDescent="0.25">
      <c r="D291" s="7"/>
      <c r="E291" s="7"/>
      <c r="F291" s="7"/>
      <c r="G291" s="7"/>
      <c r="H291" s="7"/>
      <c r="I291" s="7"/>
      <c r="J291" s="7"/>
      <c r="K291" s="7"/>
      <c r="W291" s="34"/>
      <c r="X291" s="39"/>
    </row>
    <row r="292" spans="4:24" x14ac:dyDescent="0.25">
      <c r="D292" s="7"/>
      <c r="E292" s="7"/>
      <c r="F292" s="7"/>
      <c r="G292" s="7"/>
      <c r="H292" s="7"/>
      <c r="I292" s="7"/>
      <c r="J292" s="7"/>
      <c r="K292" s="7"/>
      <c r="W292" s="34"/>
      <c r="X292" s="39"/>
    </row>
    <row r="293" spans="4:24" x14ac:dyDescent="0.25">
      <c r="D293" s="7"/>
      <c r="E293" s="7"/>
      <c r="F293" s="7"/>
      <c r="G293" s="7"/>
      <c r="H293" s="7"/>
      <c r="I293" s="7"/>
      <c r="J293" s="7"/>
      <c r="K293" s="7"/>
      <c r="W293" s="34"/>
      <c r="X293" s="39"/>
    </row>
    <row r="294" spans="4:24" x14ac:dyDescent="0.25">
      <c r="D294" s="7"/>
      <c r="E294" s="7"/>
      <c r="F294" s="7"/>
      <c r="G294" s="7"/>
      <c r="H294" s="7"/>
      <c r="I294" s="7"/>
      <c r="J294" s="7"/>
      <c r="K294" s="7"/>
      <c r="W294" s="34"/>
      <c r="X294" s="39"/>
    </row>
    <row r="295" spans="4:24" x14ac:dyDescent="0.25">
      <c r="D295" s="7"/>
      <c r="E295" s="7"/>
      <c r="F295" s="7"/>
      <c r="G295" s="7"/>
      <c r="H295" s="7"/>
      <c r="I295" s="7"/>
      <c r="J295" s="7"/>
      <c r="K295" s="7"/>
      <c r="W295" s="34"/>
      <c r="X295" s="39"/>
    </row>
    <row r="296" spans="4:24" x14ac:dyDescent="0.25">
      <c r="D296" s="7"/>
      <c r="E296" s="7"/>
      <c r="F296" s="7"/>
      <c r="G296" s="7"/>
      <c r="H296" s="7"/>
      <c r="I296" s="7"/>
      <c r="J296" s="7"/>
      <c r="K296" s="7"/>
      <c r="W296" s="34"/>
      <c r="X296" s="39"/>
    </row>
    <row r="297" spans="4:24" x14ac:dyDescent="0.25">
      <c r="D297" s="7"/>
      <c r="E297" s="7"/>
      <c r="F297" s="7"/>
      <c r="G297" s="7"/>
      <c r="H297" s="7"/>
      <c r="I297" s="7"/>
      <c r="J297" s="7"/>
      <c r="K297" s="7"/>
      <c r="W297" s="34"/>
      <c r="X297" s="39"/>
    </row>
    <row r="298" spans="4:24" x14ac:dyDescent="0.25">
      <c r="D298" s="7"/>
      <c r="E298" s="7"/>
      <c r="F298" s="7"/>
      <c r="G298" s="7"/>
      <c r="H298" s="7"/>
      <c r="I298" s="7"/>
      <c r="J298" s="7"/>
      <c r="K298" s="7"/>
      <c r="W298" s="34"/>
      <c r="X298" s="39"/>
    </row>
    <row r="299" spans="4:24" x14ac:dyDescent="0.25">
      <c r="D299" s="7"/>
      <c r="E299" s="7"/>
      <c r="F299" s="7"/>
      <c r="G299" s="7"/>
      <c r="H299" s="7"/>
      <c r="I299" s="7"/>
      <c r="J299" s="7"/>
      <c r="K299" s="7"/>
      <c r="W299" s="34"/>
      <c r="X299" s="39"/>
    </row>
    <row r="300" spans="4:24" x14ac:dyDescent="0.25">
      <c r="D300" s="7"/>
      <c r="E300" s="7"/>
      <c r="F300" s="7"/>
      <c r="G300" s="7"/>
      <c r="H300" s="7"/>
      <c r="I300" s="7"/>
      <c r="J300" s="7"/>
      <c r="K300" s="7"/>
      <c r="W300" s="34"/>
      <c r="X300" s="39"/>
    </row>
    <row r="301" spans="4:24" x14ac:dyDescent="0.25">
      <c r="D301" s="7"/>
      <c r="E301" s="7"/>
      <c r="F301" s="7"/>
      <c r="G301" s="7"/>
      <c r="H301" s="7"/>
      <c r="I301" s="7"/>
      <c r="J301" s="7"/>
      <c r="K301" s="7"/>
      <c r="W301" s="34"/>
      <c r="X301" s="39"/>
    </row>
    <row r="302" spans="4:24" x14ac:dyDescent="0.25">
      <c r="D302" s="7"/>
      <c r="E302" s="7"/>
      <c r="F302" s="7"/>
      <c r="G302" s="7"/>
      <c r="H302" s="7"/>
      <c r="I302" s="7"/>
      <c r="J302" s="7"/>
      <c r="K302" s="7"/>
      <c r="W302" s="34"/>
      <c r="X302" s="39"/>
    </row>
    <row r="303" spans="4:24" x14ac:dyDescent="0.25">
      <c r="D303" s="7"/>
      <c r="E303" s="7"/>
      <c r="F303" s="7"/>
      <c r="G303" s="7"/>
      <c r="H303" s="7"/>
      <c r="I303" s="7"/>
      <c r="J303" s="7"/>
      <c r="K303" s="7"/>
      <c r="W303" s="34"/>
      <c r="X303" s="39"/>
    </row>
    <row r="304" spans="4:24" x14ac:dyDescent="0.25">
      <c r="D304" s="7"/>
      <c r="E304" s="7"/>
      <c r="F304" s="7"/>
      <c r="G304" s="7"/>
      <c r="H304" s="7"/>
      <c r="I304" s="7"/>
      <c r="J304" s="7"/>
      <c r="K304" s="7"/>
      <c r="W304" s="34"/>
      <c r="X304" s="39"/>
    </row>
    <row r="305" spans="4:24" x14ac:dyDescent="0.25">
      <c r="D305" s="7"/>
      <c r="E305" s="7"/>
      <c r="F305" s="7"/>
      <c r="G305" s="7"/>
      <c r="H305" s="7"/>
      <c r="I305" s="7"/>
      <c r="J305" s="7"/>
      <c r="K305" s="7"/>
      <c r="W305" s="34"/>
      <c r="X305" s="39"/>
    </row>
    <row r="306" spans="4:24" x14ac:dyDescent="0.25">
      <c r="D306" s="7"/>
      <c r="E306" s="7"/>
      <c r="F306" s="7"/>
      <c r="G306" s="7"/>
      <c r="H306" s="7"/>
      <c r="I306" s="7"/>
      <c r="J306" s="7"/>
      <c r="K306" s="7"/>
      <c r="W306" s="34"/>
      <c r="X306" s="39"/>
    </row>
    <row r="307" spans="4:24" x14ac:dyDescent="0.25">
      <c r="D307" s="7"/>
      <c r="E307" s="7"/>
      <c r="F307" s="7"/>
      <c r="G307" s="7"/>
      <c r="H307" s="7"/>
      <c r="I307" s="7"/>
      <c r="J307" s="7"/>
      <c r="K307" s="7"/>
      <c r="W307" s="34"/>
      <c r="X307" s="39"/>
    </row>
    <row r="308" spans="4:24" x14ac:dyDescent="0.25">
      <c r="D308" s="7"/>
      <c r="E308" s="7"/>
      <c r="F308" s="7"/>
      <c r="G308" s="7"/>
      <c r="H308" s="7"/>
      <c r="I308" s="7"/>
      <c r="J308" s="7"/>
      <c r="K308" s="7"/>
      <c r="W308" s="34"/>
      <c r="X308" s="39"/>
    </row>
    <row r="309" spans="4:24" x14ac:dyDescent="0.25">
      <c r="D309" s="7"/>
      <c r="E309" s="7"/>
      <c r="F309" s="7"/>
      <c r="G309" s="7"/>
      <c r="H309" s="7"/>
      <c r="I309" s="7"/>
      <c r="J309" s="7"/>
      <c r="K309" s="7"/>
      <c r="W309" s="34"/>
      <c r="X309" s="39"/>
    </row>
    <row r="310" spans="4:24" x14ac:dyDescent="0.25">
      <c r="D310" s="7"/>
      <c r="E310" s="7"/>
      <c r="F310" s="7"/>
      <c r="G310" s="7"/>
      <c r="H310" s="7"/>
      <c r="I310" s="7"/>
      <c r="J310" s="7"/>
      <c r="K310" s="7"/>
      <c r="W310" s="34"/>
      <c r="X310" s="39"/>
    </row>
    <row r="311" spans="4:24" x14ac:dyDescent="0.25">
      <c r="D311" s="7"/>
      <c r="E311" s="7"/>
      <c r="F311" s="7"/>
      <c r="G311" s="7"/>
      <c r="H311" s="7"/>
      <c r="I311" s="7"/>
      <c r="J311" s="7"/>
      <c r="K311" s="7"/>
      <c r="W311" s="34"/>
      <c r="X311" s="39"/>
    </row>
    <row r="312" spans="4:24" x14ac:dyDescent="0.25">
      <c r="D312" s="7"/>
      <c r="E312" s="7"/>
      <c r="F312" s="7"/>
      <c r="G312" s="7"/>
      <c r="H312" s="7"/>
      <c r="I312" s="7"/>
      <c r="J312" s="7"/>
      <c r="K312" s="7"/>
      <c r="W312" s="34"/>
      <c r="X312" s="39"/>
    </row>
    <row r="313" spans="4:24" x14ac:dyDescent="0.25">
      <c r="D313" s="7"/>
      <c r="E313" s="7"/>
      <c r="F313" s="7"/>
      <c r="G313" s="7"/>
      <c r="H313" s="7"/>
      <c r="I313" s="7"/>
      <c r="J313" s="7"/>
      <c r="K313" s="7"/>
      <c r="W313" s="34"/>
      <c r="X313" s="39"/>
    </row>
    <row r="314" spans="4:24" x14ac:dyDescent="0.25">
      <c r="D314" s="7"/>
      <c r="E314" s="7"/>
      <c r="F314" s="7"/>
      <c r="G314" s="7"/>
      <c r="H314" s="7"/>
      <c r="I314" s="7"/>
      <c r="J314" s="7"/>
      <c r="K314" s="7"/>
      <c r="W314" s="34"/>
      <c r="X314" s="39"/>
    </row>
    <row r="315" spans="4:24" x14ac:dyDescent="0.25">
      <c r="D315" s="7"/>
      <c r="E315" s="7"/>
      <c r="F315" s="7"/>
      <c r="G315" s="7"/>
      <c r="H315" s="7"/>
      <c r="I315" s="7"/>
      <c r="J315" s="7"/>
      <c r="K315" s="7"/>
      <c r="W315" s="34"/>
      <c r="X315" s="39"/>
    </row>
    <row r="316" spans="4:24" x14ac:dyDescent="0.25">
      <c r="D316" s="7"/>
      <c r="E316" s="7"/>
      <c r="F316" s="7"/>
      <c r="G316" s="7"/>
      <c r="H316" s="7"/>
      <c r="I316" s="7"/>
      <c r="J316" s="7"/>
      <c r="K316" s="7"/>
      <c r="W316" s="34"/>
      <c r="X316" s="39"/>
    </row>
    <row r="317" spans="4:24" x14ac:dyDescent="0.25">
      <c r="D317" s="7"/>
      <c r="E317" s="7"/>
      <c r="F317" s="7"/>
      <c r="G317" s="7"/>
      <c r="H317" s="7"/>
      <c r="I317" s="7"/>
      <c r="J317" s="7"/>
      <c r="K317" s="7"/>
      <c r="W317" s="34"/>
      <c r="X317" s="39"/>
    </row>
    <row r="318" spans="4:24" x14ac:dyDescent="0.25">
      <c r="D318" s="7"/>
      <c r="E318" s="7"/>
      <c r="F318" s="7"/>
      <c r="G318" s="7"/>
      <c r="H318" s="7"/>
      <c r="I318" s="7"/>
      <c r="J318" s="7"/>
      <c r="K318" s="7"/>
      <c r="W318" s="34"/>
      <c r="X318" s="39"/>
    </row>
    <row r="319" spans="4:24" x14ac:dyDescent="0.25">
      <c r="D319" s="7"/>
      <c r="E319" s="7"/>
      <c r="F319" s="7"/>
      <c r="G319" s="7"/>
      <c r="H319" s="7"/>
      <c r="I319" s="7"/>
      <c r="J319" s="7"/>
      <c r="K319" s="7"/>
      <c r="W319" s="34"/>
      <c r="X319" s="39"/>
    </row>
    <row r="320" spans="4:24" x14ac:dyDescent="0.25">
      <c r="D320" s="7"/>
      <c r="E320" s="7"/>
      <c r="F320" s="7"/>
      <c r="G320" s="7"/>
      <c r="H320" s="7"/>
      <c r="I320" s="7"/>
      <c r="J320" s="7"/>
      <c r="K320" s="7"/>
      <c r="W320" s="34"/>
      <c r="X320" s="39"/>
    </row>
    <row r="321" spans="4:24" x14ac:dyDescent="0.25">
      <c r="D321" s="7"/>
      <c r="E321" s="7"/>
      <c r="F321" s="7"/>
      <c r="G321" s="7"/>
      <c r="H321" s="7"/>
      <c r="I321" s="7"/>
      <c r="J321" s="7"/>
      <c r="K321" s="7"/>
      <c r="W321" s="34"/>
      <c r="X321" s="39"/>
    </row>
    <row r="322" spans="4:24" x14ac:dyDescent="0.25">
      <c r="D322" s="7"/>
      <c r="E322" s="7"/>
      <c r="F322" s="7"/>
      <c r="G322" s="7"/>
      <c r="H322" s="7"/>
      <c r="I322" s="7"/>
      <c r="J322" s="7"/>
      <c r="K322" s="7"/>
      <c r="W322" s="34"/>
      <c r="X322" s="39"/>
    </row>
    <row r="323" spans="4:24" x14ac:dyDescent="0.25">
      <c r="D323" s="7"/>
      <c r="E323" s="7"/>
      <c r="F323" s="7"/>
      <c r="G323" s="7"/>
      <c r="H323" s="7"/>
      <c r="I323" s="7"/>
      <c r="J323" s="7"/>
      <c r="K323" s="7"/>
      <c r="W323" s="34"/>
      <c r="X323" s="39"/>
    </row>
    <row r="324" spans="4:24" x14ac:dyDescent="0.25">
      <c r="D324" s="7"/>
      <c r="E324" s="7"/>
      <c r="F324" s="7"/>
      <c r="G324" s="7"/>
      <c r="H324" s="7"/>
      <c r="I324" s="7"/>
      <c r="J324" s="7"/>
      <c r="K324" s="7"/>
      <c r="W324" s="34"/>
      <c r="X324" s="39"/>
    </row>
    <row r="325" spans="4:24" x14ac:dyDescent="0.25">
      <c r="D325" s="7"/>
      <c r="E325" s="7"/>
      <c r="F325" s="7"/>
      <c r="G325" s="7"/>
      <c r="H325" s="7"/>
      <c r="I325" s="7"/>
      <c r="J325" s="7"/>
      <c r="K325" s="7"/>
      <c r="W325" s="34"/>
      <c r="X325" s="39"/>
    </row>
    <row r="326" spans="4:24" x14ac:dyDescent="0.25">
      <c r="D326" s="7"/>
      <c r="E326" s="7"/>
      <c r="F326" s="7"/>
      <c r="G326" s="7"/>
      <c r="H326" s="7"/>
      <c r="I326" s="7"/>
      <c r="J326" s="7"/>
      <c r="K326" s="7"/>
      <c r="W326" s="34"/>
      <c r="X326" s="39"/>
    </row>
    <row r="327" spans="4:24" x14ac:dyDescent="0.25">
      <c r="D327" s="7"/>
      <c r="E327" s="7"/>
      <c r="F327" s="7"/>
      <c r="G327" s="7"/>
      <c r="H327" s="7"/>
      <c r="I327" s="7"/>
      <c r="J327" s="7"/>
      <c r="K327" s="7"/>
      <c r="W327" s="34"/>
      <c r="X327" s="39"/>
    </row>
    <row r="328" spans="4:24" x14ac:dyDescent="0.25">
      <c r="D328" s="7"/>
      <c r="E328" s="7"/>
      <c r="F328" s="7"/>
      <c r="G328" s="7"/>
      <c r="H328" s="7"/>
      <c r="I328" s="7"/>
      <c r="J328" s="7"/>
      <c r="K328" s="7"/>
      <c r="W328" s="34"/>
      <c r="X328" s="39"/>
    </row>
    <row r="329" spans="4:24" x14ac:dyDescent="0.25">
      <c r="D329" s="7"/>
      <c r="E329" s="7"/>
      <c r="F329" s="7"/>
      <c r="G329" s="7"/>
      <c r="H329" s="7"/>
      <c r="I329" s="7"/>
      <c r="J329" s="7"/>
      <c r="K329" s="7"/>
      <c r="W329" s="34"/>
      <c r="X329" s="39"/>
    </row>
    <row r="330" spans="4:24" x14ac:dyDescent="0.25">
      <c r="D330" s="7"/>
      <c r="E330" s="7"/>
      <c r="F330" s="7"/>
      <c r="G330" s="7"/>
      <c r="H330" s="7"/>
      <c r="I330" s="7"/>
      <c r="J330" s="7"/>
      <c r="K330" s="7"/>
      <c r="W330" s="34"/>
      <c r="X330" s="39"/>
    </row>
    <row r="331" spans="4:24" x14ac:dyDescent="0.25">
      <c r="D331" s="7"/>
      <c r="E331" s="7"/>
      <c r="F331" s="7"/>
      <c r="G331" s="7"/>
      <c r="H331" s="7"/>
      <c r="I331" s="7"/>
      <c r="J331" s="7"/>
      <c r="K331" s="7"/>
      <c r="W331" s="34"/>
      <c r="X331" s="39"/>
    </row>
    <row r="332" spans="4:24" x14ac:dyDescent="0.25">
      <c r="D332" s="7"/>
      <c r="E332" s="7"/>
      <c r="F332" s="7"/>
      <c r="G332" s="7"/>
      <c r="H332" s="7"/>
      <c r="I332" s="7"/>
      <c r="J332" s="7"/>
      <c r="K332" s="7"/>
      <c r="W332" s="34"/>
      <c r="X332" s="39"/>
    </row>
    <row r="333" spans="4:24" x14ac:dyDescent="0.25">
      <c r="D333" s="7"/>
      <c r="E333" s="7"/>
      <c r="F333" s="7"/>
      <c r="G333" s="7"/>
      <c r="H333" s="7"/>
      <c r="I333" s="7"/>
      <c r="J333" s="7"/>
      <c r="K333" s="7"/>
      <c r="W333" s="34"/>
      <c r="X333" s="39"/>
    </row>
    <row r="334" spans="4:24" x14ac:dyDescent="0.25">
      <c r="D334" s="7"/>
      <c r="E334" s="7"/>
      <c r="F334" s="7"/>
      <c r="G334" s="7"/>
      <c r="H334" s="7"/>
      <c r="I334" s="7"/>
      <c r="J334" s="7"/>
      <c r="K334" s="7"/>
      <c r="W334" s="34"/>
      <c r="X334" s="39"/>
    </row>
    <row r="335" spans="4:24" x14ac:dyDescent="0.25">
      <c r="D335" s="7"/>
      <c r="E335" s="7"/>
      <c r="F335" s="7"/>
      <c r="G335" s="7"/>
      <c r="H335" s="7"/>
      <c r="I335" s="7"/>
      <c r="J335" s="7"/>
      <c r="K335" s="7"/>
      <c r="W335" s="34"/>
      <c r="X335" s="39"/>
    </row>
    <row r="336" spans="4:24" x14ac:dyDescent="0.25">
      <c r="D336" s="7"/>
      <c r="E336" s="7"/>
      <c r="F336" s="7"/>
      <c r="G336" s="7"/>
      <c r="H336" s="7"/>
      <c r="I336" s="7"/>
      <c r="J336" s="7"/>
      <c r="K336" s="7"/>
      <c r="W336" s="34"/>
      <c r="X336" s="39"/>
    </row>
    <row r="337" spans="4:24" x14ac:dyDescent="0.25">
      <c r="D337" s="7"/>
      <c r="E337" s="7"/>
      <c r="F337" s="7"/>
      <c r="G337" s="7"/>
      <c r="H337" s="7"/>
      <c r="I337" s="7"/>
      <c r="J337" s="7"/>
      <c r="K337" s="7"/>
      <c r="W337" s="34"/>
      <c r="X337" s="39"/>
    </row>
    <row r="338" spans="4:24" x14ac:dyDescent="0.25">
      <c r="D338" s="7"/>
      <c r="E338" s="7"/>
      <c r="F338" s="7"/>
      <c r="G338" s="7"/>
      <c r="H338" s="7"/>
      <c r="I338" s="7"/>
      <c r="J338" s="7"/>
      <c r="K338" s="7"/>
      <c r="W338" s="34"/>
      <c r="X338" s="39"/>
    </row>
    <row r="339" spans="4:24" x14ac:dyDescent="0.25">
      <c r="D339" s="7"/>
      <c r="E339" s="7"/>
      <c r="F339" s="7"/>
      <c r="G339" s="7"/>
      <c r="H339" s="7"/>
      <c r="I339" s="7"/>
      <c r="J339" s="7"/>
      <c r="K339" s="7"/>
      <c r="W339" s="34"/>
      <c r="X339" s="39"/>
    </row>
    <row r="340" spans="4:24" x14ac:dyDescent="0.25">
      <c r="D340" s="7"/>
      <c r="E340" s="7"/>
      <c r="F340" s="7"/>
      <c r="G340" s="7"/>
      <c r="H340" s="7"/>
      <c r="I340" s="7"/>
      <c r="J340" s="7"/>
      <c r="K340" s="7"/>
      <c r="W340" s="34"/>
      <c r="X340" s="39"/>
    </row>
    <row r="341" spans="4:24" x14ac:dyDescent="0.25">
      <c r="D341" s="7"/>
      <c r="E341" s="7"/>
      <c r="F341" s="7"/>
      <c r="G341" s="7"/>
      <c r="H341" s="7"/>
      <c r="I341" s="7"/>
      <c r="J341" s="7"/>
      <c r="K341" s="7"/>
      <c r="W341" s="34"/>
      <c r="X341" s="39"/>
    </row>
    <row r="342" spans="4:24" x14ac:dyDescent="0.25">
      <c r="D342" s="7"/>
      <c r="E342" s="7"/>
      <c r="F342" s="7"/>
      <c r="G342" s="7"/>
      <c r="H342" s="7"/>
      <c r="I342" s="7"/>
      <c r="J342" s="7"/>
      <c r="K342" s="7"/>
      <c r="W342" s="34"/>
      <c r="X342" s="39"/>
    </row>
    <row r="343" spans="4:24" x14ac:dyDescent="0.25">
      <c r="D343" s="7"/>
      <c r="E343" s="7"/>
      <c r="F343" s="7"/>
      <c r="G343" s="7"/>
      <c r="H343" s="7"/>
      <c r="I343" s="7"/>
      <c r="J343" s="7"/>
      <c r="K343" s="7"/>
      <c r="W343" s="34"/>
      <c r="X343" s="39"/>
    </row>
    <row r="344" spans="4:24" x14ac:dyDescent="0.25">
      <c r="D344" s="7"/>
      <c r="E344" s="7"/>
      <c r="F344" s="7"/>
      <c r="G344" s="7"/>
      <c r="H344" s="7"/>
      <c r="I344" s="7"/>
      <c r="J344" s="7"/>
      <c r="K344" s="7"/>
      <c r="W344" s="34"/>
      <c r="X344" s="39"/>
    </row>
    <row r="345" spans="4:24" x14ac:dyDescent="0.25">
      <c r="D345" s="7"/>
      <c r="E345" s="7"/>
      <c r="F345" s="7"/>
      <c r="G345" s="7"/>
      <c r="H345" s="7"/>
      <c r="I345" s="7"/>
      <c r="J345" s="7"/>
      <c r="K345" s="7"/>
      <c r="W345" s="34"/>
      <c r="X345" s="39"/>
    </row>
    <row r="346" spans="4:24" x14ac:dyDescent="0.25">
      <c r="D346" s="7"/>
      <c r="E346" s="7"/>
      <c r="F346" s="7"/>
      <c r="G346" s="7"/>
      <c r="H346" s="7"/>
      <c r="I346" s="7"/>
      <c r="J346" s="7"/>
      <c r="K346" s="7"/>
      <c r="W346" s="34"/>
      <c r="X346" s="39"/>
    </row>
    <row r="347" spans="4:24" x14ac:dyDescent="0.25">
      <c r="D347" s="7"/>
      <c r="E347" s="7"/>
      <c r="F347" s="7"/>
      <c r="G347" s="7"/>
      <c r="H347" s="7"/>
      <c r="I347" s="7"/>
      <c r="J347" s="7"/>
      <c r="K347" s="7"/>
      <c r="W347" s="34"/>
      <c r="X347" s="39"/>
    </row>
    <row r="348" spans="4:24" x14ac:dyDescent="0.25">
      <c r="D348" s="7"/>
      <c r="E348" s="7"/>
      <c r="F348" s="7"/>
      <c r="G348" s="7"/>
      <c r="H348" s="7"/>
      <c r="I348" s="7"/>
      <c r="J348" s="7"/>
      <c r="K348" s="7"/>
      <c r="W348" s="34"/>
      <c r="X348" s="39"/>
    </row>
    <row r="349" spans="4:24" x14ac:dyDescent="0.25">
      <c r="D349" s="7"/>
      <c r="E349" s="7"/>
      <c r="F349" s="7"/>
      <c r="G349" s="7"/>
      <c r="H349" s="7"/>
      <c r="I349" s="7"/>
      <c r="J349" s="7"/>
      <c r="K349" s="7"/>
      <c r="W349" s="34"/>
      <c r="X349" s="39"/>
    </row>
    <row r="350" spans="4:24" x14ac:dyDescent="0.25">
      <c r="D350" s="7"/>
      <c r="E350" s="7"/>
      <c r="F350" s="7"/>
      <c r="G350" s="7"/>
      <c r="H350" s="7"/>
      <c r="I350" s="7"/>
      <c r="J350" s="7"/>
      <c r="K350" s="7"/>
      <c r="W350" s="34"/>
      <c r="X350" s="39"/>
    </row>
    <row r="351" spans="4:24" x14ac:dyDescent="0.25">
      <c r="D351" s="7"/>
      <c r="E351" s="7"/>
      <c r="F351" s="7"/>
      <c r="G351" s="7"/>
      <c r="H351" s="7"/>
      <c r="I351" s="7"/>
      <c r="J351" s="7"/>
      <c r="K351" s="7"/>
      <c r="W351" s="34"/>
      <c r="X351" s="39"/>
    </row>
    <row r="352" spans="4:24" x14ac:dyDescent="0.25">
      <c r="D352" s="7"/>
      <c r="E352" s="7"/>
      <c r="F352" s="7"/>
      <c r="G352" s="7"/>
      <c r="H352" s="7"/>
      <c r="I352" s="7"/>
      <c r="J352" s="7"/>
      <c r="K352" s="7"/>
      <c r="W352" s="34"/>
      <c r="X352" s="39"/>
    </row>
    <row r="353" spans="4:24" x14ac:dyDescent="0.25">
      <c r="D353" s="7"/>
      <c r="E353" s="7"/>
      <c r="F353" s="7"/>
      <c r="G353" s="7"/>
      <c r="H353" s="7"/>
      <c r="I353" s="7"/>
      <c r="J353" s="7"/>
      <c r="K353" s="7"/>
      <c r="W353" s="34"/>
      <c r="X353" s="39"/>
    </row>
    <row r="354" spans="4:24" x14ac:dyDescent="0.25">
      <c r="D354" s="7"/>
      <c r="E354" s="7"/>
      <c r="F354" s="7"/>
      <c r="G354" s="7"/>
      <c r="H354" s="7"/>
      <c r="I354" s="7"/>
      <c r="J354" s="7"/>
      <c r="K354" s="7"/>
      <c r="W354" s="34"/>
      <c r="X354" s="39"/>
    </row>
    <row r="355" spans="4:24" x14ac:dyDescent="0.25">
      <c r="D355" s="7"/>
      <c r="E355" s="7"/>
      <c r="F355" s="7"/>
      <c r="G355" s="7"/>
      <c r="H355" s="7"/>
      <c r="I355" s="7"/>
      <c r="J355" s="7"/>
      <c r="K355" s="7"/>
      <c r="W355" s="34"/>
      <c r="X355" s="39"/>
    </row>
    <row r="356" spans="4:24" x14ac:dyDescent="0.25">
      <c r="D356" s="7"/>
      <c r="E356" s="7"/>
      <c r="F356" s="7"/>
      <c r="G356" s="7"/>
      <c r="H356" s="7"/>
      <c r="I356" s="7"/>
      <c r="J356" s="7"/>
      <c r="K356" s="7"/>
      <c r="W356" s="34"/>
      <c r="X356" s="39"/>
    </row>
    <row r="357" spans="4:24" x14ac:dyDescent="0.25">
      <c r="D357" s="7"/>
      <c r="E357" s="7"/>
      <c r="F357" s="7"/>
      <c r="G357" s="7"/>
      <c r="H357" s="7"/>
      <c r="I357" s="7"/>
      <c r="J357" s="7"/>
      <c r="K357" s="7"/>
      <c r="W357" s="34"/>
      <c r="X357" s="39"/>
    </row>
    <row r="358" spans="4:24" x14ac:dyDescent="0.25">
      <c r="D358" s="7"/>
      <c r="E358" s="7"/>
      <c r="F358" s="7"/>
      <c r="G358" s="7"/>
      <c r="H358" s="7"/>
      <c r="I358" s="7"/>
      <c r="J358" s="7"/>
      <c r="K358" s="7"/>
      <c r="W358" s="34"/>
      <c r="X358" s="39"/>
    </row>
    <row r="359" spans="4:24" x14ac:dyDescent="0.25">
      <c r="D359" s="7"/>
      <c r="E359" s="7"/>
      <c r="F359" s="7"/>
      <c r="G359" s="7"/>
      <c r="H359" s="7"/>
      <c r="I359" s="7"/>
      <c r="J359" s="7"/>
      <c r="K359" s="7"/>
      <c r="W359" s="34"/>
      <c r="X359" s="39"/>
    </row>
    <row r="360" spans="4:24" x14ac:dyDescent="0.25">
      <c r="D360" s="7"/>
      <c r="E360" s="7"/>
      <c r="F360" s="7"/>
      <c r="G360" s="7"/>
      <c r="H360" s="7"/>
      <c r="I360" s="7"/>
      <c r="J360" s="7"/>
      <c r="K360" s="7"/>
      <c r="W360" s="34"/>
      <c r="X360" s="39"/>
    </row>
    <row r="361" spans="4:24" x14ac:dyDescent="0.25">
      <c r="D361" s="7"/>
      <c r="E361" s="7"/>
      <c r="F361" s="7"/>
      <c r="G361" s="7"/>
      <c r="H361" s="7"/>
      <c r="I361" s="7"/>
      <c r="J361" s="7"/>
      <c r="K361" s="7"/>
      <c r="W361" s="34"/>
      <c r="X361" s="39"/>
    </row>
    <row r="362" spans="4:24" x14ac:dyDescent="0.25">
      <c r="D362" s="7"/>
      <c r="E362" s="7"/>
      <c r="F362" s="7"/>
      <c r="G362" s="7"/>
      <c r="H362" s="7"/>
      <c r="I362" s="7"/>
      <c r="J362" s="7"/>
      <c r="K362" s="7"/>
      <c r="W362" s="34"/>
      <c r="X362" s="39"/>
    </row>
    <row r="363" spans="4:24" x14ac:dyDescent="0.25">
      <c r="D363" s="7"/>
      <c r="E363" s="7"/>
      <c r="F363" s="7"/>
      <c r="G363" s="7"/>
      <c r="H363" s="7"/>
      <c r="I363" s="7"/>
      <c r="J363" s="7"/>
      <c r="K363" s="7"/>
      <c r="W363" s="34"/>
      <c r="X363" s="39"/>
    </row>
    <row r="364" spans="4:24" x14ac:dyDescent="0.25">
      <c r="D364" s="7"/>
      <c r="E364" s="7"/>
      <c r="F364" s="7"/>
      <c r="G364" s="7"/>
      <c r="H364" s="7"/>
      <c r="I364" s="7"/>
      <c r="J364" s="7"/>
      <c r="K364" s="7"/>
      <c r="W364" s="34"/>
      <c r="X364" s="39"/>
    </row>
    <row r="365" spans="4:24" x14ac:dyDescent="0.25">
      <c r="D365" s="7"/>
      <c r="E365" s="7"/>
      <c r="F365" s="7"/>
      <c r="G365" s="7"/>
      <c r="H365" s="7"/>
      <c r="I365" s="7"/>
      <c r="J365" s="7"/>
      <c r="K365" s="7"/>
      <c r="W365" s="34"/>
      <c r="X365" s="39"/>
    </row>
    <row r="366" spans="4:24" x14ac:dyDescent="0.25">
      <c r="D366" s="7"/>
      <c r="E366" s="7"/>
      <c r="F366" s="7"/>
      <c r="G366" s="7"/>
      <c r="H366" s="7"/>
      <c r="I366" s="7"/>
      <c r="J366" s="7"/>
      <c r="K366" s="7"/>
      <c r="W366" s="34"/>
      <c r="X366" s="39"/>
    </row>
    <row r="367" spans="4:24" x14ac:dyDescent="0.25">
      <c r="D367" s="7"/>
      <c r="E367" s="7"/>
      <c r="F367" s="7"/>
      <c r="G367" s="7"/>
      <c r="H367" s="7"/>
      <c r="I367" s="7"/>
      <c r="J367" s="7"/>
      <c r="K367" s="7"/>
      <c r="W367" s="34"/>
      <c r="X367" s="39"/>
    </row>
    <row r="368" spans="4:24" x14ac:dyDescent="0.25">
      <c r="D368" s="7"/>
      <c r="E368" s="7"/>
      <c r="F368" s="7"/>
      <c r="G368" s="7"/>
      <c r="H368" s="7"/>
      <c r="I368" s="7"/>
      <c r="J368" s="7"/>
      <c r="K368" s="7"/>
      <c r="W368" s="34"/>
      <c r="X368" s="39"/>
    </row>
    <row r="369" spans="4:24" x14ac:dyDescent="0.25">
      <c r="D369" s="7"/>
      <c r="E369" s="7"/>
      <c r="F369" s="7"/>
      <c r="G369" s="7"/>
      <c r="H369" s="7"/>
      <c r="I369" s="7"/>
      <c r="J369" s="7"/>
      <c r="K369" s="7"/>
      <c r="W369" s="34"/>
      <c r="X369" s="39"/>
    </row>
    <row r="370" spans="4:24" x14ac:dyDescent="0.25">
      <c r="D370" s="7"/>
      <c r="E370" s="7"/>
      <c r="F370" s="7"/>
      <c r="G370" s="7"/>
      <c r="H370" s="7"/>
      <c r="I370" s="7"/>
      <c r="J370" s="7"/>
      <c r="K370" s="7"/>
      <c r="W370" s="34"/>
      <c r="X370" s="39"/>
    </row>
    <row r="371" spans="4:24" x14ac:dyDescent="0.25">
      <c r="D371" s="7"/>
      <c r="E371" s="7"/>
      <c r="F371" s="7"/>
      <c r="G371" s="7"/>
      <c r="H371" s="7"/>
      <c r="I371" s="7"/>
      <c r="J371" s="7"/>
      <c r="K371" s="7"/>
      <c r="W371" s="34"/>
      <c r="X371" s="39"/>
    </row>
    <row r="372" spans="4:24" x14ac:dyDescent="0.25">
      <c r="D372" s="7"/>
      <c r="E372" s="7"/>
      <c r="F372" s="7"/>
      <c r="G372" s="7"/>
      <c r="H372" s="7"/>
      <c r="I372" s="7"/>
      <c r="J372" s="7"/>
      <c r="K372" s="7"/>
      <c r="W372" s="34"/>
      <c r="X372" s="39"/>
    </row>
    <row r="373" spans="4:24" x14ac:dyDescent="0.25">
      <c r="D373" s="7"/>
      <c r="E373" s="7"/>
      <c r="F373" s="7"/>
      <c r="G373" s="7"/>
      <c r="H373" s="7"/>
      <c r="I373" s="7"/>
      <c r="J373" s="7"/>
      <c r="K373" s="7"/>
      <c r="W373" s="34"/>
      <c r="X373" s="39"/>
    </row>
    <row r="374" spans="4:24" x14ac:dyDescent="0.25">
      <c r="D374" s="7"/>
      <c r="E374" s="7"/>
      <c r="F374" s="7"/>
      <c r="G374" s="7"/>
      <c r="H374" s="7"/>
      <c r="I374" s="7"/>
      <c r="J374" s="7"/>
      <c r="K374" s="7"/>
      <c r="W374" s="34"/>
      <c r="X374" s="39"/>
    </row>
    <row r="375" spans="4:24" x14ac:dyDescent="0.25">
      <c r="D375" s="7"/>
      <c r="E375" s="7"/>
      <c r="F375" s="7"/>
      <c r="G375" s="7"/>
      <c r="H375" s="7"/>
      <c r="I375" s="7"/>
      <c r="J375" s="7"/>
      <c r="K375" s="7"/>
      <c r="W375" s="34"/>
      <c r="X375" s="39"/>
    </row>
    <row r="376" spans="4:24" x14ac:dyDescent="0.25">
      <c r="D376" s="7"/>
      <c r="E376" s="7"/>
      <c r="F376" s="7"/>
      <c r="G376" s="7"/>
      <c r="H376" s="7"/>
      <c r="I376" s="7"/>
      <c r="J376" s="7"/>
      <c r="K376" s="7"/>
      <c r="W376" s="34"/>
      <c r="X376" s="39"/>
    </row>
    <row r="377" spans="4:24" x14ac:dyDescent="0.25">
      <c r="D377" s="7"/>
      <c r="E377" s="7"/>
      <c r="F377" s="7"/>
      <c r="G377" s="7"/>
      <c r="H377" s="7"/>
      <c r="I377" s="7"/>
      <c r="J377" s="7"/>
      <c r="K377" s="7"/>
      <c r="W377" s="34"/>
      <c r="X377" s="39"/>
    </row>
    <row r="378" spans="4:24" x14ac:dyDescent="0.25">
      <c r="D378" s="7"/>
      <c r="E378" s="7"/>
      <c r="F378" s="7"/>
      <c r="G378" s="7"/>
      <c r="H378" s="7"/>
      <c r="I378" s="7"/>
      <c r="J378" s="7"/>
      <c r="K378" s="7"/>
      <c r="W378" s="34"/>
      <c r="X378" s="39"/>
    </row>
    <row r="379" spans="4:24" x14ac:dyDescent="0.25">
      <c r="D379" s="7"/>
      <c r="E379" s="7"/>
      <c r="F379" s="7"/>
      <c r="G379" s="7"/>
      <c r="H379" s="7"/>
      <c r="I379" s="7"/>
      <c r="J379" s="7"/>
      <c r="K379" s="7"/>
      <c r="W379" s="34"/>
      <c r="X379" s="39"/>
    </row>
    <row r="380" spans="4:24" x14ac:dyDescent="0.25">
      <c r="D380" s="7"/>
      <c r="E380" s="7"/>
      <c r="F380" s="7"/>
      <c r="G380" s="7"/>
      <c r="H380" s="7"/>
      <c r="I380" s="7"/>
      <c r="J380" s="7"/>
      <c r="K380" s="7"/>
      <c r="W380" s="34"/>
      <c r="X380" s="39"/>
    </row>
    <row r="381" spans="4:24" x14ac:dyDescent="0.25">
      <c r="D381" s="7"/>
      <c r="E381" s="7"/>
      <c r="F381" s="7"/>
      <c r="G381" s="7"/>
      <c r="H381" s="7"/>
      <c r="I381" s="7"/>
      <c r="J381" s="7"/>
      <c r="K381" s="7"/>
      <c r="W381" s="34"/>
      <c r="X381" s="39"/>
    </row>
    <row r="382" spans="4:24" x14ac:dyDescent="0.25">
      <c r="D382" s="7"/>
      <c r="E382" s="7"/>
      <c r="F382" s="7"/>
      <c r="G382" s="7"/>
      <c r="H382" s="7"/>
      <c r="I382" s="7"/>
      <c r="J382" s="7"/>
      <c r="K382" s="7"/>
      <c r="W382" s="34"/>
      <c r="X382" s="39"/>
    </row>
    <row r="383" spans="4:24" x14ac:dyDescent="0.25">
      <c r="D383" s="7"/>
      <c r="E383" s="7"/>
      <c r="F383" s="7"/>
      <c r="G383" s="7"/>
      <c r="H383" s="7"/>
      <c r="I383" s="7"/>
      <c r="J383" s="7"/>
      <c r="K383" s="7"/>
      <c r="W383" s="34"/>
      <c r="X383" s="39"/>
    </row>
    <row r="384" spans="4:24" x14ac:dyDescent="0.25">
      <c r="D384" s="7"/>
      <c r="E384" s="7"/>
      <c r="F384" s="7"/>
      <c r="G384" s="7"/>
      <c r="H384" s="7"/>
      <c r="I384" s="7"/>
      <c r="J384" s="7"/>
      <c r="K384" s="7"/>
      <c r="W384" s="34"/>
      <c r="X384" s="39"/>
    </row>
    <row r="385" spans="4:24" x14ac:dyDescent="0.25">
      <c r="D385" s="7"/>
      <c r="E385" s="7"/>
      <c r="F385" s="7"/>
      <c r="G385" s="7"/>
      <c r="H385" s="7"/>
      <c r="I385" s="7"/>
      <c r="J385" s="7"/>
      <c r="K385" s="7"/>
      <c r="W385" s="34"/>
      <c r="X385" s="39"/>
    </row>
    <row r="386" spans="4:24" x14ac:dyDescent="0.25">
      <c r="D386" s="7"/>
      <c r="E386" s="7"/>
      <c r="F386" s="7"/>
      <c r="G386" s="7"/>
      <c r="H386" s="7"/>
      <c r="I386" s="7"/>
      <c r="J386" s="7"/>
      <c r="K386" s="7"/>
      <c r="W386" s="34"/>
      <c r="X386" s="39"/>
    </row>
    <row r="387" spans="4:24" x14ac:dyDescent="0.25">
      <c r="D387" s="7"/>
      <c r="E387" s="7"/>
      <c r="F387" s="7"/>
      <c r="G387" s="7"/>
      <c r="H387" s="7"/>
      <c r="I387" s="7"/>
      <c r="J387" s="7"/>
      <c r="K387" s="7"/>
      <c r="W387" s="34"/>
      <c r="X387" s="39"/>
    </row>
    <row r="388" spans="4:24" x14ac:dyDescent="0.25">
      <c r="D388" s="7"/>
      <c r="E388" s="7"/>
      <c r="F388" s="7"/>
      <c r="G388" s="7"/>
      <c r="H388" s="7"/>
      <c r="I388" s="7"/>
      <c r="J388" s="7"/>
      <c r="K388" s="7"/>
      <c r="W388" s="34"/>
      <c r="X388" s="39"/>
    </row>
    <row r="389" spans="4:24" x14ac:dyDescent="0.25">
      <c r="D389" s="7"/>
      <c r="E389" s="7"/>
      <c r="F389" s="7"/>
      <c r="G389" s="7"/>
      <c r="H389" s="7"/>
      <c r="I389" s="7"/>
      <c r="J389" s="7"/>
      <c r="K389" s="7"/>
      <c r="W389" s="34"/>
      <c r="X389" s="39"/>
    </row>
    <row r="390" spans="4:24" x14ac:dyDescent="0.25">
      <c r="D390" s="7"/>
      <c r="E390" s="7"/>
      <c r="F390" s="7"/>
      <c r="G390" s="7"/>
      <c r="H390" s="7"/>
      <c r="I390" s="7"/>
      <c r="J390" s="7"/>
      <c r="K390" s="7"/>
      <c r="W390" s="34"/>
      <c r="X390" s="39"/>
    </row>
    <row r="391" spans="4:24" x14ac:dyDescent="0.25">
      <c r="D391" s="7"/>
      <c r="E391" s="7"/>
      <c r="F391" s="7"/>
      <c r="G391" s="7"/>
      <c r="H391" s="7"/>
      <c r="I391" s="7"/>
      <c r="J391" s="7"/>
      <c r="K391" s="7"/>
      <c r="W391" s="34"/>
      <c r="X391" s="39"/>
    </row>
    <row r="392" spans="4:24" x14ac:dyDescent="0.25">
      <c r="D392" s="7"/>
      <c r="E392" s="7"/>
      <c r="F392" s="7"/>
      <c r="G392" s="7"/>
      <c r="H392" s="7"/>
      <c r="I392" s="7"/>
      <c r="J392" s="7"/>
      <c r="K392" s="7"/>
      <c r="W392" s="34"/>
      <c r="X392" s="39"/>
    </row>
    <row r="393" spans="4:24" x14ac:dyDescent="0.25">
      <c r="D393" s="7"/>
      <c r="E393" s="7"/>
      <c r="F393" s="7"/>
      <c r="G393" s="7"/>
      <c r="H393" s="7"/>
      <c r="I393" s="7"/>
      <c r="J393" s="7"/>
      <c r="K393" s="7"/>
      <c r="W393" s="34"/>
      <c r="X393" s="39"/>
    </row>
    <row r="394" spans="4:24" x14ac:dyDescent="0.25">
      <c r="D394" s="7"/>
      <c r="E394" s="7"/>
      <c r="F394" s="7"/>
      <c r="G394" s="7"/>
      <c r="H394" s="7"/>
      <c r="I394" s="7"/>
      <c r="J394" s="7"/>
      <c r="K394" s="7"/>
      <c r="W394" s="34"/>
      <c r="X394" s="39"/>
    </row>
    <row r="395" spans="4:24" x14ac:dyDescent="0.25">
      <c r="D395" s="7"/>
      <c r="E395" s="7"/>
      <c r="F395" s="7"/>
      <c r="G395" s="7"/>
      <c r="H395" s="7"/>
      <c r="I395" s="7"/>
      <c r="J395" s="7"/>
      <c r="K395" s="7"/>
      <c r="W395" s="34"/>
      <c r="X395" s="39"/>
    </row>
    <row r="396" spans="4:24" x14ac:dyDescent="0.25">
      <c r="D396" s="7"/>
      <c r="E396" s="7"/>
      <c r="F396" s="7"/>
      <c r="G396" s="7"/>
      <c r="H396" s="7"/>
      <c r="I396" s="7"/>
      <c r="J396" s="7"/>
      <c r="K396" s="7"/>
      <c r="W396" s="34"/>
      <c r="X396" s="39"/>
    </row>
    <row r="397" spans="4:24" x14ac:dyDescent="0.25">
      <c r="D397" s="7"/>
      <c r="E397" s="7"/>
      <c r="F397" s="7"/>
      <c r="G397" s="7"/>
      <c r="H397" s="7"/>
      <c r="I397" s="7"/>
      <c r="J397" s="7"/>
      <c r="K397" s="7"/>
      <c r="W397" s="34"/>
      <c r="X397" s="39"/>
    </row>
    <row r="398" spans="4:24" x14ac:dyDescent="0.25">
      <c r="D398" s="7"/>
      <c r="E398" s="7"/>
      <c r="F398" s="7"/>
      <c r="G398" s="7"/>
      <c r="H398" s="7"/>
      <c r="I398" s="7"/>
      <c r="J398" s="7"/>
      <c r="K398" s="7"/>
      <c r="W398" s="34"/>
      <c r="X398" s="39"/>
    </row>
    <row r="399" spans="4:24" x14ac:dyDescent="0.25">
      <c r="D399" s="7"/>
      <c r="E399" s="7"/>
      <c r="F399" s="7"/>
      <c r="G399" s="7"/>
      <c r="H399" s="7"/>
      <c r="I399" s="7"/>
      <c r="J399" s="7"/>
      <c r="K399" s="7"/>
      <c r="W399" s="34"/>
      <c r="X399" s="39"/>
    </row>
    <row r="400" spans="4:24" x14ac:dyDescent="0.25">
      <c r="D400" s="7"/>
      <c r="E400" s="7"/>
      <c r="F400" s="7"/>
      <c r="G400" s="7"/>
      <c r="H400" s="7"/>
      <c r="I400" s="7"/>
      <c r="J400" s="7"/>
      <c r="K400" s="7"/>
      <c r="W400" s="34"/>
      <c r="X400" s="39"/>
    </row>
    <row r="401" spans="4:24" x14ac:dyDescent="0.25">
      <c r="D401" s="7"/>
      <c r="E401" s="7"/>
      <c r="F401" s="7"/>
      <c r="G401" s="7"/>
      <c r="H401" s="7"/>
      <c r="I401" s="7"/>
      <c r="J401" s="7"/>
      <c r="K401" s="7"/>
      <c r="W401" s="34"/>
      <c r="X401" s="39"/>
    </row>
    <row r="402" spans="4:24" x14ac:dyDescent="0.25">
      <c r="D402" s="7"/>
      <c r="E402" s="7"/>
      <c r="F402" s="7"/>
      <c r="G402" s="7"/>
      <c r="H402" s="7"/>
      <c r="I402" s="7"/>
      <c r="J402" s="7"/>
      <c r="K402" s="7"/>
      <c r="W402" s="34"/>
      <c r="X402" s="39"/>
    </row>
    <row r="403" spans="4:24" x14ac:dyDescent="0.25">
      <c r="D403" s="7"/>
      <c r="E403" s="7"/>
      <c r="F403" s="7"/>
      <c r="G403" s="7"/>
      <c r="H403" s="7"/>
      <c r="I403" s="7"/>
      <c r="J403" s="7"/>
      <c r="K403" s="7"/>
      <c r="W403" s="34"/>
      <c r="X403" s="39"/>
    </row>
    <row r="404" spans="4:24" x14ac:dyDescent="0.25">
      <c r="D404" s="7"/>
      <c r="E404" s="7"/>
      <c r="F404" s="7"/>
      <c r="G404" s="7"/>
      <c r="H404" s="7"/>
      <c r="I404" s="7"/>
      <c r="J404" s="7"/>
      <c r="K404" s="7"/>
      <c r="W404" s="34"/>
      <c r="X404" s="39"/>
    </row>
    <row r="405" spans="4:24" x14ac:dyDescent="0.25">
      <c r="D405" s="7"/>
      <c r="E405" s="7"/>
      <c r="F405" s="7"/>
      <c r="G405" s="7"/>
      <c r="H405" s="7"/>
      <c r="I405" s="7"/>
      <c r="J405" s="7"/>
      <c r="K405" s="7"/>
      <c r="W405" s="34"/>
      <c r="X405" s="39"/>
    </row>
    <row r="406" spans="4:24" x14ac:dyDescent="0.25">
      <c r="D406" s="7"/>
      <c r="E406" s="7"/>
      <c r="F406" s="7"/>
      <c r="G406" s="7"/>
      <c r="H406" s="7"/>
      <c r="I406" s="7"/>
      <c r="J406" s="7"/>
      <c r="K406" s="7"/>
      <c r="W406" s="34"/>
      <c r="X406" s="39"/>
    </row>
    <row r="407" spans="4:24" x14ac:dyDescent="0.25">
      <c r="D407" s="7"/>
      <c r="E407" s="7"/>
      <c r="F407" s="7"/>
      <c r="G407" s="7"/>
      <c r="H407" s="7"/>
      <c r="I407" s="7"/>
      <c r="J407" s="7"/>
      <c r="K407" s="7"/>
      <c r="W407" s="34"/>
      <c r="X407" s="39"/>
    </row>
    <row r="408" spans="4:24" x14ac:dyDescent="0.25">
      <c r="D408" s="7"/>
      <c r="E408" s="7"/>
      <c r="F408" s="7"/>
      <c r="G408" s="7"/>
      <c r="H408" s="7"/>
      <c r="I408" s="7"/>
      <c r="J408" s="7"/>
      <c r="K408" s="7"/>
      <c r="W408" s="34"/>
      <c r="X408" s="39"/>
    </row>
    <row r="409" spans="4:24" x14ac:dyDescent="0.25">
      <c r="D409" s="7"/>
      <c r="E409" s="7"/>
      <c r="F409" s="7"/>
      <c r="G409" s="7"/>
      <c r="H409" s="7"/>
      <c r="I409" s="7"/>
      <c r="J409" s="7"/>
      <c r="K409" s="7"/>
      <c r="W409" s="34"/>
      <c r="X409" s="39"/>
    </row>
    <row r="410" spans="4:24" x14ac:dyDescent="0.25">
      <c r="D410" s="7"/>
      <c r="E410" s="7"/>
      <c r="F410" s="7"/>
      <c r="G410" s="7"/>
      <c r="H410" s="7"/>
      <c r="I410" s="7"/>
      <c r="J410" s="7"/>
      <c r="K410" s="7"/>
      <c r="W410" s="34"/>
      <c r="X410" s="39"/>
    </row>
    <row r="411" spans="4:24" x14ac:dyDescent="0.25">
      <c r="D411" s="7"/>
      <c r="E411" s="7"/>
      <c r="F411" s="7"/>
      <c r="G411" s="7"/>
      <c r="H411" s="7"/>
      <c r="I411" s="7"/>
      <c r="J411" s="7"/>
      <c r="K411" s="7"/>
      <c r="W411" s="34"/>
      <c r="X411" s="39"/>
    </row>
    <row r="412" spans="4:24" x14ac:dyDescent="0.25">
      <c r="D412" s="7"/>
      <c r="E412" s="7"/>
      <c r="F412" s="7"/>
      <c r="G412" s="7"/>
      <c r="H412" s="7"/>
      <c r="I412" s="7"/>
      <c r="J412" s="7"/>
      <c r="K412" s="7"/>
      <c r="W412" s="34"/>
      <c r="X412" s="39"/>
    </row>
    <row r="413" spans="4:24" x14ac:dyDescent="0.25">
      <c r="D413" s="7"/>
      <c r="E413" s="7"/>
      <c r="F413" s="7"/>
      <c r="G413" s="7"/>
      <c r="H413" s="7"/>
      <c r="I413" s="7"/>
      <c r="J413" s="7"/>
      <c r="K413" s="7"/>
      <c r="W413" s="34"/>
      <c r="X413" s="39"/>
    </row>
    <row r="414" spans="4:24" x14ac:dyDescent="0.25">
      <c r="D414" s="7"/>
      <c r="E414" s="7"/>
      <c r="F414" s="7"/>
      <c r="G414" s="7"/>
      <c r="H414" s="7"/>
      <c r="I414" s="7"/>
      <c r="J414" s="7"/>
      <c r="K414" s="7"/>
      <c r="W414" s="34"/>
      <c r="X414" s="39"/>
    </row>
    <row r="415" spans="4:24" x14ac:dyDescent="0.25">
      <c r="D415" s="7"/>
      <c r="E415" s="7"/>
      <c r="F415" s="7"/>
      <c r="G415" s="7"/>
      <c r="H415" s="7"/>
      <c r="I415" s="7"/>
      <c r="J415" s="7"/>
      <c r="K415" s="7"/>
      <c r="W415" s="34"/>
      <c r="X415" s="39"/>
    </row>
    <row r="416" spans="4:24" x14ac:dyDescent="0.25">
      <c r="D416" s="7"/>
      <c r="E416" s="7"/>
      <c r="F416" s="7"/>
      <c r="G416" s="7"/>
      <c r="H416" s="7"/>
      <c r="I416" s="7"/>
      <c r="J416" s="7"/>
      <c r="K416" s="7"/>
      <c r="W416" s="34"/>
      <c r="X416" s="39"/>
    </row>
    <row r="417" spans="4:24" x14ac:dyDescent="0.25">
      <c r="D417" s="7"/>
      <c r="E417" s="7"/>
      <c r="F417" s="7"/>
      <c r="G417" s="7"/>
      <c r="H417" s="7"/>
      <c r="I417" s="7"/>
      <c r="J417" s="7"/>
      <c r="K417" s="7"/>
      <c r="W417" s="34"/>
      <c r="X417" s="39"/>
    </row>
    <row r="418" spans="4:24" x14ac:dyDescent="0.25">
      <c r="D418" s="7"/>
      <c r="E418" s="7"/>
      <c r="F418" s="7"/>
      <c r="G418" s="7"/>
      <c r="H418" s="7"/>
      <c r="I418" s="7"/>
      <c r="J418" s="7"/>
      <c r="K418" s="7"/>
      <c r="W418" s="34"/>
      <c r="X418" s="39"/>
    </row>
    <row r="419" spans="4:24" x14ac:dyDescent="0.25">
      <c r="D419" s="7"/>
      <c r="E419" s="7"/>
      <c r="F419" s="7"/>
      <c r="G419" s="7"/>
      <c r="H419" s="7"/>
      <c r="I419" s="7"/>
      <c r="J419" s="7"/>
      <c r="K419" s="7"/>
      <c r="W419" s="34"/>
      <c r="X419" s="39"/>
    </row>
    <row r="420" spans="4:24" x14ac:dyDescent="0.25">
      <c r="D420" s="7"/>
      <c r="E420" s="7"/>
      <c r="F420" s="7"/>
      <c r="G420" s="7"/>
      <c r="H420" s="7"/>
      <c r="I420" s="7"/>
      <c r="J420" s="7"/>
      <c r="K420" s="7"/>
      <c r="W420" s="34"/>
      <c r="X420" s="39"/>
    </row>
    <row r="421" spans="4:24" x14ac:dyDescent="0.25">
      <c r="D421" s="7"/>
      <c r="E421" s="7"/>
      <c r="F421" s="7"/>
      <c r="G421" s="7"/>
      <c r="H421" s="7"/>
      <c r="I421" s="7"/>
      <c r="J421" s="7"/>
      <c r="K421" s="7"/>
      <c r="W421" s="34"/>
      <c r="X421" s="39"/>
    </row>
    <row r="422" spans="4:24" x14ac:dyDescent="0.25">
      <c r="D422" s="7"/>
      <c r="E422" s="7"/>
      <c r="F422" s="7"/>
      <c r="G422" s="7"/>
      <c r="H422" s="7"/>
      <c r="I422" s="7"/>
      <c r="J422" s="7"/>
      <c r="K422" s="7"/>
      <c r="W422" s="34"/>
      <c r="X422" s="39"/>
    </row>
    <row r="423" spans="4:24" x14ac:dyDescent="0.25">
      <c r="D423" s="7"/>
      <c r="E423" s="7"/>
      <c r="F423" s="7"/>
      <c r="G423" s="7"/>
      <c r="H423" s="7"/>
      <c r="I423" s="7"/>
      <c r="J423" s="7"/>
      <c r="K423" s="7"/>
      <c r="W423" s="34"/>
      <c r="X423" s="39"/>
    </row>
    <row r="424" spans="4:24" x14ac:dyDescent="0.25">
      <c r="D424" s="7"/>
      <c r="E424" s="7"/>
      <c r="F424" s="7"/>
      <c r="G424" s="7"/>
      <c r="H424" s="7"/>
      <c r="I424" s="7"/>
      <c r="J424" s="7"/>
      <c r="K424" s="7"/>
      <c r="W424" s="34"/>
      <c r="X424" s="39"/>
    </row>
    <row r="425" spans="4:24" x14ac:dyDescent="0.25">
      <c r="D425" s="7"/>
      <c r="E425" s="7"/>
      <c r="F425" s="7"/>
      <c r="G425" s="7"/>
      <c r="H425" s="7"/>
      <c r="I425" s="7"/>
      <c r="J425" s="7"/>
      <c r="K425" s="7"/>
      <c r="W425" s="34"/>
      <c r="X425" s="39"/>
    </row>
    <row r="426" spans="4:24" x14ac:dyDescent="0.25">
      <c r="D426" s="7"/>
      <c r="E426" s="7"/>
      <c r="F426" s="7"/>
      <c r="G426" s="7"/>
      <c r="H426" s="7"/>
      <c r="I426" s="7"/>
      <c r="J426" s="7"/>
      <c r="K426" s="7"/>
      <c r="W426" s="34"/>
      <c r="X426" s="39"/>
    </row>
    <row r="427" spans="4:24" x14ac:dyDescent="0.25">
      <c r="D427" s="7"/>
      <c r="E427" s="7"/>
      <c r="F427" s="7"/>
      <c r="G427" s="7"/>
      <c r="H427" s="7"/>
      <c r="I427" s="7"/>
      <c r="J427" s="7"/>
      <c r="K427" s="7"/>
      <c r="W427" s="34"/>
      <c r="X427" s="39"/>
    </row>
    <row r="428" spans="4:24" x14ac:dyDescent="0.25">
      <c r="D428" s="7"/>
      <c r="E428" s="7"/>
      <c r="F428" s="7"/>
      <c r="G428" s="7"/>
      <c r="H428" s="7"/>
      <c r="I428" s="7"/>
      <c r="J428" s="7"/>
      <c r="K428" s="7"/>
      <c r="W428" s="34"/>
      <c r="X428" s="39"/>
    </row>
    <row r="429" spans="4:24" x14ac:dyDescent="0.25">
      <c r="D429" s="7"/>
      <c r="E429" s="7"/>
      <c r="F429" s="7"/>
      <c r="G429" s="7"/>
      <c r="H429" s="7"/>
      <c r="I429" s="7"/>
      <c r="J429" s="7"/>
      <c r="K429" s="7"/>
      <c r="W429" s="34"/>
      <c r="X429" s="39"/>
    </row>
    <row r="430" spans="4:24" x14ac:dyDescent="0.25">
      <c r="D430" s="7"/>
      <c r="E430" s="7"/>
      <c r="F430" s="7"/>
      <c r="G430" s="7"/>
      <c r="H430" s="7"/>
      <c r="I430" s="7"/>
      <c r="J430" s="7"/>
      <c r="K430" s="7"/>
      <c r="W430" s="34"/>
      <c r="X430" s="39"/>
    </row>
    <row r="431" spans="4:24" x14ac:dyDescent="0.25">
      <c r="D431" s="7"/>
      <c r="E431" s="7"/>
      <c r="F431" s="7"/>
      <c r="G431" s="7"/>
      <c r="H431" s="7"/>
      <c r="I431" s="7"/>
      <c r="J431" s="7"/>
      <c r="K431" s="7"/>
      <c r="W431" s="34"/>
      <c r="X431" s="39"/>
    </row>
    <row r="432" spans="4:24" x14ac:dyDescent="0.25">
      <c r="D432" s="7"/>
      <c r="E432" s="7"/>
      <c r="F432" s="7"/>
      <c r="G432" s="7"/>
      <c r="H432" s="7"/>
      <c r="I432" s="7"/>
      <c r="J432" s="7"/>
      <c r="K432" s="7"/>
      <c r="W432" s="34"/>
      <c r="X432" s="39"/>
    </row>
    <row r="433" spans="4:24" x14ac:dyDescent="0.25">
      <c r="D433" s="7"/>
      <c r="E433" s="7"/>
      <c r="F433" s="7"/>
      <c r="G433" s="7"/>
      <c r="H433" s="7"/>
      <c r="I433" s="7"/>
      <c r="J433" s="7"/>
      <c r="K433" s="7"/>
      <c r="W433" s="34"/>
      <c r="X433" s="39"/>
    </row>
    <row r="434" spans="4:24" x14ac:dyDescent="0.25">
      <c r="D434" s="7"/>
      <c r="E434" s="7"/>
      <c r="F434" s="7"/>
      <c r="G434" s="7"/>
      <c r="H434" s="7"/>
      <c r="I434" s="7"/>
      <c r="J434" s="7"/>
      <c r="K434" s="7"/>
      <c r="W434" s="34"/>
      <c r="X434" s="39"/>
    </row>
    <row r="435" spans="4:24" x14ac:dyDescent="0.25">
      <c r="D435" s="7"/>
      <c r="E435" s="7"/>
      <c r="F435" s="7"/>
      <c r="G435" s="7"/>
      <c r="H435" s="7"/>
      <c r="I435" s="7"/>
      <c r="J435" s="7"/>
      <c r="K435" s="7"/>
      <c r="W435" s="34"/>
      <c r="X435" s="39"/>
    </row>
    <row r="436" spans="4:24" x14ac:dyDescent="0.25">
      <c r="D436" s="7"/>
      <c r="E436" s="7"/>
      <c r="F436" s="7"/>
      <c r="G436" s="7"/>
      <c r="H436" s="7"/>
      <c r="I436" s="7"/>
      <c r="J436" s="7"/>
      <c r="K436" s="7"/>
      <c r="W436" s="34"/>
      <c r="X436" s="39"/>
    </row>
    <row r="437" spans="4:24" x14ac:dyDescent="0.25">
      <c r="D437" s="7"/>
      <c r="E437" s="7"/>
      <c r="F437" s="7"/>
      <c r="G437" s="7"/>
      <c r="H437" s="7"/>
      <c r="I437" s="7"/>
      <c r="J437" s="7"/>
      <c r="K437" s="7"/>
      <c r="W437" s="34"/>
      <c r="X437" s="39"/>
    </row>
    <row r="438" spans="4:24" x14ac:dyDescent="0.25">
      <c r="D438" s="7"/>
      <c r="E438" s="7"/>
      <c r="F438" s="7"/>
      <c r="G438" s="7"/>
      <c r="H438" s="7"/>
      <c r="I438" s="7"/>
      <c r="J438" s="7"/>
      <c r="K438" s="7"/>
      <c r="W438" s="34"/>
      <c r="X438" s="39"/>
    </row>
    <row r="439" spans="4:24" x14ac:dyDescent="0.25">
      <c r="D439" s="7"/>
      <c r="E439" s="7"/>
      <c r="F439" s="7"/>
      <c r="G439" s="7"/>
      <c r="H439" s="7"/>
      <c r="I439" s="7"/>
      <c r="J439" s="7"/>
      <c r="K439" s="7"/>
      <c r="W439" s="34"/>
      <c r="X439" s="39"/>
    </row>
    <row r="440" spans="4:24" x14ac:dyDescent="0.25">
      <c r="D440" s="7"/>
      <c r="E440" s="7"/>
      <c r="F440" s="7"/>
      <c r="G440" s="7"/>
      <c r="H440" s="7"/>
      <c r="I440" s="7"/>
      <c r="J440" s="7"/>
      <c r="K440" s="7"/>
      <c r="W440" s="34"/>
      <c r="X440" s="39"/>
    </row>
    <row r="441" spans="4:24" x14ac:dyDescent="0.25">
      <c r="D441" s="7"/>
      <c r="E441" s="7"/>
      <c r="F441" s="7"/>
      <c r="G441" s="7"/>
      <c r="H441" s="7"/>
      <c r="I441" s="7"/>
      <c r="J441" s="7"/>
      <c r="K441" s="7"/>
      <c r="W441" s="34"/>
      <c r="X441" s="39"/>
    </row>
    <row r="442" spans="4:24" x14ac:dyDescent="0.25">
      <c r="D442" s="7"/>
      <c r="E442" s="7"/>
      <c r="F442" s="7"/>
      <c r="G442" s="7"/>
      <c r="H442" s="7"/>
      <c r="I442" s="7"/>
      <c r="J442" s="7"/>
      <c r="K442" s="7"/>
      <c r="W442" s="34"/>
      <c r="X442" s="39"/>
    </row>
    <row r="443" spans="4:24" x14ac:dyDescent="0.25">
      <c r="D443" s="7"/>
      <c r="E443" s="7"/>
      <c r="F443" s="7"/>
      <c r="G443" s="7"/>
      <c r="H443" s="7"/>
      <c r="I443" s="7"/>
      <c r="J443" s="7"/>
      <c r="K443" s="7"/>
      <c r="W443" s="34"/>
      <c r="X443" s="39"/>
    </row>
    <row r="444" spans="4:24" x14ac:dyDescent="0.25">
      <c r="D444" s="7"/>
      <c r="E444" s="7"/>
      <c r="F444" s="7"/>
      <c r="G444" s="7"/>
      <c r="H444" s="7"/>
      <c r="I444" s="7"/>
      <c r="J444" s="7"/>
      <c r="K444" s="7"/>
      <c r="W444" s="34"/>
      <c r="X444" s="39"/>
    </row>
    <row r="445" spans="4:24" x14ac:dyDescent="0.25">
      <c r="D445" s="7"/>
      <c r="E445" s="7"/>
      <c r="F445" s="7"/>
      <c r="G445" s="7"/>
      <c r="H445" s="7"/>
      <c r="I445" s="7"/>
      <c r="J445" s="7"/>
      <c r="K445" s="7"/>
      <c r="W445" s="34"/>
      <c r="X445" s="39"/>
    </row>
    <row r="446" spans="4:24" x14ac:dyDescent="0.25">
      <c r="D446" s="7"/>
      <c r="E446" s="7"/>
      <c r="F446" s="7"/>
      <c r="G446" s="7"/>
      <c r="H446" s="7"/>
      <c r="I446" s="7"/>
      <c r="J446" s="7"/>
      <c r="K446" s="7"/>
      <c r="W446" s="34"/>
      <c r="X446" s="39"/>
    </row>
    <row r="447" spans="4:24" x14ac:dyDescent="0.25">
      <c r="D447" s="7"/>
      <c r="E447" s="7"/>
      <c r="F447" s="7"/>
      <c r="G447" s="7"/>
      <c r="H447" s="7"/>
      <c r="I447" s="7"/>
      <c r="J447" s="7"/>
      <c r="K447" s="7"/>
      <c r="W447" s="34"/>
      <c r="X447" s="39"/>
    </row>
    <row r="448" spans="4:24" x14ac:dyDescent="0.25">
      <c r="D448" s="7"/>
      <c r="E448" s="7"/>
      <c r="F448" s="7"/>
      <c r="G448" s="7"/>
      <c r="H448" s="7"/>
      <c r="I448" s="7"/>
      <c r="J448" s="7"/>
      <c r="K448" s="7"/>
      <c r="W448" s="34"/>
      <c r="X448" s="39"/>
    </row>
    <row r="449" spans="4:24" x14ac:dyDescent="0.25">
      <c r="D449" s="7"/>
      <c r="E449" s="7"/>
      <c r="F449" s="7"/>
      <c r="G449" s="7"/>
      <c r="H449" s="7"/>
      <c r="I449" s="7"/>
      <c r="J449" s="7"/>
      <c r="K449" s="7"/>
      <c r="W449" s="34"/>
      <c r="X449" s="39"/>
    </row>
    <row r="450" spans="4:24" x14ac:dyDescent="0.25">
      <c r="D450" s="7"/>
      <c r="E450" s="7"/>
      <c r="F450" s="7"/>
      <c r="G450" s="7"/>
      <c r="H450" s="7"/>
      <c r="I450" s="7"/>
      <c r="J450" s="7"/>
      <c r="K450" s="7"/>
      <c r="W450" s="34"/>
      <c r="X450" s="39"/>
    </row>
    <row r="451" spans="4:24" x14ac:dyDescent="0.25">
      <c r="D451" s="7"/>
      <c r="E451" s="7"/>
      <c r="F451" s="7"/>
      <c r="G451" s="7"/>
      <c r="H451" s="7"/>
      <c r="I451" s="7"/>
      <c r="J451" s="7"/>
      <c r="K451" s="7"/>
      <c r="W451" s="34"/>
      <c r="X451" s="39"/>
    </row>
    <row r="452" spans="4:24" x14ac:dyDescent="0.25">
      <c r="D452" s="7"/>
      <c r="E452" s="7"/>
      <c r="F452" s="7"/>
      <c r="G452" s="7"/>
      <c r="H452" s="7"/>
      <c r="I452" s="7"/>
      <c r="J452" s="7"/>
      <c r="K452" s="7"/>
      <c r="W452" s="34"/>
      <c r="X452" s="39"/>
    </row>
    <row r="453" spans="4:24" x14ac:dyDescent="0.25">
      <c r="D453" s="7"/>
      <c r="E453" s="7"/>
      <c r="F453" s="7"/>
      <c r="G453" s="7"/>
      <c r="H453" s="7"/>
      <c r="I453" s="7"/>
      <c r="J453" s="7"/>
      <c r="K453" s="7"/>
      <c r="W453" s="34"/>
      <c r="X453" s="39"/>
    </row>
    <row r="454" spans="4:24" x14ac:dyDescent="0.25">
      <c r="D454" s="7"/>
      <c r="E454" s="7"/>
      <c r="F454" s="7"/>
      <c r="G454" s="7"/>
      <c r="H454" s="7"/>
      <c r="I454" s="7"/>
      <c r="J454" s="7"/>
      <c r="K454" s="7"/>
      <c r="W454" s="34"/>
      <c r="X454" s="39"/>
    </row>
    <row r="455" spans="4:24" x14ac:dyDescent="0.25">
      <c r="D455" s="7"/>
      <c r="E455" s="7"/>
      <c r="F455" s="7"/>
      <c r="G455" s="7"/>
      <c r="H455" s="7"/>
      <c r="I455" s="7"/>
      <c r="J455" s="7"/>
      <c r="K455" s="7"/>
      <c r="W455" s="34"/>
      <c r="X455" s="39"/>
    </row>
    <row r="456" spans="4:24" x14ac:dyDescent="0.25">
      <c r="D456" s="7"/>
      <c r="E456" s="7"/>
      <c r="F456" s="7"/>
      <c r="G456" s="7"/>
      <c r="H456" s="7"/>
      <c r="I456" s="7"/>
      <c r="J456" s="7"/>
      <c r="K456" s="7"/>
      <c r="W456" s="34"/>
      <c r="X456" s="39"/>
    </row>
    <row r="457" spans="4:24" x14ac:dyDescent="0.25">
      <c r="D457" s="7"/>
      <c r="E457" s="7"/>
      <c r="F457" s="7"/>
      <c r="G457" s="7"/>
      <c r="H457" s="7"/>
      <c r="I457" s="7"/>
      <c r="J457" s="7"/>
      <c r="K457" s="7"/>
      <c r="W457" s="34"/>
      <c r="X457" s="39"/>
    </row>
    <row r="458" spans="4:24" x14ac:dyDescent="0.25">
      <c r="D458" s="7"/>
      <c r="E458" s="7"/>
      <c r="F458" s="7"/>
      <c r="G458" s="7"/>
      <c r="H458" s="7"/>
      <c r="I458" s="7"/>
      <c r="J458" s="7"/>
      <c r="K458" s="7"/>
      <c r="W458" s="34"/>
      <c r="X458" s="39"/>
    </row>
    <row r="459" spans="4:24" x14ac:dyDescent="0.25">
      <c r="D459" s="7"/>
      <c r="E459" s="7"/>
      <c r="F459" s="7"/>
      <c r="G459" s="7"/>
      <c r="H459" s="7"/>
      <c r="I459" s="7"/>
      <c r="J459" s="7"/>
      <c r="K459" s="7"/>
      <c r="W459" s="34"/>
      <c r="X459" s="39"/>
    </row>
    <row r="460" spans="4:24" x14ac:dyDescent="0.25">
      <c r="D460" s="7"/>
      <c r="E460" s="7"/>
      <c r="F460" s="7"/>
      <c r="G460" s="7"/>
      <c r="H460" s="7"/>
      <c r="I460" s="7"/>
      <c r="J460" s="7"/>
      <c r="K460" s="7"/>
      <c r="W460" s="34"/>
      <c r="X460" s="39"/>
    </row>
    <row r="461" spans="4:24" x14ac:dyDescent="0.25">
      <c r="D461" s="7"/>
      <c r="E461" s="7"/>
      <c r="F461" s="7"/>
      <c r="G461" s="7"/>
      <c r="H461" s="7"/>
      <c r="I461" s="7"/>
      <c r="J461" s="7"/>
      <c r="K461" s="7"/>
      <c r="W461" s="34"/>
      <c r="X461" s="39"/>
    </row>
    <row r="462" spans="4:24" x14ac:dyDescent="0.25">
      <c r="D462" s="7"/>
      <c r="E462" s="7"/>
      <c r="F462" s="7"/>
      <c r="G462" s="7"/>
      <c r="H462" s="7"/>
      <c r="I462" s="7"/>
      <c r="J462" s="7"/>
      <c r="K462" s="7"/>
      <c r="W462" s="34"/>
      <c r="X462" s="39"/>
    </row>
    <row r="463" spans="4:24" x14ac:dyDescent="0.25">
      <c r="D463" s="7"/>
      <c r="E463" s="7"/>
      <c r="F463" s="7"/>
      <c r="G463" s="7"/>
      <c r="H463" s="7"/>
      <c r="I463" s="7"/>
      <c r="J463" s="7"/>
      <c r="K463" s="7"/>
      <c r="W463" s="34"/>
      <c r="X463" s="39"/>
    </row>
    <row r="464" spans="4:24" x14ac:dyDescent="0.25">
      <c r="D464" s="7"/>
      <c r="E464" s="7"/>
      <c r="F464" s="7"/>
      <c r="G464" s="7"/>
      <c r="H464" s="7"/>
      <c r="I464" s="7"/>
      <c r="J464" s="7"/>
      <c r="K464" s="7"/>
      <c r="W464" s="34"/>
      <c r="X464" s="39"/>
    </row>
    <row r="465" spans="4:24" x14ac:dyDescent="0.25">
      <c r="D465" s="7"/>
      <c r="E465" s="7"/>
      <c r="F465" s="7"/>
      <c r="G465" s="7"/>
      <c r="H465" s="7"/>
      <c r="I465" s="7"/>
      <c r="J465" s="7"/>
      <c r="K465" s="7"/>
      <c r="W465" s="34"/>
      <c r="X465" s="39"/>
    </row>
    <row r="466" spans="4:24" x14ac:dyDescent="0.25">
      <c r="D466" s="7"/>
      <c r="E466" s="7"/>
      <c r="F466" s="7"/>
      <c r="G466" s="7"/>
      <c r="H466" s="7"/>
      <c r="I466" s="7"/>
      <c r="J466" s="7"/>
      <c r="K466" s="7"/>
      <c r="W466" s="34"/>
      <c r="X466" s="39"/>
    </row>
    <row r="467" spans="4:24" x14ac:dyDescent="0.25">
      <c r="D467" s="7"/>
      <c r="E467" s="7"/>
      <c r="F467" s="7"/>
      <c r="G467" s="7"/>
      <c r="H467" s="7"/>
      <c r="I467" s="7"/>
      <c r="J467" s="7"/>
      <c r="K467" s="7"/>
      <c r="W467" s="34"/>
      <c r="X467" s="39"/>
    </row>
    <row r="468" spans="4:24" x14ac:dyDescent="0.25">
      <c r="D468" s="7"/>
      <c r="E468" s="7"/>
      <c r="F468" s="7"/>
      <c r="G468" s="7"/>
      <c r="H468" s="7"/>
      <c r="I468" s="7"/>
      <c r="J468" s="7"/>
      <c r="K468" s="7"/>
      <c r="W468" s="34"/>
      <c r="X468" s="39"/>
    </row>
    <row r="469" spans="4:24" x14ac:dyDescent="0.25">
      <c r="D469" s="7"/>
      <c r="E469" s="7"/>
      <c r="F469" s="7"/>
      <c r="G469" s="7"/>
      <c r="H469" s="7"/>
      <c r="I469" s="7"/>
      <c r="J469" s="7"/>
      <c r="K469" s="7"/>
      <c r="W469" s="34"/>
      <c r="X469" s="39"/>
    </row>
    <row r="470" spans="4:24" x14ac:dyDescent="0.25">
      <c r="D470" s="7"/>
      <c r="E470" s="7"/>
      <c r="F470" s="7"/>
      <c r="G470" s="7"/>
      <c r="H470" s="7"/>
      <c r="I470" s="7"/>
      <c r="J470" s="7"/>
      <c r="K470" s="7"/>
      <c r="W470" s="34"/>
      <c r="X470" s="39"/>
    </row>
    <row r="471" spans="4:24" x14ac:dyDescent="0.25">
      <c r="D471" s="7"/>
      <c r="E471" s="7"/>
      <c r="F471" s="7"/>
      <c r="G471" s="7"/>
      <c r="H471" s="7"/>
      <c r="I471" s="7"/>
      <c r="J471" s="7"/>
      <c r="K471" s="7"/>
      <c r="W471" s="34"/>
      <c r="X471" s="39"/>
    </row>
    <row r="472" spans="4:24" x14ac:dyDescent="0.25">
      <c r="D472" s="7"/>
      <c r="E472" s="7"/>
      <c r="F472" s="7"/>
      <c r="G472" s="7"/>
      <c r="H472" s="7"/>
      <c r="I472" s="7"/>
      <c r="J472" s="7"/>
      <c r="K472" s="7"/>
      <c r="W472" s="34"/>
      <c r="X472" s="39"/>
    </row>
    <row r="473" spans="4:24" x14ac:dyDescent="0.25">
      <c r="D473" s="7"/>
      <c r="E473" s="7"/>
      <c r="F473" s="7"/>
      <c r="G473" s="7"/>
      <c r="H473" s="7"/>
      <c r="I473" s="7"/>
      <c r="J473" s="7"/>
      <c r="K473" s="7"/>
      <c r="W473" s="34"/>
      <c r="X473" s="39"/>
    </row>
    <row r="474" spans="4:24" x14ac:dyDescent="0.25">
      <c r="D474" s="7"/>
      <c r="E474" s="7"/>
      <c r="F474" s="7"/>
      <c r="G474" s="7"/>
      <c r="H474" s="7"/>
      <c r="I474" s="7"/>
      <c r="J474" s="7"/>
      <c r="K474" s="7"/>
      <c r="W474" s="34"/>
      <c r="X474" s="39"/>
    </row>
    <row r="475" spans="4:24" x14ac:dyDescent="0.25">
      <c r="D475" s="7"/>
      <c r="E475" s="7"/>
      <c r="F475" s="7"/>
      <c r="G475" s="7"/>
      <c r="H475" s="7"/>
      <c r="I475" s="7"/>
      <c r="J475" s="7"/>
      <c r="K475" s="7"/>
      <c r="W475" s="34"/>
      <c r="X475" s="39"/>
    </row>
    <row r="476" spans="4:24" x14ac:dyDescent="0.25">
      <c r="D476" s="7"/>
      <c r="E476" s="7"/>
      <c r="F476" s="7"/>
      <c r="G476" s="7"/>
      <c r="H476" s="7"/>
      <c r="I476" s="7"/>
      <c r="J476" s="7"/>
      <c r="K476" s="7"/>
      <c r="W476" s="34"/>
      <c r="X476" s="39"/>
    </row>
    <row r="477" spans="4:24" x14ac:dyDescent="0.25">
      <c r="D477" s="7"/>
      <c r="E477" s="7"/>
      <c r="F477" s="7"/>
      <c r="G477" s="7"/>
      <c r="H477" s="7"/>
      <c r="I477" s="7"/>
      <c r="J477" s="7"/>
      <c r="K477" s="7"/>
      <c r="W477" s="34"/>
      <c r="X477" s="39"/>
    </row>
    <row r="478" spans="4:24" x14ac:dyDescent="0.25">
      <c r="D478" s="7"/>
      <c r="E478" s="7"/>
      <c r="F478" s="7"/>
      <c r="G478" s="7"/>
      <c r="H478" s="7"/>
      <c r="I478" s="7"/>
      <c r="J478" s="7"/>
      <c r="K478" s="7"/>
      <c r="W478" s="34"/>
      <c r="X478" s="39"/>
    </row>
    <row r="479" spans="4:24" x14ac:dyDescent="0.25">
      <c r="D479" s="7"/>
      <c r="E479" s="7"/>
      <c r="F479" s="7"/>
      <c r="G479" s="7"/>
      <c r="H479" s="7"/>
      <c r="I479" s="7"/>
      <c r="J479" s="7"/>
      <c r="K479" s="7"/>
      <c r="W479" s="34"/>
      <c r="X479" s="39"/>
    </row>
    <row r="480" spans="4:24" x14ac:dyDescent="0.25">
      <c r="D480" s="7"/>
      <c r="E480" s="7"/>
      <c r="F480" s="7"/>
      <c r="G480" s="7"/>
      <c r="H480" s="7"/>
      <c r="I480" s="7"/>
      <c r="J480" s="7"/>
      <c r="K480" s="7"/>
      <c r="W480" s="34"/>
      <c r="X480" s="39"/>
    </row>
    <row r="481" spans="4:24" x14ac:dyDescent="0.25">
      <c r="D481" s="7"/>
      <c r="E481" s="7"/>
      <c r="F481" s="7"/>
      <c r="G481" s="7"/>
      <c r="H481" s="7"/>
      <c r="I481" s="7"/>
      <c r="J481" s="7"/>
      <c r="K481" s="7"/>
      <c r="W481" s="34"/>
      <c r="X481" s="39"/>
    </row>
    <row r="482" spans="4:24" x14ac:dyDescent="0.25">
      <c r="D482" s="7"/>
      <c r="E482" s="7"/>
      <c r="F482" s="7"/>
      <c r="G482" s="7"/>
      <c r="H482" s="7"/>
      <c r="I482" s="7"/>
      <c r="J482" s="7"/>
      <c r="K482" s="7"/>
      <c r="W482" s="34"/>
      <c r="X482" s="39"/>
    </row>
    <row r="483" spans="4:24" x14ac:dyDescent="0.25">
      <c r="D483" s="7"/>
      <c r="E483" s="7"/>
      <c r="F483" s="7"/>
      <c r="G483" s="7"/>
      <c r="H483" s="7"/>
      <c r="I483" s="7"/>
      <c r="J483" s="7"/>
      <c r="K483" s="7"/>
      <c r="W483" s="34"/>
      <c r="X483" s="39"/>
    </row>
    <row r="484" spans="4:24" x14ac:dyDescent="0.25">
      <c r="D484" s="7"/>
      <c r="E484" s="7"/>
      <c r="F484" s="7"/>
      <c r="G484" s="7"/>
      <c r="H484" s="7"/>
      <c r="I484" s="7"/>
      <c r="J484" s="7"/>
      <c r="K484" s="7"/>
      <c r="W484" s="34"/>
      <c r="X484" s="39"/>
    </row>
    <row r="485" spans="4:24" x14ac:dyDescent="0.25">
      <c r="D485" s="7"/>
      <c r="E485" s="7"/>
      <c r="F485" s="7"/>
      <c r="G485" s="7"/>
      <c r="H485" s="7"/>
      <c r="I485" s="7"/>
      <c r="J485" s="7"/>
      <c r="K485" s="7"/>
      <c r="W485" s="34"/>
      <c r="X485" s="39"/>
    </row>
    <row r="486" spans="4:24" x14ac:dyDescent="0.25">
      <c r="D486" s="7"/>
      <c r="E486" s="7"/>
      <c r="F486" s="7"/>
      <c r="G486" s="7"/>
      <c r="H486" s="7"/>
      <c r="I486" s="7"/>
      <c r="J486" s="7"/>
      <c r="K486" s="7"/>
      <c r="W486" s="34"/>
      <c r="X486" s="39"/>
    </row>
    <row r="487" spans="4:24" x14ac:dyDescent="0.25">
      <c r="D487" s="7"/>
      <c r="E487" s="7"/>
      <c r="F487" s="7"/>
      <c r="G487" s="7"/>
      <c r="H487" s="7"/>
      <c r="I487" s="7"/>
      <c r="J487" s="7"/>
      <c r="K487" s="7"/>
      <c r="W487" s="34"/>
      <c r="X487" s="39"/>
    </row>
    <row r="488" spans="4:24" x14ac:dyDescent="0.25">
      <c r="D488" s="7"/>
      <c r="E488" s="7"/>
      <c r="F488" s="7"/>
      <c r="G488" s="7"/>
      <c r="H488" s="7"/>
      <c r="I488" s="7"/>
      <c r="J488" s="7"/>
      <c r="K488" s="7"/>
      <c r="W488" s="34"/>
      <c r="X488" s="39"/>
    </row>
    <row r="489" spans="4:24" x14ac:dyDescent="0.25">
      <c r="D489" s="7"/>
      <c r="E489" s="7"/>
      <c r="F489" s="7"/>
      <c r="G489" s="7"/>
      <c r="H489" s="7"/>
      <c r="I489" s="7"/>
      <c r="J489" s="7"/>
      <c r="K489" s="7"/>
      <c r="W489" s="34"/>
      <c r="X489" s="39"/>
    </row>
    <row r="490" spans="4:24" x14ac:dyDescent="0.25">
      <c r="D490" s="7"/>
      <c r="E490" s="7"/>
      <c r="F490" s="7"/>
      <c r="G490" s="7"/>
      <c r="H490" s="7"/>
      <c r="I490" s="7"/>
      <c r="J490" s="7"/>
      <c r="K490" s="7"/>
      <c r="W490" s="34"/>
      <c r="X490" s="39"/>
    </row>
    <row r="491" spans="4:24" x14ac:dyDescent="0.25">
      <c r="D491" s="7"/>
      <c r="E491" s="7"/>
      <c r="F491" s="7"/>
      <c r="G491" s="7"/>
      <c r="H491" s="7"/>
      <c r="I491" s="7"/>
      <c r="J491" s="7"/>
      <c r="K491" s="7"/>
      <c r="W491" s="34"/>
      <c r="X491" s="39"/>
    </row>
    <row r="492" spans="4:24" x14ac:dyDescent="0.25">
      <c r="D492" s="7"/>
      <c r="E492" s="7"/>
      <c r="F492" s="7"/>
      <c r="G492" s="7"/>
      <c r="H492" s="7"/>
      <c r="I492" s="7"/>
      <c r="J492" s="7"/>
      <c r="K492" s="7"/>
      <c r="W492" s="34"/>
      <c r="X492" s="39"/>
    </row>
    <row r="493" spans="4:24" x14ac:dyDescent="0.25">
      <c r="D493" s="7"/>
      <c r="E493" s="7"/>
      <c r="F493" s="7"/>
      <c r="G493" s="7"/>
      <c r="H493" s="7"/>
      <c r="I493" s="7"/>
      <c r="J493" s="7"/>
      <c r="K493" s="7"/>
      <c r="W493" s="34"/>
      <c r="X493" s="39"/>
    </row>
    <row r="494" spans="4:24" x14ac:dyDescent="0.25">
      <c r="D494" s="7"/>
      <c r="E494" s="7"/>
      <c r="F494" s="7"/>
      <c r="G494" s="7"/>
      <c r="H494" s="7"/>
      <c r="I494" s="7"/>
      <c r="J494" s="7"/>
      <c r="K494" s="7"/>
      <c r="W494" s="34"/>
      <c r="X494" s="39"/>
    </row>
    <row r="495" spans="4:24" x14ac:dyDescent="0.25">
      <c r="D495" s="7"/>
      <c r="E495" s="7"/>
      <c r="F495" s="7"/>
      <c r="G495" s="7"/>
      <c r="H495" s="7"/>
      <c r="I495" s="7"/>
      <c r="J495" s="7"/>
      <c r="K495" s="7"/>
      <c r="W495" s="34"/>
      <c r="X495" s="39"/>
    </row>
    <row r="496" spans="4:24" x14ac:dyDescent="0.25">
      <c r="D496" s="7"/>
      <c r="E496" s="7"/>
      <c r="F496" s="7"/>
      <c r="G496" s="7"/>
      <c r="H496" s="7"/>
      <c r="I496" s="7"/>
      <c r="J496" s="7"/>
      <c r="K496" s="7"/>
      <c r="W496" s="34"/>
      <c r="X496" s="39"/>
    </row>
    <row r="497" spans="4:24" x14ac:dyDescent="0.25">
      <c r="D497" s="7"/>
      <c r="E497" s="7"/>
      <c r="F497" s="7"/>
      <c r="G497" s="7"/>
      <c r="H497" s="7"/>
      <c r="I497" s="7"/>
      <c r="J497" s="7"/>
      <c r="K497" s="7"/>
      <c r="W497" s="34"/>
      <c r="X497" s="39"/>
    </row>
    <row r="498" spans="4:24" x14ac:dyDescent="0.25">
      <c r="D498" s="7"/>
      <c r="E498" s="7"/>
      <c r="F498" s="7"/>
      <c r="G498" s="7"/>
      <c r="H498" s="7"/>
      <c r="I498" s="7"/>
      <c r="J498" s="7"/>
      <c r="K498" s="7"/>
      <c r="W498" s="34"/>
      <c r="X498" s="39"/>
    </row>
    <row r="499" spans="4:24" x14ac:dyDescent="0.25">
      <c r="D499" s="7"/>
      <c r="E499" s="7"/>
      <c r="F499" s="7"/>
      <c r="G499" s="7"/>
      <c r="H499" s="7"/>
      <c r="I499" s="7"/>
      <c r="J499" s="7"/>
      <c r="K499" s="7"/>
      <c r="W499" s="34"/>
      <c r="X499" s="39"/>
    </row>
    <row r="500" spans="4:24" x14ac:dyDescent="0.25">
      <c r="D500" s="7"/>
      <c r="E500" s="7"/>
      <c r="F500" s="7"/>
      <c r="G500" s="7"/>
      <c r="H500" s="7"/>
      <c r="I500" s="7"/>
      <c r="J500" s="7"/>
      <c r="K500" s="7"/>
      <c r="W500" s="34"/>
      <c r="X500" s="39"/>
    </row>
    <row r="501" spans="4:24" x14ac:dyDescent="0.25">
      <c r="D501" s="7"/>
      <c r="E501" s="7"/>
      <c r="F501" s="7"/>
      <c r="G501" s="7"/>
      <c r="H501" s="7"/>
      <c r="I501" s="7"/>
      <c r="J501" s="7"/>
      <c r="K501" s="7"/>
      <c r="W501" s="34"/>
      <c r="X501" s="39"/>
    </row>
    <row r="502" spans="4:24" x14ac:dyDescent="0.25">
      <c r="D502" s="7"/>
      <c r="E502" s="7"/>
      <c r="F502" s="7"/>
      <c r="G502" s="7"/>
      <c r="H502" s="7"/>
      <c r="I502" s="7"/>
      <c r="J502" s="7"/>
      <c r="K502" s="7"/>
      <c r="W502" s="34"/>
      <c r="X502" s="39"/>
    </row>
    <row r="503" spans="4:24" x14ac:dyDescent="0.25">
      <c r="D503" s="7"/>
      <c r="E503" s="7"/>
      <c r="F503" s="7"/>
      <c r="G503" s="7"/>
      <c r="H503" s="7"/>
      <c r="I503" s="7"/>
      <c r="J503" s="7"/>
      <c r="K503" s="7"/>
      <c r="W503" s="34"/>
      <c r="X503" s="39"/>
    </row>
    <row r="504" spans="4:24" x14ac:dyDescent="0.25">
      <c r="D504" s="7"/>
      <c r="E504" s="7"/>
      <c r="F504" s="7"/>
      <c r="G504" s="7"/>
      <c r="H504" s="7"/>
      <c r="I504" s="7"/>
      <c r="J504" s="7"/>
      <c r="K504" s="7"/>
      <c r="W504" s="34"/>
      <c r="X504" s="39"/>
    </row>
    <row r="505" spans="4:24" x14ac:dyDescent="0.25">
      <c r="D505" s="7"/>
      <c r="E505" s="7"/>
      <c r="F505" s="7"/>
      <c r="G505" s="7"/>
      <c r="H505" s="7"/>
      <c r="I505" s="7"/>
      <c r="J505" s="7"/>
      <c r="K505" s="7"/>
      <c r="W505" s="34"/>
      <c r="X505" s="39"/>
    </row>
    <row r="506" spans="4:24" x14ac:dyDescent="0.25">
      <c r="D506" s="7"/>
      <c r="E506" s="7"/>
      <c r="F506" s="7"/>
      <c r="G506" s="7"/>
      <c r="H506" s="7"/>
      <c r="I506" s="7"/>
      <c r="J506" s="7"/>
      <c r="K506" s="7"/>
      <c r="W506" s="34"/>
      <c r="X506" s="39"/>
    </row>
    <row r="507" spans="4:24" x14ac:dyDescent="0.25">
      <c r="D507" s="7"/>
      <c r="E507" s="7"/>
      <c r="F507" s="7"/>
      <c r="G507" s="7"/>
      <c r="H507" s="7"/>
      <c r="I507" s="7"/>
      <c r="J507" s="7"/>
      <c r="K507" s="7"/>
      <c r="W507" s="34"/>
      <c r="X507" s="39"/>
    </row>
    <row r="508" spans="4:24" x14ac:dyDescent="0.25">
      <c r="D508" s="7"/>
      <c r="E508" s="7"/>
      <c r="F508" s="7"/>
      <c r="G508" s="7"/>
      <c r="H508" s="7"/>
      <c r="I508" s="7"/>
      <c r="J508" s="7"/>
      <c r="K508" s="7"/>
      <c r="W508" s="34"/>
      <c r="X508" s="39"/>
    </row>
    <row r="509" spans="4:24" x14ac:dyDescent="0.25">
      <c r="D509" s="7"/>
      <c r="E509" s="7"/>
      <c r="F509" s="7"/>
      <c r="G509" s="7"/>
      <c r="H509" s="7"/>
      <c r="I509" s="7"/>
      <c r="J509" s="7"/>
      <c r="K509" s="7"/>
      <c r="W509" s="34"/>
      <c r="X509" s="39"/>
    </row>
    <row r="510" spans="4:24" x14ac:dyDescent="0.25">
      <c r="D510" s="7"/>
      <c r="E510" s="7"/>
      <c r="F510" s="7"/>
      <c r="G510" s="7"/>
      <c r="H510" s="7"/>
      <c r="I510" s="7"/>
      <c r="J510" s="7"/>
      <c r="K510" s="7"/>
      <c r="W510" s="34"/>
      <c r="X510" s="39"/>
    </row>
    <row r="511" spans="4:24" x14ac:dyDescent="0.25">
      <c r="D511" s="7"/>
      <c r="E511" s="7"/>
      <c r="F511" s="7"/>
      <c r="G511" s="7"/>
      <c r="H511" s="7"/>
      <c r="I511" s="7"/>
      <c r="J511" s="7"/>
      <c r="K511" s="7"/>
      <c r="W511" s="34"/>
      <c r="X511" s="39"/>
    </row>
    <row r="512" spans="4:24" x14ac:dyDescent="0.25">
      <c r="D512" s="7"/>
      <c r="E512" s="7"/>
      <c r="F512" s="7"/>
      <c r="G512" s="7"/>
      <c r="H512" s="7"/>
      <c r="I512" s="7"/>
      <c r="J512" s="7"/>
      <c r="K512" s="7"/>
      <c r="W512" s="34"/>
      <c r="X512" s="39"/>
    </row>
    <row r="513" spans="4:24" x14ac:dyDescent="0.25">
      <c r="D513" s="7"/>
      <c r="E513" s="7"/>
      <c r="F513" s="7"/>
      <c r="G513" s="7"/>
      <c r="H513" s="7"/>
      <c r="I513" s="7"/>
      <c r="J513" s="7"/>
      <c r="K513" s="7"/>
      <c r="W513" s="34"/>
      <c r="X513" s="39"/>
    </row>
    <row r="514" spans="4:24" x14ac:dyDescent="0.25">
      <c r="D514" s="7"/>
      <c r="E514" s="7"/>
      <c r="F514" s="7"/>
      <c r="G514" s="7"/>
      <c r="H514" s="7"/>
      <c r="I514" s="7"/>
      <c r="J514" s="7"/>
      <c r="K514" s="7"/>
      <c r="W514" s="34"/>
      <c r="X514" s="39"/>
    </row>
    <row r="515" spans="4:24" x14ac:dyDescent="0.25">
      <c r="D515" s="7"/>
      <c r="E515" s="7"/>
      <c r="F515" s="7"/>
      <c r="G515" s="7"/>
      <c r="H515" s="7"/>
      <c r="I515" s="7"/>
      <c r="J515" s="7"/>
      <c r="K515" s="7"/>
      <c r="W515" s="34"/>
      <c r="X515" s="39"/>
    </row>
    <row r="516" spans="4:24" x14ac:dyDescent="0.25">
      <c r="D516" s="7"/>
      <c r="E516" s="7"/>
      <c r="F516" s="7"/>
      <c r="G516" s="7"/>
      <c r="H516" s="7"/>
      <c r="I516" s="7"/>
      <c r="J516" s="7"/>
      <c r="K516" s="7"/>
      <c r="W516" s="34"/>
      <c r="X516" s="39"/>
    </row>
    <row r="517" spans="4:24" x14ac:dyDescent="0.25">
      <c r="D517" s="7"/>
      <c r="E517" s="7"/>
      <c r="F517" s="7"/>
      <c r="G517" s="7"/>
      <c r="H517" s="7"/>
      <c r="I517" s="7"/>
      <c r="J517" s="7"/>
      <c r="K517" s="7"/>
      <c r="W517" s="34"/>
      <c r="X517" s="39"/>
    </row>
    <row r="518" spans="4:24" x14ac:dyDescent="0.25">
      <c r="D518" s="7"/>
      <c r="E518" s="7"/>
      <c r="F518" s="7"/>
      <c r="G518" s="7"/>
      <c r="H518" s="7"/>
      <c r="I518" s="7"/>
      <c r="J518" s="7"/>
      <c r="K518" s="7"/>
      <c r="W518" s="34"/>
      <c r="X518" s="39"/>
    </row>
    <row r="519" spans="4:24" x14ac:dyDescent="0.25">
      <c r="D519" s="7"/>
      <c r="E519" s="7"/>
      <c r="F519" s="7"/>
      <c r="G519" s="7"/>
      <c r="H519" s="7"/>
      <c r="I519" s="7"/>
      <c r="J519" s="7"/>
      <c r="K519" s="7"/>
      <c r="W519" s="34"/>
      <c r="X519" s="39"/>
    </row>
    <row r="520" spans="4:24" x14ac:dyDescent="0.25">
      <c r="D520" s="7"/>
      <c r="E520" s="7"/>
      <c r="F520" s="7"/>
      <c r="G520" s="7"/>
      <c r="H520" s="7"/>
      <c r="I520" s="7"/>
      <c r="J520" s="7"/>
      <c r="K520" s="7"/>
      <c r="W520" s="34"/>
      <c r="X520" s="39"/>
    </row>
    <row r="521" spans="4:24" x14ac:dyDescent="0.25">
      <c r="D521" s="7"/>
      <c r="E521" s="7"/>
      <c r="F521" s="7"/>
      <c r="G521" s="7"/>
      <c r="H521" s="7"/>
      <c r="I521" s="7"/>
      <c r="J521" s="7"/>
      <c r="K521" s="7"/>
      <c r="W521" s="34"/>
      <c r="X521" s="39"/>
    </row>
    <row r="522" spans="4:24" x14ac:dyDescent="0.25">
      <c r="D522" s="7"/>
      <c r="E522" s="7"/>
      <c r="F522" s="7"/>
      <c r="G522" s="7"/>
      <c r="H522" s="7"/>
      <c r="I522" s="7"/>
      <c r="J522" s="7"/>
      <c r="K522" s="7"/>
      <c r="W522" s="34"/>
      <c r="X522" s="39"/>
    </row>
    <row r="523" spans="4:24" x14ac:dyDescent="0.25">
      <c r="D523" s="7"/>
      <c r="E523" s="7"/>
      <c r="F523" s="7"/>
      <c r="G523" s="7"/>
      <c r="H523" s="7"/>
      <c r="I523" s="7"/>
      <c r="J523" s="7"/>
      <c r="K523" s="7"/>
      <c r="W523" s="34"/>
      <c r="X523" s="39"/>
    </row>
    <row r="524" spans="4:24" x14ac:dyDescent="0.25">
      <c r="D524" s="7"/>
      <c r="E524" s="7"/>
      <c r="F524" s="7"/>
      <c r="G524" s="7"/>
      <c r="H524" s="7"/>
      <c r="I524" s="7"/>
      <c r="J524" s="7"/>
      <c r="K524" s="7"/>
      <c r="W524" s="34"/>
      <c r="X524" s="39"/>
    </row>
    <row r="525" spans="4:24" x14ac:dyDescent="0.25">
      <c r="D525" s="7"/>
      <c r="E525" s="7"/>
      <c r="F525" s="7"/>
      <c r="G525" s="7"/>
      <c r="H525" s="7"/>
      <c r="I525" s="7"/>
      <c r="J525" s="7"/>
      <c r="K525" s="7"/>
      <c r="W525" s="34"/>
      <c r="X525" s="39"/>
    </row>
    <row r="526" spans="4:24" x14ac:dyDescent="0.25">
      <c r="D526" s="7"/>
      <c r="E526" s="7"/>
      <c r="F526" s="7"/>
      <c r="G526" s="7"/>
      <c r="H526" s="7"/>
      <c r="I526" s="7"/>
      <c r="J526" s="7"/>
      <c r="K526" s="7"/>
      <c r="W526" s="34"/>
      <c r="X526" s="39"/>
    </row>
    <row r="527" spans="4:24" x14ac:dyDescent="0.25">
      <c r="D527" s="7"/>
      <c r="E527" s="7"/>
      <c r="F527" s="7"/>
      <c r="G527" s="7"/>
      <c r="H527" s="7"/>
      <c r="I527" s="7"/>
      <c r="J527" s="7"/>
      <c r="K527" s="7"/>
      <c r="W527" s="34"/>
      <c r="X527" s="39"/>
    </row>
    <row r="528" spans="4:24" x14ac:dyDescent="0.25">
      <c r="D528" s="7"/>
      <c r="E528" s="7"/>
      <c r="F528" s="7"/>
      <c r="G528" s="7"/>
      <c r="H528" s="7"/>
      <c r="I528" s="7"/>
      <c r="J528" s="7"/>
      <c r="K528" s="7"/>
      <c r="W528" s="34"/>
      <c r="X528" s="39"/>
    </row>
    <row r="529" spans="4:24" x14ac:dyDescent="0.25">
      <c r="D529" s="7"/>
      <c r="E529" s="7"/>
      <c r="F529" s="7"/>
      <c r="G529" s="7"/>
      <c r="H529" s="7"/>
      <c r="I529" s="7"/>
      <c r="J529" s="7"/>
      <c r="K529" s="7"/>
      <c r="W529" s="34"/>
      <c r="X529" s="39"/>
    </row>
    <row r="530" spans="4:24" x14ac:dyDescent="0.25">
      <c r="D530" s="7"/>
      <c r="E530" s="7"/>
      <c r="F530" s="7"/>
      <c r="G530" s="7"/>
      <c r="H530" s="7"/>
      <c r="I530" s="7"/>
      <c r="J530" s="7"/>
      <c r="K530" s="7"/>
      <c r="W530" s="34"/>
      <c r="X530" s="39"/>
    </row>
    <row r="531" spans="4:24" x14ac:dyDescent="0.25">
      <c r="D531" s="7"/>
      <c r="E531" s="7"/>
      <c r="F531" s="7"/>
      <c r="G531" s="7"/>
      <c r="H531" s="7"/>
      <c r="I531" s="7"/>
      <c r="J531" s="7"/>
      <c r="K531" s="7"/>
      <c r="W531" s="34"/>
      <c r="X531" s="39"/>
    </row>
    <row r="532" spans="4:24" x14ac:dyDescent="0.25">
      <c r="D532" s="7"/>
      <c r="E532" s="7"/>
      <c r="F532" s="7"/>
      <c r="G532" s="7"/>
      <c r="H532" s="7"/>
      <c r="I532" s="7"/>
      <c r="J532" s="7"/>
      <c r="K532" s="7"/>
      <c r="W532" s="34"/>
      <c r="X532" s="39"/>
    </row>
    <row r="533" spans="4:24" x14ac:dyDescent="0.25">
      <c r="D533" s="7"/>
      <c r="E533" s="7"/>
      <c r="F533" s="7"/>
      <c r="G533" s="7"/>
      <c r="H533" s="7"/>
      <c r="I533" s="7"/>
      <c r="J533" s="7"/>
      <c r="K533" s="7"/>
      <c r="W533" s="34"/>
      <c r="X533" s="39"/>
    </row>
    <row r="534" spans="4:24" x14ac:dyDescent="0.25">
      <c r="D534" s="7"/>
      <c r="E534" s="7"/>
      <c r="F534" s="7"/>
      <c r="G534" s="7"/>
      <c r="H534" s="7"/>
      <c r="I534" s="7"/>
      <c r="J534" s="7"/>
      <c r="K534" s="7"/>
      <c r="W534" s="34"/>
      <c r="X534" s="39"/>
    </row>
    <row r="535" spans="4:24" x14ac:dyDescent="0.25">
      <c r="D535" s="7"/>
      <c r="E535" s="7"/>
      <c r="F535" s="7"/>
      <c r="G535" s="7"/>
      <c r="H535" s="7"/>
      <c r="I535" s="7"/>
      <c r="J535" s="7"/>
      <c r="K535" s="7"/>
      <c r="W535" s="34"/>
      <c r="X535" s="39"/>
    </row>
    <row r="536" spans="4:24" x14ac:dyDescent="0.25">
      <c r="D536" s="7"/>
      <c r="E536" s="7"/>
      <c r="F536" s="7"/>
      <c r="G536" s="7"/>
      <c r="H536" s="7"/>
      <c r="I536" s="7"/>
      <c r="J536" s="7"/>
      <c r="K536" s="7"/>
      <c r="W536" s="34"/>
      <c r="X536" s="39"/>
    </row>
    <row r="537" spans="4:24" x14ac:dyDescent="0.25">
      <c r="D537" s="7"/>
      <c r="E537" s="7"/>
      <c r="F537" s="7"/>
      <c r="G537" s="7"/>
      <c r="H537" s="7"/>
      <c r="I537" s="7"/>
      <c r="J537" s="7"/>
      <c r="K537" s="7"/>
      <c r="W537" s="34"/>
      <c r="X537" s="39"/>
    </row>
    <row r="538" spans="4:24" x14ac:dyDescent="0.25">
      <c r="D538" s="7"/>
      <c r="E538" s="7"/>
      <c r="F538" s="7"/>
      <c r="G538" s="7"/>
      <c r="H538" s="7"/>
      <c r="I538" s="7"/>
      <c r="J538" s="7"/>
      <c r="K538" s="7"/>
      <c r="W538" s="34"/>
      <c r="X538" s="39"/>
    </row>
    <row r="539" spans="4:24" x14ac:dyDescent="0.25">
      <c r="D539" s="7"/>
      <c r="E539" s="7"/>
      <c r="F539" s="7"/>
      <c r="G539" s="7"/>
      <c r="H539" s="7"/>
      <c r="I539" s="7"/>
      <c r="J539" s="7"/>
      <c r="K539" s="7"/>
      <c r="W539" s="34"/>
      <c r="X539" s="39"/>
    </row>
    <row r="540" spans="4:24" x14ac:dyDescent="0.25">
      <c r="D540" s="7"/>
      <c r="E540" s="7"/>
      <c r="F540" s="7"/>
      <c r="G540" s="7"/>
      <c r="H540" s="7"/>
      <c r="I540" s="7"/>
      <c r="J540" s="7"/>
      <c r="K540" s="7"/>
      <c r="W540" s="34"/>
      <c r="X540" s="39"/>
    </row>
    <row r="541" spans="4:24" x14ac:dyDescent="0.25">
      <c r="D541" s="7"/>
      <c r="E541" s="7"/>
      <c r="F541" s="7"/>
      <c r="G541" s="7"/>
      <c r="H541" s="7"/>
      <c r="I541" s="7"/>
      <c r="J541" s="7"/>
      <c r="K541" s="7"/>
      <c r="W541" s="34"/>
      <c r="X541" s="39"/>
    </row>
    <row r="542" spans="4:24" x14ac:dyDescent="0.25">
      <c r="D542" s="7"/>
      <c r="E542" s="7"/>
      <c r="F542" s="7"/>
      <c r="G542" s="7"/>
      <c r="H542" s="7"/>
      <c r="I542" s="7"/>
      <c r="J542" s="7"/>
      <c r="K542" s="7"/>
      <c r="W542" s="34"/>
      <c r="X542" s="39"/>
    </row>
    <row r="543" spans="4:24" x14ac:dyDescent="0.25">
      <c r="D543" s="7"/>
      <c r="E543" s="7"/>
      <c r="F543" s="7"/>
      <c r="G543" s="7"/>
      <c r="H543" s="7"/>
      <c r="I543" s="7"/>
      <c r="J543" s="7"/>
      <c r="K543" s="7"/>
      <c r="W543" s="34"/>
      <c r="X543" s="39"/>
    </row>
    <row r="544" spans="4:24" x14ac:dyDescent="0.25">
      <c r="D544" s="7"/>
      <c r="E544" s="7"/>
      <c r="F544" s="7"/>
      <c r="G544" s="7"/>
      <c r="H544" s="7"/>
      <c r="I544" s="7"/>
      <c r="J544" s="7"/>
      <c r="K544" s="7"/>
      <c r="W544" s="34"/>
      <c r="X544" s="39"/>
    </row>
    <row r="545" spans="4:24" x14ac:dyDescent="0.25">
      <c r="D545" s="7"/>
      <c r="E545" s="7"/>
      <c r="F545" s="7"/>
      <c r="G545" s="7"/>
      <c r="H545" s="7"/>
      <c r="I545" s="7"/>
      <c r="J545" s="7"/>
      <c r="K545" s="7"/>
      <c r="W545" s="34"/>
      <c r="X545" s="39"/>
    </row>
    <row r="546" spans="4:24" x14ac:dyDescent="0.25">
      <c r="D546" s="7"/>
      <c r="E546" s="7"/>
      <c r="F546" s="7"/>
      <c r="G546" s="7"/>
      <c r="H546" s="7"/>
      <c r="I546" s="7"/>
      <c r="J546" s="7"/>
      <c r="K546" s="7"/>
      <c r="W546" s="34"/>
      <c r="X546" s="39"/>
    </row>
    <row r="547" spans="4:24" x14ac:dyDescent="0.25">
      <c r="D547" s="7"/>
      <c r="E547" s="7"/>
      <c r="F547" s="7"/>
      <c r="G547" s="7"/>
      <c r="H547" s="7"/>
      <c r="I547" s="7"/>
      <c r="J547" s="7"/>
      <c r="K547" s="7"/>
      <c r="W547" s="34"/>
      <c r="X547" s="39"/>
    </row>
    <row r="548" spans="4:24" x14ac:dyDescent="0.25">
      <c r="D548" s="7"/>
      <c r="E548" s="7"/>
      <c r="F548" s="7"/>
      <c r="G548" s="7"/>
      <c r="H548" s="7"/>
      <c r="I548" s="7"/>
      <c r="J548" s="7"/>
      <c r="K548" s="7"/>
      <c r="W548" s="34"/>
      <c r="X548" s="39"/>
    </row>
    <row r="549" spans="4:24" x14ac:dyDescent="0.25">
      <c r="D549" s="7"/>
      <c r="E549" s="7"/>
      <c r="F549" s="7"/>
      <c r="G549" s="7"/>
      <c r="H549" s="7"/>
      <c r="I549" s="7"/>
      <c r="J549" s="7"/>
      <c r="K549" s="7"/>
      <c r="W549" s="34"/>
      <c r="X549" s="39"/>
    </row>
    <row r="550" spans="4:24" x14ac:dyDescent="0.25">
      <c r="D550" s="7"/>
      <c r="E550" s="7"/>
      <c r="F550" s="7"/>
      <c r="G550" s="7"/>
      <c r="H550" s="7"/>
      <c r="I550" s="7"/>
      <c r="J550" s="7"/>
      <c r="K550" s="7"/>
      <c r="W550" s="34"/>
      <c r="X550" s="39"/>
    </row>
    <row r="551" spans="4:24" x14ac:dyDescent="0.25">
      <c r="D551" s="7"/>
      <c r="E551" s="7"/>
      <c r="F551" s="7"/>
      <c r="G551" s="7"/>
      <c r="H551" s="7"/>
      <c r="I551" s="7"/>
      <c r="J551" s="7"/>
      <c r="K551" s="7"/>
      <c r="W551" s="34"/>
      <c r="X551" s="39"/>
    </row>
    <row r="552" spans="4:24" x14ac:dyDescent="0.25">
      <c r="D552" s="7"/>
      <c r="E552" s="7"/>
      <c r="F552" s="7"/>
      <c r="G552" s="7"/>
      <c r="H552" s="7"/>
      <c r="I552" s="7"/>
      <c r="J552" s="7"/>
      <c r="K552" s="7"/>
      <c r="W552" s="34"/>
      <c r="X552" s="39"/>
    </row>
    <row r="553" spans="4:24" x14ac:dyDescent="0.25">
      <c r="D553" s="7"/>
      <c r="E553" s="7"/>
      <c r="F553" s="7"/>
      <c r="G553" s="7"/>
      <c r="H553" s="7"/>
      <c r="I553" s="7"/>
      <c r="J553" s="7"/>
      <c r="K553" s="7"/>
      <c r="W553" s="34"/>
      <c r="X553" s="39"/>
    </row>
    <row r="554" spans="4:24" x14ac:dyDescent="0.25">
      <c r="D554" s="7"/>
      <c r="E554" s="7"/>
      <c r="F554" s="7"/>
      <c r="G554" s="7"/>
      <c r="H554" s="7"/>
      <c r="I554" s="7"/>
      <c r="J554" s="7"/>
      <c r="K554" s="7"/>
      <c r="W554" s="34"/>
      <c r="X554" s="39"/>
    </row>
    <row r="555" spans="4:24" x14ac:dyDescent="0.25">
      <c r="D555" s="7"/>
      <c r="E555" s="7"/>
      <c r="F555" s="7"/>
      <c r="G555" s="7"/>
      <c r="H555" s="7"/>
      <c r="I555" s="7"/>
      <c r="J555" s="7"/>
      <c r="K555" s="7"/>
      <c r="W555" s="34"/>
      <c r="X555" s="39"/>
    </row>
    <row r="556" spans="4:24" x14ac:dyDescent="0.25">
      <c r="D556" s="7"/>
      <c r="E556" s="7"/>
      <c r="F556" s="7"/>
      <c r="G556" s="7"/>
      <c r="H556" s="7"/>
      <c r="I556" s="7"/>
      <c r="J556" s="7"/>
      <c r="K556" s="7"/>
      <c r="W556" s="34"/>
      <c r="X556" s="39"/>
    </row>
    <row r="557" spans="4:24" x14ac:dyDescent="0.25">
      <c r="D557" s="7"/>
      <c r="E557" s="7"/>
      <c r="F557" s="7"/>
      <c r="G557" s="7"/>
      <c r="H557" s="7"/>
      <c r="I557" s="7"/>
      <c r="J557" s="7"/>
      <c r="K557" s="7"/>
      <c r="W557" s="34"/>
      <c r="X557" s="39"/>
    </row>
    <row r="558" spans="4:24" x14ac:dyDescent="0.25">
      <c r="D558" s="7"/>
      <c r="E558" s="7"/>
      <c r="F558" s="7"/>
      <c r="G558" s="7"/>
      <c r="H558" s="7"/>
      <c r="I558" s="7"/>
      <c r="J558" s="7"/>
      <c r="K558" s="7"/>
      <c r="W558" s="34"/>
      <c r="X558" s="39"/>
    </row>
    <row r="559" spans="4:24" x14ac:dyDescent="0.25">
      <c r="D559" s="7"/>
      <c r="E559" s="7"/>
      <c r="F559" s="7"/>
      <c r="G559" s="7"/>
      <c r="H559" s="7"/>
      <c r="I559" s="7"/>
      <c r="J559" s="7"/>
      <c r="K559" s="7"/>
      <c r="W559" s="34"/>
      <c r="X559" s="39"/>
    </row>
    <row r="560" spans="4:24" x14ac:dyDescent="0.25">
      <c r="D560" s="7"/>
      <c r="E560" s="7"/>
      <c r="F560" s="7"/>
      <c r="G560" s="7"/>
      <c r="H560" s="7"/>
      <c r="I560" s="7"/>
      <c r="J560" s="7"/>
      <c r="K560" s="7"/>
      <c r="W560" s="34"/>
      <c r="X560" s="39"/>
    </row>
    <row r="561" spans="4:24" x14ac:dyDescent="0.25">
      <c r="D561" s="7"/>
      <c r="E561" s="7"/>
      <c r="F561" s="7"/>
      <c r="G561" s="7"/>
      <c r="H561" s="7"/>
      <c r="I561" s="7"/>
      <c r="J561" s="7"/>
      <c r="K561" s="7"/>
      <c r="W561" s="34"/>
      <c r="X561" s="39"/>
    </row>
    <row r="562" spans="4:24" x14ac:dyDescent="0.25">
      <c r="D562" s="7"/>
      <c r="E562" s="7"/>
      <c r="F562" s="7"/>
      <c r="G562" s="7"/>
      <c r="H562" s="7"/>
      <c r="I562" s="7"/>
      <c r="J562" s="7"/>
      <c r="K562" s="7"/>
      <c r="W562" s="34"/>
      <c r="X562" s="39"/>
    </row>
    <row r="563" spans="4:24" x14ac:dyDescent="0.25">
      <c r="D563" s="7"/>
      <c r="E563" s="7"/>
      <c r="F563" s="7"/>
      <c r="G563" s="7"/>
      <c r="H563" s="7"/>
      <c r="I563" s="7"/>
      <c r="J563" s="7"/>
      <c r="K563" s="7"/>
      <c r="W563" s="34"/>
      <c r="X563" s="39"/>
    </row>
    <row r="564" spans="4:24" x14ac:dyDescent="0.25">
      <c r="D564" s="7"/>
      <c r="E564" s="7"/>
      <c r="F564" s="7"/>
      <c r="G564" s="7"/>
      <c r="H564" s="7"/>
      <c r="I564" s="7"/>
      <c r="J564" s="7"/>
      <c r="K564" s="7"/>
      <c r="W564" s="34"/>
      <c r="X564" s="39"/>
    </row>
    <row r="565" spans="4:24" x14ac:dyDescent="0.25">
      <c r="D565" s="7"/>
      <c r="E565" s="7"/>
      <c r="F565" s="7"/>
      <c r="G565" s="7"/>
      <c r="H565" s="7"/>
      <c r="I565" s="7"/>
      <c r="J565" s="7"/>
      <c r="K565" s="7"/>
      <c r="W565" s="34"/>
      <c r="X565" s="39"/>
    </row>
    <row r="566" spans="4:24" x14ac:dyDescent="0.25">
      <c r="D566" s="7"/>
      <c r="E566" s="7"/>
      <c r="F566" s="7"/>
      <c r="G566" s="7"/>
      <c r="H566" s="7"/>
      <c r="I566" s="7"/>
      <c r="J566" s="7"/>
      <c r="K566" s="7"/>
      <c r="W566" s="34"/>
      <c r="X566" s="39"/>
    </row>
    <row r="567" spans="4:24" x14ac:dyDescent="0.25">
      <c r="D567" s="7"/>
      <c r="E567" s="7"/>
      <c r="F567" s="7"/>
      <c r="G567" s="7"/>
      <c r="H567" s="7"/>
      <c r="I567" s="7"/>
      <c r="J567" s="7"/>
      <c r="K567" s="7"/>
      <c r="W567" s="34"/>
      <c r="X567" s="39"/>
    </row>
    <row r="568" spans="4:24" x14ac:dyDescent="0.25">
      <c r="D568" s="7"/>
      <c r="E568" s="7"/>
      <c r="F568" s="7"/>
      <c r="G568" s="7"/>
      <c r="H568" s="7"/>
      <c r="I568" s="7"/>
      <c r="J568" s="7"/>
      <c r="K568" s="7"/>
      <c r="W568" s="34"/>
      <c r="X568" s="39"/>
    </row>
    <row r="569" spans="4:24" x14ac:dyDescent="0.25">
      <c r="D569" s="7"/>
      <c r="E569" s="7"/>
      <c r="F569" s="7"/>
      <c r="G569" s="7"/>
      <c r="H569" s="7"/>
      <c r="I569" s="7"/>
      <c r="J569" s="7"/>
      <c r="K569" s="7"/>
      <c r="W569" s="34"/>
      <c r="X569" s="39"/>
    </row>
    <row r="570" spans="4:24" x14ac:dyDescent="0.25">
      <c r="D570" s="7"/>
      <c r="E570" s="7"/>
      <c r="F570" s="7"/>
      <c r="G570" s="7"/>
      <c r="H570" s="7"/>
      <c r="I570" s="7"/>
      <c r="J570" s="7"/>
      <c r="K570" s="7"/>
      <c r="W570" s="34"/>
      <c r="X570" s="39"/>
    </row>
    <row r="571" spans="4:24" x14ac:dyDescent="0.25">
      <c r="D571" s="7"/>
      <c r="E571" s="7"/>
      <c r="F571" s="7"/>
      <c r="G571" s="7"/>
      <c r="H571" s="7"/>
      <c r="I571" s="7"/>
      <c r="J571" s="7"/>
      <c r="K571" s="7"/>
      <c r="W571" s="34"/>
      <c r="X571" s="39"/>
    </row>
    <row r="572" spans="4:24" x14ac:dyDescent="0.25">
      <c r="D572" s="7"/>
      <c r="E572" s="7"/>
      <c r="F572" s="7"/>
      <c r="G572" s="7"/>
      <c r="H572" s="7"/>
      <c r="I572" s="7"/>
      <c r="J572" s="7"/>
      <c r="K572" s="7"/>
      <c r="W572" s="34"/>
      <c r="X572" s="39"/>
    </row>
    <row r="573" spans="4:24" x14ac:dyDescent="0.25">
      <c r="D573" s="7"/>
      <c r="E573" s="7"/>
      <c r="F573" s="7"/>
      <c r="G573" s="7"/>
      <c r="H573" s="7"/>
      <c r="I573" s="7"/>
      <c r="J573" s="7"/>
      <c r="K573" s="7"/>
      <c r="W573" s="34"/>
      <c r="X573" s="39"/>
    </row>
    <row r="574" spans="4:24" x14ac:dyDescent="0.25">
      <c r="D574" s="7"/>
      <c r="E574" s="7"/>
      <c r="F574" s="7"/>
      <c r="G574" s="7"/>
      <c r="H574" s="7"/>
      <c r="I574" s="7"/>
      <c r="J574" s="7"/>
      <c r="K574" s="7"/>
      <c r="W574" s="34"/>
      <c r="X574" s="39"/>
    </row>
    <row r="575" spans="4:24" x14ac:dyDescent="0.25">
      <c r="D575" s="7"/>
      <c r="E575" s="7"/>
      <c r="F575" s="7"/>
      <c r="G575" s="7"/>
      <c r="H575" s="7"/>
      <c r="I575" s="7"/>
      <c r="J575" s="7"/>
      <c r="K575" s="7"/>
      <c r="W575" s="34"/>
      <c r="X575" s="39"/>
    </row>
    <row r="576" spans="4:24" x14ac:dyDescent="0.25">
      <c r="D576" s="7"/>
      <c r="E576" s="7"/>
      <c r="F576" s="7"/>
      <c r="G576" s="7"/>
      <c r="H576" s="7"/>
      <c r="I576" s="7"/>
      <c r="J576" s="7"/>
      <c r="K576" s="7"/>
      <c r="W576" s="34"/>
      <c r="X576" s="39"/>
    </row>
    <row r="577" spans="4:24" x14ac:dyDescent="0.25">
      <c r="D577" s="7"/>
      <c r="E577" s="7"/>
      <c r="F577" s="7"/>
      <c r="G577" s="7"/>
      <c r="H577" s="7"/>
      <c r="I577" s="7"/>
      <c r="J577" s="7"/>
      <c r="K577" s="7"/>
      <c r="W577" s="34"/>
      <c r="X577" s="39"/>
    </row>
    <row r="578" spans="4:24" x14ac:dyDescent="0.25">
      <c r="D578" s="7"/>
      <c r="E578" s="7"/>
      <c r="F578" s="7"/>
      <c r="G578" s="7"/>
      <c r="H578" s="7"/>
      <c r="I578" s="7"/>
      <c r="J578" s="7"/>
      <c r="K578" s="7"/>
      <c r="W578" s="34"/>
      <c r="X578" s="39"/>
    </row>
    <row r="579" spans="4:24" x14ac:dyDescent="0.25">
      <c r="D579" s="7"/>
      <c r="E579" s="7"/>
      <c r="F579" s="7"/>
      <c r="G579" s="7"/>
      <c r="H579" s="7"/>
      <c r="I579" s="7"/>
      <c r="J579" s="7"/>
      <c r="K579" s="7"/>
      <c r="W579" s="34"/>
      <c r="X579" s="39"/>
    </row>
    <row r="580" spans="4:24" x14ac:dyDescent="0.25">
      <c r="D580" s="7"/>
      <c r="E580" s="7"/>
      <c r="F580" s="7"/>
      <c r="G580" s="7"/>
      <c r="H580" s="7"/>
      <c r="I580" s="7"/>
      <c r="J580" s="7"/>
      <c r="K580" s="7"/>
      <c r="W580" s="34"/>
      <c r="X580" s="39"/>
    </row>
    <row r="581" spans="4:24" x14ac:dyDescent="0.25">
      <c r="D581" s="7"/>
      <c r="E581" s="7"/>
      <c r="F581" s="7"/>
      <c r="G581" s="7"/>
      <c r="H581" s="7"/>
      <c r="I581" s="7"/>
      <c r="J581" s="7"/>
      <c r="K581" s="7"/>
      <c r="W581" s="34"/>
      <c r="X581" s="39"/>
    </row>
    <row r="582" spans="4:24" x14ac:dyDescent="0.25">
      <c r="D582" s="7"/>
      <c r="E582" s="7"/>
      <c r="F582" s="7"/>
      <c r="G582" s="7"/>
      <c r="H582" s="7"/>
      <c r="I582" s="7"/>
      <c r="J582" s="7"/>
      <c r="K582" s="7"/>
      <c r="W582" s="34"/>
      <c r="X582" s="39"/>
    </row>
    <row r="583" spans="4:24" x14ac:dyDescent="0.25">
      <c r="D583" s="7"/>
      <c r="E583" s="7"/>
      <c r="F583" s="7"/>
      <c r="G583" s="7"/>
      <c r="H583" s="7"/>
      <c r="I583" s="7"/>
      <c r="J583" s="7"/>
      <c r="K583" s="7"/>
      <c r="W583" s="34"/>
      <c r="X583" s="39"/>
    </row>
    <row r="584" spans="4:24" x14ac:dyDescent="0.25">
      <c r="D584" s="7"/>
      <c r="E584" s="7"/>
      <c r="F584" s="7"/>
      <c r="G584" s="7"/>
      <c r="H584" s="7"/>
      <c r="I584" s="7"/>
      <c r="J584" s="7"/>
      <c r="K584" s="7"/>
      <c r="W584" s="34"/>
      <c r="X584" s="39"/>
    </row>
    <row r="585" spans="4:24" x14ac:dyDescent="0.25">
      <c r="D585" s="7"/>
      <c r="E585" s="7"/>
      <c r="F585" s="7"/>
      <c r="G585" s="7"/>
      <c r="H585" s="7"/>
      <c r="I585" s="7"/>
      <c r="J585" s="7"/>
      <c r="K585" s="7"/>
      <c r="W585" s="34"/>
      <c r="X585" s="39"/>
    </row>
    <row r="586" spans="4:24" x14ac:dyDescent="0.25">
      <c r="D586" s="7"/>
      <c r="E586" s="7"/>
      <c r="F586" s="7"/>
      <c r="G586" s="7"/>
      <c r="H586" s="7"/>
      <c r="I586" s="7"/>
      <c r="J586" s="7"/>
      <c r="K586" s="7"/>
      <c r="W586" s="34"/>
      <c r="X586" s="39"/>
    </row>
    <row r="587" spans="4:24" x14ac:dyDescent="0.25">
      <c r="D587" s="7"/>
      <c r="E587" s="7"/>
      <c r="F587" s="7"/>
      <c r="G587" s="7"/>
      <c r="H587" s="7"/>
      <c r="I587" s="7"/>
      <c r="J587" s="7"/>
      <c r="K587" s="7"/>
      <c r="W587" s="34"/>
      <c r="X587" s="39"/>
    </row>
    <row r="588" spans="4:24" x14ac:dyDescent="0.25">
      <c r="D588" s="7"/>
      <c r="E588" s="7"/>
      <c r="F588" s="7"/>
      <c r="G588" s="7"/>
      <c r="H588" s="7"/>
      <c r="I588" s="7"/>
      <c r="J588" s="7"/>
      <c r="K588" s="7"/>
      <c r="W588" s="34"/>
      <c r="X588" s="39"/>
    </row>
    <row r="589" spans="4:24" x14ac:dyDescent="0.25">
      <c r="D589" s="7"/>
      <c r="E589" s="7"/>
      <c r="F589" s="7"/>
      <c r="G589" s="7"/>
      <c r="H589" s="7"/>
      <c r="I589" s="7"/>
      <c r="J589" s="7"/>
      <c r="K589" s="7"/>
      <c r="W589" s="34"/>
      <c r="X589" s="39"/>
    </row>
    <row r="590" spans="4:24" x14ac:dyDescent="0.25">
      <c r="D590" s="7"/>
      <c r="E590" s="7"/>
      <c r="F590" s="7"/>
      <c r="G590" s="7"/>
      <c r="H590" s="7"/>
      <c r="I590" s="7"/>
      <c r="J590" s="7"/>
      <c r="K590" s="7"/>
      <c r="W590" s="34"/>
      <c r="X590" s="39"/>
    </row>
    <row r="591" spans="4:24" x14ac:dyDescent="0.25">
      <c r="D591" s="7"/>
      <c r="E591" s="7"/>
      <c r="F591" s="7"/>
      <c r="G591" s="7"/>
      <c r="H591" s="7"/>
      <c r="I591" s="7"/>
      <c r="J591" s="7"/>
      <c r="K591" s="7"/>
      <c r="W591" s="34"/>
      <c r="X591" s="39"/>
    </row>
    <row r="592" spans="4:24" x14ac:dyDescent="0.25">
      <c r="D592" s="7"/>
      <c r="E592" s="7"/>
      <c r="F592" s="7"/>
      <c r="G592" s="7"/>
      <c r="H592" s="7"/>
      <c r="I592" s="7"/>
      <c r="J592" s="7"/>
      <c r="K592" s="7"/>
      <c r="W592" s="34"/>
      <c r="X592" s="39"/>
    </row>
    <row r="593" spans="4:24" x14ac:dyDescent="0.25">
      <c r="D593" s="7"/>
      <c r="E593" s="7"/>
      <c r="F593" s="7"/>
      <c r="G593" s="7"/>
      <c r="H593" s="7"/>
      <c r="I593" s="7"/>
      <c r="J593" s="7"/>
      <c r="K593" s="7"/>
      <c r="W593" s="34"/>
      <c r="X593" s="39"/>
    </row>
    <row r="594" spans="4:24" x14ac:dyDescent="0.25">
      <c r="D594" s="7"/>
      <c r="E594" s="7"/>
      <c r="F594" s="7"/>
      <c r="G594" s="7"/>
      <c r="H594" s="7"/>
      <c r="I594" s="7"/>
      <c r="J594" s="7"/>
      <c r="K594" s="7"/>
      <c r="W594" s="34"/>
      <c r="X594" s="39"/>
    </row>
    <row r="595" spans="4:24" x14ac:dyDescent="0.25">
      <c r="D595" s="7"/>
      <c r="E595" s="7"/>
      <c r="F595" s="7"/>
      <c r="G595" s="7"/>
      <c r="H595" s="7"/>
      <c r="I595" s="7"/>
      <c r="J595" s="7"/>
      <c r="K595" s="7"/>
      <c r="W595" s="34"/>
      <c r="X595" s="39"/>
    </row>
    <row r="596" spans="4:24" x14ac:dyDescent="0.25">
      <c r="D596" s="7"/>
      <c r="E596" s="7"/>
      <c r="F596" s="7"/>
      <c r="G596" s="7"/>
      <c r="H596" s="7"/>
      <c r="I596" s="7"/>
      <c r="J596" s="7"/>
      <c r="K596" s="7"/>
      <c r="W596" s="34"/>
      <c r="X596" s="39"/>
    </row>
    <row r="597" spans="4:24" x14ac:dyDescent="0.25">
      <c r="D597" s="7"/>
      <c r="E597" s="7"/>
      <c r="F597" s="7"/>
      <c r="G597" s="7"/>
      <c r="H597" s="7"/>
      <c r="I597" s="7"/>
      <c r="J597" s="7"/>
      <c r="K597" s="7"/>
      <c r="W597" s="34"/>
      <c r="X597" s="39"/>
    </row>
    <row r="598" spans="4:24" x14ac:dyDescent="0.25">
      <c r="D598" s="7"/>
      <c r="E598" s="7"/>
      <c r="F598" s="7"/>
      <c r="G598" s="7"/>
      <c r="H598" s="7"/>
      <c r="I598" s="7"/>
      <c r="J598" s="7"/>
      <c r="K598" s="7"/>
      <c r="W598" s="34"/>
      <c r="X598" s="39"/>
    </row>
    <row r="599" spans="4:24" x14ac:dyDescent="0.25">
      <c r="D599" s="7"/>
      <c r="E599" s="7"/>
      <c r="F599" s="7"/>
      <c r="G599" s="7"/>
      <c r="H599" s="7"/>
      <c r="I599" s="7"/>
      <c r="J599" s="7"/>
      <c r="K599" s="7"/>
      <c r="W599" s="34"/>
      <c r="X599" s="39"/>
    </row>
    <row r="600" spans="4:24" x14ac:dyDescent="0.25">
      <c r="D600" s="7"/>
      <c r="E600" s="7"/>
      <c r="F600" s="7"/>
      <c r="G600" s="7"/>
      <c r="H600" s="7"/>
      <c r="I600" s="7"/>
      <c r="J600" s="7"/>
      <c r="K600" s="7"/>
      <c r="W600" s="34"/>
      <c r="X600" s="39"/>
    </row>
    <row r="601" spans="4:24" x14ac:dyDescent="0.25">
      <c r="D601" s="7"/>
      <c r="E601" s="7"/>
      <c r="F601" s="7"/>
      <c r="G601" s="7"/>
      <c r="H601" s="7"/>
      <c r="I601" s="7"/>
      <c r="J601" s="7"/>
      <c r="K601" s="7"/>
      <c r="W601" s="34"/>
      <c r="X601" s="39"/>
    </row>
    <row r="602" spans="4:24" x14ac:dyDescent="0.25">
      <c r="D602" s="7"/>
      <c r="E602" s="7"/>
      <c r="F602" s="7"/>
      <c r="G602" s="7"/>
      <c r="H602" s="7"/>
      <c r="I602" s="7"/>
      <c r="J602" s="7"/>
      <c r="K602" s="7"/>
      <c r="W602" s="34"/>
      <c r="X602" s="39"/>
    </row>
    <row r="603" spans="4:24" x14ac:dyDescent="0.25">
      <c r="D603" s="7"/>
      <c r="E603" s="7"/>
      <c r="F603" s="7"/>
      <c r="G603" s="7"/>
      <c r="H603" s="7"/>
      <c r="I603" s="7"/>
      <c r="J603" s="7"/>
      <c r="K603" s="7"/>
      <c r="W603" s="34"/>
      <c r="X603" s="39"/>
    </row>
    <row r="604" spans="4:24" x14ac:dyDescent="0.25">
      <c r="D604" s="7"/>
      <c r="E604" s="7"/>
      <c r="F604" s="7"/>
      <c r="G604" s="7"/>
      <c r="H604" s="7"/>
      <c r="I604" s="7"/>
      <c r="J604" s="7"/>
      <c r="K604" s="7"/>
      <c r="W604" s="34"/>
      <c r="X604" s="39"/>
    </row>
    <row r="605" spans="4:24" x14ac:dyDescent="0.25">
      <c r="D605" s="7"/>
      <c r="E605" s="7"/>
      <c r="F605" s="7"/>
      <c r="G605" s="7"/>
      <c r="H605" s="7"/>
      <c r="I605" s="7"/>
      <c r="J605" s="7"/>
      <c r="K605" s="7"/>
      <c r="W605" s="34"/>
      <c r="X605" s="39"/>
    </row>
    <row r="606" spans="4:24" x14ac:dyDescent="0.25">
      <c r="D606" s="7"/>
      <c r="E606" s="7"/>
      <c r="F606" s="7"/>
      <c r="G606" s="7"/>
      <c r="H606" s="7"/>
      <c r="I606" s="7"/>
      <c r="J606" s="7"/>
      <c r="K606" s="7"/>
      <c r="W606" s="34"/>
      <c r="X606" s="39"/>
    </row>
    <row r="607" spans="4:24" x14ac:dyDescent="0.25">
      <c r="D607" s="7"/>
      <c r="E607" s="7"/>
      <c r="F607" s="7"/>
      <c r="G607" s="7"/>
      <c r="H607" s="7"/>
      <c r="I607" s="7"/>
      <c r="J607" s="7"/>
      <c r="K607" s="7"/>
      <c r="W607" s="34"/>
      <c r="X607" s="39"/>
    </row>
    <row r="608" spans="4:24" x14ac:dyDescent="0.25">
      <c r="D608" s="7"/>
      <c r="E608" s="7"/>
      <c r="F608" s="7"/>
      <c r="G608" s="7"/>
      <c r="H608" s="7"/>
      <c r="I608" s="7"/>
      <c r="J608" s="7"/>
      <c r="K608" s="7"/>
      <c r="W608" s="34"/>
      <c r="X608" s="39"/>
    </row>
    <row r="609" spans="4:24" x14ac:dyDescent="0.25">
      <c r="D609" s="7"/>
      <c r="E609" s="7"/>
      <c r="F609" s="7"/>
      <c r="G609" s="7"/>
      <c r="H609" s="7"/>
      <c r="I609" s="7"/>
      <c r="J609" s="7"/>
      <c r="K609" s="7"/>
      <c r="W609" s="34"/>
      <c r="X609" s="39"/>
    </row>
    <row r="610" spans="4:24" x14ac:dyDescent="0.25">
      <c r="D610" s="7"/>
      <c r="E610" s="7"/>
      <c r="F610" s="7"/>
      <c r="G610" s="7"/>
      <c r="H610" s="7"/>
      <c r="I610" s="7"/>
      <c r="J610" s="7"/>
      <c r="K610" s="7"/>
      <c r="W610" s="34"/>
      <c r="X610" s="39"/>
    </row>
    <row r="611" spans="4:24" x14ac:dyDescent="0.25">
      <c r="D611" s="7"/>
      <c r="E611" s="7"/>
      <c r="F611" s="7"/>
      <c r="G611" s="7"/>
      <c r="H611" s="7"/>
      <c r="I611" s="7"/>
      <c r="J611" s="7"/>
      <c r="K611" s="7"/>
      <c r="W611" s="34"/>
      <c r="X611" s="39"/>
    </row>
    <row r="612" spans="4:24" x14ac:dyDescent="0.25">
      <c r="D612" s="7"/>
      <c r="E612" s="7"/>
      <c r="F612" s="7"/>
      <c r="G612" s="7"/>
      <c r="H612" s="7"/>
      <c r="I612" s="7"/>
      <c r="J612" s="7"/>
      <c r="K612" s="7"/>
      <c r="W612" s="34"/>
      <c r="X612" s="39"/>
    </row>
    <row r="613" spans="4:24" x14ac:dyDescent="0.25">
      <c r="D613" s="7"/>
      <c r="E613" s="7"/>
      <c r="F613" s="7"/>
      <c r="G613" s="7"/>
      <c r="H613" s="7"/>
      <c r="I613" s="7"/>
      <c r="J613" s="7"/>
      <c r="K613" s="7"/>
      <c r="W613" s="34"/>
      <c r="X613" s="39"/>
    </row>
    <row r="614" spans="4:24" x14ac:dyDescent="0.25">
      <c r="D614" s="7"/>
      <c r="E614" s="7"/>
      <c r="F614" s="7"/>
      <c r="G614" s="7"/>
      <c r="H614" s="7"/>
      <c r="I614" s="7"/>
      <c r="J614" s="7"/>
      <c r="K614" s="7"/>
      <c r="W614" s="34"/>
      <c r="X614" s="39"/>
    </row>
    <row r="615" spans="4:24" x14ac:dyDescent="0.25">
      <c r="D615" s="7"/>
      <c r="E615" s="7"/>
      <c r="F615" s="7"/>
      <c r="G615" s="7"/>
      <c r="H615" s="7"/>
      <c r="I615" s="7"/>
      <c r="J615" s="7"/>
      <c r="K615" s="7"/>
      <c r="W615" s="34"/>
      <c r="X615" s="39"/>
    </row>
    <row r="616" spans="4:24" x14ac:dyDescent="0.25">
      <c r="D616" s="7"/>
      <c r="E616" s="7"/>
      <c r="F616" s="7"/>
      <c r="G616" s="7"/>
      <c r="H616" s="7"/>
      <c r="I616" s="7"/>
      <c r="J616" s="7"/>
      <c r="K616" s="7"/>
      <c r="W616" s="34"/>
      <c r="X616" s="39"/>
    </row>
    <row r="617" spans="4:24" x14ac:dyDescent="0.25">
      <c r="D617" s="7"/>
      <c r="E617" s="7"/>
      <c r="F617" s="7"/>
      <c r="G617" s="7"/>
      <c r="H617" s="7"/>
      <c r="I617" s="7"/>
      <c r="J617" s="7"/>
      <c r="K617" s="7"/>
      <c r="W617" s="34"/>
      <c r="X617" s="39"/>
    </row>
    <row r="618" spans="4:24" x14ac:dyDescent="0.25">
      <c r="D618" s="7"/>
      <c r="E618" s="7"/>
      <c r="F618" s="7"/>
      <c r="G618" s="7"/>
      <c r="H618" s="7"/>
      <c r="I618" s="7"/>
      <c r="J618" s="7"/>
      <c r="K618" s="7"/>
      <c r="W618" s="34"/>
      <c r="X618" s="39"/>
    </row>
    <row r="619" spans="4:24" x14ac:dyDescent="0.25">
      <c r="D619" s="7"/>
      <c r="E619" s="7"/>
      <c r="F619" s="7"/>
      <c r="G619" s="7"/>
      <c r="H619" s="7"/>
      <c r="I619" s="7"/>
      <c r="J619" s="7"/>
      <c r="K619" s="7"/>
      <c r="W619" s="34"/>
      <c r="X619" s="39"/>
    </row>
    <row r="620" spans="4:24" x14ac:dyDescent="0.25">
      <c r="D620" s="7"/>
      <c r="E620" s="7"/>
      <c r="F620" s="7"/>
      <c r="G620" s="7"/>
      <c r="H620" s="7"/>
      <c r="I620" s="7"/>
      <c r="J620" s="7"/>
      <c r="K620" s="7"/>
      <c r="W620" s="34"/>
      <c r="X620" s="39"/>
    </row>
    <row r="621" spans="4:24" x14ac:dyDescent="0.25">
      <c r="D621" s="7"/>
      <c r="E621" s="7"/>
      <c r="F621" s="7"/>
      <c r="G621" s="7"/>
      <c r="H621" s="7"/>
      <c r="I621" s="7"/>
      <c r="J621" s="7"/>
      <c r="K621" s="7"/>
      <c r="W621" s="34"/>
      <c r="X621" s="39"/>
    </row>
    <row r="622" spans="4:24" x14ac:dyDescent="0.25">
      <c r="D622" s="7"/>
      <c r="E622" s="7"/>
      <c r="F622" s="7"/>
      <c r="G622" s="7"/>
      <c r="H622" s="7"/>
      <c r="I622" s="7"/>
      <c r="J622" s="7"/>
      <c r="K622" s="7"/>
      <c r="W622" s="34"/>
      <c r="X622" s="39"/>
    </row>
    <row r="623" spans="4:24" x14ac:dyDescent="0.25">
      <c r="D623" s="7"/>
      <c r="E623" s="7"/>
      <c r="F623" s="7"/>
      <c r="G623" s="7"/>
      <c r="H623" s="7"/>
      <c r="I623" s="7"/>
      <c r="J623" s="7"/>
      <c r="K623" s="7"/>
      <c r="W623" s="34"/>
      <c r="X623" s="39"/>
    </row>
    <row r="624" spans="4:24" x14ac:dyDescent="0.25">
      <c r="D624" s="7"/>
      <c r="E624" s="7"/>
      <c r="F624" s="7"/>
      <c r="G624" s="7"/>
      <c r="H624" s="7"/>
      <c r="I624" s="7"/>
      <c r="J624" s="7"/>
      <c r="K624" s="7"/>
      <c r="W624" s="34"/>
      <c r="X624" s="39"/>
    </row>
    <row r="625" spans="4:24" x14ac:dyDescent="0.25">
      <c r="D625" s="7"/>
      <c r="E625" s="7"/>
      <c r="F625" s="7"/>
      <c r="G625" s="7"/>
      <c r="H625" s="7"/>
      <c r="I625" s="7"/>
      <c r="J625" s="7"/>
      <c r="K625" s="7"/>
      <c r="W625" s="34"/>
      <c r="X625" s="39"/>
    </row>
    <row r="626" spans="4:24" x14ac:dyDescent="0.25">
      <c r="D626" s="7"/>
      <c r="E626" s="7"/>
      <c r="F626" s="7"/>
      <c r="G626" s="7"/>
      <c r="H626" s="7"/>
      <c r="I626" s="7"/>
      <c r="J626" s="7"/>
      <c r="K626" s="7"/>
      <c r="W626" s="34"/>
      <c r="X626" s="39"/>
    </row>
    <row r="627" spans="4:24" x14ac:dyDescent="0.25">
      <c r="D627" s="7"/>
      <c r="E627" s="7"/>
      <c r="F627" s="7"/>
      <c r="G627" s="7"/>
      <c r="H627" s="7"/>
      <c r="I627" s="7"/>
      <c r="J627" s="7"/>
      <c r="K627" s="7"/>
      <c r="W627" s="34"/>
      <c r="X627" s="39"/>
    </row>
    <row r="628" spans="4:24" x14ac:dyDescent="0.25">
      <c r="D628" s="7"/>
      <c r="E628" s="7"/>
      <c r="F628" s="7"/>
      <c r="G628" s="7"/>
      <c r="H628" s="7"/>
      <c r="I628" s="7"/>
      <c r="J628" s="7"/>
      <c r="K628" s="7"/>
      <c r="W628" s="34"/>
      <c r="X628" s="39"/>
    </row>
    <row r="629" spans="4:24" x14ac:dyDescent="0.25">
      <c r="D629" s="7"/>
      <c r="E629" s="7"/>
      <c r="F629" s="7"/>
      <c r="G629" s="7"/>
      <c r="H629" s="7"/>
      <c r="I629" s="7"/>
      <c r="J629" s="7"/>
      <c r="K629" s="7"/>
      <c r="W629" s="34"/>
      <c r="X629" s="39"/>
    </row>
    <row r="630" spans="4:24" x14ac:dyDescent="0.25">
      <c r="D630" s="7"/>
      <c r="E630" s="7"/>
      <c r="F630" s="7"/>
      <c r="G630" s="7"/>
      <c r="H630" s="7"/>
      <c r="I630" s="7"/>
      <c r="J630" s="7"/>
      <c r="K630" s="7"/>
      <c r="W630" s="34"/>
      <c r="X630" s="39"/>
    </row>
    <row r="631" spans="4:24" x14ac:dyDescent="0.25">
      <c r="D631" s="7"/>
      <c r="E631" s="7"/>
      <c r="F631" s="7"/>
      <c r="G631" s="7"/>
      <c r="H631" s="7"/>
      <c r="I631" s="7"/>
      <c r="J631" s="7"/>
      <c r="K631" s="7"/>
      <c r="W631" s="34"/>
      <c r="X631" s="39"/>
    </row>
    <row r="632" spans="4:24" x14ac:dyDescent="0.25">
      <c r="D632" s="7"/>
      <c r="E632" s="7"/>
      <c r="F632" s="7"/>
      <c r="G632" s="7"/>
      <c r="H632" s="7"/>
      <c r="I632" s="7"/>
      <c r="J632" s="7"/>
      <c r="K632" s="7"/>
      <c r="W632" s="34"/>
      <c r="X632" s="39"/>
    </row>
    <row r="633" spans="4:24" x14ac:dyDescent="0.25">
      <c r="D633" s="7"/>
      <c r="E633" s="7"/>
      <c r="F633" s="7"/>
      <c r="G633" s="7"/>
      <c r="H633" s="7"/>
      <c r="I633" s="7"/>
      <c r="J633" s="7"/>
      <c r="K633" s="7"/>
      <c r="W633" s="34"/>
      <c r="X633" s="39"/>
    </row>
    <row r="634" spans="4:24" x14ac:dyDescent="0.25">
      <c r="D634" s="7"/>
      <c r="E634" s="7"/>
      <c r="F634" s="7"/>
      <c r="G634" s="7"/>
      <c r="H634" s="7"/>
      <c r="I634" s="7"/>
      <c r="J634" s="7"/>
      <c r="K634" s="7"/>
      <c r="W634" s="34"/>
      <c r="X634" s="39"/>
    </row>
    <row r="635" spans="4:24" x14ac:dyDescent="0.25">
      <c r="D635" s="7"/>
      <c r="E635" s="7"/>
      <c r="F635" s="7"/>
      <c r="G635" s="7"/>
      <c r="H635" s="7"/>
      <c r="I635" s="7"/>
      <c r="J635" s="7"/>
      <c r="K635" s="7"/>
      <c r="W635" s="34"/>
      <c r="X635" s="39"/>
    </row>
    <row r="636" spans="4:24" x14ac:dyDescent="0.25">
      <c r="D636" s="7"/>
      <c r="E636" s="7"/>
      <c r="F636" s="7"/>
      <c r="G636" s="7"/>
      <c r="H636" s="7"/>
      <c r="I636" s="7"/>
      <c r="J636" s="7"/>
      <c r="K636" s="7"/>
      <c r="W636" s="34"/>
      <c r="X636" s="39"/>
    </row>
    <row r="637" spans="4:24" x14ac:dyDescent="0.25">
      <c r="D637" s="7"/>
      <c r="E637" s="7"/>
      <c r="F637" s="7"/>
      <c r="G637" s="7"/>
      <c r="H637" s="7"/>
      <c r="I637" s="7"/>
      <c r="J637" s="7"/>
      <c r="K637" s="7"/>
      <c r="W637" s="34"/>
      <c r="X637" s="39"/>
    </row>
    <row r="638" spans="4:24" x14ac:dyDescent="0.25">
      <c r="D638" s="7"/>
      <c r="E638" s="7"/>
      <c r="F638" s="7"/>
      <c r="G638" s="7"/>
      <c r="H638" s="7"/>
      <c r="I638" s="7"/>
      <c r="J638" s="7"/>
      <c r="K638" s="7"/>
      <c r="W638" s="34"/>
      <c r="X638" s="39"/>
    </row>
    <row r="639" spans="4:24" x14ac:dyDescent="0.25">
      <c r="D639" s="7"/>
      <c r="E639" s="7"/>
      <c r="F639" s="7"/>
      <c r="G639" s="7"/>
      <c r="H639" s="7"/>
      <c r="I639" s="7"/>
      <c r="J639" s="7"/>
      <c r="K639" s="7"/>
      <c r="W639" s="34"/>
      <c r="X639" s="39"/>
    </row>
    <row r="640" spans="4:24" x14ac:dyDescent="0.25">
      <c r="D640" s="7"/>
      <c r="E640" s="7"/>
      <c r="F640" s="7"/>
      <c r="G640" s="7"/>
      <c r="H640" s="7"/>
      <c r="I640" s="7"/>
      <c r="J640" s="7"/>
      <c r="K640" s="7"/>
      <c r="W640" s="34"/>
      <c r="X640" s="39"/>
    </row>
    <row r="641" spans="4:24" x14ac:dyDescent="0.25">
      <c r="D641" s="7"/>
      <c r="E641" s="7"/>
      <c r="F641" s="7"/>
      <c r="G641" s="7"/>
      <c r="H641" s="7"/>
      <c r="I641" s="7"/>
      <c r="J641" s="7"/>
      <c r="K641" s="7"/>
      <c r="W641" s="34"/>
      <c r="X641" s="39"/>
    </row>
    <row r="642" spans="4:24" x14ac:dyDescent="0.25">
      <c r="D642" s="7"/>
      <c r="E642" s="7"/>
      <c r="F642" s="7"/>
      <c r="G642" s="7"/>
      <c r="H642" s="7"/>
      <c r="I642" s="7"/>
      <c r="J642" s="7"/>
      <c r="K642" s="7"/>
      <c r="W642" s="34"/>
      <c r="X642" s="39"/>
    </row>
    <row r="643" spans="4:24" x14ac:dyDescent="0.25">
      <c r="D643" s="7"/>
      <c r="E643" s="7"/>
      <c r="F643" s="7"/>
      <c r="G643" s="7"/>
      <c r="H643" s="7"/>
      <c r="I643" s="7"/>
      <c r="J643" s="7"/>
      <c r="K643" s="7"/>
      <c r="W643" s="34"/>
      <c r="X643" s="39"/>
    </row>
    <row r="644" spans="4:24" x14ac:dyDescent="0.25">
      <c r="D644" s="7"/>
      <c r="E644" s="7"/>
      <c r="F644" s="7"/>
      <c r="G644" s="7"/>
      <c r="H644" s="7"/>
      <c r="I644" s="7"/>
      <c r="J644" s="7"/>
      <c r="K644" s="7"/>
      <c r="W644" s="34"/>
      <c r="X644" s="39"/>
    </row>
    <row r="645" spans="4:24" x14ac:dyDescent="0.25">
      <c r="D645" s="7"/>
      <c r="E645" s="7"/>
      <c r="F645" s="7"/>
      <c r="G645" s="7"/>
      <c r="H645" s="7"/>
      <c r="I645" s="7"/>
      <c r="J645" s="7"/>
      <c r="K645" s="7"/>
      <c r="W645" s="34"/>
      <c r="X645" s="39"/>
    </row>
    <row r="646" spans="4:24" x14ac:dyDescent="0.25">
      <c r="D646" s="7"/>
      <c r="E646" s="7"/>
      <c r="F646" s="7"/>
      <c r="G646" s="7"/>
      <c r="H646" s="7"/>
      <c r="I646" s="7"/>
      <c r="J646" s="7"/>
      <c r="K646" s="7"/>
      <c r="W646" s="34"/>
      <c r="X646" s="39"/>
    </row>
    <row r="647" spans="4:24" x14ac:dyDescent="0.25">
      <c r="D647" s="7"/>
      <c r="E647" s="7"/>
      <c r="F647" s="7"/>
      <c r="G647" s="7"/>
      <c r="H647" s="7"/>
      <c r="I647" s="7"/>
      <c r="J647" s="7"/>
      <c r="K647" s="7"/>
      <c r="W647" s="34"/>
      <c r="X647" s="39"/>
    </row>
    <row r="648" spans="4:24" x14ac:dyDescent="0.25">
      <c r="D648" s="7"/>
      <c r="E648" s="7"/>
      <c r="F648" s="7"/>
      <c r="G648" s="7"/>
      <c r="H648" s="7"/>
      <c r="I648" s="7"/>
      <c r="J648" s="7"/>
      <c r="K648" s="7"/>
      <c r="W648" s="34"/>
      <c r="X648" s="39"/>
    </row>
    <row r="649" spans="4:24" x14ac:dyDescent="0.25">
      <c r="D649" s="7"/>
      <c r="E649" s="7"/>
      <c r="F649" s="7"/>
      <c r="G649" s="7"/>
      <c r="H649" s="7"/>
      <c r="I649" s="7"/>
      <c r="J649" s="7"/>
      <c r="K649" s="7"/>
      <c r="W649" s="34"/>
      <c r="X649" s="39"/>
    </row>
    <row r="650" spans="4:24" x14ac:dyDescent="0.25">
      <c r="D650" s="7"/>
      <c r="E650" s="7"/>
      <c r="F650" s="7"/>
      <c r="G650" s="7"/>
      <c r="H650" s="7"/>
      <c r="I650" s="7"/>
      <c r="J650" s="7"/>
      <c r="K650" s="7"/>
      <c r="W650" s="34"/>
      <c r="X650" s="39"/>
    </row>
    <row r="651" spans="4:24" x14ac:dyDescent="0.25">
      <c r="D651" s="7"/>
      <c r="E651" s="7"/>
      <c r="F651" s="7"/>
      <c r="G651" s="7"/>
      <c r="H651" s="7"/>
      <c r="I651" s="7"/>
      <c r="J651" s="7"/>
      <c r="K651" s="7"/>
      <c r="W651" s="34"/>
      <c r="X651" s="39"/>
    </row>
    <row r="652" spans="4:24" x14ac:dyDescent="0.25">
      <c r="D652" s="7"/>
      <c r="E652" s="7"/>
      <c r="F652" s="7"/>
      <c r="G652" s="7"/>
      <c r="H652" s="7"/>
      <c r="I652" s="7"/>
      <c r="J652" s="7"/>
      <c r="K652" s="7"/>
      <c r="W652" s="34"/>
      <c r="X652" s="39"/>
    </row>
    <row r="653" spans="4:24" x14ac:dyDescent="0.25">
      <c r="D653" s="7"/>
      <c r="E653" s="7"/>
      <c r="F653" s="7"/>
      <c r="G653" s="7"/>
      <c r="H653" s="7"/>
      <c r="I653" s="7"/>
      <c r="J653" s="7"/>
      <c r="K653" s="7"/>
      <c r="W653" s="34"/>
      <c r="X653" s="39"/>
    </row>
    <row r="654" spans="4:24" x14ac:dyDescent="0.25">
      <c r="D654" s="7"/>
      <c r="E654" s="7"/>
      <c r="F654" s="7"/>
      <c r="G654" s="7"/>
      <c r="H654" s="7"/>
      <c r="I654" s="7"/>
      <c r="J654" s="7"/>
      <c r="K654" s="7"/>
      <c r="W654" s="34"/>
      <c r="X654" s="39"/>
    </row>
    <row r="655" spans="4:24" x14ac:dyDescent="0.25">
      <c r="D655" s="7"/>
      <c r="E655" s="7"/>
      <c r="F655" s="7"/>
      <c r="G655" s="7"/>
      <c r="H655" s="7"/>
      <c r="I655" s="7"/>
      <c r="J655" s="7"/>
      <c r="K655" s="7"/>
      <c r="W655" s="34"/>
      <c r="X655" s="39"/>
    </row>
    <row r="656" spans="4:24" x14ac:dyDescent="0.25">
      <c r="D656" s="7"/>
      <c r="E656" s="7"/>
      <c r="F656" s="7"/>
      <c r="G656" s="7"/>
      <c r="H656" s="7"/>
      <c r="I656" s="7"/>
      <c r="J656" s="7"/>
      <c r="K656" s="7"/>
      <c r="W656" s="34"/>
      <c r="X656" s="39"/>
    </row>
    <row r="657" spans="4:24" x14ac:dyDescent="0.25">
      <c r="D657" s="7"/>
      <c r="E657" s="7"/>
      <c r="F657" s="7"/>
      <c r="G657" s="7"/>
      <c r="H657" s="7"/>
      <c r="I657" s="7"/>
      <c r="J657" s="7"/>
      <c r="K657" s="7"/>
      <c r="W657" s="34"/>
      <c r="X657" s="39"/>
    </row>
    <row r="658" spans="4:24" x14ac:dyDescent="0.25">
      <c r="D658" s="7"/>
      <c r="E658" s="7"/>
      <c r="F658" s="7"/>
      <c r="G658" s="7"/>
      <c r="H658" s="7"/>
      <c r="I658" s="7"/>
      <c r="J658" s="7"/>
      <c r="K658" s="7"/>
      <c r="W658" s="34"/>
      <c r="X658" s="39"/>
    </row>
    <row r="659" spans="4:24" x14ac:dyDescent="0.25">
      <c r="D659" s="7"/>
      <c r="E659" s="7"/>
      <c r="F659" s="7"/>
      <c r="G659" s="7"/>
      <c r="H659" s="7"/>
      <c r="I659" s="7"/>
      <c r="J659" s="7"/>
      <c r="K659" s="7"/>
      <c r="W659" s="34"/>
      <c r="X659" s="39"/>
    </row>
    <row r="660" spans="4:24" x14ac:dyDescent="0.25">
      <c r="D660" s="7"/>
      <c r="E660" s="7"/>
      <c r="F660" s="7"/>
      <c r="G660" s="7"/>
      <c r="H660" s="7"/>
      <c r="I660" s="7"/>
      <c r="J660" s="7"/>
      <c r="K660" s="7"/>
      <c r="W660" s="34"/>
      <c r="X660" s="39"/>
    </row>
    <row r="661" spans="4:24" x14ac:dyDescent="0.25">
      <c r="D661" s="7"/>
      <c r="E661" s="7"/>
      <c r="F661" s="7"/>
      <c r="G661" s="7"/>
      <c r="H661" s="7"/>
      <c r="I661" s="7"/>
      <c r="J661" s="7"/>
      <c r="K661" s="7"/>
      <c r="W661" s="34"/>
      <c r="X661" s="39"/>
    </row>
    <row r="662" spans="4:24" x14ac:dyDescent="0.25">
      <c r="D662" s="7"/>
      <c r="E662" s="7"/>
      <c r="F662" s="7"/>
      <c r="G662" s="7"/>
      <c r="H662" s="7"/>
      <c r="I662" s="7"/>
      <c r="J662" s="7"/>
      <c r="K662" s="7"/>
      <c r="W662" s="34"/>
      <c r="X662" s="39"/>
    </row>
    <row r="663" spans="4:24" x14ac:dyDescent="0.25">
      <c r="D663" s="7"/>
      <c r="E663" s="7"/>
      <c r="F663" s="7"/>
      <c r="G663" s="7"/>
      <c r="H663" s="7"/>
      <c r="I663" s="7"/>
      <c r="J663" s="7"/>
      <c r="K663" s="7"/>
      <c r="W663" s="34"/>
      <c r="X663" s="39"/>
    </row>
    <row r="664" spans="4:24" x14ac:dyDescent="0.25">
      <c r="D664" s="7"/>
      <c r="E664" s="7"/>
      <c r="F664" s="7"/>
      <c r="G664" s="7"/>
      <c r="H664" s="7"/>
      <c r="I664" s="7"/>
      <c r="J664" s="7"/>
      <c r="K664" s="7"/>
      <c r="W664" s="34"/>
      <c r="X664" s="39"/>
    </row>
    <row r="665" spans="4:24" x14ac:dyDescent="0.25">
      <c r="D665" s="7"/>
      <c r="E665" s="7"/>
      <c r="F665" s="7"/>
      <c r="G665" s="7"/>
      <c r="H665" s="7"/>
      <c r="I665" s="7"/>
      <c r="J665" s="7"/>
      <c r="K665" s="7"/>
      <c r="W665" s="34"/>
      <c r="X665" s="39"/>
    </row>
    <row r="666" spans="4:24" x14ac:dyDescent="0.25">
      <c r="D666" s="7"/>
      <c r="E666" s="7"/>
      <c r="F666" s="7"/>
      <c r="G666" s="7"/>
      <c r="H666" s="7"/>
      <c r="I666" s="7"/>
      <c r="J666" s="7"/>
      <c r="K666" s="7"/>
      <c r="W666" s="34"/>
      <c r="X666" s="39"/>
    </row>
    <row r="667" spans="4:24" x14ac:dyDescent="0.25">
      <c r="D667" s="7"/>
      <c r="E667" s="7"/>
      <c r="F667" s="7"/>
      <c r="G667" s="7"/>
      <c r="H667" s="7"/>
      <c r="I667" s="7"/>
      <c r="J667" s="7"/>
      <c r="K667" s="7"/>
      <c r="W667" s="34"/>
      <c r="X667" s="39"/>
    </row>
    <row r="668" spans="4:24" x14ac:dyDescent="0.25">
      <c r="D668" s="7"/>
      <c r="E668" s="7"/>
      <c r="F668" s="7"/>
      <c r="G668" s="7"/>
      <c r="H668" s="7"/>
      <c r="I668" s="7"/>
      <c r="J668" s="7"/>
      <c r="K668" s="7"/>
      <c r="W668" s="34"/>
      <c r="X668" s="39"/>
    </row>
    <row r="669" spans="4:24" x14ac:dyDescent="0.25">
      <c r="D669" s="7"/>
      <c r="E669" s="7"/>
      <c r="F669" s="7"/>
      <c r="G669" s="7"/>
      <c r="H669" s="7"/>
      <c r="I669" s="7"/>
      <c r="J669" s="7"/>
      <c r="K669" s="7"/>
      <c r="W669" s="34"/>
      <c r="X669" s="39"/>
    </row>
    <row r="670" spans="4:24" x14ac:dyDescent="0.25">
      <c r="D670" s="7"/>
      <c r="E670" s="7"/>
      <c r="F670" s="7"/>
      <c r="G670" s="7"/>
      <c r="H670" s="7"/>
      <c r="I670" s="7"/>
      <c r="J670" s="7"/>
      <c r="K670" s="7"/>
      <c r="W670" s="34"/>
      <c r="X670" s="39"/>
    </row>
    <row r="671" spans="4:24" x14ac:dyDescent="0.25">
      <c r="D671" s="7"/>
      <c r="E671" s="7"/>
      <c r="F671" s="7"/>
      <c r="G671" s="7"/>
      <c r="H671" s="7"/>
      <c r="I671" s="7"/>
      <c r="J671" s="7"/>
      <c r="K671" s="7"/>
      <c r="W671" s="34"/>
      <c r="X671" s="39"/>
    </row>
    <row r="672" spans="4:24" x14ac:dyDescent="0.25">
      <c r="D672" s="7"/>
      <c r="E672" s="7"/>
      <c r="F672" s="7"/>
      <c r="G672" s="7"/>
      <c r="H672" s="7"/>
      <c r="I672" s="7"/>
      <c r="J672" s="7"/>
      <c r="K672" s="7"/>
      <c r="W672" s="34"/>
      <c r="X672" s="39"/>
    </row>
    <row r="673" spans="4:24" x14ac:dyDescent="0.25">
      <c r="D673" s="7"/>
      <c r="E673" s="7"/>
      <c r="F673" s="7"/>
      <c r="G673" s="7"/>
      <c r="H673" s="7"/>
      <c r="I673" s="7"/>
      <c r="J673" s="7"/>
      <c r="K673" s="7"/>
      <c r="W673" s="34"/>
      <c r="X673" s="39"/>
    </row>
    <row r="674" spans="4:24" x14ac:dyDescent="0.25">
      <c r="D674" s="7"/>
      <c r="E674" s="7"/>
      <c r="F674" s="7"/>
      <c r="G674" s="7"/>
      <c r="H674" s="7"/>
      <c r="I674" s="7"/>
      <c r="J674" s="7"/>
      <c r="K674" s="7"/>
      <c r="W674" s="34"/>
      <c r="X674" s="39"/>
    </row>
    <row r="675" spans="4:24" x14ac:dyDescent="0.25">
      <c r="D675" s="7"/>
      <c r="E675" s="7"/>
      <c r="F675" s="7"/>
      <c r="G675" s="7"/>
      <c r="H675" s="7"/>
      <c r="I675" s="7"/>
      <c r="J675" s="7"/>
      <c r="K675" s="7"/>
      <c r="W675" s="34"/>
      <c r="X675" s="39"/>
    </row>
    <row r="676" spans="4:24" x14ac:dyDescent="0.25">
      <c r="D676" s="7"/>
      <c r="E676" s="7"/>
      <c r="F676" s="7"/>
      <c r="G676" s="7"/>
      <c r="H676" s="7"/>
      <c r="I676" s="7"/>
      <c r="J676" s="7"/>
      <c r="K676" s="7"/>
      <c r="W676" s="34"/>
      <c r="X676" s="39"/>
    </row>
    <row r="677" spans="4:24" x14ac:dyDescent="0.25">
      <c r="D677" s="7"/>
      <c r="E677" s="7"/>
      <c r="F677" s="7"/>
      <c r="G677" s="7"/>
      <c r="H677" s="7"/>
      <c r="I677" s="7"/>
      <c r="J677" s="7"/>
      <c r="K677" s="7"/>
      <c r="W677" s="34"/>
      <c r="X677" s="39"/>
    </row>
    <row r="678" spans="4:24" x14ac:dyDescent="0.25">
      <c r="D678" s="7"/>
      <c r="E678" s="7"/>
      <c r="F678" s="7"/>
      <c r="G678" s="7"/>
      <c r="H678" s="7"/>
      <c r="I678" s="7"/>
      <c r="J678" s="7"/>
      <c r="K678" s="7"/>
      <c r="W678" s="34"/>
      <c r="X678" s="39"/>
    </row>
    <row r="679" spans="4:24" x14ac:dyDescent="0.25">
      <c r="D679" s="7"/>
      <c r="E679" s="7"/>
      <c r="F679" s="7"/>
      <c r="G679" s="7"/>
      <c r="H679" s="7"/>
      <c r="I679" s="7"/>
      <c r="J679" s="7"/>
      <c r="K679" s="7"/>
      <c r="W679" s="34"/>
      <c r="X679" s="39"/>
    </row>
    <row r="680" spans="4:24" x14ac:dyDescent="0.25">
      <c r="D680" s="7"/>
      <c r="E680" s="7"/>
      <c r="F680" s="7"/>
      <c r="G680" s="7"/>
      <c r="H680" s="7"/>
      <c r="I680" s="7"/>
      <c r="J680" s="7"/>
      <c r="K680" s="7"/>
      <c r="W680" s="34"/>
      <c r="X680" s="39"/>
    </row>
    <row r="681" spans="4:24" x14ac:dyDescent="0.25">
      <c r="D681" s="7"/>
      <c r="E681" s="7"/>
      <c r="F681" s="7"/>
      <c r="G681" s="7"/>
      <c r="H681" s="7"/>
      <c r="I681" s="7"/>
      <c r="J681" s="7"/>
      <c r="K681" s="7"/>
      <c r="W681" s="34"/>
      <c r="X681" s="39"/>
    </row>
    <row r="682" spans="4:24" x14ac:dyDescent="0.25">
      <c r="D682" s="7"/>
      <c r="E682" s="7"/>
      <c r="F682" s="7"/>
      <c r="G682" s="7"/>
      <c r="H682" s="7"/>
      <c r="I682" s="7"/>
      <c r="J682" s="7"/>
      <c r="K682" s="7"/>
      <c r="W682" s="34"/>
      <c r="X682" s="39"/>
    </row>
    <row r="683" spans="4:24" x14ac:dyDescent="0.25">
      <c r="D683" s="7"/>
      <c r="E683" s="7"/>
      <c r="F683" s="7"/>
      <c r="G683" s="7"/>
      <c r="H683" s="7"/>
      <c r="I683" s="7"/>
      <c r="J683" s="7"/>
      <c r="K683" s="7"/>
      <c r="W683" s="34"/>
      <c r="X683" s="39"/>
    </row>
    <row r="684" spans="4:24" x14ac:dyDescent="0.25">
      <c r="D684" s="7"/>
      <c r="E684" s="7"/>
      <c r="F684" s="7"/>
      <c r="G684" s="7"/>
      <c r="H684" s="7"/>
      <c r="I684" s="7"/>
      <c r="J684" s="7"/>
      <c r="K684" s="7"/>
      <c r="W684" s="34"/>
      <c r="X684" s="39"/>
    </row>
    <row r="685" spans="4:24" x14ac:dyDescent="0.25">
      <c r="D685" s="7"/>
      <c r="E685" s="7"/>
      <c r="F685" s="7"/>
      <c r="G685" s="7"/>
      <c r="H685" s="7"/>
      <c r="I685" s="7"/>
      <c r="J685" s="7"/>
      <c r="K685" s="7"/>
      <c r="W685" s="34"/>
      <c r="X685" s="39"/>
    </row>
    <row r="686" spans="4:24" x14ac:dyDescent="0.25">
      <c r="D686" s="7"/>
      <c r="E686" s="7"/>
      <c r="F686" s="7"/>
      <c r="G686" s="7"/>
      <c r="H686" s="7"/>
      <c r="I686" s="7"/>
      <c r="J686" s="7"/>
      <c r="K686" s="7"/>
      <c r="W686" s="34"/>
      <c r="X686" s="39"/>
    </row>
    <row r="687" spans="4:24" x14ac:dyDescent="0.25">
      <c r="D687" s="7"/>
      <c r="E687" s="7"/>
      <c r="F687" s="7"/>
      <c r="G687" s="7"/>
      <c r="H687" s="7"/>
      <c r="I687" s="7"/>
      <c r="J687" s="7"/>
      <c r="K687" s="7"/>
      <c r="W687" s="34"/>
      <c r="X687" s="39"/>
    </row>
    <row r="688" spans="4:24" x14ac:dyDescent="0.25">
      <c r="D688" s="7"/>
      <c r="E688" s="7"/>
      <c r="F688" s="7"/>
      <c r="G688" s="7"/>
      <c r="H688" s="7"/>
      <c r="I688" s="7"/>
      <c r="J688" s="7"/>
      <c r="K688" s="7"/>
      <c r="W688" s="34"/>
      <c r="X688" s="39"/>
    </row>
    <row r="689" spans="4:24" x14ac:dyDescent="0.25">
      <c r="D689" s="7"/>
      <c r="E689" s="7"/>
      <c r="F689" s="7"/>
      <c r="G689" s="7"/>
      <c r="H689" s="7"/>
      <c r="I689" s="7"/>
      <c r="J689" s="7"/>
      <c r="K689" s="7"/>
      <c r="W689" s="34"/>
      <c r="X689" s="39"/>
    </row>
    <row r="690" spans="4:24" x14ac:dyDescent="0.25">
      <c r="D690" s="7"/>
      <c r="E690" s="7"/>
      <c r="F690" s="7"/>
      <c r="G690" s="7"/>
      <c r="H690" s="7"/>
      <c r="I690" s="7"/>
      <c r="J690" s="7"/>
      <c r="K690" s="7"/>
      <c r="W690" s="34"/>
      <c r="X690" s="39"/>
    </row>
    <row r="691" spans="4:24" x14ac:dyDescent="0.25">
      <c r="D691" s="7"/>
      <c r="E691" s="7"/>
      <c r="F691" s="7"/>
      <c r="G691" s="7"/>
      <c r="H691" s="7"/>
      <c r="I691" s="7"/>
      <c r="J691" s="7"/>
      <c r="K691" s="7"/>
      <c r="W691" s="34"/>
      <c r="X691" s="39"/>
    </row>
    <row r="692" spans="4:24" x14ac:dyDescent="0.25">
      <c r="D692" s="7"/>
      <c r="E692" s="7"/>
      <c r="F692" s="7"/>
      <c r="G692" s="7"/>
      <c r="H692" s="7"/>
      <c r="I692" s="7"/>
      <c r="J692" s="7"/>
      <c r="K692" s="7"/>
      <c r="W692" s="34"/>
      <c r="X692" s="39"/>
    </row>
    <row r="693" spans="4:24" x14ac:dyDescent="0.25">
      <c r="D693" s="7"/>
      <c r="E693" s="7"/>
      <c r="F693" s="7"/>
      <c r="G693" s="7"/>
      <c r="H693" s="7"/>
      <c r="I693" s="7"/>
      <c r="J693" s="7"/>
      <c r="K693" s="7"/>
      <c r="W693" s="34"/>
      <c r="X693" s="39"/>
    </row>
    <row r="694" spans="4:24" x14ac:dyDescent="0.25">
      <c r="D694" s="7"/>
      <c r="E694" s="7"/>
      <c r="F694" s="7"/>
      <c r="G694" s="7"/>
      <c r="H694" s="7"/>
      <c r="I694" s="7"/>
      <c r="J694" s="7"/>
      <c r="K694" s="7"/>
      <c r="W694" s="34"/>
      <c r="X694" s="39"/>
    </row>
    <row r="695" spans="4:24" x14ac:dyDescent="0.25">
      <c r="D695" s="7"/>
      <c r="E695" s="7"/>
      <c r="F695" s="7"/>
      <c r="G695" s="7"/>
      <c r="H695" s="7"/>
      <c r="I695" s="7"/>
      <c r="J695" s="7"/>
      <c r="K695" s="7"/>
      <c r="W695" s="34"/>
      <c r="X695" s="39"/>
    </row>
    <row r="696" spans="4:24" x14ac:dyDescent="0.25">
      <c r="D696" s="7"/>
      <c r="E696" s="7"/>
      <c r="F696" s="7"/>
      <c r="G696" s="7"/>
      <c r="H696" s="7"/>
      <c r="I696" s="7"/>
      <c r="J696" s="7"/>
      <c r="K696" s="7"/>
      <c r="W696" s="34"/>
      <c r="X696" s="39"/>
    </row>
    <row r="697" spans="4:24" x14ac:dyDescent="0.25">
      <c r="D697" s="7"/>
      <c r="E697" s="7"/>
      <c r="F697" s="7"/>
      <c r="G697" s="7"/>
      <c r="H697" s="7"/>
      <c r="I697" s="7"/>
      <c r="J697" s="7"/>
      <c r="K697" s="7"/>
      <c r="W697" s="34"/>
      <c r="X697" s="39"/>
    </row>
    <row r="698" spans="4:24" x14ac:dyDescent="0.25">
      <c r="D698" s="7"/>
      <c r="E698" s="7"/>
      <c r="F698" s="7"/>
      <c r="G698" s="7"/>
      <c r="H698" s="7"/>
      <c r="I698" s="7"/>
      <c r="J698" s="7"/>
      <c r="K698" s="7"/>
      <c r="W698" s="34"/>
      <c r="X698" s="39"/>
    </row>
    <row r="699" spans="4:24" x14ac:dyDescent="0.25">
      <c r="D699" s="7"/>
      <c r="E699" s="7"/>
      <c r="F699" s="7"/>
      <c r="G699" s="7"/>
      <c r="H699" s="7"/>
      <c r="I699" s="7"/>
      <c r="J699" s="7"/>
      <c r="K699" s="7"/>
      <c r="W699" s="34"/>
      <c r="X699" s="39"/>
    </row>
    <row r="700" spans="4:24" x14ac:dyDescent="0.25">
      <c r="D700" s="7"/>
      <c r="E700" s="7"/>
      <c r="F700" s="7"/>
      <c r="G700" s="7"/>
      <c r="H700" s="7"/>
      <c r="I700" s="7"/>
      <c r="J700" s="7"/>
      <c r="K700" s="7"/>
      <c r="W700" s="34"/>
      <c r="X700" s="39"/>
    </row>
    <row r="701" spans="4:24" x14ac:dyDescent="0.25">
      <c r="D701" s="7"/>
      <c r="E701" s="7"/>
      <c r="F701" s="7"/>
      <c r="G701" s="7"/>
      <c r="H701" s="7"/>
      <c r="I701" s="7"/>
      <c r="J701" s="7"/>
      <c r="K701" s="7"/>
      <c r="W701" s="34"/>
      <c r="X701" s="39"/>
    </row>
    <row r="702" spans="4:24" x14ac:dyDescent="0.25">
      <c r="D702" s="7"/>
      <c r="E702" s="7"/>
      <c r="F702" s="7"/>
      <c r="G702" s="7"/>
      <c r="H702" s="7"/>
      <c r="I702" s="7"/>
      <c r="J702" s="7"/>
      <c r="K702" s="7"/>
      <c r="W702" s="34"/>
      <c r="X702" s="39"/>
    </row>
    <row r="703" spans="4:24" x14ac:dyDescent="0.25">
      <c r="D703" s="7"/>
      <c r="E703" s="7"/>
      <c r="F703" s="7"/>
      <c r="G703" s="7"/>
      <c r="H703" s="7"/>
      <c r="I703" s="7"/>
      <c r="J703" s="7"/>
      <c r="K703" s="7"/>
      <c r="W703" s="34"/>
      <c r="X703" s="39"/>
    </row>
    <row r="704" spans="4:24" x14ac:dyDescent="0.25">
      <c r="D704" s="7"/>
      <c r="E704" s="7"/>
      <c r="F704" s="7"/>
      <c r="G704" s="7"/>
      <c r="H704" s="7"/>
      <c r="I704" s="7"/>
      <c r="J704" s="7"/>
      <c r="K704" s="7"/>
      <c r="W704" s="34"/>
      <c r="X704" s="39"/>
    </row>
    <row r="705" spans="4:24" x14ac:dyDescent="0.25">
      <c r="D705" s="7"/>
      <c r="E705" s="7"/>
      <c r="F705" s="7"/>
      <c r="G705" s="7"/>
      <c r="H705" s="7"/>
      <c r="I705" s="7"/>
      <c r="J705" s="7"/>
      <c r="K705" s="7"/>
      <c r="W705" s="34"/>
      <c r="X705" s="39"/>
    </row>
    <row r="706" spans="4:24" x14ac:dyDescent="0.25">
      <c r="D706" s="7"/>
      <c r="E706" s="7"/>
      <c r="F706" s="7"/>
      <c r="G706" s="7"/>
      <c r="H706" s="7"/>
      <c r="I706" s="7"/>
      <c r="J706" s="7"/>
      <c r="K706" s="7"/>
      <c r="W706" s="34"/>
      <c r="X706" s="39"/>
    </row>
    <row r="707" spans="4:24" x14ac:dyDescent="0.25">
      <c r="D707" s="7"/>
      <c r="E707" s="7"/>
      <c r="F707" s="7"/>
      <c r="G707" s="7"/>
      <c r="H707" s="7"/>
      <c r="I707" s="7"/>
      <c r="J707" s="7"/>
      <c r="K707" s="7"/>
      <c r="W707" s="34"/>
      <c r="X707" s="39"/>
    </row>
    <row r="708" spans="4:24" x14ac:dyDescent="0.25">
      <c r="D708" s="7"/>
      <c r="E708" s="7"/>
      <c r="F708" s="7"/>
      <c r="G708" s="7"/>
      <c r="H708" s="7"/>
      <c r="I708" s="7"/>
      <c r="J708" s="7"/>
      <c r="K708" s="7"/>
      <c r="W708" s="34"/>
      <c r="X708" s="39"/>
    </row>
    <row r="709" spans="4:24" x14ac:dyDescent="0.25">
      <c r="D709" s="7"/>
      <c r="E709" s="7"/>
      <c r="F709" s="7"/>
      <c r="G709" s="7"/>
      <c r="H709" s="7"/>
      <c r="I709" s="7"/>
      <c r="J709" s="7"/>
      <c r="K709" s="7"/>
      <c r="W709" s="34"/>
      <c r="X709" s="39"/>
    </row>
    <row r="710" spans="4:24" x14ac:dyDescent="0.25">
      <c r="D710" s="7"/>
      <c r="E710" s="7"/>
      <c r="F710" s="7"/>
      <c r="G710" s="7"/>
      <c r="H710" s="7"/>
      <c r="I710" s="7"/>
      <c r="J710" s="7"/>
      <c r="K710" s="7"/>
      <c r="W710" s="34"/>
      <c r="X710" s="39"/>
    </row>
    <row r="711" spans="4:24" x14ac:dyDescent="0.25">
      <c r="D711" s="7"/>
      <c r="E711" s="7"/>
      <c r="F711" s="7"/>
      <c r="G711" s="7"/>
      <c r="H711" s="7"/>
      <c r="I711" s="7"/>
      <c r="J711" s="7"/>
      <c r="K711" s="7"/>
      <c r="W711" s="34"/>
      <c r="X711" s="39"/>
    </row>
    <row r="712" spans="4:24" x14ac:dyDescent="0.25">
      <c r="D712" s="7"/>
      <c r="E712" s="7"/>
      <c r="F712" s="7"/>
      <c r="G712" s="7"/>
      <c r="H712" s="7"/>
      <c r="I712" s="7"/>
      <c r="J712" s="7"/>
      <c r="K712" s="7"/>
      <c r="W712" s="34"/>
      <c r="X712" s="39"/>
    </row>
    <row r="713" spans="4:24" x14ac:dyDescent="0.25">
      <c r="D713" s="7"/>
      <c r="E713" s="7"/>
      <c r="F713" s="7"/>
      <c r="G713" s="7"/>
      <c r="H713" s="7"/>
      <c r="I713" s="7"/>
      <c r="J713" s="7"/>
      <c r="K713" s="7"/>
      <c r="W713" s="34"/>
      <c r="X713" s="39"/>
    </row>
    <row r="714" spans="4:24" x14ac:dyDescent="0.25">
      <c r="D714" s="7"/>
      <c r="E714" s="7"/>
      <c r="F714" s="7"/>
      <c r="G714" s="7"/>
      <c r="H714" s="7"/>
      <c r="I714" s="7"/>
      <c r="J714" s="7"/>
      <c r="K714" s="7"/>
      <c r="W714" s="34"/>
      <c r="X714" s="39"/>
    </row>
    <row r="715" spans="4:24" x14ac:dyDescent="0.25">
      <c r="D715" s="7"/>
      <c r="E715" s="7"/>
      <c r="F715" s="7"/>
      <c r="G715" s="7"/>
      <c r="H715" s="7"/>
      <c r="I715" s="7"/>
      <c r="J715" s="7"/>
      <c r="K715" s="7"/>
      <c r="W715" s="34"/>
      <c r="X715" s="39"/>
    </row>
    <row r="716" spans="4:24" x14ac:dyDescent="0.25">
      <c r="D716" s="7"/>
      <c r="E716" s="7"/>
      <c r="F716" s="7"/>
      <c r="G716" s="7"/>
      <c r="H716" s="7"/>
      <c r="I716" s="7"/>
      <c r="J716" s="7"/>
      <c r="K716" s="7"/>
      <c r="W716" s="34"/>
      <c r="X716" s="39"/>
    </row>
    <row r="717" spans="4:24" x14ac:dyDescent="0.25">
      <c r="D717" s="7"/>
      <c r="E717" s="7"/>
      <c r="F717" s="7"/>
      <c r="G717" s="7"/>
      <c r="H717" s="7"/>
      <c r="I717" s="7"/>
      <c r="J717" s="7"/>
      <c r="K717" s="7"/>
      <c r="W717" s="34"/>
      <c r="X717" s="39"/>
    </row>
    <row r="718" spans="4:24" x14ac:dyDescent="0.25">
      <c r="D718" s="7"/>
      <c r="E718" s="7"/>
      <c r="F718" s="7"/>
      <c r="G718" s="7"/>
      <c r="H718" s="7"/>
      <c r="I718" s="7"/>
      <c r="J718" s="7"/>
      <c r="K718" s="7"/>
      <c r="W718" s="34"/>
      <c r="X718" s="39"/>
    </row>
    <row r="719" spans="4:24" x14ac:dyDescent="0.25">
      <c r="D719" s="7"/>
      <c r="E719" s="7"/>
      <c r="F719" s="7"/>
      <c r="G719" s="7"/>
      <c r="H719" s="7"/>
      <c r="I719" s="7"/>
      <c r="J719" s="7"/>
      <c r="K719" s="7"/>
      <c r="W719" s="34"/>
      <c r="X719" s="39"/>
    </row>
    <row r="720" spans="4:24" x14ac:dyDescent="0.25">
      <c r="D720" s="7"/>
      <c r="E720" s="7"/>
      <c r="F720" s="7"/>
      <c r="G720" s="7"/>
      <c r="H720" s="7"/>
      <c r="I720" s="7"/>
      <c r="J720" s="7"/>
      <c r="K720" s="7"/>
      <c r="W720" s="34"/>
      <c r="X720" s="39"/>
    </row>
    <row r="721" spans="4:24" x14ac:dyDescent="0.25">
      <c r="D721" s="7"/>
      <c r="E721" s="7"/>
      <c r="F721" s="7"/>
      <c r="G721" s="7"/>
      <c r="H721" s="7"/>
      <c r="I721" s="7"/>
      <c r="J721" s="7"/>
      <c r="K721" s="7"/>
      <c r="W721" s="34"/>
      <c r="X721" s="39"/>
    </row>
    <row r="722" spans="4:24" x14ac:dyDescent="0.25">
      <c r="D722" s="7"/>
      <c r="E722" s="7"/>
      <c r="F722" s="7"/>
      <c r="G722" s="7"/>
      <c r="H722" s="7"/>
      <c r="I722" s="7"/>
      <c r="J722" s="7"/>
      <c r="K722" s="7"/>
      <c r="W722" s="34"/>
      <c r="X722" s="39"/>
    </row>
    <row r="723" spans="4:24" x14ac:dyDescent="0.25">
      <c r="D723" s="7"/>
      <c r="E723" s="7"/>
      <c r="F723" s="7"/>
      <c r="G723" s="7"/>
      <c r="H723" s="7"/>
      <c r="I723" s="7"/>
      <c r="J723" s="7"/>
      <c r="K723" s="7"/>
      <c r="W723" s="34"/>
      <c r="X723" s="39"/>
    </row>
    <row r="724" spans="4:24" x14ac:dyDescent="0.25">
      <c r="D724" s="7"/>
      <c r="E724" s="7"/>
      <c r="F724" s="7"/>
      <c r="G724" s="7"/>
      <c r="H724" s="7"/>
      <c r="I724" s="7"/>
      <c r="J724" s="7"/>
      <c r="K724" s="7"/>
      <c r="W724" s="34"/>
      <c r="X724" s="39"/>
    </row>
    <row r="725" spans="4:24" x14ac:dyDescent="0.25">
      <c r="D725" s="7"/>
      <c r="E725" s="7"/>
      <c r="F725" s="7"/>
      <c r="G725" s="7"/>
      <c r="H725" s="7"/>
      <c r="I725" s="7"/>
      <c r="J725" s="7"/>
      <c r="K725" s="7"/>
      <c r="W725" s="34"/>
      <c r="X725" s="39"/>
    </row>
    <row r="726" spans="4:24" x14ac:dyDescent="0.25">
      <c r="D726" s="7"/>
      <c r="E726" s="7"/>
      <c r="F726" s="7"/>
      <c r="G726" s="7"/>
      <c r="H726" s="7"/>
      <c r="I726" s="7"/>
      <c r="J726" s="7"/>
      <c r="K726" s="7"/>
      <c r="W726" s="34"/>
      <c r="X726" s="39"/>
    </row>
    <row r="727" spans="4:24" x14ac:dyDescent="0.25">
      <c r="D727" s="7"/>
      <c r="E727" s="7"/>
      <c r="F727" s="7"/>
      <c r="G727" s="7"/>
      <c r="H727" s="7"/>
      <c r="I727" s="7"/>
      <c r="J727" s="7"/>
      <c r="K727" s="7"/>
      <c r="W727" s="34"/>
      <c r="X727" s="39"/>
    </row>
    <row r="728" spans="4:24" x14ac:dyDescent="0.25">
      <c r="D728" s="7"/>
      <c r="E728" s="7"/>
      <c r="F728" s="7"/>
      <c r="G728" s="7"/>
      <c r="H728" s="7"/>
      <c r="I728" s="7"/>
      <c r="J728" s="7"/>
      <c r="K728" s="7"/>
      <c r="W728" s="34"/>
      <c r="X728" s="39"/>
    </row>
    <row r="729" spans="4:24" x14ac:dyDescent="0.25">
      <c r="D729" s="7"/>
      <c r="E729" s="7"/>
      <c r="F729" s="7"/>
      <c r="G729" s="7"/>
      <c r="H729" s="7"/>
      <c r="I729" s="7"/>
      <c r="J729" s="7"/>
      <c r="K729" s="7"/>
      <c r="W729" s="34"/>
      <c r="X729" s="39"/>
    </row>
    <row r="730" spans="4:24" x14ac:dyDescent="0.25">
      <c r="D730" s="7"/>
      <c r="E730" s="7"/>
      <c r="F730" s="7"/>
      <c r="G730" s="7"/>
      <c r="H730" s="7"/>
      <c r="I730" s="7"/>
      <c r="J730" s="7"/>
      <c r="K730" s="7"/>
      <c r="W730" s="34"/>
      <c r="X730" s="39"/>
    </row>
    <row r="731" spans="4:24" x14ac:dyDescent="0.25">
      <c r="D731" s="7"/>
      <c r="E731" s="7"/>
      <c r="F731" s="7"/>
      <c r="G731" s="7"/>
      <c r="H731" s="7"/>
      <c r="I731" s="7"/>
      <c r="J731" s="7"/>
      <c r="K731" s="7"/>
      <c r="W731" s="34"/>
      <c r="X731" s="39"/>
    </row>
    <row r="732" spans="4:24" x14ac:dyDescent="0.25">
      <c r="D732" s="7"/>
      <c r="E732" s="7"/>
      <c r="F732" s="7"/>
      <c r="G732" s="7"/>
      <c r="H732" s="7"/>
      <c r="I732" s="7"/>
      <c r="J732" s="7"/>
      <c r="K732" s="7"/>
      <c r="W732" s="34"/>
      <c r="X732" s="39"/>
    </row>
    <row r="733" spans="4:24" x14ac:dyDescent="0.25">
      <c r="D733" s="7"/>
      <c r="E733" s="7"/>
      <c r="F733" s="7"/>
      <c r="G733" s="7"/>
      <c r="H733" s="7"/>
      <c r="I733" s="7"/>
      <c r="J733" s="7"/>
      <c r="K733" s="7"/>
      <c r="W733" s="34"/>
      <c r="X733" s="39"/>
    </row>
    <row r="734" spans="4:24" x14ac:dyDescent="0.25">
      <c r="D734" s="7"/>
      <c r="E734" s="7"/>
      <c r="F734" s="7"/>
      <c r="G734" s="7"/>
      <c r="H734" s="7"/>
      <c r="I734" s="7"/>
      <c r="J734" s="7"/>
      <c r="K734" s="7"/>
      <c r="W734" s="34"/>
      <c r="X734" s="39"/>
    </row>
    <row r="735" spans="4:24" x14ac:dyDescent="0.25">
      <c r="D735" s="7"/>
      <c r="E735" s="7"/>
      <c r="F735" s="7"/>
      <c r="G735" s="7"/>
      <c r="H735" s="7"/>
      <c r="I735" s="7"/>
      <c r="J735" s="7"/>
      <c r="K735" s="7"/>
      <c r="W735" s="34"/>
      <c r="X735" s="39"/>
    </row>
    <row r="736" spans="4:24" x14ac:dyDescent="0.25">
      <c r="D736" s="7"/>
      <c r="E736" s="7"/>
      <c r="F736" s="7"/>
      <c r="G736" s="7"/>
      <c r="H736" s="7"/>
      <c r="I736" s="7"/>
      <c r="J736" s="7"/>
      <c r="K736" s="7"/>
      <c r="W736" s="34"/>
      <c r="X736" s="39"/>
    </row>
    <row r="737" spans="4:24" x14ac:dyDescent="0.25">
      <c r="D737" s="7"/>
      <c r="E737" s="7"/>
      <c r="F737" s="7"/>
      <c r="G737" s="7"/>
      <c r="H737" s="7"/>
      <c r="I737" s="7"/>
      <c r="J737" s="7"/>
      <c r="K737" s="7"/>
      <c r="W737" s="34"/>
      <c r="X737" s="39"/>
    </row>
    <row r="738" spans="4:24" x14ac:dyDescent="0.25">
      <c r="D738" s="7"/>
      <c r="E738" s="7"/>
      <c r="F738" s="7"/>
      <c r="G738" s="7"/>
      <c r="H738" s="7"/>
      <c r="I738" s="7"/>
      <c r="J738" s="7"/>
      <c r="K738" s="7"/>
      <c r="W738" s="34"/>
      <c r="X738" s="39"/>
    </row>
    <row r="739" spans="4:24" x14ac:dyDescent="0.25">
      <c r="D739" s="7"/>
      <c r="E739" s="7"/>
      <c r="F739" s="7"/>
      <c r="G739" s="7"/>
      <c r="H739" s="7"/>
      <c r="I739" s="7"/>
      <c r="J739" s="7"/>
      <c r="K739" s="7"/>
      <c r="W739" s="34"/>
      <c r="X739" s="39"/>
    </row>
    <row r="740" spans="4:24" x14ac:dyDescent="0.25">
      <c r="D740" s="7"/>
      <c r="E740" s="7"/>
      <c r="F740" s="7"/>
      <c r="G740" s="7"/>
      <c r="H740" s="7"/>
      <c r="I740" s="7"/>
      <c r="J740" s="7"/>
      <c r="K740" s="7"/>
      <c r="W740" s="34"/>
      <c r="X740" s="39"/>
    </row>
    <row r="741" spans="4:24" x14ac:dyDescent="0.25">
      <c r="D741" s="7"/>
      <c r="E741" s="7"/>
      <c r="F741" s="7"/>
      <c r="G741" s="7"/>
      <c r="H741" s="7"/>
      <c r="I741" s="7"/>
      <c r="J741" s="7"/>
      <c r="K741" s="7"/>
      <c r="W741" s="34"/>
      <c r="X741" s="39"/>
    </row>
    <row r="742" spans="4:24" x14ac:dyDescent="0.25">
      <c r="D742" s="7"/>
      <c r="E742" s="7"/>
      <c r="F742" s="7"/>
      <c r="G742" s="7"/>
      <c r="H742" s="7"/>
      <c r="I742" s="7"/>
      <c r="J742" s="7"/>
      <c r="K742" s="7"/>
      <c r="W742" s="34"/>
      <c r="X742" s="39"/>
    </row>
    <row r="743" spans="4:24" x14ac:dyDescent="0.25">
      <c r="D743" s="7"/>
      <c r="E743" s="7"/>
      <c r="F743" s="7"/>
      <c r="G743" s="7"/>
      <c r="H743" s="7"/>
      <c r="I743" s="7"/>
      <c r="J743" s="7"/>
      <c r="K743" s="7"/>
      <c r="W743" s="34"/>
      <c r="X743" s="39"/>
    </row>
    <row r="744" spans="4:24" x14ac:dyDescent="0.25">
      <c r="D744" s="7"/>
      <c r="E744" s="7"/>
      <c r="F744" s="7"/>
      <c r="G744" s="7"/>
      <c r="H744" s="7"/>
      <c r="I744" s="7"/>
      <c r="J744" s="7"/>
      <c r="K744" s="7"/>
      <c r="W744" s="34"/>
      <c r="X744" s="39"/>
    </row>
    <row r="745" spans="4:24" x14ac:dyDescent="0.25">
      <c r="D745" s="7"/>
      <c r="E745" s="7"/>
      <c r="F745" s="7"/>
      <c r="G745" s="7"/>
      <c r="H745" s="7"/>
      <c r="I745" s="7"/>
      <c r="J745" s="7"/>
      <c r="K745" s="7"/>
      <c r="W745" s="34"/>
      <c r="X745" s="39"/>
    </row>
    <row r="746" spans="4:24" x14ac:dyDescent="0.25">
      <c r="D746" s="7"/>
      <c r="E746" s="7"/>
      <c r="F746" s="7"/>
      <c r="G746" s="7"/>
      <c r="H746" s="7"/>
      <c r="I746" s="7"/>
      <c r="J746" s="7"/>
      <c r="K746" s="7"/>
      <c r="W746" s="34"/>
      <c r="X746" s="39"/>
    </row>
    <row r="747" spans="4:24" x14ac:dyDescent="0.25">
      <c r="D747" s="7"/>
      <c r="E747" s="7"/>
      <c r="F747" s="7"/>
      <c r="G747" s="7"/>
      <c r="H747" s="7"/>
      <c r="I747" s="7"/>
      <c r="J747" s="7"/>
      <c r="K747" s="7"/>
      <c r="W747" s="34"/>
      <c r="X747" s="39"/>
    </row>
    <row r="748" spans="4:24" x14ac:dyDescent="0.25">
      <c r="D748" s="7"/>
      <c r="E748" s="7"/>
      <c r="F748" s="7"/>
      <c r="G748" s="7"/>
      <c r="H748" s="7"/>
      <c r="I748" s="7"/>
      <c r="J748" s="7"/>
      <c r="K748" s="7"/>
      <c r="W748" s="34"/>
      <c r="X748" s="39"/>
    </row>
    <row r="749" spans="4:24" x14ac:dyDescent="0.25">
      <c r="D749" s="7"/>
      <c r="E749" s="7"/>
      <c r="F749" s="7"/>
      <c r="G749" s="7"/>
      <c r="H749" s="7"/>
      <c r="I749" s="7"/>
      <c r="J749" s="7"/>
      <c r="K749" s="7"/>
      <c r="W749" s="34"/>
      <c r="X749" s="39"/>
    </row>
    <row r="750" spans="4:24" x14ac:dyDescent="0.25">
      <c r="D750" s="7"/>
      <c r="E750" s="7"/>
      <c r="F750" s="7"/>
      <c r="G750" s="7"/>
      <c r="H750" s="7"/>
      <c r="I750" s="7"/>
      <c r="J750" s="7"/>
      <c r="K750" s="7"/>
      <c r="W750" s="34"/>
      <c r="X750" s="39"/>
    </row>
    <row r="751" spans="4:24" x14ac:dyDescent="0.25">
      <c r="D751" s="7"/>
      <c r="E751" s="7"/>
      <c r="F751" s="7"/>
      <c r="G751" s="7"/>
      <c r="H751" s="7"/>
      <c r="I751" s="7"/>
      <c r="J751" s="7"/>
      <c r="K751" s="7"/>
      <c r="W751" s="34"/>
      <c r="X751" s="39"/>
    </row>
    <row r="752" spans="4:24" x14ac:dyDescent="0.25">
      <c r="D752" s="7"/>
      <c r="E752" s="7"/>
      <c r="F752" s="7"/>
      <c r="G752" s="7"/>
      <c r="H752" s="7"/>
      <c r="I752" s="7"/>
      <c r="J752" s="7"/>
      <c r="K752" s="7"/>
      <c r="W752" s="34"/>
      <c r="X752" s="39"/>
    </row>
    <row r="753" spans="4:24" x14ac:dyDescent="0.25">
      <c r="D753" s="7"/>
      <c r="E753" s="7"/>
      <c r="F753" s="7"/>
      <c r="G753" s="7"/>
      <c r="H753" s="7"/>
      <c r="I753" s="7"/>
      <c r="J753" s="7"/>
      <c r="K753" s="7"/>
      <c r="W753" s="34"/>
      <c r="X753" s="39"/>
    </row>
    <row r="754" spans="4:24" x14ac:dyDescent="0.25">
      <c r="D754" s="7"/>
      <c r="E754" s="7"/>
      <c r="F754" s="7"/>
      <c r="G754" s="7"/>
      <c r="H754" s="7"/>
      <c r="I754" s="7"/>
      <c r="J754" s="7"/>
      <c r="K754" s="7"/>
      <c r="W754" s="34"/>
      <c r="X754" s="39"/>
    </row>
    <row r="755" spans="4:24" x14ac:dyDescent="0.25">
      <c r="D755" s="7"/>
      <c r="E755" s="7"/>
      <c r="F755" s="7"/>
      <c r="G755" s="7"/>
      <c r="H755" s="7"/>
      <c r="I755" s="7"/>
      <c r="J755" s="7"/>
      <c r="K755" s="7"/>
      <c r="W755" s="34"/>
      <c r="X755" s="39"/>
    </row>
    <row r="756" spans="4:24" x14ac:dyDescent="0.25">
      <c r="D756" s="7"/>
      <c r="E756" s="7"/>
      <c r="F756" s="7"/>
      <c r="G756" s="7"/>
      <c r="H756" s="7"/>
      <c r="I756" s="7"/>
      <c r="J756" s="7"/>
      <c r="K756" s="7"/>
      <c r="W756" s="34"/>
      <c r="X756" s="39"/>
    </row>
    <row r="757" spans="4:24" x14ac:dyDescent="0.25">
      <c r="D757" s="7"/>
      <c r="E757" s="7"/>
      <c r="F757" s="7"/>
      <c r="G757" s="7"/>
      <c r="H757" s="7"/>
      <c r="I757" s="7"/>
      <c r="J757" s="7"/>
      <c r="K757" s="7"/>
      <c r="W757" s="34"/>
      <c r="X757" s="39"/>
    </row>
    <row r="758" spans="4:24" x14ac:dyDescent="0.25">
      <c r="D758" s="7"/>
      <c r="E758" s="7"/>
      <c r="F758" s="7"/>
      <c r="G758" s="7"/>
      <c r="H758" s="7"/>
      <c r="I758" s="7"/>
      <c r="J758" s="7"/>
      <c r="K758" s="7"/>
      <c r="W758" s="34"/>
      <c r="X758" s="39"/>
    </row>
    <row r="759" spans="4:24" x14ac:dyDescent="0.25">
      <c r="D759" s="7"/>
      <c r="E759" s="7"/>
      <c r="F759" s="7"/>
      <c r="G759" s="7"/>
      <c r="H759" s="7"/>
      <c r="I759" s="7"/>
      <c r="J759" s="7"/>
      <c r="K759" s="7"/>
      <c r="W759" s="34"/>
      <c r="X759" s="39"/>
    </row>
    <row r="760" spans="4:24" x14ac:dyDescent="0.25">
      <c r="D760" s="7"/>
      <c r="E760" s="7"/>
      <c r="F760" s="7"/>
      <c r="G760" s="7"/>
      <c r="H760" s="7"/>
      <c r="I760" s="7"/>
      <c r="J760" s="7"/>
      <c r="K760" s="7"/>
      <c r="W760" s="34"/>
      <c r="X760" s="39"/>
    </row>
    <row r="761" spans="4:24" x14ac:dyDescent="0.25">
      <c r="D761" s="7"/>
      <c r="E761" s="7"/>
      <c r="F761" s="7"/>
      <c r="G761" s="7"/>
      <c r="H761" s="7"/>
      <c r="I761" s="7"/>
      <c r="J761" s="7"/>
      <c r="K761" s="7"/>
      <c r="W761" s="34"/>
      <c r="X761" s="39"/>
    </row>
    <row r="762" spans="4:24" x14ac:dyDescent="0.25">
      <c r="D762" s="7"/>
      <c r="E762" s="7"/>
      <c r="F762" s="7"/>
      <c r="G762" s="7"/>
      <c r="H762" s="7"/>
      <c r="I762" s="7"/>
      <c r="J762" s="7"/>
      <c r="K762" s="7"/>
      <c r="W762" s="34"/>
      <c r="X762" s="39"/>
    </row>
    <row r="763" spans="4:24" x14ac:dyDescent="0.25">
      <c r="D763" s="7"/>
      <c r="E763" s="7"/>
      <c r="F763" s="7"/>
      <c r="G763" s="7"/>
      <c r="H763" s="7"/>
      <c r="I763" s="7"/>
      <c r="J763" s="7"/>
      <c r="K763" s="7"/>
      <c r="W763" s="34"/>
      <c r="X763" s="39"/>
    </row>
    <row r="764" spans="4:24" x14ac:dyDescent="0.25">
      <c r="D764" s="7"/>
      <c r="E764" s="7"/>
      <c r="F764" s="7"/>
      <c r="G764" s="7"/>
      <c r="H764" s="7"/>
      <c r="I764" s="7"/>
      <c r="J764" s="7"/>
      <c r="K764" s="7"/>
      <c r="W764" s="34"/>
      <c r="X764" s="39"/>
    </row>
    <row r="765" spans="4:24" x14ac:dyDescent="0.25">
      <c r="D765" s="7"/>
      <c r="E765" s="7"/>
      <c r="F765" s="7"/>
      <c r="G765" s="7"/>
      <c r="H765" s="7"/>
      <c r="I765" s="7"/>
      <c r="J765" s="7"/>
      <c r="K765" s="7"/>
      <c r="W765" s="34"/>
      <c r="X765" s="39"/>
    </row>
    <row r="766" spans="4:24" x14ac:dyDescent="0.25">
      <c r="D766" s="7"/>
      <c r="E766" s="7"/>
      <c r="F766" s="7"/>
      <c r="G766" s="7"/>
      <c r="H766" s="7"/>
      <c r="I766" s="7"/>
      <c r="J766" s="7"/>
      <c r="K766" s="7"/>
      <c r="W766" s="34"/>
      <c r="X766" s="39"/>
    </row>
    <row r="767" spans="4:24" x14ac:dyDescent="0.25">
      <c r="D767" s="7"/>
      <c r="E767" s="7"/>
      <c r="F767" s="7"/>
      <c r="G767" s="7"/>
      <c r="H767" s="7"/>
      <c r="I767" s="7"/>
      <c r="J767" s="7"/>
      <c r="K767" s="7"/>
      <c r="W767" s="34"/>
      <c r="X767" s="39"/>
    </row>
    <row r="768" spans="4:24" x14ac:dyDescent="0.25">
      <c r="D768" s="7"/>
      <c r="E768" s="7"/>
      <c r="F768" s="7"/>
      <c r="G768" s="7"/>
      <c r="H768" s="7"/>
      <c r="I768" s="7"/>
      <c r="J768" s="7"/>
      <c r="K768" s="7"/>
      <c r="W768" s="34"/>
      <c r="X768" s="39"/>
    </row>
    <row r="769" spans="4:24" x14ac:dyDescent="0.25">
      <c r="D769" s="7"/>
      <c r="E769" s="7"/>
      <c r="F769" s="7"/>
      <c r="G769" s="7"/>
      <c r="H769" s="7"/>
      <c r="I769" s="7"/>
      <c r="J769" s="7"/>
      <c r="K769" s="7"/>
      <c r="W769" s="34"/>
      <c r="X769" s="39"/>
    </row>
    <row r="770" spans="4:24" x14ac:dyDescent="0.25">
      <c r="D770" s="7"/>
      <c r="E770" s="7"/>
      <c r="F770" s="7"/>
      <c r="G770" s="7"/>
      <c r="H770" s="7"/>
      <c r="I770" s="7"/>
      <c r="J770" s="7"/>
      <c r="K770" s="7"/>
      <c r="W770" s="34"/>
      <c r="X770" s="39"/>
    </row>
    <row r="771" spans="4:24" x14ac:dyDescent="0.25">
      <c r="D771" s="7"/>
      <c r="E771" s="7"/>
      <c r="F771" s="7"/>
      <c r="G771" s="7"/>
      <c r="H771" s="7"/>
      <c r="I771" s="7"/>
      <c r="J771" s="7"/>
      <c r="K771" s="7"/>
      <c r="W771" s="34"/>
      <c r="X771" s="39"/>
    </row>
    <row r="772" spans="4:24" x14ac:dyDescent="0.25">
      <c r="D772" s="7"/>
      <c r="E772" s="7"/>
      <c r="F772" s="7"/>
      <c r="G772" s="7"/>
      <c r="H772" s="7"/>
      <c r="I772" s="7"/>
      <c r="J772" s="7"/>
      <c r="K772" s="7"/>
      <c r="W772" s="34"/>
      <c r="X772" s="39"/>
    </row>
    <row r="773" spans="4:24" x14ac:dyDescent="0.25">
      <c r="D773" s="7"/>
      <c r="E773" s="7"/>
      <c r="F773" s="7"/>
      <c r="G773" s="7"/>
      <c r="H773" s="7"/>
      <c r="I773" s="7"/>
      <c r="J773" s="7"/>
      <c r="K773" s="7"/>
      <c r="W773" s="34"/>
      <c r="X773" s="39"/>
    </row>
    <row r="774" spans="4:24" x14ac:dyDescent="0.25">
      <c r="D774" s="7"/>
      <c r="E774" s="7"/>
      <c r="F774" s="7"/>
      <c r="G774" s="7"/>
      <c r="H774" s="7"/>
      <c r="I774" s="7"/>
      <c r="J774" s="7"/>
      <c r="K774" s="7"/>
      <c r="W774" s="34"/>
      <c r="X774" s="39"/>
    </row>
    <row r="775" spans="4:24" x14ac:dyDescent="0.25">
      <c r="D775" s="7"/>
      <c r="E775" s="7"/>
      <c r="F775" s="7"/>
      <c r="G775" s="7"/>
      <c r="H775" s="7"/>
      <c r="I775" s="7"/>
      <c r="J775" s="7"/>
      <c r="K775" s="7"/>
      <c r="W775" s="34"/>
      <c r="X775" s="39"/>
    </row>
    <row r="776" spans="4:24" x14ac:dyDescent="0.25">
      <c r="D776" s="7"/>
      <c r="E776" s="7"/>
      <c r="F776" s="7"/>
      <c r="G776" s="7"/>
      <c r="H776" s="7"/>
      <c r="I776" s="7"/>
      <c r="J776" s="7"/>
      <c r="K776" s="7"/>
      <c r="W776" s="34"/>
      <c r="X776" s="39"/>
    </row>
    <row r="777" spans="4:24" x14ac:dyDescent="0.25">
      <c r="D777" s="7"/>
      <c r="E777" s="7"/>
      <c r="F777" s="7"/>
      <c r="G777" s="7"/>
      <c r="H777" s="7"/>
      <c r="I777" s="7"/>
      <c r="J777" s="7"/>
      <c r="K777" s="7"/>
      <c r="W777" s="34"/>
      <c r="X777" s="39"/>
    </row>
    <row r="778" spans="4:24" x14ac:dyDescent="0.25">
      <c r="D778" s="7"/>
      <c r="E778" s="7"/>
      <c r="F778" s="7"/>
      <c r="G778" s="7"/>
      <c r="H778" s="7"/>
      <c r="I778" s="7"/>
      <c r="J778" s="7"/>
      <c r="K778" s="7"/>
      <c r="W778" s="34"/>
      <c r="X778" s="39"/>
    </row>
    <row r="779" spans="4:24" x14ac:dyDescent="0.25">
      <c r="D779" s="7"/>
      <c r="E779" s="7"/>
      <c r="F779" s="7"/>
      <c r="G779" s="7"/>
      <c r="H779" s="7"/>
      <c r="I779" s="7"/>
      <c r="J779" s="7"/>
      <c r="K779" s="7"/>
      <c r="W779" s="34"/>
      <c r="X779" s="39"/>
    </row>
    <row r="780" spans="4:24" x14ac:dyDescent="0.25">
      <c r="D780" s="7"/>
      <c r="E780" s="7"/>
      <c r="F780" s="7"/>
      <c r="G780" s="7"/>
      <c r="H780" s="7"/>
      <c r="I780" s="7"/>
      <c r="J780" s="7"/>
      <c r="K780" s="7"/>
      <c r="W780" s="34"/>
      <c r="X780" s="39"/>
    </row>
    <row r="781" spans="4:24" x14ac:dyDescent="0.25">
      <c r="D781" s="7"/>
      <c r="E781" s="7"/>
      <c r="F781" s="7"/>
      <c r="G781" s="7"/>
      <c r="H781" s="7"/>
      <c r="I781" s="7"/>
      <c r="J781" s="7"/>
      <c r="K781" s="7"/>
      <c r="W781" s="34"/>
      <c r="X781" s="39"/>
    </row>
    <row r="782" spans="4:24" x14ac:dyDescent="0.25">
      <c r="D782" s="7"/>
      <c r="E782" s="7"/>
      <c r="F782" s="7"/>
      <c r="G782" s="7"/>
      <c r="H782" s="7"/>
      <c r="I782" s="7"/>
      <c r="J782" s="7"/>
      <c r="K782" s="7"/>
      <c r="W782" s="34"/>
      <c r="X782" s="39"/>
    </row>
    <row r="783" spans="4:24" x14ac:dyDescent="0.25">
      <c r="D783" s="7"/>
      <c r="E783" s="7"/>
      <c r="F783" s="7"/>
      <c r="G783" s="7"/>
      <c r="H783" s="7"/>
      <c r="I783" s="7"/>
      <c r="J783" s="7"/>
      <c r="K783" s="7"/>
      <c r="W783" s="34"/>
      <c r="X783" s="39"/>
    </row>
    <row r="784" spans="4:24" x14ac:dyDescent="0.25">
      <c r="D784" s="7"/>
      <c r="E784" s="7"/>
      <c r="F784" s="7"/>
      <c r="G784" s="7"/>
      <c r="H784" s="7"/>
      <c r="I784" s="7"/>
      <c r="J784" s="7"/>
      <c r="K784" s="7"/>
      <c r="W784" s="34"/>
      <c r="X784" s="39"/>
    </row>
    <row r="785" spans="4:24" x14ac:dyDescent="0.25">
      <c r="D785" s="7"/>
      <c r="E785" s="7"/>
      <c r="F785" s="7"/>
      <c r="G785" s="7"/>
      <c r="H785" s="7"/>
      <c r="I785" s="7"/>
      <c r="J785" s="7"/>
      <c r="K785" s="7"/>
      <c r="W785" s="34"/>
      <c r="X785" s="39"/>
    </row>
    <row r="786" spans="4:24" x14ac:dyDescent="0.25">
      <c r="D786" s="7"/>
      <c r="E786" s="7"/>
      <c r="F786" s="7"/>
      <c r="G786" s="7"/>
      <c r="H786" s="7"/>
      <c r="I786" s="7"/>
      <c r="J786" s="7"/>
      <c r="K786" s="7"/>
      <c r="W786" s="34"/>
      <c r="X786" s="39"/>
    </row>
    <row r="787" spans="4:24" x14ac:dyDescent="0.25">
      <c r="D787" s="7"/>
      <c r="E787" s="7"/>
      <c r="F787" s="7"/>
      <c r="G787" s="7"/>
      <c r="H787" s="7"/>
      <c r="I787" s="7"/>
      <c r="J787" s="7"/>
      <c r="K787" s="7"/>
      <c r="W787" s="34"/>
      <c r="X787" s="39"/>
    </row>
    <row r="788" spans="4:24" x14ac:dyDescent="0.25">
      <c r="D788" s="7"/>
      <c r="E788" s="7"/>
      <c r="F788" s="7"/>
      <c r="G788" s="7"/>
      <c r="H788" s="7"/>
      <c r="I788" s="7"/>
      <c r="J788" s="7"/>
      <c r="K788" s="7"/>
      <c r="W788" s="34"/>
      <c r="X788" s="39"/>
    </row>
    <row r="789" spans="4:24" x14ac:dyDescent="0.25">
      <c r="D789" s="7"/>
      <c r="E789" s="7"/>
      <c r="F789" s="7"/>
      <c r="G789" s="7"/>
      <c r="H789" s="7"/>
      <c r="I789" s="7"/>
      <c r="J789" s="7"/>
      <c r="K789" s="7"/>
      <c r="W789" s="34"/>
      <c r="X789" s="39"/>
    </row>
    <row r="790" spans="4:24" x14ac:dyDescent="0.25">
      <c r="D790" s="7"/>
      <c r="E790" s="7"/>
      <c r="F790" s="7"/>
      <c r="G790" s="7"/>
      <c r="H790" s="7"/>
      <c r="I790" s="7"/>
      <c r="J790" s="7"/>
      <c r="K790" s="7"/>
      <c r="W790" s="34"/>
      <c r="X790" s="39"/>
    </row>
    <row r="791" spans="4:24" x14ac:dyDescent="0.25">
      <c r="D791" s="7"/>
      <c r="E791" s="7"/>
      <c r="F791" s="7"/>
      <c r="G791" s="7"/>
      <c r="H791" s="7"/>
      <c r="I791" s="7"/>
      <c r="J791" s="7"/>
      <c r="K791" s="7"/>
      <c r="W791" s="34"/>
      <c r="X791" s="39"/>
    </row>
    <row r="792" spans="4:24" x14ac:dyDescent="0.25">
      <c r="D792" s="7"/>
      <c r="E792" s="7"/>
      <c r="F792" s="7"/>
      <c r="G792" s="7"/>
      <c r="H792" s="7"/>
      <c r="I792" s="7"/>
      <c r="J792" s="7"/>
      <c r="K792" s="7"/>
      <c r="W792" s="34"/>
      <c r="X792" s="39"/>
    </row>
    <row r="793" spans="4:24" x14ac:dyDescent="0.25">
      <c r="D793" s="7"/>
      <c r="E793" s="7"/>
      <c r="F793" s="7"/>
      <c r="G793" s="7"/>
      <c r="H793" s="7"/>
      <c r="I793" s="7"/>
      <c r="J793" s="7"/>
      <c r="K793" s="7"/>
      <c r="W793" s="34"/>
      <c r="X793" s="39"/>
    </row>
    <row r="794" spans="4:24" x14ac:dyDescent="0.25">
      <c r="D794" s="7"/>
      <c r="E794" s="7"/>
      <c r="F794" s="7"/>
      <c r="G794" s="7"/>
      <c r="H794" s="7"/>
      <c r="I794" s="7"/>
      <c r="J794" s="7"/>
      <c r="K794" s="7"/>
      <c r="W794" s="34"/>
      <c r="X794" s="39"/>
    </row>
    <row r="795" spans="4:24" x14ac:dyDescent="0.25">
      <c r="D795" s="7"/>
      <c r="E795" s="7"/>
      <c r="F795" s="7"/>
      <c r="G795" s="7"/>
      <c r="H795" s="7"/>
      <c r="I795" s="7"/>
      <c r="J795" s="7"/>
      <c r="K795" s="7"/>
      <c r="W795" s="34"/>
      <c r="X795" s="39"/>
    </row>
    <row r="796" spans="4:24" x14ac:dyDescent="0.25">
      <c r="D796" s="7"/>
      <c r="E796" s="7"/>
      <c r="F796" s="7"/>
      <c r="G796" s="7"/>
      <c r="H796" s="7"/>
      <c r="I796" s="7"/>
      <c r="J796" s="7"/>
      <c r="K796" s="7"/>
      <c r="W796" s="34"/>
      <c r="X796" s="39"/>
    </row>
    <row r="797" spans="4:24" x14ac:dyDescent="0.25">
      <c r="D797" s="7"/>
      <c r="E797" s="7"/>
      <c r="F797" s="7"/>
      <c r="G797" s="7"/>
      <c r="H797" s="7"/>
      <c r="I797" s="7"/>
      <c r="J797" s="7"/>
      <c r="K797" s="7"/>
      <c r="W797" s="34"/>
      <c r="X797" s="39"/>
    </row>
    <row r="798" spans="4:24" x14ac:dyDescent="0.25">
      <c r="D798" s="7"/>
      <c r="E798" s="7"/>
      <c r="F798" s="7"/>
      <c r="G798" s="7"/>
      <c r="H798" s="7"/>
      <c r="I798" s="7"/>
      <c r="J798" s="7"/>
      <c r="K798" s="7"/>
      <c r="W798" s="34"/>
      <c r="X798" s="39"/>
    </row>
    <row r="799" spans="4:24" x14ac:dyDescent="0.25">
      <c r="D799" s="7"/>
      <c r="E799" s="7"/>
      <c r="F799" s="7"/>
      <c r="G799" s="7"/>
      <c r="H799" s="7"/>
      <c r="I799" s="7"/>
      <c r="J799" s="7"/>
      <c r="K799" s="7"/>
      <c r="W799" s="34"/>
      <c r="X799" s="39"/>
    </row>
    <row r="800" spans="4:24" x14ac:dyDescent="0.25">
      <c r="D800" s="7"/>
      <c r="E800" s="7"/>
      <c r="F800" s="7"/>
      <c r="G800" s="7"/>
      <c r="H800" s="7"/>
      <c r="I800" s="7"/>
      <c r="J800" s="7"/>
      <c r="K800" s="7"/>
      <c r="W800" s="34"/>
      <c r="X800" s="39"/>
    </row>
    <row r="801" spans="4:24" x14ac:dyDescent="0.25">
      <c r="D801" s="7"/>
      <c r="E801" s="7"/>
      <c r="F801" s="7"/>
      <c r="G801" s="7"/>
      <c r="H801" s="7"/>
      <c r="I801" s="7"/>
      <c r="J801" s="7"/>
      <c r="K801" s="7"/>
      <c r="W801" s="34"/>
      <c r="X801" s="39"/>
    </row>
    <row r="802" spans="4:24" x14ac:dyDescent="0.25">
      <c r="D802" s="7"/>
      <c r="E802" s="7"/>
      <c r="F802" s="7"/>
      <c r="G802" s="7"/>
      <c r="H802" s="7"/>
      <c r="I802" s="7"/>
      <c r="J802" s="7"/>
      <c r="K802" s="7"/>
      <c r="W802" s="34"/>
      <c r="X802" s="39"/>
    </row>
    <row r="803" spans="4:24" x14ac:dyDescent="0.25">
      <c r="D803" s="7"/>
      <c r="E803" s="7"/>
      <c r="F803" s="7"/>
      <c r="G803" s="7"/>
      <c r="H803" s="7"/>
      <c r="I803" s="7"/>
      <c r="J803" s="7"/>
      <c r="K803" s="7"/>
      <c r="W803" s="34"/>
      <c r="X803" s="39"/>
    </row>
    <row r="804" spans="4:24" x14ac:dyDescent="0.25">
      <c r="D804" s="7"/>
      <c r="E804" s="7"/>
      <c r="F804" s="7"/>
      <c r="G804" s="7"/>
      <c r="H804" s="7"/>
      <c r="I804" s="7"/>
      <c r="J804" s="7"/>
      <c r="K804" s="7"/>
      <c r="W804" s="34"/>
      <c r="X804" s="39"/>
    </row>
    <row r="805" spans="4:24" x14ac:dyDescent="0.25">
      <c r="D805" s="7"/>
      <c r="E805" s="7"/>
      <c r="F805" s="7"/>
      <c r="G805" s="7"/>
      <c r="H805" s="7"/>
      <c r="I805" s="7"/>
      <c r="J805" s="7"/>
      <c r="K805" s="7"/>
      <c r="W805" s="34"/>
      <c r="X805" s="39"/>
    </row>
    <row r="806" spans="4:24" x14ac:dyDescent="0.25">
      <c r="D806" s="7"/>
      <c r="E806" s="7"/>
      <c r="F806" s="7"/>
      <c r="G806" s="7"/>
      <c r="H806" s="7"/>
      <c r="I806" s="7"/>
      <c r="J806" s="7"/>
      <c r="K806" s="7"/>
      <c r="W806" s="34"/>
      <c r="X806" s="39"/>
    </row>
    <row r="807" spans="4:24" x14ac:dyDescent="0.25">
      <c r="D807" s="7"/>
      <c r="E807" s="7"/>
      <c r="F807" s="7"/>
      <c r="G807" s="7"/>
      <c r="H807" s="7"/>
      <c r="I807" s="7"/>
      <c r="J807" s="7"/>
      <c r="K807" s="7"/>
      <c r="W807" s="34"/>
      <c r="X807" s="39"/>
    </row>
    <row r="808" spans="4:24" x14ac:dyDescent="0.25">
      <c r="D808" s="7"/>
      <c r="E808" s="7"/>
      <c r="F808" s="7"/>
      <c r="G808" s="7"/>
      <c r="H808" s="7"/>
      <c r="I808" s="7"/>
      <c r="J808" s="7"/>
      <c r="K808" s="7"/>
      <c r="W808" s="34"/>
      <c r="X808" s="39"/>
    </row>
    <row r="809" spans="4:24" x14ac:dyDescent="0.25">
      <c r="D809" s="7"/>
      <c r="E809" s="7"/>
      <c r="F809" s="7"/>
      <c r="G809" s="7"/>
      <c r="H809" s="7"/>
      <c r="I809" s="7"/>
      <c r="J809" s="7"/>
      <c r="K809" s="7"/>
      <c r="W809" s="34"/>
      <c r="X809" s="39"/>
    </row>
    <row r="810" spans="4:24" x14ac:dyDescent="0.25">
      <c r="D810" s="7"/>
      <c r="E810" s="7"/>
      <c r="F810" s="7"/>
      <c r="G810" s="7"/>
      <c r="H810" s="7"/>
      <c r="I810" s="7"/>
      <c r="J810" s="7"/>
      <c r="K810" s="7"/>
      <c r="W810" s="34"/>
      <c r="X810" s="39"/>
    </row>
    <row r="811" spans="4:24" x14ac:dyDescent="0.25">
      <c r="D811" s="7"/>
      <c r="E811" s="7"/>
      <c r="F811" s="7"/>
      <c r="G811" s="7"/>
      <c r="H811" s="7"/>
      <c r="I811" s="7"/>
      <c r="J811" s="7"/>
      <c r="K811" s="7"/>
      <c r="W811" s="34"/>
      <c r="X811" s="39"/>
    </row>
    <row r="812" spans="4:24" x14ac:dyDescent="0.25">
      <c r="D812" s="7"/>
      <c r="E812" s="7"/>
      <c r="F812" s="7"/>
      <c r="G812" s="7"/>
      <c r="H812" s="7"/>
      <c r="I812" s="7"/>
      <c r="J812" s="7"/>
      <c r="K812" s="7"/>
      <c r="W812" s="34"/>
      <c r="X812" s="39"/>
    </row>
    <row r="813" spans="4:24" x14ac:dyDescent="0.25">
      <c r="D813" s="7"/>
      <c r="E813" s="7"/>
      <c r="F813" s="7"/>
      <c r="G813" s="7"/>
      <c r="H813" s="7"/>
      <c r="I813" s="7"/>
      <c r="J813" s="7"/>
      <c r="K813" s="7"/>
      <c r="W813" s="34"/>
      <c r="X813" s="39"/>
    </row>
    <row r="814" spans="4:24" x14ac:dyDescent="0.25">
      <c r="D814" s="7"/>
      <c r="E814" s="7"/>
      <c r="F814" s="7"/>
      <c r="G814" s="7"/>
      <c r="H814" s="7"/>
      <c r="I814" s="7"/>
      <c r="J814" s="7"/>
      <c r="K814" s="7"/>
      <c r="W814" s="34"/>
      <c r="X814" s="39"/>
    </row>
    <row r="815" spans="4:24" x14ac:dyDescent="0.25">
      <c r="D815" s="7"/>
      <c r="E815" s="7"/>
      <c r="F815" s="7"/>
      <c r="G815" s="7"/>
      <c r="H815" s="7"/>
      <c r="I815" s="7"/>
      <c r="J815" s="7"/>
      <c r="K815" s="7"/>
      <c r="W815" s="34"/>
      <c r="X815" s="39"/>
    </row>
    <row r="816" spans="4:24" x14ac:dyDescent="0.25">
      <c r="D816" s="7"/>
      <c r="E816" s="7"/>
      <c r="F816" s="7"/>
      <c r="G816" s="7"/>
      <c r="H816" s="7"/>
      <c r="I816" s="7"/>
      <c r="J816" s="7"/>
      <c r="K816" s="7"/>
      <c r="W816" s="34"/>
      <c r="X816" s="39"/>
    </row>
    <row r="817" spans="4:24" x14ac:dyDescent="0.25">
      <c r="D817" s="7"/>
      <c r="E817" s="7"/>
      <c r="F817" s="7"/>
      <c r="G817" s="7"/>
      <c r="H817" s="7"/>
      <c r="I817" s="7"/>
      <c r="J817" s="7"/>
      <c r="K817" s="7"/>
      <c r="W817" s="34"/>
      <c r="X817" s="39"/>
    </row>
    <row r="818" spans="4:24" x14ac:dyDescent="0.25">
      <c r="D818" s="7"/>
      <c r="E818" s="7"/>
      <c r="F818" s="7"/>
      <c r="G818" s="7"/>
      <c r="H818" s="7"/>
      <c r="I818" s="7"/>
      <c r="J818" s="7"/>
      <c r="K818" s="7"/>
      <c r="W818" s="34"/>
      <c r="X818" s="39"/>
    </row>
    <row r="819" spans="4:24" x14ac:dyDescent="0.25">
      <c r="D819" s="7"/>
      <c r="E819" s="7"/>
      <c r="F819" s="7"/>
      <c r="G819" s="7"/>
      <c r="H819" s="7"/>
      <c r="I819" s="7"/>
      <c r="J819" s="7"/>
      <c r="K819" s="7"/>
      <c r="W819" s="34"/>
      <c r="X819" s="39"/>
    </row>
    <row r="820" spans="4:24" x14ac:dyDescent="0.25">
      <c r="D820" s="7"/>
      <c r="E820" s="7"/>
      <c r="F820" s="7"/>
      <c r="G820" s="7"/>
      <c r="H820" s="7"/>
      <c r="I820" s="7"/>
      <c r="J820" s="7"/>
      <c r="K820" s="7"/>
      <c r="W820" s="34"/>
      <c r="X820" s="39"/>
    </row>
    <row r="821" spans="4:24" x14ac:dyDescent="0.25">
      <c r="D821" s="7"/>
      <c r="E821" s="7"/>
      <c r="F821" s="7"/>
      <c r="G821" s="7"/>
      <c r="H821" s="7"/>
      <c r="I821" s="7"/>
      <c r="J821" s="7"/>
      <c r="K821" s="7"/>
      <c r="W821" s="34"/>
      <c r="X821" s="39"/>
    </row>
    <row r="822" spans="4:24" x14ac:dyDescent="0.25">
      <c r="D822" s="7"/>
      <c r="E822" s="7"/>
      <c r="F822" s="7"/>
      <c r="G822" s="7"/>
      <c r="H822" s="7"/>
      <c r="I822" s="7"/>
      <c r="J822" s="7"/>
      <c r="K822" s="7"/>
      <c r="W822" s="34"/>
      <c r="X822" s="39"/>
    </row>
    <row r="823" spans="4:24" x14ac:dyDescent="0.25">
      <c r="D823" s="7"/>
      <c r="E823" s="7"/>
      <c r="F823" s="7"/>
      <c r="G823" s="7"/>
      <c r="H823" s="7"/>
      <c r="I823" s="7"/>
      <c r="J823" s="7"/>
      <c r="K823" s="7"/>
      <c r="W823" s="34"/>
      <c r="X823" s="39"/>
    </row>
    <row r="824" spans="4:24" x14ac:dyDescent="0.25">
      <c r="D824" s="7"/>
      <c r="E824" s="7"/>
      <c r="F824" s="7"/>
      <c r="G824" s="7"/>
      <c r="H824" s="7"/>
      <c r="I824" s="7"/>
      <c r="J824" s="7"/>
      <c r="K824" s="7"/>
      <c r="W824" s="34"/>
      <c r="X824" s="39"/>
    </row>
    <row r="825" spans="4:24" x14ac:dyDescent="0.25">
      <c r="D825" s="7"/>
      <c r="E825" s="7"/>
      <c r="F825" s="7"/>
      <c r="G825" s="7"/>
      <c r="H825" s="7"/>
      <c r="I825" s="7"/>
      <c r="J825" s="7"/>
      <c r="K825" s="7"/>
      <c r="W825" s="34"/>
      <c r="X825" s="39"/>
    </row>
    <row r="826" spans="4:24" x14ac:dyDescent="0.25">
      <c r="D826" s="7"/>
      <c r="E826" s="7"/>
      <c r="F826" s="7"/>
      <c r="G826" s="7"/>
      <c r="H826" s="7"/>
      <c r="I826" s="7"/>
      <c r="J826" s="7"/>
      <c r="K826" s="7"/>
      <c r="W826" s="34"/>
      <c r="X826" s="39"/>
    </row>
    <row r="827" spans="4:24" x14ac:dyDescent="0.25">
      <c r="D827" s="7"/>
      <c r="E827" s="7"/>
      <c r="F827" s="7"/>
      <c r="G827" s="7"/>
      <c r="H827" s="7"/>
      <c r="I827" s="7"/>
      <c r="J827" s="7"/>
      <c r="K827" s="7"/>
      <c r="W827" s="34"/>
      <c r="X827" s="39"/>
    </row>
    <row r="828" spans="4:24" x14ac:dyDescent="0.25">
      <c r="D828" s="7"/>
      <c r="E828" s="7"/>
      <c r="F828" s="7"/>
      <c r="G828" s="7"/>
      <c r="H828" s="7"/>
      <c r="I828" s="7"/>
      <c r="J828" s="7"/>
      <c r="K828" s="7"/>
      <c r="W828" s="34"/>
      <c r="X828" s="39"/>
    </row>
    <row r="829" spans="4:24" x14ac:dyDescent="0.25">
      <c r="D829" s="7"/>
      <c r="E829" s="7"/>
      <c r="F829" s="7"/>
      <c r="G829" s="7"/>
      <c r="H829" s="7"/>
      <c r="I829" s="7"/>
      <c r="J829" s="7"/>
      <c r="K829" s="7"/>
      <c r="W829" s="34"/>
      <c r="X829" s="39"/>
    </row>
    <row r="830" spans="4:24" x14ac:dyDescent="0.25">
      <c r="D830" s="7"/>
      <c r="E830" s="7"/>
      <c r="F830" s="7"/>
      <c r="G830" s="7"/>
      <c r="H830" s="7"/>
      <c r="I830" s="7"/>
      <c r="J830" s="7"/>
      <c r="K830" s="7"/>
      <c r="W830" s="34"/>
      <c r="X830" s="39"/>
    </row>
    <row r="831" spans="4:24" x14ac:dyDescent="0.25">
      <c r="D831" s="7"/>
      <c r="E831" s="7"/>
      <c r="F831" s="7"/>
      <c r="G831" s="7"/>
      <c r="H831" s="7"/>
      <c r="I831" s="7"/>
      <c r="J831" s="7"/>
      <c r="K831" s="7"/>
      <c r="W831" s="34"/>
      <c r="X831" s="39"/>
    </row>
    <row r="832" spans="4:24" x14ac:dyDescent="0.25">
      <c r="D832" s="7"/>
      <c r="E832" s="7"/>
      <c r="F832" s="7"/>
      <c r="G832" s="7"/>
      <c r="H832" s="7"/>
      <c r="I832" s="7"/>
      <c r="J832" s="7"/>
      <c r="K832" s="7"/>
      <c r="W832" s="34"/>
      <c r="X832" s="39"/>
    </row>
    <row r="833" spans="4:24" x14ac:dyDescent="0.25">
      <c r="D833" s="7"/>
      <c r="E833" s="7"/>
      <c r="F833" s="7"/>
      <c r="G833" s="7"/>
      <c r="H833" s="7"/>
      <c r="I833" s="7"/>
      <c r="J833" s="7"/>
      <c r="K833" s="7"/>
      <c r="W833" s="34"/>
      <c r="X833" s="39"/>
    </row>
    <row r="834" spans="4:24" x14ac:dyDescent="0.25">
      <c r="D834" s="7"/>
      <c r="E834" s="7"/>
      <c r="F834" s="7"/>
      <c r="G834" s="7"/>
      <c r="H834" s="7"/>
      <c r="I834" s="7"/>
      <c r="J834" s="7"/>
      <c r="K834" s="7"/>
      <c r="W834" s="34"/>
      <c r="X834" s="39"/>
    </row>
    <row r="835" spans="4:24" x14ac:dyDescent="0.25">
      <c r="D835" s="7"/>
      <c r="E835" s="7"/>
      <c r="F835" s="7"/>
      <c r="G835" s="7"/>
      <c r="H835" s="7"/>
      <c r="I835" s="7"/>
      <c r="J835" s="7"/>
      <c r="K835" s="7"/>
      <c r="W835" s="34"/>
      <c r="X835" s="39"/>
    </row>
    <row r="836" spans="4:24" x14ac:dyDescent="0.25">
      <c r="D836" s="7"/>
      <c r="E836" s="7"/>
      <c r="F836" s="7"/>
      <c r="G836" s="7"/>
      <c r="H836" s="7"/>
      <c r="I836" s="7"/>
      <c r="J836" s="7"/>
      <c r="K836" s="7"/>
      <c r="W836" s="34"/>
      <c r="X836" s="39"/>
    </row>
    <row r="837" spans="4:24" x14ac:dyDescent="0.25">
      <c r="D837" s="7"/>
      <c r="E837" s="7"/>
      <c r="F837" s="7"/>
      <c r="G837" s="7"/>
      <c r="H837" s="7"/>
      <c r="I837" s="7"/>
      <c r="J837" s="7"/>
      <c r="K837" s="7"/>
      <c r="W837" s="34"/>
      <c r="X837" s="39"/>
    </row>
    <row r="838" spans="4:24" x14ac:dyDescent="0.25">
      <c r="D838" s="7"/>
      <c r="E838" s="7"/>
      <c r="F838" s="7"/>
      <c r="G838" s="7"/>
      <c r="H838" s="7"/>
      <c r="I838" s="7"/>
      <c r="J838" s="7"/>
      <c r="K838" s="7"/>
      <c r="W838" s="34"/>
      <c r="X838" s="39"/>
    </row>
    <row r="839" spans="4:24" x14ac:dyDescent="0.25">
      <c r="D839" s="7"/>
      <c r="E839" s="7"/>
      <c r="F839" s="7"/>
      <c r="G839" s="7"/>
      <c r="H839" s="7"/>
      <c r="I839" s="7"/>
      <c r="J839" s="7"/>
      <c r="K839" s="7"/>
      <c r="W839" s="34"/>
      <c r="X839" s="39"/>
    </row>
    <row r="840" spans="4:24" x14ac:dyDescent="0.25">
      <c r="D840" s="7"/>
      <c r="E840" s="7"/>
      <c r="F840" s="7"/>
      <c r="G840" s="7"/>
      <c r="H840" s="7"/>
      <c r="I840" s="7"/>
      <c r="J840" s="7"/>
      <c r="K840" s="7"/>
      <c r="W840" s="34"/>
      <c r="X840" s="39"/>
    </row>
    <row r="841" spans="4:24" x14ac:dyDescent="0.25">
      <c r="D841" s="7"/>
      <c r="E841" s="7"/>
      <c r="F841" s="7"/>
      <c r="G841" s="7"/>
      <c r="H841" s="7"/>
      <c r="I841" s="7"/>
      <c r="J841" s="7"/>
      <c r="K841" s="7"/>
      <c r="W841" s="34"/>
      <c r="X841" s="39"/>
    </row>
    <row r="842" spans="4:24" x14ac:dyDescent="0.25">
      <c r="D842" s="7"/>
      <c r="E842" s="7"/>
      <c r="F842" s="7"/>
      <c r="G842" s="7"/>
      <c r="H842" s="7"/>
      <c r="I842" s="7"/>
      <c r="J842" s="7"/>
      <c r="K842" s="7"/>
      <c r="W842" s="34"/>
      <c r="X842" s="39"/>
    </row>
    <row r="843" spans="4:24" x14ac:dyDescent="0.25">
      <c r="D843" s="7"/>
      <c r="E843" s="7"/>
      <c r="F843" s="7"/>
      <c r="G843" s="7"/>
      <c r="H843" s="7"/>
      <c r="I843" s="7"/>
      <c r="J843" s="7"/>
      <c r="K843" s="7"/>
      <c r="W843" s="34"/>
      <c r="X843" s="39"/>
    </row>
    <row r="844" spans="4:24" x14ac:dyDescent="0.25">
      <c r="D844" s="7"/>
      <c r="E844" s="7"/>
      <c r="F844" s="7"/>
      <c r="G844" s="7"/>
      <c r="H844" s="7"/>
      <c r="I844" s="7"/>
      <c r="J844" s="7"/>
      <c r="K844" s="7"/>
      <c r="W844" s="34"/>
      <c r="X844" s="39"/>
    </row>
    <row r="845" spans="4:24" x14ac:dyDescent="0.25">
      <c r="D845" s="7"/>
      <c r="E845" s="7"/>
      <c r="F845" s="7"/>
      <c r="G845" s="7"/>
      <c r="H845" s="7"/>
      <c r="I845" s="7"/>
      <c r="J845" s="7"/>
      <c r="K845" s="7"/>
      <c r="W845" s="34"/>
      <c r="X845" s="39"/>
    </row>
    <row r="846" spans="4:24" x14ac:dyDescent="0.25">
      <c r="D846" s="7"/>
      <c r="E846" s="7"/>
      <c r="F846" s="7"/>
      <c r="G846" s="7"/>
      <c r="H846" s="7"/>
      <c r="I846" s="7"/>
      <c r="J846" s="7"/>
      <c r="K846" s="7"/>
      <c r="W846" s="34"/>
      <c r="X846" s="39"/>
    </row>
    <row r="847" spans="4:24" x14ac:dyDescent="0.25">
      <c r="D847" s="7"/>
      <c r="E847" s="7"/>
      <c r="F847" s="7"/>
      <c r="G847" s="7"/>
      <c r="H847" s="7"/>
      <c r="I847" s="7"/>
      <c r="J847" s="7"/>
      <c r="K847" s="7"/>
      <c r="W847" s="34"/>
      <c r="X847" s="39"/>
    </row>
    <row r="848" spans="4:24" x14ac:dyDescent="0.25">
      <c r="D848" s="7"/>
      <c r="E848" s="7"/>
      <c r="F848" s="7"/>
      <c r="G848" s="7"/>
      <c r="H848" s="7"/>
      <c r="I848" s="7"/>
      <c r="J848" s="7"/>
      <c r="K848" s="7"/>
      <c r="W848" s="34"/>
      <c r="X848" s="39"/>
    </row>
    <row r="849" spans="4:24" x14ac:dyDescent="0.25">
      <c r="D849" s="7"/>
      <c r="E849" s="7"/>
      <c r="F849" s="7"/>
      <c r="G849" s="7"/>
      <c r="H849" s="7"/>
      <c r="I849" s="7"/>
      <c r="J849" s="7"/>
      <c r="K849" s="7"/>
      <c r="W849" s="34"/>
      <c r="X849" s="39"/>
    </row>
    <row r="850" spans="4:24" x14ac:dyDescent="0.25">
      <c r="D850" s="7"/>
      <c r="E850" s="7"/>
      <c r="F850" s="7"/>
      <c r="G850" s="7"/>
      <c r="H850" s="7"/>
      <c r="I850" s="7"/>
      <c r="J850" s="7"/>
      <c r="K850" s="7"/>
      <c r="W850" s="34"/>
      <c r="X850" s="39"/>
    </row>
    <row r="851" spans="4:24" x14ac:dyDescent="0.25">
      <c r="D851" s="7"/>
      <c r="E851" s="7"/>
      <c r="F851" s="7"/>
      <c r="G851" s="7"/>
      <c r="H851" s="7"/>
      <c r="I851" s="7"/>
      <c r="J851" s="7"/>
      <c r="K851" s="7"/>
      <c r="W851" s="34"/>
      <c r="X851" s="39"/>
    </row>
    <row r="852" spans="4:24" x14ac:dyDescent="0.25">
      <c r="D852" s="7"/>
      <c r="E852" s="7"/>
      <c r="F852" s="7"/>
      <c r="G852" s="7"/>
      <c r="H852" s="7"/>
      <c r="I852" s="7"/>
      <c r="J852" s="7"/>
      <c r="K852" s="7"/>
      <c r="W852" s="34"/>
      <c r="X852" s="39"/>
    </row>
    <row r="853" spans="4:24" x14ac:dyDescent="0.25">
      <c r="D853" s="7"/>
      <c r="E853" s="7"/>
      <c r="F853" s="7"/>
      <c r="G853" s="7"/>
      <c r="H853" s="7"/>
      <c r="I853" s="7"/>
      <c r="J853" s="7"/>
      <c r="K853" s="7"/>
      <c r="W853" s="34"/>
      <c r="X853" s="39"/>
    </row>
    <row r="854" spans="4:24" x14ac:dyDescent="0.25">
      <c r="D854" s="7"/>
      <c r="E854" s="7"/>
      <c r="F854" s="7"/>
      <c r="G854" s="7"/>
      <c r="H854" s="7"/>
      <c r="I854" s="7"/>
      <c r="J854" s="7"/>
      <c r="K854" s="7"/>
      <c r="W854" s="34"/>
      <c r="X854" s="39"/>
    </row>
    <row r="855" spans="4:24" x14ac:dyDescent="0.25">
      <c r="D855" s="7"/>
      <c r="E855" s="7"/>
      <c r="F855" s="7"/>
      <c r="G855" s="7"/>
      <c r="H855" s="7"/>
      <c r="I855" s="7"/>
      <c r="J855" s="7"/>
      <c r="K855" s="7"/>
      <c r="W855" s="34"/>
      <c r="X855" s="39"/>
    </row>
    <row r="856" spans="4:24" x14ac:dyDescent="0.25">
      <c r="D856" s="7"/>
      <c r="E856" s="7"/>
      <c r="F856" s="7"/>
      <c r="G856" s="7"/>
      <c r="H856" s="7"/>
      <c r="I856" s="7"/>
      <c r="J856" s="7"/>
      <c r="K856" s="7"/>
      <c r="W856" s="34"/>
      <c r="X856" s="39"/>
    </row>
    <row r="857" spans="4:24" x14ac:dyDescent="0.25">
      <c r="D857" s="7"/>
      <c r="E857" s="7"/>
      <c r="F857" s="7"/>
      <c r="G857" s="7"/>
      <c r="H857" s="7"/>
      <c r="I857" s="7"/>
      <c r="J857" s="7"/>
      <c r="K857" s="7"/>
      <c r="W857" s="34"/>
      <c r="X857" s="39"/>
    </row>
    <row r="858" spans="4:24" x14ac:dyDescent="0.25">
      <c r="D858" s="7"/>
      <c r="E858" s="7"/>
      <c r="F858" s="7"/>
      <c r="G858" s="7"/>
      <c r="H858" s="7"/>
      <c r="I858" s="7"/>
      <c r="J858" s="7"/>
      <c r="K858" s="7"/>
      <c r="W858" s="34"/>
      <c r="X858" s="39"/>
    </row>
    <row r="859" spans="4:24" x14ac:dyDescent="0.25">
      <c r="D859" s="7"/>
      <c r="E859" s="7"/>
      <c r="F859" s="7"/>
      <c r="G859" s="7"/>
      <c r="H859" s="7"/>
      <c r="I859" s="7"/>
      <c r="J859" s="7"/>
      <c r="K859" s="7"/>
      <c r="W859" s="34"/>
      <c r="X859" s="39"/>
    </row>
    <row r="860" spans="4:24" x14ac:dyDescent="0.25">
      <c r="D860" s="7"/>
      <c r="E860" s="7"/>
      <c r="F860" s="7"/>
      <c r="G860" s="7"/>
      <c r="H860" s="7"/>
      <c r="I860" s="7"/>
      <c r="J860" s="7"/>
      <c r="K860" s="7"/>
      <c r="W860" s="34"/>
      <c r="X860" s="39"/>
    </row>
    <row r="861" spans="4:24" x14ac:dyDescent="0.25">
      <c r="D861" s="7"/>
      <c r="E861" s="7"/>
      <c r="F861" s="7"/>
      <c r="G861" s="7"/>
      <c r="H861" s="7"/>
      <c r="I861" s="7"/>
      <c r="J861" s="7"/>
      <c r="K861" s="7"/>
      <c r="W861" s="34"/>
      <c r="X861" s="39"/>
    </row>
    <row r="862" spans="4:24" x14ac:dyDescent="0.25">
      <c r="D862" s="7"/>
      <c r="E862" s="7"/>
      <c r="F862" s="7"/>
      <c r="G862" s="7"/>
      <c r="H862" s="7"/>
      <c r="I862" s="7"/>
      <c r="J862" s="7"/>
      <c r="K862" s="7"/>
      <c r="W862" s="34"/>
      <c r="X862" s="39"/>
    </row>
    <row r="863" spans="4:24" x14ac:dyDescent="0.25">
      <c r="D863" s="7"/>
      <c r="E863" s="7"/>
      <c r="F863" s="7"/>
      <c r="G863" s="7"/>
      <c r="H863" s="7"/>
      <c r="I863" s="7"/>
      <c r="J863" s="7"/>
      <c r="K863" s="7"/>
      <c r="W863" s="34"/>
      <c r="X863" s="39"/>
    </row>
    <row r="864" spans="4:24" x14ac:dyDescent="0.25">
      <c r="D864" s="7"/>
      <c r="E864" s="7"/>
      <c r="F864" s="7"/>
      <c r="G864" s="7"/>
      <c r="H864" s="7"/>
      <c r="I864" s="7"/>
      <c r="J864" s="7"/>
      <c r="K864" s="7"/>
      <c r="W864" s="34"/>
      <c r="X864" s="39"/>
    </row>
    <row r="865" spans="4:24" x14ac:dyDescent="0.25">
      <c r="D865" s="7"/>
      <c r="E865" s="7"/>
      <c r="F865" s="7"/>
      <c r="G865" s="7"/>
      <c r="H865" s="7"/>
      <c r="I865" s="7"/>
      <c r="J865" s="7"/>
      <c r="K865" s="7"/>
      <c r="W865" s="34"/>
      <c r="X865" s="39"/>
    </row>
    <row r="866" spans="4:24" x14ac:dyDescent="0.25">
      <c r="D866" s="7"/>
      <c r="E866" s="7"/>
      <c r="F866" s="7"/>
      <c r="G866" s="7"/>
      <c r="H866" s="7"/>
      <c r="I866" s="7"/>
      <c r="J866" s="7"/>
      <c r="K866" s="7"/>
      <c r="W866" s="34"/>
      <c r="X866" s="39"/>
    </row>
    <row r="867" spans="4:24" x14ac:dyDescent="0.25">
      <c r="D867" s="7"/>
      <c r="E867" s="7"/>
      <c r="F867" s="7"/>
      <c r="G867" s="7"/>
      <c r="H867" s="7"/>
      <c r="I867" s="7"/>
      <c r="J867" s="7"/>
      <c r="K867" s="7"/>
      <c r="W867" s="34"/>
      <c r="X867" s="39"/>
    </row>
    <row r="868" spans="4:24" x14ac:dyDescent="0.25">
      <c r="D868" s="7"/>
      <c r="E868" s="7"/>
      <c r="F868" s="7"/>
      <c r="G868" s="7"/>
      <c r="H868" s="7"/>
      <c r="I868" s="7"/>
      <c r="J868" s="7"/>
      <c r="K868" s="7"/>
      <c r="W868" s="34"/>
      <c r="X868" s="39"/>
    </row>
    <row r="869" spans="4:24" x14ac:dyDescent="0.25">
      <c r="D869" s="7"/>
      <c r="E869" s="7"/>
      <c r="F869" s="7"/>
      <c r="G869" s="7"/>
      <c r="H869" s="7"/>
      <c r="I869" s="7"/>
      <c r="J869" s="7"/>
      <c r="K869" s="7"/>
      <c r="W869" s="34"/>
      <c r="X869" s="39"/>
    </row>
    <row r="870" spans="4:24" x14ac:dyDescent="0.25">
      <c r="D870" s="7"/>
      <c r="E870" s="7"/>
      <c r="F870" s="7"/>
      <c r="G870" s="7"/>
      <c r="H870" s="7"/>
      <c r="I870" s="7"/>
      <c r="J870" s="7"/>
      <c r="K870" s="7"/>
      <c r="W870" s="34"/>
      <c r="X870" s="39"/>
    </row>
    <row r="871" spans="4:24" x14ac:dyDescent="0.25">
      <c r="D871" s="7"/>
      <c r="E871" s="7"/>
      <c r="F871" s="7"/>
      <c r="G871" s="7"/>
      <c r="H871" s="7"/>
      <c r="I871" s="7"/>
      <c r="J871" s="7"/>
      <c r="K871" s="7"/>
      <c r="W871" s="34"/>
      <c r="X871" s="39"/>
    </row>
    <row r="872" spans="4:24" x14ac:dyDescent="0.25">
      <c r="D872" s="7"/>
      <c r="E872" s="7"/>
      <c r="F872" s="7"/>
      <c r="G872" s="7"/>
      <c r="H872" s="7"/>
      <c r="I872" s="7"/>
      <c r="J872" s="7"/>
      <c r="K872" s="7"/>
      <c r="W872" s="34"/>
      <c r="X872" s="39"/>
    </row>
    <row r="873" spans="4:24" x14ac:dyDescent="0.25">
      <c r="D873" s="7"/>
      <c r="E873" s="7"/>
      <c r="F873" s="7"/>
      <c r="G873" s="7"/>
      <c r="H873" s="7"/>
      <c r="I873" s="7"/>
      <c r="J873" s="7"/>
      <c r="K873" s="7"/>
      <c r="W873" s="34"/>
      <c r="X873" s="39"/>
    </row>
    <row r="874" spans="4:24" x14ac:dyDescent="0.25">
      <c r="D874" s="7"/>
      <c r="E874" s="7"/>
      <c r="F874" s="7"/>
      <c r="G874" s="7"/>
      <c r="H874" s="7"/>
      <c r="I874" s="7"/>
      <c r="J874" s="7"/>
      <c r="K874" s="7"/>
      <c r="W874" s="34"/>
      <c r="X874" s="39"/>
    </row>
    <row r="875" spans="4:24" x14ac:dyDescent="0.25">
      <c r="D875" s="7"/>
      <c r="E875" s="7"/>
      <c r="F875" s="7"/>
      <c r="G875" s="7"/>
      <c r="H875" s="7"/>
      <c r="I875" s="7"/>
      <c r="J875" s="7"/>
      <c r="K875" s="7"/>
      <c r="W875" s="34"/>
      <c r="X875" s="39"/>
    </row>
    <row r="876" spans="4:24" x14ac:dyDescent="0.25">
      <c r="D876" s="7"/>
      <c r="E876" s="7"/>
      <c r="F876" s="7"/>
      <c r="G876" s="7"/>
      <c r="H876" s="7"/>
      <c r="I876" s="7"/>
      <c r="J876" s="7"/>
      <c r="K876" s="7"/>
      <c r="W876" s="34"/>
      <c r="X876" s="39"/>
    </row>
    <row r="877" spans="4:24" x14ac:dyDescent="0.25">
      <c r="D877" s="7"/>
      <c r="E877" s="7"/>
      <c r="F877" s="7"/>
      <c r="G877" s="7"/>
      <c r="H877" s="7"/>
      <c r="I877" s="7"/>
      <c r="J877" s="7"/>
      <c r="K877" s="7"/>
      <c r="W877" s="34"/>
      <c r="X877" s="39"/>
    </row>
    <row r="878" spans="4:24" x14ac:dyDescent="0.25">
      <c r="D878" s="7"/>
      <c r="E878" s="7"/>
      <c r="F878" s="7"/>
      <c r="G878" s="7"/>
      <c r="H878" s="7"/>
      <c r="I878" s="7"/>
      <c r="J878" s="7"/>
      <c r="K878" s="7"/>
      <c r="W878" s="34"/>
      <c r="X878" s="39"/>
    </row>
    <row r="879" spans="4:24" x14ac:dyDescent="0.25">
      <c r="D879" s="7"/>
      <c r="E879" s="7"/>
      <c r="F879" s="7"/>
      <c r="G879" s="7"/>
      <c r="H879" s="7"/>
      <c r="I879" s="7"/>
      <c r="J879" s="7"/>
      <c r="K879" s="7"/>
      <c r="W879" s="34"/>
      <c r="X879" s="39"/>
    </row>
    <row r="880" spans="4:24" x14ac:dyDescent="0.25">
      <c r="D880" s="7"/>
      <c r="E880" s="7"/>
      <c r="F880" s="7"/>
      <c r="G880" s="7"/>
      <c r="H880" s="7"/>
      <c r="I880" s="7"/>
      <c r="J880" s="7"/>
      <c r="K880" s="7"/>
      <c r="W880" s="34"/>
      <c r="X880" s="39"/>
    </row>
    <row r="881" spans="4:24" x14ac:dyDescent="0.25">
      <c r="D881" s="7"/>
      <c r="E881" s="7"/>
      <c r="F881" s="7"/>
      <c r="G881" s="7"/>
      <c r="H881" s="7"/>
      <c r="I881" s="7"/>
      <c r="J881" s="7"/>
      <c r="K881" s="7"/>
      <c r="W881" s="34"/>
      <c r="X881" s="39"/>
    </row>
    <row r="882" spans="4:24" x14ac:dyDescent="0.25">
      <c r="D882" s="7"/>
      <c r="E882" s="7"/>
      <c r="F882" s="7"/>
      <c r="G882" s="7"/>
      <c r="H882" s="7"/>
      <c r="I882" s="7"/>
      <c r="J882" s="7"/>
      <c r="K882" s="7"/>
      <c r="W882" s="34"/>
      <c r="X882" s="39"/>
    </row>
    <row r="883" spans="4:24" x14ac:dyDescent="0.25">
      <c r="D883" s="7"/>
      <c r="E883" s="7"/>
      <c r="F883" s="7"/>
      <c r="G883" s="7"/>
      <c r="H883" s="7"/>
      <c r="I883" s="7"/>
      <c r="J883" s="7"/>
      <c r="K883" s="7"/>
      <c r="W883" s="34"/>
      <c r="X883" s="39"/>
    </row>
    <row r="884" spans="4:24" x14ac:dyDescent="0.25">
      <c r="D884" s="7"/>
      <c r="E884" s="7"/>
      <c r="F884" s="7"/>
      <c r="G884" s="7"/>
      <c r="H884" s="7"/>
      <c r="I884" s="7"/>
      <c r="J884" s="7"/>
      <c r="K884" s="7"/>
      <c r="W884" s="34"/>
      <c r="X884" s="39"/>
    </row>
    <row r="885" spans="4:24" x14ac:dyDescent="0.25">
      <c r="D885" s="7"/>
      <c r="E885" s="7"/>
      <c r="F885" s="7"/>
      <c r="G885" s="7"/>
      <c r="H885" s="7"/>
      <c r="I885" s="7"/>
      <c r="J885" s="7"/>
      <c r="K885" s="7"/>
      <c r="W885" s="34"/>
      <c r="X885" s="39"/>
    </row>
    <row r="886" spans="4:24" x14ac:dyDescent="0.25">
      <c r="D886" s="7"/>
      <c r="E886" s="7"/>
      <c r="F886" s="7"/>
      <c r="G886" s="7"/>
      <c r="H886" s="7"/>
      <c r="I886" s="7"/>
      <c r="J886" s="7"/>
      <c r="K886" s="7"/>
      <c r="W886" s="34"/>
      <c r="X886" s="39"/>
    </row>
    <row r="887" spans="4:24" x14ac:dyDescent="0.25">
      <c r="D887" s="7"/>
      <c r="E887" s="7"/>
      <c r="F887" s="7"/>
      <c r="G887" s="7"/>
      <c r="H887" s="7"/>
      <c r="I887" s="7"/>
      <c r="J887" s="7"/>
      <c r="K887" s="7"/>
      <c r="W887" s="34"/>
      <c r="X887" s="39"/>
    </row>
    <row r="888" spans="4:24" x14ac:dyDescent="0.25">
      <c r="D888" s="7"/>
      <c r="E888" s="7"/>
      <c r="F888" s="7"/>
      <c r="G888" s="7"/>
      <c r="H888" s="7"/>
      <c r="I888" s="7"/>
      <c r="J888" s="7"/>
      <c r="K888" s="7"/>
      <c r="W888" s="34"/>
      <c r="X888" s="39"/>
    </row>
    <row r="889" spans="4:24" x14ac:dyDescent="0.25">
      <c r="D889" s="7"/>
      <c r="E889" s="7"/>
      <c r="F889" s="7"/>
      <c r="G889" s="7"/>
      <c r="H889" s="7"/>
      <c r="I889" s="7"/>
      <c r="J889" s="7"/>
      <c r="K889" s="7"/>
      <c r="W889" s="34"/>
      <c r="X889" s="39"/>
    </row>
    <row r="890" spans="4:24" x14ac:dyDescent="0.25">
      <c r="D890" s="7"/>
      <c r="E890" s="7"/>
      <c r="F890" s="7"/>
      <c r="G890" s="7"/>
      <c r="H890" s="7"/>
      <c r="I890" s="7"/>
      <c r="J890" s="7"/>
      <c r="K890" s="7"/>
      <c r="W890" s="34"/>
      <c r="X890" s="39"/>
    </row>
    <row r="891" spans="4:24" x14ac:dyDescent="0.25">
      <c r="D891" s="7"/>
      <c r="E891" s="7"/>
      <c r="F891" s="7"/>
      <c r="G891" s="7"/>
      <c r="H891" s="7"/>
      <c r="I891" s="7"/>
      <c r="J891" s="7"/>
      <c r="K891" s="7"/>
      <c r="W891" s="34"/>
      <c r="X891" s="39"/>
    </row>
    <row r="892" spans="4:24" x14ac:dyDescent="0.25">
      <c r="D892" s="7"/>
      <c r="E892" s="7"/>
      <c r="F892" s="7"/>
      <c r="G892" s="7"/>
      <c r="H892" s="7"/>
      <c r="I892" s="7"/>
      <c r="J892" s="7"/>
      <c r="K892" s="7"/>
      <c r="W892" s="34"/>
      <c r="X892" s="39"/>
    </row>
    <row r="893" spans="4:24" x14ac:dyDescent="0.25">
      <c r="D893" s="7"/>
      <c r="E893" s="7"/>
      <c r="F893" s="7"/>
      <c r="G893" s="7"/>
      <c r="H893" s="7"/>
      <c r="I893" s="7"/>
      <c r="J893" s="7"/>
      <c r="K893" s="7"/>
      <c r="W893" s="34"/>
      <c r="X893" s="39"/>
    </row>
    <row r="894" spans="4:24" x14ac:dyDescent="0.25">
      <c r="D894" s="7"/>
      <c r="E894" s="7"/>
      <c r="F894" s="7"/>
      <c r="G894" s="7"/>
      <c r="H894" s="7"/>
      <c r="I894" s="7"/>
      <c r="J894" s="7"/>
      <c r="K894" s="7"/>
      <c r="W894" s="34"/>
      <c r="X894" s="39"/>
    </row>
    <row r="895" spans="4:24" x14ac:dyDescent="0.25">
      <c r="D895" s="7"/>
      <c r="E895" s="7"/>
      <c r="F895" s="7"/>
      <c r="G895" s="7"/>
      <c r="H895" s="7"/>
      <c r="I895" s="7"/>
      <c r="J895" s="7"/>
      <c r="K895" s="7"/>
      <c r="W895" s="34"/>
      <c r="X895" s="39"/>
    </row>
    <row r="896" spans="4:24" x14ac:dyDescent="0.25">
      <c r="D896" s="7"/>
      <c r="E896" s="7"/>
      <c r="F896" s="7"/>
      <c r="G896" s="7"/>
      <c r="H896" s="7"/>
      <c r="I896" s="7"/>
      <c r="J896" s="7"/>
      <c r="K896" s="7"/>
      <c r="W896" s="34"/>
      <c r="X896" s="39"/>
    </row>
    <row r="897" spans="4:24" x14ac:dyDescent="0.25">
      <c r="D897" s="7"/>
      <c r="E897" s="7"/>
      <c r="F897" s="7"/>
      <c r="G897" s="7"/>
      <c r="H897" s="7"/>
      <c r="I897" s="7"/>
      <c r="J897" s="7"/>
      <c r="K897" s="7"/>
      <c r="W897" s="34"/>
      <c r="X897" s="39"/>
    </row>
    <row r="898" spans="4:24" x14ac:dyDescent="0.25">
      <c r="D898" s="7"/>
      <c r="E898" s="7"/>
      <c r="F898" s="7"/>
      <c r="G898" s="7"/>
      <c r="H898" s="7"/>
      <c r="I898" s="7"/>
      <c r="J898" s="7"/>
      <c r="K898" s="7"/>
      <c r="W898" s="34"/>
      <c r="X898" s="39"/>
    </row>
    <row r="899" spans="4:24" x14ac:dyDescent="0.25">
      <c r="D899" s="7"/>
      <c r="E899" s="7"/>
      <c r="F899" s="7"/>
      <c r="G899" s="7"/>
      <c r="H899" s="7"/>
      <c r="I899" s="7"/>
      <c r="J899" s="7"/>
      <c r="K899" s="7"/>
      <c r="W899" s="34"/>
      <c r="X899" s="39"/>
    </row>
    <row r="900" spans="4:24" x14ac:dyDescent="0.25">
      <c r="D900" s="7"/>
      <c r="E900" s="7"/>
      <c r="F900" s="7"/>
      <c r="G900" s="7"/>
      <c r="H900" s="7"/>
      <c r="I900" s="7"/>
      <c r="J900" s="7"/>
      <c r="K900" s="7"/>
      <c r="W900" s="34"/>
      <c r="X900" s="39"/>
    </row>
    <row r="901" spans="4:24" x14ac:dyDescent="0.25">
      <c r="D901" s="7"/>
      <c r="E901" s="7"/>
      <c r="F901" s="7"/>
      <c r="G901" s="7"/>
      <c r="H901" s="7"/>
      <c r="I901" s="7"/>
      <c r="J901" s="7"/>
      <c r="K901" s="7"/>
      <c r="W901" s="34"/>
      <c r="X901" s="39"/>
    </row>
    <row r="902" spans="4:24" x14ac:dyDescent="0.25">
      <c r="D902" s="7"/>
      <c r="E902" s="7"/>
      <c r="F902" s="7"/>
      <c r="G902" s="7"/>
      <c r="H902" s="7"/>
      <c r="I902" s="7"/>
      <c r="J902" s="7"/>
      <c r="K902" s="7"/>
      <c r="W902" s="34"/>
      <c r="X902" s="39"/>
    </row>
    <row r="903" spans="4:24" x14ac:dyDescent="0.25">
      <c r="D903" s="7"/>
      <c r="E903" s="7"/>
      <c r="F903" s="7"/>
      <c r="G903" s="7"/>
      <c r="H903" s="7"/>
      <c r="I903" s="7"/>
      <c r="J903" s="7"/>
      <c r="K903" s="7"/>
      <c r="W903" s="34"/>
      <c r="X903" s="39"/>
    </row>
    <row r="904" spans="4:24" x14ac:dyDescent="0.25">
      <c r="D904" s="7"/>
      <c r="E904" s="7"/>
      <c r="F904" s="7"/>
      <c r="G904" s="7"/>
      <c r="H904" s="7"/>
      <c r="I904" s="7"/>
      <c r="J904" s="7"/>
      <c r="K904" s="7"/>
      <c r="W904" s="34"/>
      <c r="X904" s="39"/>
    </row>
    <row r="905" spans="4:24" x14ac:dyDescent="0.25">
      <c r="D905" s="7"/>
      <c r="E905" s="7"/>
      <c r="F905" s="7"/>
      <c r="G905" s="7"/>
      <c r="H905" s="7"/>
      <c r="I905" s="7"/>
      <c r="J905" s="7"/>
      <c r="K905" s="7"/>
      <c r="W905" s="34"/>
      <c r="X905" s="39"/>
    </row>
    <row r="906" spans="4:24" x14ac:dyDescent="0.25">
      <c r="D906" s="7"/>
      <c r="E906" s="7"/>
      <c r="F906" s="7"/>
      <c r="G906" s="7"/>
      <c r="H906" s="7"/>
      <c r="I906" s="7"/>
      <c r="J906" s="7"/>
      <c r="K906" s="7"/>
      <c r="W906" s="34"/>
      <c r="X906" s="39"/>
    </row>
    <row r="907" spans="4:24" x14ac:dyDescent="0.25">
      <c r="D907" s="7"/>
      <c r="E907" s="7"/>
      <c r="F907" s="7"/>
      <c r="G907" s="7"/>
      <c r="H907" s="7"/>
      <c r="I907" s="7"/>
      <c r="J907" s="7"/>
      <c r="K907" s="7"/>
      <c r="W907" s="34"/>
      <c r="X907" s="39"/>
    </row>
    <row r="908" spans="4:24" x14ac:dyDescent="0.25">
      <c r="D908" s="7"/>
      <c r="E908" s="7"/>
      <c r="F908" s="7"/>
      <c r="G908" s="7"/>
      <c r="H908" s="7"/>
      <c r="I908" s="7"/>
      <c r="J908" s="7"/>
      <c r="K908" s="7"/>
      <c r="W908" s="34"/>
      <c r="X908" s="39"/>
    </row>
    <row r="909" spans="4:24" x14ac:dyDescent="0.25">
      <c r="D909" s="7"/>
      <c r="E909" s="7"/>
      <c r="F909" s="7"/>
      <c r="G909" s="7"/>
      <c r="H909" s="7"/>
      <c r="I909" s="7"/>
      <c r="J909" s="7"/>
      <c r="K909" s="7"/>
      <c r="W909" s="34"/>
      <c r="X909" s="39"/>
    </row>
    <row r="910" spans="4:24" x14ac:dyDescent="0.25">
      <c r="D910" s="7"/>
      <c r="E910" s="7"/>
      <c r="F910" s="7"/>
      <c r="G910" s="7"/>
      <c r="H910" s="7"/>
      <c r="I910" s="7"/>
      <c r="J910" s="7"/>
      <c r="K910" s="7"/>
      <c r="W910" s="34"/>
      <c r="X910" s="39"/>
    </row>
    <row r="911" spans="4:24" x14ac:dyDescent="0.25">
      <c r="D911" s="7"/>
      <c r="E911" s="7"/>
      <c r="F911" s="7"/>
      <c r="G911" s="7"/>
      <c r="H911" s="7"/>
      <c r="I911" s="7"/>
      <c r="J911" s="7"/>
      <c r="K911" s="7"/>
      <c r="W911" s="34"/>
      <c r="X911" s="39"/>
    </row>
    <row r="912" spans="4:24" x14ac:dyDescent="0.25">
      <c r="D912" s="7"/>
      <c r="E912" s="7"/>
      <c r="F912" s="7"/>
      <c r="G912" s="7"/>
      <c r="H912" s="7"/>
      <c r="I912" s="7"/>
      <c r="J912" s="7"/>
      <c r="K912" s="7"/>
      <c r="W912" s="34"/>
      <c r="X912" s="39"/>
    </row>
    <row r="913" spans="4:24" x14ac:dyDescent="0.25">
      <c r="D913" s="7"/>
      <c r="E913" s="7"/>
      <c r="F913" s="7"/>
      <c r="G913" s="7"/>
      <c r="H913" s="7"/>
      <c r="I913" s="7"/>
      <c r="J913" s="7"/>
      <c r="K913" s="7"/>
      <c r="W913" s="34"/>
      <c r="X913" s="39"/>
    </row>
    <row r="914" spans="4:24" x14ac:dyDescent="0.25">
      <c r="D914" s="7"/>
      <c r="E914" s="7"/>
      <c r="F914" s="7"/>
      <c r="G914" s="7"/>
      <c r="H914" s="7"/>
      <c r="I914" s="7"/>
      <c r="J914" s="7"/>
      <c r="K914" s="7"/>
      <c r="W914" s="34"/>
      <c r="X914" s="39"/>
    </row>
    <row r="915" spans="4:24" x14ac:dyDescent="0.25">
      <c r="D915" s="7"/>
      <c r="E915" s="7"/>
      <c r="F915" s="7"/>
      <c r="G915" s="7"/>
      <c r="H915" s="7"/>
      <c r="I915" s="7"/>
      <c r="J915" s="7"/>
      <c r="K915" s="7"/>
      <c r="W915" s="34"/>
      <c r="X915" s="39"/>
    </row>
    <row r="916" spans="4:24" x14ac:dyDescent="0.25">
      <c r="D916" s="7"/>
      <c r="E916" s="7"/>
      <c r="F916" s="7"/>
      <c r="G916" s="7"/>
      <c r="H916" s="7"/>
      <c r="I916" s="7"/>
      <c r="J916" s="7"/>
      <c r="K916" s="7"/>
      <c r="W916" s="34"/>
      <c r="X916" s="39"/>
    </row>
    <row r="917" spans="4:24" x14ac:dyDescent="0.25">
      <c r="D917" s="7"/>
      <c r="E917" s="7"/>
      <c r="F917" s="7"/>
      <c r="G917" s="7"/>
      <c r="H917" s="7"/>
      <c r="I917" s="7"/>
      <c r="J917" s="7"/>
      <c r="K917" s="7"/>
      <c r="W917" s="34"/>
      <c r="X917" s="39"/>
    </row>
    <row r="918" spans="4:24" x14ac:dyDescent="0.25">
      <c r="D918" s="7"/>
      <c r="E918" s="7"/>
      <c r="F918" s="7"/>
      <c r="G918" s="7"/>
      <c r="H918" s="7"/>
      <c r="I918" s="7"/>
      <c r="J918" s="7"/>
      <c r="K918" s="7"/>
      <c r="W918" s="34"/>
      <c r="X918" s="39"/>
    </row>
    <row r="919" spans="4:24" x14ac:dyDescent="0.25">
      <c r="D919" s="7"/>
      <c r="E919" s="7"/>
      <c r="F919" s="7"/>
      <c r="G919" s="7"/>
      <c r="H919" s="7"/>
      <c r="I919" s="7"/>
      <c r="J919" s="7"/>
      <c r="K919" s="7"/>
      <c r="W919" s="34"/>
      <c r="X919" s="39"/>
    </row>
    <row r="920" spans="4:24" x14ac:dyDescent="0.25">
      <c r="D920" s="7"/>
      <c r="E920" s="7"/>
      <c r="F920" s="7"/>
      <c r="G920" s="7"/>
      <c r="H920" s="7"/>
      <c r="I920" s="7"/>
      <c r="J920" s="7"/>
      <c r="K920" s="7"/>
      <c r="W920" s="34"/>
      <c r="X920" s="39"/>
    </row>
    <row r="921" spans="4:24" x14ac:dyDescent="0.25">
      <c r="D921" s="7"/>
      <c r="E921" s="7"/>
      <c r="F921" s="7"/>
      <c r="G921" s="7"/>
      <c r="H921" s="7"/>
      <c r="I921" s="7"/>
      <c r="J921" s="7"/>
      <c r="K921" s="7"/>
      <c r="W921" s="34"/>
      <c r="X921" s="39"/>
    </row>
    <row r="922" spans="4:24" x14ac:dyDescent="0.25">
      <c r="D922" s="7"/>
      <c r="E922" s="7"/>
      <c r="F922" s="7"/>
      <c r="G922" s="7"/>
      <c r="H922" s="7"/>
      <c r="I922" s="7"/>
      <c r="J922" s="7"/>
      <c r="K922" s="7"/>
      <c r="W922" s="34"/>
      <c r="X922" s="39"/>
    </row>
    <row r="923" spans="4:24" x14ac:dyDescent="0.25">
      <c r="D923" s="7"/>
      <c r="E923" s="7"/>
      <c r="F923" s="7"/>
      <c r="G923" s="7"/>
      <c r="H923" s="7"/>
      <c r="I923" s="7"/>
      <c r="J923" s="7"/>
      <c r="K923" s="7"/>
      <c r="W923" s="34"/>
      <c r="X923" s="39"/>
    </row>
    <row r="924" spans="4:24" x14ac:dyDescent="0.25">
      <c r="D924" s="7"/>
      <c r="E924" s="7"/>
      <c r="F924" s="7"/>
      <c r="G924" s="7"/>
      <c r="H924" s="7"/>
      <c r="I924" s="7"/>
      <c r="J924" s="7"/>
      <c r="K924" s="7"/>
      <c r="W924" s="34"/>
      <c r="X924" s="39"/>
    </row>
    <row r="925" spans="4:24" x14ac:dyDescent="0.25">
      <c r="D925" s="7"/>
      <c r="E925" s="7"/>
      <c r="F925" s="7"/>
      <c r="G925" s="7"/>
      <c r="H925" s="7"/>
      <c r="I925" s="7"/>
      <c r="J925" s="7"/>
      <c r="K925" s="7"/>
      <c r="W925" s="34"/>
      <c r="X925" s="39"/>
    </row>
    <row r="926" spans="4:24" x14ac:dyDescent="0.25">
      <c r="D926" s="7"/>
      <c r="E926" s="7"/>
      <c r="F926" s="7"/>
      <c r="G926" s="7"/>
      <c r="H926" s="7"/>
      <c r="I926" s="7"/>
      <c r="J926" s="7"/>
      <c r="K926" s="7"/>
      <c r="W926" s="34"/>
      <c r="X926" s="39"/>
    </row>
    <row r="927" spans="4:24" x14ac:dyDescent="0.25">
      <c r="D927" s="7"/>
      <c r="E927" s="7"/>
      <c r="F927" s="7"/>
      <c r="G927" s="7"/>
      <c r="H927" s="7"/>
      <c r="I927" s="7"/>
      <c r="J927" s="7"/>
      <c r="K927" s="7"/>
      <c r="W927" s="34"/>
      <c r="X927" s="39"/>
    </row>
    <row r="928" spans="4:24" x14ac:dyDescent="0.25">
      <c r="D928" s="7"/>
      <c r="E928" s="7"/>
      <c r="F928" s="7"/>
      <c r="G928" s="7"/>
      <c r="H928" s="7"/>
      <c r="I928" s="7"/>
      <c r="J928" s="7"/>
      <c r="K928" s="7"/>
      <c r="W928" s="34"/>
      <c r="X928" s="39"/>
    </row>
    <row r="929" spans="4:24" x14ac:dyDescent="0.25">
      <c r="D929" s="7"/>
      <c r="E929" s="7"/>
      <c r="F929" s="7"/>
      <c r="G929" s="7"/>
      <c r="H929" s="7"/>
      <c r="I929" s="7"/>
      <c r="J929" s="7"/>
      <c r="K929" s="7"/>
      <c r="W929" s="34"/>
      <c r="X929" s="39"/>
    </row>
    <row r="930" spans="4:24" x14ac:dyDescent="0.25">
      <c r="D930" s="7"/>
      <c r="E930" s="7"/>
      <c r="F930" s="7"/>
      <c r="G930" s="7"/>
      <c r="H930" s="7"/>
      <c r="I930" s="7"/>
      <c r="J930" s="7"/>
      <c r="K930" s="7"/>
      <c r="W930" s="34"/>
      <c r="X930" s="39"/>
    </row>
    <row r="931" spans="4:24" x14ac:dyDescent="0.25">
      <c r="D931" s="7"/>
      <c r="E931" s="7"/>
      <c r="F931" s="7"/>
      <c r="G931" s="7"/>
      <c r="H931" s="7"/>
      <c r="I931" s="7"/>
      <c r="J931" s="7"/>
      <c r="K931" s="7"/>
      <c r="W931" s="34"/>
      <c r="X931" s="39"/>
    </row>
    <row r="932" spans="4:24" x14ac:dyDescent="0.25">
      <c r="D932" s="7"/>
      <c r="E932" s="7"/>
      <c r="F932" s="7"/>
      <c r="G932" s="7"/>
      <c r="H932" s="7"/>
      <c r="I932" s="7"/>
      <c r="J932" s="7"/>
      <c r="K932" s="7"/>
      <c r="W932" s="34"/>
      <c r="X932" s="39"/>
    </row>
    <row r="933" spans="4:24" x14ac:dyDescent="0.25">
      <c r="D933" s="7"/>
      <c r="E933" s="7"/>
      <c r="F933" s="7"/>
      <c r="G933" s="7"/>
      <c r="H933" s="7"/>
      <c r="I933" s="7"/>
      <c r="J933" s="7"/>
      <c r="K933" s="7"/>
      <c r="W933" s="34"/>
      <c r="X933" s="39"/>
    </row>
    <row r="934" spans="4:24" x14ac:dyDescent="0.25">
      <c r="D934" s="7"/>
      <c r="E934" s="7"/>
      <c r="F934" s="7"/>
      <c r="G934" s="7"/>
      <c r="H934" s="7"/>
      <c r="I934" s="7"/>
      <c r="J934" s="7"/>
      <c r="K934" s="7"/>
      <c r="W934" s="34"/>
      <c r="X934" s="39"/>
    </row>
    <row r="935" spans="4:24" x14ac:dyDescent="0.25">
      <c r="D935" s="7"/>
      <c r="E935" s="7"/>
      <c r="F935" s="7"/>
      <c r="G935" s="7"/>
      <c r="H935" s="7"/>
      <c r="I935" s="7"/>
      <c r="J935" s="7"/>
      <c r="K935" s="7"/>
      <c r="W935" s="34"/>
      <c r="X935" s="39"/>
    </row>
    <row r="936" spans="4:24" x14ac:dyDescent="0.25">
      <c r="D936" s="7"/>
      <c r="E936" s="7"/>
      <c r="F936" s="7"/>
      <c r="G936" s="7"/>
      <c r="H936" s="7"/>
      <c r="I936" s="7"/>
      <c r="J936" s="7"/>
      <c r="K936" s="7"/>
      <c r="W936" s="34"/>
      <c r="X936" s="39"/>
    </row>
    <row r="937" spans="4:24" x14ac:dyDescent="0.25">
      <c r="D937" s="7"/>
      <c r="E937" s="7"/>
      <c r="F937" s="7"/>
      <c r="G937" s="7"/>
      <c r="H937" s="7"/>
      <c r="I937" s="7"/>
      <c r="J937" s="7"/>
      <c r="K937" s="7"/>
      <c r="W937" s="34"/>
      <c r="X937" s="39"/>
    </row>
    <row r="938" spans="4:24" x14ac:dyDescent="0.25">
      <c r="D938" s="7"/>
      <c r="E938" s="7"/>
      <c r="F938" s="7"/>
      <c r="G938" s="7"/>
      <c r="H938" s="7"/>
      <c r="I938" s="7"/>
      <c r="J938" s="7"/>
      <c r="K938" s="7"/>
      <c r="W938" s="34"/>
      <c r="X938" s="39"/>
    </row>
    <row r="939" spans="4:24" x14ac:dyDescent="0.25">
      <c r="D939" s="7"/>
      <c r="E939" s="7"/>
      <c r="F939" s="7"/>
      <c r="G939" s="7"/>
      <c r="H939" s="7"/>
      <c r="I939" s="7"/>
      <c r="J939" s="7"/>
      <c r="K939" s="7"/>
      <c r="W939" s="34"/>
      <c r="X939" s="39"/>
    </row>
    <row r="940" spans="4:24" x14ac:dyDescent="0.25">
      <c r="D940" s="7"/>
      <c r="E940" s="7"/>
      <c r="F940" s="7"/>
      <c r="G940" s="7"/>
      <c r="H940" s="7"/>
      <c r="I940" s="7"/>
      <c r="J940" s="7"/>
      <c r="K940" s="7"/>
      <c r="W940" s="34"/>
      <c r="X940" s="39"/>
    </row>
    <row r="941" spans="4:24" x14ac:dyDescent="0.25">
      <c r="D941" s="7"/>
      <c r="E941" s="7"/>
      <c r="F941" s="7"/>
      <c r="G941" s="7"/>
      <c r="H941" s="7"/>
      <c r="I941" s="7"/>
      <c r="J941" s="7"/>
      <c r="K941" s="7"/>
      <c r="W941" s="34"/>
      <c r="X941" s="39"/>
    </row>
    <row r="942" spans="4:24" x14ac:dyDescent="0.25">
      <c r="D942" s="7"/>
      <c r="E942" s="7"/>
      <c r="F942" s="7"/>
      <c r="G942" s="7"/>
      <c r="H942" s="7"/>
      <c r="I942" s="7"/>
      <c r="J942" s="7"/>
      <c r="K942" s="7"/>
      <c r="W942" s="34"/>
      <c r="X942" s="39"/>
    </row>
    <row r="943" spans="4:24" x14ac:dyDescent="0.25">
      <c r="D943" s="7"/>
      <c r="E943" s="7"/>
      <c r="F943" s="7"/>
      <c r="G943" s="7"/>
      <c r="H943" s="7"/>
      <c r="I943" s="7"/>
      <c r="J943" s="7"/>
      <c r="K943" s="7"/>
      <c r="W943" s="34"/>
      <c r="X943" s="39"/>
    </row>
    <row r="944" spans="4:24" x14ac:dyDescent="0.25">
      <c r="D944" s="7"/>
      <c r="E944" s="7"/>
      <c r="F944" s="7"/>
      <c r="G944" s="7"/>
      <c r="H944" s="7"/>
      <c r="I944" s="7"/>
      <c r="J944" s="7"/>
      <c r="K944" s="7"/>
      <c r="W944" s="34"/>
      <c r="X944" s="39"/>
    </row>
    <row r="945" spans="4:24" x14ac:dyDescent="0.25">
      <c r="D945" s="7"/>
      <c r="E945" s="7"/>
      <c r="F945" s="7"/>
      <c r="G945" s="7"/>
      <c r="H945" s="7"/>
      <c r="I945" s="7"/>
      <c r="J945" s="7"/>
      <c r="K945" s="7"/>
      <c r="W945" s="34"/>
      <c r="X945" s="39"/>
    </row>
    <row r="946" spans="4:24" x14ac:dyDescent="0.25">
      <c r="D946" s="7"/>
      <c r="E946" s="7"/>
      <c r="F946" s="7"/>
      <c r="G946" s="7"/>
      <c r="H946" s="7"/>
      <c r="I946" s="7"/>
      <c r="J946" s="7"/>
      <c r="K946" s="7"/>
      <c r="W946" s="34"/>
      <c r="X946" s="39"/>
    </row>
    <row r="947" spans="4:24" x14ac:dyDescent="0.25">
      <c r="D947" s="7"/>
      <c r="E947" s="7"/>
      <c r="F947" s="7"/>
      <c r="G947" s="7"/>
      <c r="H947" s="7"/>
      <c r="I947" s="7"/>
      <c r="J947" s="7"/>
      <c r="K947" s="7"/>
      <c r="W947" s="34"/>
      <c r="X947" s="39"/>
    </row>
    <row r="948" spans="4:24" x14ac:dyDescent="0.25">
      <c r="D948" s="7"/>
      <c r="E948" s="7"/>
      <c r="F948" s="7"/>
      <c r="G948" s="7"/>
      <c r="H948" s="7"/>
      <c r="I948" s="7"/>
      <c r="J948" s="7"/>
      <c r="K948" s="7"/>
      <c r="W948" s="34"/>
      <c r="X948" s="39"/>
    </row>
    <row r="949" spans="4:24" x14ac:dyDescent="0.25">
      <c r="D949" s="7"/>
      <c r="E949" s="7"/>
      <c r="F949" s="7"/>
      <c r="G949" s="7"/>
      <c r="H949" s="7"/>
      <c r="I949" s="7"/>
      <c r="J949" s="7"/>
      <c r="K949" s="7"/>
      <c r="W949" s="34"/>
      <c r="X949" s="39"/>
    </row>
    <row r="950" spans="4:24" x14ac:dyDescent="0.25">
      <c r="D950" s="7"/>
      <c r="E950" s="7"/>
      <c r="F950" s="7"/>
      <c r="G950" s="7"/>
      <c r="H950" s="7"/>
      <c r="I950" s="7"/>
      <c r="J950" s="7"/>
      <c r="K950" s="7"/>
      <c r="W950" s="34"/>
      <c r="X950" s="39"/>
    </row>
    <row r="951" spans="4:24" x14ac:dyDescent="0.25">
      <c r="D951" s="7"/>
      <c r="E951" s="7"/>
      <c r="F951" s="7"/>
      <c r="G951" s="7"/>
      <c r="H951" s="7"/>
      <c r="I951" s="7"/>
      <c r="J951" s="7"/>
      <c r="K951" s="7"/>
      <c r="W951" s="34"/>
      <c r="X951" s="39"/>
    </row>
    <row r="952" spans="4:24" x14ac:dyDescent="0.25">
      <c r="D952" s="7"/>
      <c r="E952" s="7"/>
      <c r="F952" s="7"/>
      <c r="G952" s="7"/>
      <c r="H952" s="7"/>
      <c r="I952" s="7"/>
      <c r="J952" s="7"/>
      <c r="K952" s="7"/>
      <c r="W952" s="34"/>
      <c r="X952" s="39"/>
    </row>
    <row r="953" spans="4:24" x14ac:dyDescent="0.25">
      <c r="D953" s="7"/>
      <c r="E953" s="7"/>
      <c r="F953" s="7"/>
      <c r="G953" s="7"/>
      <c r="H953" s="7"/>
      <c r="I953" s="7"/>
      <c r="J953" s="7"/>
      <c r="K953" s="7"/>
      <c r="W953" s="34"/>
      <c r="X953" s="39"/>
    </row>
    <row r="954" spans="4:24" x14ac:dyDescent="0.25">
      <c r="D954" s="7"/>
      <c r="E954" s="7"/>
      <c r="F954" s="7"/>
      <c r="G954" s="7"/>
      <c r="H954" s="7"/>
      <c r="I954" s="7"/>
      <c r="J954" s="7"/>
      <c r="K954" s="7"/>
      <c r="W954" s="34"/>
      <c r="X954" s="39"/>
    </row>
    <row r="955" spans="4:24" x14ac:dyDescent="0.25">
      <c r="D955" s="7"/>
      <c r="E955" s="7"/>
      <c r="F955" s="7"/>
      <c r="G955" s="7"/>
      <c r="H955" s="7"/>
      <c r="I955" s="7"/>
      <c r="J955" s="7"/>
      <c r="K955" s="7"/>
      <c r="W955" s="34"/>
      <c r="X955" s="39"/>
    </row>
    <row r="956" spans="4:24" x14ac:dyDescent="0.25">
      <c r="D956" s="7"/>
      <c r="E956" s="7"/>
      <c r="F956" s="7"/>
      <c r="G956" s="7"/>
      <c r="H956" s="7"/>
      <c r="I956" s="7"/>
      <c r="J956" s="7"/>
      <c r="K956" s="7"/>
      <c r="W956" s="34"/>
      <c r="X956" s="39"/>
    </row>
    <row r="957" spans="4:24" x14ac:dyDescent="0.25">
      <c r="D957" s="7"/>
      <c r="E957" s="7"/>
      <c r="F957" s="7"/>
      <c r="G957" s="7"/>
      <c r="H957" s="7"/>
      <c r="I957" s="7"/>
      <c r="J957" s="7"/>
      <c r="K957" s="7"/>
      <c r="W957" s="34"/>
      <c r="X957" s="39"/>
    </row>
    <row r="958" spans="4:24" x14ac:dyDescent="0.25">
      <c r="D958" s="7"/>
      <c r="E958" s="7"/>
      <c r="F958" s="7"/>
      <c r="G958" s="7"/>
      <c r="H958" s="7"/>
      <c r="I958" s="7"/>
      <c r="J958" s="7"/>
      <c r="K958" s="7"/>
      <c r="W958" s="34"/>
      <c r="X958" s="39"/>
    </row>
    <row r="959" spans="4:24" x14ac:dyDescent="0.25">
      <c r="D959" s="7"/>
      <c r="E959" s="7"/>
      <c r="F959" s="7"/>
      <c r="G959" s="7"/>
      <c r="H959" s="7"/>
      <c r="I959" s="7"/>
      <c r="J959" s="7"/>
      <c r="K959" s="7"/>
      <c r="W959" s="34"/>
      <c r="X959" s="39"/>
    </row>
    <row r="960" spans="4:24" x14ac:dyDescent="0.25">
      <c r="D960" s="7"/>
      <c r="E960" s="7"/>
      <c r="F960" s="7"/>
      <c r="G960" s="7"/>
      <c r="H960" s="7"/>
      <c r="I960" s="7"/>
      <c r="J960" s="7"/>
      <c r="K960" s="7"/>
      <c r="W960" s="34"/>
      <c r="X960" s="39"/>
    </row>
    <row r="961" spans="4:24" x14ac:dyDescent="0.25">
      <c r="D961" s="7"/>
      <c r="E961" s="7"/>
      <c r="F961" s="7"/>
      <c r="G961" s="7"/>
      <c r="H961" s="7"/>
      <c r="I961" s="7"/>
      <c r="J961" s="7"/>
      <c r="K961" s="7"/>
      <c r="W961" s="34"/>
      <c r="X961" s="39"/>
    </row>
    <row r="962" spans="4:24" x14ac:dyDescent="0.25">
      <c r="D962" s="7"/>
      <c r="E962" s="7"/>
      <c r="F962" s="7"/>
      <c r="G962" s="7"/>
      <c r="H962" s="7"/>
      <c r="I962" s="7"/>
      <c r="J962" s="7"/>
      <c r="K962" s="7"/>
      <c r="W962" s="34"/>
      <c r="X962" s="39"/>
    </row>
    <row r="963" spans="4:24" x14ac:dyDescent="0.25">
      <c r="D963" s="7"/>
      <c r="E963" s="7"/>
      <c r="F963" s="7"/>
      <c r="G963" s="7"/>
      <c r="H963" s="7"/>
      <c r="I963" s="7"/>
      <c r="J963" s="7"/>
      <c r="K963" s="7"/>
      <c r="W963" s="34"/>
      <c r="X963" s="39"/>
    </row>
    <row r="964" spans="4:24" x14ac:dyDescent="0.25">
      <c r="D964" s="7"/>
      <c r="E964" s="7"/>
      <c r="F964" s="7"/>
      <c r="G964" s="7"/>
      <c r="H964" s="7"/>
      <c r="I964" s="7"/>
      <c r="J964" s="7"/>
      <c r="K964" s="7"/>
      <c r="W964" s="34"/>
      <c r="X964" s="39"/>
    </row>
    <row r="965" spans="4:24" x14ac:dyDescent="0.25">
      <c r="D965" s="7"/>
      <c r="E965" s="7"/>
      <c r="F965" s="7"/>
      <c r="G965" s="7"/>
      <c r="H965" s="7"/>
      <c r="I965" s="7"/>
      <c r="J965" s="7"/>
      <c r="K965" s="7"/>
      <c r="W965" s="34"/>
      <c r="X965" s="39"/>
    </row>
    <row r="966" spans="4:24" x14ac:dyDescent="0.25">
      <c r="D966" s="7"/>
      <c r="E966" s="7"/>
      <c r="F966" s="7"/>
      <c r="G966" s="7"/>
      <c r="H966" s="7"/>
      <c r="I966" s="7"/>
      <c r="J966" s="7"/>
      <c r="K966" s="7"/>
      <c r="W966" s="34"/>
      <c r="X966" s="39"/>
    </row>
    <row r="967" spans="4:24" x14ac:dyDescent="0.25">
      <c r="D967" s="7"/>
      <c r="E967" s="7"/>
      <c r="F967" s="7"/>
      <c r="G967" s="7"/>
      <c r="H967" s="7"/>
      <c r="I967" s="7"/>
      <c r="J967" s="7"/>
      <c r="K967" s="7"/>
      <c r="W967" s="34"/>
      <c r="X967" s="39"/>
    </row>
    <row r="968" spans="4:24" x14ac:dyDescent="0.25">
      <c r="D968" s="7"/>
      <c r="E968" s="7"/>
      <c r="F968" s="7"/>
      <c r="G968" s="7"/>
      <c r="H968" s="7"/>
      <c r="I968" s="7"/>
      <c r="J968" s="7"/>
      <c r="K968" s="7"/>
      <c r="W968" s="34"/>
      <c r="X968" s="39"/>
    </row>
    <row r="969" spans="4:24" x14ac:dyDescent="0.25">
      <c r="D969" s="7"/>
      <c r="E969" s="7"/>
      <c r="F969" s="7"/>
      <c r="G969" s="7"/>
      <c r="H969" s="7"/>
      <c r="I969" s="7"/>
      <c r="J969" s="7"/>
      <c r="K969" s="7"/>
      <c r="W969" s="34"/>
      <c r="X969" s="39"/>
    </row>
    <row r="970" spans="4:24" x14ac:dyDescent="0.25">
      <c r="D970" s="7"/>
      <c r="E970" s="7"/>
      <c r="F970" s="7"/>
      <c r="G970" s="7"/>
      <c r="H970" s="7"/>
      <c r="I970" s="7"/>
      <c r="J970" s="7"/>
      <c r="K970" s="7"/>
      <c r="W970" s="34"/>
      <c r="X970" s="39"/>
    </row>
    <row r="971" spans="4:24" x14ac:dyDescent="0.25">
      <c r="D971" s="7"/>
      <c r="E971" s="7"/>
      <c r="F971" s="7"/>
      <c r="G971" s="7"/>
      <c r="H971" s="7"/>
      <c r="I971" s="7"/>
      <c r="J971" s="7"/>
      <c r="K971" s="7"/>
      <c r="W971" s="34"/>
      <c r="X971" s="39"/>
    </row>
    <row r="972" spans="4:24" x14ac:dyDescent="0.25">
      <c r="D972" s="7"/>
      <c r="E972" s="7"/>
      <c r="F972" s="7"/>
      <c r="G972" s="7"/>
      <c r="H972" s="7"/>
      <c r="I972" s="7"/>
      <c r="J972" s="7"/>
      <c r="K972" s="7"/>
      <c r="W972" s="34"/>
      <c r="X972" s="39"/>
    </row>
    <row r="973" spans="4:24" x14ac:dyDescent="0.25">
      <c r="D973" s="7"/>
      <c r="E973" s="7"/>
      <c r="F973" s="7"/>
      <c r="G973" s="7"/>
      <c r="H973" s="7"/>
      <c r="I973" s="7"/>
      <c r="J973" s="7"/>
      <c r="K973" s="7"/>
      <c r="W973" s="34"/>
      <c r="X973" s="39"/>
    </row>
    <row r="974" spans="4:24" x14ac:dyDescent="0.25">
      <c r="D974" s="7"/>
      <c r="E974" s="7"/>
      <c r="F974" s="7"/>
      <c r="G974" s="7"/>
      <c r="H974" s="7"/>
      <c r="I974" s="7"/>
      <c r="J974" s="7"/>
      <c r="K974" s="7"/>
      <c r="W974" s="34"/>
      <c r="X974" s="39"/>
    </row>
    <row r="975" spans="4:24" x14ac:dyDescent="0.25">
      <c r="D975" s="7"/>
      <c r="E975" s="7"/>
      <c r="F975" s="7"/>
      <c r="G975" s="7"/>
      <c r="H975" s="7"/>
      <c r="I975" s="7"/>
      <c r="J975" s="7"/>
      <c r="K975" s="7"/>
      <c r="W975" s="34"/>
      <c r="X975" s="39"/>
    </row>
    <row r="976" spans="4:24" x14ac:dyDescent="0.25">
      <c r="D976" s="7"/>
      <c r="E976" s="7"/>
      <c r="F976" s="7"/>
      <c r="G976" s="7"/>
      <c r="H976" s="7"/>
      <c r="I976" s="7"/>
      <c r="J976" s="7"/>
      <c r="K976" s="7"/>
      <c r="W976" s="34"/>
      <c r="X976" s="39"/>
    </row>
    <row r="977" spans="4:24" x14ac:dyDescent="0.25">
      <c r="D977" s="7"/>
      <c r="E977" s="7"/>
      <c r="F977" s="7"/>
      <c r="G977" s="7"/>
      <c r="H977" s="7"/>
      <c r="I977" s="7"/>
      <c r="J977" s="7"/>
      <c r="K977" s="7"/>
      <c r="W977" s="34"/>
      <c r="X977" s="39"/>
    </row>
    <row r="978" spans="4:24" x14ac:dyDescent="0.25">
      <c r="D978" s="7"/>
      <c r="E978" s="7"/>
      <c r="F978" s="7"/>
      <c r="G978" s="7"/>
      <c r="H978" s="7"/>
      <c r="I978" s="7"/>
      <c r="J978" s="7"/>
      <c r="K978" s="7"/>
      <c r="W978" s="34"/>
      <c r="X978" s="39"/>
    </row>
    <row r="979" spans="4:24" x14ac:dyDescent="0.25">
      <c r="D979" s="7"/>
      <c r="E979" s="7"/>
      <c r="F979" s="7"/>
      <c r="G979" s="7"/>
      <c r="H979" s="7"/>
      <c r="I979" s="7"/>
      <c r="J979" s="7"/>
      <c r="K979" s="7"/>
      <c r="W979" s="34"/>
      <c r="X979" s="39"/>
    </row>
    <row r="980" spans="4:24" x14ac:dyDescent="0.25">
      <c r="D980" s="7"/>
      <c r="E980" s="7"/>
      <c r="F980" s="7"/>
      <c r="G980" s="7"/>
      <c r="H980" s="7"/>
      <c r="I980" s="7"/>
      <c r="J980" s="7"/>
      <c r="K980" s="7"/>
      <c r="W980" s="34"/>
      <c r="X980" s="39"/>
    </row>
    <row r="981" spans="4:24" x14ac:dyDescent="0.25">
      <c r="D981" s="7"/>
      <c r="E981" s="7"/>
      <c r="F981" s="7"/>
      <c r="G981" s="7"/>
      <c r="H981" s="7"/>
      <c r="I981" s="7"/>
      <c r="J981" s="7"/>
      <c r="K981" s="7"/>
      <c r="W981" s="34"/>
      <c r="X981" s="39"/>
    </row>
    <row r="982" spans="4:24" x14ac:dyDescent="0.25">
      <c r="D982" s="7"/>
      <c r="E982" s="7"/>
      <c r="F982" s="7"/>
      <c r="G982" s="7"/>
      <c r="H982" s="7"/>
      <c r="I982" s="7"/>
      <c r="J982" s="7"/>
      <c r="K982" s="7"/>
      <c r="W982" s="34"/>
      <c r="X982" s="39"/>
    </row>
    <row r="983" spans="4:24" x14ac:dyDescent="0.25">
      <c r="D983" s="7"/>
      <c r="E983" s="7"/>
      <c r="F983" s="7"/>
      <c r="G983" s="7"/>
      <c r="H983" s="7"/>
      <c r="I983" s="7"/>
      <c r="J983" s="7"/>
      <c r="K983" s="7"/>
      <c r="W983" s="34"/>
      <c r="X983" s="39"/>
    </row>
    <row r="984" spans="4:24" x14ac:dyDescent="0.25">
      <c r="D984" s="7"/>
      <c r="E984" s="7"/>
      <c r="F984" s="7"/>
      <c r="G984" s="7"/>
      <c r="H984" s="7"/>
      <c r="I984" s="7"/>
      <c r="J984" s="7"/>
      <c r="K984" s="7"/>
      <c r="W984" s="34"/>
      <c r="X984" s="39"/>
    </row>
    <row r="985" spans="4:24" x14ac:dyDescent="0.25">
      <c r="D985" s="7"/>
      <c r="E985" s="7"/>
      <c r="F985" s="7"/>
      <c r="G985" s="7"/>
      <c r="H985" s="7"/>
      <c r="I985" s="7"/>
      <c r="J985" s="7"/>
      <c r="K985" s="7"/>
      <c r="W985" s="34"/>
      <c r="X985" s="39"/>
    </row>
    <row r="986" spans="4:24" x14ac:dyDescent="0.25">
      <c r="D986" s="7"/>
      <c r="E986" s="7"/>
      <c r="F986" s="7"/>
      <c r="G986" s="7"/>
      <c r="H986" s="7"/>
      <c r="I986" s="7"/>
      <c r="J986" s="7"/>
      <c r="K986" s="7"/>
      <c r="W986" s="34"/>
      <c r="X986" s="39"/>
    </row>
    <row r="987" spans="4:24" x14ac:dyDescent="0.25">
      <c r="D987" s="7"/>
      <c r="E987" s="7"/>
      <c r="F987" s="7"/>
      <c r="G987" s="7"/>
      <c r="H987" s="7"/>
      <c r="I987" s="7"/>
      <c r="J987" s="7"/>
      <c r="K987" s="7"/>
      <c r="W987" s="34"/>
      <c r="X987" s="39"/>
    </row>
    <row r="988" spans="4:24" x14ac:dyDescent="0.25">
      <c r="D988" s="7"/>
      <c r="E988" s="7"/>
      <c r="F988" s="7"/>
      <c r="G988" s="7"/>
      <c r="H988" s="7"/>
      <c r="I988" s="7"/>
      <c r="J988" s="7"/>
      <c r="K988" s="7"/>
      <c r="W988" s="34"/>
      <c r="X988" s="39"/>
    </row>
    <row r="989" spans="4:24" x14ac:dyDescent="0.25">
      <c r="D989" s="7"/>
      <c r="E989" s="7"/>
      <c r="F989" s="7"/>
      <c r="G989" s="7"/>
      <c r="H989" s="7"/>
      <c r="I989" s="7"/>
      <c r="J989" s="7"/>
      <c r="K989" s="7"/>
      <c r="W989" s="34"/>
      <c r="X989" s="39"/>
    </row>
    <row r="990" spans="4:24" x14ac:dyDescent="0.25">
      <c r="D990" s="7"/>
      <c r="E990" s="7"/>
      <c r="F990" s="7"/>
      <c r="G990" s="7"/>
      <c r="H990" s="7"/>
      <c r="I990" s="7"/>
      <c r="J990" s="7"/>
      <c r="K990" s="7"/>
      <c r="W990" s="34"/>
      <c r="X990" s="39"/>
    </row>
    <row r="991" spans="4:24" x14ac:dyDescent="0.25">
      <c r="D991" s="7"/>
      <c r="E991" s="7"/>
      <c r="F991" s="7"/>
      <c r="G991" s="7"/>
      <c r="H991" s="7"/>
      <c r="I991" s="7"/>
      <c r="J991" s="7"/>
      <c r="K991" s="7"/>
      <c r="W991" s="34"/>
      <c r="X991" s="39"/>
    </row>
    <row r="992" spans="4:24" x14ac:dyDescent="0.25">
      <c r="D992" s="7"/>
      <c r="E992" s="7"/>
      <c r="F992" s="7"/>
      <c r="G992" s="7"/>
      <c r="H992" s="7"/>
      <c r="I992" s="7"/>
      <c r="J992" s="7"/>
      <c r="K992" s="7"/>
      <c r="W992" s="34"/>
      <c r="X992" s="39"/>
    </row>
    <row r="993" spans="4:24" x14ac:dyDescent="0.25">
      <c r="D993" s="7"/>
      <c r="E993" s="7"/>
      <c r="F993" s="7"/>
      <c r="G993" s="7"/>
      <c r="H993" s="7"/>
      <c r="I993" s="7"/>
      <c r="J993" s="7"/>
      <c r="K993" s="7"/>
      <c r="W993" s="34"/>
      <c r="X993" s="39"/>
    </row>
    <row r="994" spans="4:24" x14ac:dyDescent="0.25">
      <c r="D994" s="7"/>
      <c r="E994" s="7"/>
      <c r="F994" s="7"/>
      <c r="G994" s="7"/>
      <c r="H994" s="7"/>
      <c r="I994" s="7"/>
      <c r="J994" s="7"/>
      <c r="K994" s="7"/>
      <c r="W994" s="34"/>
      <c r="X994" s="39"/>
    </row>
    <row r="995" spans="4:24" x14ac:dyDescent="0.25">
      <c r="D995" s="7"/>
      <c r="E995" s="7"/>
      <c r="F995" s="7"/>
      <c r="G995" s="7"/>
      <c r="H995" s="7"/>
      <c r="I995" s="7"/>
      <c r="J995" s="7"/>
      <c r="K995" s="7"/>
      <c r="W995" s="34"/>
      <c r="X995" s="39"/>
    </row>
    <row r="996" spans="4:24" x14ac:dyDescent="0.25">
      <c r="D996" s="7"/>
      <c r="E996" s="7"/>
      <c r="F996" s="7"/>
      <c r="G996" s="7"/>
      <c r="H996" s="7"/>
      <c r="I996" s="7"/>
      <c r="J996" s="7"/>
      <c r="K996" s="7"/>
      <c r="W996" s="34"/>
      <c r="X996" s="39"/>
    </row>
    <row r="997" spans="4:24" x14ac:dyDescent="0.25">
      <c r="D997" s="7"/>
      <c r="E997" s="7"/>
      <c r="F997" s="7"/>
      <c r="G997" s="7"/>
      <c r="H997" s="7"/>
      <c r="I997" s="7"/>
      <c r="J997" s="7"/>
      <c r="K997" s="7"/>
      <c r="W997" s="34"/>
      <c r="X997" s="39"/>
    </row>
    <row r="998" spans="4:24" x14ac:dyDescent="0.25">
      <c r="D998" s="7"/>
      <c r="E998" s="7"/>
      <c r="F998" s="7"/>
      <c r="G998" s="7"/>
      <c r="H998" s="7"/>
      <c r="I998" s="7"/>
      <c r="J998" s="7"/>
      <c r="K998" s="7"/>
      <c r="W998" s="34"/>
      <c r="X998" s="39"/>
    </row>
    <row r="999" spans="4:24" x14ac:dyDescent="0.25">
      <c r="D999" s="7"/>
      <c r="E999" s="7"/>
      <c r="F999" s="7"/>
      <c r="G999" s="7"/>
      <c r="H999" s="7"/>
      <c r="I999" s="7"/>
      <c r="J999" s="7"/>
      <c r="K999" s="7"/>
      <c r="W999" s="34"/>
      <c r="X999" s="39"/>
    </row>
    <row r="1000" spans="4:24" x14ac:dyDescent="0.25">
      <c r="D1000" s="7"/>
      <c r="E1000" s="7"/>
      <c r="F1000" s="7"/>
      <c r="G1000" s="7"/>
      <c r="H1000" s="7"/>
      <c r="I1000" s="7"/>
      <c r="J1000" s="7"/>
      <c r="K1000" s="7"/>
      <c r="W1000" s="34"/>
      <c r="X1000" s="39"/>
    </row>
    <row r="1001" spans="4:24" x14ac:dyDescent="0.25">
      <c r="D1001" s="7"/>
      <c r="E1001" s="7"/>
      <c r="F1001" s="7"/>
      <c r="G1001" s="7"/>
      <c r="H1001" s="7"/>
      <c r="I1001" s="7"/>
      <c r="J1001" s="7"/>
      <c r="K1001" s="7"/>
      <c r="W1001" s="34"/>
      <c r="X1001" s="39"/>
    </row>
    <row r="1002" spans="4:24" x14ac:dyDescent="0.25">
      <c r="D1002" s="7"/>
      <c r="E1002" s="7"/>
      <c r="F1002" s="7"/>
      <c r="G1002" s="7"/>
      <c r="H1002" s="7"/>
      <c r="I1002" s="7"/>
      <c r="J1002" s="7"/>
      <c r="K1002" s="7"/>
      <c r="W1002" s="34"/>
      <c r="X1002" s="39"/>
    </row>
    <row r="1003" spans="4:24" x14ac:dyDescent="0.25">
      <c r="D1003" s="7"/>
      <c r="E1003" s="7"/>
      <c r="F1003" s="7"/>
      <c r="G1003" s="7"/>
      <c r="H1003" s="7"/>
      <c r="I1003" s="7"/>
      <c r="J1003" s="7"/>
      <c r="K1003" s="7"/>
      <c r="W1003" s="34"/>
      <c r="X1003" s="39"/>
    </row>
    <row r="1004" spans="4:24" x14ac:dyDescent="0.25">
      <c r="D1004" s="7"/>
      <c r="E1004" s="7"/>
      <c r="F1004" s="7"/>
      <c r="G1004" s="7"/>
      <c r="H1004" s="7"/>
      <c r="I1004" s="7"/>
      <c r="J1004" s="7"/>
      <c r="K1004" s="7"/>
      <c r="W1004" s="34"/>
      <c r="X1004" s="39"/>
    </row>
    <row r="1005" spans="4:24" x14ac:dyDescent="0.25">
      <c r="D1005" s="7"/>
      <c r="E1005" s="7"/>
      <c r="F1005" s="7"/>
      <c r="G1005" s="7"/>
      <c r="H1005" s="7"/>
      <c r="I1005" s="7"/>
      <c r="J1005" s="7"/>
      <c r="K1005" s="7"/>
      <c r="W1005" s="34"/>
      <c r="X1005" s="39"/>
    </row>
    <row r="1006" spans="4:24" x14ac:dyDescent="0.25">
      <c r="D1006" s="7"/>
      <c r="E1006" s="7"/>
      <c r="F1006" s="7"/>
      <c r="G1006" s="7"/>
      <c r="H1006" s="7"/>
      <c r="I1006" s="7"/>
      <c r="J1006" s="7"/>
      <c r="K1006" s="7"/>
      <c r="W1006" s="34"/>
      <c r="X1006" s="39"/>
    </row>
    <row r="1007" spans="4:24" x14ac:dyDescent="0.25">
      <c r="D1007" s="7"/>
      <c r="E1007" s="7"/>
      <c r="F1007" s="7"/>
      <c r="G1007" s="7"/>
      <c r="H1007" s="7"/>
      <c r="I1007" s="7"/>
      <c r="J1007" s="7"/>
      <c r="K1007" s="7"/>
      <c r="W1007" s="34"/>
      <c r="X1007" s="39"/>
    </row>
    <row r="1008" spans="4:24" x14ac:dyDescent="0.25">
      <c r="D1008" s="7"/>
      <c r="E1008" s="7"/>
      <c r="F1008" s="7"/>
      <c r="G1008" s="7"/>
      <c r="H1008" s="7"/>
      <c r="I1008" s="7"/>
      <c r="J1008" s="7"/>
      <c r="K1008" s="7"/>
      <c r="W1008" s="34"/>
      <c r="X1008" s="39"/>
    </row>
    <row r="1009" spans="4:24" x14ac:dyDescent="0.25">
      <c r="D1009" s="7"/>
      <c r="E1009" s="7"/>
      <c r="F1009" s="7"/>
      <c r="G1009" s="7"/>
      <c r="H1009" s="7"/>
      <c r="I1009" s="7"/>
      <c r="J1009" s="7"/>
      <c r="K1009" s="7"/>
      <c r="W1009" s="34"/>
      <c r="X1009" s="39"/>
    </row>
    <row r="1010" spans="4:24" x14ac:dyDescent="0.25">
      <c r="D1010" s="7"/>
      <c r="E1010" s="7"/>
      <c r="F1010" s="7"/>
      <c r="G1010" s="7"/>
      <c r="H1010" s="7"/>
      <c r="I1010" s="7"/>
      <c r="J1010" s="7"/>
      <c r="K1010" s="7"/>
      <c r="W1010" s="34"/>
      <c r="X1010" s="39"/>
    </row>
    <row r="1011" spans="4:24" x14ac:dyDescent="0.25">
      <c r="D1011" s="7"/>
      <c r="E1011" s="7"/>
      <c r="F1011" s="7"/>
      <c r="G1011" s="7"/>
      <c r="H1011" s="7"/>
      <c r="I1011" s="7"/>
      <c r="J1011" s="7"/>
      <c r="K1011" s="7"/>
      <c r="W1011" s="34"/>
      <c r="X1011" s="39"/>
    </row>
    <row r="1012" spans="4:24" x14ac:dyDescent="0.25">
      <c r="D1012" s="7"/>
      <c r="E1012" s="7"/>
      <c r="F1012" s="7"/>
      <c r="G1012" s="7"/>
      <c r="H1012" s="7"/>
      <c r="I1012" s="7"/>
      <c r="J1012" s="7"/>
      <c r="K1012" s="7"/>
      <c r="W1012" s="34"/>
      <c r="X1012" s="39"/>
    </row>
    <row r="1013" spans="4:24" x14ac:dyDescent="0.25">
      <c r="D1013" s="7"/>
      <c r="E1013" s="7"/>
      <c r="F1013" s="7"/>
      <c r="G1013" s="7"/>
      <c r="H1013" s="7"/>
      <c r="I1013" s="7"/>
      <c r="J1013" s="7"/>
      <c r="K1013" s="7"/>
      <c r="W1013" s="34"/>
      <c r="X1013" s="39"/>
    </row>
    <row r="1014" spans="4:24" x14ac:dyDescent="0.25">
      <c r="D1014" s="7"/>
      <c r="E1014" s="7"/>
      <c r="F1014" s="7"/>
      <c r="G1014" s="7"/>
      <c r="H1014" s="7"/>
      <c r="I1014" s="7"/>
      <c r="J1014" s="7"/>
      <c r="K1014" s="7"/>
      <c r="W1014" s="34"/>
      <c r="X1014" s="39"/>
    </row>
    <row r="1015" spans="4:24" x14ac:dyDescent="0.25">
      <c r="D1015" s="7"/>
      <c r="E1015" s="7"/>
      <c r="F1015" s="7"/>
      <c r="G1015" s="7"/>
      <c r="H1015" s="7"/>
      <c r="I1015" s="7"/>
      <c r="J1015" s="7"/>
      <c r="K1015" s="7"/>
      <c r="W1015" s="34"/>
      <c r="X1015" s="39"/>
    </row>
    <row r="1016" spans="4:24" x14ac:dyDescent="0.25">
      <c r="D1016" s="7"/>
      <c r="E1016" s="7"/>
      <c r="F1016" s="7"/>
      <c r="G1016" s="7"/>
      <c r="H1016" s="7"/>
      <c r="I1016" s="7"/>
      <c r="J1016" s="7"/>
      <c r="K1016" s="7"/>
      <c r="W1016" s="34"/>
      <c r="X1016" s="39"/>
    </row>
    <row r="1017" spans="4:24" x14ac:dyDescent="0.25">
      <c r="D1017" s="7"/>
      <c r="E1017" s="7"/>
      <c r="F1017" s="7"/>
      <c r="G1017" s="7"/>
      <c r="H1017" s="7"/>
      <c r="I1017" s="7"/>
      <c r="J1017" s="7"/>
      <c r="K1017" s="7"/>
      <c r="W1017" s="34"/>
      <c r="X1017" s="39"/>
    </row>
    <row r="1018" spans="4:24" x14ac:dyDescent="0.25">
      <c r="D1018" s="7"/>
      <c r="E1018" s="7"/>
      <c r="F1018" s="7"/>
      <c r="G1018" s="7"/>
      <c r="H1018" s="7"/>
      <c r="I1018" s="7"/>
      <c r="J1018" s="7"/>
      <c r="K1018" s="7"/>
      <c r="W1018" s="34"/>
      <c r="X1018" s="39"/>
    </row>
    <row r="1019" spans="4:24" x14ac:dyDescent="0.25">
      <c r="D1019" s="7"/>
      <c r="E1019" s="7"/>
      <c r="F1019" s="7"/>
      <c r="G1019" s="7"/>
      <c r="H1019" s="7"/>
      <c r="I1019" s="7"/>
      <c r="J1019" s="7"/>
      <c r="K1019" s="7"/>
      <c r="W1019" s="34"/>
      <c r="X1019" s="39"/>
    </row>
    <row r="1020" spans="4:24" x14ac:dyDescent="0.25">
      <c r="D1020" s="7"/>
      <c r="E1020" s="7"/>
      <c r="F1020" s="7"/>
      <c r="G1020" s="7"/>
      <c r="H1020" s="7"/>
      <c r="I1020" s="7"/>
      <c r="J1020" s="7"/>
      <c r="K1020" s="7"/>
      <c r="W1020" s="34"/>
      <c r="X1020" s="39"/>
    </row>
    <row r="1021" spans="4:24" x14ac:dyDescent="0.25">
      <c r="D1021" s="7"/>
      <c r="E1021" s="7"/>
      <c r="F1021" s="7"/>
      <c r="G1021" s="7"/>
      <c r="H1021" s="7"/>
      <c r="I1021" s="7"/>
      <c r="J1021" s="7"/>
      <c r="K1021" s="7"/>
      <c r="W1021" s="34"/>
      <c r="X1021" s="39"/>
    </row>
    <row r="1022" spans="4:24" x14ac:dyDescent="0.25">
      <c r="D1022" s="7"/>
      <c r="E1022" s="7"/>
      <c r="F1022" s="7"/>
      <c r="G1022" s="7"/>
      <c r="H1022" s="7"/>
      <c r="I1022" s="7"/>
      <c r="J1022" s="7"/>
      <c r="K1022" s="7"/>
      <c r="W1022" s="34"/>
      <c r="X1022" s="39"/>
    </row>
    <row r="1023" spans="4:24" x14ac:dyDescent="0.25">
      <c r="D1023" s="7"/>
      <c r="E1023" s="7"/>
      <c r="F1023" s="7"/>
      <c r="G1023" s="7"/>
      <c r="H1023" s="7"/>
      <c r="I1023" s="7"/>
      <c r="J1023" s="7"/>
      <c r="K1023" s="7"/>
      <c r="W1023" s="34"/>
      <c r="X1023" s="39"/>
    </row>
    <row r="1024" spans="4:24" x14ac:dyDescent="0.25">
      <c r="D1024" s="7"/>
      <c r="E1024" s="7"/>
      <c r="F1024" s="7"/>
      <c r="G1024" s="7"/>
      <c r="H1024" s="7"/>
      <c r="I1024" s="7"/>
      <c r="J1024" s="7"/>
      <c r="K1024" s="7"/>
      <c r="W1024" s="34"/>
      <c r="X1024" s="39"/>
    </row>
    <row r="1025" spans="4:24" x14ac:dyDescent="0.25">
      <c r="D1025" s="7"/>
      <c r="E1025" s="7"/>
      <c r="F1025" s="7"/>
      <c r="G1025" s="7"/>
      <c r="H1025" s="7"/>
      <c r="I1025" s="7"/>
      <c r="J1025" s="7"/>
      <c r="K1025" s="7"/>
      <c r="W1025" s="34"/>
      <c r="X1025" s="39"/>
    </row>
    <row r="1026" spans="4:24" x14ac:dyDescent="0.25">
      <c r="D1026" s="7"/>
      <c r="E1026" s="7"/>
      <c r="F1026" s="7"/>
      <c r="G1026" s="7"/>
      <c r="H1026" s="7"/>
      <c r="I1026" s="7"/>
      <c r="J1026" s="7"/>
      <c r="K1026" s="7"/>
      <c r="W1026" s="34"/>
      <c r="X1026" s="39"/>
    </row>
    <row r="1027" spans="4:24" x14ac:dyDescent="0.25">
      <c r="D1027" s="7"/>
      <c r="E1027" s="7"/>
      <c r="F1027" s="7"/>
      <c r="G1027" s="7"/>
      <c r="H1027" s="7"/>
      <c r="I1027" s="7"/>
      <c r="J1027" s="7"/>
      <c r="K1027" s="7"/>
      <c r="W1027" s="34"/>
      <c r="X1027" s="39"/>
    </row>
    <row r="1028" spans="4:24" x14ac:dyDescent="0.25">
      <c r="D1028" s="7"/>
      <c r="E1028" s="7"/>
      <c r="F1028" s="7"/>
      <c r="G1028" s="7"/>
      <c r="H1028" s="7"/>
      <c r="I1028" s="7"/>
      <c r="J1028" s="7"/>
      <c r="K1028" s="7"/>
      <c r="W1028" s="34"/>
      <c r="X1028" s="39"/>
    </row>
    <row r="1029" spans="4:24" x14ac:dyDescent="0.25">
      <c r="D1029" s="7"/>
      <c r="E1029" s="7"/>
      <c r="F1029" s="7"/>
      <c r="G1029" s="7"/>
      <c r="H1029" s="7"/>
      <c r="I1029" s="7"/>
      <c r="J1029" s="7"/>
      <c r="K1029" s="7"/>
      <c r="W1029" s="34"/>
      <c r="X1029" s="39"/>
    </row>
    <row r="1030" spans="4:24" x14ac:dyDescent="0.25">
      <c r="D1030" s="7"/>
      <c r="E1030" s="7"/>
      <c r="F1030" s="7"/>
      <c r="G1030" s="7"/>
      <c r="H1030" s="7"/>
      <c r="I1030" s="7"/>
      <c r="J1030" s="7"/>
      <c r="K1030" s="7"/>
      <c r="W1030" s="34"/>
      <c r="X1030" s="39"/>
    </row>
    <row r="1031" spans="4:24" x14ac:dyDescent="0.25">
      <c r="D1031" s="7"/>
      <c r="E1031" s="7"/>
      <c r="F1031" s="7"/>
      <c r="G1031" s="7"/>
      <c r="H1031" s="7"/>
      <c r="I1031" s="7"/>
      <c r="J1031" s="7"/>
      <c r="K1031" s="7"/>
      <c r="W1031" s="34"/>
      <c r="X1031" s="39"/>
    </row>
    <row r="1032" spans="4:24" x14ac:dyDescent="0.25">
      <c r="D1032" s="7"/>
      <c r="E1032" s="7"/>
      <c r="F1032" s="7"/>
      <c r="G1032" s="7"/>
      <c r="H1032" s="7"/>
      <c r="I1032" s="7"/>
      <c r="J1032" s="7"/>
      <c r="K1032" s="7"/>
      <c r="W1032" s="34"/>
      <c r="X1032" s="39"/>
    </row>
    <row r="1033" spans="4:24" x14ac:dyDescent="0.25">
      <c r="D1033" s="7"/>
      <c r="E1033" s="7"/>
      <c r="F1033" s="7"/>
      <c r="G1033" s="7"/>
      <c r="H1033" s="7"/>
      <c r="I1033" s="7"/>
      <c r="J1033" s="7"/>
      <c r="K1033" s="7"/>
      <c r="W1033" s="34"/>
      <c r="X1033" s="39"/>
    </row>
    <row r="1034" spans="4:24" x14ac:dyDescent="0.25">
      <c r="D1034" s="7"/>
      <c r="E1034" s="7"/>
      <c r="F1034" s="7"/>
      <c r="G1034" s="7"/>
      <c r="H1034" s="7"/>
      <c r="I1034" s="7"/>
      <c r="J1034" s="7"/>
      <c r="K1034" s="7"/>
      <c r="W1034" s="34"/>
      <c r="X1034" s="39"/>
    </row>
    <row r="1035" spans="4:24" x14ac:dyDescent="0.25">
      <c r="D1035" s="7"/>
      <c r="E1035" s="7"/>
      <c r="F1035" s="7"/>
      <c r="G1035" s="7"/>
      <c r="H1035" s="7"/>
      <c r="I1035" s="7"/>
      <c r="J1035" s="7"/>
      <c r="K1035" s="7"/>
      <c r="W1035" s="34"/>
      <c r="X1035" s="39"/>
    </row>
    <row r="1036" spans="4:24" x14ac:dyDescent="0.25">
      <c r="D1036" s="7"/>
      <c r="E1036" s="7"/>
      <c r="F1036" s="7"/>
      <c r="G1036" s="7"/>
      <c r="H1036" s="7"/>
      <c r="I1036" s="7"/>
      <c r="J1036" s="7"/>
      <c r="K1036" s="7"/>
      <c r="W1036" s="34"/>
      <c r="X1036" s="39"/>
    </row>
    <row r="1037" spans="4:24" x14ac:dyDescent="0.25">
      <c r="D1037" s="7"/>
      <c r="E1037" s="7"/>
      <c r="F1037" s="7"/>
      <c r="G1037" s="7"/>
      <c r="H1037" s="7"/>
      <c r="I1037" s="7"/>
      <c r="J1037" s="7"/>
      <c r="K1037" s="7"/>
      <c r="W1037" s="34"/>
      <c r="X1037" s="39"/>
    </row>
    <row r="1038" spans="4:24" x14ac:dyDescent="0.25">
      <c r="D1038" s="7"/>
      <c r="E1038" s="7"/>
      <c r="F1038" s="7"/>
      <c r="G1038" s="7"/>
      <c r="H1038" s="7"/>
      <c r="I1038" s="7"/>
      <c r="J1038" s="7"/>
      <c r="K1038" s="7"/>
      <c r="W1038" s="34"/>
      <c r="X1038" s="39"/>
    </row>
    <row r="1039" spans="4:24" x14ac:dyDescent="0.25">
      <c r="D1039" s="7"/>
      <c r="E1039" s="7"/>
      <c r="F1039" s="7"/>
      <c r="G1039" s="7"/>
      <c r="H1039" s="7"/>
      <c r="I1039" s="7"/>
      <c r="J1039" s="7"/>
      <c r="K1039" s="7"/>
      <c r="W1039" s="34"/>
      <c r="X1039" s="39"/>
    </row>
    <row r="1040" spans="4:24" x14ac:dyDescent="0.25">
      <c r="D1040" s="7"/>
      <c r="E1040" s="7"/>
      <c r="F1040" s="7"/>
      <c r="G1040" s="7"/>
      <c r="H1040" s="7"/>
      <c r="I1040" s="7"/>
      <c r="J1040" s="7"/>
      <c r="K1040" s="7"/>
      <c r="W1040" s="34"/>
      <c r="X1040" s="39"/>
    </row>
    <row r="1041" spans="4:24" x14ac:dyDescent="0.25">
      <c r="D1041" s="7"/>
      <c r="E1041" s="7"/>
      <c r="F1041" s="7"/>
      <c r="G1041" s="7"/>
      <c r="H1041" s="7"/>
      <c r="I1041" s="7"/>
      <c r="J1041" s="7"/>
      <c r="K1041" s="7"/>
      <c r="W1041" s="34"/>
      <c r="X1041" s="39"/>
    </row>
    <row r="1042" spans="4:24" x14ac:dyDescent="0.25">
      <c r="D1042" s="7"/>
      <c r="E1042" s="7"/>
      <c r="F1042" s="7"/>
      <c r="G1042" s="7"/>
      <c r="H1042" s="7"/>
      <c r="I1042" s="7"/>
      <c r="J1042" s="7"/>
      <c r="K1042" s="7"/>
      <c r="W1042" s="34"/>
      <c r="X1042" s="39"/>
    </row>
    <row r="1043" spans="4:24" x14ac:dyDescent="0.25">
      <c r="D1043" s="7"/>
      <c r="E1043" s="7"/>
      <c r="F1043" s="7"/>
      <c r="G1043" s="7"/>
      <c r="H1043" s="7"/>
      <c r="I1043" s="7"/>
      <c r="J1043" s="7"/>
      <c r="K1043" s="7"/>
      <c r="W1043" s="34"/>
      <c r="X1043" s="39"/>
    </row>
    <row r="1044" spans="4:24" x14ac:dyDescent="0.25">
      <c r="D1044" s="7"/>
      <c r="E1044" s="7"/>
      <c r="F1044" s="7"/>
      <c r="G1044" s="7"/>
      <c r="H1044" s="7"/>
      <c r="I1044" s="7"/>
      <c r="J1044" s="7"/>
      <c r="K1044" s="7"/>
      <c r="W1044" s="34"/>
      <c r="X1044" s="39"/>
    </row>
    <row r="1045" spans="4:24" x14ac:dyDescent="0.25">
      <c r="D1045" s="7"/>
      <c r="E1045" s="7"/>
      <c r="F1045" s="7"/>
      <c r="G1045" s="7"/>
      <c r="H1045" s="7"/>
      <c r="I1045" s="7"/>
      <c r="J1045" s="7"/>
      <c r="K1045" s="7"/>
      <c r="W1045" s="34"/>
      <c r="X1045" s="39"/>
    </row>
    <row r="1046" spans="4:24" x14ac:dyDescent="0.25">
      <c r="D1046" s="7"/>
      <c r="E1046" s="7"/>
      <c r="F1046" s="7"/>
      <c r="G1046" s="7"/>
      <c r="H1046" s="7"/>
      <c r="I1046" s="7"/>
      <c r="J1046" s="7"/>
      <c r="K1046" s="7"/>
      <c r="W1046" s="34"/>
      <c r="X1046" s="39"/>
    </row>
    <row r="1047" spans="4:24" x14ac:dyDescent="0.25">
      <c r="D1047" s="7"/>
      <c r="E1047" s="7"/>
      <c r="F1047" s="7"/>
      <c r="G1047" s="7"/>
      <c r="H1047" s="7"/>
      <c r="I1047" s="7"/>
      <c r="J1047" s="7"/>
      <c r="K1047" s="7"/>
      <c r="W1047" s="34"/>
      <c r="X1047" s="39"/>
    </row>
    <row r="1048" spans="4:24" x14ac:dyDescent="0.25">
      <c r="D1048" s="7"/>
      <c r="E1048" s="7"/>
      <c r="F1048" s="7"/>
      <c r="G1048" s="7"/>
      <c r="H1048" s="7"/>
      <c r="I1048" s="7"/>
      <c r="J1048" s="7"/>
      <c r="K1048" s="7"/>
      <c r="W1048" s="34"/>
      <c r="X1048" s="39"/>
    </row>
    <row r="1049" spans="4:24" x14ac:dyDescent="0.25">
      <c r="D1049" s="7"/>
      <c r="E1049" s="7"/>
      <c r="F1049" s="7"/>
      <c r="G1049" s="7"/>
      <c r="H1049" s="7"/>
      <c r="I1049" s="7"/>
      <c r="J1049" s="7"/>
      <c r="K1049" s="7"/>
      <c r="W1049" s="34"/>
      <c r="X1049" s="39"/>
    </row>
    <row r="1050" spans="4:24" x14ac:dyDescent="0.25">
      <c r="D1050" s="7"/>
      <c r="E1050" s="7"/>
      <c r="F1050" s="7"/>
      <c r="G1050" s="7"/>
      <c r="H1050" s="7"/>
      <c r="I1050" s="7"/>
      <c r="J1050" s="7"/>
      <c r="K1050" s="7"/>
      <c r="W1050" s="34"/>
      <c r="X1050" s="39"/>
    </row>
    <row r="1051" spans="4:24" x14ac:dyDescent="0.25">
      <c r="D1051" s="7"/>
      <c r="E1051" s="7"/>
      <c r="F1051" s="7"/>
      <c r="G1051" s="7"/>
      <c r="H1051" s="7"/>
      <c r="I1051" s="7"/>
      <c r="J1051" s="7"/>
      <c r="K1051" s="7"/>
      <c r="W1051" s="34"/>
      <c r="X1051" s="39"/>
    </row>
    <row r="1052" spans="4:24" x14ac:dyDescent="0.25">
      <c r="D1052" s="7"/>
      <c r="E1052" s="7"/>
      <c r="F1052" s="7"/>
      <c r="G1052" s="7"/>
      <c r="H1052" s="7"/>
      <c r="I1052" s="7"/>
      <c r="J1052" s="7"/>
      <c r="K1052" s="7"/>
      <c r="W1052" s="34"/>
      <c r="X1052" s="39"/>
    </row>
    <row r="1053" spans="4:24" x14ac:dyDescent="0.25">
      <c r="D1053" s="7"/>
      <c r="E1053" s="7"/>
      <c r="F1053" s="7"/>
      <c r="G1053" s="7"/>
      <c r="H1053" s="7"/>
      <c r="I1053" s="7"/>
      <c r="J1053" s="7"/>
      <c r="K1053" s="7"/>
      <c r="W1053" s="34"/>
      <c r="X1053" s="39"/>
    </row>
    <row r="1054" spans="4:24" x14ac:dyDescent="0.25">
      <c r="D1054" s="7"/>
      <c r="E1054" s="7"/>
      <c r="F1054" s="7"/>
      <c r="G1054" s="7"/>
      <c r="H1054" s="7"/>
      <c r="I1054" s="7"/>
      <c r="J1054" s="7"/>
      <c r="K1054" s="7"/>
      <c r="W1054" s="34"/>
      <c r="X1054" s="39"/>
    </row>
    <row r="1055" spans="4:24" x14ac:dyDescent="0.25">
      <c r="D1055" s="7"/>
      <c r="E1055" s="7"/>
      <c r="F1055" s="7"/>
      <c r="G1055" s="7"/>
      <c r="H1055" s="7"/>
      <c r="I1055" s="7"/>
      <c r="J1055" s="7"/>
      <c r="K1055" s="7"/>
      <c r="W1055" s="34"/>
      <c r="X1055" s="39"/>
    </row>
    <row r="1056" spans="4:24" x14ac:dyDescent="0.25">
      <c r="D1056" s="7"/>
      <c r="E1056" s="7"/>
      <c r="F1056" s="7"/>
      <c r="G1056" s="7"/>
      <c r="H1056" s="7"/>
      <c r="I1056" s="7"/>
      <c r="J1056" s="7"/>
      <c r="K1056" s="7"/>
      <c r="W1056" s="34"/>
      <c r="X1056" s="39"/>
    </row>
    <row r="1057" spans="4:24" x14ac:dyDescent="0.25">
      <c r="D1057" s="7"/>
      <c r="E1057" s="7"/>
      <c r="F1057" s="7"/>
      <c r="G1057" s="7"/>
      <c r="H1057" s="7"/>
      <c r="I1057" s="7"/>
      <c r="J1057" s="7"/>
      <c r="K1057" s="7"/>
      <c r="W1057" s="34"/>
      <c r="X1057" s="39"/>
    </row>
    <row r="1058" spans="4:24" x14ac:dyDescent="0.25">
      <c r="D1058" s="7"/>
      <c r="E1058" s="7"/>
      <c r="F1058" s="7"/>
      <c r="G1058" s="7"/>
      <c r="H1058" s="7"/>
      <c r="I1058" s="7"/>
      <c r="J1058" s="7"/>
      <c r="K1058" s="7"/>
      <c r="W1058" s="34"/>
      <c r="X1058" s="39"/>
    </row>
    <row r="1059" spans="4:24" x14ac:dyDescent="0.25">
      <c r="D1059" s="7"/>
      <c r="E1059" s="7"/>
      <c r="F1059" s="7"/>
      <c r="G1059" s="7"/>
      <c r="H1059" s="7"/>
      <c r="I1059" s="7"/>
      <c r="J1059" s="7"/>
      <c r="K1059" s="7"/>
      <c r="W1059" s="34"/>
      <c r="X1059" s="39"/>
    </row>
    <row r="1060" spans="4:24" x14ac:dyDescent="0.25">
      <c r="D1060" s="7"/>
      <c r="E1060" s="7"/>
      <c r="F1060" s="7"/>
      <c r="G1060" s="7"/>
      <c r="H1060" s="7"/>
      <c r="I1060" s="7"/>
      <c r="J1060" s="7"/>
      <c r="K1060" s="7"/>
      <c r="W1060" s="34"/>
      <c r="X1060" s="39"/>
    </row>
    <row r="1061" spans="4:24" x14ac:dyDescent="0.25">
      <c r="D1061" s="7"/>
      <c r="E1061" s="7"/>
      <c r="F1061" s="7"/>
      <c r="G1061" s="7"/>
      <c r="H1061" s="7"/>
      <c r="I1061" s="7"/>
      <c r="J1061" s="7"/>
      <c r="K1061" s="7"/>
      <c r="W1061" s="34"/>
      <c r="X1061" s="39"/>
    </row>
    <row r="1062" spans="4:24" x14ac:dyDescent="0.25">
      <c r="D1062" s="7"/>
      <c r="E1062" s="7"/>
      <c r="F1062" s="7"/>
      <c r="G1062" s="7"/>
      <c r="H1062" s="7"/>
      <c r="I1062" s="7"/>
      <c r="J1062" s="7"/>
      <c r="K1062" s="7"/>
      <c r="W1062" s="34"/>
      <c r="X1062" s="39"/>
    </row>
    <row r="1063" spans="4:24" x14ac:dyDescent="0.25">
      <c r="D1063" s="7"/>
      <c r="E1063" s="7"/>
      <c r="F1063" s="7"/>
      <c r="G1063" s="7"/>
      <c r="H1063" s="7"/>
      <c r="I1063" s="7"/>
      <c r="J1063" s="7"/>
      <c r="K1063" s="7"/>
      <c r="W1063" s="34"/>
      <c r="X1063" s="39"/>
    </row>
    <row r="1064" spans="4:24" x14ac:dyDescent="0.25">
      <c r="D1064" s="7"/>
      <c r="E1064" s="7"/>
      <c r="F1064" s="7"/>
      <c r="G1064" s="7"/>
      <c r="H1064" s="7"/>
      <c r="I1064" s="7"/>
      <c r="J1064" s="7"/>
      <c r="K1064" s="7"/>
      <c r="W1064" s="34"/>
      <c r="X1064" s="39"/>
    </row>
    <row r="1065" spans="4:24" x14ac:dyDescent="0.25">
      <c r="D1065" s="7"/>
      <c r="E1065" s="7"/>
      <c r="F1065" s="7"/>
      <c r="G1065" s="7"/>
      <c r="H1065" s="7"/>
      <c r="I1065" s="7"/>
      <c r="J1065" s="7"/>
      <c r="K1065" s="7"/>
      <c r="W1065" s="34"/>
      <c r="X1065" s="39"/>
    </row>
    <row r="1066" spans="4:24" x14ac:dyDescent="0.25">
      <c r="D1066" s="7"/>
      <c r="E1066" s="7"/>
      <c r="F1066" s="7"/>
      <c r="G1066" s="7"/>
      <c r="H1066" s="7"/>
      <c r="I1066" s="7"/>
      <c r="J1066" s="7"/>
      <c r="K1066" s="7"/>
      <c r="W1066" s="34"/>
      <c r="X1066" s="39"/>
    </row>
    <row r="1067" spans="4:24" x14ac:dyDescent="0.25">
      <c r="D1067" s="7"/>
      <c r="E1067" s="7"/>
      <c r="F1067" s="7"/>
      <c r="G1067" s="7"/>
      <c r="H1067" s="7"/>
      <c r="I1067" s="7"/>
      <c r="J1067" s="7"/>
      <c r="K1067" s="7"/>
      <c r="W1067" s="34"/>
      <c r="X1067" s="39"/>
    </row>
    <row r="1068" spans="4:24" x14ac:dyDescent="0.25">
      <c r="D1068" s="7"/>
      <c r="E1068" s="7"/>
      <c r="F1068" s="7"/>
      <c r="G1068" s="7"/>
      <c r="H1068" s="7"/>
      <c r="I1068" s="7"/>
      <c r="J1068" s="7"/>
      <c r="K1068" s="7"/>
      <c r="W1068" s="34"/>
      <c r="X1068" s="39"/>
    </row>
    <row r="1069" spans="4:24" x14ac:dyDescent="0.25">
      <c r="D1069" s="7"/>
      <c r="E1069" s="7"/>
      <c r="F1069" s="7"/>
      <c r="G1069" s="7"/>
      <c r="H1069" s="7"/>
      <c r="I1069" s="7"/>
      <c r="J1069" s="7"/>
      <c r="K1069" s="7"/>
      <c r="W1069" s="34"/>
      <c r="X1069" s="39"/>
    </row>
    <row r="1070" spans="4:24" x14ac:dyDescent="0.25">
      <c r="D1070" s="7"/>
      <c r="E1070" s="7"/>
      <c r="F1070" s="7"/>
      <c r="G1070" s="7"/>
      <c r="H1070" s="7"/>
      <c r="I1070" s="7"/>
      <c r="J1070" s="7"/>
      <c r="K1070" s="7"/>
      <c r="W1070" s="34"/>
      <c r="X1070" s="39"/>
    </row>
    <row r="1071" spans="4:24" x14ac:dyDescent="0.25">
      <c r="D1071" s="7"/>
      <c r="E1071" s="7"/>
      <c r="F1071" s="7"/>
      <c r="G1071" s="7"/>
      <c r="H1071" s="7"/>
      <c r="I1071" s="7"/>
      <c r="J1071" s="7"/>
      <c r="K1071" s="7"/>
      <c r="W1071" s="34"/>
      <c r="X1071" s="39"/>
    </row>
    <row r="1072" spans="4:24" x14ac:dyDescent="0.25">
      <c r="D1072" s="7"/>
      <c r="E1072" s="7"/>
      <c r="F1072" s="7"/>
      <c r="G1072" s="7"/>
      <c r="H1072" s="7"/>
      <c r="I1072" s="7"/>
      <c r="J1072" s="7"/>
      <c r="K1072" s="7"/>
      <c r="W1072" s="34"/>
      <c r="X1072" s="39"/>
    </row>
    <row r="1073" spans="4:24" x14ac:dyDescent="0.25">
      <c r="D1073" s="7"/>
      <c r="E1073" s="7"/>
      <c r="F1073" s="7"/>
      <c r="G1073" s="7"/>
      <c r="H1073" s="7"/>
      <c r="I1073" s="7"/>
      <c r="J1073" s="7"/>
      <c r="K1073" s="7"/>
      <c r="W1073" s="34"/>
      <c r="X1073" s="39"/>
    </row>
    <row r="1074" spans="4:24" x14ac:dyDescent="0.25">
      <c r="D1074" s="7"/>
      <c r="E1074" s="7"/>
      <c r="F1074" s="7"/>
      <c r="G1074" s="7"/>
      <c r="H1074" s="7"/>
      <c r="I1074" s="7"/>
      <c r="J1074" s="7"/>
      <c r="K1074" s="7"/>
      <c r="W1074" s="34"/>
      <c r="X1074" s="39"/>
    </row>
    <row r="1075" spans="4:24" x14ac:dyDescent="0.25">
      <c r="D1075" s="7"/>
      <c r="E1075" s="7"/>
      <c r="F1075" s="7"/>
      <c r="G1075" s="7"/>
      <c r="H1075" s="7"/>
      <c r="I1075" s="7"/>
      <c r="J1075" s="7"/>
      <c r="K1075" s="7"/>
      <c r="W1075" s="34"/>
      <c r="X1075" s="39"/>
    </row>
    <row r="1076" spans="4:24" x14ac:dyDescent="0.25">
      <c r="D1076" s="7"/>
      <c r="E1076" s="7"/>
      <c r="F1076" s="7"/>
      <c r="G1076" s="7"/>
      <c r="H1076" s="7"/>
      <c r="I1076" s="7"/>
      <c r="J1076" s="7"/>
      <c r="K1076" s="7"/>
      <c r="W1076" s="34"/>
      <c r="X1076" s="39"/>
    </row>
    <row r="1077" spans="4:24" x14ac:dyDescent="0.25">
      <c r="D1077" s="7"/>
      <c r="E1077" s="7"/>
      <c r="F1077" s="7"/>
      <c r="G1077" s="7"/>
      <c r="H1077" s="7"/>
      <c r="I1077" s="7"/>
      <c r="J1077" s="7"/>
      <c r="K1077" s="7"/>
      <c r="W1077" s="34"/>
      <c r="X1077" s="39"/>
    </row>
    <row r="1078" spans="4:24" x14ac:dyDescent="0.25">
      <c r="D1078" s="7"/>
      <c r="E1078" s="7"/>
      <c r="F1078" s="7"/>
      <c r="G1078" s="7"/>
      <c r="H1078" s="7"/>
      <c r="I1078" s="7"/>
      <c r="J1078" s="7"/>
      <c r="K1078" s="7"/>
      <c r="W1078" s="34"/>
      <c r="X1078" s="39"/>
    </row>
    <row r="1079" spans="4:24" x14ac:dyDescent="0.25">
      <c r="D1079" s="7"/>
      <c r="E1079" s="7"/>
      <c r="F1079" s="7"/>
      <c r="G1079" s="7"/>
      <c r="H1079" s="7"/>
      <c r="I1079" s="7"/>
      <c r="J1079" s="7"/>
      <c r="K1079" s="7"/>
      <c r="W1079" s="34"/>
      <c r="X1079" s="39"/>
    </row>
    <row r="1080" spans="4:24" x14ac:dyDescent="0.25">
      <c r="D1080" s="7"/>
      <c r="E1080" s="7"/>
      <c r="F1080" s="7"/>
      <c r="G1080" s="7"/>
      <c r="H1080" s="7"/>
      <c r="I1080" s="7"/>
      <c r="J1080" s="7"/>
      <c r="K1080" s="7"/>
      <c r="W1080" s="34"/>
      <c r="X1080" s="39"/>
    </row>
    <row r="1081" spans="4:24" x14ac:dyDescent="0.25">
      <c r="D1081" s="7"/>
      <c r="E1081" s="7"/>
      <c r="F1081" s="7"/>
      <c r="G1081" s="7"/>
      <c r="H1081" s="7"/>
      <c r="I1081" s="7"/>
      <c r="J1081" s="7"/>
      <c r="K1081" s="7"/>
      <c r="W1081" s="34"/>
      <c r="X1081" s="39"/>
    </row>
    <row r="1082" spans="4:24" x14ac:dyDescent="0.25">
      <c r="D1082" s="7"/>
      <c r="E1082" s="7"/>
      <c r="F1082" s="7"/>
      <c r="G1082" s="7"/>
      <c r="H1082" s="7"/>
      <c r="I1082" s="7"/>
      <c r="J1082" s="7"/>
      <c r="K1082" s="7"/>
      <c r="W1082" s="34"/>
      <c r="X1082" s="39"/>
    </row>
    <row r="1083" spans="4:24" x14ac:dyDescent="0.25">
      <c r="D1083" s="7"/>
      <c r="E1083" s="7"/>
      <c r="F1083" s="7"/>
      <c r="G1083" s="7"/>
      <c r="H1083" s="7"/>
      <c r="I1083" s="7"/>
      <c r="J1083" s="7"/>
      <c r="K1083" s="7"/>
      <c r="W1083" s="34"/>
      <c r="X1083" s="39"/>
    </row>
    <row r="1084" spans="4:24" x14ac:dyDescent="0.25">
      <c r="D1084" s="7"/>
      <c r="E1084" s="7"/>
      <c r="F1084" s="7"/>
      <c r="G1084" s="7"/>
      <c r="H1084" s="7"/>
      <c r="I1084" s="7"/>
      <c r="J1084" s="7"/>
      <c r="K1084" s="7"/>
      <c r="W1084" s="34"/>
      <c r="X1084" s="39"/>
    </row>
    <row r="1085" spans="4:24" x14ac:dyDescent="0.25">
      <c r="D1085" s="7"/>
      <c r="E1085" s="7"/>
      <c r="F1085" s="7"/>
      <c r="G1085" s="7"/>
      <c r="H1085" s="7"/>
      <c r="I1085" s="7"/>
      <c r="J1085" s="7"/>
      <c r="K1085" s="7"/>
      <c r="W1085" s="34"/>
      <c r="X1085" s="39"/>
    </row>
    <row r="1086" spans="4:24" x14ac:dyDescent="0.25">
      <c r="D1086" s="7"/>
      <c r="E1086" s="7"/>
      <c r="F1086" s="7"/>
      <c r="G1086" s="7"/>
      <c r="H1086" s="7"/>
      <c r="I1086" s="7"/>
      <c r="J1086" s="7"/>
      <c r="K1086" s="7"/>
      <c r="W1086" s="34"/>
      <c r="X1086" s="39"/>
    </row>
    <row r="1087" spans="4:24" x14ac:dyDescent="0.25">
      <c r="D1087" s="7"/>
      <c r="E1087" s="7"/>
      <c r="F1087" s="7"/>
      <c r="G1087" s="7"/>
      <c r="H1087" s="7"/>
      <c r="I1087" s="7"/>
      <c r="J1087" s="7"/>
      <c r="K1087" s="7"/>
      <c r="W1087" s="34"/>
      <c r="X1087" s="39"/>
    </row>
    <row r="1088" spans="4:24" x14ac:dyDescent="0.25">
      <c r="D1088" s="7"/>
      <c r="E1088" s="7"/>
      <c r="F1088" s="7"/>
      <c r="G1088" s="7"/>
      <c r="H1088" s="7"/>
      <c r="I1088" s="7"/>
      <c r="J1088" s="7"/>
      <c r="K1088" s="7"/>
      <c r="W1088" s="34"/>
      <c r="X1088" s="39"/>
    </row>
    <row r="1089" spans="4:24" x14ac:dyDescent="0.25">
      <c r="D1089" s="7"/>
      <c r="E1089" s="7"/>
      <c r="F1089" s="7"/>
      <c r="G1089" s="7"/>
      <c r="H1089" s="7"/>
      <c r="I1089" s="7"/>
      <c r="J1089" s="7"/>
      <c r="K1089" s="7"/>
      <c r="W1089" s="34"/>
      <c r="X1089" s="39"/>
    </row>
    <row r="1090" spans="4:24" x14ac:dyDescent="0.25">
      <c r="D1090" s="7"/>
      <c r="E1090" s="7"/>
      <c r="F1090" s="7"/>
      <c r="G1090" s="7"/>
      <c r="H1090" s="7"/>
      <c r="I1090" s="7"/>
      <c r="J1090" s="7"/>
      <c r="K1090" s="7"/>
      <c r="W1090" s="34"/>
      <c r="X1090" s="39"/>
    </row>
    <row r="1091" spans="4:24" x14ac:dyDescent="0.25">
      <c r="D1091" s="7"/>
      <c r="E1091" s="7"/>
      <c r="F1091" s="7"/>
      <c r="G1091" s="7"/>
      <c r="H1091" s="7"/>
      <c r="I1091" s="7"/>
      <c r="J1091" s="7"/>
      <c r="K1091" s="7"/>
      <c r="W1091" s="34"/>
      <c r="X1091" s="39"/>
    </row>
    <row r="1092" spans="4:24" x14ac:dyDescent="0.25">
      <c r="D1092" s="7"/>
      <c r="E1092" s="7"/>
      <c r="F1092" s="7"/>
      <c r="G1092" s="7"/>
      <c r="H1092" s="7"/>
      <c r="I1092" s="7"/>
      <c r="J1092" s="7"/>
      <c r="K1092" s="7"/>
      <c r="W1092" s="34"/>
      <c r="X1092" s="39"/>
    </row>
    <row r="1093" spans="4:24" x14ac:dyDescent="0.25">
      <c r="D1093" s="7"/>
      <c r="E1093" s="7"/>
      <c r="F1093" s="7"/>
      <c r="G1093" s="7"/>
      <c r="H1093" s="7"/>
      <c r="I1093" s="7"/>
      <c r="J1093" s="7"/>
      <c r="K1093" s="7"/>
      <c r="W1093" s="34"/>
      <c r="X1093" s="39"/>
    </row>
    <row r="1094" spans="4:24" x14ac:dyDescent="0.25">
      <c r="D1094" s="7"/>
      <c r="E1094" s="7"/>
      <c r="F1094" s="7"/>
      <c r="G1094" s="7"/>
      <c r="H1094" s="7"/>
      <c r="I1094" s="7"/>
      <c r="J1094" s="7"/>
      <c r="K1094" s="7"/>
      <c r="W1094" s="34"/>
      <c r="X1094" s="39"/>
    </row>
    <row r="1095" spans="4:24" x14ac:dyDescent="0.25">
      <c r="D1095" s="7"/>
      <c r="E1095" s="7"/>
      <c r="F1095" s="7"/>
      <c r="G1095" s="7"/>
      <c r="H1095" s="7"/>
      <c r="I1095" s="7"/>
      <c r="J1095" s="7"/>
      <c r="K1095" s="7"/>
      <c r="W1095" s="34"/>
      <c r="X1095" s="39"/>
    </row>
    <row r="1096" spans="4:24" x14ac:dyDescent="0.25">
      <c r="D1096" s="7"/>
      <c r="E1096" s="7"/>
      <c r="F1096" s="7"/>
      <c r="G1096" s="7"/>
      <c r="H1096" s="7"/>
      <c r="I1096" s="7"/>
      <c r="J1096" s="7"/>
      <c r="K1096" s="7"/>
      <c r="W1096" s="34"/>
      <c r="X1096" s="39"/>
    </row>
    <row r="1097" spans="4:24" x14ac:dyDescent="0.25">
      <c r="D1097" s="7"/>
      <c r="E1097" s="7"/>
      <c r="F1097" s="7"/>
      <c r="G1097" s="7"/>
      <c r="H1097" s="7"/>
      <c r="I1097" s="7"/>
      <c r="J1097" s="7"/>
      <c r="K1097" s="7"/>
      <c r="W1097" s="34"/>
      <c r="X1097" s="39"/>
    </row>
    <row r="1098" spans="4:24" x14ac:dyDescent="0.25">
      <c r="D1098" s="7"/>
      <c r="E1098" s="7"/>
      <c r="F1098" s="7"/>
      <c r="G1098" s="7"/>
      <c r="H1098" s="7"/>
      <c r="I1098" s="7"/>
      <c r="J1098" s="7"/>
      <c r="K1098" s="7"/>
      <c r="W1098" s="34"/>
      <c r="X1098" s="39"/>
    </row>
    <row r="1099" spans="4:24" x14ac:dyDescent="0.25">
      <c r="D1099" s="7"/>
      <c r="E1099" s="7"/>
      <c r="F1099" s="7"/>
      <c r="G1099" s="7"/>
      <c r="H1099" s="7"/>
      <c r="I1099" s="7"/>
      <c r="J1099" s="7"/>
      <c r="K1099" s="7"/>
      <c r="W1099" s="34"/>
      <c r="X1099" s="39"/>
    </row>
    <row r="1100" spans="4:24" x14ac:dyDescent="0.25">
      <c r="D1100" s="7"/>
      <c r="E1100" s="7"/>
      <c r="F1100" s="7"/>
      <c r="G1100" s="7"/>
      <c r="H1100" s="7"/>
      <c r="I1100" s="7"/>
      <c r="J1100" s="7"/>
      <c r="K1100" s="7"/>
      <c r="W1100" s="34"/>
      <c r="X1100" s="39"/>
    </row>
    <row r="1101" spans="4:24" x14ac:dyDescent="0.25">
      <c r="D1101" s="7"/>
      <c r="E1101" s="7"/>
      <c r="F1101" s="7"/>
      <c r="G1101" s="7"/>
      <c r="H1101" s="7"/>
      <c r="I1101" s="7"/>
      <c r="J1101" s="7"/>
      <c r="K1101" s="7"/>
      <c r="W1101" s="34"/>
      <c r="X1101" s="39"/>
    </row>
    <row r="1102" spans="4:24" x14ac:dyDescent="0.25">
      <c r="D1102" s="7"/>
      <c r="E1102" s="7"/>
      <c r="F1102" s="7"/>
      <c r="G1102" s="7"/>
      <c r="H1102" s="7"/>
      <c r="I1102" s="7"/>
      <c r="J1102" s="7"/>
      <c r="K1102" s="7"/>
      <c r="W1102" s="34"/>
      <c r="X1102" s="39"/>
    </row>
    <row r="1103" spans="4:24" x14ac:dyDescent="0.25">
      <c r="D1103" s="7"/>
      <c r="E1103" s="7"/>
      <c r="F1103" s="7"/>
      <c r="G1103" s="7"/>
      <c r="H1103" s="7"/>
      <c r="I1103" s="7"/>
      <c r="J1103" s="7"/>
      <c r="K1103" s="7"/>
      <c r="W1103" s="34"/>
      <c r="X1103" s="39"/>
    </row>
    <row r="1104" spans="4:24" x14ac:dyDescent="0.25">
      <c r="D1104" s="7"/>
      <c r="E1104" s="7"/>
      <c r="F1104" s="7"/>
      <c r="G1104" s="7"/>
      <c r="H1104" s="7"/>
      <c r="I1104" s="7"/>
      <c r="J1104" s="7"/>
      <c r="K1104" s="7"/>
      <c r="W1104" s="34"/>
      <c r="X1104" s="39"/>
    </row>
    <row r="1105" spans="4:24" x14ac:dyDescent="0.25">
      <c r="D1105" s="7"/>
      <c r="E1105" s="7"/>
      <c r="F1105" s="7"/>
      <c r="G1105" s="7"/>
      <c r="H1105" s="7"/>
      <c r="I1105" s="7"/>
      <c r="J1105" s="7"/>
      <c r="K1105" s="7"/>
      <c r="W1105" s="34"/>
      <c r="X1105" s="39"/>
    </row>
    <row r="1106" spans="4:24" x14ac:dyDescent="0.25">
      <c r="D1106" s="7"/>
      <c r="E1106" s="7"/>
      <c r="F1106" s="7"/>
      <c r="G1106" s="7"/>
      <c r="H1106" s="7"/>
      <c r="I1106" s="7"/>
      <c r="J1106" s="7"/>
      <c r="K1106" s="7"/>
      <c r="W1106" s="34"/>
      <c r="X1106" s="39"/>
    </row>
    <row r="1107" spans="4:24" x14ac:dyDescent="0.25">
      <c r="D1107" s="7"/>
      <c r="E1107" s="7"/>
      <c r="F1107" s="7"/>
      <c r="G1107" s="7"/>
      <c r="H1107" s="7"/>
      <c r="I1107" s="7"/>
      <c r="J1107" s="7"/>
      <c r="K1107" s="7"/>
      <c r="W1107" s="34"/>
      <c r="X1107" s="39"/>
    </row>
    <row r="1108" spans="4:24" x14ac:dyDescent="0.25">
      <c r="D1108" s="7"/>
      <c r="E1108" s="7"/>
      <c r="F1108" s="7"/>
      <c r="G1108" s="7"/>
      <c r="H1108" s="7"/>
      <c r="I1108" s="7"/>
      <c r="J1108" s="7"/>
      <c r="K1108" s="7"/>
      <c r="W1108" s="34"/>
      <c r="X1108" s="39"/>
    </row>
    <row r="1109" spans="4:24" x14ac:dyDescent="0.25">
      <c r="D1109" s="7"/>
      <c r="E1109" s="7"/>
      <c r="F1109" s="7"/>
      <c r="G1109" s="7"/>
      <c r="H1109" s="7"/>
      <c r="I1109" s="7"/>
      <c r="J1109" s="7"/>
      <c r="K1109" s="7"/>
      <c r="W1109" s="34"/>
      <c r="X1109" s="39"/>
    </row>
    <row r="1110" spans="4:24" x14ac:dyDescent="0.25">
      <c r="D1110" s="7"/>
      <c r="E1110" s="7"/>
      <c r="F1110" s="7"/>
      <c r="G1110" s="7"/>
      <c r="H1110" s="7"/>
      <c r="I1110" s="7"/>
      <c r="J1110" s="7"/>
      <c r="K1110" s="7"/>
      <c r="W1110" s="34"/>
      <c r="X1110" s="39"/>
    </row>
    <row r="1111" spans="4:24" x14ac:dyDescent="0.25">
      <c r="D1111" s="7"/>
      <c r="E1111" s="7"/>
      <c r="F1111" s="7"/>
      <c r="G1111" s="7"/>
      <c r="H1111" s="7"/>
      <c r="I1111" s="7"/>
      <c r="J1111" s="7"/>
      <c r="K1111" s="7"/>
      <c r="W1111" s="34"/>
      <c r="X1111" s="39"/>
    </row>
    <row r="1112" spans="4:24" x14ac:dyDescent="0.25">
      <c r="D1112" s="7"/>
      <c r="E1112" s="7"/>
      <c r="F1112" s="7"/>
      <c r="G1112" s="7"/>
      <c r="H1112" s="7"/>
      <c r="I1112" s="7"/>
      <c r="J1112" s="7"/>
      <c r="K1112" s="7"/>
      <c r="W1112" s="34"/>
      <c r="X1112" s="39"/>
    </row>
    <row r="1113" spans="4:24" x14ac:dyDescent="0.25">
      <c r="D1113" s="7"/>
      <c r="E1113" s="7"/>
      <c r="F1113" s="7"/>
      <c r="G1113" s="7"/>
      <c r="H1113" s="7"/>
      <c r="I1113" s="7"/>
      <c r="J1113" s="7"/>
      <c r="K1113" s="7"/>
      <c r="W1113" s="34"/>
      <c r="X1113" s="39"/>
    </row>
    <row r="1114" spans="4:24" x14ac:dyDescent="0.25">
      <c r="D1114" s="7"/>
      <c r="E1114" s="7"/>
      <c r="F1114" s="7"/>
      <c r="G1114" s="7"/>
      <c r="H1114" s="7"/>
      <c r="I1114" s="7"/>
      <c r="J1114" s="7"/>
      <c r="K1114" s="7"/>
      <c r="W1114" s="34"/>
      <c r="X1114" s="39"/>
    </row>
    <row r="1115" spans="4:24" x14ac:dyDescent="0.25">
      <c r="D1115" s="7"/>
      <c r="E1115" s="7"/>
      <c r="F1115" s="7"/>
      <c r="G1115" s="7"/>
      <c r="H1115" s="7"/>
      <c r="I1115" s="7"/>
      <c r="J1115" s="7"/>
      <c r="K1115" s="7"/>
      <c r="W1115" s="34"/>
      <c r="X1115" s="39"/>
    </row>
    <row r="1116" spans="4:24" x14ac:dyDescent="0.25">
      <c r="D1116" s="7"/>
      <c r="E1116" s="7"/>
      <c r="F1116" s="7"/>
      <c r="G1116" s="7"/>
      <c r="H1116" s="7"/>
      <c r="I1116" s="7"/>
      <c r="J1116" s="7"/>
      <c r="K1116" s="7"/>
      <c r="W1116" s="34"/>
      <c r="X1116" s="39"/>
    </row>
    <row r="1117" spans="4:24" x14ac:dyDescent="0.25">
      <c r="D1117" s="7"/>
      <c r="E1117" s="7"/>
      <c r="F1117" s="7"/>
      <c r="G1117" s="7"/>
      <c r="H1117" s="7"/>
      <c r="I1117" s="7"/>
      <c r="J1117" s="7"/>
      <c r="K1117" s="7"/>
      <c r="W1117" s="34"/>
      <c r="X1117" s="39"/>
    </row>
    <row r="1118" spans="4:24" x14ac:dyDescent="0.25">
      <c r="D1118" s="7"/>
      <c r="E1118" s="7"/>
      <c r="F1118" s="7"/>
      <c r="G1118" s="7"/>
      <c r="H1118" s="7"/>
      <c r="I1118" s="7"/>
      <c r="J1118" s="7"/>
      <c r="K1118" s="7"/>
      <c r="W1118" s="34"/>
      <c r="X1118" s="39"/>
    </row>
    <row r="1119" spans="4:24" x14ac:dyDescent="0.25">
      <c r="D1119" s="7"/>
      <c r="E1119" s="7"/>
      <c r="F1119" s="7"/>
      <c r="G1119" s="7"/>
      <c r="H1119" s="7"/>
      <c r="I1119" s="7"/>
      <c r="J1119" s="7"/>
      <c r="K1119" s="7"/>
      <c r="W1119" s="34"/>
      <c r="X1119" s="39"/>
    </row>
    <row r="1120" spans="4:24" x14ac:dyDescent="0.25">
      <c r="D1120" s="7"/>
      <c r="E1120" s="7"/>
      <c r="F1120" s="7"/>
      <c r="G1120" s="7"/>
      <c r="H1120" s="7"/>
      <c r="I1120" s="7"/>
      <c r="J1120" s="7"/>
      <c r="K1120" s="7"/>
      <c r="W1120" s="34"/>
      <c r="X1120" s="39"/>
    </row>
    <row r="1121" spans="4:24" x14ac:dyDescent="0.25">
      <c r="D1121" s="7"/>
      <c r="E1121" s="7"/>
      <c r="F1121" s="7"/>
      <c r="G1121" s="7"/>
      <c r="H1121" s="7"/>
      <c r="I1121" s="7"/>
      <c r="J1121" s="7"/>
      <c r="K1121" s="7"/>
      <c r="W1121" s="34"/>
      <c r="X1121" s="39"/>
    </row>
    <row r="1122" spans="4:24" x14ac:dyDescent="0.25">
      <c r="D1122" s="7"/>
      <c r="E1122" s="7"/>
      <c r="F1122" s="7"/>
      <c r="G1122" s="7"/>
      <c r="H1122" s="7"/>
      <c r="I1122" s="7"/>
      <c r="J1122" s="7"/>
      <c r="K1122" s="7"/>
      <c r="W1122" s="34"/>
      <c r="X1122" s="39"/>
    </row>
    <row r="1123" spans="4:24" x14ac:dyDescent="0.25">
      <c r="D1123" s="7"/>
      <c r="E1123" s="7"/>
      <c r="F1123" s="7"/>
      <c r="G1123" s="7"/>
      <c r="H1123" s="7"/>
      <c r="I1123" s="7"/>
      <c r="J1123" s="7"/>
      <c r="K1123" s="7"/>
      <c r="W1123" s="34"/>
      <c r="X1123" s="39"/>
    </row>
    <row r="1124" spans="4:24" x14ac:dyDescent="0.25">
      <c r="D1124" s="7"/>
      <c r="E1124" s="7"/>
      <c r="F1124" s="7"/>
      <c r="G1124" s="7"/>
      <c r="H1124" s="7"/>
      <c r="I1124" s="7"/>
      <c r="J1124" s="7"/>
      <c r="K1124" s="7"/>
      <c r="W1124" s="34"/>
      <c r="X1124" s="39"/>
    </row>
    <row r="1125" spans="4:24" x14ac:dyDescent="0.25">
      <c r="D1125" s="7"/>
      <c r="E1125" s="7"/>
      <c r="F1125" s="7"/>
      <c r="G1125" s="7"/>
      <c r="H1125" s="7"/>
      <c r="I1125" s="7"/>
      <c r="J1125" s="7"/>
      <c r="K1125" s="7"/>
      <c r="W1125" s="34"/>
      <c r="X1125" s="39"/>
    </row>
    <row r="1126" spans="4:24" x14ac:dyDescent="0.25">
      <c r="D1126" s="7"/>
      <c r="E1126" s="7"/>
      <c r="F1126" s="7"/>
      <c r="G1126" s="7"/>
      <c r="H1126" s="7"/>
      <c r="I1126" s="7"/>
      <c r="J1126" s="7"/>
      <c r="K1126" s="7"/>
      <c r="W1126" s="34"/>
      <c r="X1126" s="39"/>
    </row>
    <row r="1127" spans="4:24" x14ac:dyDescent="0.25">
      <c r="D1127" s="7"/>
      <c r="E1127" s="7"/>
      <c r="F1127" s="7"/>
      <c r="G1127" s="7"/>
      <c r="H1127" s="7"/>
      <c r="I1127" s="7"/>
      <c r="J1127" s="7"/>
      <c r="K1127" s="7"/>
      <c r="W1127" s="34"/>
      <c r="X1127" s="39"/>
    </row>
    <row r="1128" spans="4:24" x14ac:dyDescent="0.25">
      <c r="D1128" s="7"/>
      <c r="E1128" s="7"/>
      <c r="F1128" s="7"/>
      <c r="G1128" s="7"/>
      <c r="H1128" s="7"/>
      <c r="I1128" s="7"/>
      <c r="J1128" s="7"/>
      <c r="K1128" s="7"/>
      <c r="W1128" s="34"/>
      <c r="X1128" s="39"/>
    </row>
    <row r="1129" spans="4:24" x14ac:dyDescent="0.25">
      <c r="D1129" s="7"/>
      <c r="E1129" s="7"/>
      <c r="F1129" s="7"/>
      <c r="G1129" s="7"/>
      <c r="H1129" s="7"/>
      <c r="I1129" s="7"/>
      <c r="J1129" s="7"/>
      <c r="K1129" s="7"/>
      <c r="W1129" s="34"/>
      <c r="X1129" s="39"/>
    </row>
    <row r="1130" spans="4:24" x14ac:dyDescent="0.25">
      <c r="D1130" s="7"/>
      <c r="E1130" s="7"/>
      <c r="F1130" s="7"/>
      <c r="G1130" s="7"/>
      <c r="H1130" s="7"/>
      <c r="I1130" s="7"/>
      <c r="J1130" s="7"/>
      <c r="K1130" s="7"/>
      <c r="W1130" s="34"/>
      <c r="X1130" s="39"/>
    </row>
    <row r="1131" spans="4:24" x14ac:dyDescent="0.25">
      <c r="D1131" s="7"/>
      <c r="E1131" s="7"/>
      <c r="F1131" s="7"/>
      <c r="G1131" s="7"/>
      <c r="H1131" s="7"/>
      <c r="I1131" s="7"/>
      <c r="J1131" s="7"/>
      <c r="K1131" s="7"/>
      <c r="W1131" s="34"/>
      <c r="X1131" s="39"/>
    </row>
    <row r="1132" spans="4:24" x14ac:dyDescent="0.25">
      <c r="D1132" s="7"/>
      <c r="E1132" s="7"/>
      <c r="F1132" s="7"/>
      <c r="G1132" s="7"/>
      <c r="H1132" s="7"/>
      <c r="I1132" s="7"/>
      <c r="J1132" s="7"/>
      <c r="K1132" s="7"/>
      <c r="W1132" s="34"/>
      <c r="X1132" s="39"/>
    </row>
    <row r="1133" spans="4:24" x14ac:dyDescent="0.25">
      <c r="D1133" s="7"/>
      <c r="E1133" s="7"/>
      <c r="F1133" s="7"/>
      <c r="G1133" s="7"/>
      <c r="H1133" s="7"/>
      <c r="I1133" s="7"/>
      <c r="J1133" s="7"/>
      <c r="K1133" s="7"/>
      <c r="W1133" s="34"/>
      <c r="X1133" s="39"/>
    </row>
    <row r="1134" spans="4:24" x14ac:dyDescent="0.25">
      <c r="D1134" s="7"/>
      <c r="E1134" s="7"/>
      <c r="F1134" s="7"/>
      <c r="G1134" s="7"/>
      <c r="H1134" s="7"/>
      <c r="I1134" s="7"/>
      <c r="J1134" s="7"/>
      <c r="K1134" s="7"/>
      <c r="W1134" s="34"/>
      <c r="X1134" s="39"/>
    </row>
    <row r="1135" spans="4:24" x14ac:dyDescent="0.25">
      <c r="D1135" s="7"/>
      <c r="E1135" s="7"/>
      <c r="F1135" s="7"/>
      <c r="G1135" s="7"/>
      <c r="H1135" s="7"/>
      <c r="I1135" s="7"/>
      <c r="J1135" s="7"/>
      <c r="K1135" s="7"/>
      <c r="W1135" s="34"/>
      <c r="X1135" s="39"/>
    </row>
    <row r="1136" spans="4:24" x14ac:dyDescent="0.25">
      <c r="D1136" s="7"/>
      <c r="E1136" s="7"/>
      <c r="F1136" s="7"/>
      <c r="G1136" s="7"/>
      <c r="H1136" s="7"/>
      <c r="I1136" s="7"/>
      <c r="J1136" s="7"/>
      <c r="K1136" s="7"/>
      <c r="W1136" s="34"/>
      <c r="X1136" s="39"/>
    </row>
    <row r="1137" spans="4:24" x14ac:dyDescent="0.25">
      <c r="D1137" s="7"/>
      <c r="E1137" s="7"/>
      <c r="F1137" s="7"/>
      <c r="G1137" s="7"/>
      <c r="H1137" s="7"/>
      <c r="I1137" s="7"/>
      <c r="J1137" s="7"/>
      <c r="K1137" s="7"/>
      <c r="W1137" s="34"/>
      <c r="X1137" s="39"/>
    </row>
    <row r="1138" spans="4:24" x14ac:dyDescent="0.25">
      <c r="D1138" s="7"/>
      <c r="E1138" s="7"/>
      <c r="F1138" s="7"/>
      <c r="G1138" s="7"/>
      <c r="H1138" s="7"/>
      <c r="I1138" s="7"/>
      <c r="J1138" s="7"/>
      <c r="K1138" s="7"/>
      <c r="W1138" s="34"/>
      <c r="X1138" s="39"/>
    </row>
    <row r="1139" spans="4:24" x14ac:dyDescent="0.25">
      <c r="D1139" s="7"/>
      <c r="E1139" s="7"/>
      <c r="F1139" s="7"/>
      <c r="G1139" s="7"/>
      <c r="H1139" s="7"/>
      <c r="I1139" s="7"/>
      <c r="J1139" s="7"/>
      <c r="K1139" s="7"/>
      <c r="W1139" s="34"/>
      <c r="X1139" s="39"/>
    </row>
    <row r="1140" spans="4:24" x14ac:dyDescent="0.25">
      <c r="D1140" s="7"/>
      <c r="E1140" s="7"/>
      <c r="F1140" s="7"/>
      <c r="G1140" s="7"/>
      <c r="H1140" s="7"/>
      <c r="I1140" s="7"/>
      <c r="J1140" s="7"/>
      <c r="K1140" s="7"/>
      <c r="W1140" s="34"/>
      <c r="X1140" s="39"/>
    </row>
    <row r="1141" spans="4:24" x14ac:dyDescent="0.25">
      <c r="D1141" s="7"/>
      <c r="E1141" s="7"/>
      <c r="F1141" s="7"/>
      <c r="G1141" s="7"/>
      <c r="H1141" s="7"/>
      <c r="I1141" s="7"/>
      <c r="J1141" s="7"/>
      <c r="K1141" s="7"/>
      <c r="W1141" s="34"/>
      <c r="X1141" s="39"/>
    </row>
    <row r="1142" spans="4:24" x14ac:dyDescent="0.25">
      <c r="D1142" s="7"/>
      <c r="E1142" s="7"/>
      <c r="F1142" s="7"/>
      <c r="G1142" s="7"/>
      <c r="H1142" s="7"/>
      <c r="I1142" s="7"/>
      <c r="J1142" s="7"/>
      <c r="K1142" s="7"/>
      <c r="W1142" s="34"/>
      <c r="X1142" s="39"/>
    </row>
    <row r="1143" spans="4:24" x14ac:dyDescent="0.25">
      <c r="D1143" s="7"/>
      <c r="E1143" s="7"/>
      <c r="F1143" s="7"/>
      <c r="G1143" s="7"/>
      <c r="H1143" s="7"/>
      <c r="I1143" s="7"/>
      <c r="J1143" s="7"/>
      <c r="K1143" s="7"/>
      <c r="W1143" s="34"/>
      <c r="X1143" s="39"/>
    </row>
    <row r="1144" spans="4:24" x14ac:dyDescent="0.25">
      <c r="D1144" s="7"/>
      <c r="E1144" s="7"/>
      <c r="F1144" s="7"/>
      <c r="G1144" s="7"/>
      <c r="H1144" s="7"/>
      <c r="I1144" s="7"/>
      <c r="J1144" s="7"/>
      <c r="K1144" s="7"/>
      <c r="W1144" s="34"/>
      <c r="X1144" s="39"/>
    </row>
    <row r="1145" spans="4:24" x14ac:dyDescent="0.25">
      <c r="D1145" s="7"/>
      <c r="E1145" s="7"/>
      <c r="F1145" s="7"/>
      <c r="G1145" s="7"/>
      <c r="H1145" s="7"/>
      <c r="I1145" s="7"/>
      <c r="J1145" s="7"/>
      <c r="K1145" s="7"/>
      <c r="W1145" s="34"/>
      <c r="X1145" s="39"/>
    </row>
    <row r="1146" spans="4:24" x14ac:dyDescent="0.25">
      <c r="D1146" s="7"/>
      <c r="E1146" s="7"/>
      <c r="F1146" s="7"/>
      <c r="G1146" s="7"/>
      <c r="H1146" s="7"/>
      <c r="I1146" s="7"/>
      <c r="J1146" s="7"/>
      <c r="K1146" s="7"/>
      <c r="W1146" s="34"/>
      <c r="X1146" s="39"/>
    </row>
    <row r="1147" spans="4:24" x14ac:dyDescent="0.25">
      <c r="D1147" s="7"/>
      <c r="E1147" s="7"/>
      <c r="F1147" s="7"/>
      <c r="G1147" s="7"/>
      <c r="H1147" s="7"/>
      <c r="I1147" s="7"/>
      <c r="J1147" s="7"/>
      <c r="K1147" s="7"/>
      <c r="W1147" s="34"/>
      <c r="X1147" s="39"/>
    </row>
    <row r="1148" spans="4:24" x14ac:dyDescent="0.25">
      <c r="D1148" s="7"/>
      <c r="E1148" s="7"/>
      <c r="F1148" s="7"/>
      <c r="G1148" s="7"/>
      <c r="H1148" s="7"/>
      <c r="I1148" s="7"/>
      <c r="J1148" s="7"/>
      <c r="K1148" s="7"/>
      <c r="W1148" s="34"/>
      <c r="X1148" s="39"/>
    </row>
    <row r="1149" spans="4:24" x14ac:dyDescent="0.25">
      <c r="D1149" s="7"/>
      <c r="E1149" s="7"/>
      <c r="F1149" s="7"/>
      <c r="G1149" s="7"/>
      <c r="H1149" s="7"/>
      <c r="I1149" s="7"/>
      <c r="J1149" s="7"/>
      <c r="K1149" s="7"/>
      <c r="W1149" s="34"/>
      <c r="X1149" s="39"/>
    </row>
    <row r="1150" spans="4:24" x14ac:dyDescent="0.25">
      <c r="D1150" s="7"/>
      <c r="E1150" s="7"/>
      <c r="F1150" s="7"/>
      <c r="G1150" s="7"/>
      <c r="H1150" s="7"/>
      <c r="I1150" s="7"/>
      <c r="J1150" s="7"/>
      <c r="K1150" s="7"/>
      <c r="W1150" s="34"/>
      <c r="X1150" s="39"/>
    </row>
    <row r="1151" spans="4:24" x14ac:dyDescent="0.25">
      <c r="D1151" s="7"/>
      <c r="E1151" s="7"/>
      <c r="F1151" s="7"/>
      <c r="G1151" s="7"/>
      <c r="H1151" s="7"/>
      <c r="I1151" s="7"/>
      <c r="J1151" s="7"/>
      <c r="K1151" s="7"/>
      <c r="W1151" s="34"/>
      <c r="X1151" s="39"/>
    </row>
    <row r="1152" spans="4:24" x14ac:dyDescent="0.25">
      <c r="D1152" s="7"/>
      <c r="E1152" s="7"/>
      <c r="F1152" s="7"/>
      <c r="G1152" s="7"/>
      <c r="H1152" s="7"/>
      <c r="I1152" s="7"/>
      <c r="J1152" s="7"/>
      <c r="K1152" s="7"/>
      <c r="W1152" s="34"/>
      <c r="X1152" s="39"/>
    </row>
    <row r="1153" spans="4:24" x14ac:dyDescent="0.25">
      <c r="D1153" s="7"/>
      <c r="E1153" s="7"/>
      <c r="F1153" s="7"/>
      <c r="G1153" s="7"/>
      <c r="H1153" s="7"/>
      <c r="I1153" s="7"/>
      <c r="J1153" s="7"/>
      <c r="K1153" s="7"/>
      <c r="W1153" s="34"/>
      <c r="X1153" s="39"/>
    </row>
    <row r="1154" spans="4:24" x14ac:dyDescent="0.25">
      <c r="D1154" s="7"/>
      <c r="E1154" s="7"/>
      <c r="F1154" s="7"/>
      <c r="G1154" s="7"/>
      <c r="H1154" s="7"/>
      <c r="I1154" s="7"/>
      <c r="J1154" s="7"/>
      <c r="K1154" s="7"/>
      <c r="W1154" s="34"/>
      <c r="X1154" s="39"/>
    </row>
    <row r="1155" spans="4:24" x14ac:dyDescent="0.25">
      <c r="D1155" s="7"/>
      <c r="E1155" s="7"/>
      <c r="F1155" s="7"/>
      <c r="G1155" s="7"/>
      <c r="H1155" s="7"/>
      <c r="I1155" s="7"/>
      <c r="J1155" s="7"/>
      <c r="K1155" s="7"/>
      <c r="W1155" s="34"/>
      <c r="X1155" s="39"/>
    </row>
    <row r="1156" spans="4:24" x14ac:dyDescent="0.25">
      <c r="D1156" s="7"/>
      <c r="E1156" s="7"/>
      <c r="F1156" s="7"/>
      <c r="G1156" s="7"/>
      <c r="H1156" s="7"/>
      <c r="I1156" s="7"/>
      <c r="J1156" s="7"/>
      <c r="K1156" s="7"/>
      <c r="W1156" s="34"/>
      <c r="X1156" s="39"/>
    </row>
    <row r="1157" spans="4:24" x14ac:dyDescent="0.25">
      <c r="D1157" s="7"/>
      <c r="E1157" s="7"/>
      <c r="F1157" s="7"/>
      <c r="G1157" s="7"/>
      <c r="H1157" s="7"/>
      <c r="I1157" s="7"/>
      <c r="J1157" s="7"/>
      <c r="K1157" s="7"/>
      <c r="W1157" s="34"/>
      <c r="X1157" s="39"/>
    </row>
    <row r="1158" spans="4:24" x14ac:dyDescent="0.25">
      <c r="D1158" s="7"/>
      <c r="E1158" s="7"/>
      <c r="F1158" s="7"/>
      <c r="G1158" s="7"/>
      <c r="H1158" s="7"/>
      <c r="I1158" s="7"/>
      <c r="J1158" s="7"/>
      <c r="K1158" s="7"/>
      <c r="W1158" s="34"/>
      <c r="X1158" s="39"/>
    </row>
    <row r="1159" spans="4:24" x14ac:dyDescent="0.25">
      <c r="D1159" s="7"/>
      <c r="E1159" s="7"/>
      <c r="F1159" s="7"/>
      <c r="G1159" s="7"/>
      <c r="H1159" s="7"/>
      <c r="I1159" s="7"/>
      <c r="J1159" s="7"/>
      <c r="K1159" s="7"/>
      <c r="W1159" s="34"/>
      <c r="X1159" s="39"/>
    </row>
    <row r="1160" spans="4:24" x14ac:dyDescent="0.25">
      <c r="D1160" s="7"/>
      <c r="E1160" s="7"/>
      <c r="F1160" s="7"/>
      <c r="G1160" s="7"/>
      <c r="H1160" s="7"/>
      <c r="I1160" s="7"/>
      <c r="J1160" s="7"/>
      <c r="K1160" s="7"/>
      <c r="W1160" s="34"/>
      <c r="X1160" s="39"/>
    </row>
    <row r="1161" spans="4:24" x14ac:dyDescent="0.25">
      <c r="D1161" s="7"/>
      <c r="E1161" s="7"/>
      <c r="F1161" s="7"/>
      <c r="G1161" s="7"/>
      <c r="H1161" s="7"/>
      <c r="I1161" s="7"/>
      <c r="J1161" s="7"/>
      <c r="K1161" s="7"/>
      <c r="W1161" s="34"/>
      <c r="X1161" s="39"/>
    </row>
    <row r="1162" spans="4:24" x14ac:dyDescent="0.25">
      <c r="D1162" s="7"/>
      <c r="E1162" s="7"/>
      <c r="F1162" s="7"/>
      <c r="G1162" s="7"/>
      <c r="H1162" s="7"/>
      <c r="I1162" s="7"/>
      <c r="J1162" s="7"/>
      <c r="K1162" s="7"/>
      <c r="W1162" s="34"/>
      <c r="X1162" s="39"/>
    </row>
    <row r="1163" spans="4:24" x14ac:dyDescent="0.25">
      <c r="D1163" s="7"/>
      <c r="E1163" s="7"/>
      <c r="F1163" s="7"/>
      <c r="G1163" s="7"/>
      <c r="H1163" s="7"/>
      <c r="I1163" s="7"/>
      <c r="J1163" s="7"/>
      <c r="K1163" s="7"/>
      <c r="W1163" s="34"/>
      <c r="X1163" s="39"/>
    </row>
    <row r="1164" spans="4:24" x14ac:dyDescent="0.25">
      <c r="D1164" s="7"/>
      <c r="E1164" s="7"/>
      <c r="F1164" s="7"/>
      <c r="G1164" s="7"/>
      <c r="H1164" s="7"/>
      <c r="I1164" s="7"/>
      <c r="J1164" s="7"/>
      <c r="K1164" s="7"/>
      <c r="W1164" s="34"/>
      <c r="X1164" s="39"/>
    </row>
    <row r="1165" spans="4:24" x14ac:dyDescent="0.25">
      <c r="D1165" s="7"/>
      <c r="E1165" s="7"/>
      <c r="F1165" s="7"/>
      <c r="G1165" s="7"/>
      <c r="H1165" s="7"/>
      <c r="I1165" s="7"/>
      <c r="J1165" s="7"/>
      <c r="K1165" s="7"/>
      <c r="W1165" s="34"/>
      <c r="X1165" s="39"/>
    </row>
    <row r="1166" spans="4:24" x14ac:dyDescent="0.25">
      <c r="D1166" s="7"/>
      <c r="E1166" s="7"/>
      <c r="F1166" s="7"/>
      <c r="G1166" s="7"/>
      <c r="H1166" s="7"/>
      <c r="I1166" s="7"/>
      <c r="J1166" s="7"/>
      <c r="K1166" s="7"/>
      <c r="W1166" s="34"/>
      <c r="X1166" s="39"/>
    </row>
    <row r="1167" spans="4:24" x14ac:dyDescent="0.25">
      <c r="D1167" s="7"/>
      <c r="E1167" s="7"/>
      <c r="F1167" s="7"/>
      <c r="G1167" s="7"/>
      <c r="H1167" s="7"/>
      <c r="I1167" s="7"/>
      <c r="J1167" s="7"/>
      <c r="K1167" s="7"/>
      <c r="W1167" s="34"/>
      <c r="X1167" s="39"/>
    </row>
    <row r="1168" spans="4:24" x14ac:dyDescent="0.25">
      <c r="D1168" s="7"/>
      <c r="E1168" s="7"/>
      <c r="F1168" s="7"/>
      <c r="G1168" s="7"/>
      <c r="H1168" s="7"/>
      <c r="I1168" s="7"/>
      <c r="J1168" s="7"/>
      <c r="K1168" s="7"/>
      <c r="W1168" s="34"/>
      <c r="X1168" s="39"/>
    </row>
    <row r="1169" spans="4:24" x14ac:dyDescent="0.25">
      <c r="D1169" s="7"/>
      <c r="E1169" s="7"/>
      <c r="F1169" s="7"/>
      <c r="G1169" s="7"/>
      <c r="H1169" s="7"/>
      <c r="I1169" s="7"/>
      <c r="J1169" s="7"/>
      <c r="K1169" s="7"/>
      <c r="W1169" s="34"/>
      <c r="X1169" s="39"/>
    </row>
    <row r="1170" spans="4:24" x14ac:dyDescent="0.25">
      <c r="D1170" s="7"/>
      <c r="E1170" s="7"/>
      <c r="F1170" s="7"/>
      <c r="G1170" s="7"/>
      <c r="H1170" s="7"/>
      <c r="I1170" s="7"/>
      <c r="J1170" s="7"/>
      <c r="K1170" s="7"/>
      <c r="W1170" s="34"/>
      <c r="X1170" s="39"/>
    </row>
    <row r="1171" spans="4:24" x14ac:dyDescent="0.25">
      <c r="D1171" s="7"/>
      <c r="E1171" s="7"/>
      <c r="F1171" s="7"/>
      <c r="G1171" s="7"/>
      <c r="H1171" s="7"/>
      <c r="I1171" s="7"/>
      <c r="J1171" s="7"/>
      <c r="K1171" s="7"/>
      <c r="W1171" s="34"/>
      <c r="X1171" s="39"/>
    </row>
    <row r="1172" spans="4:24" x14ac:dyDescent="0.25">
      <c r="D1172" s="7"/>
      <c r="E1172" s="7"/>
      <c r="F1172" s="7"/>
      <c r="G1172" s="7"/>
      <c r="H1172" s="7"/>
      <c r="I1172" s="7"/>
      <c r="J1172" s="7"/>
      <c r="K1172" s="7"/>
      <c r="W1172" s="34"/>
      <c r="X1172" s="39"/>
    </row>
    <row r="1173" spans="4:24" x14ac:dyDescent="0.25">
      <c r="D1173" s="7"/>
      <c r="E1173" s="7"/>
      <c r="F1173" s="7"/>
      <c r="G1173" s="7"/>
      <c r="H1173" s="7"/>
      <c r="I1173" s="7"/>
      <c r="J1173" s="7"/>
      <c r="K1173" s="7"/>
      <c r="W1173" s="34"/>
      <c r="X1173" s="39"/>
    </row>
    <row r="1174" spans="4:24" x14ac:dyDescent="0.25">
      <c r="D1174" s="7"/>
      <c r="E1174" s="7"/>
      <c r="F1174" s="7"/>
      <c r="G1174" s="7"/>
      <c r="H1174" s="7"/>
      <c r="I1174" s="7"/>
      <c r="J1174" s="7"/>
      <c r="K1174" s="7"/>
      <c r="W1174" s="34"/>
      <c r="X1174" s="39"/>
    </row>
    <row r="1175" spans="4:24" x14ac:dyDescent="0.25">
      <c r="D1175" s="7"/>
      <c r="E1175" s="7"/>
      <c r="F1175" s="7"/>
      <c r="G1175" s="7"/>
      <c r="H1175" s="7"/>
      <c r="I1175" s="7"/>
      <c r="J1175" s="7"/>
      <c r="K1175" s="7"/>
      <c r="W1175" s="34"/>
      <c r="X1175" s="39"/>
    </row>
    <row r="1176" spans="4:24" x14ac:dyDescent="0.25">
      <c r="D1176" s="7"/>
      <c r="E1176" s="7"/>
      <c r="F1176" s="7"/>
      <c r="G1176" s="7"/>
      <c r="H1176" s="7"/>
      <c r="I1176" s="7"/>
      <c r="J1176" s="7"/>
      <c r="K1176" s="7"/>
      <c r="W1176" s="34"/>
      <c r="X1176" s="39"/>
    </row>
    <row r="1177" spans="4:24" x14ac:dyDescent="0.25">
      <c r="D1177" s="7"/>
      <c r="E1177" s="7"/>
      <c r="F1177" s="7"/>
      <c r="G1177" s="7"/>
      <c r="H1177" s="7"/>
      <c r="I1177" s="7"/>
      <c r="J1177" s="7"/>
      <c r="K1177" s="7"/>
      <c r="W1177" s="34"/>
      <c r="X1177" s="39"/>
    </row>
    <row r="1178" spans="4:24" x14ac:dyDescent="0.25">
      <c r="D1178" s="7"/>
      <c r="E1178" s="7"/>
      <c r="F1178" s="7"/>
      <c r="G1178" s="7"/>
      <c r="H1178" s="7"/>
      <c r="I1178" s="7"/>
      <c r="J1178" s="7"/>
      <c r="K1178" s="7"/>
      <c r="W1178" s="34"/>
      <c r="X1178" s="39"/>
    </row>
    <row r="1179" spans="4:24" x14ac:dyDescent="0.25">
      <c r="D1179" s="7"/>
      <c r="E1179" s="7"/>
      <c r="F1179" s="7"/>
      <c r="G1179" s="7"/>
      <c r="H1179" s="7"/>
      <c r="I1179" s="7"/>
      <c r="J1179" s="7"/>
      <c r="K1179" s="7"/>
      <c r="W1179" s="34"/>
      <c r="X1179" s="39"/>
    </row>
    <row r="1180" spans="4:24" x14ac:dyDescent="0.25">
      <c r="D1180" s="7"/>
      <c r="E1180" s="7"/>
      <c r="F1180" s="7"/>
      <c r="G1180" s="7"/>
      <c r="H1180" s="7"/>
      <c r="I1180" s="7"/>
      <c r="J1180" s="7"/>
      <c r="K1180" s="7"/>
      <c r="W1180" s="34"/>
      <c r="X1180" s="39"/>
    </row>
    <row r="1181" spans="4:24" x14ac:dyDescent="0.25">
      <c r="D1181" s="7"/>
      <c r="E1181" s="7"/>
      <c r="F1181" s="7"/>
      <c r="G1181" s="7"/>
      <c r="H1181" s="7"/>
      <c r="I1181" s="7"/>
      <c r="J1181" s="7"/>
      <c r="K1181" s="7"/>
      <c r="W1181" s="34"/>
      <c r="X1181" s="39"/>
    </row>
    <row r="1182" spans="4:24" x14ac:dyDescent="0.25">
      <c r="D1182" s="7"/>
      <c r="E1182" s="7"/>
      <c r="F1182" s="7"/>
      <c r="G1182" s="7"/>
      <c r="H1182" s="7"/>
      <c r="I1182" s="7"/>
      <c r="J1182" s="7"/>
      <c r="K1182" s="7"/>
      <c r="W1182" s="34"/>
      <c r="X1182" s="39"/>
    </row>
    <row r="1183" spans="4:24" x14ac:dyDescent="0.25">
      <c r="D1183" s="7"/>
      <c r="E1183" s="7"/>
      <c r="F1183" s="7"/>
      <c r="G1183" s="7"/>
      <c r="H1183" s="7"/>
      <c r="I1183" s="7"/>
      <c r="J1183" s="7"/>
      <c r="K1183" s="7"/>
      <c r="W1183" s="34"/>
      <c r="X1183" s="39"/>
    </row>
    <row r="1184" spans="4:24" x14ac:dyDescent="0.25">
      <c r="D1184" s="7"/>
      <c r="E1184" s="7"/>
      <c r="F1184" s="7"/>
      <c r="G1184" s="7"/>
      <c r="H1184" s="7"/>
      <c r="I1184" s="7"/>
      <c r="J1184" s="7"/>
      <c r="K1184" s="7"/>
      <c r="W1184" s="34"/>
      <c r="X1184" s="39"/>
    </row>
    <row r="1185" spans="4:24" x14ac:dyDescent="0.25">
      <c r="D1185" s="7"/>
      <c r="E1185" s="7"/>
      <c r="F1185" s="7"/>
      <c r="G1185" s="7"/>
      <c r="H1185" s="7"/>
      <c r="I1185" s="7"/>
      <c r="J1185" s="7"/>
      <c r="K1185" s="7"/>
      <c r="W1185" s="34"/>
      <c r="X1185" s="39"/>
    </row>
    <row r="1186" spans="4:24" x14ac:dyDescent="0.25">
      <c r="D1186" s="7"/>
      <c r="E1186" s="7"/>
      <c r="F1186" s="7"/>
      <c r="G1186" s="7"/>
      <c r="H1186" s="7"/>
      <c r="I1186" s="7"/>
      <c r="J1186" s="7"/>
      <c r="K1186" s="7"/>
      <c r="W1186" s="34"/>
      <c r="X1186" s="39"/>
    </row>
    <row r="1187" spans="4:24" x14ac:dyDescent="0.25">
      <c r="D1187" s="7"/>
      <c r="E1187" s="7"/>
      <c r="F1187" s="7"/>
      <c r="G1187" s="7"/>
      <c r="H1187" s="7"/>
      <c r="I1187" s="7"/>
      <c r="J1187" s="7"/>
      <c r="K1187" s="7"/>
      <c r="W1187" s="34"/>
      <c r="X1187" s="39"/>
    </row>
    <row r="1188" spans="4:24" x14ac:dyDescent="0.25">
      <c r="D1188" s="7"/>
      <c r="E1188" s="7"/>
      <c r="F1188" s="7"/>
      <c r="G1188" s="7"/>
      <c r="H1188" s="7"/>
      <c r="I1188" s="7"/>
      <c r="J1188" s="7"/>
      <c r="K1188" s="7"/>
      <c r="W1188" s="34"/>
      <c r="X1188" s="39"/>
    </row>
    <row r="1189" spans="4:24" x14ac:dyDescent="0.25">
      <c r="D1189" s="7"/>
      <c r="E1189" s="7"/>
      <c r="F1189" s="7"/>
      <c r="G1189" s="7"/>
      <c r="H1189" s="7"/>
      <c r="I1189" s="7"/>
      <c r="J1189" s="7"/>
      <c r="K1189" s="7"/>
      <c r="W1189" s="34"/>
      <c r="X1189" s="39"/>
    </row>
    <row r="1190" spans="4:24" x14ac:dyDescent="0.25">
      <c r="D1190" s="7"/>
      <c r="E1190" s="7"/>
      <c r="F1190" s="7"/>
      <c r="G1190" s="7"/>
      <c r="H1190" s="7"/>
      <c r="I1190" s="7"/>
      <c r="J1190" s="7"/>
      <c r="K1190" s="7"/>
      <c r="W1190" s="34"/>
      <c r="X1190" s="39"/>
    </row>
    <row r="1191" spans="4:24" x14ac:dyDescent="0.25">
      <c r="D1191" s="7"/>
      <c r="E1191" s="7"/>
      <c r="F1191" s="7"/>
      <c r="G1191" s="7"/>
      <c r="H1191" s="7"/>
      <c r="I1191" s="7"/>
      <c r="J1191" s="7"/>
      <c r="K1191" s="7"/>
      <c r="W1191" s="34"/>
      <c r="X1191" s="39"/>
    </row>
    <row r="1192" spans="4:24" x14ac:dyDescent="0.25">
      <c r="D1192" s="7"/>
      <c r="E1192" s="7"/>
      <c r="F1192" s="7"/>
      <c r="G1192" s="7"/>
      <c r="H1192" s="7"/>
      <c r="I1192" s="7"/>
      <c r="J1192" s="7"/>
      <c r="K1192" s="7"/>
      <c r="W1192" s="34"/>
      <c r="X1192" s="39"/>
    </row>
    <row r="1193" spans="4:24" x14ac:dyDescent="0.25">
      <c r="D1193" s="7"/>
      <c r="E1193" s="7"/>
      <c r="F1193" s="7"/>
      <c r="G1193" s="7"/>
      <c r="H1193" s="7"/>
      <c r="I1193" s="7"/>
      <c r="J1193" s="7"/>
      <c r="K1193" s="7"/>
      <c r="W1193" s="34"/>
      <c r="X1193" s="39"/>
    </row>
    <row r="1194" spans="4:24" x14ac:dyDescent="0.25">
      <c r="D1194" s="7"/>
      <c r="E1194" s="7"/>
      <c r="F1194" s="7"/>
      <c r="G1194" s="7"/>
      <c r="H1194" s="7"/>
      <c r="I1194" s="7"/>
      <c r="J1194" s="7"/>
      <c r="K1194" s="7"/>
      <c r="W1194" s="34"/>
      <c r="X1194" s="39"/>
    </row>
    <row r="1195" spans="4:24" x14ac:dyDescent="0.25">
      <c r="D1195" s="7"/>
      <c r="E1195" s="7"/>
      <c r="F1195" s="7"/>
      <c r="G1195" s="7"/>
      <c r="H1195" s="7"/>
      <c r="I1195" s="7"/>
      <c r="J1195" s="7"/>
      <c r="K1195" s="7"/>
      <c r="W1195" s="34"/>
      <c r="X1195" s="39"/>
    </row>
    <row r="1196" spans="4:24" x14ac:dyDescent="0.25">
      <c r="D1196" s="7"/>
      <c r="E1196" s="7"/>
      <c r="F1196" s="7"/>
      <c r="G1196" s="7"/>
      <c r="H1196" s="7"/>
      <c r="I1196" s="7"/>
      <c r="J1196" s="7"/>
      <c r="K1196" s="7"/>
      <c r="W1196" s="34"/>
      <c r="X1196" s="39"/>
    </row>
    <row r="1197" spans="4:24" x14ac:dyDescent="0.25">
      <c r="D1197" s="7"/>
      <c r="E1197" s="7"/>
      <c r="F1197" s="7"/>
      <c r="G1197" s="7"/>
      <c r="H1197" s="7"/>
      <c r="I1197" s="7"/>
      <c r="J1197" s="7"/>
      <c r="K1197" s="7"/>
      <c r="W1197" s="34"/>
      <c r="X1197" s="39"/>
    </row>
    <row r="1198" spans="4:24" x14ac:dyDescent="0.25">
      <c r="D1198" s="7"/>
      <c r="E1198" s="7"/>
      <c r="F1198" s="7"/>
      <c r="G1198" s="7"/>
      <c r="H1198" s="7"/>
      <c r="I1198" s="7"/>
      <c r="J1198" s="7"/>
      <c r="K1198" s="7"/>
      <c r="W1198" s="34"/>
      <c r="X1198" s="39"/>
    </row>
    <row r="1199" spans="4:24" x14ac:dyDescent="0.25">
      <c r="D1199" s="7"/>
      <c r="E1199" s="7"/>
      <c r="F1199" s="7"/>
      <c r="G1199" s="7"/>
      <c r="H1199" s="7"/>
      <c r="I1199" s="7"/>
      <c r="J1199" s="7"/>
      <c r="K1199" s="7"/>
      <c r="W1199" s="34"/>
      <c r="X1199" s="39"/>
    </row>
    <row r="1200" spans="4:24" x14ac:dyDescent="0.25">
      <c r="D1200" s="7"/>
      <c r="E1200" s="7"/>
      <c r="F1200" s="7"/>
      <c r="G1200" s="7"/>
      <c r="H1200" s="7"/>
      <c r="I1200" s="7"/>
      <c r="J1200" s="7"/>
      <c r="K1200" s="7"/>
      <c r="W1200" s="34"/>
      <c r="X1200" s="39"/>
    </row>
    <row r="1201" spans="4:24" x14ac:dyDescent="0.25">
      <c r="D1201" s="7"/>
      <c r="E1201" s="7"/>
      <c r="F1201" s="7"/>
      <c r="G1201" s="7"/>
      <c r="H1201" s="7"/>
      <c r="I1201" s="7"/>
      <c r="J1201" s="7"/>
      <c r="K1201" s="7"/>
      <c r="W1201" s="34"/>
      <c r="X1201" s="39"/>
    </row>
    <row r="1202" spans="4:24" x14ac:dyDescent="0.25">
      <c r="D1202" s="7"/>
      <c r="E1202" s="7"/>
      <c r="F1202" s="7"/>
      <c r="G1202" s="7"/>
      <c r="H1202" s="7"/>
      <c r="I1202" s="7"/>
      <c r="J1202" s="7"/>
      <c r="K1202" s="7"/>
      <c r="W1202" s="34"/>
      <c r="X1202" s="39"/>
    </row>
    <row r="1203" spans="4:24" x14ac:dyDescent="0.25">
      <c r="D1203" s="7"/>
      <c r="E1203" s="7"/>
      <c r="F1203" s="7"/>
      <c r="G1203" s="7"/>
      <c r="H1203" s="7"/>
      <c r="I1203" s="7"/>
      <c r="J1203" s="7"/>
      <c r="K1203" s="7"/>
      <c r="W1203" s="34"/>
      <c r="X1203" s="39"/>
    </row>
    <row r="1204" spans="4:24" x14ac:dyDescent="0.25">
      <c r="D1204" s="7"/>
      <c r="E1204" s="7"/>
      <c r="F1204" s="7"/>
      <c r="G1204" s="7"/>
      <c r="H1204" s="7"/>
      <c r="I1204" s="7"/>
      <c r="J1204" s="7"/>
      <c r="K1204" s="7"/>
      <c r="W1204" s="34"/>
      <c r="X1204" s="39"/>
    </row>
    <row r="1205" spans="4:24" x14ac:dyDescent="0.25">
      <c r="D1205" s="7"/>
      <c r="E1205" s="7"/>
      <c r="F1205" s="7"/>
      <c r="G1205" s="7"/>
      <c r="H1205" s="7"/>
      <c r="I1205" s="7"/>
      <c r="J1205" s="7"/>
      <c r="K1205" s="7"/>
      <c r="W1205" s="34"/>
      <c r="X1205" s="39"/>
    </row>
    <row r="1206" spans="4:24" x14ac:dyDescent="0.25">
      <c r="D1206" s="7"/>
      <c r="E1206" s="7"/>
      <c r="F1206" s="7"/>
      <c r="G1206" s="7"/>
      <c r="H1206" s="7"/>
      <c r="I1206" s="7"/>
      <c r="J1206" s="7"/>
      <c r="K1206" s="7"/>
      <c r="W1206" s="34"/>
      <c r="X1206" s="39"/>
    </row>
    <row r="1207" spans="4:24" x14ac:dyDescent="0.25">
      <c r="D1207" s="7"/>
      <c r="E1207" s="7"/>
      <c r="F1207" s="7"/>
      <c r="G1207" s="7"/>
      <c r="H1207" s="7"/>
      <c r="I1207" s="7"/>
      <c r="J1207" s="7"/>
      <c r="K1207" s="7"/>
      <c r="W1207" s="34"/>
      <c r="X1207" s="39"/>
    </row>
    <row r="1208" spans="4:24" x14ac:dyDescent="0.25">
      <c r="D1208" s="7"/>
      <c r="E1208" s="7"/>
      <c r="F1208" s="7"/>
      <c r="G1208" s="7"/>
      <c r="H1208" s="7"/>
      <c r="I1208" s="7"/>
      <c r="J1208" s="7"/>
      <c r="K1208" s="7"/>
      <c r="W1208" s="34"/>
      <c r="X1208" s="39"/>
    </row>
    <row r="1209" spans="4:24" x14ac:dyDescent="0.25">
      <c r="D1209" s="7"/>
      <c r="E1209" s="7"/>
      <c r="F1209" s="7"/>
      <c r="G1209" s="7"/>
      <c r="H1209" s="7"/>
      <c r="I1209" s="7"/>
      <c r="J1209" s="7"/>
      <c r="K1209" s="7"/>
      <c r="W1209" s="34"/>
      <c r="X1209" s="39"/>
    </row>
    <row r="1210" spans="4:24" x14ac:dyDescent="0.25">
      <c r="D1210" s="7"/>
      <c r="E1210" s="7"/>
      <c r="F1210" s="7"/>
      <c r="G1210" s="7"/>
      <c r="H1210" s="7"/>
      <c r="I1210" s="7"/>
      <c r="J1210" s="7"/>
      <c r="K1210" s="7"/>
      <c r="W1210" s="34"/>
      <c r="X1210" s="39"/>
    </row>
    <row r="1211" spans="4:24" x14ac:dyDescent="0.25">
      <c r="D1211" s="7"/>
      <c r="E1211" s="7"/>
      <c r="F1211" s="7"/>
      <c r="G1211" s="7"/>
      <c r="H1211" s="7"/>
      <c r="I1211" s="7"/>
      <c r="J1211" s="7"/>
      <c r="K1211" s="7"/>
      <c r="W1211" s="34"/>
      <c r="X1211" s="39"/>
    </row>
    <row r="1212" spans="4:24" x14ac:dyDescent="0.25">
      <c r="D1212" s="7"/>
      <c r="E1212" s="7"/>
      <c r="F1212" s="7"/>
      <c r="G1212" s="7"/>
      <c r="H1212" s="7"/>
      <c r="I1212" s="7"/>
      <c r="J1212" s="7"/>
      <c r="K1212" s="7"/>
      <c r="W1212" s="34"/>
      <c r="X1212" s="39"/>
    </row>
    <row r="1213" spans="4:24" x14ac:dyDescent="0.25">
      <c r="D1213" s="7"/>
      <c r="E1213" s="7"/>
      <c r="F1213" s="7"/>
      <c r="G1213" s="7"/>
      <c r="H1213" s="7"/>
      <c r="I1213" s="7"/>
      <c r="J1213" s="7"/>
      <c r="K1213" s="7"/>
      <c r="W1213" s="34"/>
      <c r="X1213" s="39"/>
    </row>
    <row r="1214" spans="4:24" x14ac:dyDescent="0.25">
      <c r="D1214" s="7"/>
      <c r="E1214" s="7"/>
      <c r="F1214" s="7"/>
      <c r="G1214" s="7"/>
      <c r="H1214" s="7"/>
      <c r="I1214" s="7"/>
      <c r="J1214" s="7"/>
      <c r="K1214" s="7"/>
      <c r="W1214" s="34"/>
      <c r="X1214" s="39"/>
    </row>
    <row r="1215" spans="4:24" x14ac:dyDescent="0.25">
      <c r="D1215" s="7"/>
      <c r="E1215" s="7"/>
      <c r="F1215" s="7"/>
      <c r="G1215" s="7"/>
      <c r="H1215" s="7"/>
      <c r="I1215" s="7"/>
      <c r="J1215" s="7"/>
      <c r="K1215" s="7"/>
      <c r="W1215" s="34"/>
      <c r="X1215" s="39"/>
    </row>
    <row r="1216" spans="4:24" x14ac:dyDescent="0.25">
      <c r="D1216" s="7"/>
      <c r="E1216" s="7"/>
      <c r="F1216" s="7"/>
      <c r="G1216" s="7"/>
      <c r="H1216" s="7"/>
      <c r="I1216" s="7"/>
      <c r="J1216" s="7"/>
      <c r="K1216" s="7"/>
      <c r="W1216" s="34"/>
      <c r="X1216" s="39"/>
    </row>
    <row r="1217" spans="4:24" x14ac:dyDescent="0.25">
      <c r="D1217" s="7"/>
      <c r="E1217" s="7"/>
      <c r="F1217" s="7"/>
      <c r="G1217" s="7"/>
      <c r="H1217" s="7"/>
      <c r="I1217" s="7"/>
      <c r="J1217" s="7"/>
      <c r="K1217" s="7"/>
      <c r="W1217" s="34"/>
      <c r="X1217" s="39"/>
    </row>
    <row r="1218" spans="4:24" x14ac:dyDescent="0.25">
      <c r="D1218" s="7"/>
      <c r="E1218" s="7"/>
      <c r="F1218" s="7"/>
      <c r="G1218" s="7"/>
      <c r="H1218" s="7"/>
      <c r="I1218" s="7"/>
      <c r="J1218" s="7"/>
      <c r="K1218" s="7"/>
      <c r="W1218" s="34"/>
      <c r="X1218" s="39"/>
    </row>
    <row r="1219" spans="4:24" x14ac:dyDescent="0.25">
      <c r="D1219" s="7"/>
      <c r="E1219" s="7"/>
      <c r="F1219" s="7"/>
      <c r="G1219" s="7"/>
      <c r="H1219" s="7"/>
      <c r="I1219" s="7"/>
      <c r="J1219" s="7"/>
      <c r="K1219" s="7"/>
      <c r="W1219" s="34"/>
      <c r="X1219" s="39"/>
    </row>
    <row r="1220" spans="4:24" x14ac:dyDescent="0.25">
      <c r="D1220" s="7"/>
      <c r="E1220" s="7"/>
      <c r="F1220" s="7"/>
      <c r="G1220" s="7"/>
      <c r="H1220" s="7"/>
      <c r="I1220" s="7"/>
      <c r="J1220" s="7"/>
      <c r="K1220" s="7"/>
      <c r="W1220" s="34"/>
      <c r="X1220" s="39"/>
    </row>
    <row r="1221" spans="4:24" x14ac:dyDescent="0.25">
      <c r="D1221" s="7"/>
      <c r="E1221" s="7"/>
      <c r="F1221" s="7"/>
      <c r="G1221" s="7"/>
      <c r="H1221" s="7"/>
      <c r="I1221" s="7"/>
      <c r="J1221" s="7"/>
      <c r="K1221" s="7"/>
      <c r="W1221" s="34"/>
      <c r="X1221" s="39"/>
    </row>
    <row r="1222" spans="4:24" x14ac:dyDescent="0.25">
      <c r="D1222" s="7"/>
      <c r="E1222" s="7"/>
      <c r="F1222" s="7"/>
      <c r="G1222" s="7"/>
      <c r="H1222" s="7"/>
      <c r="I1222" s="7"/>
      <c r="J1222" s="7"/>
      <c r="K1222" s="7"/>
      <c r="W1222" s="34"/>
      <c r="X1222" s="39"/>
    </row>
    <row r="1223" spans="4:24" x14ac:dyDescent="0.25">
      <c r="D1223" s="7"/>
      <c r="E1223" s="7"/>
      <c r="F1223" s="7"/>
      <c r="G1223" s="7"/>
      <c r="H1223" s="7"/>
      <c r="I1223" s="7"/>
      <c r="J1223" s="7"/>
      <c r="K1223" s="7"/>
      <c r="W1223" s="34"/>
      <c r="X1223" s="39"/>
    </row>
    <row r="1224" spans="4:24" x14ac:dyDescent="0.25">
      <c r="D1224" s="7"/>
      <c r="E1224" s="7"/>
      <c r="F1224" s="7"/>
      <c r="G1224" s="7"/>
      <c r="H1224" s="7"/>
      <c r="I1224" s="7"/>
      <c r="J1224" s="7"/>
      <c r="K1224" s="7"/>
      <c r="W1224" s="34"/>
      <c r="X1224" s="39"/>
    </row>
    <row r="1225" spans="4:24" x14ac:dyDescent="0.25">
      <c r="D1225" s="7"/>
      <c r="E1225" s="7"/>
      <c r="F1225" s="7"/>
      <c r="G1225" s="7"/>
      <c r="H1225" s="7"/>
      <c r="I1225" s="7"/>
      <c r="J1225" s="7"/>
      <c r="K1225" s="7"/>
      <c r="W1225" s="34"/>
      <c r="X1225" s="39"/>
    </row>
    <row r="1226" spans="4:24" x14ac:dyDescent="0.25">
      <c r="D1226" s="7"/>
      <c r="E1226" s="7"/>
      <c r="F1226" s="7"/>
      <c r="G1226" s="7"/>
      <c r="H1226" s="7"/>
      <c r="I1226" s="7"/>
      <c r="J1226" s="7"/>
      <c r="K1226" s="7"/>
      <c r="W1226" s="34"/>
      <c r="X1226" s="39"/>
    </row>
    <row r="1227" spans="4:24" x14ac:dyDescent="0.25">
      <c r="D1227" s="7"/>
      <c r="E1227" s="7"/>
      <c r="F1227" s="7"/>
      <c r="G1227" s="7"/>
      <c r="H1227" s="7"/>
      <c r="I1227" s="7"/>
      <c r="J1227" s="7"/>
      <c r="K1227" s="7"/>
      <c r="W1227" s="34"/>
      <c r="X1227" s="39"/>
    </row>
    <row r="1228" spans="4:24" x14ac:dyDescent="0.25">
      <c r="D1228" s="7"/>
      <c r="E1228" s="7"/>
      <c r="F1228" s="7"/>
      <c r="G1228" s="7"/>
      <c r="H1228" s="7"/>
      <c r="I1228" s="7"/>
      <c r="J1228" s="7"/>
      <c r="K1228" s="7"/>
      <c r="W1228" s="34"/>
      <c r="X1228" s="39"/>
    </row>
    <row r="1229" spans="4:24" x14ac:dyDescent="0.25">
      <c r="D1229" s="7"/>
      <c r="E1229" s="7"/>
      <c r="F1229" s="7"/>
      <c r="G1229" s="7"/>
      <c r="H1229" s="7"/>
      <c r="I1229" s="7"/>
      <c r="J1229" s="7"/>
      <c r="K1229" s="7"/>
      <c r="W1229" s="34"/>
      <c r="X1229" s="39"/>
    </row>
    <row r="1230" spans="4:24" x14ac:dyDescent="0.25">
      <c r="D1230" s="7"/>
      <c r="E1230" s="7"/>
      <c r="F1230" s="7"/>
      <c r="G1230" s="7"/>
      <c r="H1230" s="7"/>
      <c r="I1230" s="7"/>
      <c r="J1230" s="7"/>
      <c r="K1230" s="7"/>
      <c r="W1230" s="34"/>
      <c r="X1230" s="39"/>
    </row>
    <row r="1231" spans="4:24" x14ac:dyDescent="0.25">
      <c r="D1231" s="7"/>
      <c r="E1231" s="7"/>
      <c r="F1231" s="7"/>
      <c r="G1231" s="7"/>
      <c r="H1231" s="7"/>
      <c r="I1231" s="7"/>
      <c r="J1231" s="7"/>
      <c r="K1231" s="7"/>
      <c r="W1231" s="34"/>
      <c r="X1231" s="39"/>
    </row>
    <row r="1232" spans="4:24" x14ac:dyDescent="0.25">
      <c r="D1232" s="7"/>
      <c r="E1232" s="7"/>
      <c r="F1232" s="7"/>
      <c r="G1232" s="7"/>
      <c r="H1232" s="7"/>
      <c r="I1232" s="7"/>
      <c r="J1232" s="7"/>
      <c r="K1232" s="7"/>
      <c r="W1232" s="34"/>
      <c r="X1232" s="39"/>
    </row>
    <row r="1233" spans="4:24" x14ac:dyDescent="0.25">
      <c r="D1233" s="7"/>
      <c r="E1233" s="7"/>
      <c r="F1233" s="7"/>
      <c r="G1233" s="7"/>
      <c r="H1233" s="7"/>
      <c r="I1233" s="7"/>
      <c r="J1233" s="7"/>
      <c r="K1233" s="7"/>
      <c r="W1233" s="34"/>
      <c r="X1233" s="39"/>
    </row>
    <row r="1234" spans="4:24" x14ac:dyDescent="0.25">
      <c r="D1234" s="7"/>
      <c r="E1234" s="7"/>
      <c r="F1234" s="7"/>
      <c r="G1234" s="7"/>
      <c r="H1234" s="7"/>
      <c r="I1234" s="7"/>
      <c r="J1234" s="7"/>
      <c r="K1234" s="7"/>
      <c r="W1234" s="34"/>
      <c r="X1234" s="39"/>
    </row>
    <row r="1235" spans="4:24" x14ac:dyDescent="0.25">
      <c r="D1235" s="7"/>
      <c r="E1235" s="7"/>
      <c r="F1235" s="7"/>
      <c r="G1235" s="7"/>
      <c r="H1235" s="7"/>
      <c r="I1235" s="7"/>
      <c r="J1235" s="7"/>
      <c r="K1235" s="7"/>
      <c r="W1235" s="34"/>
      <c r="X1235" s="39"/>
    </row>
    <row r="1236" spans="4:24" x14ac:dyDescent="0.25">
      <c r="D1236" s="7"/>
      <c r="E1236" s="7"/>
      <c r="F1236" s="7"/>
      <c r="G1236" s="7"/>
      <c r="H1236" s="7"/>
      <c r="I1236" s="7"/>
      <c r="J1236" s="7"/>
      <c r="K1236" s="7"/>
      <c r="W1236" s="34"/>
      <c r="X1236" s="39"/>
    </row>
    <row r="1237" spans="4:24" x14ac:dyDescent="0.25">
      <c r="D1237" s="7"/>
      <c r="E1237" s="7"/>
      <c r="F1237" s="7"/>
      <c r="G1237" s="7"/>
      <c r="H1237" s="7"/>
      <c r="I1237" s="7"/>
      <c r="J1237" s="7"/>
      <c r="K1237" s="7"/>
      <c r="W1237" s="34"/>
      <c r="X1237" s="39"/>
    </row>
    <row r="1238" spans="4:24" x14ac:dyDescent="0.25">
      <c r="D1238" s="7"/>
      <c r="E1238" s="7"/>
      <c r="F1238" s="7"/>
      <c r="G1238" s="7"/>
      <c r="H1238" s="7"/>
      <c r="I1238" s="7"/>
      <c r="J1238" s="7"/>
      <c r="K1238" s="7"/>
      <c r="W1238" s="34"/>
      <c r="X1238" s="39"/>
    </row>
    <row r="1239" spans="4:24" x14ac:dyDescent="0.25">
      <c r="D1239" s="7"/>
      <c r="E1239" s="7"/>
      <c r="F1239" s="7"/>
      <c r="G1239" s="7"/>
      <c r="H1239" s="7"/>
      <c r="I1239" s="7"/>
      <c r="J1239" s="7"/>
      <c r="K1239" s="7"/>
      <c r="W1239" s="34"/>
      <c r="X1239" s="39"/>
    </row>
    <row r="1240" spans="4:24" x14ac:dyDescent="0.25">
      <c r="D1240" s="7"/>
      <c r="E1240" s="7"/>
      <c r="F1240" s="7"/>
      <c r="G1240" s="7"/>
      <c r="H1240" s="7"/>
      <c r="I1240" s="7"/>
      <c r="J1240" s="7"/>
      <c r="K1240" s="7"/>
      <c r="W1240" s="34"/>
      <c r="X1240" s="39"/>
    </row>
    <row r="1241" spans="4:24" x14ac:dyDescent="0.25">
      <c r="D1241" s="7"/>
      <c r="E1241" s="7"/>
      <c r="F1241" s="7"/>
      <c r="G1241" s="7"/>
      <c r="H1241" s="7"/>
      <c r="I1241" s="7"/>
      <c r="J1241" s="7"/>
      <c r="K1241" s="7"/>
      <c r="W1241" s="34"/>
      <c r="X1241" s="39"/>
    </row>
    <row r="1242" spans="4:24" x14ac:dyDescent="0.25">
      <c r="D1242" s="7"/>
      <c r="E1242" s="7"/>
      <c r="F1242" s="7"/>
      <c r="G1242" s="7"/>
      <c r="H1242" s="7"/>
      <c r="I1242" s="7"/>
      <c r="J1242" s="7"/>
      <c r="K1242" s="7"/>
      <c r="W1242" s="34"/>
      <c r="X1242" s="39"/>
    </row>
    <row r="1243" spans="4:24" x14ac:dyDescent="0.25">
      <c r="D1243" s="7"/>
      <c r="E1243" s="7"/>
      <c r="F1243" s="7"/>
      <c r="G1243" s="7"/>
      <c r="H1243" s="7"/>
      <c r="I1243" s="7"/>
      <c r="J1243" s="7"/>
      <c r="K1243" s="7"/>
      <c r="W1243" s="34"/>
      <c r="X1243" s="39"/>
    </row>
    <row r="1244" spans="4:24" x14ac:dyDescent="0.25">
      <c r="D1244" s="7"/>
      <c r="E1244" s="7"/>
      <c r="F1244" s="7"/>
      <c r="G1244" s="7"/>
      <c r="H1244" s="7"/>
      <c r="I1244" s="7"/>
      <c r="J1244" s="7"/>
      <c r="K1244" s="7"/>
      <c r="W1244" s="34"/>
      <c r="X1244" s="39"/>
    </row>
    <row r="1245" spans="4:24" x14ac:dyDescent="0.25">
      <c r="D1245" s="7"/>
      <c r="E1245" s="7"/>
      <c r="F1245" s="7"/>
      <c r="G1245" s="7"/>
      <c r="H1245" s="7"/>
      <c r="I1245" s="7"/>
      <c r="J1245" s="7"/>
      <c r="K1245" s="7"/>
      <c r="W1245" s="34"/>
      <c r="X1245" s="39"/>
    </row>
    <row r="1246" spans="4:24" x14ac:dyDescent="0.25">
      <c r="D1246" s="7"/>
      <c r="E1246" s="7"/>
      <c r="F1246" s="7"/>
      <c r="G1246" s="7"/>
      <c r="H1246" s="7"/>
      <c r="I1246" s="7"/>
      <c r="J1246" s="7"/>
      <c r="K1246" s="7"/>
      <c r="W1246" s="34"/>
      <c r="X1246" s="39"/>
    </row>
    <row r="1247" spans="4:24" x14ac:dyDescent="0.25">
      <c r="D1247" s="7"/>
      <c r="E1247" s="7"/>
      <c r="F1247" s="7"/>
      <c r="G1247" s="7"/>
      <c r="H1247" s="7"/>
      <c r="I1247" s="7"/>
      <c r="J1247" s="7"/>
      <c r="K1247" s="7"/>
      <c r="W1247" s="34"/>
      <c r="X1247" s="39"/>
    </row>
    <row r="1248" spans="4:24" x14ac:dyDescent="0.25">
      <c r="D1248" s="7"/>
      <c r="E1248" s="7"/>
      <c r="F1248" s="7"/>
      <c r="G1248" s="7"/>
      <c r="H1248" s="7"/>
      <c r="I1248" s="7"/>
      <c r="J1248" s="7"/>
      <c r="K1248" s="7"/>
      <c r="W1248" s="34"/>
      <c r="X1248" s="39"/>
    </row>
    <row r="1249" spans="4:24" x14ac:dyDescent="0.25">
      <c r="D1249" s="7"/>
      <c r="E1249" s="7"/>
      <c r="F1249" s="7"/>
      <c r="G1249" s="7"/>
      <c r="H1249" s="7"/>
      <c r="I1249" s="7"/>
      <c r="J1249" s="7"/>
      <c r="K1249" s="7"/>
      <c r="W1249" s="34"/>
      <c r="X1249" s="39"/>
    </row>
    <row r="1250" spans="4:24" x14ac:dyDescent="0.25">
      <c r="D1250" s="7"/>
      <c r="E1250" s="7"/>
      <c r="F1250" s="7"/>
      <c r="G1250" s="7"/>
      <c r="H1250" s="7"/>
      <c r="I1250" s="7"/>
      <c r="J1250" s="7"/>
      <c r="K1250" s="7"/>
      <c r="W1250" s="34"/>
      <c r="X1250" s="39"/>
    </row>
    <row r="1251" spans="4:24" x14ac:dyDescent="0.25">
      <c r="D1251" s="7"/>
      <c r="E1251" s="7"/>
      <c r="F1251" s="7"/>
      <c r="G1251" s="7"/>
      <c r="H1251" s="7"/>
      <c r="I1251" s="7"/>
      <c r="J1251" s="7"/>
      <c r="K1251" s="7"/>
      <c r="W1251" s="34"/>
      <c r="X1251" s="39"/>
    </row>
    <row r="1252" spans="4:24" x14ac:dyDescent="0.25">
      <c r="D1252" s="7"/>
      <c r="E1252" s="7"/>
      <c r="F1252" s="7"/>
      <c r="G1252" s="7"/>
      <c r="H1252" s="7"/>
      <c r="I1252" s="7"/>
      <c r="J1252" s="7"/>
      <c r="K1252" s="7"/>
      <c r="W1252" s="34"/>
      <c r="X1252" s="39"/>
    </row>
    <row r="1253" spans="4:24" x14ac:dyDescent="0.25">
      <c r="D1253" s="7"/>
      <c r="E1253" s="7"/>
      <c r="F1253" s="7"/>
      <c r="G1253" s="7"/>
      <c r="H1253" s="7"/>
      <c r="I1253" s="7"/>
      <c r="J1253" s="7"/>
      <c r="K1253" s="7"/>
      <c r="W1253" s="34"/>
      <c r="X1253" s="39"/>
    </row>
    <row r="1254" spans="4:24" x14ac:dyDescent="0.25">
      <c r="D1254" s="7"/>
      <c r="E1254" s="7"/>
      <c r="F1254" s="7"/>
      <c r="G1254" s="7"/>
      <c r="H1254" s="7"/>
      <c r="I1254" s="7"/>
      <c r="J1254" s="7"/>
      <c r="K1254" s="7"/>
      <c r="W1254" s="34"/>
      <c r="X1254" s="39"/>
    </row>
    <row r="1255" spans="4:24" x14ac:dyDescent="0.25">
      <c r="D1255" s="7"/>
      <c r="E1255" s="7"/>
      <c r="F1255" s="7"/>
      <c r="G1255" s="7"/>
      <c r="H1255" s="7"/>
      <c r="I1255" s="7"/>
      <c r="J1255" s="7"/>
      <c r="K1255" s="7"/>
      <c r="W1255" s="34"/>
      <c r="X1255" s="39"/>
    </row>
    <row r="1256" spans="4:24" x14ac:dyDescent="0.25">
      <c r="D1256" s="7"/>
      <c r="E1256" s="7"/>
      <c r="F1256" s="7"/>
      <c r="G1256" s="7"/>
      <c r="H1256" s="7"/>
      <c r="I1256" s="7"/>
      <c r="J1256" s="7"/>
      <c r="K1256" s="7"/>
      <c r="W1256" s="34"/>
      <c r="X1256" s="39"/>
    </row>
    <row r="1257" spans="4:24" x14ac:dyDescent="0.25">
      <c r="D1257" s="7"/>
      <c r="E1257" s="7"/>
      <c r="F1257" s="7"/>
      <c r="G1257" s="7"/>
      <c r="H1257" s="7"/>
      <c r="I1257" s="7"/>
      <c r="J1257" s="7"/>
      <c r="K1257" s="7"/>
      <c r="W1257" s="34"/>
      <c r="X1257" s="39"/>
    </row>
    <row r="1258" spans="4:24" x14ac:dyDescent="0.25">
      <c r="D1258" s="7"/>
      <c r="E1258" s="7"/>
      <c r="F1258" s="7"/>
      <c r="G1258" s="7"/>
      <c r="H1258" s="7"/>
      <c r="I1258" s="7"/>
      <c r="J1258" s="7"/>
      <c r="K1258" s="7"/>
      <c r="W1258" s="34"/>
      <c r="X1258" s="39"/>
    </row>
    <row r="1259" spans="4:24" x14ac:dyDescent="0.25">
      <c r="D1259" s="7"/>
      <c r="E1259" s="7"/>
      <c r="F1259" s="7"/>
      <c r="G1259" s="7"/>
      <c r="H1259" s="7"/>
      <c r="I1259" s="7"/>
      <c r="J1259" s="7"/>
      <c r="K1259" s="7"/>
      <c r="W1259" s="34"/>
      <c r="X1259" s="39"/>
    </row>
    <row r="1260" spans="4:24" x14ac:dyDescent="0.25">
      <c r="D1260" s="7"/>
      <c r="E1260" s="7"/>
      <c r="F1260" s="7"/>
      <c r="G1260" s="7"/>
      <c r="H1260" s="7"/>
      <c r="I1260" s="7"/>
      <c r="J1260" s="7"/>
      <c r="K1260" s="7"/>
      <c r="W1260" s="34"/>
      <c r="X1260" s="39"/>
    </row>
    <row r="1261" spans="4:24" x14ac:dyDescent="0.25">
      <c r="D1261" s="7"/>
      <c r="E1261" s="7"/>
      <c r="F1261" s="7"/>
      <c r="G1261" s="7"/>
      <c r="H1261" s="7"/>
      <c r="I1261" s="7"/>
      <c r="J1261" s="7"/>
      <c r="K1261" s="7"/>
      <c r="W1261" s="34"/>
      <c r="X1261" s="39"/>
    </row>
    <row r="1262" spans="4:24" x14ac:dyDescent="0.25">
      <c r="D1262" s="7"/>
      <c r="E1262" s="7"/>
      <c r="F1262" s="7"/>
      <c r="G1262" s="7"/>
      <c r="H1262" s="7"/>
      <c r="I1262" s="7"/>
      <c r="J1262" s="7"/>
      <c r="K1262" s="7"/>
      <c r="W1262" s="34"/>
      <c r="X1262" s="39"/>
    </row>
    <row r="1263" spans="4:24" x14ac:dyDescent="0.25">
      <c r="D1263" s="7"/>
      <c r="E1263" s="7"/>
      <c r="F1263" s="7"/>
      <c r="G1263" s="7"/>
      <c r="H1263" s="7"/>
      <c r="I1263" s="7"/>
      <c r="J1263" s="7"/>
      <c r="K1263" s="7"/>
      <c r="W1263" s="34"/>
      <c r="X1263" s="39"/>
    </row>
    <row r="1264" spans="4:24" x14ac:dyDescent="0.25">
      <c r="D1264" s="7"/>
      <c r="E1264" s="7"/>
      <c r="F1264" s="7"/>
      <c r="G1264" s="7"/>
      <c r="H1264" s="7"/>
      <c r="I1264" s="7"/>
      <c r="J1264" s="7"/>
      <c r="K1264" s="7"/>
      <c r="W1264" s="34"/>
      <c r="X1264" s="39"/>
    </row>
    <row r="1265" spans="4:24" x14ac:dyDescent="0.25">
      <c r="D1265" s="7"/>
      <c r="E1265" s="7"/>
      <c r="F1265" s="7"/>
      <c r="G1265" s="7"/>
      <c r="H1265" s="7"/>
      <c r="I1265" s="7"/>
      <c r="J1265" s="7"/>
      <c r="K1265" s="7"/>
      <c r="W1265" s="34"/>
      <c r="X1265" s="39"/>
    </row>
    <row r="1266" spans="4:24" x14ac:dyDescent="0.25">
      <c r="D1266" s="7"/>
      <c r="E1266" s="7"/>
      <c r="F1266" s="7"/>
      <c r="G1266" s="7"/>
      <c r="H1266" s="7"/>
      <c r="I1266" s="7"/>
      <c r="J1266" s="7"/>
      <c r="K1266" s="7"/>
      <c r="W1266" s="34"/>
      <c r="X1266" s="39"/>
    </row>
    <row r="1267" spans="4:24" x14ac:dyDescent="0.25">
      <c r="D1267" s="7"/>
      <c r="E1267" s="7"/>
      <c r="F1267" s="7"/>
      <c r="G1267" s="7"/>
      <c r="H1267" s="7"/>
      <c r="I1267" s="7"/>
      <c r="J1267" s="7"/>
      <c r="K1267" s="7"/>
      <c r="W1267" s="34"/>
      <c r="X1267" s="39"/>
    </row>
    <row r="1268" spans="4:24" x14ac:dyDescent="0.25">
      <c r="D1268" s="7"/>
      <c r="E1268" s="7"/>
      <c r="F1268" s="7"/>
      <c r="G1268" s="7"/>
      <c r="H1268" s="7"/>
      <c r="I1268" s="7"/>
      <c r="J1268" s="7"/>
      <c r="K1268" s="7"/>
      <c r="W1268" s="34"/>
      <c r="X1268" s="39"/>
    </row>
    <row r="1269" spans="4:24" x14ac:dyDescent="0.25">
      <c r="D1269" s="7"/>
      <c r="E1269" s="7"/>
      <c r="F1269" s="7"/>
      <c r="G1269" s="7"/>
      <c r="H1269" s="7"/>
      <c r="I1269" s="7"/>
      <c r="J1269" s="7"/>
      <c r="K1269" s="7"/>
      <c r="W1269" s="34"/>
      <c r="X1269" s="39"/>
    </row>
    <row r="1270" spans="4:24" x14ac:dyDescent="0.25">
      <c r="D1270" s="7"/>
      <c r="E1270" s="7"/>
      <c r="F1270" s="7"/>
      <c r="G1270" s="7"/>
      <c r="H1270" s="7"/>
      <c r="I1270" s="7"/>
      <c r="J1270" s="7"/>
      <c r="K1270" s="7"/>
      <c r="W1270" s="34"/>
      <c r="X1270" s="39"/>
    </row>
    <row r="1271" spans="4:24" x14ac:dyDescent="0.25">
      <c r="D1271" s="7"/>
      <c r="E1271" s="7"/>
      <c r="F1271" s="7"/>
      <c r="G1271" s="7"/>
      <c r="H1271" s="7"/>
      <c r="I1271" s="7"/>
      <c r="J1271" s="7"/>
      <c r="K1271" s="7"/>
      <c r="W1271" s="34"/>
      <c r="X1271" s="39"/>
    </row>
    <row r="1272" spans="4:24" x14ac:dyDescent="0.25">
      <c r="D1272" s="7"/>
      <c r="E1272" s="7"/>
      <c r="F1272" s="7"/>
      <c r="G1272" s="7"/>
      <c r="H1272" s="7"/>
      <c r="I1272" s="7"/>
      <c r="J1272" s="7"/>
      <c r="K1272" s="7"/>
      <c r="W1272" s="34"/>
      <c r="X1272" s="39"/>
    </row>
    <row r="1273" spans="4:24" x14ac:dyDescent="0.25">
      <c r="D1273" s="7"/>
      <c r="E1273" s="7"/>
      <c r="F1273" s="7"/>
      <c r="G1273" s="7"/>
      <c r="H1273" s="7"/>
      <c r="I1273" s="7"/>
      <c r="J1273" s="7"/>
      <c r="K1273" s="7"/>
      <c r="W1273" s="34"/>
      <c r="X1273" s="39"/>
    </row>
    <row r="1274" spans="4:24" x14ac:dyDescent="0.25">
      <c r="D1274" s="7"/>
      <c r="E1274" s="7"/>
      <c r="F1274" s="7"/>
      <c r="G1274" s="7"/>
      <c r="H1274" s="7"/>
      <c r="I1274" s="7"/>
      <c r="J1274" s="7"/>
      <c r="K1274" s="7"/>
      <c r="W1274" s="34"/>
      <c r="X1274" s="39"/>
    </row>
    <row r="1275" spans="4:24" x14ac:dyDescent="0.25">
      <c r="D1275" s="7"/>
      <c r="E1275" s="7"/>
      <c r="F1275" s="7"/>
      <c r="G1275" s="7"/>
      <c r="H1275" s="7"/>
      <c r="I1275" s="7"/>
      <c r="J1275" s="7"/>
      <c r="K1275" s="7"/>
      <c r="W1275" s="34"/>
      <c r="X1275" s="39"/>
    </row>
    <row r="1276" spans="4:24" x14ac:dyDescent="0.25">
      <c r="D1276" s="7"/>
      <c r="E1276" s="7"/>
      <c r="F1276" s="7"/>
      <c r="G1276" s="7"/>
      <c r="H1276" s="7"/>
      <c r="I1276" s="7"/>
      <c r="J1276" s="7"/>
      <c r="K1276" s="7"/>
      <c r="W1276" s="34"/>
      <c r="X1276" s="39"/>
    </row>
    <row r="1277" spans="4:24" x14ac:dyDescent="0.25">
      <c r="D1277" s="7"/>
      <c r="E1277" s="7"/>
      <c r="F1277" s="7"/>
      <c r="G1277" s="7"/>
      <c r="H1277" s="7"/>
      <c r="I1277" s="7"/>
      <c r="J1277" s="7"/>
      <c r="K1277" s="7"/>
      <c r="W1277" s="34"/>
      <c r="X1277" s="39"/>
    </row>
    <row r="1278" spans="4:24" x14ac:dyDescent="0.25">
      <c r="D1278" s="7"/>
      <c r="E1278" s="7"/>
      <c r="F1278" s="7"/>
      <c r="G1278" s="7"/>
      <c r="H1278" s="7"/>
      <c r="I1278" s="7"/>
      <c r="J1278" s="7"/>
      <c r="K1278" s="7"/>
      <c r="W1278" s="34"/>
      <c r="X1278" s="39"/>
    </row>
    <row r="1279" spans="4:24" x14ac:dyDescent="0.25">
      <c r="D1279" s="7"/>
      <c r="E1279" s="7"/>
      <c r="F1279" s="7"/>
      <c r="G1279" s="7"/>
      <c r="H1279" s="7"/>
      <c r="I1279" s="7"/>
      <c r="J1279" s="7"/>
      <c r="K1279" s="7"/>
      <c r="W1279" s="34"/>
      <c r="X1279" s="39"/>
    </row>
    <row r="1280" spans="4:24" x14ac:dyDescent="0.25">
      <c r="D1280" s="7"/>
      <c r="E1280" s="7"/>
      <c r="F1280" s="7"/>
      <c r="G1280" s="7"/>
      <c r="H1280" s="7"/>
      <c r="I1280" s="7"/>
      <c r="J1280" s="7"/>
      <c r="K1280" s="7"/>
      <c r="W1280" s="34"/>
      <c r="X1280" s="39"/>
    </row>
    <row r="1281" spans="4:24" x14ac:dyDescent="0.25">
      <c r="D1281" s="7"/>
      <c r="E1281" s="7"/>
      <c r="F1281" s="7"/>
      <c r="G1281" s="7"/>
      <c r="H1281" s="7"/>
      <c r="I1281" s="7"/>
      <c r="J1281" s="7"/>
      <c r="K1281" s="7"/>
      <c r="W1281" s="34"/>
      <c r="X1281" s="39"/>
    </row>
    <row r="1282" spans="4:24" x14ac:dyDescent="0.25">
      <c r="D1282" s="7"/>
      <c r="E1282" s="7"/>
      <c r="F1282" s="7"/>
      <c r="G1282" s="7"/>
      <c r="H1282" s="7"/>
      <c r="I1282" s="7"/>
      <c r="J1282" s="7"/>
      <c r="K1282" s="7"/>
      <c r="W1282" s="34"/>
      <c r="X1282" s="39"/>
    </row>
    <row r="1283" spans="4:24" x14ac:dyDescent="0.25">
      <c r="D1283" s="7"/>
      <c r="E1283" s="7"/>
      <c r="F1283" s="7"/>
      <c r="G1283" s="7"/>
      <c r="H1283" s="7"/>
      <c r="I1283" s="7"/>
      <c r="J1283" s="7"/>
      <c r="K1283" s="7"/>
      <c r="W1283" s="34"/>
      <c r="X1283" s="39"/>
    </row>
    <row r="1284" spans="4:24" x14ac:dyDescent="0.25">
      <c r="D1284" s="7"/>
      <c r="E1284" s="7"/>
      <c r="F1284" s="7"/>
      <c r="G1284" s="7"/>
      <c r="H1284" s="7"/>
      <c r="I1284" s="7"/>
      <c r="J1284" s="7"/>
      <c r="K1284" s="7"/>
      <c r="W1284" s="34"/>
      <c r="X1284" s="39"/>
    </row>
    <row r="1285" spans="4:24" x14ac:dyDescent="0.25">
      <c r="D1285" s="7"/>
      <c r="E1285" s="7"/>
      <c r="F1285" s="7"/>
      <c r="G1285" s="7"/>
      <c r="H1285" s="7"/>
      <c r="I1285" s="7"/>
      <c r="J1285" s="7"/>
      <c r="K1285" s="7"/>
      <c r="W1285" s="34"/>
      <c r="X1285" s="39"/>
    </row>
    <row r="1286" spans="4:24" x14ac:dyDescent="0.25">
      <c r="D1286" s="7"/>
      <c r="E1286" s="7"/>
      <c r="F1286" s="7"/>
      <c r="G1286" s="7"/>
      <c r="H1286" s="7"/>
      <c r="I1286" s="7"/>
      <c r="J1286" s="7"/>
      <c r="K1286" s="7"/>
      <c r="W1286" s="34"/>
      <c r="X1286" s="39"/>
    </row>
    <row r="1287" spans="4:24" x14ac:dyDescent="0.25">
      <c r="D1287" s="7"/>
      <c r="E1287" s="7"/>
      <c r="F1287" s="7"/>
      <c r="G1287" s="7"/>
      <c r="H1287" s="7"/>
      <c r="I1287" s="7"/>
      <c r="J1287" s="7"/>
      <c r="K1287" s="7"/>
      <c r="W1287" s="34"/>
      <c r="X1287" s="39"/>
    </row>
    <row r="1288" spans="4:24" x14ac:dyDescent="0.25">
      <c r="D1288" s="7"/>
      <c r="E1288" s="7"/>
      <c r="F1288" s="7"/>
      <c r="G1288" s="7"/>
      <c r="H1288" s="7"/>
      <c r="I1288" s="7"/>
      <c r="J1288" s="7"/>
      <c r="K1288" s="7"/>
      <c r="W1288" s="34"/>
      <c r="X1288" s="39"/>
    </row>
    <row r="1289" spans="4:24" x14ac:dyDescent="0.25">
      <c r="D1289" s="7"/>
      <c r="E1289" s="7"/>
      <c r="F1289" s="7"/>
      <c r="G1289" s="7"/>
      <c r="H1289" s="7"/>
      <c r="I1289" s="7"/>
      <c r="J1289" s="7"/>
      <c r="K1289" s="7"/>
      <c r="W1289" s="34"/>
      <c r="X1289" s="39"/>
    </row>
    <row r="1290" spans="4:24" x14ac:dyDescent="0.25">
      <c r="D1290" s="7"/>
      <c r="E1290" s="7"/>
      <c r="F1290" s="7"/>
      <c r="G1290" s="7"/>
      <c r="H1290" s="7"/>
      <c r="I1290" s="7"/>
      <c r="J1290" s="7"/>
      <c r="K1290" s="7"/>
      <c r="W1290" s="34"/>
      <c r="X1290" s="39"/>
    </row>
    <row r="1291" spans="4:24" x14ac:dyDescent="0.25">
      <c r="D1291" s="7"/>
      <c r="E1291" s="7"/>
      <c r="F1291" s="7"/>
      <c r="G1291" s="7"/>
      <c r="H1291" s="7"/>
      <c r="I1291" s="7"/>
      <c r="J1291" s="7"/>
      <c r="K1291" s="7"/>
      <c r="W1291" s="34"/>
      <c r="X1291" s="39"/>
    </row>
    <row r="1292" spans="4:24" x14ac:dyDescent="0.25">
      <c r="D1292" s="7"/>
      <c r="E1292" s="7"/>
      <c r="F1292" s="7"/>
      <c r="G1292" s="7"/>
      <c r="H1292" s="7"/>
      <c r="I1292" s="7"/>
      <c r="J1292" s="7"/>
      <c r="K1292" s="7"/>
      <c r="W1292" s="34"/>
      <c r="X1292" s="39"/>
    </row>
    <row r="1293" spans="4:24" x14ac:dyDescent="0.25">
      <c r="D1293" s="7"/>
      <c r="E1293" s="7"/>
      <c r="F1293" s="7"/>
      <c r="G1293" s="7"/>
      <c r="H1293" s="7"/>
      <c r="I1293" s="7"/>
      <c r="J1293" s="7"/>
      <c r="K1293" s="7"/>
      <c r="W1293" s="34"/>
      <c r="X1293" s="39"/>
    </row>
    <row r="1294" spans="4:24" x14ac:dyDescent="0.25">
      <c r="D1294" s="7"/>
      <c r="E1294" s="7"/>
      <c r="F1294" s="7"/>
      <c r="G1294" s="7"/>
      <c r="H1294" s="7"/>
      <c r="I1294" s="7"/>
      <c r="J1294" s="7"/>
      <c r="K1294" s="7"/>
      <c r="W1294" s="34"/>
      <c r="X1294" s="39"/>
    </row>
    <row r="1295" spans="4:24" x14ac:dyDescent="0.25">
      <c r="D1295" s="7"/>
      <c r="E1295" s="7"/>
      <c r="F1295" s="7"/>
      <c r="G1295" s="7"/>
      <c r="H1295" s="7"/>
      <c r="I1295" s="7"/>
      <c r="J1295" s="7"/>
      <c r="K1295" s="7"/>
      <c r="W1295" s="34"/>
      <c r="X1295" s="39"/>
    </row>
    <row r="1296" spans="4:24" x14ac:dyDescent="0.25">
      <c r="D1296" s="7"/>
      <c r="E1296" s="7"/>
      <c r="F1296" s="7"/>
      <c r="G1296" s="7"/>
      <c r="H1296" s="7"/>
      <c r="I1296" s="7"/>
      <c r="J1296" s="7"/>
      <c r="K1296" s="7"/>
      <c r="W1296" s="34"/>
      <c r="X1296" s="39"/>
    </row>
    <row r="1297" spans="4:24" x14ac:dyDescent="0.25">
      <c r="D1297" s="7"/>
      <c r="E1297" s="7"/>
      <c r="F1297" s="7"/>
      <c r="G1297" s="7"/>
      <c r="H1297" s="7"/>
      <c r="I1297" s="7"/>
      <c r="J1297" s="7"/>
      <c r="K1297" s="7"/>
      <c r="W1297" s="34"/>
      <c r="X1297" s="39"/>
    </row>
    <row r="1298" spans="4:24" x14ac:dyDescent="0.25">
      <c r="D1298" s="7"/>
      <c r="E1298" s="7"/>
      <c r="F1298" s="7"/>
      <c r="G1298" s="7"/>
      <c r="H1298" s="7"/>
      <c r="I1298" s="7"/>
      <c r="J1298" s="7"/>
      <c r="K1298" s="7"/>
      <c r="W1298" s="34"/>
      <c r="X1298" s="39"/>
    </row>
    <row r="1299" spans="4:24" x14ac:dyDescent="0.25">
      <c r="D1299" s="7"/>
      <c r="E1299" s="7"/>
      <c r="F1299" s="7"/>
      <c r="G1299" s="7"/>
      <c r="H1299" s="7"/>
      <c r="I1299" s="7"/>
      <c r="J1299" s="7"/>
      <c r="K1299" s="7"/>
      <c r="W1299" s="34"/>
      <c r="X1299" s="39"/>
    </row>
    <row r="1300" spans="4:24" x14ac:dyDescent="0.25">
      <c r="D1300" s="7"/>
      <c r="E1300" s="7"/>
      <c r="F1300" s="7"/>
      <c r="G1300" s="7"/>
      <c r="H1300" s="7"/>
      <c r="I1300" s="7"/>
      <c r="J1300" s="7"/>
      <c r="K1300" s="7"/>
      <c r="W1300" s="34"/>
      <c r="X1300" s="39"/>
    </row>
    <row r="1301" spans="4:24" x14ac:dyDescent="0.25">
      <c r="D1301" s="7"/>
      <c r="E1301" s="7"/>
      <c r="F1301" s="7"/>
      <c r="G1301" s="7"/>
      <c r="H1301" s="7"/>
      <c r="I1301" s="7"/>
      <c r="J1301" s="7"/>
      <c r="K1301" s="7"/>
      <c r="W1301" s="34"/>
      <c r="X1301" s="39"/>
    </row>
    <row r="1302" spans="4:24" x14ac:dyDescent="0.25">
      <c r="D1302" s="7"/>
      <c r="E1302" s="7"/>
      <c r="F1302" s="7"/>
      <c r="G1302" s="7"/>
      <c r="H1302" s="7"/>
      <c r="I1302" s="7"/>
      <c r="J1302" s="7"/>
      <c r="K1302" s="7"/>
      <c r="W1302" s="34"/>
      <c r="X1302" s="39"/>
    </row>
    <row r="1303" spans="4:24" x14ac:dyDescent="0.25">
      <c r="D1303" s="7"/>
      <c r="E1303" s="7"/>
      <c r="F1303" s="7"/>
      <c r="G1303" s="7"/>
      <c r="H1303" s="7"/>
      <c r="I1303" s="7"/>
      <c r="J1303" s="7"/>
      <c r="K1303" s="7"/>
      <c r="W1303" s="34"/>
      <c r="X1303" s="39"/>
    </row>
    <row r="1304" spans="4:24" x14ac:dyDescent="0.25">
      <c r="D1304" s="7"/>
      <c r="E1304" s="7"/>
      <c r="F1304" s="7"/>
      <c r="G1304" s="7"/>
      <c r="H1304" s="7"/>
      <c r="I1304" s="7"/>
      <c r="J1304" s="7"/>
      <c r="K1304" s="7"/>
      <c r="W1304" s="34"/>
      <c r="X1304" s="39"/>
    </row>
    <row r="1305" spans="4:24" x14ac:dyDescent="0.25">
      <c r="D1305" s="7"/>
      <c r="E1305" s="7"/>
      <c r="F1305" s="7"/>
      <c r="G1305" s="7"/>
      <c r="H1305" s="7"/>
      <c r="I1305" s="7"/>
      <c r="J1305" s="7"/>
      <c r="K1305" s="7"/>
      <c r="W1305" s="34"/>
      <c r="X1305" s="39"/>
    </row>
    <row r="1306" spans="4:24" x14ac:dyDescent="0.25">
      <c r="D1306" s="7"/>
      <c r="E1306" s="7"/>
      <c r="F1306" s="7"/>
      <c r="G1306" s="7"/>
      <c r="H1306" s="7"/>
      <c r="I1306" s="7"/>
      <c r="J1306" s="7"/>
      <c r="K1306" s="7"/>
      <c r="W1306" s="34"/>
      <c r="X1306" s="39"/>
    </row>
    <row r="1307" spans="4:24" x14ac:dyDescent="0.25">
      <c r="D1307" s="7"/>
      <c r="E1307" s="7"/>
      <c r="F1307" s="7"/>
      <c r="G1307" s="7"/>
      <c r="H1307" s="7"/>
      <c r="I1307" s="7"/>
      <c r="J1307" s="7"/>
      <c r="K1307" s="7"/>
      <c r="W1307" s="34"/>
      <c r="X1307" s="39"/>
    </row>
    <row r="1308" spans="4:24" x14ac:dyDescent="0.25">
      <c r="D1308" s="7"/>
      <c r="E1308" s="7"/>
      <c r="F1308" s="7"/>
      <c r="G1308" s="7"/>
      <c r="H1308" s="7"/>
      <c r="I1308" s="7"/>
      <c r="J1308" s="7"/>
      <c r="K1308" s="7"/>
      <c r="W1308" s="34"/>
      <c r="X1308" s="39"/>
    </row>
    <row r="1309" spans="4:24" x14ac:dyDescent="0.25">
      <c r="D1309" s="7"/>
      <c r="E1309" s="7"/>
      <c r="F1309" s="7"/>
      <c r="G1309" s="7"/>
      <c r="H1309" s="7"/>
      <c r="I1309" s="7"/>
      <c r="J1309" s="7"/>
      <c r="K1309" s="7"/>
      <c r="W1309" s="34"/>
      <c r="X1309" s="39"/>
    </row>
    <row r="1310" spans="4:24" x14ac:dyDescent="0.25">
      <c r="D1310" s="7"/>
      <c r="E1310" s="7"/>
      <c r="F1310" s="7"/>
      <c r="G1310" s="7"/>
      <c r="H1310" s="7"/>
      <c r="I1310" s="7"/>
      <c r="J1310" s="7"/>
      <c r="K1310" s="7"/>
      <c r="W1310" s="34"/>
      <c r="X1310" s="39"/>
    </row>
    <row r="1311" spans="4:24" x14ac:dyDescent="0.25">
      <c r="D1311" s="7"/>
      <c r="E1311" s="7"/>
      <c r="F1311" s="7"/>
      <c r="G1311" s="7"/>
      <c r="H1311" s="7"/>
      <c r="I1311" s="7"/>
      <c r="J1311" s="7"/>
      <c r="K1311" s="7"/>
      <c r="W1311" s="34"/>
      <c r="X1311" s="39"/>
    </row>
    <row r="1312" spans="4:24" x14ac:dyDescent="0.25">
      <c r="D1312" s="7"/>
      <c r="E1312" s="7"/>
      <c r="F1312" s="7"/>
      <c r="G1312" s="7"/>
      <c r="H1312" s="7"/>
      <c r="I1312" s="7"/>
      <c r="J1312" s="7"/>
      <c r="K1312" s="7"/>
      <c r="W1312" s="34"/>
      <c r="X1312" s="39"/>
    </row>
    <row r="1313" spans="4:24" x14ac:dyDescent="0.25">
      <c r="D1313" s="7"/>
      <c r="E1313" s="7"/>
      <c r="F1313" s="7"/>
      <c r="G1313" s="7"/>
      <c r="H1313" s="7"/>
      <c r="I1313" s="7"/>
      <c r="J1313" s="7"/>
      <c r="K1313" s="7"/>
      <c r="W1313" s="34"/>
      <c r="X1313" s="39"/>
    </row>
    <row r="1314" spans="4:24" x14ac:dyDescent="0.25">
      <c r="D1314" s="7"/>
      <c r="E1314" s="7"/>
      <c r="F1314" s="7"/>
      <c r="G1314" s="7"/>
      <c r="H1314" s="7"/>
      <c r="I1314" s="7"/>
      <c r="J1314" s="7"/>
      <c r="K1314" s="7"/>
      <c r="W1314" s="34"/>
      <c r="X1314" s="39"/>
    </row>
    <row r="1315" spans="4:24" x14ac:dyDescent="0.25">
      <c r="D1315" s="7"/>
      <c r="E1315" s="7"/>
      <c r="F1315" s="7"/>
      <c r="G1315" s="7"/>
      <c r="H1315" s="7"/>
      <c r="I1315" s="7"/>
      <c r="J1315" s="7"/>
      <c r="K1315" s="7"/>
      <c r="W1315" s="34"/>
      <c r="X1315" s="39"/>
    </row>
    <row r="1316" spans="4:24" x14ac:dyDescent="0.25">
      <c r="D1316" s="7"/>
      <c r="E1316" s="7"/>
      <c r="F1316" s="7"/>
      <c r="G1316" s="7"/>
      <c r="H1316" s="7"/>
      <c r="I1316" s="7"/>
      <c r="J1316" s="7"/>
      <c r="K1316" s="7"/>
      <c r="W1316" s="34"/>
      <c r="X1316" s="39"/>
    </row>
    <row r="1317" spans="4:24" x14ac:dyDescent="0.25">
      <c r="D1317" s="7"/>
      <c r="E1317" s="7"/>
      <c r="F1317" s="7"/>
      <c r="G1317" s="7"/>
      <c r="H1317" s="7"/>
      <c r="I1317" s="7"/>
      <c r="J1317" s="7"/>
      <c r="K1317" s="7"/>
      <c r="W1317" s="34"/>
      <c r="X1317" s="39"/>
    </row>
    <row r="1318" spans="4:24" x14ac:dyDescent="0.25">
      <c r="D1318" s="7"/>
      <c r="E1318" s="7"/>
      <c r="F1318" s="7"/>
      <c r="G1318" s="7"/>
      <c r="H1318" s="7"/>
      <c r="I1318" s="7"/>
      <c r="J1318" s="7"/>
      <c r="K1318" s="7"/>
      <c r="W1318" s="34"/>
      <c r="X1318" s="39"/>
    </row>
    <row r="1319" spans="4:24" x14ac:dyDescent="0.25">
      <c r="D1319" s="7"/>
      <c r="E1319" s="7"/>
      <c r="F1319" s="7"/>
      <c r="G1319" s="7"/>
      <c r="H1319" s="7"/>
      <c r="I1319" s="7"/>
      <c r="J1319" s="7"/>
      <c r="K1319" s="7"/>
      <c r="W1319" s="34"/>
      <c r="X1319" s="39"/>
    </row>
    <row r="1320" spans="4:24" x14ac:dyDescent="0.25">
      <c r="D1320" s="7"/>
      <c r="E1320" s="7"/>
      <c r="F1320" s="7"/>
      <c r="G1320" s="7"/>
      <c r="H1320" s="7"/>
      <c r="I1320" s="7"/>
      <c r="J1320" s="7"/>
      <c r="K1320" s="7"/>
      <c r="W1320" s="34"/>
      <c r="X1320" s="39"/>
    </row>
    <row r="1321" spans="4:24" x14ac:dyDescent="0.25">
      <c r="D1321" s="7"/>
      <c r="E1321" s="7"/>
      <c r="F1321" s="7"/>
      <c r="G1321" s="7"/>
      <c r="H1321" s="7"/>
      <c r="I1321" s="7"/>
      <c r="J1321" s="7"/>
      <c r="K1321" s="7"/>
      <c r="W1321" s="34"/>
      <c r="X1321" s="39"/>
    </row>
    <row r="1322" spans="4:24" x14ac:dyDescent="0.25">
      <c r="D1322" s="7"/>
      <c r="E1322" s="7"/>
      <c r="F1322" s="7"/>
      <c r="G1322" s="7"/>
      <c r="H1322" s="7"/>
      <c r="I1322" s="7"/>
      <c r="J1322" s="7"/>
      <c r="K1322" s="7"/>
      <c r="W1322" s="34"/>
      <c r="X1322" s="39"/>
    </row>
    <row r="1323" spans="4:24" x14ac:dyDescent="0.25">
      <c r="D1323" s="7"/>
      <c r="E1323" s="7"/>
      <c r="F1323" s="7"/>
      <c r="G1323" s="7"/>
      <c r="H1323" s="7"/>
      <c r="I1323" s="7"/>
      <c r="J1323" s="7"/>
      <c r="K1323" s="7"/>
      <c r="W1323" s="34"/>
      <c r="X1323" s="39"/>
    </row>
    <row r="1324" spans="4:24" x14ac:dyDescent="0.25">
      <c r="D1324" s="7"/>
      <c r="E1324" s="7"/>
      <c r="F1324" s="7"/>
      <c r="G1324" s="7"/>
      <c r="H1324" s="7"/>
      <c r="I1324" s="7"/>
      <c r="J1324" s="7"/>
      <c r="K1324" s="7"/>
      <c r="W1324" s="34"/>
      <c r="X1324" s="39"/>
    </row>
    <row r="1325" spans="4:24" x14ac:dyDescent="0.25">
      <c r="D1325" s="7"/>
      <c r="E1325" s="7"/>
      <c r="F1325" s="7"/>
      <c r="G1325" s="7"/>
      <c r="H1325" s="7"/>
      <c r="I1325" s="7"/>
      <c r="J1325" s="7"/>
      <c r="K1325" s="7"/>
      <c r="W1325" s="34"/>
      <c r="X1325" s="39"/>
    </row>
    <row r="1326" spans="4:24" x14ac:dyDescent="0.25">
      <c r="D1326" s="7"/>
      <c r="E1326" s="7"/>
      <c r="F1326" s="7"/>
      <c r="G1326" s="7"/>
      <c r="H1326" s="7"/>
      <c r="I1326" s="7"/>
      <c r="J1326" s="7"/>
      <c r="K1326" s="7"/>
      <c r="W1326" s="34"/>
      <c r="X1326" s="39"/>
    </row>
    <row r="1327" spans="4:24" x14ac:dyDescent="0.25">
      <c r="D1327" s="7"/>
      <c r="E1327" s="7"/>
      <c r="F1327" s="7"/>
      <c r="G1327" s="7"/>
      <c r="H1327" s="7"/>
      <c r="I1327" s="7"/>
      <c r="J1327" s="7"/>
      <c r="K1327" s="7"/>
      <c r="W1327" s="34"/>
      <c r="X1327" s="39"/>
    </row>
    <row r="1328" spans="4:24" x14ac:dyDescent="0.25">
      <c r="D1328" s="7"/>
      <c r="E1328" s="7"/>
      <c r="F1328" s="7"/>
      <c r="G1328" s="7"/>
      <c r="H1328" s="7"/>
      <c r="I1328" s="7"/>
      <c r="J1328" s="7"/>
      <c r="K1328" s="7"/>
      <c r="W1328" s="34"/>
      <c r="X1328" s="39"/>
    </row>
    <row r="1329" spans="4:24" x14ac:dyDescent="0.25">
      <c r="D1329" s="7"/>
      <c r="E1329" s="7"/>
      <c r="F1329" s="7"/>
      <c r="G1329" s="7"/>
      <c r="H1329" s="7"/>
      <c r="I1329" s="7"/>
      <c r="J1329" s="7"/>
      <c r="K1329" s="7"/>
      <c r="W1329" s="34"/>
      <c r="X1329" s="39"/>
    </row>
    <row r="1330" spans="4:24" x14ac:dyDescent="0.25">
      <c r="D1330" s="7"/>
      <c r="E1330" s="7"/>
      <c r="F1330" s="7"/>
      <c r="G1330" s="7"/>
      <c r="H1330" s="7"/>
      <c r="I1330" s="7"/>
      <c r="J1330" s="7"/>
      <c r="K1330" s="7"/>
      <c r="W1330" s="34"/>
      <c r="X1330" s="39"/>
    </row>
    <row r="1331" spans="4:24" x14ac:dyDescent="0.25">
      <c r="D1331" s="7"/>
      <c r="E1331" s="7"/>
      <c r="F1331" s="7"/>
      <c r="G1331" s="7"/>
      <c r="H1331" s="7"/>
      <c r="I1331" s="7"/>
      <c r="J1331" s="7"/>
      <c r="K1331" s="7"/>
      <c r="W1331" s="34"/>
      <c r="X1331" s="39"/>
    </row>
    <row r="1332" spans="4:24" x14ac:dyDescent="0.25">
      <c r="D1332" s="7"/>
      <c r="E1332" s="7"/>
      <c r="F1332" s="7"/>
      <c r="G1332" s="7"/>
      <c r="H1332" s="7"/>
      <c r="I1332" s="7"/>
      <c r="J1332" s="7"/>
      <c r="K1332" s="7"/>
      <c r="W1332" s="34"/>
      <c r="X1332" s="39"/>
    </row>
    <row r="1333" spans="4:24" x14ac:dyDescent="0.25">
      <c r="D1333" s="7"/>
      <c r="E1333" s="7"/>
      <c r="F1333" s="7"/>
      <c r="G1333" s="7"/>
      <c r="H1333" s="7"/>
      <c r="I1333" s="7"/>
      <c r="J1333" s="7"/>
      <c r="K1333" s="7"/>
      <c r="W1333" s="34"/>
      <c r="X1333" s="39"/>
    </row>
    <row r="1334" spans="4:24" x14ac:dyDescent="0.25">
      <c r="D1334" s="7"/>
      <c r="E1334" s="7"/>
      <c r="F1334" s="7"/>
      <c r="G1334" s="7"/>
      <c r="H1334" s="7"/>
      <c r="I1334" s="7"/>
      <c r="J1334" s="7"/>
      <c r="K1334" s="7"/>
      <c r="W1334" s="34"/>
      <c r="X1334" s="39"/>
    </row>
    <row r="1335" spans="4:24" x14ac:dyDescent="0.25">
      <c r="D1335" s="7"/>
      <c r="E1335" s="7"/>
      <c r="F1335" s="7"/>
      <c r="G1335" s="7"/>
      <c r="H1335" s="7"/>
      <c r="I1335" s="7"/>
      <c r="J1335" s="7"/>
      <c r="K1335" s="7"/>
      <c r="W1335" s="34"/>
      <c r="X1335" s="39"/>
    </row>
    <row r="1336" spans="4:24" x14ac:dyDescent="0.25">
      <c r="D1336" s="7"/>
      <c r="E1336" s="7"/>
      <c r="F1336" s="7"/>
      <c r="G1336" s="7"/>
      <c r="H1336" s="7"/>
      <c r="I1336" s="7"/>
      <c r="J1336" s="7"/>
      <c r="K1336" s="7"/>
      <c r="W1336" s="34"/>
      <c r="X1336" s="39"/>
    </row>
    <row r="1337" spans="4:24" x14ac:dyDescent="0.25">
      <c r="D1337" s="7"/>
      <c r="E1337" s="7"/>
      <c r="F1337" s="7"/>
      <c r="G1337" s="7"/>
      <c r="H1337" s="7"/>
      <c r="I1337" s="7"/>
      <c r="J1337" s="7"/>
      <c r="K1337" s="7"/>
      <c r="W1337" s="34"/>
      <c r="X1337" s="39"/>
    </row>
    <row r="1338" spans="4:24" x14ac:dyDescent="0.25">
      <c r="D1338" s="7"/>
      <c r="E1338" s="7"/>
      <c r="F1338" s="7"/>
      <c r="G1338" s="7"/>
      <c r="H1338" s="7"/>
      <c r="I1338" s="7"/>
      <c r="J1338" s="7"/>
      <c r="K1338" s="7"/>
      <c r="W1338" s="34"/>
      <c r="X1338" s="39"/>
    </row>
    <row r="1339" spans="4:24" x14ac:dyDescent="0.25">
      <c r="D1339" s="7"/>
      <c r="E1339" s="7"/>
      <c r="F1339" s="7"/>
      <c r="G1339" s="7"/>
      <c r="H1339" s="7"/>
      <c r="I1339" s="7"/>
      <c r="J1339" s="7"/>
      <c r="K1339" s="7"/>
      <c r="W1339" s="34"/>
      <c r="X1339" s="39"/>
    </row>
    <row r="1340" spans="4:24" x14ac:dyDescent="0.25">
      <c r="D1340" s="7"/>
      <c r="E1340" s="7"/>
      <c r="F1340" s="7"/>
      <c r="G1340" s="7"/>
      <c r="H1340" s="7"/>
      <c r="I1340" s="7"/>
      <c r="J1340" s="7"/>
      <c r="K1340" s="7"/>
      <c r="W1340" s="34"/>
      <c r="X1340" s="39"/>
    </row>
    <row r="1341" spans="4:24" x14ac:dyDescent="0.25">
      <c r="D1341" s="7"/>
      <c r="E1341" s="7"/>
      <c r="F1341" s="7"/>
      <c r="G1341" s="7"/>
      <c r="H1341" s="7"/>
      <c r="I1341" s="7"/>
      <c r="J1341" s="7"/>
      <c r="K1341" s="7"/>
      <c r="W1341" s="34"/>
      <c r="X1341" s="39"/>
    </row>
    <row r="1342" spans="4:24" x14ac:dyDescent="0.25">
      <c r="D1342" s="7"/>
      <c r="E1342" s="7"/>
      <c r="F1342" s="7"/>
      <c r="G1342" s="7"/>
      <c r="H1342" s="7"/>
      <c r="I1342" s="7"/>
      <c r="J1342" s="7"/>
      <c r="K1342" s="7"/>
      <c r="W1342" s="34"/>
      <c r="X1342" s="39"/>
    </row>
    <row r="1343" spans="4:24" x14ac:dyDescent="0.25">
      <c r="D1343" s="7"/>
      <c r="E1343" s="7"/>
      <c r="F1343" s="7"/>
      <c r="G1343" s="7"/>
      <c r="H1343" s="7"/>
      <c r="I1343" s="7"/>
      <c r="J1343" s="7"/>
      <c r="K1343" s="7"/>
      <c r="W1343" s="34"/>
      <c r="X1343" s="39"/>
    </row>
    <row r="1344" spans="4:24" x14ac:dyDescent="0.25">
      <c r="D1344" s="7"/>
      <c r="E1344" s="7"/>
      <c r="F1344" s="7"/>
      <c r="G1344" s="7"/>
      <c r="H1344" s="7"/>
      <c r="I1344" s="7"/>
      <c r="J1344" s="7"/>
      <c r="K1344" s="7"/>
      <c r="W1344" s="34"/>
      <c r="X1344" s="39"/>
    </row>
    <row r="1345" spans="4:24" x14ac:dyDescent="0.25">
      <c r="D1345" s="7"/>
      <c r="E1345" s="7"/>
      <c r="F1345" s="7"/>
      <c r="G1345" s="7"/>
      <c r="H1345" s="7"/>
      <c r="I1345" s="7"/>
      <c r="J1345" s="7"/>
      <c r="K1345" s="7"/>
      <c r="W1345" s="34"/>
      <c r="X1345" s="39"/>
    </row>
    <row r="1346" spans="4:24" x14ac:dyDescent="0.25">
      <c r="D1346" s="7"/>
      <c r="E1346" s="7"/>
      <c r="F1346" s="7"/>
      <c r="G1346" s="7"/>
      <c r="H1346" s="7"/>
      <c r="I1346" s="7"/>
      <c r="J1346" s="7"/>
      <c r="K1346" s="7"/>
      <c r="W1346" s="34"/>
      <c r="X1346" s="39"/>
    </row>
    <row r="1347" spans="4:24" x14ac:dyDescent="0.25">
      <c r="D1347" s="7"/>
      <c r="E1347" s="7"/>
      <c r="F1347" s="7"/>
      <c r="G1347" s="7"/>
      <c r="H1347" s="7"/>
      <c r="I1347" s="7"/>
      <c r="J1347" s="7"/>
      <c r="K1347" s="7"/>
      <c r="W1347" s="34"/>
      <c r="X1347" s="39"/>
    </row>
    <row r="1348" spans="4:24" x14ac:dyDescent="0.25">
      <c r="D1348" s="7"/>
      <c r="E1348" s="7"/>
      <c r="F1348" s="7"/>
      <c r="G1348" s="7"/>
      <c r="H1348" s="7"/>
      <c r="I1348" s="7"/>
      <c r="J1348" s="7"/>
      <c r="K1348" s="7"/>
      <c r="W1348" s="34"/>
      <c r="X1348" s="39"/>
    </row>
    <row r="1349" spans="4:24" x14ac:dyDescent="0.25">
      <c r="D1349" s="7"/>
      <c r="E1349" s="7"/>
      <c r="F1349" s="7"/>
      <c r="G1349" s="7"/>
      <c r="H1349" s="7"/>
      <c r="I1349" s="7"/>
      <c r="J1349" s="7"/>
      <c r="K1349" s="7"/>
      <c r="W1349" s="34"/>
      <c r="X1349" s="39"/>
    </row>
    <row r="1350" spans="4:24" x14ac:dyDescent="0.25">
      <c r="D1350" s="7"/>
      <c r="E1350" s="7"/>
      <c r="F1350" s="7"/>
      <c r="G1350" s="7"/>
      <c r="H1350" s="7"/>
      <c r="I1350" s="7"/>
      <c r="J1350" s="7"/>
      <c r="K1350" s="7"/>
      <c r="W1350" s="34"/>
      <c r="X1350" s="39"/>
    </row>
    <row r="1351" spans="4:24" x14ac:dyDescent="0.25">
      <c r="D1351" s="7"/>
      <c r="E1351" s="7"/>
      <c r="F1351" s="7"/>
      <c r="G1351" s="7"/>
      <c r="H1351" s="7"/>
      <c r="I1351" s="7"/>
      <c r="J1351" s="7"/>
      <c r="K1351" s="7"/>
      <c r="W1351" s="34"/>
      <c r="X1351" s="39"/>
    </row>
    <row r="1352" spans="4:24" x14ac:dyDescent="0.25">
      <c r="D1352" s="7"/>
      <c r="E1352" s="7"/>
      <c r="F1352" s="7"/>
      <c r="G1352" s="7"/>
      <c r="H1352" s="7"/>
      <c r="I1352" s="7"/>
      <c r="J1352" s="7"/>
      <c r="K1352" s="7"/>
      <c r="W1352" s="34"/>
      <c r="X1352" s="39"/>
    </row>
    <row r="1353" spans="4:24" x14ac:dyDescent="0.25">
      <c r="D1353" s="7"/>
      <c r="E1353" s="7"/>
      <c r="F1353" s="7"/>
      <c r="G1353" s="7"/>
      <c r="H1353" s="7"/>
      <c r="I1353" s="7"/>
      <c r="J1353" s="7"/>
      <c r="K1353" s="7"/>
      <c r="W1353" s="34"/>
      <c r="X1353" s="39"/>
    </row>
    <row r="1354" spans="4:24" x14ac:dyDescent="0.25">
      <c r="D1354" s="7"/>
      <c r="E1354" s="7"/>
      <c r="F1354" s="7"/>
      <c r="G1354" s="7"/>
      <c r="H1354" s="7"/>
      <c r="I1354" s="7"/>
      <c r="J1354" s="7"/>
      <c r="K1354" s="7"/>
      <c r="W1354" s="34"/>
      <c r="X1354" s="39"/>
    </row>
    <row r="1355" spans="4:24" x14ac:dyDescent="0.25">
      <c r="D1355" s="7"/>
      <c r="E1355" s="7"/>
      <c r="F1355" s="7"/>
      <c r="G1355" s="7"/>
      <c r="H1355" s="7"/>
      <c r="I1355" s="7"/>
      <c r="J1355" s="7"/>
      <c r="K1355" s="7"/>
      <c r="W1355" s="34"/>
      <c r="X1355" s="39"/>
    </row>
    <row r="1356" spans="4:24" x14ac:dyDescent="0.25">
      <c r="D1356" s="7"/>
      <c r="E1356" s="7"/>
      <c r="F1356" s="7"/>
      <c r="G1356" s="7"/>
      <c r="H1356" s="7"/>
      <c r="I1356" s="7"/>
      <c r="J1356" s="7"/>
      <c r="K1356" s="7"/>
      <c r="W1356" s="34"/>
      <c r="X1356" s="39"/>
    </row>
    <row r="1357" spans="4:24" x14ac:dyDescent="0.25">
      <c r="D1357" s="7"/>
      <c r="E1357" s="7"/>
      <c r="F1357" s="7"/>
      <c r="G1357" s="7"/>
      <c r="H1357" s="7"/>
      <c r="I1357" s="7"/>
      <c r="J1357" s="7"/>
      <c r="K1357" s="7"/>
      <c r="W1357" s="34"/>
      <c r="X1357" s="39"/>
    </row>
    <row r="1358" spans="4:24" x14ac:dyDescent="0.25">
      <c r="D1358" s="7"/>
      <c r="E1358" s="7"/>
      <c r="F1358" s="7"/>
      <c r="G1358" s="7"/>
      <c r="H1358" s="7"/>
      <c r="I1358" s="7"/>
      <c r="J1358" s="7"/>
      <c r="K1358" s="7"/>
      <c r="W1358" s="34"/>
      <c r="X1358" s="39"/>
    </row>
    <row r="1359" spans="4:24" x14ac:dyDescent="0.25">
      <c r="D1359" s="7"/>
      <c r="E1359" s="7"/>
      <c r="F1359" s="7"/>
      <c r="G1359" s="7"/>
      <c r="H1359" s="7"/>
      <c r="I1359" s="7"/>
      <c r="J1359" s="7"/>
      <c r="K1359" s="7"/>
      <c r="W1359" s="34"/>
      <c r="X1359" s="39"/>
    </row>
    <row r="1360" spans="4:24" x14ac:dyDescent="0.25">
      <c r="D1360" s="7"/>
      <c r="E1360" s="7"/>
      <c r="F1360" s="7"/>
      <c r="G1360" s="7"/>
      <c r="H1360" s="7"/>
      <c r="I1360" s="7"/>
      <c r="J1360" s="7"/>
      <c r="K1360" s="7"/>
      <c r="W1360" s="34"/>
      <c r="X1360" s="39"/>
    </row>
    <row r="1361" spans="4:24" x14ac:dyDescent="0.25">
      <c r="D1361" s="7"/>
      <c r="E1361" s="7"/>
      <c r="F1361" s="7"/>
      <c r="G1361" s="7"/>
      <c r="H1361" s="7"/>
      <c r="I1361" s="7"/>
      <c r="J1361" s="7"/>
      <c r="K1361" s="7"/>
      <c r="W1361" s="34"/>
      <c r="X1361" s="39"/>
    </row>
    <row r="1362" spans="4:24" x14ac:dyDescent="0.25">
      <c r="D1362" s="7"/>
      <c r="E1362" s="7"/>
      <c r="F1362" s="7"/>
      <c r="G1362" s="7"/>
      <c r="H1362" s="7"/>
      <c r="I1362" s="7"/>
      <c r="J1362" s="7"/>
      <c r="K1362" s="7"/>
      <c r="W1362" s="34"/>
      <c r="X1362" s="39"/>
    </row>
    <row r="1363" spans="4:24" x14ac:dyDescent="0.25">
      <c r="D1363" s="7"/>
      <c r="E1363" s="7"/>
      <c r="F1363" s="7"/>
      <c r="G1363" s="7"/>
      <c r="H1363" s="7"/>
      <c r="I1363" s="7"/>
      <c r="J1363" s="7"/>
      <c r="K1363" s="7"/>
      <c r="W1363" s="34"/>
      <c r="X1363" s="39"/>
    </row>
    <row r="1364" spans="4:24" x14ac:dyDescent="0.25">
      <c r="D1364" s="7"/>
      <c r="E1364" s="7"/>
      <c r="F1364" s="7"/>
      <c r="G1364" s="7"/>
      <c r="H1364" s="7"/>
      <c r="I1364" s="7"/>
      <c r="J1364" s="7"/>
      <c r="K1364" s="7"/>
      <c r="W1364" s="34"/>
      <c r="X1364" s="39"/>
    </row>
    <row r="1365" spans="4:24" x14ac:dyDescent="0.25">
      <c r="D1365" s="7"/>
      <c r="E1365" s="7"/>
      <c r="F1365" s="7"/>
      <c r="G1365" s="7"/>
      <c r="H1365" s="7"/>
      <c r="I1365" s="7"/>
      <c r="J1365" s="7"/>
      <c r="K1365" s="7"/>
      <c r="W1365" s="34"/>
      <c r="X1365" s="39"/>
    </row>
    <row r="1366" spans="4:24" x14ac:dyDescent="0.25">
      <c r="D1366" s="7"/>
      <c r="E1366" s="7"/>
      <c r="F1366" s="7"/>
      <c r="G1366" s="7"/>
      <c r="H1366" s="7"/>
      <c r="I1366" s="7"/>
      <c r="J1366" s="7"/>
      <c r="K1366" s="7"/>
      <c r="W1366" s="34"/>
      <c r="X1366" s="39"/>
    </row>
    <row r="1367" spans="4:24" x14ac:dyDescent="0.25">
      <c r="D1367" s="7"/>
      <c r="E1367" s="7"/>
      <c r="F1367" s="7"/>
      <c r="G1367" s="7"/>
      <c r="H1367" s="7"/>
      <c r="I1367" s="7"/>
      <c r="J1367" s="7"/>
      <c r="K1367" s="7"/>
      <c r="W1367" s="34"/>
      <c r="X1367" s="39"/>
    </row>
    <row r="1368" spans="4:24" x14ac:dyDescent="0.25">
      <c r="D1368" s="7"/>
      <c r="E1368" s="7"/>
      <c r="F1368" s="7"/>
      <c r="G1368" s="7"/>
      <c r="H1368" s="7"/>
      <c r="I1368" s="7"/>
      <c r="J1368" s="7"/>
      <c r="K1368" s="7"/>
      <c r="W1368" s="34"/>
      <c r="X1368" s="39"/>
    </row>
    <row r="1369" spans="4:24" x14ac:dyDescent="0.25">
      <c r="D1369" s="7"/>
      <c r="E1369" s="7"/>
      <c r="F1369" s="7"/>
      <c r="G1369" s="7"/>
      <c r="H1369" s="7"/>
      <c r="I1369" s="7"/>
      <c r="J1369" s="7"/>
      <c r="K1369" s="7"/>
      <c r="W1369" s="34"/>
      <c r="X1369" s="39"/>
    </row>
    <row r="1370" spans="4:24" x14ac:dyDescent="0.25">
      <c r="D1370" s="7"/>
      <c r="E1370" s="7"/>
      <c r="F1370" s="7"/>
      <c r="G1370" s="7"/>
      <c r="H1370" s="7"/>
      <c r="I1370" s="7"/>
      <c r="J1370" s="7"/>
      <c r="K1370" s="7"/>
      <c r="W1370" s="34"/>
      <c r="X1370" s="39"/>
    </row>
    <row r="1371" spans="4:24" x14ac:dyDescent="0.25">
      <c r="D1371" s="7"/>
      <c r="E1371" s="7"/>
      <c r="F1371" s="7"/>
      <c r="G1371" s="7"/>
      <c r="H1371" s="7"/>
      <c r="I1371" s="7"/>
      <c r="J1371" s="7"/>
      <c r="K1371" s="7"/>
      <c r="W1371" s="34"/>
      <c r="X1371" s="39"/>
    </row>
    <row r="1372" spans="4:24" x14ac:dyDescent="0.25">
      <c r="D1372" s="7"/>
      <c r="E1372" s="7"/>
      <c r="F1372" s="7"/>
      <c r="G1372" s="7"/>
      <c r="H1372" s="7"/>
      <c r="I1372" s="7"/>
      <c r="J1372" s="7"/>
      <c r="K1372" s="7"/>
      <c r="W1372" s="34"/>
      <c r="X1372" s="39"/>
    </row>
    <row r="1373" spans="4:24" x14ac:dyDescent="0.25">
      <c r="D1373" s="7"/>
      <c r="E1373" s="7"/>
      <c r="F1373" s="7"/>
      <c r="G1373" s="7"/>
      <c r="H1373" s="7"/>
      <c r="I1373" s="7"/>
      <c r="J1373" s="7"/>
      <c r="K1373" s="7"/>
      <c r="W1373" s="34"/>
      <c r="X1373" s="39"/>
    </row>
    <row r="1374" spans="4:24" x14ac:dyDescent="0.25">
      <c r="D1374" s="7"/>
      <c r="E1374" s="7"/>
      <c r="F1374" s="7"/>
      <c r="G1374" s="7"/>
      <c r="H1374" s="7"/>
      <c r="I1374" s="7"/>
      <c r="J1374" s="7"/>
      <c r="K1374" s="7"/>
      <c r="W1374" s="34"/>
      <c r="X1374" s="39"/>
    </row>
    <row r="1375" spans="4:24" x14ac:dyDescent="0.25">
      <c r="D1375" s="7"/>
      <c r="E1375" s="7"/>
      <c r="F1375" s="7"/>
      <c r="G1375" s="7"/>
      <c r="H1375" s="7"/>
      <c r="I1375" s="7"/>
      <c r="J1375" s="7"/>
      <c r="K1375" s="7"/>
      <c r="W1375" s="34"/>
      <c r="X1375" s="39"/>
    </row>
    <row r="1376" spans="4:24" x14ac:dyDescent="0.25">
      <c r="D1376" s="7"/>
      <c r="E1376" s="7"/>
      <c r="F1376" s="7"/>
      <c r="G1376" s="7"/>
      <c r="H1376" s="7"/>
      <c r="I1376" s="7"/>
      <c r="J1376" s="7"/>
      <c r="K1376" s="7"/>
      <c r="W1376" s="34"/>
      <c r="X1376" s="39"/>
    </row>
    <row r="1377" spans="4:24" x14ac:dyDescent="0.25">
      <c r="D1377" s="7"/>
      <c r="E1377" s="7"/>
      <c r="F1377" s="7"/>
      <c r="G1377" s="7"/>
      <c r="H1377" s="7"/>
      <c r="I1377" s="7"/>
      <c r="J1377" s="7"/>
      <c r="K1377" s="7"/>
      <c r="W1377" s="34"/>
      <c r="X1377" s="39"/>
    </row>
    <row r="1378" spans="4:24" x14ac:dyDescent="0.25">
      <c r="D1378" s="7"/>
      <c r="E1378" s="7"/>
      <c r="F1378" s="7"/>
      <c r="G1378" s="7"/>
      <c r="H1378" s="7"/>
      <c r="I1378" s="7"/>
      <c r="J1378" s="7"/>
      <c r="K1378" s="7"/>
      <c r="W1378" s="34"/>
      <c r="X1378" s="39"/>
    </row>
    <row r="1379" spans="4:24" x14ac:dyDescent="0.25">
      <c r="D1379" s="7"/>
      <c r="E1379" s="7"/>
      <c r="F1379" s="7"/>
      <c r="G1379" s="7"/>
      <c r="H1379" s="7"/>
      <c r="I1379" s="7"/>
      <c r="J1379" s="7"/>
      <c r="K1379" s="7"/>
      <c r="W1379" s="34"/>
      <c r="X1379" s="39"/>
    </row>
    <row r="1380" spans="4:24" x14ac:dyDescent="0.25">
      <c r="D1380" s="7"/>
      <c r="E1380" s="7"/>
      <c r="F1380" s="7"/>
      <c r="G1380" s="7"/>
      <c r="H1380" s="7"/>
      <c r="I1380" s="7"/>
      <c r="J1380" s="7"/>
      <c r="K1380" s="7"/>
      <c r="W1380" s="34"/>
      <c r="X1380" s="39"/>
    </row>
    <row r="1381" spans="4:24" x14ac:dyDescent="0.25">
      <c r="D1381" s="7"/>
      <c r="E1381" s="7"/>
      <c r="F1381" s="7"/>
      <c r="G1381" s="7"/>
      <c r="H1381" s="7"/>
      <c r="I1381" s="7"/>
      <c r="J1381" s="7"/>
      <c r="K1381" s="7"/>
      <c r="W1381" s="34"/>
      <c r="X1381" s="39"/>
    </row>
    <row r="1382" spans="4:24" x14ac:dyDescent="0.25">
      <c r="D1382" s="7"/>
      <c r="E1382" s="7"/>
      <c r="F1382" s="7"/>
      <c r="G1382" s="7"/>
      <c r="H1382" s="7"/>
      <c r="I1382" s="7"/>
      <c r="J1382" s="7"/>
      <c r="K1382" s="7"/>
      <c r="W1382" s="34"/>
      <c r="X1382" s="39"/>
    </row>
    <row r="1383" spans="4:24" x14ac:dyDescent="0.25">
      <c r="D1383" s="7"/>
      <c r="E1383" s="7"/>
      <c r="F1383" s="7"/>
      <c r="G1383" s="7"/>
      <c r="H1383" s="7"/>
      <c r="I1383" s="7"/>
      <c r="J1383" s="7"/>
      <c r="K1383" s="7"/>
      <c r="W1383" s="34"/>
      <c r="X1383" s="39"/>
    </row>
    <row r="1384" spans="4:24" x14ac:dyDescent="0.25">
      <c r="D1384" s="7"/>
      <c r="E1384" s="7"/>
      <c r="F1384" s="7"/>
      <c r="G1384" s="7"/>
      <c r="H1384" s="7"/>
      <c r="I1384" s="7"/>
      <c r="J1384" s="7"/>
      <c r="K1384" s="7"/>
      <c r="W1384" s="34"/>
      <c r="X1384" s="39"/>
    </row>
    <row r="1385" spans="4:24" x14ac:dyDescent="0.25">
      <c r="D1385" s="7"/>
      <c r="E1385" s="7"/>
      <c r="F1385" s="7"/>
      <c r="G1385" s="7"/>
      <c r="H1385" s="7"/>
      <c r="I1385" s="7"/>
      <c r="J1385" s="7"/>
      <c r="K1385" s="7"/>
      <c r="W1385" s="34"/>
      <c r="X1385" s="39"/>
    </row>
    <row r="1386" spans="4:24" x14ac:dyDescent="0.25">
      <c r="D1386" s="7"/>
      <c r="E1386" s="7"/>
      <c r="F1386" s="7"/>
      <c r="G1386" s="7"/>
      <c r="H1386" s="7"/>
      <c r="I1386" s="7"/>
      <c r="J1386" s="7"/>
      <c r="K1386" s="7"/>
      <c r="W1386" s="34"/>
      <c r="X1386" s="39"/>
    </row>
    <row r="1387" spans="4:24" x14ac:dyDescent="0.25">
      <c r="D1387" s="7"/>
      <c r="E1387" s="7"/>
      <c r="F1387" s="7"/>
      <c r="G1387" s="7"/>
      <c r="H1387" s="7"/>
      <c r="I1387" s="7"/>
      <c r="J1387" s="7"/>
      <c r="K1387" s="7"/>
      <c r="W1387" s="34"/>
      <c r="X1387" s="39"/>
    </row>
    <row r="1388" spans="4:24" x14ac:dyDescent="0.25">
      <c r="D1388" s="7"/>
      <c r="E1388" s="7"/>
      <c r="F1388" s="7"/>
      <c r="G1388" s="7"/>
      <c r="H1388" s="7"/>
      <c r="I1388" s="7"/>
      <c r="J1388" s="7"/>
      <c r="K1388" s="7"/>
      <c r="W1388" s="34"/>
      <c r="X1388" s="39"/>
    </row>
    <row r="1389" spans="4:24" x14ac:dyDescent="0.25">
      <c r="D1389" s="7"/>
      <c r="E1389" s="7"/>
      <c r="F1389" s="7"/>
      <c r="G1389" s="7"/>
      <c r="H1389" s="7"/>
      <c r="I1389" s="7"/>
      <c r="J1389" s="7"/>
      <c r="K1389" s="7"/>
      <c r="W1389" s="34"/>
      <c r="X1389" s="39"/>
    </row>
    <row r="1390" spans="4:24" x14ac:dyDescent="0.25">
      <c r="D1390" s="7"/>
      <c r="E1390" s="7"/>
      <c r="F1390" s="7"/>
      <c r="G1390" s="7"/>
      <c r="H1390" s="7"/>
      <c r="I1390" s="7"/>
      <c r="J1390" s="7"/>
      <c r="K1390" s="7"/>
      <c r="W1390" s="34"/>
      <c r="X1390" s="39"/>
    </row>
    <row r="1391" spans="4:24" x14ac:dyDescent="0.25">
      <c r="D1391" s="7"/>
      <c r="E1391" s="7"/>
      <c r="F1391" s="7"/>
      <c r="G1391" s="7"/>
      <c r="H1391" s="7"/>
      <c r="I1391" s="7"/>
      <c r="J1391" s="7"/>
      <c r="K1391" s="7"/>
      <c r="W1391" s="34"/>
      <c r="X1391" s="39"/>
    </row>
    <row r="1392" spans="4:24" x14ac:dyDescent="0.25">
      <c r="D1392" s="7"/>
      <c r="E1392" s="7"/>
      <c r="F1392" s="7"/>
      <c r="G1392" s="7"/>
      <c r="H1392" s="7"/>
      <c r="I1392" s="7"/>
      <c r="J1392" s="7"/>
      <c r="K1392" s="7"/>
      <c r="W1392" s="34"/>
      <c r="X1392" s="39"/>
    </row>
    <row r="1393" spans="4:24" x14ac:dyDescent="0.25">
      <c r="D1393" s="7"/>
      <c r="E1393" s="7"/>
      <c r="F1393" s="7"/>
      <c r="G1393" s="7"/>
      <c r="H1393" s="7"/>
      <c r="I1393" s="7"/>
      <c r="J1393" s="7"/>
      <c r="K1393" s="7"/>
      <c r="W1393" s="34"/>
      <c r="X1393" s="39"/>
    </row>
    <row r="1394" spans="4:24" x14ac:dyDescent="0.25">
      <c r="D1394" s="7"/>
      <c r="E1394" s="7"/>
      <c r="F1394" s="7"/>
      <c r="G1394" s="7"/>
      <c r="H1394" s="7"/>
      <c r="I1394" s="7"/>
      <c r="J1394" s="7"/>
      <c r="K1394" s="7"/>
      <c r="W1394" s="34"/>
      <c r="X1394" s="39"/>
    </row>
    <row r="1395" spans="4:24" x14ac:dyDescent="0.25">
      <c r="D1395" s="7"/>
      <c r="E1395" s="7"/>
      <c r="F1395" s="7"/>
      <c r="G1395" s="7"/>
      <c r="H1395" s="7"/>
      <c r="I1395" s="7"/>
      <c r="J1395" s="7"/>
      <c r="K1395" s="7"/>
      <c r="W1395" s="34"/>
      <c r="X1395" s="39"/>
    </row>
    <row r="1396" spans="4:24" x14ac:dyDescent="0.25">
      <c r="D1396" s="7"/>
      <c r="E1396" s="7"/>
      <c r="F1396" s="7"/>
      <c r="G1396" s="7"/>
      <c r="H1396" s="7"/>
      <c r="I1396" s="7"/>
      <c r="J1396" s="7"/>
      <c r="K1396" s="7"/>
      <c r="W1396" s="34"/>
      <c r="X1396" s="39"/>
    </row>
    <row r="1397" spans="4:24" x14ac:dyDescent="0.25">
      <c r="D1397" s="7"/>
      <c r="E1397" s="7"/>
      <c r="F1397" s="7"/>
      <c r="G1397" s="7"/>
      <c r="H1397" s="7"/>
      <c r="I1397" s="7"/>
      <c r="J1397" s="7"/>
      <c r="K1397" s="7"/>
      <c r="W1397" s="34"/>
      <c r="X1397" s="39"/>
    </row>
    <row r="1398" spans="4:24" x14ac:dyDescent="0.25">
      <c r="D1398" s="7"/>
      <c r="E1398" s="7"/>
      <c r="F1398" s="7"/>
      <c r="G1398" s="7"/>
      <c r="H1398" s="7"/>
      <c r="I1398" s="7"/>
      <c r="J1398" s="7"/>
      <c r="K1398" s="7"/>
      <c r="W1398" s="34"/>
      <c r="X1398" s="39"/>
    </row>
    <row r="1399" spans="4:24" x14ac:dyDescent="0.25">
      <c r="D1399" s="7"/>
      <c r="E1399" s="7"/>
      <c r="F1399" s="7"/>
      <c r="G1399" s="7"/>
      <c r="H1399" s="7"/>
      <c r="I1399" s="7"/>
      <c r="J1399" s="7"/>
      <c r="K1399" s="7"/>
      <c r="W1399" s="34"/>
      <c r="X1399" s="39"/>
    </row>
    <row r="1400" spans="4:24" x14ac:dyDescent="0.25">
      <c r="D1400" s="7"/>
      <c r="E1400" s="7"/>
      <c r="F1400" s="7"/>
      <c r="G1400" s="7"/>
      <c r="H1400" s="7"/>
      <c r="I1400" s="7"/>
      <c r="J1400" s="7"/>
      <c r="K1400" s="7"/>
      <c r="W1400" s="34"/>
      <c r="X1400" s="39"/>
    </row>
    <row r="1401" spans="4:24" x14ac:dyDescent="0.25">
      <c r="D1401" s="7"/>
      <c r="E1401" s="7"/>
      <c r="F1401" s="7"/>
      <c r="G1401" s="7"/>
      <c r="H1401" s="7"/>
      <c r="I1401" s="7"/>
      <c r="J1401" s="7"/>
      <c r="K1401" s="7"/>
      <c r="W1401" s="34"/>
      <c r="X1401" s="39"/>
    </row>
    <row r="1402" spans="4:24" x14ac:dyDescent="0.25">
      <c r="D1402" s="7"/>
      <c r="E1402" s="7"/>
      <c r="F1402" s="7"/>
      <c r="G1402" s="7"/>
      <c r="H1402" s="7"/>
      <c r="I1402" s="7"/>
      <c r="J1402" s="7"/>
      <c r="K1402" s="7"/>
      <c r="W1402" s="34"/>
      <c r="X1402" s="39"/>
    </row>
    <row r="1403" spans="4:24" x14ac:dyDescent="0.25">
      <c r="D1403" s="7"/>
      <c r="E1403" s="7"/>
      <c r="F1403" s="7"/>
      <c r="G1403" s="7"/>
      <c r="H1403" s="7"/>
      <c r="I1403" s="7"/>
      <c r="J1403" s="7"/>
      <c r="K1403" s="7"/>
      <c r="W1403" s="34"/>
      <c r="X1403" s="39"/>
    </row>
    <row r="1404" spans="4:24" x14ac:dyDescent="0.25">
      <c r="D1404" s="7"/>
      <c r="E1404" s="7"/>
      <c r="F1404" s="7"/>
      <c r="G1404" s="7"/>
      <c r="H1404" s="7"/>
      <c r="I1404" s="7"/>
      <c r="J1404" s="7"/>
      <c r="K1404" s="7"/>
      <c r="W1404" s="34"/>
      <c r="X1404" s="39"/>
    </row>
    <row r="1405" spans="4:24" x14ac:dyDescent="0.25">
      <c r="D1405" s="7"/>
      <c r="E1405" s="7"/>
      <c r="F1405" s="7"/>
      <c r="G1405" s="7"/>
      <c r="H1405" s="7"/>
      <c r="I1405" s="7"/>
      <c r="J1405" s="7"/>
      <c r="K1405" s="7"/>
      <c r="W1405" s="34"/>
      <c r="X1405" s="39"/>
    </row>
    <row r="1406" spans="4:24" x14ac:dyDescent="0.25">
      <c r="D1406" s="7"/>
      <c r="E1406" s="7"/>
      <c r="F1406" s="7"/>
      <c r="G1406" s="7"/>
      <c r="H1406" s="7"/>
      <c r="I1406" s="7"/>
      <c r="J1406" s="7"/>
      <c r="K1406" s="7"/>
      <c r="W1406" s="34"/>
      <c r="X1406" s="39"/>
    </row>
    <row r="1407" spans="4:24" x14ac:dyDescent="0.25">
      <c r="D1407" s="7"/>
      <c r="E1407" s="7"/>
      <c r="F1407" s="7"/>
      <c r="G1407" s="7"/>
      <c r="H1407" s="7"/>
      <c r="I1407" s="7"/>
      <c r="J1407" s="7"/>
      <c r="K1407" s="7"/>
      <c r="W1407" s="34"/>
      <c r="X1407" s="39"/>
    </row>
    <row r="1408" spans="4:24" x14ac:dyDescent="0.25">
      <c r="D1408" s="7"/>
      <c r="E1408" s="7"/>
      <c r="F1408" s="7"/>
      <c r="G1408" s="7"/>
      <c r="H1408" s="7"/>
      <c r="I1408" s="7"/>
      <c r="J1408" s="7"/>
      <c r="K1408" s="7"/>
      <c r="W1408" s="34"/>
      <c r="X1408" s="39"/>
    </row>
    <row r="1409" spans="4:24" x14ac:dyDescent="0.25">
      <c r="D1409" s="7"/>
      <c r="E1409" s="7"/>
      <c r="F1409" s="7"/>
      <c r="G1409" s="7"/>
      <c r="H1409" s="7"/>
      <c r="I1409" s="7"/>
      <c r="J1409" s="7"/>
      <c r="K1409" s="7"/>
      <c r="W1409" s="34"/>
      <c r="X1409" s="39"/>
    </row>
    <row r="1410" spans="4:24" x14ac:dyDescent="0.25">
      <c r="D1410" s="7"/>
      <c r="E1410" s="7"/>
      <c r="F1410" s="7"/>
      <c r="G1410" s="7"/>
      <c r="H1410" s="7"/>
      <c r="I1410" s="7"/>
      <c r="J1410" s="7"/>
      <c r="K1410" s="7"/>
      <c r="W1410" s="34"/>
      <c r="X1410" s="39"/>
    </row>
    <row r="1411" spans="4:24" x14ac:dyDescent="0.25">
      <c r="D1411" s="7"/>
      <c r="E1411" s="7"/>
      <c r="F1411" s="7"/>
      <c r="G1411" s="7"/>
      <c r="H1411" s="7"/>
      <c r="I1411" s="7"/>
      <c r="J1411" s="7"/>
      <c r="K1411" s="7"/>
      <c r="W1411" s="34"/>
      <c r="X1411" s="39"/>
    </row>
    <row r="1412" spans="4:24" x14ac:dyDescent="0.25">
      <c r="D1412" s="7"/>
      <c r="E1412" s="7"/>
      <c r="F1412" s="7"/>
      <c r="G1412" s="7"/>
      <c r="H1412" s="7"/>
      <c r="I1412" s="7"/>
      <c r="J1412" s="7"/>
      <c r="K1412" s="7"/>
      <c r="W1412" s="34"/>
      <c r="X1412" s="39"/>
    </row>
    <row r="1413" spans="4:24" x14ac:dyDescent="0.25">
      <c r="D1413" s="7"/>
      <c r="E1413" s="7"/>
      <c r="F1413" s="7"/>
      <c r="G1413" s="7"/>
      <c r="H1413" s="7"/>
      <c r="I1413" s="7"/>
      <c r="J1413" s="7"/>
      <c r="K1413" s="7"/>
      <c r="W1413" s="34"/>
      <c r="X1413" s="39"/>
    </row>
    <row r="1414" spans="4:24" x14ac:dyDescent="0.25">
      <c r="D1414" s="7"/>
      <c r="E1414" s="7"/>
      <c r="F1414" s="7"/>
      <c r="G1414" s="7"/>
      <c r="H1414" s="7"/>
      <c r="I1414" s="7"/>
      <c r="J1414" s="7"/>
      <c r="K1414" s="7"/>
      <c r="W1414" s="34"/>
      <c r="X1414" s="39"/>
    </row>
    <row r="1415" spans="4:24" x14ac:dyDescent="0.25">
      <c r="D1415" s="7"/>
      <c r="E1415" s="7"/>
      <c r="F1415" s="7"/>
      <c r="G1415" s="7"/>
      <c r="H1415" s="7"/>
      <c r="I1415" s="7"/>
      <c r="J1415" s="7"/>
      <c r="K1415" s="7"/>
      <c r="W1415" s="34"/>
      <c r="X1415" s="39"/>
    </row>
    <row r="1416" spans="4:24" x14ac:dyDescent="0.25">
      <c r="D1416" s="7"/>
      <c r="E1416" s="7"/>
      <c r="F1416" s="7"/>
      <c r="G1416" s="7"/>
      <c r="H1416" s="7"/>
      <c r="I1416" s="7"/>
      <c r="J1416" s="7"/>
      <c r="K1416" s="7"/>
      <c r="W1416" s="34"/>
      <c r="X1416" s="39"/>
    </row>
    <row r="1417" spans="4:24" x14ac:dyDescent="0.25">
      <c r="D1417" s="7"/>
      <c r="E1417" s="7"/>
      <c r="F1417" s="7"/>
      <c r="G1417" s="7"/>
      <c r="H1417" s="7"/>
      <c r="I1417" s="7"/>
      <c r="J1417" s="7"/>
      <c r="K1417" s="7"/>
      <c r="W1417" s="34"/>
      <c r="X1417" s="39"/>
    </row>
    <row r="1418" spans="4:24" x14ac:dyDescent="0.25">
      <c r="D1418" s="7"/>
      <c r="E1418" s="7"/>
      <c r="F1418" s="7"/>
      <c r="G1418" s="7"/>
      <c r="H1418" s="7"/>
      <c r="I1418" s="7"/>
      <c r="J1418" s="7"/>
      <c r="K1418" s="7"/>
      <c r="W1418" s="34"/>
      <c r="X1418" s="39"/>
    </row>
    <row r="1419" spans="4:24" x14ac:dyDescent="0.25">
      <c r="D1419" s="7"/>
      <c r="E1419" s="7"/>
      <c r="F1419" s="7"/>
      <c r="G1419" s="7"/>
      <c r="H1419" s="7"/>
      <c r="I1419" s="7"/>
      <c r="J1419" s="7"/>
      <c r="K1419" s="7"/>
      <c r="W1419" s="34"/>
      <c r="X1419" s="39"/>
    </row>
    <row r="1420" spans="4:24" x14ac:dyDescent="0.25">
      <c r="D1420" s="7"/>
      <c r="E1420" s="7"/>
      <c r="F1420" s="7"/>
      <c r="G1420" s="7"/>
      <c r="H1420" s="7"/>
      <c r="I1420" s="7"/>
      <c r="J1420" s="7"/>
      <c r="K1420" s="7"/>
      <c r="W1420" s="34"/>
      <c r="X1420" s="39"/>
    </row>
    <row r="1421" spans="4:24" x14ac:dyDescent="0.25">
      <c r="D1421" s="7"/>
      <c r="E1421" s="7"/>
      <c r="F1421" s="7"/>
      <c r="G1421" s="7"/>
      <c r="H1421" s="7"/>
      <c r="I1421" s="7"/>
      <c r="J1421" s="7"/>
      <c r="K1421" s="7"/>
      <c r="W1421" s="34"/>
      <c r="X1421" s="39"/>
    </row>
    <row r="1422" spans="4:24" x14ac:dyDescent="0.25">
      <c r="D1422" s="7"/>
      <c r="E1422" s="7"/>
      <c r="F1422" s="7"/>
      <c r="G1422" s="7"/>
      <c r="H1422" s="7"/>
      <c r="I1422" s="7"/>
      <c r="J1422" s="7"/>
      <c r="K1422" s="7"/>
      <c r="W1422" s="34"/>
      <c r="X1422" s="39"/>
    </row>
    <row r="1423" spans="4:24" x14ac:dyDescent="0.25">
      <c r="D1423" s="7"/>
      <c r="E1423" s="7"/>
      <c r="F1423" s="7"/>
      <c r="G1423" s="7"/>
      <c r="H1423" s="7"/>
      <c r="I1423" s="7"/>
      <c r="J1423" s="7"/>
      <c r="K1423" s="7"/>
      <c r="W1423" s="34"/>
      <c r="X1423" s="39"/>
    </row>
    <row r="1424" spans="4:24" x14ac:dyDescent="0.25">
      <c r="D1424" s="7"/>
      <c r="E1424" s="7"/>
      <c r="F1424" s="7"/>
      <c r="G1424" s="7"/>
      <c r="H1424" s="7"/>
      <c r="I1424" s="7"/>
      <c r="J1424" s="7"/>
      <c r="K1424" s="7"/>
      <c r="W1424" s="34"/>
      <c r="X1424" s="39"/>
    </row>
    <row r="1425" spans="4:24" x14ac:dyDescent="0.25">
      <c r="D1425" s="7"/>
      <c r="E1425" s="7"/>
      <c r="F1425" s="7"/>
      <c r="G1425" s="7"/>
      <c r="H1425" s="7"/>
      <c r="I1425" s="7"/>
      <c r="J1425" s="7"/>
      <c r="K1425" s="7"/>
      <c r="W1425" s="34"/>
      <c r="X1425" s="39"/>
    </row>
    <row r="1426" spans="4:24" x14ac:dyDescent="0.25">
      <c r="D1426" s="7"/>
      <c r="E1426" s="7"/>
      <c r="F1426" s="7"/>
      <c r="G1426" s="7"/>
      <c r="H1426" s="7"/>
      <c r="I1426" s="7"/>
      <c r="J1426" s="7"/>
      <c r="K1426" s="7"/>
      <c r="W1426" s="34"/>
      <c r="X1426" s="39"/>
    </row>
    <row r="1427" spans="4:24" x14ac:dyDescent="0.25">
      <c r="D1427" s="7"/>
      <c r="E1427" s="7"/>
      <c r="F1427" s="7"/>
      <c r="G1427" s="7"/>
      <c r="H1427" s="7"/>
      <c r="I1427" s="7"/>
      <c r="J1427" s="7"/>
      <c r="K1427" s="7"/>
      <c r="W1427" s="34"/>
      <c r="X1427" s="39"/>
    </row>
    <row r="1428" spans="4:24" x14ac:dyDescent="0.25">
      <c r="D1428" s="7"/>
      <c r="E1428" s="7"/>
      <c r="F1428" s="7"/>
      <c r="G1428" s="7"/>
      <c r="H1428" s="7"/>
      <c r="I1428" s="7"/>
      <c r="J1428" s="7"/>
      <c r="K1428" s="7"/>
      <c r="W1428" s="34"/>
      <c r="X1428" s="39"/>
    </row>
    <row r="1429" spans="4:24" x14ac:dyDescent="0.25">
      <c r="D1429" s="7"/>
      <c r="E1429" s="7"/>
      <c r="F1429" s="7"/>
      <c r="G1429" s="7"/>
      <c r="H1429" s="7"/>
      <c r="I1429" s="7"/>
      <c r="J1429" s="7"/>
      <c r="K1429" s="7"/>
      <c r="W1429" s="34"/>
      <c r="X1429" s="39"/>
    </row>
    <row r="1430" spans="4:24" x14ac:dyDescent="0.25">
      <c r="D1430" s="7"/>
      <c r="E1430" s="7"/>
      <c r="F1430" s="7"/>
      <c r="G1430" s="7"/>
      <c r="H1430" s="7"/>
      <c r="I1430" s="7"/>
      <c r="J1430" s="7"/>
      <c r="K1430" s="7"/>
      <c r="W1430" s="34"/>
      <c r="X1430" s="39"/>
    </row>
    <row r="1431" spans="4:24" x14ac:dyDescent="0.25">
      <c r="D1431" s="7"/>
      <c r="E1431" s="7"/>
      <c r="F1431" s="7"/>
      <c r="G1431" s="7"/>
      <c r="H1431" s="7"/>
      <c r="I1431" s="7"/>
      <c r="J1431" s="7"/>
      <c r="K1431" s="7"/>
      <c r="W1431" s="34"/>
      <c r="X1431" s="39"/>
    </row>
    <row r="1432" spans="4:24" x14ac:dyDescent="0.25">
      <c r="D1432" s="7"/>
      <c r="E1432" s="7"/>
      <c r="F1432" s="7"/>
      <c r="G1432" s="7"/>
      <c r="H1432" s="7"/>
      <c r="I1432" s="7"/>
      <c r="J1432" s="7"/>
      <c r="K1432" s="7"/>
      <c r="W1432" s="34"/>
      <c r="X1432" s="39"/>
    </row>
    <row r="1433" spans="4:24" x14ac:dyDescent="0.25">
      <c r="D1433" s="7"/>
      <c r="E1433" s="7"/>
      <c r="F1433" s="7"/>
      <c r="G1433" s="7"/>
      <c r="H1433" s="7"/>
      <c r="I1433" s="7"/>
      <c r="J1433" s="7"/>
      <c r="K1433" s="7"/>
      <c r="W1433" s="34"/>
      <c r="X1433" s="39"/>
    </row>
    <row r="1434" spans="4:24" x14ac:dyDescent="0.25">
      <c r="D1434" s="7"/>
      <c r="E1434" s="7"/>
      <c r="F1434" s="7"/>
      <c r="G1434" s="7"/>
      <c r="H1434" s="7"/>
      <c r="I1434" s="7"/>
      <c r="J1434" s="7"/>
      <c r="K1434" s="7"/>
      <c r="W1434" s="34"/>
      <c r="X1434" s="39"/>
    </row>
    <row r="1435" spans="4:24" x14ac:dyDescent="0.25">
      <c r="D1435" s="7"/>
      <c r="E1435" s="7"/>
      <c r="F1435" s="7"/>
      <c r="G1435" s="7"/>
      <c r="H1435" s="7"/>
      <c r="I1435" s="7"/>
      <c r="J1435" s="7"/>
      <c r="K1435" s="7"/>
      <c r="W1435" s="34"/>
      <c r="X1435" s="39"/>
    </row>
    <row r="1436" spans="4:24" x14ac:dyDescent="0.25">
      <c r="D1436" s="7"/>
      <c r="E1436" s="7"/>
      <c r="F1436" s="7"/>
      <c r="G1436" s="7"/>
      <c r="H1436" s="7"/>
      <c r="I1436" s="7"/>
      <c r="J1436" s="7"/>
      <c r="K1436" s="7"/>
      <c r="W1436" s="34"/>
      <c r="X1436" s="39"/>
    </row>
    <row r="1437" spans="4:24" x14ac:dyDescent="0.25">
      <c r="D1437" s="7"/>
      <c r="E1437" s="7"/>
      <c r="F1437" s="7"/>
      <c r="G1437" s="7"/>
      <c r="H1437" s="7"/>
      <c r="I1437" s="7"/>
      <c r="J1437" s="7"/>
      <c r="K1437" s="7"/>
      <c r="W1437" s="34"/>
      <c r="X1437" s="39"/>
    </row>
    <row r="1438" spans="4:24" x14ac:dyDescent="0.25">
      <c r="D1438" s="7"/>
      <c r="E1438" s="7"/>
      <c r="F1438" s="7"/>
      <c r="G1438" s="7"/>
      <c r="H1438" s="7"/>
      <c r="I1438" s="7"/>
      <c r="J1438" s="7"/>
      <c r="K1438" s="7"/>
      <c r="W1438" s="34"/>
      <c r="X1438" s="39"/>
    </row>
    <row r="1439" spans="4:24" x14ac:dyDescent="0.25">
      <c r="D1439" s="7"/>
      <c r="E1439" s="7"/>
      <c r="F1439" s="7"/>
      <c r="G1439" s="7"/>
      <c r="H1439" s="7"/>
      <c r="I1439" s="7"/>
      <c r="J1439" s="7"/>
      <c r="K1439" s="7"/>
      <c r="W1439" s="34"/>
      <c r="X1439" s="39"/>
    </row>
    <row r="1440" spans="4:24" x14ac:dyDescent="0.25">
      <c r="D1440" s="7"/>
      <c r="E1440" s="7"/>
      <c r="F1440" s="7"/>
      <c r="G1440" s="7"/>
      <c r="H1440" s="7"/>
      <c r="I1440" s="7"/>
      <c r="J1440" s="7"/>
      <c r="K1440" s="7"/>
      <c r="W1440" s="34"/>
      <c r="X1440" s="39"/>
    </row>
    <row r="1441" spans="4:24" x14ac:dyDescent="0.25">
      <c r="D1441" s="7"/>
      <c r="E1441" s="7"/>
      <c r="F1441" s="7"/>
      <c r="G1441" s="7"/>
      <c r="H1441" s="7"/>
      <c r="I1441" s="7"/>
      <c r="J1441" s="7"/>
      <c r="K1441" s="7"/>
      <c r="W1441" s="34"/>
      <c r="X1441" s="39"/>
    </row>
    <row r="1442" spans="4:24" x14ac:dyDescent="0.25">
      <c r="D1442" s="7"/>
      <c r="E1442" s="7"/>
      <c r="F1442" s="7"/>
      <c r="G1442" s="7"/>
      <c r="H1442" s="7"/>
      <c r="I1442" s="7"/>
      <c r="J1442" s="7"/>
      <c r="K1442" s="7"/>
      <c r="W1442" s="34"/>
      <c r="X1442" s="39"/>
    </row>
    <row r="1443" spans="4:24" x14ac:dyDescent="0.25">
      <c r="D1443" s="7"/>
      <c r="E1443" s="7"/>
      <c r="F1443" s="7"/>
      <c r="G1443" s="7"/>
      <c r="H1443" s="7"/>
      <c r="I1443" s="7"/>
      <c r="J1443" s="7"/>
      <c r="K1443" s="7"/>
      <c r="W1443" s="34"/>
      <c r="X1443" s="39"/>
    </row>
    <row r="1444" spans="4:24" x14ac:dyDescent="0.25">
      <c r="D1444" s="7"/>
      <c r="E1444" s="7"/>
      <c r="F1444" s="7"/>
      <c r="G1444" s="7"/>
      <c r="H1444" s="7"/>
      <c r="I1444" s="7"/>
      <c r="J1444" s="7"/>
      <c r="K1444" s="7"/>
      <c r="W1444" s="34"/>
      <c r="X1444" s="39"/>
    </row>
    <row r="1445" spans="4:24" x14ac:dyDescent="0.25">
      <c r="D1445" s="7"/>
      <c r="E1445" s="7"/>
      <c r="F1445" s="7"/>
      <c r="G1445" s="7"/>
      <c r="H1445" s="7"/>
      <c r="I1445" s="7"/>
      <c r="J1445" s="7"/>
      <c r="K1445" s="7"/>
      <c r="W1445" s="34"/>
      <c r="X1445" s="39"/>
    </row>
    <row r="1446" spans="4:24" x14ac:dyDescent="0.25">
      <c r="D1446" s="7"/>
      <c r="E1446" s="7"/>
      <c r="F1446" s="7"/>
      <c r="G1446" s="7"/>
      <c r="H1446" s="7"/>
      <c r="I1446" s="7"/>
      <c r="J1446" s="7"/>
      <c r="K1446" s="7"/>
      <c r="W1446" s="34"/>
      <c r="X1446" s="39"/>
    </row>
    <row r="1447" spans="4:24" x14ac:dyDescent="0.25">
      <c r="D1447" s="7"/>
      <c r="E1447" s="7"/>
      <c r="F1447" s="7"/>
      <c r="G1447" s="7"/>
      <c r="H1447" s="7"/>
      <c r="I1447" s="7"/>
      <c r="J1447" s="7"/>
      <c r="K1447" s="7"/>
      <c r="W1447" s="34"/>
      <c r="X1447" s="39"/>
    </row>
    <row r="1448" spans="4:24" x14ac:dyDescent="0.25">
      <c r="D1448" s="7"/>
      <c r="E1448" s="7"/>
      <c r="F1448" s="7"/>
      <c r="G1448" s="7"/>
      <c r="H1448" s="7"/>
      <c r="I1448" s="7"/>
      <c r="J1448" s="7"/>
      <c r="K1448" s="7"/>
      <c r="W1448" s="34"/>
      <c r="X1448" s="39"/>
    </row>
    <row r="1449" spans="4:24" x14ac:dyDescent="0.25">
      <c r="D1449" s="7"/>
      <c r="E1449" s="7"/>
      <c r="F1449" s="7"/>
      <c r="G1449" s="7"/>
      <c r="H1449" s="7"/>
      <c r="I1449" s="7"/>
      <c r="J1449" s="7"/>
      <c r="K1449" s="7"/>
      <c r="W1449" s="34"/>
      <c r="X1449" s="39"/>
    </row>
    <row r="1450" spans="4:24" x14ac:dyDescent="0.25">
      <c r="D1450" s="7"/>
      <c r="E1450" s="7"/>
      <c r="F1450" s="7"/>
      <c r="G1450" s="7"/>
      <c r="H1450" s="7"/>
      <c r="I1450" s="7"/>
      <c r="J1450" s="7"/>
      <c r="K1450" s="7"/>
      <c r="W1450" s="34"/>
      <c r="X1450" s="39"/>
    </row>
    <row r="1451" spans="4:24" x14ac:dyDescent="0.25">
      <c r="D1451" s="7"/>
      <c r="E1451" s="7"/>
      <c r="F1451" s="7"/>
      <c r="G1451" s="7"/>
      <c r="H1451" s="7"/>
      <c r="I1451" s="7"/>
      <c r="J1451" s="7"/>
      <c r="K1451" s="7"/>
      <c r="W1451" s="34"/>
      <c r="X1451" s="39"/>
    </row>
    <row r="1452" spans="4:24" x14ac:dyDescent="0.25">
      <c r="D1452" s="7"/>
      <c r="E1452" s="7"/>
      <c r="F1452" s="7"/>
      <c r="G1452" s="7"/>
      <c r="H1452" s="7"/>
      <c r="I1452" s="7"/>
      <c r="J1452" s="7"/>
      <c r="K1452" s="7"/>
      <c r="W1452" s="34"/>
      <c r="X1452" s="39"/>
    </row>
    <row r="1453" spans="4:24" x14ac:dyDescent="0.25">
      <c r="D1453" s="7"/>
      <c r="E1453" s="7"/>
      <c r="F1453" s="7"/>
      <c r="G1453" s="7"/>
      <c r="H1453" s="7"/>
      <c r="I1453" s="7"/>
      <c r="J1453" s="7"/>
      <c r="K1453" s="7"/>
      <c r="W1453" s="34"/>
      <c r="X1453" s="39"/>
    </row>
    <row r="1454" spans="4:24" x14ac:dyDescent="0.25">
      <c r="D1454" s="7"/>
      <c r="E1454" s="7"/>
      <c r="F1454" s="7"/>
      <c r="G1454" s="7"/>
      <c r="H1454" s="7"/>
      <c r="I1454" s="7"/>
      <c r="J1454" s="7"/>
      <c r="K1454" s="7"/>
      <c r="W1454" s="34"/>
      <c r="X1454" s="39"/>
    </row>
    <row r="1455" spans="4:24" x14ac:dyDescent="0.25">
      <c r="D1455" s="7"/>
      <c r="E1455" s="7"/>
      <c r="F1455" s="7"/>
      <c r="G1455" s="7"/>
      <c r="H1455" s="7"/>
      <c r="I1455" s="7"/>
      <c r="J1455" s="7"/>
      <c r="K1455" s="7"/>
      <c r="W1455" s="34"/>
      <c r="X1455" s="39"/>
    </row>
    <row r="1456" spans="4:24" x14ac:dyDescent="0.25">
      <c r="D1456" s="7"/>
      <c r="E1456" s="7"/>
      <c r="F1456" s="7"/>
      <c r="G1456" s="7"/>
      <c r="H1456" s="7"/>
      <c r="I1456" s="7"/>
      <c r="J1456" s="7"/>
      <c r="K1456" s="7"/>
      <c r="W1456" s="34"/>
      <c r="X1456" s="39"/>
    </row>
    <row r="1457" spans="4:24" x14ac:dyDescent="0.25">
      <c r="D1457" s="7"/>
      <c r="E1457" s="7"/>
      <c r="F1457" s="7"/>
      <c r="G1457" s="7"/>
      <c r="H1457" s="7"/>
      <c r="I1457" s="7"/>
      <c r="J1457" s="7"/>
      <c r="K1457" s="7"/>
      <c r="W1457" s="34"/>
      <c r="X1457" s="39"/>
    </row>
    <row r="1458" spans="4:24" x14ac:dyDescent="0.25">
      <c r="D1458" s="7"/>
      <c r="E1458" s="7"/>
      <c r="F1458" s="7"/>
      <c r="G1458" s="7"/>
      <c r="H1458" s="7"/>
      <c r="I1458" s="7"/>
      <c r="J1458" s="7"/>
      <c r="K1458" s="7"/>
      <c r="W1458" s="34"/>
      <c r="X1458" s="39"/>
    </row>
    <row r="1459" spans="4:24" x14ac:dyDescent="0.25">
      <c r="D1459" s="7"/>
      <c r="E1459" s="7"/>
      <c r="F1459" s="7"/>
      <c r="G1459" s="7"/>
      <c r="H1459" s="7"/>
      <c r="W1459" s="34"/>
      <c r="X1459" s="39"/>
    </row>
    <row r="1460" spans="4:24" x14ac:dyDescent="0.25">
      <c r="D1460" s="7"/>
      <c r="E1460" s="7"/>
      <c r="F1460" s="7"/>
      <c r="G1460" s="7"/>
      <c r="H1460" s="7"/>
      <c r="W1460" s="34"/>
      <c r="X1460" s="39"/>
    </row>
    <row r="1461" spans="4:24" x14ac:dyDescent="0.25">
      <c r="D1461" s="7"/>
      <c r="E1461" s="7"/>
      <c r="F1461" s="7"/>
      <c r="G1461" s="7"/>
      <c r="H1461" s="7"/>
      <c r="W1461" s="34"/>
      <c r="X1461" s="39"/>
    </row>
    <row r="1462" spans="4:24" x14ac:dyDescent="0.25">
      <c r="D1462" s="7"/>
      <c r="E1462" s="7"/>
      <c r="F1462" s="7"/>
      <c r="G1462" s="7"/>
      <c r="H1462" s="7"/>
      <c r="W1462" s="34"/>
      <c r="X1462" s="39"/>
    </row>
    <row r="1463" spans="4:24" x14ac:dyDescent="0.25">
      <c r="D1463" s="7"/>
      <c r="E1463" s="7"/>
      <c r="F1463" s="7"/>
      <c r="G1463" s="7"/>
      <c r="H1463" s="7"/>
      <c r="W1463" s="34"/>
      <c r="X1463" s="39"/>
    </row>
    <row r="1464" spans="4:24" x14ac:dyDescent="0.25">
      <c r="D1464" s="7"/>
      <c r="E1464" s="7"/>
      <c r="F1464" s="7"/>
      <c r="G1464" s="7"/>
      <c r="H1464" s="7"/>
      <c r="W1464" s="34"/>
      <c r="X1464" s="39"/>
    </row>
    <row r="1465" spans="4:24" x14ac:dyDescent="0.25">
      <c r="D1465" s="7"/>
      <c r="E1465" s="7"/>
      <c r="F1465" s="7"/>
      <c r="G1465" s="7"/>
      <c r="H1465" s="7"/>
      <c r="W1465" s="34"/>
      <c r="X1465" s="39"/>
    </row>
    <row r="1466" spans="4:24" x14ac:dyDescent="0.25">
      <c r="D1466" s="7"/>
      <c r="E1466" s="7"/>
      <c r="F1466" s="7"/>
      <c r="G1466" s="7"/>
      <c r="H1466" s="7"/>
      <c r="W1466" s="34"/>
      <c r="X1466" s="39"/>
    </row>
    <row r="1467" spans="4:24" x14ac:dyDescent="0.25">
      <c r="D1467" s="7"/>
      <c r="E1467" s="7"/>
      <c r="F1467" s="7"/>
      <c r="G1467" s="7"/>
      <c r="H1467" s="7"/>
      <c r="W1467" s="34"/>
      <c r="X1467" s="39"/>
    </row>
    <row r="1468" spans="4:24" x14ac:dyDescent="0.25">
      <c r="D1468" s="7"/>
      <c r="E1468" s="7"/>
      <c r="F1468" s="7"/>
      <c r="G1468" s="7"/>
      <c r="H1468" s="7"/>
      <c r="W1468" s="34"/>
      <c r="X1468" s="39"/>
    </row>
    <row r="1469" spans="4:24" x14ac:dyDescent="0.25">
      <c r="D1469" s="7"/>
      <c r="E1469" s="7"/>
      <c r="F1469" s="7"/>
      <c r="G1469" s="7"/>
      <c r="H1469" s="7"/>
      <c r="W1469" s="34"/>
      <c r="X1469" s="39"/>
    </row>
    <row r="1470" spans="4:24" x14ac:dyDescent="0.25">
      <c r="D1470" s="7"/>
      <c r="E1470" s="7"/>
      <c r="F1470" s="7"/>
      <c r="G1470" s="7"/>
      <c r="H1470" s="7"/>
      <c r="W1470" s="34"/>
      <c r="X1470" s="39"/>
    </row>
    <row r="1471" spans="4:24" x14ac:dyDescent="0.25">
      <c r="D1471" s="7"/>
      <c r="E1471" s="7"/>
      <c r="F1471" s="7"/>
      <c r="G1471" s="7"/>
      <c r="H1471" s="7"/>
      <c r="W1471" s="34"/>
      <c r="X1471" s="39"/>
    </row>
    <row r="1472" spans="4:24" x14ac:dyDescent="0.25">
      <c r="D1472" s="7"/>
      <c r="E1472" s="7"/>
      <c r="F1472" s="7"/>
      <c r="G1472" s="7"/>
      <c r="H1472" s="7"/>
      <c r="W1472" s="34"/>
      <c r="X1472" s="39"/>
    </row>
    <row r="1473" spans="4:24" x14ac:dyDescent="0.25">
      <c r="D1473" s="7"/>
      <c r="E1473" s="7"/>
      <c r="F1473" s="7"/>
      <c r="G1473" s="7"/>
      <c r="H1473" s="7"/>
      <c r="W1473" s="34"/>
      <c r="X1473" s="39"/>
    </row>
    <row r="1474" spans="4:24" x14ac:dyDescent="0.25">
      <c r="D1474" s="7"/>
      <c r="E1474" s="7"/>
      <c r="F1474" s="7"/>
      <c r="G1474" s="7"/>
      <c r="H1474" s="7"/>
      <c r="W1474" s="34"/>
      <c r="X1474" s="39"/>
    </row>
    <row r="1475" spans="4:24" x14ac:dyDescent="0.25">
      <c r="D1475" s="7"/>
      <c r="E1475" s="7"/>
      <c r="F1475" s="7"/>
      <c r="G1475" s="7"/>
      <c r="H1475" s="7"/>
      <c r="W1475" s="34"/>
      <c r="X1475" s="39"/>
    </row>
    <row r="1476" spans="4:24" x14ac:dyDescent="0.25">
      <c r="D1476" s="7"/>
      <c r="E1476" s="7"/>
      <c r="F1476" s="7"/>
      <c r="G1476" s="7"/>
      <c r="H1476" s="7"/>
      <c r="W1476" s="34"/>
      <c r="X1476" s="39"/>
    </row>
    <row r="1477" spans="4:24" x14ac:dyDescent="0.25">
      <c r="D1477" s="7"/>
      <c r="E1477" s="7"/>
      <c r="F1477" s="7"/>
      <c r="G1477" s="7"/>
      <c r="H1477" s="7"/>
      <c r="W1477" s="34"/>
      <c r="X1477" s="39"/>
    </row>
    <row r="1478" spans="4:24" x14ac:dyDescent="0.25">
      <c r="D1478" s="7"/>
      <c r="E1478" s="7"/>
      <c r="F1478" s="7"/>
      <c r="G1478" s="7"/>
      <c r="H1478" s="7"/>
      <c r="W1478" s="34"/>
      <c r="X1478" s="39"/>
    </row>
    <row r="1479" spans="4:24" x14ac:dyDescent="0.25">
      <c r="D1479" s="7"/>
      <c r="E1479" s="7"/>
      <c r="F1479" s="7"/>
      <c r="G1479" s="7"/>
      <c r="H1479" s="7"/>
      <c r="W1479" s="34"/>
      <c r="X1479" s="39"/>
    </row>
    <row r="1480" spans="4:24" x14ac:dyDescent="0.25">
      <c r="D1480" s="7"/>
      <c r="E1480" s="7"/>
      <c r="F1480" s="7"/>
      <c r="G1480" s="7"/>
      <c r="H1480" s="7"/>
      <c r="W1480" s="34"/>
      <c r="X1480" s="39"/>
    </row>
    <row r="1481" spans="4:24" x14ac:dyDescent="0.25">
      <c r="D1481" s="7"/>
      <c r="E1481" s="7"/>
      <c r="F1481" s="7"/>
      <c r="G1481" s="7"/>
      <c r="H1481" s="7"/>
      <c r="W1481" s="34"/>
      <c r="X1481" s="39"/>
    </row>
    <row r="1482" spans="4:24" x14ac:dyDescent="0.25">
      <c r="D1482" s="7"/>
      <c r="E1482" s="7"/>
      <c r="F1482" s="7"/>
      <c r="G1482" s="7"/>
      <c r="H1482" s="7"/>
      <c r="W1482" s="34"/>
      <c r="X1482" s="39"/>
    </row>
    <row r="1483" spans="4:24" x14ac:dyDescent="0.25">
      <c r="D1483" s="7"/>
      <c r="E1483" s="7"/>
      <c r="F1483" s="7"/>
      <c r="G1483" s="7"/>
      <c r="H1483" s="7"/>
      <c r="W1483" s="34"/>
      <c r="X1483" s="39"/>
    </row>
    <row r="1484" spans="4:24" x14ac:dyDescent="0.25">
      <c r="D1484" s="7"/>
      <c r="E1484" s="7"/>
      <c r="F1484" s="7"/>
      <c r="G1484" s="7"/>
      <c r="H1484" s="7"/>
      <c r="W1484" s="34"/>
      <c r="X1484" s="39"/>
    </row>
    <row r="1485" spans="4:24" x14ac:dyDescent="0.25">
      <c r="D1485" s="7"/>
      <c r="E1485" s="7"/>
      <c r="F1485" s="7"/>
      <c r="G1485" s="7"/>
      <c r="H1485" s="7"/>
      <c r="W1485" s="34"/>
      <c r="X1485" s="39"/>
    </row>
    <row r="1486" spans="4:24" x14ac:dyDescent="0.25">
      <c r="D1486" s="7"/>
      <c r="E1486" s="7"/>
      <c r="F1486" s="7"/>
      <c r="G1486" s="7"/>
      <c r="H1486" s="7"/>
      <c r="W1486" s="34"/>
      <c r="X1486" s="39"/>
    </row>
    <row r="1487" spans="4:24" x14ac:dyDescent="0.25">
      <c r="D1487" s="7"/>
      <c r="E1487" s="7"/>
      <c r="F1487" s="7"/>
      <c r="G1487" s="7"/>
      <c r="H1487" s="7"/>
      <c r="W1487" s="34"/>
      <c r="X1487" s="39"/>
    </row>
    <row r="1488" spans="4:24" x14ac:dyDescent="0.25">
      <c r="D1488" s="7"/>
      <c r="E1488" s="7"/>
      <c r="F1488" s="7"/>
      <c r="G1488" s="7"/>
      <c r="H1488" s="7"/>
      <c r="W1488" s="34"/>
      <c r="X1488" s="39"/>
    </row>
    <row r="1489" spans="4:24" x14ac:dyDescent="0.25">
      <c r="D1489" s="7"/>
      <c r="E1489" s="7"/>
      <c r="F1489" s="7"/>
      <c r="G1489" s="7"/>
      <c r="H1489" s="7"/>
      <c r="W1489" s="34"/>
      <c r="X1489" s="39"/>
    </row>
    <row r="1490" spans="4:24" x14ac:dyDescent="0.25">
      <c r="D1490" s="7"/>
      <c r="E1490" s="7"/>
      <c r="F1490" s="7"/>
      <c r="G1490" s="7"/>
      <c r="H1490" s="7"/>
      <c r="W1490" s="34"/>
      <c r="X1490" s="39"/>
    </row>
    <row r="1491" spans="4:24" x14ac:dyDescent="0.25">
      <c r="D1491" s="7"/>
      <c r="E1491" s="7"/>
      <c r="F1491" s="7"/>
      <c r="G1491" s="7"/>
      <c r="H1491" s="7"/>
      <c r="W1491" s="34"/>
      <c r="X1491" s="39"/>
    </row>
    <row r="1492" spans="4:24" x14ac:dyDescent="0.25">
      <c r="D1492" s="7"/>
      <c r="E1492" s="7"/>
      <c r="F1492" s="7"/>
      <c r="G1492" s="7"/>
      <c r="H1492" s="7"/>
      <c r="W1492" s="34"/>
      <c r="X1492" s="39"/>
    </row>
    <row r="1493" spans="4:24" x14ac:dyDescent="0.25">
      <c r="D1493" s="7"/>
      <c r="E1493" s="7"/>
      <c r="F1493" s="7"/>
      <c r="G1493" s="7"/>
      <c r="H1493" s="7"/>
      <c r="W1493" s="34"/>
      <c r="X1493" s="39"/>
    </row>
    <row r="1494" spans="4:24" x14ac:dyDescent="0.25">
      <c r="D1494" s="7"/>
      <c r="E1494" s="7"/>
      <c r="F1494" s="7"/>
      <c r="G1494" s="7"/>
      <c r="H1494" s="7"/>
      <c r="W1494" s="34"/>
      <c r="X1494" s="39"/>
    </row>
    <row r="1495" spans="4:24" x14ac:dyDescent="0.25">
      <c r="D1495" s="7"/>
      <c r="E1495" s="7"/>
      <c r="F1495" s="7"/>
      <c r="G1495" s="7"/>
      <c r="H1495" s="7"/>
      <c r="W1495" s="34"/>
      <c r="X1495" s="39"/>
    </row>
    <row r="1496" spans="4:24" x14ac:dyDescent="0.25">
      <c r="D1496" s="7"/>
      <c r="E1496" s="7"/>
      <c r="F1496" s="7"/>
      <c r="G1496" s="7"/>
      <c r="H1496" s="7"/>
      <c r="W1496" s="34"/>
      <c r="X1496" s="39"/>
    </row>
    <row r="1497" spans="4:24" x14ac:dyDescent="0.25">
      <c r="D1497" s="7"/>
      <c r="E1497" s="7"/>
      <c r="F1497" s="7"/>
      <c r="G1497" s="7"/>
      <c r="H1497" s="7"/>
      <c r="W1497" s="34"/>
      <c r="X1497" s="39"/>
    </row>
    <row r="1498" spans="4:24" x14ac:dyDescent="0.25">
      <c r="D1498" s="7"/>
      <c r="E1498" s="7"/>
      <c r="F1498" s="7"/>
      <c r="G1498" s="7"/>
      <c r="H1498" s="7"/>
      <c r="W1498" s="34"/>
      <c r="X1498" s="39"/>
    </row>
    <row r="1499" spans="4:24" x14ac:dyDescent="0.25">
      <c r="D1499" s="7"/>
      <c r="E1499" s="7"/>
      <c r="F1499" s="7"/>
      <c r="G1499" s="7"/>
      <c r="H1499" s="7"/>
      <c r="W1499" s="34"/>
      <c r="X1499" s="39"/>
    </row>
    <row r="1500" spans="4:24" x14ac:dyDescent="0.25">
      <c r="D1500" s="7"/>
      <c r="E1500" s="7"/>
      <c r="F1500" s="7"/>
      <c r="G1500" s="7"/>
      <c r="H1500" s="7"/>
      <c r="W1500" s="34"/>
      <c r="X1500" s="39"/>
    </row>
    <row r="1501" spans="4:24" x14ac:dyDescent="0.25">
      <c r="D1501" s="7"/>
      <c r="E1501" s="7"/>
      <c r="F1501" s="7"/>
      <c r="G1501" s="7"/>
      <c r="H1501" s="7"/>
      <c r="W1501" s="34"/>
      <c r="X1501" s="39"/>
    </row>
    <row r="1502" spans="4:24" x14ac:dyDescent="0.25">
      <c r="D1502" s="7"/>
      <c r="E1502" s="7"/>
      <c r="F1502" s="7"/>
      <c r="G1502" s="7"/>
      <c r="H1502" s="7"/>
      <c r="W1502" s="34"/>
      <c r="X1502" s="39"/>
    </row>
    <row r="1503" spans="4:24" x14ac:dyDescent="0.25">
      <c r="D1503" s="7"/>
      <c r="E1503" s="7"/>
      <c r="F1503" s="7"/>
      <c r="G1503" s="7"/>
      <c r="H1503" s="7"/>
      <c r="W1503" s="34"/>
      <c r="X1503" s="39"/>
    </row>
    <row r="1504" spans="4:24" x14ac:dyDescent="0.25">
      <c r="D1504" s="7"/>
      <c r="E1504" s="7"/>
      <c r="F1504" s="7"/>
      <c r="G1504" s="7"/>
      <c r="H1504" s="7"/>
      <c r="W1504" s="34"/>
      <c r="X1504" s="39"/>
    </row>
    <row r="1505" spans="4:24" x14ac:dyDescent="0.25">
      <c r="D1505" s="7"/>
      <c r="E1505" s="7"/>
      <c r="F1505" s="7"/>
      <c r="G1505" s="7"/>
      <c r="H1505" s="7"/>
      <c r="W1505" s="34"/>
      <c r="X1505" s="39"/>
    </row>
    <row r="1506" spans="4:24" x14ac:dyDescent="0.25">
      <c r="D1506" s="7"/>
      <c r="E1506" s="7"/>
      <c r="F1506" s="7"/>
      <c r="G1506" s="7"/>
      <c r="H1506" s="7"/>
      <c r="W1506" s="34"/>
      <c r="X1506" s="39"/>
    </row>
    <row r="1507" spans="4:24" x14ac:dyDescent="0.25">
      <c r="D1507" s="7"/>
      <c r="E1507" s="7"/>
      <c r="F1507" s="7"/>
      <c r="G1507" s="7"/>
      <c r="H1507" s="7"/>
      <c r="W1507" s="34"/>
      <c r="X1507" s="39"/>
    </row>
    <row r="1508" spans="4:24" x14ac:dyDescent="0.25">
      <c r="D1508" s="7"/>
      <c r="E1508" s="7"/>
      <c r="F1508" s="7"/>
      <c r="G1508" s="7"/>
      <c r="H1508" s="7"/>
      <c r="W1508" s="34"/>
      <c r="X1508" s="39"/>
    </row>
    <row r="1509" spans="4:24" x14ac:dyDescent="0.25">
      <c r="D1509" s="7"/>
      <c r="E1509" s="7"/>
      <c r="F1509" s="7"/>
      <c r="G1509" s="7"/>
      <c r="H1509" s="7"/>
      <c r="W1509" s="34"/>
      <c r="X1509" s="39"/>
    </row>
    <row r="1510" spans="4:24" x14ac:dyDescent="0.25">
      <c r="D1510" s="7"/>
      <c r="E1510" s="7"/>
      <c r="F1510" s="7"/>
      <c r="G1510" s="7"/>
      <c r="H1510" s="7"/>
      <c r="W1510" s="34"/>
      <c r="X1510" s="39"/>
    </row>
    <row r="1511" spans="4:24" x14ac:dyDescent="0.25">
      <c r="D1511" s="7"/>
      <c r="E1511" s="7"/>
      <c r="F1511" s="7"/>
      <c r="G1511" s="7"/>
      <c r="H1511" s="7"/>
      <c r="W1511" s="34"/>
      <c r="X1511" s="39"/>
    </row>
    <row r="1512" spans="4:24" x14ac:dyDescent="0.25">
      <c r="D1512" s="7"/>
      <c r="E1512" s="7"/>
      <c r="F1512" s="7"/>
      <c r="G1512" s="7"/>
      <c r="H1512" s="7"/>
      <c r="W1512" s="34"/>
      <c r="X1512" s="39"/>
    </row>
    <row r="1513" spans="4:24" x14ac:dyDescent="0.25">
      <c r="D1513" s="7"/>
      <c r="E1513" s="7"/>
      <c r="F1513" s="7"/>
      <c r="G1513" s="7"/>
      <c r="H1513" s="7"/>
      <c r="W1513" s="34"/>
      <c r="X1513" s="39"/>
    </row>
    <row r="1514" spans="4:24" x14ac:dyDescent="0.25">
      <c r="D1514" s="7"/>
      <c r="E1514" s="7"/>
      <c r="F1514" s="7"/>
      <c r="G1514" s="7"/>
      <c r="H1514" s="7"/>
      <c r="W1514" s="34"/>
      <c r="X1514" s="39"/>
    </row>
    <row r="1515" spans="4:24" x14ac:dyDescent="0.25">
      <c r="D1515" s="7"/>
      <c r="E1515" s="7"/>
      <c r="F1515" s="7"/>
      <c r="G1515" s="7"/>
      <c r="H1515" s="7"/>
      <c r="W1515" s="34"/>
      <c r="X1515" s="39"/>
    </row>
    <row r="1516" spans="4:24" x14ac:dyDescent="0.25">
      <c r="D1516" s="7"/>
      <c r="E1516" s="7"/>
      <c r="F1516" s="7"/>
      <c r="G1516" s="7"/>
      <c r="H1516" s="7"/>
      <c r="W1516" s="34"/>
      <c r="X1516" s="39"/>
    </row>
    <row r="1517" spans="4:24" x14ac:dyDescent="0.25">
      <c r="D1517" s="7"/>
      <c r="E1517" s="7"/>
      <c r="F1517" s="7"/>
      <c r="G1517" s="7"/>
      <c r="H1517" s="7"/>
      <c r="W1517" s="34"/>
      <c r="X1517" s="39"/>
    </row>
    <row r="1518" spans="4:24" x14ac:dyDescent="0.25">
      <c r="D1518" s="7"/>
      <c r="E1518" s="7"/>
      <c r="F1518" s="7"/>
      <c r="G1518" s="7"/>
      <c r="H1518" s="7"/>
      <c r="W1518" s="34"/>
      <c r="X1518" s="39"/>
    </row>
    <row r="1519" spans="4:24" x14ac:dyDescent="0.25">
      <c r="D1519" s="7"/>
      <c r="E1519" s="7"/>
      <c r="F1519" s="7"/>
      <c r="G1519" s="7"/>
      <c r="H1519" s="7"/>
      <c r="W1519" s="34"/>
      <c r="X1519" s="39"/>
    </row>
    <row r="1520" spans="4:24" x14ac:dyDescent="0.25">
      <c r="D1520" s="7"/>
      <c r="E1520" s="7"/>
      <c r="F1520" s="7"/>
      <c r="G1520" s="7"/>
      <c r="H1520" s="7"/>
      <c r="W1520" s="34"/>
      <c r="X1520" s="39"/>
    </row>
    <row r="1521" spans="4:24" x14ac:dyDescent="0.25">
      <c r="D1521" s="7"/>
      <c r="E1521" s="7"/>
      <c r="F1521" s="7"/>
      <c r="G1521" s="7"/>
      <c r="H1521" s="7"/>
      <c r="W1521" s="34"/>
      <c r="X1521" s="39"/>
    </row>
    <row r="1522" spans="4:24" x14ac:dyDescent="0.25">
      <c r="D1522" s="7"/>
      <c r="E1522" s="7"/>
      <c r="F1522" s="7"/>
      <c r="G1522" s="7"/>
      <c r="H1522" s="7"/>
      <c r="W1522" s="34"/>
      <c r="X1522" s="39"/>
    </row>
    <row r="1523" spans="4:24" x14ac:dyDescent="0.25">
      <c r="D1523" s="7"/>
      <c r="E1523" s="7"/>
      <c r="F1523" s="7"/>
      <c r="G1523" s="7"/>
      <c r="H1523" s="7"/>
      <c r="W1523" s="34"/>
      <c r="X1523" s="39"/>
    </row>
    <row r="1524" spans="4:24" x14ac:dyDescent="0.25">
      <c r="D1524" s="7"/>
      <c r="E1524" s="7"/>
      <c r="F1524" s="7"/>
      <c r="G1524" s="7"/>
      <c r="H1524" s="7"/>
      <c r="W1524" s="34"/>
      <c r="X1524" s="39"/>
    </row>
    <row r="1525" spans="4:24" x14ac:dyDescent="0.25">
      <c r="D1525" s="7"/>
      <c r="E1525" s="7"/>
      <c r="F1525" s="7"/>
      <c r="G1525" s="7"/>
      <c r="H1525" s="7"/>
      <c r="W1525" s="34"/>
      <c r="X1525" s="39"/>
    </row>
    <row r="1526" spans="4:24" x14ac:dyDescent="0.25">
      <c r="D1526" s="7"/>
      <c r="E1526" s="7"/>
      <c r="F1526" s="7"/>
      <c r="G1526" s="7"/>
      <c r="H1526" s="7"/>
      <c r="W1526" s="34"/>
      <c r="X1526" s="39"/>
    </row>
    <row r="1527" spans="4:24" x14ac:dyDescent="0.25">
      <c r="D1527" s="7"/>
      <c r="E1527" s="7"/>
      <c r="F1527" s="7"/>
      <c r="G1527" s="7"/>
      <c r="H1527" s="7"/>
      <c r="W1527" s="34"/>
      <c r="X1527" s="39"/>
    </row>
    <row r="1528" spans="4:24" x14ac:dyDescent="0.25">
      <c r="D1528" s="7"/>
      <c r="E1528" s="7"/>
      <c r="F1528" s="7"/>
      <c r="G1528" s="7"/>
      <c r="H1528" s="7"/>
      <c r="W1528" s="34"/>
      <c r="X1528" s="39"/>
    </row>
    <row r="1529" spans="4:24" x14ac:dyDescent="0.25">
      <c r="D1529" s="7"/>
      <c r="E1529" s="7"/>
      <c r="F1529" s="7"/>
      <c r="G1529" s="7"/>
      <c r="H1529" s="7"/>
      <c r="W1529" s="34"/>
      <c r="X1529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84FA-1ED2-4264-B5A3-65F19BBD00EA}">
  <sheetPr codeName="Sheet3"/>
  <dimension ref="A1:BX1890"/>
  <sheetViews>
    <sheetView topLeftCell="A16" workbookViewId="0">
      <selection activeCell="R77" activeCellId="2" sqref="R27 R52 R77"/>
    </sheetView>
  </sheetViews>
  <sheetFormatPr defaultRowHeight="15" x14ac:dyDescent="0.25"/>
  <sheetData>
    <row r="1" spans="1:76" ht="45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75</v>
      </c>
      <c r="H1" s="8" t="s">
        <v>76</v>
      </c>
      <c r="I1" s="8" t="s">
        <v>158</v>
      </c>
      <c r="J1" s="8" t="s">
        <v>159</v>
      </c>
      <c r="K1" s="8" t="s">
        <v>77</v>
      </c>
      <c r="L1" s="8" t="s">
        <v>78</v>
      </c>
      <c r="M1" s="11" t="s">
        <v>79</v>
      </c>
      <c r="N1" s="11" t="s">
        <v>80</v>
      </c>
      <c r="O1" s="8" t="s">
        <v>85</v>
      </c>
      <c r="P1" s="18" t="s">
        <v>86</v>
      </c>
      <c r="Q1" s="18" t="s">
        <v>87</v>
      </c>
      <c r="R1" s="18" t="s">
        <v>201</v>
      </c>
      <c r="S1" s="18" t="s">
        <v>88</v>
      </c>
      <c r="T1" s="8" t="s">
        <v>89</v>
      </c>
      <c r="U1" s="11" t="s">
        <v>90</v>
      </c>
      <c r="V1" s="19" t="s">
        <v>91</v>
      </c>
      <c r="W1" s="19" t="s">
        <v>92</v>
      </c>
      <c r="X1" s="19" t="s">
        <v>202</v>
      </c>
      <c r="Y1" s="20" t="s">
        <v>93</v>
      </c>
      <c r="Z1" s="19"/>
      <c r="AA1" s="13" t="s">
        <v>64</v>
      </c>
      <c r="AB1" s="9" t="s">
        <v>81</v>
      </c>
      <c r="AC1" s="16" t="s">
        <v>84</v>
      </c>
      <c r="AD1" s="11" t="s">
        <v>80</v>
      </c>
      <c r="AE1" s="11"/>
      <c r="AF1" s="28" t="s">
        <v>95</v>
      </c>
      <c r="AG1" s="25" t="s">
        <v>155</v>
      </c>
      <c r="AH1" s="25" t="s">
        <v>156</v>
      </c>
      <c r="AI1" s="25" t="s">
        <v>157</v>
      </c>
      <c r="AJ1" s="25" t="s">
        <v>158</v>
      </c>
      <c r="AK1" s="25" t="s">
        <v>159</v>
      </c>
      <c r="AL1" s="25" t="s">
        <v>160</v>
      </c>
      <c r="AM1" s="26" t="s">
        <v>161</v>
      </c>
      <c r="AN1" s="26" t="s">
        <v>162</v>
      </c>
      <c r="AO1" s="22" t="s">
        <v>175</v>
      </c>
      <c r="AP1" t="s">
        <v>155</v>
      </c>
      <c r="AQ1" t="s">
        <v>156</v>
      </c>
      <c r="AR1" t="s">
        <v>157</v>
      </c>
      <c r="AS1" t="s">
        <v>158</v>
      </c>
      <c r="AT1" t="s">
        <v>159</v>
      </c>
      <c r="AU1" t="s">
        <v>160</v>
      </c>
      <c r="AV1" t="s">
        <v>161</v>
      </c>
      <c r="AW1" t="s">
        <v>162</v>
      </c>
      <c r="AX1" s="22" t="s">
        <v>165</v>
      </c>
      <c r="AY1" t="s">
        <v>155</v>
      </c>
      <c r="AZ1" t="s">
        <v>156</v>
      </c>
      <c r="BA1" t="s">
        <v>157</v>
      </c>
      <c r="BB1" t="s">
        <v>158</v>
      </c>
      <c r="BC1" t="s">
        <v>159</v>
      </c>
      <c r="BD1" t="s">
        <v>160</v>
      </c>
      <c r="BE1" t="s">
        <v>161</v>
      </c>
      <c r="BF1" t="s">
        <v>162</v>
      </c>
      <c r="BG1" s="22" t="s">
        <v>168</v>
      </c>
      <c r="BH1" t="s">
        <v>155</v>
      </c>
      <c r="BI1" t="s">
        <v>156</v>
      </c>
      <c r="BJ1" t="s">
        <v>157</v>
      </c>
      <c r="BK1" t="s">
        <v>158</v>
      </c>
      <c r="BL1" t="s">
        <v>159</v>
      </c>
      <c r="BM1" t="s">
        <v>160</v>
      </c>
      <c r="BN1" t="s">
        <v>161</v>
      </c>
      <c r="BO1" t="s">
        <v>162</v>
      </c>
      <c r="BP1" s="22" t="s">
        <v>166</v>
      </c>
      <c r="BQ1" t="s">
        <v>155</v>
      </c>
      <c r="BR1" t="s">
        <v>156</v>
      </c>
      <c r="BS1" t="s">
        <v>157</v>
      </c>
      <c r="BT1" t="s">
        <v>158</v>
      </c>
      <c r="BU1" t="s">
        <v>159</v>
      </c>
      <c r="BV1" t="s">
        <v>160</v>
      </c>
      <c r="BW1" t="s">
        <v>161</v>
      </c>
      <c r="BX1" t="s">
        <v>162</v>
      </c>
    </row>
    <row r="2" spans="1:76" x14ac:dyDescent="0.25">
      <c r="A2">
        <v>2006</v>
      </c>
      <c r="B2">
        <v>302</v>
      </c>
      <c r="C2">
        <v>900</v>
      </c>
      <c r="D2">
        <v>108.2</v>
      </c>
      <c r="E2">
        <v>55.93</v>
      </c>
      <c r="F2">
        <v>7.57</v>
      </c>
      <c r="G2">
        <v>7.85</v>
      </c>
      <c r="H2">
        <f>AVERAGE(G2:G26)</f>
        <v>12.085599999999999</v>
      </c>
      <c r="I2">
        <f>MIN(G2:G26)</f>
        <v>7.85</v>
      </c>
      <c r="J2">
        <f>MAX(G2:G26)</f>
        <v>14.34</v>
      </c>
      <c r="K2">
        <v>1.1200000000000001</v>
      </c>
      <c r="L2">
        <v>240</v>
      </c>
      <c r="M2">
        <v>0</v>
      </c>
      <c r="N2">
        <f>SUM(M2:M26)</f>
        <v>4.4000000000000004</v>
      </c>
      <c r="O2">
        <v>123</v>
      </c>
      <c r="P2">
        <v>36.89</v>
      </c>
      <c r="Q2">
        <v>11.36</v>
      </c>
      <c r="R2">
        <f>AVERAGE(Q2:Q26)</f>
        <v>11.605600000000003</v>
      </c>
      <c r="S2">
        <v>10.78</v>
      </c>
      <c r="T2">
        <v>0</v>
      </c>
      <c r="U2">
        <v>96.3</v>
      </c>
      <c r="V2">
        <v>870</v>
      </c>
      <c r="W2">
        <v>37.340000000000003</v>
      </c>
      <c r="X2">
        <f>AVERAGE(W2:W26)</f>
        <v>37.332000000000001</v>
      </c>
      <c r="Y2">
        <v>13.56</v>
      </c>
      <c r="AA2">
        <v>302</v>
      </c>
      <c r="AB2">
        <v>0</v>
      </c>
      <c r="AC2">
        <f ca="1">OFFSET($H$2,(ROW(AC1)*24)-24,0)</f>
        <v>12.085599999999999</v>
      </c>
      <c r="AD2">
        <f ca="1">OFFSET($N$2,(ROW(AD1)*24)-24,0)</f>
        <v>4.4000000000000004</v>
      </c>
      <c r="AG2">
        <v>2006</v>
      </c>
      <c r="AH2">
        <v>1</v>
      </c>
      <c r="AI2">
        <v>4.4000000000000004</v>
      </c>
      <c r="AJ2">
        <v>7.85</v>
      </c>
      <c r="AK2">
        <v>14.34</v>
      </c>
      <c r="AL2">
        <v>12.085599999999999</v>
      </c>
      <c r="AN2">
        <v>0</v>
      </c>
      <c r="AO2" s="22" t="s">
        <v>174</v>
      </c>
      <c r="AP2">
        <v>2006</v>
      </c>
      <c r="AQ2">
        <v>1</v>
      </c>
      <c r="AR2">
        <v>4.4000000000000004</v>
      </c>
      <c r="AS2">
        <v>7.85</v>
      </c>
      <c r="AT2">
        <v>14.34</v>
      </c>
      <c r="AU2">
        <v>12.085599999999999</v>
      </c>
      <c r="AW2">
        <v>0</v>
      </c>
      <c r="AX2" s="22" t="s">
        <v>176</v>
      </c>
      <c r="AY2">
        <v>2006</v>
      </c>
      <c r="AZ2">
        <v>1</v>
      </c>
      <c r="BA2">
        <v>12.2</v>
      </c>
      <c r="BB2">
        <v>9.58</v>
      </c>
      <c r="BC2">
        <v>14.64</v>
      </c>
      <c r="BD2">
        <v>11.9788</v>
      </c>
      <c r="BF2">
        <v>0</v>
      </c>
      <c r="BG2" s="22" t="s">
        <v>177</v>
      </c>
      <c r="BH2">
        <v>2006</v>
      </c>
      <c r="BI2">
        <v>1</v>
      </c>
      <c r="BJ2">
        <v>0.6</v>
      </c>
      <c r="BK2">
        <v>7.8E-2</v>
      </c>
      <c r="BL2">
        <v>11.08</v>
      </c>
      <c r="BM2">
        <v>5.931840000000002</v>
      </c>
      <c r="BO2">
        <v>0</v>
      </c>
      <c r="BP2" s="22" t="s">
        <v>178</v>
      </c>
      <c r="BQ2">
        <v>2006</v>
      </c>
      <c r="BR2">
        <v>1</v>
      </c>
      <c r="BS2">
        <v>0</v>
      </c>
      <c r="BT2">
        <v>0.47</v>
      </c>
      <c r="BU2">
        <v>9.43</v>
      </c>
      <c r="BV2">
        <v>3.778760000000001</v>
      </c>
      <c r="BX2">
        <v>0</v>
      </c>
    </row>
    <row r="3" spans="1:76" x14ac:dyDescent="0.25">
      <c r="A3">
        <v>2006</v>
      </c>
      <c r="B3">
        <v>302</v>
      </c>
      <c r="C3">
        <v>1000</v>
      </c>
      <c r="D3">
        <v>187.3</v>
      </c>
      <c r="E3">
        <v>130.1</v>
      </c>
      <c r="F3">
        <v>8.7899999999999991</v>
      </c>
      <c r="G3">
        <v>9.3800000000000008</v>
      </c>
      <c r="K3">
        <v>0.98199999999999998</v>
      </c>
      <c r="L3">
        <v>253.1</v>
      </c>
      <c r="M3">
        <v>0</v>
      </c>
      <c r="O3">
        <v>230.7</v>
      </c>
      <c r="P3">
        <v>88.9</v>
      </c>
      <c r="Q3">
        <v>11.31</v>
      </c>
      <c r="S3">
        <v>10.79</v>
      </c>
      <c r="T3">
        <v>0</v>
      </c>
      <c r="U3">
        <v>92.8</v>
      </c>
      <c r="V3">
        <v>868</v>
      </c>
      <c r="W3">
        <v>37.21</v>
      </c>
      <c r="Y3">
        <v>14.36</v>
      </c>
      <c r="AA3">
        <v>303</v>
      </c>
      <c r="AB3">
        <v>1</v>
      </c>
      <c r="AC3">
        <f ca="1">OFFSET($H$2,(ROW(AC2)*25)-25,0)</f>
        <v>11.9788</v>
      </c>
      <c r="AD3">
        <f ca="1">OFFSET($N$2,(ROW(AD2)*25)-25,0)</f>
        <v>12.2</v>
      </c>
      <c r="AG3">
        <v>2006</v>
      </c>
      <c r="AH3">
        <v>2</v>
      </c>
      <c r="AI3">
        <v>12.2</v>
      </c>
      <c r="AJ3">
        <v>9.58</v>
      </c>
      <c r="AK3">
        <v>14.64</v>
      </c>
      <c r="AL3">
        <v>11.9788</v>
      </c>
      <c r="AN3">
        <v>0</v>
      </c>
      <c r="AP3">
        <v>2006</v>
      </c>
      <c r="AQ3">
        <v>2</v>
      </c>
      <c r="AR3">
        <v>12.2</v>
      </c>
      <c r="AS3">
        <v>9.58</v>
      </c>
      <c r="AT3">
        <v>14.64</v>
      </c>
      <c r="AU3">
        <v>11.9788</v>
      </c>
      <c r="AW3">
        <v>0</v>
      </c>
      <c r="AY3">
        <v>2006</v>
      </c>
      <c r="AZ3">
        <v>2</v>
      </c>
      <c r="BA3">
        <v>0.6</v>
      </c>
      <c r="BB3">
        <v>7.8E-2</v>
      </c>
      <c r="BC3">
        <v>11.08</v>
      </c>
      <c r="BD3">
        <v>5.931840000000002</v>
      </c>
      <c r="BF3">
        <v>0</v>
      </c>
      <c r="BH3">
        <v>2006</v>
      </c>
      <c r="BI3">
        <v>2</v>
      </c>
      <c r="BJ3">
        <v>0</v>
      </c>
      <c r="BK3">
        <v>0.47</v>
      </c>
      <c r="BL3">
        <v>9.43</v>
      </c>
      <c r="BM3">
        <v>3.778760000000001</v>
      </c>
      <c r="BO3">
        <v>0</v>
      </c>
      <c r="BQ3">
        <v>2006</v>
      </c>
      <c r="BR3">
        <v>2</v>
      </c>
      <c r="BS3">
        <v>0</v>
      </c>
      <c r="BT3">
        <v>-3.109</v>
      </c>
      <c r="BU3">
        <v>9.9</v>
      </c>
      <c r="BV3">
        <v>1.6366399999999997</v>
      </c>
      <c r="BX3">
        <v>0</v>
      </c>
    </row>
    <row r="4" spans="1:76" x14ac:dyDescent="0.25">
      <c r="A4">
        <v>2006</v>
      </c>
      <c r="B4">
        <v>302</v>
      </c>
      <c r="C4">
        <v>1100</v>
      </c>
      <c r="D4">
        <v>270</v>
      </c>
      <c r="E4">
        <v>191.3</v>
      </c>
      <c r="F4">
        <v>10.49</v>
      </c>
      <c r="G4">
        <v>11.45</v>
      </c>
      <c r="K4">
        <v>0.52900000000000003</v>
      </c>
      <c r="L4">
        <v>151.19999999999999</v>
      </c>
      <c r="M4">
        <v>0</v>
      </c>
      <c r="O4">
        <v>331.7</v>
      </c>
      <c r="P4">
        <v>124.7</v>
      </c>
      <c r="Q4">
        <v>11.29</v>
      </c>
      <c r="S4">
        <v>10.78</v>
      </c>
      <c r="T4">
        <v>0</v>
      </c>
      <c r="U4">
        <v>89</v>
      </c>
      <c r="V4">
        <v>867</v>
      </c>
      <c r="W4">
        <v>37.11</v>
      </c>
      <c r="Y4">
        <v>14.64</v>
      </c>
      <c r="AA4">
        <v>304</v>
      </c>
      <c r="AB4">
        <v>2</v>
      </c>
      <c r="AC4">
        <f t="shared" ref="AC4:AC66" ca="1" si="0">OFFSET($H$2,(ROW(AC3)*25)-25,0)</f>
        <v>5.931840000000002</v>
      </c>
      <c r="AD4">
        <f t="shared" ref="AD4:AD66" ca="1" si="1">OFFSET($N$2,(ROW(AD3)*25)-25,0)</f>
        <v>0.6</v>
      </c>
      <c r="AG4">
        <v>2006</v>
      </c>
      <c r="AH4">
        <v>3</v>
      </c>
      <c r="AI4">
        <v>0.6</v>
      </c>
      <c r="AJ4">
        <v>7.8E-2</v>
      </c>
      <c r="AK4">
        <v>11.08</v>
      </c>
      <c r="AL4">
        <v>5.931840000000002</v>
      </c>
      <c r="AN4">
        <v>0</v>
      </c>
      <c r="AP4">
        <v>2006</v>
      </c>
      <c r="AQ4">
        <v>3</v>
      </c>
      <c r="AR4">
        <v>20.6</v>
      </c>
      <c r="AS4">
        <v>7.8E-2</v>
      </c>
      <c r="AT4">
        <v>11.08</v>
      </c>
      <c r="AU4">
        <v>5.931840000000002</v>
      </c>
      <c r="AW4">
        <v>0</v>
      </c>
      <c r="AY4">
        <v>2006</v>
      </c>
      <c r="AZ4">
        <v>3</v>
      </c>
      <c r="BA4">
        <v>20</v>
      </c>
      <c r="BB4">
        <v>0.47</v>
      </c>
      <c r="BC4">
        <v>9.43</v>
      </c>
      <c r="BD4">
        <v>3.778760000000001</v>
      </c>
      <c r="BF4">
        <v>0</v>
      </c>
      <c r="BH4">
        <v>2006</v>
      </c>
      <c r="BI4">
        <v>3</v>
      </c>
      <c r="BJ4">
        <v>20</v>
      </c>
      <c r="BK4">
        <v>-3.109</v>
      </c>
      <c r="BL4">
        <v>9.9</v>
      </c>
      <c r="BM4">
        <v>1.6366399999999997</v>
      </c>
      <c r="BO4">
        <v>0</v>
      </c>
      <c r="BQ4">
        <v>2006</v>
      </c>
      <c r="BR4">
        <v>3</v>
      </c>
      <c r="BS4">
        <v>20</v>
      </c>
      <c r="BT4">
        <v>-1.982</v>
      </c>
      <c r="BU4">
        <v>8.25</v>
      </c>
      <c r="BV4">
        <v>5.2502800000000001</v>
      </c>
      <c r="BX4">
        <v>0</v>
      </c>
    </row>
    <row r="5" spans="1:76" x14ac:dyDescent="0.25">
      <c r="A5">
        <v>2006</v>
      </c>
      <c r="B5">
        <v>302</v>
      </c>
      <c r="C5">
        <v>1200</v>
      </c>
      <c r="D5">
        <v>302.7</v>
      </c>
      <c r="E5">
        <v>207.4</v>
      </c>
      <c r="F5">
        <v>11.27</v>
      </c>
      <c r="G5">
        <v>12.32</v>
      </c>
      <c r="K5">
        <v>0.93200000000000005</v>
      </c>
      <c r="L5">
        <v>156.6</v>
      </c>
      <c r="M5">
        <v>0</v>
      </c>
      <c r="O5">
        <v>360.9</v>
      </c>
      <c r="P5">
        <v>134.4</v>
      </c>
      <c r="Q5">
        <v>11.3</v>
      </c>
      <c r="S5">
        <v>10.76</v>
      </c>
      <c r="T5">
        <v>0</v>
      </c>
      <c r="U5">
        <v>88.4</v>
      </c>
      <c r="V5">
        <v>865</v>
      </c>
      <c r="W5">
        <v>37.03</v>
      </c>
      <c r="Y5">
        <v>14.34</v>
      </c>
      <c r="AA5">
        <v>305</v>
      </c>
      <c r="AB5">
        <v>3</v>
      </c>
      <c r="AC5">
        <f t="shared" ca="1" si="0"/>
        <v>3.778760000000001</v>
      </c>
      <c r="AD5">
        <f t="shared" ca="1" si="1"/>
        <v>0</v>
      </c>
      <c r="AG5">
        <v>2006</v>
      </c>
      <c r="AH5">
        <v>4</v>
      </c>
      <c r="AI5">
        <v>0</v>
      </c>
      <c r="AJ5">
        <v>0.47</v>
      </c>
      <c r="AK5">
        <v>9.43</v>
      </c>
      <c r="AL5">
        <v>3.778760000000001</v>
      </c>
      <c r="AN5">
        <v>0</v>
      </c>
      <c r="AP5">
        <v>2006</v>
      </c>
      <c r="AQ5">
        <v>4</v>
      </c>
      <c r="AR5">
        <v>0</v>
      </c>
      <c r="AS5">
        <v>0.47</v>
      </c>
      <c r="AT5">
        <v>9.43</v>
      </c>
      <c r="AU5">
        <v>3.778760000000001</v>
      </c>
      <c r="AW5">
        <v>0</v>
      </c>
      <c r="AY5">
        <v>2006</v>
      </c>
      <c r="AZ5">
        <v>4</v>
      </c>
      <c r="BA5">
        <v>0</v>
      </c>
      <c r="BB5">
        <v>-3.109</v>
      </c>
      <c r="BC5">
        <v>9.9</v>
      </c>
      <c r="BD5">
        <v>1.6366399999999997</v>
      </c>
      <c r="BF5">
        <v>0</v>
      </c>
      <c r="BH5">
        <v>2006</v>
      </c>
      <c r="BI5">
        <v>4</v>
      </c>
      <c r="BJ5">
        <v>0</v>
      </c>
      <c r="BK5">
        <v>-1.982</v>
      </c>
      <c r="BL5">
        <v>8.25</v>
      </c>
      <c r="BM5">
        <v>5.2502800000000001</v>
      </c>
      <c r="BO5">
        <v>0</v>
      </c>
      <c r="BQ5">
        <v>2006</v>
      </c>
      <c r="BR5">
        <v>4</v>
      </c>
      <c r="BS5">
        <v>0</v>
      </c>
      <c r="BT5">
        <v>6.52</v>
      </c>
      <c r="BU5">
        <v>11.75</v>
      </c>
      <c r="BV5">
        <v>9.3419999999999987</v>
      </c>
      <c r="BX5">
        <v>0</v>
      </c>
    </row>
    <row r="6" spans="1:76" x14ac:dyDescent="0.25">
      <c r="A6">
        <v>2006</v>
      </c>
      <c r="B6">
        <v>302</v>
      </c>
      <c r="C6">
        <v>1300</v>
      </c>
      <c r="D6">
        <v>233.2</v>
      </c>
      <c r="E6">
        <v>139</v>
      </c>
      <c r="F6">
        <v>12.15</v>
      </c>
      <c r="G6">
        <v>12.67</v>
      </c>
      <c r="K6">
        <v>1.3839999999999999</v>
      </c>
      <c r="L6">
        <v>122.6</v>
      </c>
      <c r="M6">
        <v>0</v>
      </c>
      <c r="O6">
        <v>271.3</v>
      </c>
      <c r="P6">
        <v>90.3</v>
      </c>
      <c r="Q6">
        <v>11.33</v>
      </c>
      <c r="S6">
        <v>10.69</v>
      </c>
      <c r="T6">
        <v>0</v>
      </c>
      <c r="U6">
        <v>94.2</v>
      </c>
      <c r="V6">
        <v>865</v>
      </c>
      <c r="W6">
        <v>36.99</v>
      </c>
      <c r="Y6">
        <v>14.14</v>
      </c>
      <c r="AA6">
        <v>306</v>
      </c>
      <c r="AB6">
        <v>4</v>
      </c>
      <c r="AC6">
        <f t="shared" ca="1" si="0"/>
        <v>1.6366399999999997</v>
      </c>
      <c r="AD6">
        <f t="shared" ca="1" si="1"/>
        <v>0</v>
      </c>
      <c r="AG6">
        <v>2006</v>
      </c>
      <c r="AH6">
        <v>5</v>
      </c>
      <c r="AI6">
        <v>0</v>
      </c>
      <c r="AJ6">
        <v>-3.109</v>
      </c>
      <c r="AK6">
        <v>9.9</v>
      </c>
      <c r="AL6">
        <v>1.6366399999999997</v>
      </c>
      <c r="AN6">
        <v>0</v>
      </c>
      <c r="AP6">
        <v>2006</v>
      </c>
      <c r="AQ6">
        <v>5</v>
      </c>
      <c r="AR6">
        <v>0</v>
      </c>
      <c r="AS6">
        <v>-3.109</v>
      </c>
      <c r="AT6">
        <v>9.9</v>
      </c>
      <c r="AU6">
        <v>1.6366399999999997</v>
      </c>
      <c r="AW6">
        <v>0</v>
      </c>
      <c r="AY6">
        <v>2006</v>
      </c>
      <c r="AZ6">
        <v>5</v>
      </c>
      <c r="BA6">
        <v>0</v>
      </c>
      <c r="BB6">
        <v>-1.982</v>
      </c>
      <c r="BC6">
        <v>8.25</v>
      </c>
      <c r="BD6">
        <v>5.2502800000000001</v>
      </c>
      <c r="BF6">
        <v>0</v>
      </c>
      <c r="BH6">
        <v>2006</v>
      </c>
      <c r="BI6">
        <v>5</v>
      </c>
      <c r="BJ6">
        <v>0</v>
      </c>
      <c r="BK6">
        <v>6.52</v>
      </c>
      <c r="BL6">
        <v>11.75</v>
      </c>
      <c r="BM6">
        <v>9.3419999999999987</v>
      </c>
      <c r="BO6">
        <v>0</v>
      </c>
      <c r="BQ6">
        <v>2006</v>
      </c>
      <c r="BR6">
        <v>5</v>
      </c>
      <c r="BS6">
        <v>0</v>
      </c>
      <c r="BT6">
        <v>6.4349999999999996</v>
      </c>
      <c r="BU6">
        <v>10.71</v>
      </c>
      <c r="BV6">
        <v>9.0673999999999992</v>
      </c>
      <c r="BX6">
        <v>0</v>
      </c>
    </row>
    <row r="7" spans="1:76" x14ac:dyDescent="0.25">
      <c r="A7">
        <v>2006</v>
      </c>
      <c r="B7">
        <v>302</v>
      </c>
      <c r="C7">
        <v>1400</v>
      </c>
      <c r="D7">
        <v>186.8</v>
      </c>
      <c r="E7">
        <v>109.6</v>
      </c>
      <c r="F7">
        <v>12.63</v>
      </c>
      <c r="G7">
        <v>12.86</v>
      </c>
      <c r="K7">
        <v>1.56</v>
      </c>
      <c r="L7">
        <v>125.9</v>
      </c>
      <c r="M7">
        <v>0</v>
      </c>
      <c r="O7">
        <v>221.7</v>
      </c>
      <c r="P7">
        <v>64.72</v>
      </c>
      <c r="Q7">
        <v>11.45</v>
      </c>
      <c r="S7">
        <v>10.69</v>
      </c>
      <c r="T7">
        <v>0</v>
      </c>
      <c r="U7">
        <v>97.5</v>
      </c>
      <c r="V7">
        <v>864</v>
      </c>
      <c r="W7">
        <v>36.96</v>
      </c>
      <c r="Y7">
        <v>13.93</v>
      </c>
      <c r="AA7">
        <v>307</v>
      </c>
      <c r="AB7">
        <v>5</v>
      </c>
      <c r="AC7">
        <f t="shared" ca="1" si="0"/>
        <v>5.2502800000000001</v>
      </c>
      <c r="AD7">
        <f t="shared" ca="1" si="1"/>
        <v>0</v>
      </c>
      <c r="AG7">
        <v>2006</v>
      </c>
      <c r="AH7">
        <v>6</v>
      </c>
      <c r="AI7">
        <v>0</v>
      </c>
      <c r="AJ7">
        <v>-1.982</v>
      </c>
      <c r="AK7">
        <v>8.25</v>
      </c>
      <c r="AL7">
        <v>5.2502800000000001</v>
      </c>
      <c r="AN7">
        <v>0</v>
      </c>
      <c r="AP7">
        <v>2006</v>
      </c>
      <c r="AQ7">
        <v>6</v>
      </c>
      <c r="AR7">
        <v>0</v>
      </c>
      <c r="AS7">
        <v>-1.982</v>
      </c>
      <c r="AT7">
        <v>8.25</v>
      </c>
      <c r="AU7">
        <v>5.2502800000000001</v>
      </c>
      <c r="AW7">
        <v>0</v>
      </c>
      <c r="AY7">
        <v>2006</v>
      </c>
      <c r="AZ7">
        <v>6</v>
      </c>
      <c r="BA7">
        <v>0</v>
      </c>
      <c r="BB7">
        <v>6.52</v>
      </c>
      <c r="BC7">
        <v>11.75</v>
      </c>
      <c r="BD7">
        <v>9.3419999999999987</v>
      </c>
      <c r="BF7">
        <v>0</v>
      </c>
      <c r="BH7">
        <v>2006</v>
      </c>
      <c r="BI7">
        <v>6</v>
      </c>
      <c r="BJ7">
        <v>0</v>
      </c>
      <c r="BK7">
        <v>6.4349999999999996</v>
      </c>
      <c r="BL7">
        <v>10.71</v>
      </c>
      <c r="BM7">
        <v>9.0673999999999992</v>
      </c>
      <c r="BO7">
        <v>0</v>
      </c>
      <c r="BQ7">
        <v>2006</v>
      </c>
      <c r="BR7">
        <v>6</v>
      </c>
      <c r="BS7">
        <v>0.8</v>
      </c>
      <c r="BT7">
        <v>4.3310000000000004</v>
      </c>
      <c r="BU7">
        <v>10.02</v>
      </c>
      <c r="BV7">
        <v>8.3246399999999987</v>
      </c>
      <c r="BX7">
        <v>0</v>
      </c>
    </row>
    <row r="8" spans="1:76" x14ac:dyDescent="0.25">
      <c r="A8">
        <v>2006</v>
      </c>
      <c r="B8">
        <v>302</v>
      </c>
      <c r="C8">
        <v>1500</v>
      </c>
      <c r="D8">
        <v>81</v>
      </c>
      <c r="E8">
        <v>39.549999999999997</v>
      </c>
      <c r="F8">
        <v>11.97</v>
      </c>
      <c r="G8">
        <v>12.17</v>
      </c>
      <c r="K8">
        <v>1.6279999999999999</v>
      </c>
      <c r="L8">
        <v>132.5</v>
      </c>
      <c r="M8">
        <v>0</v>
      </c>
      <c r="O8">
        <v>91</v>
      </c>
      <c r="P8">
        <v>19.170000000000002</v>
      </c>
      <c r="Q8">
        <v>11.51</v>
      </c>
      <c r="S8">
        <v>10.67</v>
      </c>
      <c r="T8">
        <v>0</v>
      </c>
      <c r="U8">
        <v>97.8</v>
      </c>
      <c r="V8">
        <v>863</v>
      </c>
      <c r="W8">
        <v>36.880000000000003</v>
      </c>
      <c r="Y8">
        <v>13.71</v>
      </c>
      <c r="AA8">
        <v>308</v>
      </c>
      <c r="AB8">
        <v>6</v>
      </c>
      <c r="AC8">
        <f t="shared" ca="1" si="0"/>
        <v>9.3419999999999987</v>
      </c>
      <c r="AD8">
        <f t="shared" ca="1" si="1"/>
        <v>0</v>
      </c>
      <c r="AG8">
        <v>2006</v>
      </c>
      <c r="AH8">
        <v>7</v>
      </c>
      <c r="AI8">
        <v>0</v>
      </c>
      <c r="AJ8">
        <v>6.52</v>
      </c>
      <c r="AK8">
        <v>11.75</v>
      </c>
      <c r="AL8">
        <v>9.3419999999999987</v>
      </c>
      <c r="AN8">
        <v>0</v>
      </c>
      <c r="AP8">
        <v>2006</v>
      </c>
      <c r="AQ8">
        <v>7</v>
      </c>
      <c r="AR8">
        <v>0</v>
      </c>
      <c r="AS8">
        <v>6.52</v>
      </c>
      <c r="AT8">
        <v>11.75</v>
      </c>
      <c r="AU8">
        <v>9.3419999999999987</v>
      </c>
      <c r="AW8">
        <v>0</v>
      </c>
      <c r="AY8">
        <v>2006</v>
      </c>
      <c r="AZ8">
        <v>7</v>
      </c>
      <c r="BA8">
        <v>0</v>
      </c>
      <c r="BB8">
        <v>6.4349999999999996</v>
      </c>
      <c r="BC8">
        <v>10.71</v>
      </c>
      <c r="BD8">
        <v>9.0673999999999992</v>
      </c>
      <c r="BF8">
        <v>0</v>
      </c>
      <c r="BH8">
        <v>2006</v>
      </c>
      <c r="BI8">
        <v>7</v>
      </c>
      <c r="BJ8">
        <v>0.8</v>
      </c>
      <c r="BK8">
        <v>4.3310000000000004</v>
      </c>
      <c r="BL8">
        <v>10.02</v>
      </c>
      <c r="BM8">
        <v>8.3246399999999987</v>
      </c>
      <c r="BO8">
        <v>0</v>
      </c>
      <c r="BQ8">
        <v>2006</v>
      </c>
      <c r="BR8">
        <v>7</v>
      </c>
      <c r="BS8">
        <v>4.2</v>
      </c>
      <c r="BT8">
        <v>9.4600000000000009</v>
      </c>
      <c r="BU8">
        <v>12.11</v>
      </c>
      <c r="BV8">
        <v>10.866000000000001</v>
      </c>
      <c r="BX8">
        <v>0</v>
      </c>
    </row>
    <row r="9" spans="1:76" x14ac:dyDescent="0.25">
      <c r="A9">
        <v>2006</v>
      </c>
      <c r="B9">
        <v>302</v>
      </c>
      <c r="C9">
        <v>1600</v>
      </c>
      <c r="D9">
        <v>20.11</v>
      </c>
      <c r="E9">
        <v>4.6159999999999997</v>
      </c>
      <c r="F9">
        <v>11.31</v>
      </c>
      <c r="G9">
        <v>11.39</v>
      </c>
      <c r="K9">
        <v>1.419</v>
      </c>
      <c r="L9">
        <v>127.3</v>
      </c>
      <c r="M9">
        <v>0</v>
      </c>
      <c r="O9">
        <v>15.7</v>
      </c>
      <c r="P9">
        <v>-3.1960000000000002</v>
      </c>
      <c r="Q9">
        <v>11.57</v>
      </c>
      <c r="S9">
        <v>10.64</v>
      </c>
      <c r="T9">
        <v>0</v>
      </c>
      <c r="U9">
        <v>99.1</v>
      </c>
      <c r="V9">
        <v>863</v>
      </c>
      <c r="W9">
        <v>36.909999999999997</v>
      </c>
      <c r="Y9">
        <v>13.54</v>
      </c>
      <c r="AA9">
        <v>309</v>
      </c>
      <c r="AB9">
        <v>7</v>
      </c>
      <c r="AC9">
        <f t="shared" ca="1" si="0"/>
        <v>9.0673999999999992</v>
      </c>
      <c r="AD9">
        <f t="shared" ca="1" si="1"/>
        <v>0</v>
      </c>
      <c r="AG9">
        <v>2006</v>
      </c>
      <c r="AH9">
        <v>8</v>
      </c>
      <c r="AI9">
        <v>0</v>
      </c>
      <c r="AJ9">
        <v>6.4349999999999996</v>
      </c>
      <c r="AK9">
        <v>10.71</v>
      </c>
      <c r="AL9">
        <v>9.0673999999999992</v>
      </c>
      <c r="AN9">
        <v>0</v>
      </c>
      <c r="AP9">
        <v>2006</v>
      </c>
      <c r="AQ9">
        <v>8</v>
      </c>
      <c r="AR9">
        <v>0</v>
      </c>
      <c r="AS9">
        <v>6.4349999999999996</v>
      </c>
      <c r="AT9">
        <v>10.71</v>
      </c>
      <c r="AU9">
        <v>9.0673999999999992</v>
      </c>
      <c r="AW9">
        <v>0</v>
      </c>
      <c r="AY9">
        <v>2006</v>
      </c>
      <c r="AZ9">
        <v>8</v>
      </c>
      <c r="BA9">
        <v>0.8</v>
      </c>
      <c r="BB9">
        <v>4.3310000000000004</v>
      </c>
      <c r="BC9">
        <v>10.02</v>
      </c>
      <c r="BD9">
        <v>8.3246399999999987</v>
      </c>
      <c r="BF9">
        <v>0</v>
      </c>
      <c r="BH9">
        <v>2006</v>
      </c>
      <c r="BI9">
        <v>8</v>
      </c>
      <c r="BJ9">
        <v>4.2</v>
      </c>
      <c r="BK9">
        <v>9.4600000000000009</v>
      </c>
      <c r="BL9">
        <v>12.11</v>
      </c>
      <c r="BM9">
        <v>10.866000000000001</v>
      </c>
      <c r="BO9">
        <v>0</v>
      </c>
      <c r="BQ9">
        <v>2006</v>
      </c>
      <c r="BR9">
        <v>8</v>
      </c>
      <c r="BS9">
        <v>3</v>
      </c>
      <c r="BT9">
        <v>2.964</v>
      </c>
      <c r="BU9">
        <v>10.82</v>
      </c>
      <c r="BV9">
        <v>6.9949199999999996</v>
      </c>
      <c r="BX9">
        <v>0</v>
      </c>
    </row>
    <row r="10" spans="1:76" x14ac:dyDescent="0.25">
      <c r="A10">
        <v>2006</v>
      </c>
      <c r="B10">
        <v>302</v>
      </c>
      <c r="C10">
        <v>1700</v>
      </c>
      <c r="D10">
        <v>3.1349999999999998</v>
      </c>
      <c r="E10">
        <v>-3.6459999999999999</v>
      </c>
      <c r="F10">
        <v>10.93</v>
      </c>
      <c r="G10">
        <v>11.01</v>
      </c>
      <c r="K10">
        <v>1.2589999999999999</v>
      </c>
      <c r="L10">
        <v>110.3</v>
      </c>
      <c r="M10">
        <v>0</v>
      </c>
      <c r="O10">
        <v>-7.08</v>
      </c>
      <c r="P10">
        <v>-10.16</v>
      </c>
      <c r="Q10">
        <v>11.65</v>
      </c>
      <c r="S10">
        <v>10.66</v>
      </c>
      <c r="T10">
        <v>0</v>
      </c>
      <c r="U10">
        <v>99.1</v>
      </c>
      <c r="V10">
        <v>862</v>
      </c>
      <c r="W10">
        <v>36.81</v>
      </c>
      <c r="Y10">
        <v>13.43</v>
      </c>
      <c r="AA10">
        <v>310</v>
      </c>
      <c r="AB10">
        <v>8</v>
      </c>
      <c r="AC10">
        <f t="shared" ca="1" si="0"/>
        <v>8.3246399999999987</v>
      </c>
      <c r="AD10">
        <f t="shared" ca="1" si="1"/>
        <v>0.8</v>
      </c>
      <c r="AG10">
        <v>2006</v>
      </c>
      <c r="AH10">
        <v>9</v>
      </c>
      <c r="AI10">
        <v>0.8</v>
      </c>
      <c r="AJ10">
        <v>4.3310000000000004</v>
      </c>
      <c r="AK10">
        <v>10.02</v>
      </c>
      <c r="AL10">
        <v>8.3246399999999987</v>
      </c>
      <c r="AN10">
        <v>0</v>
      </c>
      <c r="AP10">
        <v>2006</v>
      </c>
      <c r="AQ10">
        <v>9</v>
      </c>
      <c r="AR10">
        <v>0.8</v>
      </c>
      <c r="AS10">
        <v>4.3310000000000004</v>
      </c>
      <c r="AT10">
        <v>10.02</v>
      </c>
      <c r="AU10">
        <v>8.3246399999999987</v>
      </c>
      <c r="AW10">
        <v>0</v>
      </c>
      <c r="AY10">
        <v>2006</v>
      </c>
      <c r="AZ10">
        <v>9</v>
      </c>
      <c r="BA10">
        <v>4.2</v>
      </c>
      <c r="BB10">
        <v>9.4600000000000009</v>
      </c>
      <c r="BC10">
        <v>12.11</v>
      </c>
      <c r="BD10">
        <v>10.866000000000001</v>
      </c>
      <c r="BF10">
        <v>0</v>
      </c>
      <c r="BH10">
        <v>2006</v>
      </c>
      <c r="BI10">
        <v>9</v>
      </c>
      <c r="BJ10">
        <v>3</v>
      </c>
      <c r="BK10">
        <v>2.964</v>
      </c>
      <c r="BL10">
        <v>10.82</v>
      </c>
      <c r="BM10">
        <v>6.9949199999999996</v>
      </c>
      <c r="BO10">
        <v>0</v>
      </c>
      <c r="BQ10">
        <v>2006</v>
      </c>
      <c r="BR10">
        <v>9</v>
      </c>
      <c r="BS10">
        <v>0</v>
      </c>
      <c r="BT10">
        <v>1.5469999999999999</v>
      </c>
      <c r="BU10">
        <v>10.15</v>
      </c>
      <c r="BV10">
        <v>6.4138400000000004</v>
      </c>
      <c r="BX10">
        <v>0</v>
      </c>
    </row>
    <row r="11" spans="1:76" x14ac:dyDescent="0.25">
      <c r="A11">
        <v>2006</v>
      </c>
      <c r="B11">
        <v>302</v>
      </c>
      <c r="C11">
        <v>1800</v>
      </c>
      <c r="D11">
        <v>-1.125</v>
      </c>
      <c r="E11">
        <v>-7.03</v>
      </c>
      <c r="F11">
        <v>10.85</v>
      </c>
      <c r="G11">
        <v>10.94</v>
      </c>
      <c r="K11">
        <v>0.94599999999999995</v>
      </c>
      <c r="L11">
        <v>122.5</v>
      </c>
      <c r="M11">
        <v>0</v>
      </c>
      <c r="O11">
        <v>-12.17</v>
      </c>
      <c r="P11">
        <v>-11.48</v>
      </c>
      <c r="Q11">
        <v>11.63</v>
      </c>
      <c r="S11">
        <v>10.66</v>
      </c>
      <c r="T11">
        <v>0</v>
      </c>
      <c r="U11">
        <v>98.9</v>
      </c>
      <c r="V11">
        <v>861</v>
      </c>
      <c r="W11">
        <v>36.74</v>
      </c>
      <c r="Y11">
        <v>13.34</v>
      </c>
      <c r="AA11">
        <v>311</v>
      </c>
      <c r="AB11">
        <v>9</v>
      </c>
      <c r="AC11">
        <f t="shared" ca="1" si="0"/>
        <v>10.866000000000001</v>
      </c>
      <c r="AD11">
        <f t="shared" ca="1" si="1"/>
        <v>4.2</v>
      </c>
      <c r="AG11">
        <v>2006</v>
      </c>
      <c r="AH11">
        <v>10</v>
      </c>
      <c r="AI11">
        <v>4.2</v>
      </c>
      <c r="AJ11">
        <v>9.4600000000000009</v>
      </c>
      <c r="AK11">
        <v>12.11</v>
      </c>
      <c r="AL11">
        <v>10.866000000000001</v>
      </c>
      <c r="AN11">
        <v>0</v>
      </c>
      <c r="AP11">
        <v>2006</v>
      </c>
      <c r="AQ11">
        <v>10</v>
      </c>
      <c r="AR11">
        <v>24.2</v>
      </c>
      <c r="AS11">
        <v>9.4600000000000009</v>
      </c>
      <c r="AT11">
        <v>12.11</v>
      </c>
      <c r="AU11">
        <v>10.866000000000001</v>
      </c>
      <c r="AW11">
        <v>0</v>
      </c>
      <c r="AY11">
        <v>2006</v>
      </c>
      <c r="AZ11">
        <v>10</v>
      </c>
      <c r="BA11">
        <v>23</v>
      </c>
      <c r="BB11">
        <v>2.964</v>
      </c>
      <c r="BC11">
        <v>10.82</v>
      </c>
      <c r="BD11">
        <v>6.9949199999999996</v>
      </c>
      <c r="BF11">
        <v>0</v>
      </c>
      <c r="BH11">
        <v>2006</v>
      </c>
      <c r="BI11">
        <v>10</v>
      </c>
      <c r="BJ11">
        <v>20</v>
      </c>
      <c r="BK11">
        <v>1.5469999999999999</v>
      </c>
      <c r="BL11">
        <v>10.15</v>
      </c>
      <c r="BM11">
        <v>6.4138400000000004</v>
      </c>
      <c r="BO11">
        <v>0</v>
      </c>
      <c r="BQ11">
        <v>2006</v>
      </c>
      <c r="BR11">
        <v>10</v>
      </c>
      <c r="BS11">
        <v>30.4</v>
      </c>
      <c r="BT11">
        <v>5.4960000000000004</v>
      </c>
      <c r="BU11">
        <v>12.79</v>
      </c>
      <c r="BV11">
        <v>8.750840000000002</v>
      </c>
      <c r="BX11">
        <v>0</v>
      </c>
    </row>
    <row r="12" spans="1:76" x14ac:dyDescent="0.25">
      <c r="A12">
        <v>2006</v>
      </c>
      <c r="B12">
        <v>302</v>
      </c>
      <c r="C12">
        <v>1900</v>
      </c>
      <c r="D12">
        <v>-1.5649999999999999</v>
      </c>
      <c r="E12">
        <v>-7.46</v>
      </c>
      <c r="F12">
        <v>10.93</v>
      </c>
      <c r="G12">
        <v>11.04</v>
      </c>
      <c r="K12">
        <v>0.97299999999999998</v>
      </c>
      <c r="L12">
        <v>111.9</v>
      </c>
      <c r="M12">
        <v>0</v>
      </c>
      <c r="O12">
        <v>-12.17</v>
      </c>
      <c r="P12">
        <v>-11.47</v>
      </c>
      <c r="Q12">
        <v>11.6</v>
      </c>
      <c r="S12">
        <v>10.66</v>
      </c>
      <c r="T12">
        <v>0</v>
      </c>
      <c r="U12">
        <v>98.7</v>
      </c>
      <c r="V12">
        <v>862</v>
      </c>
      <c r="W12">
        <v>36.81</v>
      </c>
      <c r="Y12">
        <v>13.26</v>
      </c>
      <c r="AA12">
        <v>312</v>
      </c>
      <c r="AB12">
        <v>10</v>
      </c>
      <c r="AC12">
        <f t="shared" ca="1" si="0"/>
        <v>6.9949199999999996</v>
      </c>
      <c r="AD12">
        <f t="shared" ca="1" si="1"/>
        <v>3</v>
      </c>
      <c r="AG12">
        <v>2006</v>
      </c>
      <c r="AH12">
        <v>11</v>
      </c>
      <c r="AI12">
        <v>3</v>
      </c>
      <c r="AJ12">
        <v>2.964</v>
      </c>
      <c r="AK12">
        <v>10.82</v>
      </c>
      <c r="AL12">
        <v>6.9949199999999996</v>
      </c>
      <c r="AN12">
        <v>0</v>
      </c>
      <c r="AP12">
        <v>2006</v>
      </c>
      <c r="AQ12">
        <v>11</v>
      </c>
      <c r="AR12">
        <v>3</v>
      </c>
      <c r="AS12">
        <v>2.964</v>
      </c>
      <c r="AT12">
        <v>10.82</v>
      </c>
      <c r="AU12">
        <v>6.9949199999999996</v>
      </c>
      <c r="AW12">
        <v>0</v>
      </c>
      <c r="AY12">
        <v>2006</v>
      </c>
      <c r="AZ12">
        <v>11</v>
      </c>
      <c r="BA12">
        <v>0</v>
      </c>
      <c r="BB12">
        <v>1.5469999999999999</v>
      </c>
      <c r="BC12">
        <v>10.15</v>
      </c>
      <c r="BD12">
        <v>6.4138400000000004</v>
      </c>
      <c r="BF12">
        <v>0</v>
      </c>
      <c r="BH12">
        <v>2006</v>
      </c>
      <c r="BI12">
        <v>11</v>
      </c>
      <c r="BJ12">
        <v>10.4</v>
      </c>
      <c r="BK12">
        <v>5.4960000000000004</v>
      </c>
      <c r="BL12">
        <v>12.79</v>
      </c>
      <c r="BM12">
        <v>8.750840000000002</v>
      </c>
      <c r="BO12">
        <v>0</v>
      </c>
      <c r="BQ12">
        <v>2006</v>
      </c>
      <c r="BR12">
        <v>11</v>
      </c>
      <c r="BS12">
        <v>5.6</v>
      </c>
      <c r="BT12">
        <v>6.2320000000000002</v>
      </c>
      <c r="BU12">
        <v>10.59</v>
      </c>
      <c r="BV12">
        <v>8.2059599999999993</v>
      </c>
      <c r="BX12">
        <v>0</v>
      </c>
    </row>
    <row r="13" spans="1:76" x14ac:dyDescent="0.25">
      <c r="A13">
        <v>2006</v>
      </c>
      <c r="B13">
        <v>302</v>
      </c>
      <c r="C13">
        <v>2000</v>
      </c>
      <c r="D13">
        <v>-1.3089999999999999</v>
      </c>
      <c r="E13">
        <v>-6.0720000000000001</v>
      </c>
      <c r="F13">
        <v>11.06</v>
      </c>
      <c r="G13">
        <v>11.13</v>
      </c>
      <c r="K13">
        <v>1.51</v>
      </c>
      <c r="L13">
        <v>134.6</v>
      </c>
      <c r="M13">
        <v>0.2</v>
      </c>
      <c r="O13">
        <v>-12.18</v>
      </c>
      <c r="P13">
        <v>-11.47</v>
      </c>
      <c r="Q13">
        <v>11.6</v>
      </c>
      <c r="S13">
        <v>10.66</v>
      </c>
      <c r="T13">
        <v>0</v>
      </c>
      <c r="U13">
        <v>99.2</v>
      </c>
      <c r="V13">
        <v>861</v>
      </c>
      <c r="W13">
        <v>36.75</v>
      </c>
      <c r="Y13">
        <v>13.18</v>
      </c>
      <c r="AA13">
        <v>313</v>
      </c>
      <c r="AB13">
        <v>11</v>
      </c>
      <c r="AC13">
        <f t="shared" ca="1" si="0"/>
        <v>6.4138400000000004</v>
      </c>
      <c r="AD13">
        <f t="shared" ca="1" si="1"/>
        <v>0</v>
      </c>
      <c r="AG13">
        <v>2006</v>
      </c>
      <c r="AH13">
        <v>12</v>
      </c>
      <c r="AI13">
        <v>0</v>
      </c>
      <c r="AJ13">
        <v>1.5469999999999999</v>
      </c>
      <c r="AK13">
        <v>10.15</v>
      </c>
      <c r="AL13">
        <v>6.4138400000000004</v>
      </c>
      <c r="AN13">
        <v>0</v>
      </c>
      <c r="AP13">
        <v>2006</v>
      </c>
      <c r="AQ13">
        <v>12</v>
      </c>
      <c r="AR13">
        <v>0</v>
      </c>
      <c r="AS13">
        <v>1.5469999999999999</v>
      </c>
      <c r="AT13">
        <v>10.15</v>
      </c>
      <c r="AU13">
        <v>6.4138400000000004</v>
      </c>
      <c r="AW13">
        <v>0</v>
      </c>
      <c r="AY13">
        <v>2006</v>
      </c>
      <c r="AZ13">
        <v>12</v>
      </c>
      <c r="BA13">
        <v>10.4</v>
      </c>
      <c r="BB13">
        <v>5.4960000000000004</v>
      </c>
      <c r="BC13">
        <v>12.79</v>
      </c>
      <c r="BD13">
        <v>8.750840000000002</v>
      </c>
      <c r="BF13">
        <v>0</v>
      </c>
      <c r="BH13">
        <v>2006</v>
      </c>
      <c r="BI13">
        <v>12</v>
      </c>
      <c r="BJ13">
        <v>5.6</v>
      </c>
      <c r="BK13">
        <v>6.2320000000000002</v>
      </c>
      <c r="BL13">
        <v>10.59</v>
      </c>
      <c r="BM13">
        <v>8.2059599999999993</v>
      </c>
      <c r="BO13">
        <v>0</v>
      </c>
      <c r="BQ13">
        <v>2006</v>
      </c>
      <c r="BR13">
        <v>12</v>
      </c>
      <c r="BS13">
        <v>3.4000000000000004</v>
      </c>
      <c r="BT13">
        <v>8.25</v>
      </c>
      <c r="BU13">
        <v>12.68</v>
      </c>
      <c r="BV13">
        <v>10.347999999999999</v>
      </c>
      <c r="BX13">
        <v>0</v>
      </c>
    </row>
    <row r="14" spans="1:76" x14ac:dyDescent="0.25">
      <c r="A14">
        <v>2006</v>
      </c>
      <c r="B14">
        <v>302</v>
      </c>
      <c r="C14">
        <v>2100</v>
      </c>
      <c r="D14">
        <v>-0.89100000000000001</v>
      </c>
      <c r="E14">
        <v>-4.0069999999999997</v>
      </c>
      <c r="F14">
        <v>11.51</v>
      </c>
      <c r="G14">
        <v>11.52</v>
      </c>
      <c r="K14">
        <v>1.5069999999999999</v>
      </c>
      <c r="L14">
        <v>161.9</v>
      </c>
      <c r="M14">
        <v>0</v>
      </c>
      <c r="O14">
        <v>-12.17</v>
      </c>
      <c r="P14">
        <v>-11.48</v>
      </c>
      <c r="Q14">
        <v>11.61</v>
      </c>
      <c r="S14">
        <v>10.68</v>
      </c>
      <c r="T14">
        <v>0</v>
      </c>
      <c r="U14">
        <v>99.8</v>
      </c>
      <c r="V14">
        <v>861</v>
      </c>
      <c r="W14">
        <v>36.74</v>
      </c>
      <c r="Y14">
        <v>13.11</v>
      </c>
      <c r="AA14">
        <v>314</v>
      </c>
      <c r="AB14">
        <v>12</v>
      </c>
      <c r="AC14">
        <f t="shared" ca="1" si="0"/>
        <v>8.750840000000002</v>
      </c>
      <c r="AD14">
        <f t="shared" ca="1" si="1"/>
        <v>10.4</v>
      </c>
      <c r="AG14">
        <v>2006</v>
      </c>
      <c r="AH14">
        <v>13</v>
      </c>
      <c r="AI14">
        <v>10.4</v>
      </c>
      <c r="AJ14">
        <v>5.4960000000000004</v>
      </c>
      <c r="AK14">
        <v>12.79</v>
      </c>
      <c r="AL14">
        <v>8.750840000000002</v>
      </c>
      <c r="AN14">
        <v>0</v>
      </c>
      <c r="AP14">
        <v>2006</v>
      </c>
      <c r="AQ14">
        <v>13</v>
      </c>
      <c r="AR14">
        <v>10.4</v>
      </c>
      <c r="AS14">
        <v>5.4960000000000004</v>
      </c>
      <c r="AT14">
        <v>12.79</v>
      </c>
      <c r="AU14">
        <v>8.750840000000002</v>
      </c>
      <c r="AW14">
        <v>0</v>
      </c>
      <c r="AY14">
        <v>2006</v>
      </c>
      <c r="AZ14">
        <v>13</v>
      </c>
      <c r="BA14">
        <v>5.6</v>
      </c>
      <c r="BB14">
        <v>6.2320000000000002</v>
      </c>
      <c r="BC14">
        <v>10.59</v>
      </c>
      <c r="BD14">
        <v>8.2059599999999993</v>
      </c>
      <c r="BF14">
        <v>0</v>
      </c>
      <c r="BH14">
        <v>2006</v>
      </c>
      <c r="BI14">
        <v>13</v>
      </c>
      <c r="BJ14">
        <v>3.4000000000000004</v>
      </c>
      <c r="BK14">
        <v>8.25</v>
      </c>
      <c r="BL14">
        <v>12.68</v>
      </c>
      <c r="BM14">
        <v>10.347999999999999</v>
      </c>
      <c r="BO14">
        <v>0</v>
      </c>
      <c r="BQ14">
        <v>2006</v>
      </c>
      <c r="BR14">
        <v>13</v>
      </c>
      <c r="BS14">
        <v>1</v>
      </c>
      <c r="BT14">
        <v>5.8049999999999997</v>
      </c>
      <c r="BU14">
        <v>10.98</v>
      </c>
      <c r="BV14">
        <v>8.6139200000000002</v>
      </c>
      <c r="BX14">
        <v>0</v>
      </c>
    </row>
    <row r="15" spans="1:76" x14ac:dyDescent="0.25">
      <c r="A15">
        <v>2006</v>
      </c>
      <c r="B15">
        <v>302</v>
      </c>
      <c r="C15">
        <v>2200</v>
      </c>
      <c r="D15">
        <v>-0.66</v>
      </c>
      <c r="E15">
        <v>-2.81</v>
      </c>
      <c r="F15">
        <v>11.88</v>
      </c>
      <c r="G15">
        <v>11.95</v>
      </c>
      <c r="K15">
        <v>1.7430000000000001</v>
      </c>
      <c r="L15">
        <v>184.3</v>
      </c>
      <c r="M15">
        <v>1.4</v>
      </c>
      <c r="O15">
        <v>-12.17</v>
      </c>
      <c r="P15">
        <v>-11.48</v>
      </c>
      <c r="Q15">
        <v>11.6</v>
      </c>
      <c r="S15">
        <v>10.71</v>
      </c>
      <c r="T15">
        <v>0</v>
      </c>
      <c r="U15">
        <v>99.2</v>
      </c>
      <c r="V15">
        <v>863</v>
      </c>
      <c r="W15">
        <v>36.880000000000003</v>
      </c>
      <c r="Y15">
        <v>13.05</v>
      </c>
      <c r="AA15">
        <v>315</v>
      </c>
      <c r="AB15">
        <v>13</v>
      </c>
      <c r="AC15">
        <f t="shared" ca="1" si="0"/>
        <v>8.2059599999999993</v>
      </c>
      <c r="AD15">
        <f t="shared" ca="1" si="1"/>
        <v>5.6</v>
      </c>
      <c r="AG15">
        <v>2006</v>
      </c>
      <c r="AH15">
        <v>14</v>
      </c>
      <c r="AI15">
        <v>5.6</v>
      </c>
      <c r="AJ15">
        <v>6.2320000000000002</v>
      </c>
      <c r="AK15">
        <v>10.59</v>
      </c>
      <c r="AL15">
        <v>8.2059599999999993</v>
      </c>
      <c r="AN15">
        <v>0</v>
      </c>
      <c r="AP15">
        <v>2006</v>
      </c>
      <c r="AQ15">
        <v>14</v>
      </c>
      <c r="AR15">
        <v>5.6</v>
      </c>
      <c r="AS15">
        <v>6.2320000000000002</v>
      </c>
      <c r="AT15">
        <v>10.59</v>
      </c>
      <c r="AU15">
        <v>8.2059599999999993</v>
      </c>
      <c r="AW15">
        <v>0</v>
      </c>
      <c r="AY15">
        <v>2006</v>
      </c>
      <c r="AZ15">
        <v>14</v>
      </c>
      <c r="BA15">
        <v>3.4000000000000004</v>
      </c>
      <c r="BB15">
        <v>8.25</v>
      </c>
      <c r="BC15">
        <v>12.68</v>
      </c>
      <c r="BD15">
        <v>10.347999999999999</v>
      </c>
      <c r="BF15">
        <v>0</v>
      </c>
      <c r="BH15">
        <v>2006</v>
      </c>
      <c r="BI15">
        <v>14</v>
      </c>
      <c r="BJ15">
        <v>1</v>
      </c>
      <c r="BK15">
        <v>5.8049999999999997</v>
      </c>
      <c r="BL15">
        <v>10.98</v>
      </c>
      <c r="BM15">
        <v>8.6139200000000002</v>
      </c>
      <c r="BO15">
        <v>0</v>
      </c>
      <c r="BQ15">
        <v>2006</v>
      </c>
      <c r="BR15">
        <v>14</v>
      </c>
      <c r="BS15">
        <v>2.8000000000000003</v>
      </c>
      <c r="BT15">
        <v>5.33</v>
      </c>
      <c r="BU15">
        <v>9.1300000000000008</v>
      </c>
      <c r="BV15">
        <v>6.7644799999999998</v>
      </c>
      <c r="BX15">
        <v>0</v>
      </c>
    </row>
    <row r="16" spans="1:76" x14ac:dyDescent="0.25">
      <c r="A16">
        <v>2006</v>
      </c>
      <c r="B16">
        <v>302</v>
      </c>
      <c r="C16">
        <v>2300</v>
      </c>
      <c r="D16">
        <v>-0.57299999999999995</v>
      </c>
      <c r="E16">
        <v>-1.645</v>
      </c>
      <c r="F16">
        <v>12.17</v>
      </c>
      <c r="G16">
        <v>12.3</v>
      </c>
      <c r="K16">
        <v>2.1339999999999999</v>
      </c>
      <c r="L16">
        <v>194.7</v>
      </c>
      <c r="M16">
        <v>0</v>
      </c>
      <c r="O16">
        <v>-12.17</v>
      </c>
      <c r="P16">
        <v>-11.48</v>
      </c>
      <c r="Q16">
        <v>11.61</v>
      </c>
      <c r="S16">
        <v>10.74</v>
      </c>
      <c r="T16">
        <v>0</v>
      </c>
      <c r="U16">
        <v>98.6</v>
      </c>
      <c r="V16">
        <v>874</v>
      </c>
      <c r="W16">
        <v>37.61</v>
      </c>
      <c r="Y16">
        <v>13</v>
      </c>
      <c r="AA16">
        <v>316</v>
      </c>
      <c r="AB16">
        <v>14</v>
      </c>
      <c r="AC16">
        <f t="shared" ca="1" si="0"/>
        <v>10.347999999999999</v>
      </c>
      <c r="AD16">
        <f t="shared" ca="1" si="1"/>
        <v>3.4000000000000004</v>
      </c>
      <c r="AG16">
        <v>2006</v>
      </c>
      <c r="AH16">
        <v>15</v>
      </c>
      <c r="AI16">
        <v>3.4000000000000004</v>
      </c>
      <c r="AJ16">
        <v>8.25</v>
      </c>
      <c r="AK16">
        <v>12.68</v>
      </c>
      <c r="AL16">
        <v>10.347999999999999</v>
      </c>
      <c r="AN16">
        <v>0</v>
      </c>
      <c r="AP16">
        <v>2006</v>
      </c>
      <c r="AQ16">
        <v>15</v>
      </c>
      <c r="AR16">
        <v>3.4000000000000004</v>
      </c>
      <c r="AS16">
        <v>8.25</v>
      </c>
      <c r="AT16">
        <v>12.68</v>
      </c>
      <c r="AU16">
        <v>10.347999999999999</v>
      </c>
      <c r="AW16">
        <v>0</v>
      </c>
      <c r="AY16">
        <v>2006</v>
      </c>
      <c r="AZ16">
        <v>15</v>
      </c>
      <c r="BA16">
        <v>1</v>
      </c>
      <c r="BB16">
        <v>5.8049999999999997</v>
      </c>
      <c r="BC16">
        <v>10.98</v>
      </c>
      <c r="BD16">
        <v>8.6139200000000002</v>
      </c>
      <c r="BF16">
        <v>0</v>
      </c>
      <c r="BH16">
        <v>2006</v>
      </c>
      <c r="BI16">
        <v>15</v>
      </c>
      <c r="BJ16">
        <v>2.8000000000000003</v>
      </c>
      <c r="BK16">
        <v>5.33</v>
      </c>
      <c r="BL16">
        <v>9.1300000000000008</v>
      </c>
      <c r="BM16">
        <v>6.7644799999999998</v>
      </c>
      <c r="BO16">
        <v>0</v>
      </c>
      <c r="BQ16">
        <v>2006</v>
      </c>
      <c r="BR16">
        <v>15</v>
      </c>
      <c r="BS16">
        <v>66.40000000000002</v>
      </c>
      <c r="BT16">
        <v>4.274</v>
      </c>
      <c r="BU16">
        <v>7.49</v>
      </c>
      <c r="BV16">
        <v>6.0214799999999995</v>
      </c>
      <c r="BX16">
        <v>0</v>
      </c>
    </row>
    <row r="17" spans="1:76" x14ac:dyDescent="0.25">
      <c r="A17">
        <v>2006</v>
      </c>
      <c r="B17">
        <v>302</v>
      </c>
      <c r="C17">
        <v>2400</v>
      </c>
      <c r="D17">
        <v>-0.57299999999999995</v>
      </c>
      <c r="E17">
        <v>-1.579</v>
      </c>
      <c r="F17">
        <v>12.45</v>
      </c>
      <c r="G17">
        <v>12.59</v>
      </c>
      <c r="K17">
        <v>1.77</v>
      </c>
      <c r="L17">
        <v>212.2</v>
      </c>
      <c r="M17">
        <v>0.4</v>
      </c>
      <c r="O17">
        <v>-12.17</v>
      </c>
      <c r="P17">
        <v>-11.48</v>
      </c>
      <c r="Q17">
        <v>11.65</v>
      </c>
      <c r="S17">
        <v>10.77</v>
      </c>
      <c r="T17">
        <v>0</v>
      </c>
      <c r="U17">
        <v>98.4</v>
      </c>
      <c r="V17">
        <v>875</v>
      </c>
      <c r="W17">
        <v>37.68</v>
      </c>
      <c r="Y17">
        <v>12.97</v>
      </c>
      <c r="AA17">
        <v>317</v>
      </c>
      <c r="AB17">
        <v>15</v>
      </c>
      <c r="AC17">
        <f t="shared" ca="1" si="0"/>
        <v>8.6139200000000002</v>
      </c>
      <c r="AD17">
        <f t="shared" ca="1" si="1"/>
        <v>1</v>
      </c>
      <c r="AG17">
        <v>2006</v>
      </c>
      <c r="AH17">
        <v>16</v>
      </c>
      <c r="AI17">
        <v>1</v>
      </c>
      <c r="AJ17">
        <v>5.8049999999999997</v>
      </c>
      <c r="AK17">
        <v>10.98</v>
      </c>
      <c r="AL17">
        <v>8.6139200000000002</v>
      </c>
      <c r="AN17">
        <v>0</v>
      </c>
      <c r="AP17">
        <v>2006</v>
      </c>
      <c r="AQ17">
        <v>16</v>
      </c>
      <c r="AR17">
        <v>1</v>
      </c>
      <c r="AS17">
        <v>5.8049999999999997</v>
      </c>
      <c r="AT17">
        <v>10.98</v>
      </c>
      <c r="AU17">
        <v>8.6139200000000002</v>
      </c>
      <c r="AW17">
        <v>0</v>
      </c>
      <c r="AY17">
        <v>2006</v>
      </c>
      <c r="AZ17">
        <v>16</v>
      </c>
      <c r="BA17">
        <v>2.8000000000000003</v>
      </c>
      <c r="BB17">
        <v>5.33</v>
      </c>
      <c r="BC17">
        <v>9.1300000000000008</v>
      </c>
      <c r="BD17">
        <v>6.7644799999999998</v>
      </c>
      <c r="BF17">
        <v>0</v>
      </c>
      <c r="BH17">
        <v>2006</v>
      </c>
      <c r="BI17">
        <v>16</v>
      </c>
      <c r="BJ17">
        <v>66.40000000000002</v>
      </c>
      <c r="BK17">
        <v>4.274</v>
      </c>
      <c r="BL17">
        <v>7.49</v>
      </c>
      <c r="BM17">
        <v>6.0214799999999995</v>
      </c>
      <c r="BO17">
        <v>0</v>
      </c>
      <c r="BQ17">
        <v>2006</v>
      </c>
      <c r="BR17">
        <v>16</v>
      </c>
      <c r="BS17">
        <v>3.0000000000000004</v>
      </c>
      <c r="BT17">
        <v>3.84</v>
      </c>
      <c r="BU17">
        <v>6.5410000000000004</v>
      </c>
      <c r="BV17">
        <v>4.9475199999999999</v>
      </c>
      <c r="BX17">
        <v>0</v>
      </c>
    </row>
    <row r="18" spans="1:76" x14ac:dyDescent="0.25">
      <c r="A18">
        <v>2006</v>
      </c>
      <c r="B18">
        <v>302</v>
      </c>
      <c r="C18">
        <v>2400</v>
      </c>
      <c r="D18">
        <v>57.43</v>
      </c>
      <c r="E18">
        <v>23.39</v>
      </c>
      <c r="F18">
        <v>9.94</v>
      </c>
      <c r="G18">
        <v>10.19</v>
      </c>
      <c r="K18">
        <v>1.3859999999999999</v>
      </c>
      <c r="L18">
        <v>190.9</v>
      </c>
      <c r="M18">
        <v>2</v>
      </c>
      <c r="O18">
        <v>61.44</v>
      </c>
      <c r="P18">
        <v>15.84</v>
      </c>
      <c r="Q18">
        <v>11.6</v>
      </c>
      <c r="S18">
        <v>10.78</v>
      </c>
      <c r="T18">
        <v>0</v>
      </c>
      <c r="U18">
        <v>97</v>
      </c>
      <c r="V18">
        <v>868</v>
      </c>
      <c r="W18">
        <v>37.24</v>
      </c>
      <c r="Y18">
        <v>13.36</v>
      </c>
      <c r="AA18">
        <v>318</v>
      </c>
      <c r="AB18">
        <v>16</v>
      </c>
      <c r="AC18">
        <f t="shared" ca="1" si="0"/>
        <v>6.7644799999999998</v>
      </c>
      <c r="AD18">
        <f t="shared" ca="1" si="1"/>
        <v>2.8000000000000003</v>
      </c>
      <c r="AG18">
        <v>2006</v>
      </c>
      <c r="AH18">
        <v>17</v>
      </c>
      <c r="AI18">
        <v>2.8000000000000003</v>
      </c>
      <c r="AJ18">
        <v>5.33</v>
      </c>
      <c r="AK18">
        <v>9.1300000000000008</v>
      </c>
      <c r="AL18">
        <v>6.7644799999999998</v>
      </c>
      <c r="AN18">
        <v>0</v>
      </c>
      <c r="AP18">
        <v>2006</v>
      </c>
      <c r="AQ18">
        <v>17</v>
      </c>
      <c r="AR18">
        <v>2.8000000000000003</v>
      </c>
      <c r="AS18">
        <v>5.33</v>
      </c>
      <c r="AT18">
        <v>9.1300000000000008</v>
      </c>
      <c r="AU18">
        <v>6.7644799999999998</v>
      </c>
      <c r="AW18">
        <v>0</v>
      </c>
      <c r="AY18">
        <v>2006</v>
      </c>
      <c r="AZ18">
        <v>17</v>
      </c>
      <c r="BA18">
        <v>66.40000000000002</v>
      </c>
      <c r="BB18">
        <v>4.274</v>
      </c>
      <c r="BC18">
        <v>7.49</v>
      </c>
      <c r="BD18">
        <v>6.0214799999999995</v>
      </c>
      <c r="BF18">
        <v>0</v>
      </c>
      <c r="BH18">
        <v>2006</v>
      </c>
      <c r="BI18">
        <v>17</v>
      </c>
      <c r="BJ18">
        <v>3.0000000000000004</v>
      </c>
      <c r="BK18">
        <v>3.84</v>
      </c>
      <c r="BL18">
        <v>6.5410000000000004</v>
      </c>
      <c r="BM18">
        <v>4.9475199999999999</v>
      </c>
      <c r="BO18">
        <v>0</v>
      </c>
      <c r="BQ18">
        <v>2006</v>
      </c>
      <c r="BR18">
        <v>17</v>
      </c>
      <c r="BS18">
        <v>15</v>
      </c>
      <c r="BT18">
        <v>0.83699999999999997</v>
      </c>
      <c r="BU18">
        <v>4.9050000000000002</v>
      </c>
      <c r="BV18">
        <v>3.0378400000000001</v>
      </c>
      <c r="BX18">
        <v>0</v>
      </c>
    </row>
    <row r="19" spans="1:76" x14ac:dyDescent="0.25">
      <c r="A19">
        <v>2006</v>
      </c>
      <c r="B19">
        <v>303</v>
      </c>
      <c r="C19">
        <v>100</v>
      </c>
      <c r="D19">
        <v>-0.57299999999999995</v>
      </c>
      <c r="E19">
        <v>-0.92500000000000004</v>
      </c>
      <c r="F19">
        <v>12.69</v>
      </c>
      <c r="G19">
        <v>12.76</v>
      </c>
      <c r="K19">
        <v>1.6930000000000001</v>
      </c>
      <c r="L19">
        <v>213.1</v>
      </c>
      <c r="M19">
        <v>0.4</v>
      </c>
      <c r="O19">
        <v>-12.17</v>
      </c>
      <c r="P19">
        <v>-11.48</v>
      </c>
      <c r="Q19">
        <v>11.67</v>
      </c>
      <c r="S19">
        <v>10.77</v>
      </c>
      <c r="T19">
        <v>0</v>
      </c>
      <c r="U19">
        <v>99.2</v>
      </c>
      <c r="V19">
        <v>879</v>
      </c>
      <c r="W19">
        <v>37.92</v>
      </c>
      <c r="Y19">
        <v>12.95</v>
      </c>
      <c r="AA19">
        <v>319</v>
      </c>
      <c r="AB19">
        <v>17</v>
      </c>
      <c r="AC19">
        <f t="shared" ca="1" si="0"/>
        <v>6.0214799999999995</v>
      </c>
      <c r="AD19">
        <f t="shared" ca="1" si="1"/>
        <v>66.40000000000002</v>
      </c>
      <c r="AG19">
        <v>2006</v>
      </c>
      <c r="AH19">
        <v>18</v>
      </c>
      <c r="AI19">
        <v>66.40000000000002</v>
      </c>
      <c r="AJ19">
        <v>4.274</v>
      </c>
      <c r="AK19">
        <v>7.49</v>
      </c>
      <c r="AL19">
        <v>6.0214799999999995</v>
      </c>
      <c r="AN19">
        <v>0</v>
      </c>
      <c r="AP19">
        <v>2006</v>
      </c>
      <c r="AQ19">
        <v>18</v>
      </c>
      <c r="AR19">
        <v>66.40000000000002</v>
      </c>
      <c r="AS19">
        <v>4.274</v>
      </c>
      <c r="AT19">
        <v>7.49</v>
      </c>
      <c r="AU19">
        <v>6.0214799999999995</v>
      </c>
      <c r="AW19">
        <v>0</v>
      </c>
      <c r="AY19">
        <v>2006</v>
      </c>
      <c r="AZ19">
        <v>18</v>
      </c>
      <c r="BA19">
        <v>3.0000000000000004</v>
      </c>
      <c r="BB19">
        <v>3.84</v>
      </c>
      <c r="BC19">
        <v>6.5410000000000004</v>
      </c>
      <c r="BD19">
        <v>4.9475199999999999</v>
      </c>
      <c r="BF19">
        <v>0</v>
      </c>
      <c r="BH19">
        <v>2006</v>
      </c>
      <c r="BI19">
        <v>18</v>
      </c>
      <c r="BJ19">
        <v>15</v>
      </c>
      <c r="BK19">
        <v>0.83699999999999997</v>
      </c>
      <c r="BL19">
        <v>4.9050000000000002</v>
      </c>
      <c r="BM19">
        <v>3.0378400000000001</v>
      </c>
      <c r="BO19">
        <v>0</v>
      </c>
      <c r="BQ19">
        <v>2006</v>
      </c>
      <c r="BR19">
        <v>18</v>
      </c>
      <c r="BS19">
        <v>1.2000000000000002</v>
      </c>
      <c r="BT19">
        <v>1.0169999999999999</v>
      </c>
      <c r="BU19">
        <v>4.8</v>
      </c>
      <c r="BV19">
        <v>2.9127599999999991</v>
      </c>
      <c r="BX19">
        <v>0</v>
      </c>
    </row>
    <row r="20" spans="1:76" x14ac:dyDescent="0.25">
      <c r="A20">
        <v>2006</v>
      </c>
      <c r="B20">
        <v>303</v>
      </c>
      <c r="C20">
        <v>200</v>
      </c>
      <c r="D20">
        <v>-0.57299999999999995</v>
      </c>
      <c r="E20">
        <v>-0.311</v>
      </c>
      <c r="F20">
        <v>13.11</v>
      </c>
      <c r="G20">
        <v>13.2</v>
      </c>
      <c r="K20">
        <v>1.9930000000000001</v>
      </c>
      <c r="L20">
        <v>212.2</v>
      </c>
      <c r="M20">
        <v>0</v>
      </c>
      <c r="O20">
        <v>-12.17</v>
      </c>
      <c r="P20">
        <v>-11.47</v>
      </c>
      <c r="Q20">
        <v>11.71</v>
      </c>
      <c r="S20">
        <v>10.77</v>
      </c>
      <c r="T20">
        <v>0</v>
      </c>
      <c r="U20">
        <v>98.9</v>
      </c>
      <c r="V20">
        <v>883</v>
      </c>
      <c r="W20">
        <v>38.22</v>
      </c>
      <c r="Y20">
        <v>12.93</v>
      </c>
      <c r="AA20">
        <v>320</v>
      </c>
      <c r="AB20">
        <v>18</v>
      </c>
      <c r="AC20">
        <f t="shared" ca="1" si="0"/>
        <v>4.9475199999999999</v>
      </c>
      <c r="AD20">
        <f t="shared" ca="1" si="1"/>
        <v>3.0000000000000004</v>
      </c>
      <c r="AG20">
        <v>2006</v>
      </c>
      <c r="AH20">
        <v>19</v>
      </c>
      <c r="AI20">
        <v>3.0000000000000004</v>
      </c>
      <c r="AJ20">
        <v>3.84</v>
      </c>
      <c r="AK20">
        <v>6.5410000000000004</v>
      </c>
      <c r="AL20">
        <v>4.9475199999999999</v>
      </c>
      <c r="AN20">
        <v>0</v>
      </c>
      <c r="AP20">
        <v>2006</v>
      </c>
      <c r="AQ20">
        <v>19</v>
      </c>
      <c r="AR20">
        <v>3.0000000000000004</v>
      </c>
      <c r="AS20">
        <v>3.84</v>
      </c>
      <c r="AT20">
        <v>6.5410000000000004</v>
      </c>
      <c r="AU20">
        <v>4.9475199999999999</v>
      </c>
      <c r="AW20">
        <v>0</v>
      </c>
      <c r="AY20">
        <v>2006</v>
      </c>
      <c r="AZ20">
        <v>19</v>
      </c>
      <c r="BA20">
        <v>15</v>
      </c>
      <c r="BB20">
        <v>0.83699999999999997</v>
      </c>
      <c r="BC20">
        <v>4.9050000000000002</v>
      </c>
      <c r="BD20">
        <v>3.0378400000000001</v>
      </c>
      <c r="BF20">
        <v>0</v>
      </c>
      <c r="BH20">
        <v>2006</v>
      </c>
      <c r="BI20">
        <v>19</v>
      </c>
      <c r="BJ20">
        <v>1.2000000000000002</v>
      </c>
      <c r="BK20">
        <v>1.0169999999999999</v>
      </c>
      <c r="BL20">
        <v>4.8</v>
      </c>
      <c r="BM20">
        <v>2.9127599999999991</v>
      </c>
      <c r="BO20">
        <v>0</v>
      </c>
      <c r="BQ20">
        <v>2006</v>
      </c>
      <c r="BR20">
        <v>19</v>
      </c>
      <c r="BS20">
        <v>16</v>
      </c>
      <c r="BT20">
        <v>2.78</v>
      </c>
      <c r="BU20">
        <v>10.71</v>
      </c>
      <c r="BV20">
        <v>7.2544000000000004</v>
      </c>
      <c r="BX20">
        <v>0</v>
      </c>
    </row>
    <row r="21" spans="1:76" x14ac:dyDescent="0.25">
      <c r="A21">
        <v>2006</v>
      </c>
      <c r="B21">
        <v>303</v>
      </c>
      <c r="C21">
        <v>300</v>
      </c>
      <c r="D21">
        <v>-0.53300000000000003</v>
      </c>
      <c r="E21">
        <v>9.7000000000000003E-2</v>
      </c>
      <c r="F21">
        <v>13.6</v>
      </c>
      <c r="G21">
        <v>13.69</v>
      </c>
      <c r="K21">
        <v>1.913</v>
      </c>
      <c r="L21">
        <v>226.6</v>
      </c>
      <c r="M21">
        <v>0</v>
      </c>
      <c r="O21">
        <v>-12.17</v>
      </c>
      <c r="P21">
        <v>-11.47</v>
      </c>
      <c r="Q21">
        <v>11.74</v>
      </c>
      <c r="S21">
        <v>10.78</v>
      </c>
      <c r="T21">
        <v>0</v>
      </c>
      <c r="U21">
        <v>99.1</v>
      </c>
      <c r="V21">
        <v>883</v>
      </c>
      <c r="W21">
        <v>38.18</v>
      </c>
      <c r="Y21">
        <v>12.92</v>
      </c>
      <c r="AA21">
        <v>321</v>
      </c>
      <c r="AB21">
        <v>19</v>
      </c>
      <c r="AC21">
        <f t="shared" ca="1" si="0"/>
        <v>3.0378400000000001</v>
      </c>
      <c r="AD21">
        <f t="shared" ca="1" si="1"/>
        <v>15</v>
      </c>
      <c r="AG21">
        <v>2006</v>
      </c>
      <c r="AH21">
        <v>20</v>
      </c>
      <c r="AI21">
        <v>15</v>
      </c>
      <c r="AJ21">
        <v>0.83699999999999997</v>
      </c>
      <c r="AK21">
        <v>4.9050000000000002</v>
      </c>
      <c r="AL21">
        <v>3.0378400000000001</v>
      </c>
      <c r="AN21">
        <v>0</v>
      </c>
      <c r="AP21">
        <v>2006</v>
      </c>
      <c r="AQ21">
        <v>20</v>
      </c>
      <c r="AR21">
        <v>15</v>
      </c>
      <c r="AS21">
        <v>0.83699999999999997</v>
      </c>
      <c r="AT21">
        <v>4.9050000000000002</v>
      </c>
      <c r="AU21">
        <v>3.0378400000000001</v>
      </c>
      <c r="AW21">
        <v>0</v>
      </c>
      <c r="AY21">
        <v>2006</v>
      </c>
      <c r="AZ21">
        <v>20</v>
      </c>
      <c r="BA21">
        <v>1.2000000000000002</v>
      </c>
      <c r="BB21">
        <v>1.0169999999999999</v>
      </c>
      <c r="BC21">
        <v>4.8</v>
      </c>
      <c r="BD21">
        <v>2.9127599999999991</v>
      </c>
      <c r="BF21">
        <v>0</v>
      </c>
      <c r="BH21">
        <v>2006</v>
      </c>
      <c r="BI21">
        <v>20</v>
      </c>
      <c r="BJ21">
        <v>16</v>
      </c>
      <c r="BK21">
        <v>2.78</v>
      </c>
      <c r="BL21">
        <v>10.71</v>
      </c>
      <c r="BM21">
        <v>7.2544000000000004</v>
      </c>
      <c r="BO21">
        <v>0</v>
      </c>
      <c r="BQ21">
        <v>2006</v>
      </c>
      <c r="BR21">
        <v>20</v>
      </c>
      <c r="BS21">
        <v>4.4000000000000004</v>
      </c>
      <c r="BT21">
        <v>2.206</v>
      </c>
      <c r="BU21">
        <v>7.54</v>
      </c>
      <c r="BV21">
        <v>4.8401200000000015</v>
      </c>
      <c r="BX21">
        <v>0</v>
      </c>
    </row>
    <row r="22" spans="1:76" x14ac:dyDescent="0.25">
      <c r="A22">
        <v>2006</v>
      </c>
      <c r="B22">
        <v>303</v>
      </c>
      <c r="C22">
        <v>400</v>
      </c>
      <c r="D22">
        <v>-0.22900000000000001</v>
      </c>
      <c r="E22">
        <v>0.13500000000000001</v>
      </c>
      <c r="F22">
        <v>14.06</v>
      </c>
      <c r="G22">
        <v>14.25</v>
      </c>
      <c r="K22">
        <v>1.87</v>
      </c>
      <c r="L22">
        <v>246.2</v>
      </c>
      <c r="M22">
        <v>0</v>
      </c>
      <c r="O22">
        <v>-12.17</v>
      </c>
      <c r="P22">
        <v>-11.48</v>
      </c>
      <c r="Q22">
        <v>11.8</v>
      </c>
      <c r="S22">
        <v>10.83</v>
      </c>
      <c r="T22">
        <v>0</v>
      </c>
      <c r="U22">
        <v>98.1</v>
      </c>
      <c r="V22">
        <v>882</v>
      </c>
      <c r="W22">
        <v>38.14</v>
      </c>
      <c r="Y22">
        <v>12.91</v>
      </c>
      <c r="AA22">
        <v>322</v>
      </c>
      <c r="AB22">
        <v>20</v>
      </c>
      <c r="AC22">
        <f t="shared" ca="1" si="0"/>
        <v>2.9127599999999991</v>
      </c>
      <c r="AD22">
        <f t="shared" ca="1" si="1"/>
        <v>1.2000000000000002</v>
      </c>
      <c r="AG22">
        <v>2006</v>
      </c>
      <c r="AH22">
        <v>21</v>
      </c>
      <c r="AI22">
        <v>1.2000000000000002</v>
      </c>
      <c r="AJ22">
        <v>1.0169999999999999</v>
      </c>
      <c r="AK22">
        <v>4.8</v>
      </c>
      <c r="AL22">
        <v>2.9127599999999991</v>
      </c>
      <c r="AN22">
        <v>0</v>
      </c>
      <c r="AP22">
        <v>2006</v>
      </c>
      <c r="AQ22">
        <v>21</v>
      </c>
      <c r="AR22">
        <v>1.2000000000000002</v>
      </c>
      <c r="AS22">
        <v>1.0169999999999999</v>
      </c>
      <c r="AT22">
        <v>4.8</v>
      </c>
      <c r="AU22">
        <v>2.9127599999999991</v>
      </c>
      <c r="AW22">
        <v>0</v>
      </c>
      <c r="AY22">
        <v>2006</v>
      </c>
      <c r="AZ22">
        <v>21</v>
      </c>
      <c r="BA22">
        <v>16</v>
      </c>
      <c r="BB22">
        <v>2.78</v>
      </c>
      <c r="BC22">
        <v>10.71</v>
      </c>
      <c r="BD22">
        <v>7.2544000000000004</v>
      </c>
      <c r="BF22">
        <v>0</v>
      </c>
      <c r="BH22">
        <v>2006</v>
      </c>
      <c r="BI22">
        <v>21</v>
      </c>
      <c r="BJ22">
        <v>4.4000000000000004</v>
      </c>
      <c r="BK22">
        <v>2.206</v>
      </c>
      <c r="BL22">
        <v>7.54</v>
      </c>
      <c r="BM22">
        <v>4.8401200000000015</v>
      </c>
      <c r="BO22">
        <v>0</v>
      </c>
      <c r="BQ22">
        <v>2006</v>
      </c>
      <c r="BR22">
        <v>21</v>
      </c>
      <c r="BS22">
        <v>0.4</v>
      </c>
      <c r="BT22">
        <v>2.6960000000000002</v>
      </c>
      <c r="BU22">
        <v>7.52</v>
      </c>
      <c r="BV22">
        <v>5.3116000000000012</v>
      </c>
      <c r="BX22">
        <v>0</v>
      </c>
    </row>
    <row r="23" spans="1:76" x14ac:dyDescent="0.25">
      <c r="A23">
        <v>2006</v>
      </c>
      <c r="B23">
        <v>303</v>
      </c>
      <c r="C23">
        <v>500</v>
      </c>
      <c r="D23">
        <v>-0.6</v>
      </c>
      <c r="E23">
        <v>-4.47</v>
      </c>
      <c r="F23">
        <v>14.09</v>
      </c>
      <c r="G23">
        <v>14.34</v>
      </c>
      <c r="K23">
        <v>0.81399999999999995</v>
      </c>
      <c r="L23">
        <v>254.7</v>
      </c>
      <c r="M23">
        <v>0</v>
      </c>
      <c r="O23">
        <v>-12.17</v>
      </c>
      <c r="P23">
        <v>-11.48</v>
      </c>
      <c r="Q23">
        <v>11.84</v>
      </c>
      <c r="S23">
        <v>10.87</v>
      </c>
      <c r="T23">
        <v>0</v>
      </c>
      <c r="U23">
        <v>97.4</v>
      </c>
      <c r="V23">
        <v>881</v>
      </c>
      <c r="W23">
        <v>38.090000000000003</v>
      </c>
      <c r="Y23">
        <v>12.9</v>
      </c>
      <c r="AA23">
        <v>323</v>
      </c>
      <c r="AB23">
        <v>21</v>
      </c>
      <c r="AC23">
        <f t="shared" ca="1" si="0"/>
        <v>7.2544000000000004</v>
      </c>
      <c r="AD23">
        <f t="shared" ca="1" si="1"/>
        <v>16</v>
      </c>
      <c r="AG23">
        <v>2006</v>
      </c>
      <c r="AH23">
        <v>22</v>
      </c>
      <c r="AI23">
        <v>16</v>
      </c>
      <c r="AJ23">
        <v>2.78</v>
      </c>
      <c r="AK23">
        <v>10.71</v>
      </c>
      <c r="AL23">
        <v>7.2544000000000004</v>
      </c>
      <c r="AN23">
        <v>0</v>
      </c>
      <c r="AP23">
        <v>2006</v>
      </c>
      <c r="AQ23">
        <v>22</v>
      </c>
      <c r="AR23">
        <v>16</v>
      </c>
      <c r="AS23">
        <v>2.78</v>
      </c>
      <c r="AT23">
        <v>10.71</v>
      </c>
      <c r="AU23">
        <v>7.2544000000000004</v>
      </c>
      <c r="AW23">
        <v>0</v>
      </c>
      <c r="AY23">
        <v>2006</v>
      </c>
      <c r="AZ23">
        <v>22</v>
      </c>
      <c r="BA23">
        <v>4.4000000000000004</v>
      </c>
      <c r="BB23">
        <v>2.206</v>
      </c>
      <c r="BC23">
        <v>7.54</v>
      </c>
      <c r="BD23">
        <v>4.8401200000000015</v>
      </c>
      <c r="BF23">
        <v>0</v>
      </c>
      <c r="BH23">
        <v>2006</v>
      </c>
      <c r="BI23">
        <v>22</v>
      </c>
      <c r="BJ23">
        <v>0.4</v>
      </c>
      <c r="BK23">
        <v>2.6960000000000002</v>
      </c>
      <c r="BL23">
        <v>7.52</v>
      </c>
      <c r="BM23">
        <v>5.3116000000000012</v>
      </c>
      <c r="BO23">
        <v>0</v>
      </c>
      <c r="BQ23">
        <v>2006</v>
      </c>
      <c r="BR23">
        <v>22</v>
      </c>
      <c r="BS23">
        <v>7.9999999999999991</v>
      </c>
      <c r="BT23">
        <v>5.2619999999999996</v>
      </c>
      <c r="BU23">
        <v>9.31</v>
      </c>
      <c r="BV23">
        <v>7.1650800000000014</v>
      </c>
      <c r="BX23">
        <v>0</v>
      </c>
    </row>
    <row r="24" spans="1:76" x14ac:dyDescent="0.25">
      <c r="A24">
        <v>2006</v>
      </c>
      <c r="B24">
        <v>303</v>
      </c>
      <c r="C24">
        <v>600</v>
      </c>
      <c r="D24">
        <v>-0.749</v>
      </c>
      <c r="E24">
        <v>-9.8000000000000007</v>
      </c>
      <c r="F24">
        <v>13.85</v>
      </c>
      <c r="G24">
        <v>14.25</v>
      </c>
      <c r="K24">
        <v>1.1499999999999999</v>
      </c>
      <c r="L24">
        <v>273.3</v>
      </c>
      <c r="M24">
        <v>0</v>
      </c>
      <c r="O24">
        <v>-12.17</v>
      </c>
      <c r="P24">
        <v>-11.48</v>
      </c>
      <c r="Q24">
        <v>11.88</v>
      </c>
      <c r="S24">
        <v>10.86</v>
      </c>
      <c r="T24">
        <v>0</v>
      </c>
      <c r="U24">
        <v>95.8</v>
      </c>
      <c r="V24">
        <v>878</v>
      </c>
      <c r="W24">
        <v>37.85</v>
      </c>
      <c r="Y24">
        <v>12.9</v>
      </c>
      <c r="AA24">
        <v>324</v>
      </c>
      <c r="AB24">
        <v>22</v>
      </c>
      <c r="AC24">
        <f t="shared" ca="1" si="0"/>
        <v>4.8401200000000015</v>
      </c>
      <c r="AD24">
        <f t="shared" ca="1" si="1"/>
        <v>4.4000000000000004</v>
      </c>
      <c r="AG24">
        <v>2006</v>
      </c>
      <c r="AH24">
        <v>23</v>
      </c>
      <c r="AI24">
        <v>4.4000000000000004</v>
      </c>
      <c r="AJ24">
        <v>2.206</v>
      </c>
      <c r="AK24">
        <v>7.54</v>
      </c>
      <c r="AL24">
        <v>4.8401200000000015</v>
      </c>
      <c r="AN24">
        <v>0</v>
      </c>
      <c r="AP24">
        <v>2006</v>
      </c>
      <c r="AQ24">
        <v>23</v>
      </c>
      <c r="AR24">
        <v>4.4000000000000004</v>
      </c>
      <c r="AS24">
        <v>2.206</v>
      </c>
      <c r="AT24">
        <v>7.54</v>
      </c>
      <c r="AU24">
        <v>4.8401200000000015</v>
      </c>
      <c r="AW24">
        <v>0</v>
      </c>
      <c r="AY24">
        <v>2006</v>
      </c>
      <c r="AZ24">
        <v>23</v>
      </c>
      <c r="BA24">
        <v>0.4</v>
      </c>
      <c r="BB24">
        <v>2.6960000000000002</v>
      </c>
      <c r="BC24">
        <v>7.52</v>
      </c>
      <c r="BD24">
        <v>5.3116000000000012</v>
      </c>
      <c r="BF24">
        <v>0</v>
      </c>
      <c r="BH24">
        <v>2006</v>
      </c>
      <c r="BI24">
        <v>23</v>
      </c>
      <c r="BJ24">
        <v>7.9999999999999991</v>
      </c>
      <c r="BK24">
        <v>5.2619999999999996</v>
      </c>
      <c r="BL24">
        <v>9.31</v>
      </c>
      <c r="BM24">
        <v>7.1650800000000014</v>
      </c>
      <c r="BO24">
        <v>0</v>
      </c>
      <c r="BQ24">
        <v>2006</v>
      </c>
      <c r="BR24">
        <v>23</v>
      </c>
      <c r="BS24">
        <v>5.2</v>
      </c>
      <c r="BT24">
        <v>2.4430000000000001</v>
      </c>
      <c r="BU24">
        <v>8.57</v>
      </c>
      <c r="BV24">
        <v>5.8688000000000002</v>
      </c>
      <c r="BX24">
        <v>0</v>
      </c>
    </row>
    <row r="25" spans="1:76" x14ac:dyDescent="0.25">
      <c r="A25">
        <v>2006</v>
      </c>
      <c r="B25">
        <v>303</v>
      </c>
      <c r="C25">
        <v>700</v>
      </c>
      <c r="D25">
        <v>-1.575</v>
      </c>
      <c r="E25">
        <v>-28.4</v>
      </c>
      <c r="F25">
        <v>12.88</v>
      </c>
      <c r="G25">
        <v>13.7</v>
      </c>
      <c r="K25">
        <v>3.0329999999999999</v>
      </c>
      <c r="L25">
        <v>232.5</v>
      </c>
      <c r="M25">
        <v>0</v>
      </c>
      <c r="O25">
        <v>-12.15</v>
      </c>
      <c r="P25">
        <v>-11.48</v>
      </c>
      <c r="Q25">
        <v>11.91</v>
      </c>
      <c r="S25">
        <v>10.86</v>
      </c>
      <c r="T25">
        <v>0</v>
      </c>
      <c r="U25">
        <v>91.2</v>
      </c>
      <c r="V25">
        <v>875</v>
      </c>
      <c r="W25">
        <v>37.659999999999997</v>
      </c>
      <c r="Y25">
        <v>12.9</v>
      </c>
      <c r="AA25">
        <v>325</v>
      </c>
      <c r="AB25">
        <v>23</v>
      </c>
      <c r="AC25">
        <f t="shared" ca="1" si="0"/>
        <v>5.3116000000000012</v>
      </c>
      <c r="AD25">
        <f t="shared" ca="1" si="1"/>
        <v>0.4</v>
      </c>
      <c r="AG25">
        <v>2006</v>
      </c>
      <c r="AH25">
        <v>24</v>
      </c>
      <c r="AI25">
        <v>0.4</v>
      </c>
      <c r="AJ25">
        <v>2.6960000000000002</v>
      </c>
      <c r="AK25">
        <v>7.52</v>
      </c>
      <c r="AL25">
        <v>5.3116000000000012</v>
      </c>
      <c r="AN25">
        <v>0</v>
      </c>
      <c r="AP25">
        <v>2006</v>
      </c>
      <c r="AQ25">
        <v>24</v>
      </c>
      <c r="AR25">
        <v>0.4</v>
      </c>
      <c r="AS25">
        <v>2.6960000000000002</v>
      </c>
      <c r="AT25">
        <v>7.52</v>
      </c>
      <c r="AU25">
        <v>5.3116000000000012</v>
      </c>
      <c r="AW25">
        <v>0</v>
      </c>
      <c r="AY25">
        <v>2006</v>
      </c>
      <c r="AZ25">
        <v>24</v>
      </c>
      <c r="BA25">
        <v>7.9999999999999991</v>
      </c>
      <c r="BB25">
        <v>5.2619999999999996</v>
      </c>
      <c r="BC25">
        <v>9.31</v>
      </c>
      <c r="BD25">
        <v>7.1650800000000014</v>
      </c>
      <c r="BF25">
        <v>0</v>
      </c>
      <c r="BH25">
        <v>2006</v>
      </c>
      <c r="BI25">
        <v>24</v>
      </c>
      <c r="BJ25">
        <v>5.2</v>
      </c>
      <c r="BK25">
        <v>2.4430000000000001</v>
      </c>
      <c r="BL25">
        <v>8.57</v>
      </c>
      <c r="BM25">
        <v>5.8688000000000002</v>
      </c>
      <c r="BO25">
        <v>0</v>
      </c>
      <c r="BQ25">
        <v>2006</v>
      </c>
      <c r="BR25">
        <v>24</v>
      </c>
      <c r="BS25">
        <v>38.799999999999997</v>
      </c>
      <c r="BT25">
        <v>4.2119999999999997</v>
      </c>
      <c r="BU25">
        <v>9.5399999999999991</v>
      </c>
      <c r="BV25">
        <v>6.7003199999999996</v>
      </c>
      <c r="BX25">
        <v>0</v>
      </c>
    </row>
    <row r="26" spans="1:76" x14ac:dyDescent="0.25">
      <c r="A26">
        <v>2006</v>
      </c>
      <c r="B26">
        <v>303</v>
      </c>
      <c r="C26">
        <v>800</v>
      </c>
      <c r="D26">
        <v>6.3129999999999997</v>
      </c>
      <c r="E26">
        <v>-1.216</v>
      </c>
      <c r="F26">
        <v>12.53</v>
      </c>
      <c r="G26">
        <v>13.19</v>
      </c>
      <c r="K26">
        <v>3.0510000000000002</v>
      </c>
      <c r="L26">
        <v>237.1</v>
      </c>
      <c r="M26">
        <v>0</v>
      </c>
      <c r="O26">
        <v>-3.01</v>
      </c>
      <c r="P26">
        <v>-9.27</v>
      </c>
      <c r="Q26">
        <v>11.92</v>
      </c>
      <c r="S26">
        <v>10.87</v>
      </c>
      <c r="T26">
        <v>0</v>
      </c>
      <c r="U26">
        <v>92.9</v>
      </c>
      <c r="V26">
        <v>873</v>
      </c>
      <c r="W26">
        <v>37.549999999999997</v>
      </c>
      <c r="Y26">
        <v>12.89</v>
      </c>
      <c r="AA26">
        <v>326</v>
      </c>
      <c r="AB26">
        <v>24</v>
      </c>
      <c r="AC26">
        <f t="shared" ca="1" si="0"/>
        <v>7.1650800000000014</v>
      </c>
      <c r="AD26">
        <f t="shared" ca="1" si="1"/>
        <v>7.9999999999999991</v>
      </c>
      <c r="AG26">
        <v>2006</v>
      </c>
      <c r="AH26">
        <v>25</v>
      </c>
      <c r="AI26">
        <v>7.9999999999999991</v>
      </c>
      <c r="AJ26">
        <v>5.2619999999999996</v>
      </c>
      <c r="AK26">
        <v>9.31</v>
      </c>
      <c r="AL26">
        <v>7.1650800000000014</v>
      </c>
      <c r="AN26">
        <v>0</v>
      </c>
      <c r="AP26">
        <v>2006</v>
      </c>
      <c r="AQ26">
        <v>25</v>
      </c>
      <c r="AR26">
        <v>7.9999999999999991</v>
      </c>
      <c r="AS26">
        <v>5.2619999999999996</v>
      </c>
      <c r="AT26">
        <v>9.31</v>
      </c>
      <c r="AU26">
        <v>7.1650800000000014</v>
      </c>
      <c r="AW26">
        <v>0</v>
      </c>
      <c r="AY26">
        <v>2006</v>
      </c>
      <c r="AZ26">
        <v>25</v>
      </c>
      <c r="BA26">
        <v>5.2</v>
      </c>
      <c r="BB26">
        <v>2.4430000000000001</v>
      </c>
      <c r="BC26">
        <v>8.57</v>
      </c>
      <c r="BD26">
        <v>5.8688000000000002</v>
      </c>
      <c r="BF26">
        <v>0</v>
      </c>
      <c r="BH26">
        <v>2006</v>
      </c>
      <c r="BI26">
        <v>25</v>
      </c>
      <c r="BJ26">
        <v>38.799999999999997</v>
      </c>
      <c r="BK26">
        <v>4.2119999999999997</v>
      </c>
      <c r="BL26">
        <v>9.5399999999999991</v>
      </c>
      <c r="BM26">
        <v>6.7003199999999996</v>
      </c>
      <c r="BO26">
        <v>0</v>
      </c>
      <c r="BQ26">
        <v>2006</v>
      </c>
      <c r="BR26">
        <v>25</v>
      </c>
      <c r="BS26">
        <v>4.4000000000000004</v>
      </c>
      <c r="BT26">
        <v>4.5819999999999999</v>
      </c>
      <c r="BU26">
        <v>8.2100000000000009</v>
      </c>
      <c r="BV26">
        <v>6.2715200000000015</v>
      </c>
      <c r="BX26">
        <v>0</v>
      </c>
    </row>
    <row r="27" spans="1:76" x14ac:dyDescent="0.25">
      <c r="A27">
        <v>2006</v>
      </c>
      <c r="B27">
        <v>303</v>
      </c>
      <c r="C27">
        <v>900</v>
      </c>
      <c r="D27">
        <v>27.78</v>
      </c>
      <c r="E27">
        <v>11.69</v>
      </c>
      <c r="F27">
        <v>12.42</v>
      </c>
      <c r="G27">
        <v>13.09</v>
      </c>
      <c r="H27">
        <f>AVERAGE(G27:G51)</f>
        <v>11.9788</v>
      </c>
      <c r="I27">
        <f>MIN(G27:G51)</f>
        <v>9.58</v>
      </c>
      <c r="J27">
        <f>MAX(G27:G51)</f>
        <v>14.64</v>
      </c>
      <c r="K27">
        <v>3.581</v>
      </c>
      <c r="L27">
        <v>241.4</v>
      </c>
      <c r="M27">
        <v>0</v>
      </c>
      <c r="N27">
        <f>SUM(M27:M51)</f>
        <v>12.2</v>
      </c>
      <c r="O27">
        <v>24.8</v>
      </c>
      <c r="P27">
        <v>-1.881</v>
      </c>
      <c r="Q27">
        <v>11.92</v>
      </c>
      <c r="R27">
        <f>AVERAGE(Q27:Q51)</f>
        <v>12.032799999999998</v>
      </c>
      <c r="S27">
        <v>10.88</v>
      </c>
      <c r="T27">
        <v>0</v>
      </c>
      <c r="U27">
        <v>92.7</v>
      </c>
      <c r="V27">
        <v>872</v>
      </c>
      <c r="W27">
        <v>37.450000000000003</v>
      </c>
      <c r="X27">
        <f>AVERAGE(W27:W51)</f>
        <v>38.645599999999995</v>
      </c>
      <c r="Y27">
        <v>12.89</v>
      </c>
      <c r="AA27">
        <v>327</v>
      </c>
      <c r="AB27">
        <v>25</v>
      </c>
      <c r="AC27">
        <f t="shared" ca="1" si="0"/>
        <v>5.8688000000000002</v>
      </c>
      <c r="AD27">
        <f t="shared" ca="1" si="1"/>
        <v>5.2</v>
      </c>
      <c r="AG27">
        <v>2006</v>
      </c>
      <c r="AH27">
        <v>26</v>
      </c>
      <c r="AI27">
        <v>5.2</v>
      </c>
      <c r="AJ27">
        <v>2.4430000000000001</v>
      </c>
      <c r="AK27">
        <v>8.57</v>
      </c>
      <c r="AL27">
        <v>5.8688000000000002</v>
      </c>
      <c r="AN27">
        <v>0</v>
      </c>
      <c r="AP27">
        <v>2006</v>
      </c>
      <c r="AQ27">
        <v>26</v>
      </c>
      <c r="AR27">
        <v>5.2</v>
      </c>
      <c r="AS27">
        <v>2.4430000000000001</v>
      </c>
      <c r="AT27">
        <v>8.57</v>
      </c>
      <c r="AU27">
        <v>5.8688000000000002</v>
      </c>
      <c r="AW27">
        <v>0</v>
      </c>
      <c r="AY27">
        <v>2006</v>
      </c>
      <c r="AZ27">
        <v>26</v>
      </c>
      <c r="BA27">
        <v>38.799999999999997</v>
      </c>
      <c r="BB27">
        <v>4.2119999999999997</v>
      </c>
      <c r="BC27">
        <v>9.5399999999999991</v>
      </c>
      <c r="BD27">
        <v>6.7003199999999996</v>
      </c>
      <c r="BF27">
        <v>0</v>
      </c>
      <c r="BH27">
        <v>2006</v>
      </c>
      <c r="BI27">
        <v>26</v>
      </c>
      <c r="BJ27">
        <v>4.4000000000000004</v>
      </c>
      <c r="BK27">
        <v>4.5819999999999999</v>
      </c>
      <c r="BL27">
        <v>8.2100000000000009</v>
      </c>
      <c r="BM27">
        <v>6.2715200000000015</v>
      </c>
      <c r="BO27">
        <v>0</v>
      </c>
      <c r="BQ27">
        <v>2006</v>
      </c>
      <c r="BR27">
        <v>26</v>
      </c>
      <c r="BS27">
        <v>11.200000000000001</v>
      </c>
      <c r="BT27">
        <v>4.6219999999999999</v>
      </c>
      <c r="BU27">
        <v>11.48</v>
      </c>
      <c r="BV27">
        <v>9.6724800000000002</v>
      </c>
      <c r="BX27">
        <v>0</v>
      </c>
    </row>
    <row r="28" spans="1:76" x14ac:dyDescent="0.25">
      <c r="A28">
        <v>2006</v>
      </c>
      <c r="B28">
        <v>303</v>
      </c>
      <c r="C28">
        <v>1000</v>
      </c>
      <c r="D28">
        <v>41</v>
      </c>
      <c r="E28">
        <v>20.69</v>
      </c>
      <c r="F28">
        <v>12.4</v>
      </c>
      <c r="G28">
        <v>12.84</v>
      </c>
      <c r="K28">
        <v>3.1850000000000001</v>
      </c>
      <c r="L28">
        <v>251.8</v>
      </c>
      <c r="M28">
        <v>0</v>
      </c>
      <c r="O28">
        <v>42.54</v>
      </c>
      <c r="P28">
        <v>2.484</v>
      </c>
      <c r="Q28">
        <v>11.95</v>
      </c>
      <c r="S28">
        <v>10.88</v>
      </c>
      <c r="T28">
        <v>0</v>
      </c>
      <c r="U28">
        <v>95.1</v>
      </c>
      <c r="V28">
        <v>870</v>
      </c>
      <c r="W28">
        <v>37.369999999999997</v>
      </c>
      <c r="Y28">
        <v>12.96</v>
      </c>
      <c r="AA28">
        <v>328</v>
      </c>
      <c r="AB28">
        <v>26</v>
      </c>
      <c r="AC28">
        <f t="shared" ca="1" si="0"/>
        <v>6.7003199999999996</v>
      </c>
      <c r="AD28">
        <f t="shared" ca="1" si="1"/>
        <v>38.799999999999997</v>
      </c>
      <c r="AG28">
        <v>2006</v>
      </c>
      <c r="AH28">
        <v>27</v>
      </c>
      <c r="AI28">
        <v>38.799999999999997</v>
      </c>
      <c r="AJ28">
        <v>4.2119999999999997</v>
      </c>
      <c r="AK28">
        <v>9.5399999999999991</v>
      </c>
      <c r="AL28">
        <v>6.7003199999999996</v>
      </c>
      <c r="AN28">
        <v>0</v>
      </c>
      <c r="AP28">
        <v>2006</v>
      </c>
      <c r="AQ28">
        <v>27</v>
      </c>
      <c r="AR28">
        <v>38.799999999999997</v>
      </c>
      <c r="AS28">
        <v>4.2119999999999997</v>
      </c>
      <c r="AT28">
        <v>9.5399999999999991</v>
      </c>
      <c r="AU28">
        <v>6.7003199999999996</v>
      </c>
      <c r="AW28">
        <v>0</v>
      </c>
      <c r="AY28">
        <v>2006</v>
      </c>
      <c r="AZ28">
        <v>27</v>
      </c>
      <c r="BA28">
        <v>4.4000000000000004</v>
      </c>
      <c r="BB28">
        <v>4.5819999999999999</v>
      </c>
      <c r="BC28">
        <v>8.2100000000000009</v>
      </c>
      <c r="BD28">
        <v>6.2715200000000015</v>
      </c>
      <c r="BF28">
        <v>0</v>
      </c>
      <c r="BH28">
        <v>2006</v>
      </c>
      <c r="BI28">
        <v>27</v>
      </c>
      <c r="BJ28">
        <v>11.200000000000001</v>
      </c>
      <c r="BK28">
        <v>4.6219999999999999</v>
      </c>
      <c r="BL28">
        <v>11.48</v>
      </c>
      <c r="BM28">
        <v>9.6724800000000002</v>
      </c>
      <c r="BO28">
        <v>0</v>
      </c>
      <c r="BQ28">
        <v>2006</v>
      </c>
      <c r="BR28">
        <v>27</v>
      </c>
      <c r="BS28">
        <v>10</v>
      </c>
      <c r="BT28">
        <v>6.4809999999999999</v>
      </c>
      <c r="BU28">
        <v>11.28</v>
      </c>
      <c r="BV28">
        <v>9.2175600000000024</v>
      </c>
      <c r="BX28">
        <v>0</v>
      </c>
    </row>
    <row r="29" spans="1:76" x14ac:dyDescent="0.25">
      <c r="A29">
        <v>2006</v>
      </c>
      <c r="B29">
        <v>303</v>
      </c>
      <c r="C29">
        <v>1100</v>
      </c>
      <c r="D29">
        <v>85.5</v>
      </c>
      <c r="E29">
        <v>51.79</v>
      </c>
      <c r="F29">
        <v>12.48</v>
      </c>
      <c r="G29">
        <v>13.27</v>
      </c>
      <c r="K29">
        <v>3.4159999999999999</v>
      </c>
      <c r="L29">
        <v>251.6</v>
      </c>
      <c r="M29">
        <v>0</v>
      </c>
      <c r="O29">
        <v>96.2</v>
      </c>
      <c r="P29">
        <v>16.75</v>
      </c>
      <c r="Q29">
        <v>11.98</v>
      </c>
      <c r="S29">
        <v>10.93</v>
      </c>
      <c r="T29">
        <v>0</v>
      </c>
      <c r="U29">
        <v>91.5</v>
      </c>
      <c r="V29">
        <v>870</v>
      </c>
      <c r="W29">
        <v>37.36</v>
      </c>
      <c r="Y29">
        <v>13.25</v>
      </c>
      <c r="AA29">
        <v>329</v>
      </c>
      <c r="AB29">
        <v>27</v>
      </c>
      <c r="AC29">
        <f t="shared" ca="1" si="0"/>
        <v>6.2715200000000015</v>
      </c>
      <c r="AD29">
        <f t="shared" ca="1" si="1"/>
        <v>4.4000000000000004</v>
      </c>
      <c r="AG29">
        <v>2006</v>
      </c>
      <c r="AH29">
        <v>28</v>
      </c>
      <c r="AI29">
        <v>4.4000000000000004</v>
      </c>
      <c r="AJ29">
        <v>4.5819999999999999</v>
      </c>
      <c r="AK29">
        <v>8.2100000000000009</v>
      </c>
      <c r="AL29">
        <v>6.2715200000000015</v>
      </c>
      <c r="AN29">
        <v>0</v>
      </c>
      <c r="AP29">
        <v>2006</v>
      </c>
      <c r="AQ29">
        <v>28</v>
      </c>
      <c r="AR29">
        <v>4.4000000000000004</v>
      </c>
      <c r="AS29">
        <v>4.5819999999999999</v>
      </c>
      <c r="AT29">
        <v>8.2100000000000009</v>
      </c>
      <c r="AU29">
        <v>6.2715200000000015</v>
      </c>
      <c r="AW29">
        <v>0</v>
      </c>
      <c r="AY29">
        <v>2006</v>
      </c>
      <c r="AZ29">
        <v>28</v>
      </c>
      <c r="BA29">
        <v>11.200000000000001</v>
      </c>
      <c r="BB29">
        <v>4.6219999999999999</v>
      </c>
      <c r="BC29">
        <v>11.48</v>
      </c>
      <c r="BD29">
        <v>9.6724800000000002</v>
      </c>
      <c r="BF29">
        <v>0</v>
      </c>
      <c r="BH29">
        <v>2006</v>
      </c>
      <c r="BI29">
        <v>28</v>
      </c>
      <c r="BJ29">
        <v>10</v>
      </c>
      <c r="BK29">
        <v>6.4809999999999999</v>
      </c>
      <c r="BL29">
        <v>11.28</v>
      </c>
      <c r="BM29">
        <v>9.2175600000000024</v>
      </c>
      <c r="BO29">
        <v>0</v>
      </c>
      <c r="BQ29">
        <v>2006</v>
      </c>
      <c r="BR29">
        <v>28</v>
      </c>
      <c r="BS29">
        <v>2</v>
      </c>
      <c r="BT29">
        <v>5.17</v>
      </c>
      <c r="BU29">
        <v>9.18</v>
      </c>
      <c r="BV29">
        <v>7.1416000000000004</v>
      </c>
      <c r="BX29">
        <v>0</v>
      </c>
    </row>
    <row r="30" spans="1:76" x14ac:dyDescent="0.25">
      <c r="A30">
        <v>2006</v>
      </c>
      <c r="B30">
        <v>303</v>
      </c>
      <c r="C30">
        <v>1200</v>
      </c>
      <c r="D30">
        <v>217</v>
      </c>
      <c r="E30">
        <v>149.19999999999999</v>
      </c>
      <c r="F30">
        <v>13.2</v>
      </c>
      <c r="G30">
        <v>14.04</v>
      </c>
      <c r="K30">
        <v>3.9209999999999998</v>
      </c>
      <c r="L30">
        <v>252</v>
      </c>
      <c r="M30">
        <v>0</v>
      </c>
      <c r="O30">
        <v>254.8</v>
      </c>
      <c r="P30">
        <v>82.4</v>
      </c>
      <c r="Q30">
        <v>12.03</v>
      </c>
      <c r="S30">
        <v>10.98</v>
      </c>
      <c r="T30">
        <v>0</v>
      </c>
      <c r="U30">
        <v>91.1</v>
      </c>
      <c r="V30">
        <v>869</v>
      </c>
      <c r="W30">
        <v>37.28</v>
      </c>
      <c r="Y30">
        <v>13.9</v>
      </c>
      <c r="AA30">
        <v>330</v>
      </c>
      <c r="AB30">
        <v>28</v>
      </c>
      <c r="AC30">
        <f t="shared" ca="1" si="0"/>
        <v>9.6724800000000002</v>
      </c>
      <c r="AD30">
        <f t="shared" ca="1" si="1"/>
        <v>11.200000000000001</v>
      </c>
      <c r="AG30">
        <v>2006</v>
      </c>
      <c r="AH30">
        <v>29</v>
      </c>
      <c r="AI30">
        <v>11.200000000000001</v>
      </c>
      <c r="AJ30">
        <v>4.6219999999999999</v>
      </c>
      <c r="AK30">
        <v>11.48</v>
      </c>
      <c r="AL30">
        <v>9.6724800000000002</v>
      </c>
      <c r="AN30">
        <v>0</v>
      </c>
      <c r="AP30">
        <v>2006</v>
      </c>
      <c r="AQ30">
        <v>29</v>
      </c>
      <c r="AR30">
        <v>31.2</v>
      </c>
      <c r="AS30">
        <v>4.6219999999999999</v>
      </c>
      <c r="AT30">
        <v>11.48</v>
      </c>
      <c r="AU30">
        <v>9.6724800000000002</v>
      </c>
      <c r="AW30">
        <v>0</v>
      </c>
      <c r="AY30">
        <v>2006</v>
      </c>
      <c r="AZ30">
        <v>29</v>
      </c>
      <c r="BA30">
        <v>10</v>
      </c>
      <c r="BB30">
        <v>6.4809999999999999</v>
      </c>
      <c r="BC30">
        <v>11.28</v>
      </c>
      <c r="BD30">
        <v>9.2175600000000024</v>
      </c>
      <c r="BF30">
        <v>0</v>
      </c>
      <c r="BH30">
        <v>2006</v>
      </c>
      <c r="BI30">
        <v>29</v>
      </c>
      <c r="BJ30">
        <v>22</v>
      </c>
      <c r="BK30">
        <v>5.17</v>
      </c>
      <c r="BL30">
        <v>9.18</v>
      </c>
      <c r="BM30">
        <v>7.1416000000000004</v>
      </c>
      <c r="BO30">
        <v>0</v>
      </c>
      <c r="BQ30">
        <v>2006</v>
      </c>
      <c r="BR30">
        <v>29</v>
      </c>
      <c r="BS30">
        <v>20</v>
      </c>
      <c r="BT30">
        <v>9.3000000000000007</v>
      </c>
      <c r="BU30">
        <v>11.69</v>
      </c>
      <c r="BV30">
        <v>10.9796</v>
      </c>
      <c r="BX30">
        <v>0</v>
      </c>
    </row>
    <row r="31" spans="1:76" x14ac:dyDescent="0.25">
      <c r="A31">
        <v>2006</v>
      </c>
      <c r="B31">
        <v>303</v>
      </c>
      <c r="C31">
        <v>1300</v>
      </c>
      <c r="D31">
        <v>182.5</v>
      </c>
      <c r="E31">
        <v>116.8</v>
      </c>
      <c r="F31">
        <v>14.04</v>
      </c>
      <c r="G31">
        <v>14.64</v>
      </c>
      <c r="K31">
        <v>3.5419999999999998</v>
      </c>
      <c r="L31">
        <v>244.1</v>
      </c>
      <c r="M31">
        <v>0</v>
      </c>
      <c r="O31">
        <v>209.8</v>
      </c>
      <c r="P31">
        <v>59.23</v>
      </c>
      <c r="Q31">
        <v>12.05</v>
      </c>
      <c r="S31">
        <v>10.99</v>
      </c>
      <c r="T31">
        <v>0</v>
      </c>
      <c r="U31">
        <v>93.7</v>
      </c>
      <c r="V31">
        <v>868</v>
      </c>
      <c r="W31">
        <v>37.18</v>
      </c>
      <c r="Y31">
        <v>13.91</v>
      </c>
      <c r="AA31">
        <v>331</v>
      </c>
      <c r="AB31">
        <v>29</v>
      </c>
      <c r="AC31">
        <f t="shared" ca="1" si="0"/>
        <v>9.2175600000000024</v>
      </c>
      <c r="AD31">
        <f t="shared" ca="1" si="1"/>
        <v>10</v>
      </c>
      <c r="AG31">
        <v>2006</v>
      </c>
      <c r="AH31">
        <v>30</v>
      </c>
      <c r="AI31">
        <v>10</v>
      </c>
      <c r="AJ31">
        <v>6.4809999999999999</v>
      </c>
      <c r="AK31">
        <v>11.28</v>
      </c>
      <c r="AL31">
        <v>9.2175600000000024</v>
      </c>
      <c r="AN31">
        <v>0</v>
      </c>
      <c r="AP31">
        <v>2006</v>
      </c>
      <c r="AQ31">
        <v>30</v>
      </c>
      <c r="AR31">
        <v>10</v>
      </c>
      <c r="AS31">
        <v>6.4809999999999999</v>
      </c>
      <c r="AT31">
        <v>11.28</v>
      </c>
      <c r="AU31">
        <v>9.2175600000000024</v>
      </c>
      <c r="AW31">
        <v>0</v>
      </c>
      <c r="AY31">
        <v>2006</v>
      </c>
      <c r="AZ31">
        <v>30</v>
      </c>
      <c r="BA31">
        <v>22</v>
      </c>
      <c r="BB31">
        <v>5.17</v>
      </c>
      <c r="BC31">
        <v>9.18</v>
      </c>
      <c r="BD31">
        <v>7.1416000000000004</v>
      </c>
      <c r="BF31">
        <v>0</v>
      </c>
      <c r="BH31">
        <v>2006</v>
      </c>
      <c r="BI31">
        <v>30</v>
      </c>
      <c r="BJ31">
        <v>0</v>
      </c>
      <c r="BK31">
        <v>9.3000000000000007</v>
      </c>
      <c r="BL31">
        <v>11.69</v>
      </c>
      <c r="BM31">
        <v>10.9796</v>
      </c>
      <c r="BO31">
        <v>0</v>
      </c>
      <c r="BQ31">
        <v>2006</v>
      </c>
      <c r="BR31">
        <v>30</v>
      </c>
      <c r="BS31">
        <v>28.4</v>
      </c>
      <c r="BT31">
        <v>4.6059999999999999</v>
      </c>
      <c r="BU31">
        <v>12.69</v>
      </c>
      <c r="BV31">
        <v>10.484519999999998</v>
      </c>
      <c r="BX31">
        <v>0</v>
      </c>
    </row>
    <row r="32" spans="1:76" x14ac:dyDescent="0.25">
      <c r="A32">
        <v>2006</v>
      </c>
      <c r="B32">
        <v>303</v>
      </c>
      <c r="C32">
        <v>1400</v>
      </c>
      <c r="D32">
        <v>112.9</v>
      </c>
      <c r="E32">
        <v>68.34</v>
      </c>
      <c r="F32">
        <v>14.24</v>
      </c>
      <c r="G32">
        <v>14.46</v>
      </c>
      <c r="K32">
        <v>3.6709999999999998</v>
      </c>
      <c r="L32">
        <v>242.9</v>
      </c>
      <c r="M32">
        <v>0</v>
      </c>
      <c r="O32">
        <v>133.4</v>
      </c>
      <c r="P32">
        <v>30.4</v>
      </c>
      <c r="Q32">
        <v>12.13</v>
      </c>
      <c r="S32">
        <v>10.99</v>
      </c>
      <c r="T32">
        <v>0</v>
      </c>
      <c r="U32">
        <v>97.8</v>
      </c>
      <c r="V32">
        <v>868</v>
      </c>
      <c r="W32">
        <v>37.229999999999997</v>
      </c>
      <c r="Y32">
        <v>13.71</v>
      </c>
      <c r="AA32">
        <v>332</v>
      </c>
      <c r="AB32">
        <v>30</v>
      </c>
      <c r="AC32">
        <f t="shared" ca="1" si="0"/>
        <v>7.1416000000000004</v>
      </c>
      <c r="AD32">
        <f t="shared" ca="1" si="1"/>
        <v>2</v>
      </c>
      <c r="AG32">
        <v>2006</v>
      </c>
      <c r="AH32">
        <v>31</v>
      </c>
      <c r="AI32">
        <v>2</v>
      </c>
      <c r="AJ32">
        <v>5.17</v>
      </c>
      <c r="AK32">
        <v>9.18</v>
      </c>
      <c r="AL32">
        <v>7.1416000000000004</v>
      </c>
      <c r="AN32">
        <v>0</v>
      </c>
      <c r="AP32">
        <v>2006</v>
      </c>
      <c r="AQ32">
        <v>31</v>
      </c>
      <c r="AR32">
        <v>2</v>
      </c>
      <c r="AS32">
        <v>5.17</v>
      </c>
      <c r="AT32">
        <v>9.18</v>
      </c>
      <c r="AU32">
        <v>7.1416000000000004</v>
      </c>
      <c r="AW32">
        <v>0</v>
      </c>
      <c r="AY32">
        <v>2006</v>
      </c>
      <c r="AZ32">
        <v>31</v>
      </c>
      <c r="BA32">
        <v>0</v>
      </c>
      <c r="BB32">
        <v>9.3000000000000007</v>
      </c>
      <c r="BC32">
        <v>11.69</v>
      </c>
      <c r="BD32">
        <v>10.9796</v>
      </c>
      <c r="BF32">
        <v>0</v>
      </c>
      <c r="BH32">
        <v>2006</v>
      </c>
      <c r="BI32">
        <v>31</v>
      </c>
      <c r="BJ32">
        <v>28.4</v>
      </c>
      <c r="BK32">
        <v>4.6059999999999999</v>
      </c>
      <c r="BL32">
        <v>12.69</v>
      </c>
      <c r="BM32">
        <v>10.484519999999998</v>
      </c>
      <c r="BO32">
        <v>0</v>
      </c>
      <c r="BQ32">
        <v>2006</v>
      </c>
      <c r="BR32">
        <v>31</v>
      </c>
      <c r="BS32">
        <v>3.5999999999999996</v>
      </c>
      <c r="BT32">
        <v>4.6070000000000002</v>
      </c>
      <c r="BU32">
        <v>10.73</v>
      </c>
      <c r="BV32">
        <v>7.1861199999999972</v>
      </c>
      <c r="BX32">
        <v>0</v>
      </c>
    </row>
    <row r="33" spans="1:76" x14ac:dyDescent="0.25">
      <c r="A33">
        <v>2006</v>
      </c>
      <c r="B33">
        <v>303</v>
      </c>
      <c r="C33">
        <v>1500</v>
      </c>
      <c r="D33">
        <v>65.349999999999994</v>
      </c>
      <c r="E33">
        <v>35.21</v>
      </c>
      <c r="F33">
        <v>13.83</v>
      </c>
      <c r="G33">
        <v>14.04</v>
      </c>
      <c r="K33">
        <v>4.8540000000000001</v>
      </c>
      <c r="L33">
        <v>242</v>
      </c>
      <c r="M33">
        <v>0</v>
      </c>
      <c r="O33">
        <v>61.13</v>
      </c>
      <c r="P33">
        <v>9.99</v>
      </c>
      <c r="Q33">
        <v>12.16</v>
      </c>
      <c r="S33">
        <v>10.99</v>
      </c>
      <c r="T33">
        <v>0</v>
      </c>
      <c r="U33">
        <v>97.8</v>
      </c>
      <c r="V33">
        <v>866</v>
      </c>
      <c r="W33">
        <v>37.07</v>
      </c>
      <c r="Y33">
        <v>13.58</v>
      </c>
      <c r="AA33">
        <v>333</v>
      </c>
      <c r="AB33">
        <v>31</v>
      </c>
      <c r="AC33">
        <f t="shared" ca="1" si="0"/>
        <v>10.9796</v>
      </c>
      <c r="AD33">
        <f t="shared" ca="1" si="1"/>
        <v>0</v>
      </c>
      <c r="AG33">
        <v>2006</v>
      </c>
      <c r="AH33">
        <v>32</v>
      </c>
      <c r="AI33">
        <v>0</v>
      </c>
      <c r="AJ33">
        <v>9.3000000000000007</v>
      </c>
      <c r="AK33">
        <v>11.69</v>
      </c>
      <c r="AL33">
        <v>10.9796</v>
      </c>
      <c r="AN33">
        <v>0</v>
      </c>
      <c r="AP33">
        <v>2006</v>
      </c>
      <c r="AQ33">
        <v>32</v>
      </c>
      <c r="AR33">
        <v>0</v>
      </c>
      <c r="AS33">
        <v>9.3000000000000007</v>
      </c>
      <c r="AT33">
        <v>11.69</v>
      </c>
      <c r="AU33">
        <v>10.9796</v>
      </c>
      <c r="AW33">
        <v>0</v>
      </c>
      <c r="AY33">
        <v>2006</v>
      </c>
      <c r="AZ33">
        <v>32</v>
      </c>
      <c r="BA33">
        <v>28.4</v>
      </c>
      <c r="BB33">
        <v>4.6059999999999999</v>
      </c>
      <c r="BC33">
        <v>12.69</v>
      </c>
      <c r="BD33">
        <v>10.484519999999998</v>
      </c>
      <c r="BF33">
        <v>0</v>
      </c>
      <c r="BH33">
        <v>2006</v>
      </c>
      <c r="BI33">
        <v>32</v>
      </c>
      <c r="BJ33">
        <v>3.5999999999999996</v>
      </c>
      <c r="BK33">
        <v>4.6070000000000002</v>
      </c>
      <c r="BL33">
        <v>10.73</v>
      </c>
      <c r="BM33">
        <v>7.1861199999999972</v>
      </c>
      <c r="BO33">
        <v>0</v>
      </c>
      <c r="BQ33">
        <v>2006</v>
      </c>
      <c r="BR33">
        <v>32</v>
      </c>
      <c r="BS33">
        <v>19.399999999999995</v>
      </c>
      <c r="BT33">
        <v>5.468</v>
      </c>
      <c r="BU33">
        <v>11.3</v>
      </c>
      <c r="BV33">
        <v>8.4252000000000002</v>
      </c>
      <c r="BX33">
        <v>0</v>
      </c>
    </row>
    <row r="34" spans="1:76" x14ac:dyDescent="0.25">
      <c r="A34">
        <v>2006</v>
      </c>
      <c r="B34">
        <v>303</v>
      </c>
      <c r="C34">
        <v>1600</v>
      </c>
      <c r="D34">
        <v>26.18</v>
      </c>
      <c r="E34">
        <v>10.58</v>
      </c>
      <c r="F34">
        <v>13.65</v>
      </c>
      <c r="G34">
        <v>13.94</v>
      </c>
      <c r="K34">
        <v>4.1689999999999996</v>
      </c>
      <c r="L34">
        <v>238.8</v>
      </c>
      <c r="M34">
        <v>0</v>
      </c>
      <c r="O34">
        <v>17.39</v>
      </c>
      <c r="P34">
        <v>-3.0059999999999998</v>
      </c>
      <c r="Q34">
        <v>12.2</v>
      </c>
      <c r="S34">
        <v>10.99</v>
      </c>
      <c r="T34">
        <v>0</v>
      </c>
      <c r="U34">
        <v>96.8</v>
      </c>
      <c r="V34">
        <v>866</v>
      </c>
      <c r="W34">
        <v>37.07</v>
      </c>
      <c r="Y34">
        <v>13.46</v>
      </c>
      <c r="AA34">
        <v>334</v>
      </c>
      <c r="AB34">
        <v>32</v>
      </c>
      <c r="AC34">
        <f t="shared" ca="1" si="0"/>
        <v>10.484519999999998</v>
      </c>
      <c r="AD34">
        <f t="shared" ca="1" si="1"/>
        <v>28.4</v>
      </c>
      <c r="AG34">
        <v>2006</v>
      </c>
      <c r="AH34">
        <v>33</v>
      </c>
      <c r="AI34">
        <v>28.4</v>
      </c>
      <c r="AJ34">
        <v>4.6059999999999999</v>
      </c>
      <c r="AK34">
        <v>12.69</v>
      </c>
      <c r="AL34">
        <v>10.484519999999998</v>
      </c>
      <c r="AN34">
        <v>0</v>
      </c>
      <c r="AP34">
        <v>2006</v>
      </c>
      <c r="AQ34">
        <v>33</v>
      </c>
      <c r="AR34">
        <v>28.4</v>
      </c>
      <c r="AS34">
        <v>4.6059999999999999</v>
      </c>
      <c r="AT34">
        <v>12.69</v>
      </c>
      <c r="AU34">
        <v>10.484519999999998</v>
      </c>
      <c r="AW34">
        <v>0</v>
      </c>
      <c r="AY34">
        <v>2006</v>
      </c>
      <c r="AZ34">
        <v>33</v>
      </c>
      <c r="BA34">
        <v>3.5999999999999996</v>
      </c>
      <c r="BB34">
        <v>4.6070000000000002</v>
      </c>
      <c r="BC34">
        <v>10.73</v>
      </c>
      <c r="BD34">
        <v>7.1861199999999972</v>
      </c>
      <c r="BF34">
        <v>0</v>
      </c>
      <c r="BH34">
        <v>2006</v>
      </c>
      <c r="BI34">
        <v>33</v>
      </c>
      <c r="BJ34">
        <v>19.399999999999995</v>
      </c>
      <c r="BK34">
        <v>5.468</v>
      </c>
      <c r="BL34">
        <v>11.3</v>
      </c>
      <c r="BM34">
        <v>8.4252000000000002</v>
      </c>
      <c r="BO34">
        <v>0</v>
      </c>
      <c r="BQ34">
        <v>2006</v>
      </c>
      <c r="BR34">
        <v>33</v>
      </c>
      <c r="BS34">
        <v>30.200000000000003</v>
      </c>
      <c r="BT34">
        <v>4.7640000000000002</v>
      </c>
      <c r="BU34">
        <v>8.2100000000000009</v>
      </c>
      <c r="BV34">
        <v>6.6653200000000004</v>
      </c>
      <c r="BX34">
        <v>0</v>
      </c>
    </row>
    <row r="35" spans="1:76" x14ac:dyDescent="0.25">
      <c r="A35">
        <v>2006</v>
      </c>
      <c r="B35">
        <v>303</v>
      </c>
      <c r="C35">
        <v>1700</v>
      </c>
      <c r="D35">
        <v>1.7949999999999999</v>
      </c>
      <c r="E35">
        <v>-1.4419999999999999</v>
      </c>
      <c r="F35">
        <v>13.68</v>
      </c>
      <c r="G35">
        <v>14.07</v>
      </c>
      <c r="K35">
        <v>3.3050000000000002</v>
      </c>
      <c r="L35">
        <v>241</v>
      </c>
      <c r="M35">
        <v>0</v>
      </c>
      <c r="O35">
        <v>-9.81</v>
      </c>
      <c r="P35">
        <v>-11</v>
      </c>
      <c r="Q35">
        <v>12.24</v>
      </c>
      <c r="S35">
        <v>11.01</v>
      </c>
      <c r="T35">
        <v>0</v>
      </c>
      <c r="U35">
        <v>95.8</v>
      </c>
      <c r="V35">
        <v>864</v>
      </c>
      <c r="W35">
        <v>36.96</v>
      </c>
      <c r="Y35">
        <v>13.35</v>
      </c>
      <c r="AA35">
        <v>335</v>
      </c>
      <c r="AB35">
        <v>33</v>
      </c>
      <c r="AC35">
        <f t="shared" ca="1" si="0"/>
        <v>7.1861199999999972</v>
      </c>
      <c r="AD35">
        <f t="shared" ca="1" si="1"/>
        <v>3.5999999999999996</v>
      </c>
      <c r="AG35">
        <v>2006</v>
      </c>
      <c r="AH35">
        <v>34</v>
      </c>
      <c r="AI35">
        <v>3.5999999999999996</v>
      </c>
      <c r="AJ35">
        <v>4.6070000000000002</v>
      </c>
      <c r="AK35">
        <v>10.73</v>
      </c>
      <c r="AL35">
        <v>7.1861199999999972</v>
      </c>
      <c r="AN35">
        <v>0</v>
      </c>
      <c r="AP35">
        <v>2006</v>
      </c>
      <c r="AQ35">
        <v>34</v>
      </c>
      <c r="AR35">
        <v>3.5999999999999996</v>
      </c>
      <c r="AS35">
        <v>4.6070000000000002</v>
      </c>
      <c r="AT35">
        <v>10.73</v>
      </c>
      <c r="AU35">
        <v>7.1861199999999972</v>
      </c>
      <c r="AW35">
        <v>0</v>
      </c>
      <c r="AY35">
        <v>2006</v>
      </c>
      <c r="AZ35">
        <v>34</v>
      </c>
      <c r="BA35">
        <v>19.399999999999995</v>
      </c>
      <c r="BB35">
        <v>5.468</v>
      </c>
      <c r="BC35">
        <v>11.3</v>
      </c>
      <c r="BD35">
        <v>8.4252000000000002</v>
      </c>
      <c r="BF35">
        <v>0</v>
      </c>
      <c r="BH35">
        <v>2006</v>
      </c>
      <c r="BI35">
        <v>34</v>
      </c>
      <c r="BJ35">
        <v>30.200000000000003</v>
      </c>
      <c r="BK35">
        <v>4.7640000000000002</v>
      </c>
      <c r="BL35">
        <v>8.2100000000000009</v>
      </c>
      <c r="BM35">
        <v>6.6653200000000004</v>
      </c>
      <c r="BO35">
        <v>0</v>
      </c>
      <c r="BQ35">
        <v>2006</v>
      </c>
      <c r="BR35">
        <v>34</v>
      </c>
      <c r="BS35">
        <v>18</v>
      </c>
      <c r="BT35">
        <v>6.0979999999999999</v>
      </c>
      <c r="BU35">
        <v>12.11</v>
      </c>
      <c r="BV35">
        <v>8.6719599999999986</v>
      </c>
      <c r="BX35">
        <v>0</v>
      </c>
    </row>
    <row r="36" spans="1:76" x14ac:dyDescent="0.25">
      <c r="A36">
        <v>2006</v>
      </c>
      <c r="B36">
        <v>303</v>
      </c>
      <c r="C36">
        <v>1800</v>
      </c>
      <c r="D36">
        <v>-0.44800000000000001</v>
      </c>
      <c r="E36">
        <v>-3.9550000000000001</v>
      </c>
      <c r="F36">
        <v>13.67</v>
      </c>
      <c r="G36">
        <v>13.86</v>
      </c>
      <c r="K36">
        <v>3.81</v>
      </c>
      <c r="L36">
        <v>239.5</v>
      </c>
      <c r="M36">
        <v>0</v>
      </c>
      <c r="O36">
        <v>-12.18</v>
      </c>
      <c r="P36">
        <v>-11.47</v>
      </c>
      <c r="Q36">
        <v>12.24</v>
      </c>
      <c r="S36">
        <v>11.05</v>
      </c>
      <c r="T36">
        <v>0</v>
      </c>
      <c r="U36">
        <v>97.9</v>
      </c>
      <c r="V36">
        <v>864</v>
      </c>
      <c r="W36">
        <v>36.96</v>
      </c>
      <c r="Y36">
        <v>13.26</v>
      </c>
      <c r="AA36">
        <v>336</v>
      </c>
      <c r="AB36">
        <v>34</v>
      </c>
      <c r="AC36">
        <f t="shared" ca="1" si="0"/>
        <v>8.4252000000000002</v>
      </c>
      <c r="AD36">
        <f t="shared" ca="1" si="1"/>
        <v>19.399999999999995</v>
      </c>
      <c r="AG36">
        <v>2006</v>
      </c>
      <c r="AH36">
        <v>35</v>
      </c>
      <c r="AI36">
        <v>19.399999999999995</v>
      </c>
      <c r="AJ36">
        <v>5.468</v>
      </c>
      <c r="AK36">
        <v>11.3</v>
      </c>
      <c r="AL36">
        <v>8.4252000000000002</v>
      </c>
      <c r="AN36">
        <v>0</v>
      </c>
      <c r="AP36">
        <v>2006</v>
      </c>
      <c r="AQ36">
        <v>35</v>
      </c>
      <c r="AR36">
        <v>19.399999999999995</v>
      </c>
      <c r="AS36">
        <v>5.468</v>
      </c>
      <c r="AT36">
        <v>11.3</v>
      </c>
      <c r="AU36">
        <v>8.4252000000000002</v>
      </c>
      <c r="AW36">
        <v>0</v>
      </c>
      <c r="AY36">
        <v>2006</v>
      </c>
      <c r="AZ36">
        <v>35</v>
      </c>
      <c r="BA36">
        <v>30.200000000000003</v>
      </c>
      <c r="BB36">
        <v>4.7640000000000002</v>
      </c>
      <c r="BC36">
        <v>8.2100000000000009</v>
      </c>
      <c r="BD36">
        <v>6.6653200000000004</v>
      </c>
      <c r="BF36">
        <v>0</v>
      </c>
      <c r="BH36">
        <v>2006</v>
      </c>
      <c r="BI36">
        <v>35</v>
      </c>
      <c r="BJ36">
        <v>18</v>
      </c>
      <c r="BK36">
        <v>6.0979999999999999</v>
      </c>
      <c r="BL36">
        <v>12.11</v>
      </c>
      <c r="BM36">
        <v>8.6719599999999986</v>
      </c>
      <c r="BO36">
        <v>0</v>
      </c>
      <c r="BQ36">
        <v>2006</v>
      </c>
      <c r="BR36">
        <v>35</v>
      </c>
      <c r="BS36">
        <v>2</v>
      </c>
      <c r="BT36">
        <v>4.9610000000000003</v>
      </c>
      <c r="BU36">
        <v>7.74</v>
      </c>
      <c r="BV36">
        <v>6.2703200000000017</v>
      </c>
      <c r="BX36">
        <v>0</v>
      </c>
    </row>
    <row r="37" spans="1:76" x14ac:dyDescent="0.25">
      <c r="A37">
        <v>2006</v>
      </c>
      <c r="B37">
        <v>303</v>
      </c>
      <c r="C37">
        <v>1900</v>
      </c>
      <c r="D37">
        <v>-0.66300000000000003</v>
      </c>
      <c r="E37">
        <v>-5.282</v>
      </c>
      <c r="F37">
        <v>13.22</v>
      </c>
      <c r="G37">
        <v>13.2</v>
      </c>
      <c r="K37">
        <v>3.7829999999999999</v>
      </c>
      <c r="L37">
        <v>242.5</v>
      </c>
      <c r="M37">
        <v>1</v>
      </c>
      <c r="O37">
        <v>-12.18</v>
      </c>
      <c r="P37">
        <v>-11.49</v>
      </c>
      <c r="Q37">
        <v>12.26</v>
      </c>
      <c r="S37">
        <v>11.09</v>
      </c>
      <c r="T37">
        <v>0</v>
      </c>
      <c r="U37">
        <v>100.2</v>
      </c>
      <c r="V37">
        <v>864</v>
      </c>
      <c r="W37">
        <v>36.96</v>
      </c>
      <c r="Y37">
        <v>13.18</v>
      </c>
      <c r="AA37">
        <v>337</v>
      </c>
      <c r="AB37">
        <v>35</v>
      </c>
      <c r="AC37">
        <f t="shared" ca="1" si="0"/>
        <v>6.6653200000000004</v>
      </c>
      <c r="AD37">
        <f t="shared" ca="1" si="1"/>
        <v>30.200000000000003</v>
      </c>
      <c r="AG37">
        <v>2006</v>
      </c>
      <c r="AH37">
        <v>36</v>
      </c>
      <c r="AI37">
        <v>30.200000000000003</v>
      </c>
      <c r="AJ37">
        <v>4.7640000000000002</v>
      </c>
      <c r="AK37">
        <v>8.2100000000000009</v>
      </c>
      <c r="AL37">
        <v>6.6653200000000004</v>
      </c>
      <c r="AN37">
        <v>0</v>
      </c>
      <c r="AP37">
        <v>2006</v>
      </c>
      <c r="AQ37">
        <v>36</v>
      </c>
      <c r="AR37">
        <v>30.200000000000003</v>
      </c>
      <c r="AS37">
        <v>4.7640000000000002</v>
      </c>
      <c r="AT37">
        <v>8.2100000000000009</v>
      </c>
      <c r="AU37">
        <v>6.6653200000000004</v>
      </c>
      <c r="AW37">
        <v>0</v>
      </c>
      <c r="AY37">
        <v>2006</v>
      </c>
      <c r="AZ37">
        <v>36</v>
      </c>
      <c r="BA37">
        <v>18</v>
      </c>
      <c r="BB37">
        <v>6.0979999999999999</v>
      </c>
      <c r="BC37">
        <v>12.11</v>
      </c>
      <c r="BD37">
        <v>8.6719599999999986</v>
      </c>
      <c r="BF37">
        <v>0</v>
      </c>
      <c r="BH37">
        <v>2006</v>
      </c>
      <c r="BI37">
        <v>36</v>
      </c>
      <c r="BJ37">
        <v>2</v>
      </c>
      <c r="BK37">
        <v>4.9610000000000003</v>
      </c>
      <c r="BL37">
        <v>7.74</v>
      </c>
      <c r="BM37">
        <v>6.2703200000000017</v>
      </c>
      <c r="BO37">
        <v>0</v>
      </c>
      <c r="BQ37">
        <v>2006</v>
      </c>
      <c r="BR37">
        <v>36</v>
      </c>
      <c r="BS37">
        <v>20.8</v>
      </c>
      <c r="BT37">
        <v>4.5780000000000003</v>
      </c>
      <c r="BU37">
        <v>8.42</v>
      </c>
      <c r="BV37">
        <v>6.5026799999999989</v>
      </c>
      <c r="BX37">
        <v>0</v>
      </c>
    </row>
    <row r="38" spans="1:76" x14ac:dyDescent="0.25">
      <c r="A38">
        <v>2006</v>
      </c>
      <c r="B38">
        <v>303</v>
      </c>
      <c r="C38">
        <v>2000</v>
      </c>
      <c r="D38">
        <v>-0.49299999999999999</v>
      </c>
      <c r="E38">
        <v>-7.76</v>
      </c>
      <c r="F38">
        <v>12.53</v>
      </c>
      <c r="G38">
        <v>12.74</v>
      </c>
      <c r="K38">
        <v>3.9740000000000002</v>
      </c>
      <c r="L38">
        <v>267.5</v>
      </c>
      <c r="M38">
        <v>4.5999999999999996</v>
      </c>
      <c r="O38">
        <v>-12.17</v>
      </c>
      <c r="P38">
        <v>-11.48</v>
      </c>
      <c r="Q38">
        <v>12.34</v>
      </c>
      <c r="S38">
        <v>11.2</v>
      </c>
      <c r="T38">
        <v>0</v>
      </c>
      <c r="U38">
        <v>97.7</v>
      </c>
      <c r="V38">
        <v>892</v>
      </c>
      <c r="W38">
        <v>38.9</v>
      </c>
      <c r="Y38">
        <v>13.11</v>
      </c>
      <c r="AA38">
        <v>338</v>
      </c>
      <c r="AB38">
        <v>36</v>
      </c>
      <c r="AC38">
        <f t="shared" ca="1" si="0"/>
        <v>8.6719599999999986</v>
      </c>
      <c r="AD38">
        <f t="shared" ca="1" si="1"/>
        <v>18</v>
      </c>
      <c r="AG38">
        <v>2006</v>
      </c>
      <c r="AH38">
        <v>37</v>
      </c>
      <c r="AI38">
        <v>18</v>
      </c>
      <c r="AJ38">
        <v>6.0979999999999999</v>
      </c>
      <c r="AK38">
        <v>12.11</v>
      </c>
      <c r="AL38">
        <v>8.6719599999999986</v>
      </c>
      <c r="AN38">
        <v>0</v>
      </c>
      <c r="AP38">
        <v>2006</v>
      </c>
      <c r="AQ38">
        <v>37</v>
      </c>
      <c r="AR38">
        <v>18</v>
      </c>
      <c r="AS38">
        <v>6.0979999999999999</v>
      </c>
      <c r="AT38">
        <v>12.11</v>
      </c>
      <c r="AU38">
        <v>8.6719599999999986</v>
      </c>
      <c r="AW38">
        <v>0</v>
      </c>
      <c r="AY38">
        <v>2006</v>
      </c>
      <c r="AZ38">
        <v>37</v>
      </c>
      <c r="BA38">
        <v>2</v>
      </c>
      <c r="BB38">
        <v>4.9610000000000003</v>
      </c>
      <c r="BC38">
        <v>7.74</v>
      </c>
      <c r="BD38">
        <v>6.2703200000000017</v>
      </c>
      <c r="BF38">
        <v>0</v>
      </c>
      <c r="BH38">
        <v>2006</v>
      </c>
      <c r="BI38">
        <v>37</v>
      </c>
      <c r="BJ38">
        <v>20.8</v>
      </c>
      <c r="BK38">
        <v>4.5780000000000003</v>
      </c>
      <c r="BL38">
        <v>8.42</v>
      </c>
      <c r="BM38">
        <v>6.5026799999999989</v>
      </c>
      <c r="BO38">
        <v>0</v>
      </c>
      <c r="BQ38">
        <v>2006</v>
      </c>
      <c r="BR38">
        <v>37</v>
      </c>
      <c r="BS38">
        <v>15.600000000000001</v>
      </c>
      <c r="BT38">
        <v>2.528</v>
      </c>
      <c r="BU38">
        <v>7.49</v>
      </c>
      <c r="BV38">
        <v>5.8111999999999986</v>
      </c>
      <c r="BX38">
        <v>0</v>
      </c>
    </row>
    <row r="39" spans="1:76" x14ac:dyDescent="0.25">
      <c r="A39">
        <v>2006</v>
      </c>
      <c r="B39">
        <v>303</v>
      </c>
      <c r="C39">
        <v>2100</v>
      </c>
      <c r="D39">
        <v>-1.341</v>
      </c>
      <c r="E39">
        <v>-24.57</v>
      </c>
      <c r="F39">
        <v>11.59</v>
      </c>
      <c r="G39">
        <v>12.04</v>
      </c>
      <c r="K39">
        <v>4.3280000000000003</v>
      </c>
      <c r="L39">
        <v>268.60000000000002</v>
      </c>
      <c r="M39">
        <v>0</v>
      </c>
      <c r="O39">
        <v>-12.18</v>
      </c>
      <c r="P39">
        <v>-11.48</v>
      </c>
      <c r="Q39">
        <v>12.31</v>
      </c>
      <c r="S39">
        <v>11.19</v>
      </c>
      <c r="T39">
        <v>0</v>
      </c>
      <c r="U39">
        <v>94.9</v>
      </c>
      <c r="V39">
        <v>903</v>
      </c>
      <c r="W39">
        <v>39.700000000000003</v>
      </c>
      <c r="Y39">
        <v>13.05</v>
      </c>
      <c r="AA39">
        <v>339</v>
      </c>
      <c r="AB39">
        <v>37</v>
      </c>
      <c r="AC39">
        <f t="shared" ca="1" si="0"/>
        <v>6.2703200000000017</v>
      </c>
      <c r="AD39">
        <f t="shared" ca="1" si="1"/>
        <v>2</v>
      </c>
      <c r="AG39">
        <v>2006</v>
      </c>
      <c r="AH39">
        <v>38</v>
      </c>
      <c r="AI39">
        <v>2</v>
      </c>
      <c r="AJ39">
        <v>4.9610000000000003</v>
      </c>
      <c r="AK39">
        <v>7.74</v>
      </c>
      <c r="AL39">
        <v>6.2703200000000017</v>
      </c>
      <c r="AN39">
        <v>0</v>
      </c>
      <c r="AP39">
        <v>2006</v>
      </c>
      <c r="AQ39">
        <v>38</v>
      </c>
      <c r="AR39">
        <v>2</v>
      </c>
      <c r="AS39">
        <v>4.9610000000000003</v>
      </c>
      <c r="AT39">
        <v>7.74</v>
      </c>
      <c r="AU39">
        <v>6.2703200000000017</v>
      </c>
      <c r="AW39">
        <v>0</v>
      </c>
      <c r="AY39">
        <v>2006</v>
      </c>
      <c r="AZ39">
        <v>38</v>
      </c>
      <c r="BA39">
        <v>20.8</v>
      </c>
      <c r="BB39">
        <v>4.5780000000000003</v>
      </c>
      <c r="BC39">
        <v>8.42</v>
      </c>
      <c r="BD39">
        <v>6.5026799999999989</v>
      </c>
      <c r="BF39">
        <v>0</v>
      </c>
      <c r="BH39">
        <v>2006</v>
      </c>
      <c r="BI39">
        <v>38</v>
      </c>
      <c r="BJ39">
        <v>15.600000000000001</v>
      </c>
      <c r="BK39">
        <v>2.528</v>
      </c>
      <c r="BL39">
        <v>7.49</v>
      </c>
      <c r="BM39">
        <v>5.8111999999999986</v>
      </c>
      <c r="BO39">
        <v>0</v>
      </c>
      <c r="BQ39">
        <v>2006</v>
      </c>
      <c r="BR39">
        <v>38</v>
      </c>
      <c r="BS39">
        <v>1.6</v>
      </c>
      <c r="BT39">
        <v>2.5550000000000002</v>
      </c>
      <c r="BU39">
        <v>6.5590000000000002</v>
      </c>
      <c r="BV39">
        <v>4.3328800000000003</v>
      </c>
      <c r="BX39">
        <v>0</v>
      </c>
    </row>
    <row r="40" spans="1:76" x14ac:dyDescent="0.25">
      <c r="A40">
        <v>2006</v>
      </c>
      <c r="B40">
        <v>303</v>
      </c>
      <c r="C40">
        <v>2200</v>
      </c>
      <c r="D40">
        <v>-2.427</v>
      </c>
      <c r="E40">
        <v>-47.94</v>
      </c>
      <c r="F40">
        <v>10.1</v>
      </c>
      <c r="G40">
        <v>10.78</v>
      </c>
      <c r="K40">
        <v>3.746</v>
      </c>
      <c r="L40">
        <v>269.60000000000002</v>
      </c>
      <c r="M40">
        <v>0</v>
      </c>
      <c r="O40">
        <v>-12.17</v>
      </c>
      <c r="P40">
        <v>-11.47</v>
      </c>
      <c r="Q40">
        <v>12.26</v>
      </c>
      <c r="S40">
        <v>11.12</v>
      </c>
      <c r="T40">
        <v>0</v>
      </c>
      <c r="U40">
        <v>92</v>
      </c>
      <c r="V40">
        <v>905</v>
      </c>
      <c r="W40">
        <v>39.840000000000003</v>
      </c>
      <c r="Y40">
        <v>13</v>
      </c>
      <c r="AA40">
        <v>340</v>
      </c>
      <c r="AB40">
        <v>38</v>
      </c>
      <c r="AC40">
        <f t="shared" ca="1" si="0"/>
        <v>6.5026799999999989</v>
      </c>
      <c r="AD40">
        <f t="shared" ca="1" si="1"/>
        <v>20.8</v>
      </c>
      <c r="AG40">
        <v>2006</v>
      </c>
      <c r="AH40">
        <v>39</v>
      </c>
      <c r="AI40">
        <v>20.8</v>
      </c>
      <c r="AJ40">
        <v>4.5780000000000003</v>
      </c>
      <c r="AK40">
        <v>8.42</v>
      </c>
      <c r="AL40">
        <v>6.5026799999999989</v>
      </c>
      <c r="AN40">
        <v>0</v>
      </c>
      <c r="AP40">
        <v>2006</v>
      </c>
      <c r="AQ40">
        <v>39</v>
      </c>
      <c r="AR40">
        <v>20.8</v>
      </c>
      <c r="AS40">
        <v>4.5780000000000003</v>
      </c>
      <c r="AT40">
        <v>8.42</v>
      </c>
      <c r="AU40">
        <v>6.5026799999999989</v>
      </c>
      <c r="AW40">
        <v>0</v>
      </c>
      <c r="AY40">
        <v>2006</v>
      </c>
      <c r="AZ40">
        <v>39</v>
      </c>
      <c r="BA40">
        <v>15.600000000000001</v>
      </c>
      <c r="BB40">
        <v>2.528</v>
      </c>
      <c r="BC40">
        <v>7.49</v>
      </c>
      <c r="BD40">
        <v>5.8111999999999986</v>
      </c>
      <c r="BF40">
        <v>0</v>
      </c>
      <c r="BH40">
        <v>2006</v>
      </c>
      <c r="BI40">
        <v>39</v>
      </c>
      <c r="BJ40">
        <v>1.6</v>
      </c>
      <c r="BK40">
        <v>2.5550000000000002</v>
      </c>
      <c r="BL40">
        <v>6.5590000000000002</v>
      </c>
      <c r="BM40">
        <v>4.3328800000000003</v>
      </c>
      <c r="BO40">
        <v>0</v>
      </c>
      <c r="BQ40">
        <v>2006</v>
      </c>
      <c r="BR40">
        <v>39</v>
      </c>
      <c r="BS40">
        <v>5.2</v>
      </c>
      <c r="BT40">
        <v>2.5489999999999999</v>
      </c>
      <c r="BU40">
        <v>8.65</v>
      </c>
      <c r="BV40">
        <v>4.452840000000001</v>
      </c>
      <c r="BX40">
        <v>0</v>
      </c>
    </row>
    <row r="41" spans="1:76" x14ac:dyDescent="0.25">
      <c r="A41">
        <v>2006</v>
      </c>
      <c r="B41">
        <v>303</v>
      </c>
      <c r="C41">
        <v>2300</v>
      </c>
      <c r="D41">
        <v>-2.3879999999999999</v>
      </c>
      <c r="E41">
        <v>-46.71</v>
      </c>
      <c r="F41">
        <v>9.75</v>
      </c>
      <c r="G41">
        <v>10.33</v>
      </c>
      <c r="K41">
        <v>3.8479999999999999</v>
      </c>
      <c r="L41">
        <v>260.3</v>
      </c>
      <c r="M41">
        <v>0</v>
      </c>
      <c r="O41">
        <v>-12.17</v>
      </c>
      <c r="P41">
        <v>-11.48</v>
      </c>
      <c r="Q41">
        <v>12.23</v>
      </c>
      <c r="S41">
        <v>11.13</v>
      </c>
      <c r="T41">
        <v>0</v>
      </c>
      <c r="U41">
        <v>93.1</v>
      </c>
      <c r="V41">
        <v>923</v>
      </c>
      <c r="W41">
        <v>41.3</v>
      </c>
      <c r="Y41">
        <v>12.97</v>
      </c>
      <c r="AA41">
        <v>341</v>
      </c>
      <c r="AB41">
        <v>39</v>
      </c>
      <c r="AC41">
        <f t="shared" ca="1" si="0"/>
        <v>5.8111999999999986</v>
      </c>
      <c r="AD41">
        <f t="shared" ca="1" si="1"/>
        <v>15.600000000000001</v>
      </c>
      <c r="AG41">
        <v>2006</v>
      </c>
      <c r="AH41">
        <v>40</v>
      </c>
      <c r="AI41">
        <v>15.600000000000001</v>
      </c>
      <c r="AJ41">
        <v>2.528</v>
      </c>
      <c r="AK41">
        <v>7.49</v>
      </c>
      <c r="AL41">
        <v>5.8111999999999986</v>
      </c>
      <c r="AN41">
        <v>0</v>
      </c>
      <c r="AP41">
        <v>2006</v>
      </c>
      <c r="AQ41">
        <v>40</v>
      </c>
      <c r="AR41">
        <v>15.600000000000001</v>
      </c>
      <c r="AS41">
        <v>2.528</v>
      </c>
      <c r="AT41">
        <v>7.49</v>
      </c>
      <c r="AU41">
        <v>5.8111999999999986</v>
      </c>
      <c r="AW41">
        <v>0</v>
      </c>
      <c r="AY41">
        <v>2006</v>
      </c>
      <c r="AZ41">
        <v>40</v>
      </c>
      <c r="BA41">
        <v>1.6</v>
      </c>
      <c r="BB41">
        <v>2.5550000000000002</v>
      </c>
      <c r="BC41">
        <v>6.5590000000000002</v>
      </c>
      <c r="BD41">
        <v>4.3328800000000003</v>
      </c>
      <c r="BF41">
        <v>0</v>
      </c>
      <c r="BH41">
        <v>2006</v>
      </c>
      <c r="BI41">
        <v>40</v>
      </c>
      <c r="BJ41">
        <v>5.2</v>
      </c>
      <c r="BK41">
        <v>2.5489999999999999</v>
      </c>
      <c r="BL41">
        <v>8.65</v>
      </c>
      <c r="BM41">
        <v>4.452840000000001</v>
      </c>
      <c r="BO41">
        <v>0</v>
      </c>
      <c r="BQ41">
        <v>2006</v>
      </c>
      <c r="BR41">
        <v>40</v>
      </c>
      <c r="BS41">
        <v>18.399999999999999</v>
      </c>
      <c r="BT41">
        <v>5.2969999999999997</v>
      </c>
      <c r="BU41">
        <v>12.23</v>
      </c>
      <c r="BV41">
        <v>10.07888</v>
      </c>
      <c r="BX41">
        <v>0</v>
      </c>
    </row>
    <row r="42" spans="1:76" x14ac:dyDescent="0.25">
      <c r="A42">
        <v>2006</v>
      </c>
      <c r="B42">
        <v>303</v>
      </c>
      <c r="C42">
        <v>2400</v>
      </c>
      <c r="D42">
        <v>-2.42</v>
      </c>
      <c r="E42">
        <v>-45.66</v>
      </c>
      <c r="F42">
        <v>9.2899999999999991</v>
      </c>
      <c r="G42">
        <v>9.89</v>
      </c>
      <c r="K42">
        <v>4.3849999999999998</v>
      </c>
      <c r="L42">
        <v>257.2</v>
      </c>
      <c r="M42">
        <v>0</v>
      </c>
      <c r="O42">
        <v>-12.18</v>
      </c>
      <c r="P42">
        <v>-11.49</v>
      </c>
      <c r="Q42">
        <v>12.19</v>
      </c>
      <c r="S42">
        <v>11.19</v>
      </c>
      <c r="T42">
        <v>0</v>
      </c>
      <c r="U42">
        <v>92.7</v>
      </c>
      <c r="V42">
        <v>907</v>
      </c>
      <c r="W42">
        <v>39.97</v>
      </c>
      <c r="Y42">
        <v>12.94</v>
      </c>
      <c r="AA42">
        <v>342</v>
      </c>
      <c r="AB42">
        <v>40</v>
      </c>
      <c r="AC42">
        <f t="shared" ca="1" si="0"/>
        <v>4.3328800000000003</v>
      </c>
      <c r="AD42">
        <f t="shared" ca="1" si="1"/>
        <v>1.6</v>
      </c>
      <c r="AG42">
        <v>2006</v>
      </c>
      <c r="AH42">
        <v>41</v>
      </c>
      <c r="AI42">
        <v>1.6</v>
      </c>
      <c r="AJ42">
        <v>2.5550000000000002</v>
      </c>
      <c r="AK42">
        <v>6.5590000000000002</v>
      </c>
      <c r="AL42">
        <v>4.3328800000000003</v>
      </c>
      <c r="AN42">
        <v>0</v>
      </c>
      <c r="AP42">
        <v>2006</v>
      </c>
      <c r="AQ42">
        <v>41</v>
      </c>
      <c r="AR42">
        <v>1.6</v>
      </c>
      <c r="AS42">
        <v>2.5550000000000002</v>
      </c>
      <c r="AT42">
        <v>6.5590000000000002</v>
      </c>
      <c r="AU42">
        <v>4.3328800000000003</v>
      </c>
      <c r="AW42">
        <v>0</v>
      </c>
      <c r="AY42">
        <v>2006</v>
      </c>
      <c r="AZ42">
        <v>41</v>
      </c>
      <c r="BA42">
        <v>5.2</v>
      </c>
      <c r="BB42">
        <v>2.5489999999999999</v>
      </c>
      <c r="BC42">
        <v>8.65</v>
      </c>
      <c r="BD42">
        <v>4.452840000000001</v>
      </c>
      <c r="BF42">
        <v>0</v>
      </c>
      <c r="BH42">
        <v>2006</v>
      </c>
      <c r="BI42">
        <v>41</v>
      </c>
      <c r="BJ42">
        <v>18.399999999999999</v>
      </c>
      <c r="BK42">
        <v>5.2969999999999997</v>
      </c>
      <c r="BL42">
        <v>12.23</v>
      </c>
      <c r="BM42">
        <v>10.07888</v>
      </c>
      <c r="BO42">
        <v>0</v>
      </c>
      <c r="BQ42">
        <v>2006</v>
      </c>
      <c r="BR42">
        <v>41</v>
      </c>
      <c r="BS42">
        <v>1.2000000000000002</v>
      </c>
      <c r="BT42">
        <v>3.9420000000000002</v>
      </c>
      <c r="BU42">
        <v>6.28</v>
      </c>
      <c r="BV42">
        <v>4.9218399999999995</v>
      </c>
      <c r="BX42">
        <v>0</v>
      </c>
    </row>
    <row r="43" spans="1:76" x14ac:dyDescent="0.25">
      <c r="A43">
        <v>2006</v>
      </c>
      <c r="B43">
        <v>303</v>
      </c>
      <c r="C43">
        <v>2400</v>
      </c>
      <c r="D43">
        <v>31.31</v>
      </c>
      <c r="E43">
        <v>9.84</v>
      </c>
      <c r="F43">
        <v>12.79</v>
      </c>
      <c r="G43">
        <v>13.19</v>
      </c>
      <c r="K43">
        <v>3.21</v>
      </c>
      <c r="L43">
        <v>245.7</v>
      </c>
      <c r="M43">
        <v>6</v>
      </c>
      <c r="O43">
        <v>27.37</v>
      </c>
      <c r="P43">
        <v>0.64100000000000001</v>
      </c>
      <c r="Q43">
        <v>12.04</v>
      </c>
      <c r="S43">
        <v>10.97</v>
      </c>
      <c r="T43">
        <v>0</v>
      </c>
      <c r="U43">
        <v>95.6</v>
      </c>
      <c r="V43">
        <v>879</v>
      </c>
      <c r="W43">
        <v>38.01</v>
      </c>
      <c r="Y43">
        <v>13.16</v>
      </c>
      <c r="AA43">
        <v>343</v>
      </c>
      <c r="AB43">
        <v>41</v>
      </c>
      <c r="AC43">
        <f t="shared" ca="1" si="0"/>
        <v>4.452840000000001</v>
      </c>
      <c r="AD43">
        <f t="shared" ca="1" si="1"/>
        <v>5.2</v>
      </c>
      <c r="AG43">
        <v>2006</v>
      </c>
      <c r="AH43">
        <v>42</v>
      </c>
      <c r="AI43">
        <v>5.2</v>
      </c>
      <c r="AJ43">
        <v>2.5489999999999999</v>
      </c>
      <c r="AK43">
        <v>8.65</v>
      </c>
      <c r="AL43">
        <v>4.452840000000001</v>
      </c>
      <c r="AN43">
        <v>0</v>
      </c>
      <c r="AP43">
        <v>2006</v>
      </c>
      <c r="AQ43">
        <v>42</v>
      </c>
      <c r="AR43">
        <v>5.2</v>
      </c>
      <c r="AS43">
        <v>2.5489999999999999</v>
      </c>
      <c r="AT43">
        <v>8.65</v>
      </c>
      <c r="AU43">
        <v>4.452840000000001</v>
      </c>
      <c r="AW43">
        <v>0</v>
      </c>
      <c r="AY43">
        <v>2006</v>
      </c>
      <c r="AZ43">
        <v>42</v>
      </c>
      <c r="BA43">
        <v>18.399999999999999</v>
      </c>
      <c r="BB43">
        <v>5.2969999999999997</v>
      </c>
      <c r="BC43">
        <v>12.23</v>
      </c>
      <c r="BD43">
        <v>10.07888</v>
      </c>
      <c r="BF43">
        <v>0</v>
      </c>
      <c r="BH43">
        <v>2006</v>
      </c>
      <c r="BI43">
        <v>42</v>
      </c>
      <c r="BJ43">
        <v>1.2000000000000002</v>
      </c>
      <c r="BK43">
        <v>3.9420000000000002</v>
      </c>
      <c r="BL43">
        <v>6.28</v>
      </c>
      <c r="BM43">
        <v>4.9218399999999995</v>
      </c>
      <c r="BO43">
        <v>0</v>
      </c>
      <c r="BQ43">
        <v>2006</v>
      </c>
      <c r="BR43">
        <v>42</v>
      </c>
      <c r="BS43">
        <v>16.8</v>
      </c>
      <c r="BT43">
        <v>5.6189999999999998</v>
      </c>
      <c r="BU43">
        <v>9.77</v>
      </c>
      <c r="BV43">
        <v>7.3699600000000025</v>
      </c>
      <c r="BX43">
        <v>0</v>
      </c>
    </row>
    <row r="44" spans="1:76" x14ac:dyDescent="0.25">
      <c r="A44">
        <v>2006</v>
      </c>
      <c r="B44">
        <v>304</v>
      </c>
      <c r="C44">
        <v>100</v>
      </c>
      <c r="D44">
        <v>-1.796</v>
      </c>
      <c r="E44">
        <v>-34.93</v>
      </c>
      <c r="F44">
        <v>9.1199999999999992</v>
      </c>
      <c r="G44">
        <v>9.58</v>
      </c>
      <c r="K44">
        <v>5.0519999999999996</v>
      </c>
      <c r="L44">
        <v>255.6</v>
      </c>
      <c r="M44">
        <v>0</v>
      </c>
      <c r="O44">
        <v>-12.18</v>
      </c>
      <c r="P44">
        <v>-11.48</v>
      </c>
      <c r="Q44">
        <v>12.09</v>
      </c>
      <c r="S44">
        <v>11.15</v>
      </c>
      <c r="T44">
        <v>0</v>
      </c>
      <c r="U44">
        <v>94.4</v>
      </c>
      <c r="V44">
        <v>909</v>
      </c>
      <c r="W44">
        <v>40.090000000000003</v>
      </c>
      <c r="Y44">
        <v>12.92</v>
      </c>
      <c r="AA44">
        <v>344</v>
      </c>
      <c r="AB44">
        <v>42</v>
      </c>
      <c r="AC44">
        <f t="shared" ca="1" si="0"/>
        <v>10.07888</v>
      </c>
      <c r="AD44">
        <f t="shared" ca="1" si="1"/>
        <v>18.399999999999999</v>
      </c>
      <c r="AG44">
        <v>2006</v>
      </c>
      <c r="AH44">
        <v>43</v>
      </c>
      <c r="AI44">
        <v>18.399999999999999</v>
      </c>
      <c r="AJ44">
        <v>5.2969999999999997</v>
      </c>
      <c r="AK44">
        <v>12.23</v>
      </c>
      <c r="AL44">
        <v>10.07888</v>
      </c>
      <c r="AN44">
        <v>0</v>
      </c>
      <c r="AP44">
        <v>2006</v>
      </c>
      <c r="AQ44">
        <v>43</v>
      </c>
      <c r="AR44">
        <v>18.399999999999999</v>
      </c>
      <c r="AS44">
        <v>5.2969999999999997</v>
      </c>
      <c r="AT44">
        <v>12.23</v>
      </c>
      <c r="AU44">
        <v>10.07888</v>
      </c>
      <c r="AW44">
        <v>0</v>
      </c>
      <c r="AY44">
        <v>2006</v>
      </c>
      <c r="AZ44">
        <v>43</v>
      </c>
      <c r="BA44">
        <v>1.2000000000000002</v>
      </c>
      <c r="BB44">
        <v>3.9420000000000002</v>
      </c>
      <c r="BC44">
        <v>6.28</v>
      </c>
      <c r="BD44">
        <v>4.9218399999999995</v>
      </c>
      <c r="BF44">
        <v>0</v>
      </c>
      <c r="BH44">
        <v>2006</v>
      </c>
      <c r="BI44">
        <v>43</v>
      </c>
      <c r="BJ44">
        <v>16.8</v>
      </c>
      <c r="BK44">
        <v>5.6189999999999998</v>
      </c>
      <c r="BL44">
        <v>9.77</v>
      </c>
      <c r="BM44">
        <v>7.3699600000000025</v>
      </c>
      <c r="BO44">
        <v>0</v>
      </c>
      <c r="BQ44">
        <v>2006</v>
      </c>
      <c r="BR44">
        <v>43</v>
      </c>
      <c r="BS44">
        <v>9.7999999999999989</v>
      </c>
      <c r="BT44">
        <v>8.7899999999999991</v>
      </c>
      <c r="BU44">
        <v>12.48</v>
      </c>
      <c r="BV44">
        <v>11.357599999999998</v>
      </c>
      <c r="BX44">
        <v>0</v>
      </c>
    </row>
    <row r="45" spans="1:76" x14ac:dyDescent="0.25">
      <c r="A45">
        <v>2006</v>
      </c>
      <c r="B45">
        <v>304</v>
      </c>
      <c r="C45">
        <v>200</v>
      </c>
      <c r="D45">
        <v>-1.1299999999999999</v>
      </c>
      <c r="E45">
        <v>-21.49</v>
      </c>
      <c r="F45">
        <v>9.25</v>
      </c>
      <c r="G45">
        <v>9.59</v>
      </c>
      <c r="K45">
        <v>5.0049999999999999</v>
      </c>
      <c r="L45">
        <v>259.39999999999998</v>
      </c>
      <c r="M45">
        <v>0</v>
      </c>
      <c r="O45">
        <v>-12.18</v>
      </c>
      <c r="P45">
        <v>-11.48</v>
      </c>
      <c r="Q45">
        <v>11.98</v>
      </c>
      <c r="S45">
        <v>11.09</v>
      </c>
      <c r="T45">
        <v>0</v>
      </c>
      <c r="U45">
        <v>95.9</v>
      </c>
      <c r="V45">
        <v>910</v>
      </c>
      <c r="W45">
        <v>40.19</v>
      </c>
      <c r="Y45">
        <v>12.91</v>
      </c>
      <c r="AA45">
        <v>345</v>
      </c>
      <c r="AB45">
        <v>43</v>
      </c>
      <c r="AC45">
        <f t="shared" ca="1" si="0"/>
        <v>4.9218399999999995</v>
      </c>
      <c r="AD45">
        <f t="shared" ca="1" si="1"/>
        <v>1.2000000000000002</v>
      </c>
      <c r="AG45">
        <v>2006</v>
      </c>
      <c r="AH45">
        <v>44</v>
      </c>
      <c r="AI45">
        <v>1.2000000000000002</v>
      </c>
      <c r="AJ45">
        <v>3.9420000000000002</v>
      </c>
      <c r="AK45">
        <v>6.28</v>
      </c>
      <c r="AL45">
        <v>4.9218399999999995</v>
      </c>
      <c r="AN45">
        <v>0</v>
      </c>
      <c r="AP45">
        <v>2006</v>
      </c>
      <c r="AQ45">
        <v>44</v>
      </c>
      <c r="AR45">
        <v>1.2000000000000002</v>
      </c>
      <c r="AS45">
        <v>3.9420000000000002</v>
      </c>
      <c r="AT45">
        <v>6.28</v>
      </c>
      <c r="AU45">
        <v>4.9218399999999995</v>
      </c>
      <c r="AW45">
        <v>0</v>
      </c>
      <c r="AY45">
        <v>2006</v>
      </c>
      <c r="AZ45">
        <v>44</v>
      </c>
      <c r="BA45">
        <v>16.8</v>
      </c>
      <c r="BB45">
        <v>5.6189999999999998</v>
      </c>
      <c r="BC45">
        <v>9.77</v>
      </c>
      <c r="BD45">
        <v>7.3699600000000025</v>
      </c>
      <c r="BF45">
        <v>0</v>
      </c>
      <c r="BH45">
        <v>2006</v>
      </c>
      <c r="BI45">
        <v>44</v>
      </c>
      <c r="BJ45">
        <v>9.7999999999999989</v>
      </c>
      <c r="BK45">
        <v>8.7899999999999991</v>
      </c>
      <c r="BL45">
        <v>12.48</v>
      </c>
      <c r="BM45">
        <v>11.357599999999998</v>
      </c>
      <c r="BO45">
        <v>0</v>
      </c>
      <c r="BQ45">
        <v>2006</v>
      </c>
      <c r="BR45">
        <v>44</v>
      </c>
      <c r="BS45">
        <v>19</v>
      </c>
      <c r="BT45">
        <v>5.52</v>
      </c>
      <c r="BU45">
        <v>8.69</v>
      </c>
      <c r="BV45">
        <v>6.6679199999999987</v>
      </c>
      <c r="BX45">
        <v>0</v>
      </c>
    </row>
    <row r="46" spans="1:76" x14ac:dyDescent="0.25">
      <c r="A46">
        <v>2006</v>
      </c>
      <c r="B46">
        <v>304</v>
      </c>
      <c r="C46">
        <v>300</v>
      </c>
      <c r="D46">
        <v>-1.044</v>
      </c>
      <c r="E46">
        <v>-16.059999999999999</v>
      </c>
      <c r="F46">
        <v>9.32</v>
      </c>
      <c r="G46">
        <v>9.61</v>
      </c>
      <c r="K46">
        <v>5.5140000000000002</v>
      </c>
      <c r="L46">
        <v>257.5</v>
      </c>
      <c r="M46">
        <v>0</v>
      </c>
      <c r="O46">
        <v>-12.18</v>
      </c>
      <c r="P46">
        <v>-11.49</v>
      </c>
      <c r="Q46">
        <v>11.87</v>
      </c>
      <c r="S46">
        <v>11.09</v>
      </c>
      <c r="T46">
        <v>0</v>
      </c>
      <c r="U46">
        <v>96.4</v>
      </c>
      <c r="V46">
        <v>910</v>
      </c>
      <c r="W46">
        <v>40.19</v>
      </c>
      <c r="Y46">
        <v>12.89</v>
      </c>
      <c r="AA46">
        <v>346</v>
      </c>
      <c r="AB46">
        <v>44</v>
      </c>
      <c r="AC46">
        <f t="shared" ca="1" si="0"/>
        <v>7.3699600000000025</v>
      </c>
      <c r="AD46">
        <f t="shared" ca="1" si="1"/>
        <v>16.8</v>
      </c>
      <c r="AG46">
        <v>2006</v>
      </c>
      <c r="AH46">
        <v>45</v>
      </c>
      <c r="AI46">
        <v>16.8</v>
      </c>
      <c r="AJ46">
        <v>5.6189999999999998</v>
      </c>
      <c r="AK46">
        <v>9.77</v>
      </c>
      <c r="AL46">
        <v>7.3699600000000025</v>
      </c>
      <c r="AN46">
        <v>0</v>
      </c>
      <c r="AP46">
        <v>2006</v>
      </c>
      <c r="AQ46">
        <v>45</v>
      </c>
      <c r="AR46">
        <v>16.8</v>
      </c>
      <c r="AS46">
        <v>5.6189999999999998</v>
      </c>
      <c r="AT46">
        <v>9.77</v>
      </c>
      <c r="AU46">
        <v>7.3699600000000025</v>
      </c>
      <c r="AW46">
        <v>0</v>
      </c>
      <c r="AY46">
        <v>2006</v>
      </c>
      <c r="AZ46">
        <v>45</v>
      </c>
      <c r="BA46">
        <v>9.7999999999999989</v>
      </c>
      <c r="BB46">
        <v>8.7899999999999991</v>
      </c>
      <c r="BC46">
        <v>12.48</v>
      </c>
      <c r="BD46">
        <v>11.357599999999998</v>
      </c>
      <c r="BF46">
        <v>0</v>
      </c>
      <c r="BH46">
        <v>2006</v>
      </c>
      <c r="BI46">
        <v>45</v>
      </c>
      <c r="BJ46">
        <v>19</v>
      </c>
      <c r="BK46">
        <v>5.52</v>
      </c>
      <c r="BL46">
        <v>8.69</v>
      </c>
      <c r="BM46">
        <v>6.6679199999999987</v>
      </c>
      <c r="BO46">
        <v>0</v>
      </c>
      <c r="BQ46">
        <v>2006</v>
      </c>
      <c r="BR46">
        <v>45</v>
      </c>
      <c r="BS46">
        <v>0</v>
      </c>
      <c r="BT46">
        <v>1.95</v>
      </c>
      <c r="BU46">
        <v>5.4939999999999998</v>
      </c>
      <c r="BV46">
        <v>3.7260400000000002</v>
      </c>
      <c r="BX46">
        <v>0</v>
      </c>
    </row>
    <row r="47" spans="1:76" x14ac:dyDescent="0.25">
      <c r="A47">
        <v>2006</v>
      </c>
      <c r="B47">
        <v>304</v>
      </c>
      <c r="C47">
        <v>400</v>
      </c>
      <c r="D47">
        <v>-0.86699999999999999</v>
      </c>
      <c r="E47">
        <v>-8.8800000000000008</v>
      </c>
      <c r="F47">
        <v>9.6199999999999992</v>
      </c>
      <c r="G47">
        <v>9.6999999999999993</v>
      </c>
      <c r="K47">
        <v>5.319</v>
      </c>
      <c r="L47">
        <v>261.39999999999998</v>
      </c>
      <c r="M47">
        <v>0</v>
      </c>
      <c r="O47">
        <v>-12.18</v>
      </c>
      <c r="P47">
        <v>-11.49</v>
      </c>
      <c r="Q47">
        <v>11.78</v>
      </c>
      <c r="S47">
        <v>11.08</v>
      </c>
      <c r="T47">
        <v>0</v>
      </c>
      <c r="U47">
        <v>99</v>
      </c>
      <c r="V47">
        <v>908</v>
      </c>
      <c r="W47">
        <v>40.01</v>
      </c>
      <c r="Y47">
        <v>12.89</v>
      </c>
      <c r="AA47">
        <v>347</v>
      </c>
      <c r="AB47">
        <v>45</v>
      </c>
      <c r="AC47">
        <f t="shared" ca="1" si="0"/>
        <v>11.357599999999998</v>
      </c>
      <c r="AD47">
        <f t="shared" ca="1" si="1"/>
        <v>9.7999999999999989</v>
      </c>
      <c r="AG47">
        <v>2006</v>
      </c>
      <c r="AH47">
        <v>46</v>
      </c>
      <c r="AI47">
        <v>9.7999999999999989</v>
      </c>
      <c r="AJ47">
        <v>8.7899999999999991</v>
      </c>
      <c r="AK47">
        <v>12.48</v>
      </c>
      <c r="AL47">
        <v>11.357599999999998</v>
      </c>
      <c r="AN47">
        <v>0</v>
      </c>
      <c r="AP47">
        <v>2006</v>
      </c>
      <c r="AQ47">
        <v>46</v>
      </c>
      <c r="AR47">
        <v>9.7999999999999989</v>
      </c>
      <c r="AS47">
        <v>8.7899999999999991</v>
      </c>
      <c r="AT47">
        <v>12.48</v>
      </c>
      <c r="AU47">
        <v>11.357599999999998</v>
      </c>
      <c r="AW47">
        <v>0</v>
      </c>
      <c r="AY47">
        <v>2006</v>
      </c>
      <c r="AZ47">
        <v>46</v>
      </c>
      <c r="BA47">
        <v>19</v>
      </c>
      <c r="BB47">
        <v>5.52</v>
      </c>
      <c r="BC47">
        <v>8.69</v>
      </c>
      <c r="BD47">
        <v>6.6679199999999987</v>
      </c>
      <c r="BF47">
        <v>0</v>
      </c>
      <c r="BH47">
        <v>2006</v>
      </c>
      <c r="BI47">
        <v>46</v>
      </c>
      <c r="BJ47">
        <v>0</v>
      </c>
      <c r="BK47">
        <v>1.95</v>
      </c>
      <c r="BL47">
        <v>5.4939999999999998</v>
      </c>
      <c r="BM47">
        <v>3.7260400000000002</v>
      </c>
      <c r="BO47">
        <v>0</v>
      </c>
      <c r="BQ47">
        <v>2006</v>
      </c>
      <c r="BR47">
        <v>46</v>
      </c>
      <c r="BS47">
        <v>0.4</v>
      </c>
      <c r="BT47">
        <v>2.532</v>
      </c>
      <c r="BU47">
        <v>5.9870000000000001</v>
      </c>
      <c r="BV47">
        <v>4.1708800000000004</v>
      </c>
      <c r="BX47">
        <v>0</v>
      </c>
    </row>
    <row r="48" spans="1:76" x14ac:dyDescent="0.25">
      <c r="A48">
        <v>2006</v>
      </c>
      <c r="B48">
        <v>304</v>
      </c>
      <c r="C48">
        <v>500</v>
      </c>
      <c r="D48">
        <v>-1.173</v>
      </c>
      <c r="E48">
        <v>-10.59</v>
      </c>
      <c r="F48">
        <v>9.6300000000000008</v>
      </c>
      <c r="G48">
        <v>9.84</v>
      </c>
      <c r="K48">
        <v>4.9109999999999996</v>
      </c>
      <c r="L48">
        <v>282.7</v>
      </c>
      <c r="M48">
        <v>0.2</v>
      </c>
      <c r="O48">
        <v>-12.18</v>
      </c>
      <c r="P48">
        <v>-11.48</v>
      </c>
      <c r="Q48">
        <v>11.71</v>
      </c>
      <c r="S48">
        <v>11</v>
      </c>
      <c r="T48">
        <v>0</v>
      </c>
      <c r="U48">
        <v>97.5</v>
      </c>
      <c r="V48">
        <v>907</v>
      </c>
      <c r="W48">
        <v>40</v>
      </c>
      <c r="Y48">
        <v>12.88</v>
      </c>
      <c r="AA48">
        <v>348</v>
      </c>
      <c r="AB48">
        <v>46</v>
      </c>
      <c r="AC48">
        <f t="shared" ca="1" si="0"/>
        <v>6.6679199999999987</v>
      </c>
      <c r="AD48">
        <f t="shared" ca="1" si="1"/>
        <v>19</v>
      </c>
      <c r="AG48">
        <v>2006</v>
      </c>
      <c r="AH48">
        <v>47</v>
      </c>
      <c r="AI48">
        <v>19</v>
      </c>
      <c r="AJ48">
        <v>5.52</v>
      </c>
      <c r="AK48">
        <v>8.69</v>
      </c>
      <c r="AL48">
        <v>6.6679199999999987</v>
      </c>
      <c r="AN48">
        <v>0</v>
      </c>
      <c r="AP48">
        <v>2006</v>
      </c>
      <c r="AQ48">
        <v>47</v>
      </c>
      <c r="AR48">
        <v>19</v>
      </c>
      <c r="AS48">
        <v>5.52</v>
      </c>
      <c r="AT48">
        <v>8.69</v>
      </c>
      <c r="AU48">
        <v>6.6679199999999987</v>
      </c>
      <c r="AW48">
        <v>0</v>
      </c>
      <c r="AY48">
        <v>2006</v>
      </c>
      <c r="AZ48">
        <v>47</v>
      </c>
      <c r="BA48">
        <v>0</v>
      </c>
      <c r="BB48">
        <v>1.95</v>
      </c>
      <c r="BC48">
        <v>5.4939999999999998</v>
      </c>
      <c r="BD48">
        <v>3.7260400000000002</v>
      </c>
      <c r="BF48">
        <v>0</v>
      </c>
      <c r="BH48">
        <v>2006</v>
      </c>
      <c r="BI48">
        <v>47</v>
      </c>
      <c r="BJ48">
        <v>0.4</v>
      </c>
      <c r="BK48">
        <v>2.532</v>
      </c>
      <c r="BL48">
        <v>5.9870000000000001</v>
      </c>
      <c r="BM48">
        <v>4.1708800000000004</v>
      </c>
      <c r="BO48">
        <v>0</v>
      </c>
      <c r="BQ48">
        <v>2006</v>
      </c>
      <c r="BR48">
        <v>47</v>
      </c>
      <c r="BS48">
        <v>2</v>
      </c>
      <c r="BT48">
        <v>3.03</v>
      </c>
      <c r="BU48">
        <v>6.1020000000000003</v>
      </c>
      <c r="BV48">
        <v>5.3720000000000008</v>
      </c>
      <c r="BX48">
        <v>0</v>
      </c>
    </row>
    <row r="49" spans="1:76" x14ac:dyDescent="0.25">
      <c r="A49">
        <v>2006</v>
      </c>
      <c r="B49">
        <v>304</v>
      </c>
      <c r="C49">
        <v>600</v>
      </c>
      <c r="D49">
        <v>-0.77200000000000002</v>
      </c>
      <c r="E49">
        <v>-5.3220000000000001</v>
      </c>
      <c r="F49">
        <v>9.64</v>
      </c>
      <c r="G49">
        <v>10.029999999999999</v>
      </c>
      <c r="K49">
        <v>4.843</v>
      </c>
      <c r="L49">
        <v>282.8</v>
      </c>
      <c r="M49">
        <v>0</v>
      </c>
      <c r="O49">
        <v>-12.18</v>
      </c>
      <c r="P49">
        <v>-11.48</v>
      </c>
      <c r="Q49">
        <v>11.65</v>
      </c>
      <c r="S49">
        <v>10.98</v>
      </c>
      <c r="T49">
        <v>0</v>
      </c>
      <c r="U49">
        <v>95.3</v>
      </c>
      <c r="V49">
        <v>906</v>
      </c>
      <c r="W49">
        <v>39.880000000000003</v>
      </c>
      <c r="Y49">
        <v>12.87</v>
      </c>
      <c r="AA49">
        <v>349</v>
      </c>
      <c r="AB49">
        <v>47</v>
      </c>
      <c r="AC49">
        <f t="shared" ca="1" si="0"/>
        <v>3.7260400000000002</v>
      </c>
      <c r="AD49">
        <f t="shared" ca="1" si="1"/>
        <v>0</v>
      </c>
      <c r="AG49">
        <v>2006</v>
      </c>
      <c r="AH49">
        <v>48</v>
      </c>
      <c r="AI49">
        <v>0</v>
      </c>
      <c r="AJ49">
        <v>1.95</v>
      </c>
      <c r="AK49">
        <v>5.4939999999999998</v>
      </c>
      <c r="AL49">
        <v>3.7260400000000002</v>
      </c>
      <c r="AN49">
        <v>0</v>
      </c>
      <c r="AP49">
        <v>2006</v>
      </c>
      <c r="AQ49">
        <v>48</v>
      </c>
      <c r="AR49">
        <v>0</v>
      </c>
      <c r="AS49">
        <v>1.95</v>
      </c>
      <c r="AT49">
        <v>5.4939999999999998</v>
      </c>
      <c r="AU49">
        <v>3.7260400000000002</v>
      </c>
      <c r="AW49">
        <v>0</v>
      </c>
      <c r="AY49">
        <v>2006</v>
      </c>
      <c r="AZ49">
        <v>48</v>
      </c>
      <c r="BA49">
        <v>0.4</v>
      </c>
      <c r="BB49">
        <v>2.532</v>
      </c>
      <c r="BC49">
        <v>5.9870000000000001</v>
      </c>
      <c r="BD49">
        <v>4.1708800000000004</v>
      </c>
      <c r="BF49">
        <v>0</v>
      </c>
      <c r="BH49">
        <v>2006</v>
      </c>
      <c r="BI49">
        <v>48</v>
      </c>
      <c r="BJ49">
        <v>2</v>
      </c>
      <c r="BK49">
        <v>3.03</v>
      </c>
      <c r="BL49">
        <v>6.1020000000000003</v>
      </c>
      <c r="BM49">
        <v>5.3720000000000008</v>
      </c>
      <c r="BO49">
        <v>0</v>
      </c>
      <c r="BQ49">
        <v>2006</v>
      </c>
      <c r="BR49">
        <v>48</v>
      </c>
      <c r="BS49">
        <v>0</v>
      </c>
      <c r="BT49">
        <v>-1.645</v>
      </c>
      <c r="BU49">
        <v>5.4539999999999997</v>
      </c>
      <c r="BV49">
        <v>1.8912</v>
      </c>
      <c r="BX49">
        <v>0</v>
      </c>
    </row>
    <row r="50" spans="1:76" x14ac:dyDescent="0.25">
      <c r="A50">
        <v>2006</v>
      </c>
      <c r="B50">
        <v>304</v>
      </c>
      <c r="C50">
        <v>700</v>
      </c>
      <c r="D50">
        <v>-0.83099999999999996</v>
      </c>
      <c r="E50">
        <v>-9.19</v>
      </c>
      <c r="F50">
        <v>10.09</v>
      </c>
      <c r="G50">
        <v>10.27</v>
      </c>
      <c r="K50">
        <v>4.4420000000000002</v>
      </c>
      <c r="L50">
        <v>269.89999999999998</v>
      </c>
      <c r="M50">
        <v>0</v>
      </c>
      <c r="O50">
        <v>-12.17</v>
      </c>
      <c r="P50">
        <v>-11.48</v>
      </c>
      <c r="Q50">
        <v>11.61</v>
      </c>
      <c r="S50">
        <v>10.97</v>
      </c>
      <c r="T50">
        <v>0</v>
      </c>
      <c r="U50">
        <v>97.9</v>
      </c>
      <c r="V50">
        <v>904</v>
      </c>
      <c r="W50">
        <v>39.729999999999997</v>
      </c>
      <c r="Y50">
        <v>12.87</v>
      </c>
      <c r="AA50">
        <v>350</v>
      </c>
      <c r="AB50">
        <v>48</v>
      </c>
      <c r="AC50">
        <f t="shared" ca="1" si="0"/>
        <v>4.1708800000000004</v>
      </c>
      <c r="AD50">
        <f t="shared" ca="1" si="1"/>
        <v>0.4</v>
      </c>
      <c r="AG50">
        <v>2006</v>
      </c>
      <c r="AH50">
        <v>49</v>
      </c>
      <c r="AI50">
        <v>0.4</v>
      </c>
      <c r="AJ50">
        <v>2.532</v>
      </c>
      <c r="AK50">
        <v>5.9870000000000001</v>
      </c>
      <c r="AL50">
        <v>4.1708800000000004</v>
      </c>
      <c r="AN50">
        <v>0</v>
      </c>
      <c r="AP50">
        <v>2006</v>
      </c>
      <c r="AQ50">
        <v>49</v>
      </c>
      <c r="AR50">
        <v>0.4</v>
      </c>
      <c r="AS50">
        <v>2.532</v>
      </c>
      <c r="AT50">
        <v>5.9870000000000001</v>
      </c>
      <c r="AU50">
        <v>4.1708800000000004</v>
      </c>
      <c r="AW50">
        <v>0</v>
      </c>
      <c r="AY50">
        <v>2006</v>
      </c>
      <c r="AZ50">
        <v>49</v>
      </c>
      <c r="BA50">
        <v>2</v>
      </c>
      <c r="BB50">
        <v>3.03</v>
      </c>
      <c r="BC50">
        <v>6.1020000000000003</v>
      </c>
      <c r="BD50">
        <v>5.3720000000000008</v>
      </c>
      <c r="BF50">
        <v>0</v>
      </c>
      <c r="BH50">
        <v>2006</v>
      </c>
      <c r="BI50">
        <v>49</v>
      </c>
      <c r="BJ50">
        <v>0</v>
      </c>
      <c r="BK50">
        <v>-1.645</v>
      </c>
      <c r="BL50">
        <v>5.4539999999999997</v>
      </c>
      <c r="BM50">
        <v>1.8912</v>
      </c>
      <c r="BO50">
        <v>0</v>
      </c>
      <c r="BQ50">
        <v>2006</v>
      </c>
      <c r="BR50">
        <v>49</v>
      </c>
      <c r="BS50">
        <v>0.8</v>
      </c>
      <c r="BT50">
        <v>-1.4370000000000001</v>
      </c>
      <c r="BU50">
        <v>2.129</v>
      </c>
      <c r="BV50">
        <v>0.58344000000000018</v>
      </c>
      <c r="BX50">
        <v>0</v>
      </c>
    </row>
    <row r="51" spans="1:76" x14ac:dyDescent="0.25">
      <c r="A51">
        <v>2006</v>
      </c>
      <c r="B51">
        <v>304</v>
      </c>
      <c r="C51">
        <v>800</v>
      </c>
      <c r="D51">
        <v>2.399</v>
      </c>
      <c r="E51">
        <v>-2.7789999999999999</v>
      </c>
      <c r="F51">
        <v>10.24</v>
      </c>
      <c r="G51">
        <v>10.43</v>
      </c>
      <c r="K51">
        <v>5.0199999999999996</v>
      </c>
      <c r="L51">
        <v>279.89999999999998</v>
      </c>
      <c r="M51">
        <v>0.4</v>
      </c>
      <c r="O51">
        <v>-7.95</v>
      </c>
      <c r="P51">
        <v>-10.39</v>
      </c>
      <c r="Q51">
        <v>11.6</v>
      </c>
      <c r="S51">
        <v>10.92</v>
      </c>
      <c r="T51">
        <v>0</v>
      </c>
      <c r="U51">
        <v>97.7</v>
      </c>
      <c r="V51">
        <v>900</v>
      </c>
      <c r="W51">
        <v>39.44</v>
      </c>
      <c r="X51">
        <f>AVERAGE(W51:W75)</f>
        <v>37.937600000000003</v>
      </c>
      <c r="Y51">
        <v>12.86</v>
      </c>
      <c r="AA51">
        <v>351</v>
      </c>
      <c r="AB51">
        <v>49</v>
      </c>
      <c r="AC51">
        <f t="shared" ca="1" si="0"/>
        <v>5.3720000000000008</v>
      </c>
      <c r="AD51">
        <f t="shared" ca="1" si="1"/>
        <v>2</v>
      </c>
      <c r="AG51">
        <v>2006</v>
      </c>
      <c r="AH51">
        <v>50</v>
      </c>
      <c r="AI51">
        <v>2</v>
      </c>
      <c r="AJ51">
        <v>3.03</v>
      </c>
      <c r="AK51">
        <v>6.1020000000000003</v>
      </c>
      <c r="AL51">
        <v>5.3720000000000008</v>
      </c>
      <c r="AN51">
        <v>0</v>
      </c>
      <c r="AP51">
        <v>2006</v>
      </c>
      <c r="AQ51">
        <v>50</v>
      </c>
      <c r="AR51">
        <v>22</v>
      </c>
      <c r="AS51">
        <v>3.03</v>
      </c>
      <c r="AT51">
        <v>6.1020000000000003</v>
      </c>
      <c r="AU51">
        <v>5.3720000000000008</v>
      </c>
      <c r="AW51">
        <v>0</v>
      </c>
      <c r="AY51">
        <v>2006</v>
      </c>
      <c r="AZ51">
        <v>50</v>
      </c>
      <c r="BA51">
        <v>20</v>
      </c>
      <c r="BB51">
        <v>-1.645</v>
      </c>
      <c r="BC51">
        <v>5.4539999999999997</v>
      </c>
      <c r="BD51">
        <v>1.8912</v>
      </c>
      <c r="BF51">
        <v>0</v>
      </c>
      <c r="BH51">
        <v>2006</v>
      </c>
      <c r="BI51">
        <v>50</v>
      </c>
      <c r="BJ51">
        <v>20.8</v>
      </c>
      <c r="BK51">
        <v>-1.4370000000000001</v>
      </c>
      <c r="BL51">
        <v>2.129</v>
      </c>
      <c r="BM51">
        <v>0.58344000000000018</v>
      </c>
      <c r="BO51">
        <v>0</v>
      </c>
      <c r="BQ51">
        <v>2006</v>
      </c>
      <c r="BR51">
        <v>50</v>
      </c>
      <c r="BS51">
        <v>20.6</v>
      </c>
      <c r="BT51">
        <v>-1.7470000000000001</v>
      </c>
      <c r="BU51">
        <v>3.923</v>
      </c>
      <c r="BV51">
        <v>1.06088</v>
      </c>
      <c r="BX51">
        <v>0</v>
      </c>
    </row>
    <row r="52" spans="1:76" x14ac:dyDescent="0.25">
      <c r="A52">
        <v>2006</v>
      </c>
      <c r="B52">
        <v>304</v>
      </c>
      <c r="C52">
        <v>900</v>
      </c>
      <c r="D52">
        <v>49</v>
      </c>
      <c r="E52">
        <v>16.489999999999998</v>
      </c>
      <c r="F52">
        <v>9.44</v>
      </c>
      <c r="G52">
        <v>10.02</v>
      </c>
      <c r="H52">
        <f>AVERAGE(G52:G76)</f>
        <v>5.931840000000002</v>
      </c>
      <c r="I52">
        <f>MIN(G52:G76)</f>
        <v>7.8E-2</v>
      </c>
      <c r="J52">
        <f>MAX(G52:G76)</f>
        <v>11.08</v>
      </c>
      <c r="K52">
        <v>5.5279999999999996</v>
      </c>
      <c r="L52">
        <v>0</v>
      </c>
      <c r="M52">
        <v>0</v>
      </c>
      <c r="N52">
        <f>SUM(M52:M76)</f>
        <v>0.6</v>
      </c>
      <c r="O52">
        <v>52.69</v>
      </c>
      <c r="P52">
        <v>7.45</v>
      </c>
      <c r="Q52">
        <v>11.56</v>
      </c>
      <c r="R52">
        <f>AVERAGE(Q52:Q76)</f>
        <v>10.9244</v>
      </c>
      <c r="S52">
        <v>10.87</v>
      </c>
      <c r="T52">
        <v>0</v>
      </c>
      <c r="U52">
        <v>93</v>
      </c>
      <c r="V52">
        <v>900</v>
      </c>
      <c r="W52">
        <v>39.450000000000003</v>
      </c>
      <c r="Y52">
        <v>13.12</v>
      </c>
      <c r="AA52">
        <v>352</v>
      </c>
      <c r="AB52">
        <v>50</v>
      </c>
      <c r="AC52">
        <f t="shared" ca="1" si="0"/>
        <v>1.8912</v>
      </c>
      <c r="AD52">
        <f t="shared" ca="1" si="1"/>
        <v>0</v>
      </c>
      <c r="AG52">
        <v>2006</v>
      </c>
      <c r="AH52">
        <v>51</v>
      </c>
      <c r="AI52">
        <v>0</v>
      </c>
      <c r="AJ52">
        <v>-1.645</v>
      </c>
      <c r="AK52">
        <v>5.4539999999999997</v>
      </c>
      <c r="AL52">
        <v>1.8912</v>
      </c>
      <c r="AN52">
        <v>0</v>
      </c>
    </row>
    <row r="53" spans="1:76" x14ac:dyDescent="0.25">
      <c r="A53">
        <v>2006</v>
      </c>
      <c r="B53">
        <v>304</v>
      </c>
      <c r="C53">
        <v>1000</v>
      </c>
      <c r="D53">
        <v>138.4</v>
      </c>
      <c r="E53">
        <v>82.8</v>
      </c>
      <c r="F53">
        <v>9.76</v>
      </c>
      <c r="G53">
        <v>10.43</v>
      </c>
      <c r="K53">
        <v>5.194</v>
      </c>
      <c r="L53">
        <v>0</v>
      </c>
      <c r="M53">
        <v>0</v>
      </c>
      <c r="O53">
        <v>164</v>
      </c>
      <c r="P53">
        <v>54.04</v>
      </c>
      <c r="Q53">
        <v>11.55</v>
      </c>
      <c r="S53">
        <v>10.87</v>
      </c>
      <c r="T53">
        <v>0</v>
      </c>
      <c r="U53">
        <v>92.1</v>
      </c>
      <c r="V53">
        <v>900</v>
      </c>
      <c r="W53">
        <v>39.42</v>
      </c>
      <c r="Y53">
        <v>13.97</v>
      </c>
      <c r="AA53">
        <v>353</v>
      </c>
      <c r="AB53">
        <v>51</v>
      </c>
      <c r="AC53">
        <f t="shared" ca="1" si="0"/>
        <v>0.58344000000000018</v>
      </c>
      <c r="AD53">
        <f t="shared" ca="1" si="1"/>
        <v>0.8</v>
      </c>
      <c r="AG53">
        <v>2006</v>
      </c>
      <c r="AH53">
        <v>52</v>
      </c>
      <c r="AI53">
        <v>0.8</v>
      </c>
      <c r="AJ53">
        <v>-1.4370000000000001</v>
      </c>
      <c r="AK53">
        <v>2.129</v>
      </c>
      <c r="AL53">
        <v>0.58344000000000018</v>
      </c>
      <c r="AN53">
        <v>0</v>
      </c>
    </row>
    <row r="54" spans="1:76" x14ac:dyDescent="0.25">
      <c r="A54">
        <v>2006</v>
      </c>
      <c r="B54">
        <v>304</v>
      </c>
      <c r="C54">
        <v>1100</v>
      </c>
      <c r="D54">
        <v>235.1</v>
      </c>
      <c r="E54">
        <v>154.69999999999999</v>
      </c>
      <c r="F54">
        <v>10.45</v>
      </c>
      <c r="G54">
        <v>10.89</v>
      </c>
      <c r="K54">
        <v>4.76</v>
      </c>
      <c r="L54">
        <v>0</v>
      </c>
      <c r="M54">
        <v>0</v>
      </c>
      <c r="O54">
        <v>280.2</v>
      </c>
      <c r="P54">
        <v>100.1</v>
      </c>
      <c r="Q54">
        <v>11.55</v>
      </c>
      <c r="S54">
        <v>10.86</v>
      </c>
      <c r="T54">
        <v>0</v>
      </c>
      <c r="U54">
        <v>94.8</v>
      </c>
      <c r="V54">
        <v>898</v>
      </c>
      <c r="W54">
        <v>39.270000000000003</v>
      </c>
      <c r="Y54">
        <v>14.51</v>
      </c>
      <c r="AA54">
        <v>354</v>
      </c>
      <c r="AB54">
        <v>52</v>
      </c>
      <c r="AC54">
        <f t="shared" ca="1" si="0"/>
        <v>1.06088</v>
      </c>
      <c r="AD54">
        <f t="shared" ca="1" si="1"/>
        <v>0.60000000000000009</v>
      </c>
      <c r="AG54">
        <v>2006</v>
      </c>
      <c r="AH54">
        <v>53</v>
      </c>
      <c r="AI54">
        <v>0.60000000000000009</v>
      </c>
      <c r="AJ54">
        <v>-1.7470000000000001</v>
      </c>
      <c r="AK54">
        <v>3.923</v>
      </c>
      <c r="AL54">
        <v>1.06088</v>
      </c>
      <c r="AN54">
        <v>0</v>
      </c>
    </row>
    <row r="55" spans="1:76" x14ac:dyDescent="0.25">
      <c r="A55">
        <v>2006</v>
      </c>
      <c r="B55">
        <v>304</v>
      </c>
      <c r="C55">
        <v>1200</v>
      </c>
      <c r="D55">
        <v>280.89999999999998</v>
      </c>
      <c r="E55">
        <v>184.4</v>
      </c>
      <c r="F55">
        <v>10.66</v>
      </c>
      <c r="G55">
        <v>11.08</v>
      </c>
      <c r="K55">
        <v>4.4969999999999999</v>
      </c>
      <c r="L55">
        <v>0</v>
      </c>
      <c r="M55">
        <v>0</v>
      </c>
      <c r="O55">
        <v>326.60000000000002</v>
      </c>
      <c r="P55">
        <v>119</v>
      </c>
      <c r="Q55">
        <v>11.49</v>
      </c>
      <c r="S55">
        <v>10.81</v>
      </c>
      <c r="T55">
        <v>0</v>
      </c>
      <c r="U55">
        <v>95.1</v>
      </c>
      <c r="V55">
        <v>896</v>
      </c>
      <c r="W55">
        <v>39.15</v>
      </c>
      <c r="Y55">
        <v>14.32</v>
      </c>
      <c r="AA55">
        <v>355</v>
      </c>
      <c r="AB55">
        <v>53</v>
      </c>
      <c r="AC55">
        <f t="shared" ca="1" si="0"/>
        <v>6.4433999999999996</v>
      </c>
      <c r="AD55">
        <f t="shared" ca="1" si="1"/>
        <v>0.2</v>
      </c>
      <c r="AG55">
        <v>2006</v>
      </c>
      <c r="AH55">
        <v>54</v>
      </c>
      <c r="AI55">
        <v>0.2</v>
      </c>
      <c r="AJ55">
        <v>4.3129999999999997</v>
      </c>
      <c r="AK55">
        <v>7.35</v>
      </c>
      <c r="AL55">
        <v>6.4433999999999996</v>
      </c>
      <c r="AN55">
        <v>0</v>
      </c>
    </row>
    <row r="56" spans="1:76" x14ac:dyDescent="0.25">
      <c r="A56">
        <v>2006</v>
      </c>
      <c r="B56">
        <v>304</v>
      </c>
      <c r="C56">
        <v>1300</v>
      </c>
      <c r="D56">
        <v>255.6</v>
      </c>
      <c r="E56">
        <v>159.19999999999999</v>
      </c>
      <c r="F56">
        <v>10.53</v>
      </c>
      <c r="G56">
        <v>10.95</v>
      </c>
      <c r="K56">
        <v>3.5830000000000002</v>
      </c>
      <c r="L56">
        <v>0</v>
      </c>
      <c r="M56">
        <v>0</v>
      </c>
      <c r="O56">
        <v>290.3</v>
      </c>
      <c r="P56">
        <v>113.4</v>
      </c>
      <c r="Q56">
        <v>11.45</v>
      </c>
      <c r="S56">
        <v>10.75</v>
      </c>
      <c r="T56">
        <v>0</v>
      </c>
      <c r="U56">
        <v>95.1</v>
      </c>
      <c r="V56">
        <v>894</v>
      </c>
      <c r="W56">
        <v>38.99</v>
      </c>
      <c r="Y56">
        <v>14.32</v>
      </c>
      <c r="AA56">
        <v>356</v>
      </c>
      <c r="AB56">
        <v>54</v>
      </c>
      <c r="AC56">
        <f t="shared" ca="1" si="0"/>
        <v>3.4242000000000008</v>
      </c>
      <c r="AD56">
        <f t="shared" ca="1" si="1"/>
        <v>0</v>
      </c>
    </row>
    <row r="57" spans="1:76" x14ac:dyDescent="0.25">
      <c r="A57">
        <v>2006</v>
      </c>
      <c r="B57">
        <v>304</v>
      </c>
      <c r="C57">
        <v>1400</v>
      </c>
      <c r="D57">
        <v>208.5</v>
      </c>
      <c r="E57">
        <v>122.1</v>
      </c>
      <c r="F57">
        <v>10.45</v>
      </c>
      <c r="G57">
        <v>10.71</v>
      </c>
      <c r="K57">
        <v>3.53</v>
      </c>
      <c r="L57">
        <v>0</v>
      </c>
      <c r="M57">
        <v>0</v>
      </c>
      <c r="O57">
        <v>238</v>
      </c>
      <c r="P57">
        <v>90.3</v>
      </c>
      <c r="Q57">
        <v>11.48</v>
      </c>
      <c r="S57">
        <v>10.74</v>
      </c>
      <c r="T57">
        <v>0</v>
      </c>
      <c r="U57">
        <v>96.9</v>
      </c>
      <c r="V57">
        <v>889</v>
      </c>
      <c r="W57">
        <v>38.630000000000003</v>
      </c>
      <c r="Y57">
        <v>14.14</v>
      </c>
      <c r="AA57">
        <v>357</v>
      </c>
      <c r="AB57">
        <v>55</v>
      </c>
      <c r="AC57">
        <f t="shared" ca="1" si="0"/>
        <v>2.2618799999999997</v>
      </c>
      <c r="AD57">
        <f t="shared" ca="1" si="1"/>
        <v>0</v>
      </c>
    </row>
    <row r="58" spans="1:76" x14ac:dyDescent="0.25">
      <c r="A58">
        <v>2006</v>
      </c>
      <c r="B58">
        <v>304</v>
      </c>
      <c r="C58">
        <v>1500</v>
      </c>
      <c r="D58">
        <v>186</v>
      </c>
      <c r="E58">
        <v>108</v>
      </c>
      <c r="F58">
        <v>9.93</v>
      </c>
      <c r="G58">
        <v>10.16</v>
      </c>
      <c r="K58">
        <v>3.3290000000000002</v>
      </c>
      <c r="L58">
        <v>345.2</v>
      </c>
      <c r="M58">
        <v>0</v>
      </c>
      <c r="O58">
        <v>210.7</v>
      </c>
      <c r="P58">
        <v>96.9</v>
      </c>
      <c r="Q58">
        <v>11.45</v>
      </c>
      <c r="S58">
        <v>10.69</v>
      </c>
      <c r="T58">
        <v>0</v>
      </c>
      <c r="U58">
        <v>97.3</v>
      </c>
      <c r="V58">
        <v>886</v>
      </c>
      <c r="W58">
        <v>38.43</v>
      </c>
      <c r="Y58">
        <v>14.24</v>
      </c>
      <c r="AA58">
        <v>358</v>
      </c>
      <c r="AB58">
        <v>56</v>
      </c>
      <c r="AC58">
        <f t="shared" ca="1" si="0"/>
        <v>4.6011999999999986</v>
      </c>
      <c r="AD58">
        <f t="shared" ca="1" si="1"/>
        <v>0</v>
      </c>
    </row>
    <row r="59" spans="1:76" x14ac:dyDescent="0.25">
      <c r="A59">
        <v>2006</v>
      </c>
      <c r="B59">
        <v>304</v>
      </c>
      <c r="C59">
        <v>1600</v>
      </c>
      <c r="D59">
        <v>59.89</v>
      </c>
      <c r="E59">
        <v>-3.7970000000000002</v>
      </c>
      <c r="F59">
        <v>8.84</v>
      </c>
      <c r="G59">
        <v>9.09</v>
      </c>
      <c r="K59">
        <v>2.5830000000000002</v>
      </c>
      <c r="L59">
        <v>339</v>
      </c>
      <c r="M59">
        <v>0</v>
      </c>
      <c r="O59">
        <v>53.95</v>
      </c>
      <c r="P59">
        <v>23.56</v>
      </c>
      <c r="Q59">
        <v>11.43</v>
      </c>
      <c r="S59">
        <v>10.68</v>
      </c>
      <c r="T59">
        <v>0</v>
      </c>
      <c r="U59">
        <v>96.9</v>
      </c>
      <c r="V59">
        <v>882</v>
      </c>
      <c r="W59">
        <v>38.159999999999997</v>
      </c>
      <c r="Y59">
        <v>13.77</v>
      </c>
      <c r="AA59">
        <v>359</v>
      </c>
      <c r="AB59">
        <v>57</v>
      </c>
      <c r="AC59">
        <f t="shared" ca="1" si="0"/>
        <v>5.8026800000000005</v>
      </c>
      <c r="AD59">
        <f t="shared" ca="1" si="1"/>
        <v>2.2000000000000002</v>
      </c>
    </row>
    <row r="60" spans="1:76" x14ac:dyDescent="0.25">
      <c r="A60">
        <v>2006</v>
      </c>
      <c r="B60">
        <v>304</v>
      </c>
      <c r="C60">
        <v>1700</v>
      </c>
      <c r="D60">
        <v>15.63</v>
      </c>
      <c r="E60">
        <v>-33.96</v>
      </c>
      <c r="F60">
        <v>8.01</v>
      </c>
      <c r="G60">
        <v>8.26</v>
      </c>
      <c r="K60">
        <v>1.881</v>
      </c>
      <c r="L60">
        <v>0</v>
      </c>
      <c r="M60">
        <v>0</v>
      </c>
      <c r="O60">
        <v>9.48</v>
      </c>
      <c r="P60">
        <v>-3.05</v>
      </c>
      <c r="Q60">
        <v>11.37</v>
      </c>
      <c r="S60">
        <v>10.65</v>
      </c>
      <c r="T60">
        <v>0</v>
      </c>
      <c r="U60">
        <v>96.8</v>
      </c>
      <c r="V60">
        <v>880</v>
      </c>
      <c r="W60">
        <v>37.979999999999997</v>
      </c>
      <c r="Y60">
        <v>13.63</v>
      </c>
      <c r="AA60">
        <v>360</v>
      </c>
      <c r="AB60">
        <v>58</v>
      </c>
      <c r="AC60">
        <f t="shared" ca="1" si="0"/>
        <v>6.57104</v>
      </c>
      <c r="AD60">
        <f t="shared" ca="1" si="1"/>
        <v>3.2</v>
      </c>
    </row>
    <row r="61" spans="1:76" x14ac:dyDescent="0.25">
      <c r="A61">
        <v>2006</v>
      </c>
      <c r="B61">
        <v>304</v>
      </c>
      <c r="C61">
        <v>1800</v>
      </c>
      <c r="D61">
        <v>-3.12</v>
      </c>
      <c r="E61">
        <v>-47.51</v>
      </c>
      <c r="F61">
        <v>6.1669999999999998</v>
      </c>
      <c r="G61">
        <v>6.3860000000000001</v>
      </c>
      <c r="K61">
        <v>0.86399999999999999</v>
      </c>
      <c r="L61">
        <v>343.3</v>
      </c>
      <c r="M61">
        <v>0</v>
      </c>
      <c r="O61">
        <v>-11.8</v>
      </c>
      <c r="P61">
        <v>-11.39</v>
      </c>
      <c r="Q61">
        <v>11.32</v>
      </c>
      <c r="S61">
        <v>10.62</v>
      </c>
      <c r="T61">
        <v>0</v>
      </c>
      <c r="U61">
        <v>97</v>
      </c>
      <c r="V61">
        <v>877</v>
      </c>
      <c r="W61">
        <v>37.770000000000003</v>
      </c>
      <c r="Y61">
        <v>13.51</v>
      </c>
      <c r="AA61">
        <v>361</v>
      </c>
      <c r="AB61">
        <v>59</v>
      </c>
      <c r="AC61">
        <f t="shared" ca="1" si="0"/>
        <v>6.4630400000000012</v>
      </c>
      <c r="AD61">
        <f t="shared" ca="1" si="1"/>
        <v>12.2</v>
      </c>
    </row>
    <row r="62" spans="1:76" x14ac:dyDescent="0.25">
      <c r="A62">
        <v>2006</v>
      </c>
      <c r="B62">
        <v>304</v>
      </c>
      <c r="C62">
        <v>1900</v>
      </c>
      <c r="D62">
        <v>-2.556</v>
      </c>
      <c r="E62">
        <v>-35.130000000000003</v>
      </c>
      <c r="F62">
        <v>6.1470000000000002</v>
      </c>
      <c r="G62">
        <v>6.56</v>
      </c>
      <c r="K62">
        <v>1.006</v>
      </c>
      <c r="L62">
        <v>333.1</v>
      </c>
      <c r="M62">
        <v>0</v>
      </c>
      <c r="O62">
        <v>-12.18</v>
      </c>
      <c r="P62">
        <v>-11.48</v>
      </c>
      <c r="Q62">
        <v>11.23</v>
      </c>
      <c r="S62">
        <v>10.59</v>
      </c>
      <c r="T62">
        <v>0</v>
      </c>
      <c r="U62">
        <v>94.4</v>
      </c>
      <c r="V62">
        <v>875</v>
      </c>
      <c r="W62">
        <v>37.64</v>
      </c>
      <c r="Y62">
        <v>13.42</v>
      </c>
      <c r="AA62">
        <v>362</v>
      </c>
      <c r="AB62">
        <v>60</v>
      </c>
      <c r="AC62">
        <f t="shared" ca="1" si="0"/>
        <v>9.9832000000000001</v>
      </c>
      <c r="AD62">
        <f t="shared" ca="1" si="1"/>
        <v>3.4000000000000004</v>
      </c>
    </row>
    <row r="63" spans="1:76" x14ac:dyDescent="0.25">
      <c r="A63">
        <v>2006</v>
      </c>
      <c r="B63">
        <v>304</v>
      </c>
      <c r="C63">
        <v>2000</v>
      </c>
      <c r="D63">
        <v>-2.6419999999999999</v>
      </c>
      <c r="E63">
        <v>-40.61</v>
      </c>
      <c r="F63">
        <v>6.1879999999999997</v>
      </c>
      <c r="G63">
        <v>6.5119999999999996</v>
      </c>
      <c r="K63">
        <v>1.4630000000000001</v>
      </c>
      <c r="L63">
        <v>325.3</v>
      </c>
      <c r="M63">
        <v>0</v>
      </c>
      <c r="O63">
        <v>-12.18</v>
      </c>
      <c r="P63">
        <v>-11.48</v>
      </c>
      <c r="Q63">
        <v>11.15</v>
      </c>
      <c r="S63">
        <v>10.59</v>
      </c>
      <c r="T63">
        <v>0</v>
      </c>
      <c r="U63">
        <v>95.5</v>
      </c>
      <c r="V63">
        <v>873</v>
      </c>
      <c r="W63">
        <v>37.520000000000003</v>
      </c>
      <c r="Y63">
        <v>13.34</v>
      </c>
      <c r="AA63">
        <v>363</v>
      </c>
      <c r="AB63">
        <v>61</v>
      </c>
      <c r="AC63">
        <f t="shared" ca="1" si="0"/>
        <v>9.219120000000002</v>
      </c>
      <c r="AD63">
        <f t="shared" ca="1" si="1"/>
        <v>9.2000000000000011</v>
      </c>
    </row>
    <row r="64" spans="1:76" x14ac:dyDescent="0.25">
      <c r="A64">
        <v>2006</v>
      </c>
      <c r="B64">
        <v>304</v>
      </c>
      <c r="C64">
        <v>2100</v>
      </c>
      <c r="D64">
        <v>-3.508</v>
      </c>
      <c r="E64">
        <v>-50.06</v>
      </c>
      <c r="F64">
        <v>5.4930000000000003</v>
      </c>
      <c r="G64">
        <v>5.7560000000000002</v>
      </c>
      <c r="K64">
        <v>1.1259999999999999</v>
      </c>
      <c r="L64">
        <v>308.89999999999998</v>
      </c>
      <c r="M64">
        <v>0</v>
      </c>
      <c r="O64">
        <v>-12.18</v>
      </c>
      <c r="P64">
        <v>-11.48</v>
      </c>
      <c r="Q64">
        <v>11.03</v>
      </c>
      <c r="S64">
        <v>10.52</v>
      </c>
      <c r="T64">
        <v>0</v>
      </c>
      <c r="U64">
        <v>96.3</v>
      </c>
      <c r="V64">
        <v>870</v>
      </c>
      <c r="W64">
        <v>37.36</v>
      </c>
      <c r="Y64">
        <v>13.26</v>
      </c>
      <c r="AA64">
        <v>364</v>
      </c>
      <c r="AB64">
        <v>62</v>
      </c>
      <c r="AC64">
        <f t="shared" ca="1" si="0"/>
        <v>5.59856</v>
      </c>
      <c r="AD64">
        <f t="shared" ca="1" si="1"/>
        <v>4</v>
      </c>
    </row>
    <row r="65" spans="1:30" x14ac:dyDescent="0.25">
      <c r="A65">
        <v>2006</v>
      </c>
      <c r="B65">
        <v>304</v>
      </c>
      <c r="C65">
        <v>2200</v>
      </c>
      <c r="D65">
        <v>-3.4350000000000001</v>
      </c>
      <c r="E65">
        <v>-50.15</v>
      </c>
      <c r="F65">
        <v>3.6339999999999999</v>
      </c>
      <c r="G65">
        <v>3.5779999999999998</v>
      </c>
      <c r="K65">
        <v>1.1220000000000001</v>
      </c>
      <c r="L65">
        <v>294.7</v>
      </c>
      <c r="M65">
        <v>0</v>
      </c>
      <c r="O65">
        <v>-12.18</v>
      </c>
      <c r="P65">
        <v>-11.49</v>
      </c>
      <c r="Q65">
        <v>10.9</v>
      </c>
      <c r="S65">
        <v>10.43</v>
      </c>
      <c r="T65">
        <v>0</v>
      </c>
      <c r="U65">
        <v>101</v>
      </c>
      <c r="V65">
        <v>869</v>
      </c>
      <c r="W65">
        <v>37.29</v>
      </c>
      <c r="Y65">
        <v>13.19</v>
      </c>
      <c r="AA65">
        <v>365</v>
      </c>
      <c r="AB65">
        <v>63</v>
      </c>
      <c r="AC65">
        <f t="shared" ca="1" si="0"/>
        <v>6.3975599999999995</v>
      </c>
      <c r="AD65">
        <f t="shared" ca="1" si="1"/>
        <v>19.599999999999994</v>
      </c>
    </row>
    <row r="66" spans="1:30" x14ac:dyDescent="0.25">
      <c r="A66">
        <v>2006</v>
      </c>
      <c r="B66">
        <v>304</v>
      </c>
      <c r="C66">
        <v>2300</v>
      </c>
      <c r="D66">
        <v>-3.4990000000000001</v>
      </c>
      <c r="E66">
        <v>-51.79</v>
      </c>
      <c r="F66">
        <v>5.0330000000000004</v>
      </c>
      <c r="G66">
        <v>5.492</v>
      </c>
      <c r="K66">
        <v>1.9339999999999999</v>
      </c>
      <c r="L66">
        <v>325.8</v>
      </c>
      <c r="M66">
        <v>0</v>
      </c>
      <c r="O66">
        <v>-12.18</v>
      </c>
      <c r="P66">
        <v>-11.49</v>
      </c>
      <c r="Q66">
        <v>10.82</v>
      </c>
      <c r="S66">
        <v>10.4</v>
      </c>
      <c r="T66">
        <v>0</v>
      </c>
      <c r="U66">
        <v>93.5</v>
      </c>
      <c r="V66">
        <v>867</v>
      </c>
      <c r="W66">
        <v>37.15</v>
      </c>
      <c r="Y66">
        <v>13.12</v>
      </c>
      <c r="AA66">
        <v>1</v>
      </c>
      <c r="AB66">
        <v>64</v>
      </c>
      <c r="AC66">
        <f t="shared" ca="1" si="0"/>
        <v>4.2017500000000005</v>
      </c>
      <c r="AD66">
        <f t="shared" ca="1" si="1"/>
        <v>5.8000000000000007</v>
      </c>
    </row>
    <row r="67" spans="1:30" x14ac:dyDescent="0.25">
      <c r="A67">
        <v>2006</v>
      </c>
      <c r="B67">
        <v>304</v>
      </c>
      <c r="C67">
        <v>2400</v>
      </c>
      <c r="D67">
        <v>-3.7759999999999998</v>
      </c>
      <c r="E67">
        <v>-52.49</v>
      </c>
      <c r="F67">
        <v>4.6139999999999999</v>
      </c>
      <c r="G67">
        <v>5.0049999999999999</v>
      </c>
      <c r="K67">
        <v>0.66900000000000004</v>
      </c>
      <c r="L67">
        <v>96.4</v>
      </c>
      <c r="M67">
        <v>0</v>
      </c>
      <c r="O67">
        <v>-12.18</v>
      </c>
      <c r="P67">
        <v>-11.49</v>
      </c>
      <c r="Q67">
        <v>10.72</v>
      </c>
      <c r="S67">
        <v>10.39</v>
      </c>
      <c r="T67">
        <v>0</v>
      </c>
      <c r="U67">
        <v>94.4</v>
      </c>
      <c r="V67">
        <v>868</v>
      </c>
      <c r="W67">
        <v>37.229999999999997</v>
      </c>
      <c r="Y67">
        <v>13.06</v>
      </c>
      <c r="AA67">
        <v>2</v>
      </c>
      <c r="AB67">
        <v>65</v>
      </c>
      <c r="AC67">
        <v>7.8096666666666676</v>
      </c>
      <c r="AD67">
        <v>1.7999999999999998</v>
      </c>
    </row>
    <row r="68" spans="1:30" x14ac:dyDescent="0.25">
      <c r="A68">
        <v>2006</v>
      </c>
      <c r="B68">
        <v>304</v>
      </c>
      <c r="C68">
        <v>2400</v>
      </c>
      <c r="D68">
        <v>58.39</v>
      </c>
      <c r="E68">
        <v>14.7</v>
      </c>
      <c r="F68">
        <v>8.43</v>
      </c>
      <c r="G68">
        <v>8.75</v>
      </c>
      <c r="K68">
        <v>3.4660000000000002</v>
      </c>
      <c r="L68">
        <v>317.89999999999998</v>
      </c>
      <c r="M68">
        <v>0.6</v>
      </c>
      <c r="O68">
        <v>60.32</v>
      </c>
      <c r="P68">
        <v>17.940000000000001</v>
      </c>
      <c r="Q68">
        <v>11.45</v>
      </c>
      <c r="S68">
        <v>10.78</v>
      </c>
      <c r="T68">
        <v>0</v>
      </c>
      <c r="U68">
        <v>96</v>
      </c>
      <c r="V68">
        <v>891</v>
      </c>
      <c r="W68">
        <v>38.79</v>
      </c>
      <c r="Y68">
        <v>13.42</v>
      </c>
      <c r="AA68">
        <v>3</v>
      </c>
      <c r="AB68">
        <v>66</v>
      </c>
      <c r="AC68">
        <v>9.4129166666666659</v>
      </c>
      <c r="AD68">
        <v>3.0000000000000009</v>
      </c>
    </row>
    <row r="69" spans="1:30" x14ac:dyDescent="0.25">
      <c r="A69">
        <v>2006</v>
      </c>
      <c r="B69">
        <v>305</v>
      </c>
      <c r="C69">
        <v>100</v>
      </c>
      <c r="D69">
        <v>-3.5350000000000001</v>
      </c>
      <c r="E69">
        <v>-49.39</v>
      </c>
      <c r="F69">
        <v>2.1539999999999999</v>
      </c>
      <c r="G69">
        <v>2.0419999999999998</v>
      </c>
      <c r="K69">
        <v>0.67100000000000004</v>
      </c>
      <c r="L69">
        <v>177.6</v>
      </c>
      <c r="M69">
        <v>0</v>
      </c>
      <c r="O69">
        <v>-12.18</v>
      </c>
      <c r="P69">
        <v>-11.49</v>
      </c>
      <c r="Q69">
        <v>10.58</v>
      </c>
      <c r="S69">
        <v>10.29</v>
      </c>
      <c r="T69">
        <v>0</v>
      </c>
      <c r="U69">
        <v>101.9</v>
      </c>
      <c r="V69">
        <v>867</v>
      </c>
      <c r="W69">
        <v>37.119999999999997</v>
      </c>
      <c r="Y69">
        <v>13</v>
      </c>
      <c r="AA69">
        <v>4</v>
      </c>
      <c r="AB69">
        <v>67</v>
      </c>
      <c r="AC69">
        <v>8.1437499999999989</v>
      </c>
      <c r="AD69">
        <v>1</v>
      </c>
    </row>
    <row r="70" spans="1:30" x14ac:dyDescent="0.25">
      <c r="A70">
        <v>2006</v>
      </c>
      <c r="B70">
        <v>305</v>
      </c>
      <c r="C70">
        <v>200</v>
      </c>
      <c r="D70">
        <v>-3.1659999999999999</v>
      </c>
      <c r="E70">
        <v>-48.41</v>
      </c>
      <c r="F70">
        <v>1.986</v>
      </c>
      <c r="G70">
        <v>2.1389999999999998</v>
      </c>
      <c r="K70">
        <v>0.78100000000000003</v>
      </c>
      <c r="L70">
        <v>231.6</v>
      </c>
      <c r="M70">
        <v>0</v>
      </c>
      <c r="O70">
        <v>-12.18</v>
      </c>
      <c r="P70">
        <v>-11.49</v>
      </c>
      <c r="Q70">
        <v>10.45</v>
      </c>
      <c r="S70">
        <v>10.220000000000001</v>
      </c>
      <c r="T70">
        <v>0</v>
      </c>
      <c r="U70">
        <v>97.6</v>
      </c>
      <c r="V70">
        <v>866</v>
      </c>
      <c r="W70">
        <v>37.090000000000003</v>
      </c>
      <c r="Y70">
        <v>12.96</v>
      </c>
      <c r="AA70">
        <v>5</v>
      </c>
      <c r="AB70">
        <v>68</v>
      </c>
      <c r="AC70">
        <v>6.3154583333333356</v>
      </c>
      <c r="AD70">
        <v>0.2</v>
      </c>
    </row>
    <row r="71" spans="1:30" x14ac:dyDescent="0.25">
      <c r="A71">
        <v>2006</v>
      </c>
      <c r="B71">
        <v>305</v>
      </c>
      <c r="C71">
        <v>300</v>
      </c>
      <c r="D71">
        <v>-3.169</v>
      </c>
      <c r="E71">
        <v>-44.82</v>
      </c>
      <c r="F71">
        <v>1.0629999999999999</v>
      </c>
      <c r="G71">
        <v>1.153</v>
      </c>
      <c r="K71">
        <v>0.64300000000000002</v>
      </c>
      <c r="L71">
        <v>188.7</v>
      </c>
      <c r="M71">
        <v>0</v>
      </c>
      <c r="O71">
        <v>-12.18</v>
      </c>
      <c r="P71">
        <v>-11.49</v>
      </c>
      <c r="Q71">
        <v>10.33</v>
      </c>
      <c r="S71">
        <v>10.14</v>
      </c>
      <c r="T71">
        <v>0</v>
      </c>
      <c r="U71">
        <v>98.5</v>
      </c>
      <c r="V71">
        <v>865</v>
      </c>
      <c r="W71">
        <v>37.020000000000003</v>
      </c>
      <c r="Y71">
        <v>12.92</v>
      </c>
    </row>
    <row r="72" spans="1:30" x14ac:dyDescent="0.25">
      <c r="A72">
        <v>2006</v>
      </c>
      <c r="B72">
        <v>305</v>
      </c>
      <c r="C72">
        <v>400</v>
      </c>
      <c r="D72">
        <v>-2.93</v>
      </c>
      <c r="E72">
        <v>-33.619999999999997</v>
      </c>
      <c r="F72">
        <v>0.40100000000000002</v>
      </c>
      <c r="G72">
        <v>0.39400000000000002</v>
      </c>
      <c r="K72">
        <v>0.68</v>
      </c>
      <c r="L72">
        <v>28.79</v>
      </c>
      <c r="M72">
        <v>0</v>
      </c>
      <c r="O72">
        <v>-12.19</v>
      </c>
      <c r="P72">
        <v>-11.45</v>
      </c>
      <c r="Q72">
        <v>10.210000000000001</v>
      </c>
      <c r="S72">
        <v>10.08</v>
      </c>
      <c r="T72">
        <v>0</v>
      </c>
      <c r="U72">
        <v>100.2</v>
      </c>
      <c r="V72">
        <v>865</v>
      </c>
      <c r="W72">
        <v>36.99</v>
      </c>
      <c r="Y72">
        <v>12.89</v>
      </c>
    </row>
    <row r="73" spans="1:30" x14ac:dyDescent="0.25">
      <c r="A73">
        <v>2006</v>
      </c>
      <c r="B73">
        <v>305</v>
      </c>
      <c r="C73">
        <v>500</v>
      </c>
      <c r="D73">
        <v>-2.8679999999999999</v>
      </c>
      <c r="E73">
        <v>-25.31</v>
      </c>
      <c r="F73">
        <v>1.462</v>
      </c>
      <c r="G73">
        <v>1.579</v>
      </c>
      <c r="K73">
        <v>0.63600000000000001</v>
      </c>
      <c r="L73">
        <v>243.3</v>
      </c>
      <c r="M73">
        <v>0</v>
      </c>
      <c r="O73">
        <v>-12.14</v>
      </c>
      <c r="P73">
        <v>-11.41</v>
      </c>
      <c r="Q73">
        <v>10.08</v>
      </c>
      <c r="S73">
        <v>9.99</v>
      </c>
      <c r="T73">
        <v>0</v>
      </c>
      <c r="U73">
        <v>98</v>
      </c>
      <c r="V73">
        <v>863</v>
      </c>
      <c r="W73">
        <v>36.869999999999997</v>
      </c>
      <c r="Y73">
        <v>12.87</v>
      </c>
    </row>
    <row r="74" spans="1:30" x14ac:dyDescent="0.25">
      <c r="A74">
        <v>2006</v>
      </c>
      <c r="B74">
        <v>305</v>
      </c>
      <c r="C74">
        <v>600</v>
      </c>
      <c r="D74">
        <v>-2.819</v>
      </c>
      <c r="E74">
        <v>-23.95</v>
      </c>
      <c r="F74">
        <v>0.45</v>
      </c>
      <c r="G74">
        <v>0.61399999999999999</v>
      </c>
      <c r="K74">
        <v>0.29199999999999998</v>
      </c>
      <c r="L74">
        <v>167.9</v>
      </c>
      <c r="M74">
        <v>0</v>
      </c>
      <c r="O74">
        <v>-12.14</v>
      </c>
      <c r="P74">
        <v>-11.37</v>
      </c>
      <c r="Q74">
        <v>9.9499999999999993</v>
      </c>
      <c r="S74">
        <v>9.92</v>
      </c>
      <c r="T74">
        <v>0</v>
      </c>
      <c r="U74">
        <v>97.1</v>
      </c>
      <c r="V74">
        <v>863</v>
      </c>
      <c r="W74">
        <v>36.869999999999997</v>
      </c>
      <c r="Y74">
        <v>12.86</v>
      </c>
    </row>
    <row r="75" spans="1:30" x14ac:dyDescent="0.25">
      <c r="A75">
        <v>2006</v>
      </c>
      <c r="B75">
        <v>305</v>
      </c>
      <c r="C75">
        <v>700</v>
      </c>
      <c r="D75">
        <v>-2.7490000000000001</v>
      </c>
      <c r="E75">
        <v>-23.32</v>
      </c>
      <c r="F75">
        <v>-9.2999999999999999E-2</v>
      </c>
      <c r="G75">
        <v>7.8E-2</v>
      </c>
      <c r="K75">
        <v>0.48199999999999998</v>
      </c>
      <c r="L75">
        <v>286.5</v>
      </c>
      <c r="M75">
        <v>0</v>
      </c>
      <c r="O75">
        <v>-11.97</v>
      </c>
      <c r="P75">
        <v>-11.26</v>
      </c>
      <c r="Q75">
        <v>9.84</v>
      </c>
      <c r="S75">
        <v>9.8699999999999992</v>
      </c>
      <c r="T75">
        <v>0</v>
      </c>
      <c r="U75">
        <v>97</v>
      </c>
      <c r="V75">
        <v>862</v>
      </c>
      <c r="W75">
        <v>36.81</v>
      </c>
      <c r="Y75">
        <v>12.85</v>
      </c>
    </row>
    <row r="76" spans="1:30" x14ac:dyDescent="0.25">
      <c r="A76">
        <v>2006</v>
      </c>
      <c r="B76">
        <v>305</v>
      </c>
      <c r="C76">
        <v>800</v>
      </c>
      <c r="D76">
        <v>6.0979999999999999</v>
      </c>
      <c r="E76">
        <v>-15.85</v>
      </c>
      <c r="F76">
        <v>0.46500000000000002</v>
      </c>
      <c r="G76">
        <v>0.66800000000000004</v>
      </c>
      <c r="K76">
        <v>0.56699999999999995</v>
      </c>
      <c r="L76">
        <v>300.5</v>
      </c>
      <c r="M76">
        <v>0</v>
      </c>
      <c r="O76">
        <v>-1.478</v>
      </c>
      <c r="P76">
        <v>-7.29</v>
      </c>
      <c r="Q76">
        <v>9.7200000000000006</v>
      </c>
      <c r="S76">
        <v>9.8000000000000007</v>
      </c>
      <c r="T76">
        <v>0</v>
      </c>
      <c r="U76">
        <v>96.5</v>
      </c>
      <c r="V76">
        <v>862</v>
      </c>
      <c r="W76">
        <v>36.79</v>
      </c>
      <c r="Y76">
        <v>12.84</v>
      </c>
    </row>
    <row r="77" spans="1:30" x14ac:dyDescent="0.25">
      <c r="A77">
        <v>2006</v>
      </c>
      <c r="B77">
        <v>305</v>
      </c>
      <c r="C77">
        <v>900</v>
      </c>
      <c r="D77">
        <v>86.4</v>
      </c>
      <c r="E77">
        <v>16.79</v>
      </c>
      <c r="F77">
        <v>1.147</v>
      </c>
      <c r="G77">
        <v>1.4119999999999999</v>
      </c>
      <c r="H77">
        <f>AVERAGE(G77:G101)</f>
        <v>3.778760000000001</v>
      </c>
      <c r="I77">
        <f>MIN(G77:G101)</f>
        <v>0.47</v>
      </c>
      <c r="J77">
        <f>MAX(G77:G101)</f>
        <v>9.43</v>
      </c>
      <c r="K77">
        <v>0.16</v>
      </c>
      <c r="L77">
        <v>260.7</v>
      </c>
      <c r="M77">
        <v>0</v>
      </c>
      <c r="N77">
        <f>SUM(M77:M101)</f>
        <v>0</v>
      </c>
      <c r="O77">
        <v>86.5</v>
      </c>
      <c r="P77">
        <v>36.479999999999997</v>
      </c>
      <c r="Q77">
        <v>9.6</v>
      </c>
      <c r="R77">
        <f>AVERAGE(Q77:Q101)</f>
        <v>9.2924000000000007</v>
      </c>
      <c r="S77">
        <v>9.6999999999999993</v>
      </c>
      <c r="T77">
        <v>0</v>
      </c>
      <c r="U77">
        <v>95.5</v>
      </c>
      <c r="V77">
        <v>860</v>
      </c>
      <c r="W77">
        <v>36.67</v>
      </c>
      <c r="X77">
        <f>AVERAGE(W77:W101)</f>
        <v>36.262799999999999</v>
      </c>
      <c r="Y77">
        <v>13.49</v>
      </c>
    </row>
    <row r="78" spans="1:30" x14ac:dyDescent="0.25">
      <c r="A78">
        <v>2006</v>
      </c>
      <c r="B78">
        <v>305</v>
      </c>
      <c r="C78">
        <v>1000</v>
      </c>
      <c r="D78">
        <v>178.7</v>
      </c>
      <c r="E78">
        <v>162.5</v>
      </c>
      <c r="F78">
        <v>5.0940000000000003</v>
      </c>
      <c r="G78">
        <v>5.5709999999999997</v>
      </c>
      <c r="K78">
        <v>1.454</v>
      </c>
      <c r="L78">
        <v>309</v>
      </c>
      <c r="M78">
        <v>0</v>
      </c>
      <c r="O78">
        <v>239.2</v>
      </c>
      <c r="P78">
        <v>105.2</v>
      </c>
      <c r="Q78">
        <v>9.5399999999999991</v>
      </c>
      <c r="S78">
        <v>9.7200000000000006</v>
      </c>
      <c r="T78">
        <v>0</v>
      </c>
      <c r="U78">
        <v>93.3</v>
      </c>
      <c r="V78">
        <v>859</v>
      </c>
      <c r="W78">
        <v>36.630000000000003</v>
      </c>
      <c r="Y78">
        <v>14.59</v>
      </c>
    </row>
    <row r="79" spans="1:30" x14ac:dyDescent="0.25">
      <c r="A79">
        <v>2006</v>
      </c>
      <c r="B79">
        <v>305</v>
      </c>
      <c r="C79">
        <v>1100</v>
      </c>
      <c r="D79">
        <v>277.3</v>
      </c>
      <c r="E79">
        <v>209.6</v>
      </c>
      <c r="F79">
        <v>6.5419999999999998</v>
      </c>
      <c r="G79">
        <v>7.42</v>
      </c>
      <c r="K79">
        <v>1.93</v>
      </c>
      <c r="L79">
        <v>312.10000000000002</v>
      </c>
      <c r="M79">
        <v>0</v>
      </c>
      <c r="O79">
        <v>344.9</v>
      </c>
      <c r="P79">
        <v>137.80000000000001</v>
      </c>
      <c r="Q79">
        <v>9.4600000000000009</v>
      </c>
      <c r="S79">
        <v>9.6999999999999993</v>
      </c>
      <c r="T79">
        <v>0</v>
      </c>
      <c r="U79">
        <v>88.4</v>
      </c>
      <c r="V79">
        <v>859</v>
      </c>
      <c r="W79">
        <v>36.64</v>
      </c>
      <c r="Y79">
        <v>14.83</v>
      </c>
    </row>
    <row r="80" spans="1:30" x14ac:dyDescent="0.25">
      <c r="A80">
        <v>2006</v>
      </c>
      <c r="B80">
        <v>305</v>
      </c>
      <c r="C80">
        <v>1200</v>
      </c>
      <c r="D80">
        <v>329.6</v>
      </c>
      <c r="E80">
        <v>232.4</v>
      </c>
      <c r="F80">
        <v>7.76</v>
      </c>
      <c r="G80">
        <v>8.5</v>
      </c>
      <c r="K80">
        <v>1.9710000000000001</v>
      </c>
      <c r="L80">
        <v>345</v>
      </c>
      <c r="M80">
        <v>0</v>
      </c>
      <c r="O80">
        <v>397.1</v>
      </c>
      <c r="P80">
        <v>156.9</v>
      </c>
      <c r="Q80">
        <v>9.35</v>
      </c>
      <c r="S80">
        <v>9.59</v>
      </c>
      <c r="T80">
        <v>0</v>
      </c>
      <c r="U80">
        <v>90.5</v>
      </c>
      <c r="V80">
        <v>858</v>
      </c>
      <c r="W80">
        <v>36.590000000000003</v>
      </c>
      <c r="Y80">
        <v>14.39</v>
      </c>
    </row>
    <row r="81" spans="1:25" x14ac:dyDescent="0.25">
      <c r="A81">
        <v>2006</v>
      </c>
      <c r="B81">
        <v>305</v>
      </c>
      <c r="C81">
        <v>1300</v>
      </c>
      <c r="D81">
        <v>339.4</v>
      </c>
      <c r="E81">
        <v>236.3</v>
      </c>
      <c r="F81">
        <v>8.7799999999999994</v>
      </c>
      <c r="G81">
        <v>9.2100000000000009</v>
      </c>
      <c r="K81">
        <v>1.984</v>
      </c>
      <c r="L81">
        <v>0</v>
      </c>
      <c r="M81">
        <v>0</v>
      </c>
      <c r="O81">
        <v>401.7</v>
      </c>
      <c r="P81">
        <v>165.8</v>
      </c>
      <c r="Q81">
        <v>9.4</v>
      </c>
      <c r="S81">
        <v>9.56</v>
      </c>
      <c r="T81">
        <v>0</v>
      </c>
      <c r="U81">
        <v>94.6</v>
      </c>
      <c r="V81">
        <v>857</v>
      </c>
      <c r="W81">
        <v>36.520000000000003</v>
      </c>
      <c r="Y81">
        <v>14.54</v>
      </c>
    </row>
    <row r="82" spans="1:25" x14ac:dyDescent="0.25">
      <c r="A82">
        <v>2006</v>
      </c>
      <c r="B82">
        <v>305</v>
      </c>
      <c r="C82">
        <v>1400</v>
      </c>
      <c r="D82">
        <v>270.3</v>
      </c>
      <c r="E82">
        <v>176.2</v>
      </c>
      <c r="F82">
        <v>9.2200000000000006</v>
      </c>
      <c r="G82">
        <v>9.43</v>
      </c>
      <c r="K82">
        <v>1.9350000000000001</v>
      </c>
      <c r="L82">
        <v>0</v>
      </c>
      <c r="M82">
        <v>0</v>
      </c>
      <c r="O82">
        <v>311.5</v>
      </c>
      <c r="P82">
        <v>138.30000000000001</v>
      </c>
      <c r="Q82">
        <v>9.43</v>
      </c>
      <c r="S82">
        <v>9.4600000000000009</v>
      </c>
      <c r="T82">
        <v>0</v>
      </c>
      <c r="U82">
        <v>97.3</v>
      </c>
      <c r="V82">
        <v>857</v>
      </c>
      <c r="W82">
        <v>36.49</v>
      </c>
      <c r="Y82">
        <v>14.37</v>
      </c>
    </row>
    <row r="83" spans="1:25" x14ac:dyDescent="0.25">
      <c r="A83">
        <v>2006</v>
      </c>
      <c r="B83">
        <v>305</v>
      </c>
      <c r="C83">
        <v>1500</v>
      </c>
      <c r="D83">
        <v>167.3</v>
      </c>
      <c r="E83">
        <v>90</v>
      </c>
      <c r="F83">
        <v>8.92</v>
      </c>
      <c r="G83">
        <v>9.16</v>
      </c>
      <c r="K83">
        <v>1.883</v>
      </c>
      <c r="L83">
        <v>319.39999999999998</v>
      </c>
      <c r="M83">
        <v>0</v>
      </c>
      <c r="O83">
        <v>188.1</v>
      </c>
      <c r="P83">
        <v>87.2</v>
      </c>
      <c r="Q83">
        <v>9.5500000000000007</v>
      </c>
      <c r="S83">
        <v>9.44</v>
      </c>
      <c r="T83">
        <v>0</v>
      </c>
      <c r="U83">
        <v>97</v>
      </c>
      <c r="V83">
        <v>856</v>
      </c>
      <c r="W83">
        <v>36.450000000000003</v>
      </c>
      <c r="Y83">
        <v>14.16</v>
      </c>
    </row>
    <row r="84" spans="1:25" x14ac:dyDescent="0.25">
      <c r="A84">
        <v>2006</v>
      </c>
      <c r="B84">
        <v>305</v>
      </c>
      <c r="C84">
        <v>1600</v>
      </c>
      <c r="D84">
        <v>126</v>
      </c>
      <c r="E84">
        <v>54</v>
      </c>
      <c r="F84">
        <v>8.2899999999999991</v>
      </c>
      <c r="G84">
        <v>8.24</v>
      </c>
      <c r="K84">
        <v>1.444</v>
      </c>
      <c r="L84">
        <v>315.60000000000002</v>
      </c>
      <c r="M84">
        <v>0</v>
      </c>
      <c r="O84">
        <v>130</v>
      </c>
      <c r="P84">
        <v>105.9</v>
      </c>
      <c r="Q84">
        <v>9.61</v>
      </c>
      <c r="S84">
        <v>9.3800000000000008</v>
      </c>
      <c r="T84">
        <v>0</v>
      </c>
      <c r="U84">
        <v>100.7</v>
      </c>
      <c r="V84">
        <v>855</v>
      </c>
      <c r="W84">
        <v>36.4</v>
      </c>
      <c r="Y84">
        <v>14.03</v>
      </c>
    </row>
    <row r="85" spans="1:25" x14ac:dyDescent="0.25">
      <c r="A85">
        <v>2006</v>
      </c>
      <c r="B85">
        <v>305</v>
      </c>
      <c r="C85">
        <v>1700</v>
      </c>
      <c r="D85">
        <v>17.010000000000002</v>
      </c>
      <c r="E85">
        <v>-32.18</v>
      </c>
      <c r="F85">
        <v>5.8609999999999998</v>
      </c>
      <c r="G85">
        <v>5.3769999999999998</v>
      </c>
      <c r="K85">
        <v>0.436</v>
      </c>
      <c r="L85">
        <v>230</v>
      </c>
      <c r="M85">
        <v>0</v>
      </c>
      <c r="O85">
        <v>10.89</v>
      </c>
      <c r="P85">
        <v>9.92</v>
      </c>
      <c r="Q85">
        <v>9.67</v>
      </c>
      <c r="S85">
        <v>9.36</v>
      </c>
      <c r="T85">
        <v>0</v>
      </c>
      <c r="U85">
        <v>107.2</v>
      </c>
      <c r="V85">
        <v>854</v>
      </c>
      <c r="W85">
        <v>36.33</v>
      </c>
      <c r="Y85">
        <v>13.73</v>
      </c>
    </row>
    <row r="86" spans="1:25" x14ac:dyDescent="0.25">
      <c r="A86">
        <v>2006</v>
      </c>
      <c r="B86">
        <v>305</v>
      </c>
      <c r="C86">
        <v>1800</v>
      </c>
      <c r="D86">
        <v>-3.0880000000000001</v>
      </c>
      <c r="E86">
        <v>-31.33</v>
      </c>
      <c r="F86">
        <v>2.6230000000000002</v>
      </c>
      <c r="G86">
        <v>2.2890000000000001</v>
      </c>
      <c r="K86">
        <v>0.247</v>
      </c>
      <c r="L86">
        <v>207.7</v>
      </c>
      <c r="M86">
        <v>0</v>
      </c>
      <c r="O86">
        <v>-11.89</v>
      </c>
      <c r="P86">
        <v>-11.4</v>
      </c>
      <c r="Q86">
        <v>9.65</v>
      </c>
      <c r="S86">
        <v>9.3000000000000007</v>
      </c>
      <c r="T86">
        <v>0</v>
      </c>
      <c r="U86">
        <v>105.5</v>
      </c>
      <c r="V86">
        <v>853</v>
      </c>
      <c r="W86">
        <v>36.25</v>
      </c>
      <c r="Y86">
        <v>13.57</v>
      </c>
    </row>
    <row r="87" spans="1:25" x14ac:dyDescent="0.25">
      <c r="A87">
        <v>2006</v>
      </c>
      <c r="B87">
        <v>305</v>
      </c>
      <c r="C87">
        <v>1900</v>
      </c>
      <c r="D87">
        <v>-2.399</v>
      </c>
      <c r="E87">
        <v>-24.38</v>
      </c>
      <c r="F87">
        <v>1.756</v>
      </c>
      <c r="G87">
        <v>1.681</v>
      </c>
      <c r="K87">
        <v>0.11700000000000001</v>
      </c>
      <c r="L87">
        <v>166.1</v>
      </c>
      <c r="M87">
        <v>0</v>
      </c>
      <c r="O87">
        <v>-12.18</v>
      </c>
      <c r="P87">
        <v>-11.48</v>
      </c>
      <c r="Q87">
        <v>9.6</v>
      </c>
      <c r="S87">
        <v>9.2899999999999991</v>
      </c>
      <c r="T87">
        <v>0</v>
      </c>
      <c r="U87">
        <v>101.3</v>
      </c>
      <c r="V87">
        <v>853</v>
      </c>
      <c r="W87">
        <v>36.229999999999997</v>
      </c>
      <c r="Y87">
        <v>13.48</v>
      </c>
    </row>
    <row r="88" spans="1:25" x14ac:dyDescent="0.25">
      <c r="A88">
        <v>2006</v>
      </c>
      <c r="B88">
        <v>305</v>
      </c>
      <c r="C88">
        <v>2000</v>
      </c>
      <c r="D88">
        <v>-0.68600000000000005</v>
      </c>
      <c r="E88">
        <v>-10.54</v>
      </c>
      <c r="F88">
        <v>2.3610000000000002</v>
      </c>
      <c r="G88">
        <v>2.355</v>
      </c>
      <c r="K88">
        <v>0.17399999999999999</v>
      </c>
      <c r="L88">
        <v>164.4</v>
      </c>
      <c r="M88">
        <v>0</v>
      </c>
      <c r="O88">
        <v>-12.18</v>
      </c>
      <c r="P88">
        <v>-11.49</v>
      </c>
      <c r="Q88">
        <v>9.5399999999999991</v>
      </c>
      <c r="S88">
        <v>9.32</v>
      </c>
      <c r="T88">
        <v>0</v>
      </c>
      <c r="U88">
        <v>100.1</v>
      </c>
      <c r="V88">
        <v>852</v>
      </c>
      <c r="W88">
        <v>36.21</v>
      </c>
      <c r="Y88">
        <v>13.39</v>
      </c>
    </row>
    <row r="89" spans="1:25" x14ac:dyDescent="0.25">
      <c r="A89">
        <v>2006</v>
      </c>
      <c r="B89">
        <v>305</v>
      </c>
      <c r="C89">
        <v>2100</v>
      </c>
      <c r="D89">
        <v>-0.59899999999999998</v>
      </c>
      <c r="E89">
        <v>-11.81</v>
      </c>
      <c r="F89">
        <v>3.8050000000000002</v>
      </c>
      <c r="G89">
        <v>3.867</v>
      </c>
      <c r="K89">
        <v>0.111</v>
      </c>
      <c r="L89">
        <v>203.4</v>
      </c>
      <c r="M89">
        <v>0</v>
      </c>
      <c r="O89">
        <v>-12.18</v>
      </c>
      <c r="P89">
        <v>-11.48</v>
      </c>
      <c r="Q89">
        <v>9.4700000000000006</v>
      </c>
      <c r="S89">
        <v>9.33</v>
      </c>
      <c r="T89">
        <v>0</v>
      </c>
      <c r="U89">
        <v>99.1</v>
      </c>
      <c r="V89">
        <v>852</v>
      </c>
      <c r="W89">
        <v>36.18</v>
      </c>
      <c r="Y89">
        <v>13.32</v>
      </c>
    </row>
    <row r="90" spans="1:25" x14ac:dyDescent="0.25">
      <c r="A90">
        <v>2006</v>
      </c>
      <c r="B90">
        <v>305</v>
      </c>
      <c r="C90">
        <v>2200</v>
      </c>
      <c r="D90">
        <v>-2.8340000000000001</v>
      </c>
      <c r="E90">
        <v>-25.95</v>
      </c>
      <c r="F90">
        <v>2.544</v>
      </c>
      <c r="G90">
        <v>2.5299999999999998</v>
      </c>
      <c r="K90">
        <v>0.36899999999999999</v>
      </c>
      <c r="L90">
        <v>278.7</v>
      </c>
      <c r="M90">
        <v>0</v>
      </c>
      <c r="O90">
        <v>-12.18</v>
      </c>
      <c r="P90">
        <v>-11.48</v>
      </c>
      <c r="Q90">
        <v>9.3699999999999992</v>
      </c>
      <c r="S90">
        <v>9.24</v>
      </c>
      <c r="T90">
        <v>0</v>
      </c>
      <c r="U90">
        <v>100.2</v>
      </c>
      <c r="V90">
        <v>851</v>
      </c>
      <c r="W90">
        <v>36.14</v>
      </c>
      <c r="Y90">
        <v>13.24</v>
      </c>
    </row>
    <row r="91" spans="1:25" x14ac:dyDescent="0.25">
      <c r="A91">
        <v>2006</v>
      </c>
      <c r="B91">
        <v>305</v>
      </c>
      <c r="C91">
        <v>2300</v>
      </c>
      <c r="D91">
        <v>-2.476</v>
      </c>
      <c r="E91">
        <v>-24.08</v>
      </c>
      <c r="F91">
        <v>1.673</v>
      </c>
      <c r="G91">
        <v>1.7849999999999999</v>
      </c>
      <c r="K91">
        <v>0.433</v>
      </c>
      <c r="L91">
        <v>213.7</v>
      </c>
      <c r="M91">
        <v>0</v>
      </c>
      <c r="O91">
        <v>-12.14</v>
      </c>
      <c r="P91">
        <v>-11.44</v>
      </c>
      <c r="Q91">
        <v>9.2799999999999994</v>
      </c>
      <c r="S91">
        <v>9.17</v>
      </c>
      <c r="T91">
        <v>0</v>
      </c>
      <c r="U91">
        <v>98.2</v>
      </c>
      <c r="V91">
        <v>851</v>
      </c>
      <c r="W91">
        <v>36.130000000000003</v>
      </c>
      <c r="Y91">
        <v>13.17</v>
      </c>
    </row>
    <row r="92" spans="1:25" x14ac:dyDescent="0.25">
      <c r="A92">
        <v>2006</v>
      </c>
      <c r="B92">
        <v>305</v>
      </c>
      <c r="C92">
        <v>2400</v>
      </c>
      <c r="D92">
        <v>-2.44</v>
      </c>
      <c r="E92">
        <v>-23.92</v>
      </c>
      <c r="F92">
        <v>2.0190000000000001</v>
      </c>
      <c r="G92">
        <v>2.0840000000000001</v>
      </c>
      <c r="K92">
        <v>0.23200000000000001</v>
      </c>
      <c r="L92">
        <v>285.89999999999998</v>
      </c>
      <c r="M92">
        <v>0</v>
      </c>
      <c r="O92">
        <v>-12.12</v>
      </c>
      <c r="P92">
        <v>-11.36</v>
      </c>
      <c r="Q92">
        <v>9.2200000000000006</v>
      </c>
      <c r="S92">
        <v>9.16</v>
      </c>
      <c r="T92">
        <v>0</v>
      </c>
      <c r="U92">
        <v>98.9</v>
      </c>
      <c r="V92">
        <v>851</v>
      </c>
      <c r="W92">
        <v>36.14</v>
      </c>
      <c r="Y92">
        <v>13.1</v>
      </c>
    </row>
    <row r="93" spans="1:25" x14ac:dyDescent="0.25">
      <c r="A93">
        <v>2006</v>
      </c>
      <c r="B93">
        <v>305</v>
      </c>
      <c r="C93">
        <v>2400</v>
      </c>
      <c r="D93">
        <v>73.400000000000006</v>
      </c>
      <c r="E93">
        <v>30.38</v>
      </c>
      <c r="F93">
        <v>3.5950000000000002</v>
      </c>
      <c r="G93">
        <v>3.7330000000000001</v>
      </c>
      <c r="K93">
        <v>0.81799999999999995</v>
      </c>
      <c r="L93">
        <v>292.39999999999998</v>
      </c>
      <c r="M93">
        <v>0</v>
      </c>
      <c r="O93">
        <v>80.8</v>
      </c>
      <c r="P93">
        <v>32.340000000000003</v>
      </c>
      <c r="Q93">
        <v>9.6999999999999993</v>
      </c>
      <c r="S93">
        <v>9.6300000000000008</v>
      </c>
      <c r="T93">
        <v>0</v>
      </c>
      <c r="U93">
        <v>98.1</v>
      </c>
      <c r="V93">
        <v>858</v>
      </c>
      <c r="W93">
        <v>36.57</v>
      </c>
      <c r="Y93">
        <v>13.52</v>
      </c>
    </row>
    <row r="94" spans="1:25" x14ac:dyDescent="0.25">
      <c r="A94">
        <v>2006</v>
      </c>
      <c r="B94">
        <v>306</v>
      </c>
      <c r="C94">
        <v>100</v>
      </c>
      <c r="D94">
        <v>-2.4369999999999998</v>
      </c>
      <c r="E94">
        <v>-25.46</v>
      </c>
      <c r="F94">
        <v>0.46</v>
      </c>
      <c r="G94">
        <v>0.64800000000000002</v>
      </c>
      <c r="K94">
        <v>0.25900000000000001</v>
      </c>
      <c r="L94">
        <v>233.2</v>
      </c>
      <c r="M94">
        <v>0</v>
      </c>
      <c r="O94">
        <v>-12.01</v>
      </c>
      <c r="P94">
        <v>-11.25</v>
      </c>
      <c r="Q94">
        <v>9.1300000000000008</v>
      </c>
      <c r="S94">
        <v>9.09</v>
      </c>
      <c r="T94">
        <v>0</v>
      </c>
      <c r="U94">
        <v>96.7</v>
      </c>
      <c r="V94">
        <v>850</v>
      </c>
      <c r="W94">
        <v>36.06</v>
      </c>
      <c r="Y94">
        <v>13.04</v>
      </c>
    </row>
    <row r="95" spans="1:25" x14ac:dyDescent="0.25">
      <c r="A95">
        <v>2006</v>
      </c>
      <c r="B95">
        <v>306</v>
      </c>
      <c r="C95">
        <v>200</v>
      </c>
      <c r="D95">
        <v>-1.21</v>
      </c>
      <c r="E95">
        <v>-12.23</v>
      </c>
      <c r="F95">
        <v>1.415</v>
      </c>
      <c r="G95">
        <v>1.542</v>
      </c>
      <c r="K95">
        <v>0.501</v>
      </c>
      <c r="L95">
        <v>305.3</v>
      </c>
      <c r="M95">
        <v>0</v>
      </c>
      <c r="O95">
        <v>-11.82</v>
      </c>
      <c r="P95">
        <v>-11.16</v>
      </c>
      <c r="Q95">
        <v>9.06</v>
      </c>
      <c r="S95">
        <v>9.1</v>
      </c>
      <c r="T95">
        <v>0</v>
      </c>
      <c r="U95">
        <v>97.9</v>
      </c>
      <c r="V95">
        <v>849</v>
      </c>
      <c r="W95">
        <v>36.04</v>
      </c>
      <c r="Y95">
        <v>12.99</v>
      </c>
    </row>
    <row r="96" spans="1:25" x14ac:dyDescent="0.25">
      <c r="A96">
        <v>2006</v>
      </c>
      <c r="B96">
        <v>306</v>
      </c>
      <c r="C96">
        <v>300</v>
      </c>
      <c r="D96">
        <v>-2.19</v>
      </c>
      <c r="E96">
        <v>-23.81</v>
      </c>
      <c r="F96">
        <v>1.9510000000000001</v>
      </c>
      <c r="G96">
        <v>2.0129999999999999</v>
      </c>
      <c r="K96">
        <v>0.42599999999999999</v>
      </c>
      <c r="L96">
        <v>268.39999999999998</v>
      </c>
      <c r="M96">
        <v>0</v>
      </c>
      <c r="O96">
        <v>-11.91</v>
      </c>
      <c r="P96">
        <v>-11.13</v>
      </c>
      <c r="Q96">
        <v>8.98</v>
      </c>
      <c r="S96">
        <v>9.01</v>
      </c>
      <c r="T96">
        <v>0</v>
      </c>
      <c r="U96">
        <v>99</v>
      </c>
      <c r="V96">
        <v>849</v>
      </c>
      <c r="W96">
        <v>36.04</v>
      </c>
      <c r="Y96">
        <v>12.94</v>
      </c>
    </row>
    <row r="97" spans="1:25" x14ac:dyDescent="0.25">
      <c r="A97">
        <v>2006</v>
      </c>
      <c r="B97">
        <v>306</v>
      </c>
      <c r="C97">
        <v>400</v>
      </c>
      <c r="D97">
        <v>-2.61</v>
      </c>
      <c r="E97">
        <v>-28.48</v>
      </c>
      <c r="F97">
        <v>0.59599999999999997</v>
      </c>
      <c r="G97">
        <v>0.67300000000000004</v>
      </c>
      <c r="K97">
        <v>0.33400000000000002</v>
      </c>
      <c r="L97">
        <v>211.4</v>
      </c>
      <c r="M97">
        <v>0</v>
      </c>
      <c r="O97">
        <v>-11.86</v>
      </c>
      <c r="P97">
        <v>-11.14</v>
      </c>
      <c r="Q97">
        <v>8.89</v>
      </c>
      <c r="S97">
        <v>8.9600000000000009</v>
      </c>
      <c r="T97">
        <v>0</v>
      </c>
      <c r="U97">
        <v>98.7</v>
      </c>
      <c r="V97">
        <v>849</v>
      </c>
      <c r="W97">
        <v>36.03</v>
      </c>
      <c r="Y97">
        <v>12.91</v>
      </c>
    </row>
    <row r="98" spans="1:25" x14ac:dyDescent="0.25">
      <c r="A98">
        <v>2006</v>
      </c>
      <c r="B98">
        <v>306</v>
      </c>
      <c r="C98">
        <v>500</v>
      </c>
      <c r="D98">
        <v>-0.80600000000000005</v>
      </c>
      <c r="E98">
        <v>-10.98</v>
      </c>
      <c r="F98">
        <v>0.58399999999999996</v>
      </c>
      <c r="G98">
        <v>0.81399999999999995</v>
      </c>
      <c r="K98">
        <v>0.20300000000000001</v>
      </c>
      <c r="L98">
        <v>181.4</v>
      </c>
      <c r="M98">
        <v>0</v>
      </c>
      <c r="O98">
        <v>-11.68</v>
      </c>
      <c r="P98">
        <v>-11.02</v>
      </c>
      <c r="Q98">
        <v>8.8000000000000007</v>
      </c>
      <c r="S98">
        <v>8.9</v>
      </c>
      <c r="T98">
        <v>0</v>
      </c>
      <c r="U98">
        <v>96</v>
      </c>
      <c r="V98">
        <v>849</v>
      </c>
      <c r="W98">
        <v>36</v>
      </c>
      <c r="Y98">
        <v>12.88</v>
      </c>
    </row>
    <row r="99" spans="1:25" x14ac:dyDescent="0.25">
      <c r="A99">
        <v>2006</v>
      </c>
      <c r="B99">
        <v>306</v>
      </c>
      <c r="C99">
        <v>600</v>
      </c>
      <c r="D99">
        <v>-0.32300000000000001</v>
      </c>
      <c r="E99">
        <v>-8.15</v>
      </c>
      <c r="F99">
        <v>2.194</v>
      </c>
      <c r="G99">
        <v>2.4089999999999998</v>
      </c>
      <c r="K99">
        <v>0.16</v>
      </c>
      <c r="L99">
        <v>186.8</v>
      </c>
      <c r="M99">
        <v>0</v>
      </c>
      <c r="O99">
        <v>-11.71</v>
      </c>
      <c r="P99">
        <v>-11.03</v>
      </c>
      <c r="Q99">
        <v>8.75</v>
      </c>
      <c r="S99">
        <v>8.9</v>
      </c>
      <c r="T99">
        <v>0</v>
      </c>
      <c r="U99">
        <v>96.5</v>
      </c>
      <c r="V99">
        <v>848</v>
      </c>
      <c r="W99">
        <v>35.97</v>
      </c>
      <c r="Y99">
        <v>12.87</v>
      </c>
    </row>
    <row r="100" spans="1:25" x14ac:dyDescent="0.25">
      <c r="A100">
        <v>2006</v>
      </c>
      <c r="B100">
        <v>306</v>
      </c>
      <c r="C100">
        <v>700</v>
      </c>
      <c r="D100">
        <v>-2.4220000000000002</v>
      </c>
      <c r="E100">
        <v>-27.31</v>
      </c>
      <c r="F100">
        <v>1.1679999999999999</v>
      </c>
      <c r="G100">
        <v>1.256</v>
      </c>
      <c r="K100">
        <v>0.314</v>
      </c>
      <c r="L100">
        <v>204.4</v>
      </c>
      <c r="M100">
        <v>0</v>
      </c>
      <c r="O100">
        <v>-11.87</v>
      </c>
      <c r="P100">
        <v>-11.15</v>
      </c>
      <c r="Q100">
        <v>8.67</v>
      </c>
      <c r="S100">
        <v>8.81</v>
      </c>
      <c r="T100">
        <v>0</v>
      </c>
      <c r="U100">
        <v>98.5</v>
      </c>
      <c r="V100">
        <v>848</v>
      </c>
      <c r="W100">
        <v>35.94</v>
      </c>
      <c r="Y100">
        <v>12.85</v>
      </c>
    </row>
    <row r="101" spans="1:25" x14ac:dyDescent="0.25">
      <c r="A101">
        <v>2006</v>
      </c>
      <c r="B101">
        <v>306</v>
      </c>
      <c r="C101">
        <v>800</v>
      </c>
      <c r="D101">
        <v>5.8310000000000004</v>
      </c>
      <c r="E101">
        <v>-21.43</v>
      </c>
      <c r="F101">
        <v>0.308</v>
      </c>
      <c r="G101">
        <v>0.47</v>
      </c>
      <c r="K101">
        <v>0.32700000000000001</v>
      </c>
      <c r="L101">
        <v>157</v>
      </c>
      <c r="M101">
        <v>0</v>
      </c>
      <c r="O101">
        <v>-1.371</v>
      </c>
      <c r="P101">
        <v>-7.44</v>
      </c>
      <c r="Q101">
        <v>8.59</v>
      </c>
      <c r="S101">
        <v>8.74</v>
      </c>
      <c r="T101">
        <v>0</v>
      </c>
      <c r="U101">
        <v>97.2</v>
      </c>
      <c r="V101">
        <v>848</v>
      </c>
      <c r="W101">
        <v>35.92</v>
      </c>
      <c r="Y101">
        <v>12.84</v>
      </c>
    </row>
    <row r="102" spans="1:25" x14ac:dyDescent="0.25">
      <c r="A102">
        <v>2006</v>
      </c>
      <c r="B102">
        <v>306</v>
      </c>
      <c r="C102">
        <v>900</v>
      </c>
      <c r="D102">
        <v>70.7</v>
      </c>
      <c r="E102">
        <v>11.13</v>
      </c>
      <c r="F102">
        <v>0.876</v>
      </c>
      <c r="G102">
        <v>1.0620000000000001</v>
      </c>
      <c r="H102">
        <f>AVERAGE(G102:G126)</f>
        <v>1.6366399999999997</v>
      </c>
      <c r="I102">
        <f>MIN(G102:G126)</f>
        <v>-3.109</v>
      </c>
      <c r="J102">
        <f>MAX(G102:G126)</f>
        <v>9.9</v>
      </c>
      <c r="K102">
        <v>7.5999999999999998E-2</v>
      </c>
      <c r="L102">
        <v>248.3</v>
      </c>
      <c r="M102">
        <v>0</v>
      </c>
      <c r="N102">
        <f>SUM(M102:M126)</f>
        <v>0</v>
      </c>
      <c r="O102">
        <v>82.8</v>
      </c>
      <c r="P102">
        <v>33.1</v>
      </c>
      <c r="Q102">
        <v>8.56</v>
      </c>
      <c r="S102">
        <v>8.7100000000000009</v>
      </c>
      <c r="T102">
        <v>0</v>
      </c>
      <c r="U102">
        <v>96.7</v>
      </c>
      <c r="V102">
        <v>847</v>
      </c>
      <c r="W102">
        <v>35.880000000000003</v>
      </c>
      <c r="X102">
        <f>AVERAGE(W102:W126)</f>
        <v>35.704000000000001</v>
      </c>
      <c r="Y102">
        <v>13.36</v>
      </c>
    </row>
    <row r="103" spans="1:25" x14ac:dyDescent="0.25">
      <c r="A103">
        <v>2006</v>
      </c>
      <c r="B103">
        <v>306</v>
      </c>
      <c r="C103">
        <v>1000</v>
      </c>
      <c r="D103">
        <v>149.9</v>
      </c>
      <c r="E103">
        <v>130.1</v>
      </c>
      <c r="F103">
        <v>4.5460000000000003</v>
      </c>
      <c r="G103">
        <v>4.7279999999999998</v>
      </c>
      <c r="K103">
        <v>0.56699999999999995</v>
      </c>
      <c r="L103">
        <v>262.39999999999998</v>
      </c>
      <c r="M103">
        <v>0</v>
      </c>
      <c r="O103">
        <v>237.5</v>
      </c>
      <c r="P103">
        <v>101</v>
      </c>
      <c r="Q103">
        <v>8.5299999999999994</v>
      </c>
      <c r="S103">
        <v>8.7100000000000009</v>
      </c>
      <c r="T103">
        <v>0</v>
      </c>
      <c r="U103">
        <v>97.6</v>
      </c>
      <c r="V103">
        <v>847</v>
      </c>
      <c r="W103">
        <v>35.869999999999997</v>
      </c>
      <c r="Y103">
        <v>14.54</v>
      </c>
    </row>
    <row r="104" spans="1:25" x14ac:dyDescent="0.25">
      <c r="A104">
        <v>2006</v>
      </c>
      <c r="B104">
        <v>306</v>
      </c>
      <c r="C104">
        <v>1100</v>
      </c>
      <c r="D104">
        <v>265.89999999999998</v>
      </c>
      <c r="E104">
        <v>193.5</v>
      </c>
      <c r="F104">
        <v>5.7510000000000003</v>
      </c>
      <c r="G104">
        <v>6.8639999999999999</v>
      </c>
      <c r="K104">
        <v>0.96</v>
      </c>
      <c r="L104">
        <v>289.10000000000002</v>
      </c>
      <c r="M104">
        <v>0</v>
      </c>
      <c r="O104">
        <v>342.5</v>
      </c>
      <c r="P104">
        <v>137.1</v>
      </c>
      <c r="Q104">
        <v>8.52</v>
      </c>
      <c r="S104">
        <v>8.74</v>
      </c>
      <c r="T104">
        <v>0</v>
      </c>
      <c r="U104">
        <v>85.1</v>
      </c>
      <c r="V104">
        <v>847</v>
      </c>
      <c r="W104">
        <v>35.869999999999997</v>
      </c>
      <c r="Y104">
        <v>14.83</v>
      </c>
    </row>
    <row r="105" spans="1:25" x14ac:dyDescent="0.25">
      <c r="A105">
        <v>2006</v>
      </c>
      <c r="B105">
        <v>306</v>
      </c>
      <c r="C105">
        <v>1200</v>
      </c>
      <c r="D105">
        <v>323.7</v>
      </c>
      <c r="E105">
        <v>235</v>
      </c>
      <c r="F105">
        <v>6.5810000000000004</v>
      </c>
      <c r="G105">
        <v>8.0399999999999991</v>
      </c>
      <c r="K105">
        <v>0.9</v>
      </c>
      <c r="L105">
        <v>328.7</v>
      </c>
      <c r="M105">
        <v>0</v>
      </c>
      <c r="O105">
        <v>393.3</v>
      </c>
      <c r="P105">
        <v>156.30000000000001</v>
      </c>
      <c r="Q105">
        <v>8.4600000000000009</v>
      </c>
      <c r="S105">
        <v>8.66</v>
      </c>
      <c r="T105">
        <v>0</v>
      </c>
      <c r="U105">
        <v>81.3</v>
      </c>
      <c r="V105">
        <v>846</v>
      </c>
      <c r="W105">
        <v>35.86</v>
      </c>
      <c r="Y105">
        <v>14.36</v>
      </c>
    </row>
    <row r="106" spans="1:25" x14ac:dyDescent="0.25">
      <c r="A106">
        <v>2006</v>
      </c>
      <c r="B106">
        <v>306</v>
      </c>
      <c r="C106">
        <v>1300</v>
      </c>
      <c r="D106">
        <v>332.3</v>
      </c>
      <c r="E106">
        <v>240.8</v>
      </c>
      <c r="F106">
        <v>7.56</v>
      </c>
      <c r="G106">
        <v>9.06</v>
      </c>
      <c r="K106">
        <v>0.80400000000000005</v>
      </c>
      <c r="L106">
        <v>73.7</v>
      </c>
      <c r="M106">
        <v>0</v>
      </c>
      <c r="O106">
        <v>398</v>
      </c>
      <c r="P106">
        <v>166.7</v>
      </c>
      <c r="Q106">
        <v>8.51</v>
      </c>
      <c r="S106">
        <v>8.65</v>
      </c>
      <c r="T106">
        <v>0</v>
      </c>
      <c r="U106">
        <v>81.400000000000006</v>
      </c>
      <c r="V106">
        <v>846</v>
      </c>
      <c r="W106">
        <v>35.83</v>
      </c>
      <c r="Y106">
        <v>14.49</v>
      </c>
    </row>
    <row r="107" spans="1:25" x14ac:dyDescent="0.25">
      <c r="A107">
        <v>2006</v>
      </c>
      <c r="B107">
        <v>306</v>
      </c>
      <c r="C107">
        <v>1400</v>
      </c>
      <c r="D107">
        <v>300.10000000000002</v>
      </c>
      <c r="E107">
        <v>206.6</v>
      </c>
      <c r="F107">
        <v>8.9700000000000006</v>
      </c>
      <c r="G107">
        <v>9.48</v>
      </c>
      <c r="K107">
        <v>1.19</v>
      </c>
      <c r="L107">
        <v>105.9</v>
      </c>
      <c r="M107">
        <v>0</v>
      </c>
      <c r="O107">
        <v>349.1</v>
      </c>
      <c r="P107">
        <v>161.6</v>
      </c>
      <c r="Q107">
        <v>8.56</v>
      </c>
      <c r="S107">
        <v>8.58</v>
      </c>
      <c r="T107">
        <v>0</v>
      </c>
      <c r="U107">
        <v>93.8</v>
      </c>
      <c r="V107">
        <v>846</v>
      </c>
      <c r="W107">
        <v>35.799999999999997</v>
      </c>
      <c r="Y107">
        <v>14.41</v>
      </c>
    </row>
    <row r="108" spans="1:25" x14ac:dyDescent="0.25">
      <c r="A108">
        <v>2006</v>
      </c>
      <c r="B108">
        <v>306</v>
      </c>
      <c r="C108">
        <v>1500</v>
      </c>
      <c r="D108">
        <v>222</v>
      </c>
      <c r="E108">
        <v>143.5</v>
      </c>
      <c r="F108">
        <v>10.29</v>
      </c>
      <c r="G108">
        <v>9.9</v>
      </c>
      <c r="K108">
        <v>0.63800000000000001</v>
      </c>
      <c r="L108">
        <v>99.5</v>
      </c>
      <c r="M108">
        <v>0</v>
      </c>
      <c r="O108">
        <v>255.3</v>
      </c>
      <c r="P108">
        <v>144.30000000000001</v>
      </c>
      <c r="Q108">
        <v>8.7100000000000009</v>
      </c>
      <c r="S108">
        <v>8.6</v>
      </c>
      <c r="T108">
        <v>0</v>
      </c>
      <c r="U108">
        <v>104.9</v>
      </c>
      <c r="V108">
        <v>845</v>
      </c>
      <c r="W108">
        <v>35.79</v>
      </c>
      <c r="Y108">
        <v>14.42</v>
      </c>
    </row>
    <row r="109" spans="1:25" x14ac:dyDescent="0.25">
      <c r="A109">
        <v>2006</v>
      </c>
      <c r="B109">
        <v>306</v>
      </c>
      <c r="C109">
        <v>1600</v>
      </c>
      <c r="D109">
        <v>117.7</v>
      </c>
      <c r="E109">
        <v>50.56</v>
      </c>
      <c r="F109">
        <v>9.24</v>
      </c>
      <c r="G109">
        <v>8.66</v>
      </c>
      <c r="K109">
        <v>0.71899999999999997</v>
      </c>
      <c r="L109">
        <v>232.3</v>
      </c>
      <c r="M109">
        <v>0</v>
      </c>
      <c r="O109">
        <v>123.5</v>
      </c>
      <c r="P109">
        <v>104.1</v>
      </c>
      <c r="Q109">
        <v>8.84</v>
      </c>
      <c r="S109">
        <v>8.59</v>
      </c>
      <c r="T109">
        <v>0</v>
      </c>
      <c r="U109">
        <v>107.5</v>
      </c>
      <c r="V109">
        <v>845</v>
      </c>
      <c r="W109">
        <v>35.75</v>
      </c>
      <c r="Y109">
        <v>14.02</v>
      </c>
    </row>
    <row r="110" spans="1:25" x14ac:dyDescent="0.25">
      <c r="A110">
        <v>2006</v>
      </c>
      <c r="B110">
        <v>306</v>
      </c>
      <c r="C110">
        <v>1700</v>
      </c>
      <c r="D110">
        <v>14.57</v>
      </c>
      <c r="E110">
        <v>-34.659999999999997</v>
      </c>
      <c r="F110">
        <v>5.0359999999999996</v>
      </c>
      <c r="G110">
        <v>4.3360000000000003</v>
      </c>
      <c r="K110">
        <v>0.48299999999999998</v>
      </c>
      <c r="L110">
        <v>205.4</v>
      </c>
      <c r="M110">
        <v>0</v>
      </c>
      <c r="O110">
        <v>8.08</v>
      </c>
      <c r="P110">
        <v>6.09</v>
      </c>
      <c r="Q110">
        <v>8.83</v>
      </c>
      <c r="S110">
        <v>8.48</v>
      </c>
      <c r="T110">
        <v>0</v>
      </c>
      <c r="U110">
        <v>110.8</v>
      </c>
      <c r="V110">
        <v>844</v>
      </c>
      <c r="W110">
        <v>35.69</v>
      </c>
      <c r="Y110">
        <v>13.72</v>
      </c>
    </row>
    <row r="111" spans="1:25" x14ac:dyDescent="0.25">
      <c r="A111">
        <v>2006</v>
      </c>
      <c r="B111">
        <v>306</v>
      </c>
      <c r="C111">
        <v>1800</v>
      </c>
      <c r="D111">
        <v>-3.3</v>
      </c>
      <c r="E111">
        <v>-34.46</v>
      </c>
      <c r="F111">
        <v>1.6830000000000001</v>
      </c>
      <c r="G111">
        <v>1.2390000000000001</v>
      </c>
      <c r="K111">
        <v>0.28100000000000003</v>
      </c>
      <c r="L111">
        <v>181.2</v>
      </c>
      <c r="M111">
        <v>0</v>
      </c>
      <c r="O111">
        <v>-11.99</v>
      </c>
      <c r="P111">
        <v>-11.43</v>
      </c>
      <c r="Q111">
        <v>8.81</v>
      </c>
      <c r="S111">
        <v>8.4499999999999993</v>
      </c>
      <c r="T111">
        <v>0</v>
      </c>
      <c r="U111">
        <v>107.7</v>
      </c>
      <c r="V111">
        <v>843</v>
      </c>
      <c r="W111">
        <v>35.67</v>
      </c>
      <c r="Y111">
        <v>13.56</v>
      </c>
    </row>
    <row r="112" spans="1:25" x14ac:dyDescent="0.25">
      <c r="A112">
        <v>2006</v>
      </c>
      <c r="B112">
        <v>306</v>
      </c>
      <c r="C112">
        <v>1900</v>
      </c>
      <c r="D112">
        <v>-2.6520000000000001</v>
      </c>
      <c r="E112">
        <v>-28.55</v>
      </c>
      <c r="F112">
        <v>0.16200000000000001</v>
      </c>
      <c r="G112">
        <v>-5.7000000000000002E-2</v>
      </c>
      <c r="K112">
        <v>0.14499999999999999</v>
      </c>
      <c r="L112">
        <v>181.2</v>
      </c>
      <c r="M112">
        <v>0</v>
      </c>
      <c r="O112">
        <v>-12.18</v>
      </c>
      <c r="P112">
        <v>-11.48</v>
      </c>
      <c r="Q112">
        <v>8.77</v>
      </c>
      <c r="S112">
        <v>8.4700000000000006</v>
      </c>
      <c r="T112">
        <v>0</v>
      </c>
      <c r="U112">
        <v>104</v>
      </c>
      <c r="V112">
        <v>843</v>
      </c>
      <c r="W112">
        <v>35.64</v>
      </c>
      <c r="Y112">
        <v>13.47</v>
      </c>
    </row>
    <row r="113" spans="1:25" x14ac:dyDescent="0.25">
      <c r="A113">
        <v>2006</v>
      </c>
      <c r="B113">
        <v>306</v>
      </c>
      <c r="C113">
        <v>2000</v>
      </c>
      <c r="D113">
        <v>-2.1829999999999998</v>
      </c>
      <c r="E113">
        <v>-24.7</v>
      </c>
      <c r="F113">
        <v>1.7999999999999999E-2</v>
      </c>
      <c r="G113">
        <v>-5.5E-2</v>
      </c>
      <c r="K113">
        <v>0.27300000000000002</v>
      </c>
      <c r="L113">
        <v>181.2</v>
      </c>
      <c r="M113">
        <v>0</v>
      </c>
      <c r="O113">
        <v>-12.18</v>
      </c>
      <c r="P113">
        <v>-11.49</v>
      </c>
      <c r="Q113">
        <v>8.6999999999999993</v>
      </c>
      <c r="S113">
        <v>8.4600000000000009</v>
      </c>
      <c r="T113">
        <v>0</v>
      </c>
      <c r="U113">
        <v>101.4</v>
      </c>
      <c r="V113">
        <v>843</v>
      </c>
      <c r="W113">
        <v>35.64</v>
      </c>
      <c r="Y113">
        <v>13.38</v>
      </c>
    </row>
    <row r="114" spans="1:25" x14ac:dyDescent="0.25">
      <c r="A114">
        <v>2006</v>
      </c>
      <c r="B114">
        <v>306</v>
      </c>
      <c r="C114">
        <v>2100</v>
      </c>
      <c r="D114">
        <v>-2.6779999999999999</v>
      </c>
      <c r="E114">
        <v>-26.99</v>
      </c>
      <c r="F114">
        <v>-0.754</v>
      </c>
      <c r="G114">
        <v>-0.74299999999999999</v>
      </c>
      <c r="K114">
        <v>0.129</v>
      </c>
      <c r="L114">
        <v>181.2</v>
      </c>
      <c r="M114">
        <v>0</v>
      </c>
      <c r="O114">
        <v>-12.13</v>
      </c>
      <c r="P114">
        <v>-11.41</v>
      </c>
      <c r="Q114">
        <v>8.61</v>
      </c>
      <c r="S114">
        <v>8.44</v>
      </c>
      <c r="T114">
        <v>0</v>
      </c>
      <c r="U114">
        <v>99.8</v>
      </c>
      <c r="V114">
        <v>843</v>
      </c>
      <c r="W114">
        <v>35.619999999999997</v>
      </c>
      <c r="Y114">
        <v>13.31</v>
      </c>
    </row>
    <row r="115" spans="1:25" x14ac:dyDescent="0.25">
      <c r="A115">
        <v>2006</v>
      </c>
      <c r="B115">
        <v>306</v>
      </c>
      <c r="C115">
        <v>2200</v>
      </c>
      <c r="D115">
        <v>-2.516</v>
      </c>
      <c r="E115">
        <v>-18.96</v>
      </c>
      <c r="F115">
        <v>-1.258</v>
      </c>
      <c r="G115">
        <v>-1.24</v>
      </c>
      <c r="K115">
        <v>0.124</v>
      </c>
      <c r="L115">
        <v>181.2</v>
      </c>
      <c r="M115">
        <v>0</v>
      </c>
      <c r="O115">
        <v>-11.86</v>
      </c>
      <c r="P115">
        <v>-11.21</v>
      </c>
      <c r="Q115">
        <v>8.5</v>
      </c>
      <c r="S115">
        <v>8.41</v>
      </c>
      <c r="T115">
        <v>0</v>
      </c>
      <c r="U115">
        <v>99.7</v>
      </c>
      <c r="V115">
        <v>843</v>
      </c>
      <c r="W115">
        <v>35.630000000000003</v>
      </c>
      <c r="Y115">
        <v>13.23</v>
      </c>
    </row>
    <row r="116" spans="1:25" x14ac:dyDescent="0.25">
      <c r="A116">
        <v>2006</v>
      </c>
      <c r="B116">
        <v>306</v>
      </c>
      <c r="C116">
        <v>2300</v>
      </c>
      <c r="D116">
        <v>-2.5920000000000001</v>
      </c>
      <c r="E116">
        <v>-20.010000000000002</v>
      </c>
      <c r="F116">
        <v>-1.603</v>
      </c>
      <c r="G116">
        <v>-1.5109999999999999</v>
      </c>
      <c r="K116">
        <v>0.08</v>
      </c>
      <c r="L116">
        <v>181.1</v>
      </c>
      <c r="M116">
        <v>0</v>
      </c>
      <c r="O116">
        <v>-11.64</v>
      </c>
      <c r="P116">
        <v>-11.02</v>
      </c>
      <c r="Q116">
        <v>8.4</v>
      </c>
      <c r="S116">
        <v>8.39</v>
      </c>
      <c r="T116">
        <v>0</v>
      </c>
      <c r="U116">
        <v>98.2</v>
      </c>
      <c r="V116">
        <v>843</v>
      </c>
      <c r="W116">
        <v>35.64</v>
      </c>
      <c r="Y116">
        <v>13.16</v>
      </c>
    </row>
    <row r="117" spans="1:25" x14ac:dyDescent="0.25">
      <c r="A117">
        <v>2006</v>
      </c>
      <c r="B117">
        <v>306</v>
      </c>
      <c r="C117">
        <v>2400</v>
      </c>
      <c r="D117">
        <v>-2.415</v>
      </c>
      <c r="E117">
        <v>-19.84</v>
      </c>
      <c r="F117">
        <v>-1.8660000000000001</v>
      </c>
      <c r="G117">
        <v>-1.794</v>
      </c>
      <c r="K117">
        <v>8.2000000000000003E-2</v>
      </c>
      <c r="L117">
        <v>181.1</v>
      </c>
      <c r="M117">
        <v>0</v>
      </c>
      <c r="O117">
        <v>-11.57</v>
      </c>
      <c r="P117">
        <v>-10.91</v>
      </c>
      <c r="Q117">
        <v>8.27</v>
      </c>
      <c r="S117">
        <v>8.3000000000000007</v>
      </c>
      <c r="T117">
        <v>0</v>
      </c>
      <c r="U117">
        <v>98.6</v>
      </c>
      <c r="V117">
        <v>843</v>
      </c>
      <c r="W117">
        <v>35.64</v>
      </c>
      <c r="Y117">
        <v>13.09</v>
      </c>
    </row>
    <row r="118" spans="1:25" x14ac:dyDescent="0.25">
      <c r="A118">
        <v>2006</v>
      </c>
      <c r="B118">
        <v>306</v>
      </c>
      <c r="C118">
        <v>2400</v>
      </c>
      <c r="D118">
        <v>73.8</v>
      </c>
      <c r="E118">
        <v>35.22</v>
      </c>
      <c r="F118">
        <v>2.6629999999999998</v>
      </c>
      <c r="G118">
        <v>2.8250000000000002</v>
      </c>
      <c r="K118">
        <v>0.41599999999999998</v>
      </c>
      <c r="L118">
        <v>209.8</v>
      </c>
      <c r="M118">
        <v>0</v>
      </c>
      <c r="O118">
        <v>84.3</v>
      </c>
      <c r="P118">
        <v>35.25</v>
      </c>
      <c r="Q118">
        <v>8.69</v>
      </c>
      <c r="S118">
        <v>8.67</v>
      </c>
      <c r="T118">
        <v>0</v>
      </c>
      <c r="U118">
        <v>97.9</v>
      </c>
      <c r="V118">
        <v>846</v>
      </c>
      <c r="W118">
        <v>35.83</v>
      </c>
      <c r="Y118">
        <v>13.53</v>
      </c>
    </row>
    <row r="119" spans="1:25" x14ac:dyDescent="0.25">
      <c r="A119">
        <v>2006</v>
      </c>
      <c r="B119">
        <v>307</v>
      </c>
      <c r="C119">
        <v>100</v>
      </c>
      <c r="D119">
        <v>-1.6439999999999999</v>
      </c>
      <c r="E119">
        <v>-19.43</v>
      </c>
      <c r="F119">
        <v>-2.3090000000000002</v>
      </c>
      <c r="G119">
        <v>-2.2240000000000002</v>
      </c>
      <c r="K119">
        <v>8.1000000000000003E-2</v>
      </c>
      <c r="L119">
        <v>181.1</v>
      </c>
      <c r="M119">
        <v>0</v>
      </c>
      <c r="O119">
        <v>-11.53</v>
      </c>
      <c r="P119">
        <v>-10.88</v>
      </c>
      <c r="Q119">
        <v>8.17</v>
      </c>
      <c r="S119">
        <v>8.2899999999999991</v>
      </c>
      <c r="T119">
        <v>0</v>
      </c>
      <c r="U119">
        <v>98.3</v>
      </c>
      <c r="V119">
        <v>843</v>
      </c>
      <c r="W119">
        <v>35.64</v>
      </c>
      <c r="Y119">
        <v>13.03</v>
      </c>
    </row>
    <row r="120" spans="1:25" x14ac:dyDescent="0.25">
      <c r="A120">
        <v>2006</v>
      </c>
      <c r="B120">
        <v>307</v>
      </c>
      <c r="C120">
        <v>200</v>
      </c>
      <c r="D120">
        <v>-2.1560000000000001</v>
      </c>
      <c r="E120">
        <v>-19.52</v>
      </c>
      <c r="F120">
        <v>-2.5379999999999998</v>
      </c>
      <c r="G120">
        <v>-2.3260000000000001</v>
      </c>
      <c r="K120">
        <v>6.4000000000000001E-2</v>
      </c>
      <c r="L120">
        <v>181.1</v>
      </c>
      <c r="M120">
        <v>0</v>
      </c>
      <c r="O120">
        <v>-11.52</v>
      </c>
      <c r="P120">
        <v>-10.86</v>
      </c>
      <c r="Q120">
        <v>8.0500000000000007</v>
      </c>
      <c r="S120">
        <v>8.23</v>
      </c>
      <c r="T120">
        <v>0</v>
      </c>
      <c r="U120">
        <v>95.7</v>
      </c>
      <c r="V120">
        <v>843</v>
      </c>
      <c r="W120">
        <v>35.630000000000003</v>
      </c>
      <c r="Y120">
        <v>12.97</v>
      </c>
    </row>
    <row r="121" spans="1:25" x14ac:dyDescent="0.25">
      <c r="A121">
        <v>2006</v>
      </c>
      <c r="B121">
        <v>307</v>
      </c>
      <c r="C121">
        <v>300</v>
      </c>
      <c r="D121">
        <v>-1.7769999999999999</v>
      </c>
      <c r="E121">
        <v>-16.78</v>
      </c>
      <c r="F121">
        <v>-2.5379999999999998</v>
      </c>
      <c r="G121">
        <v>-2.31</v>
      </c>
      <c r="K121">
        <v>3.9E-2</v>
      </c>
      <c r="L121">
        <v>181.1</v>
      </c>
      <c r="M121">
        <v>0</v>
      </c>
      <c r="O121">
        <v>-11.52</v>
      </c>
      <c r="P121">
        <v>-10.86</v>
      </c>
      <c r="Q121">
        <v>7.96</v>
      </c>
      <c r="S121">
        <v>8.17</v>
      </c>
      <c r="T121">
        <v>0</v>
      </c>
      <c r="U121">
        <v>95.4</v>
      </c>
      <c r="V121">
        <v>843</v>
      </c>
      <c r="W121">
        <v>35.619999999999997</v>
      </c>
      <c r="Y121">
        <v>12.93</v>
      </c>
    </row>
    <row r="122" spans="1:25" x14ac:dyDescent="0.25">
      <c r="A122">
        <v>2006</v>
      </c>
      <c r="B122">
        <v>307</v>
      </c>
      <c r="C122">
        <v>400</v>
      </c>
      <c r="D122">
        <v>-1.5429999999999999</v>
      </c>
      <c r="E122">
        <v>-14.46</v>
      </c>
      <c r="F122">
        <v>-2.2869999999999999</v>
      </c>
      <c r="G122">
        <v>-2.0630000000000002</v>
      </c>
      <c r="K122">
        <v>0.114</v>
      </c>
      <c r="L122">
        <v>181.1</v>
      </c>
      <c r="M122">
        <v>0</v>
      </c>
      <c r="O122">
        <v>-11.52</v>
      </c>
      <c r="P122">
        <v>-10.86</v>
      </c>
      <c r="Q122">
        <v>7.85</v>
      </c>
      <c r="S122">
        <v>8.15</v>
      </c>
      <c r="T122">
        <v>0</v>
      </c>
      <c r="U122">
        <v>95.6</v>
      </c>
      <c r="V122">
        <v>843</v>
      </c>
      <c r="W122">
        <v>35.619999999999997</v>
      </c>
      <c r="Y122">
        <v>12.89</v>
      </c>
    </row>
    <row r="123" spans="1:25" x14ac:dyDescent="0.25">
      <c r="A123">
        <v>2006</v>
      </c>
      <c r="B123">
        <v>307</v>
      </c>
      <c r="C123">
        <v>500</v>
      </c>
      <c r="D123">
        <v>-2.2850000000000001</v>
      </c>
      <c r="E123">
        <v>-18.329999999999998</v>
      </c>
      <c r="F123">
        <v>-2.4060000000000001</v>
      </c>
      <c r="G123">
        <v>-2.2080000000000002</v>
      </c>
      <c r="K123">
        <v>0.106</v>
      </c>
      <c r="L123">
        <v>181.1</v>
      </c>
      <c r="M123">
        <v>0</v>
      </c>
      <c r="O123">
        <v>-11.52</v>
      </c>
      <c r="P123">
        <v>-10.86</v>
      </c>
      <c r="Q123">
        <v>7.75</v>
      </c>
      <c r="S123">
        <v>8.06</v>
      </c>
      <c r="T123">
        <v>0</v>
      </c>
      <c r="U123">
        <v>96</v>
      </c>
      <c r="V123">
        <v>843</v>
      </c>
      <c r="W123">
        <v>35.619999999999997</v>
      </c>
      <c r="Y123">
        <v>12.86</v>
      </c>
    </row>
    <row r="124" spans="1:25" x14ac:dyDescent="0.25">
      <c r="A124">
        <v>2006</v>
      </c>
      <c r="B124">
        <v>307</v>
      </c>
      <c r="C124">
        <v>600</v>
      </c>
      <c r="D124">
        <v>-2.2290000000000001</v>
      </c>
      <c r="E124">
        <v>-17.940000000000001</v>
      </c>
      <c r="F124">
        <v>-2.8759999999999999</v>
      </c>
      <c r="G124">
        <v>-2.649</v>
      </c>
      <c r="K124">
        <v>0.106</v>
      </c>
      <c r="L124">
        <v>227.2</v>
      </c>
      <c r="M124">
        <v>0</v>
      </c>
      <c r="O124">
        <v>-11.51</v>
      </c>
      <c r="P124">
        <v>-10.86</v>
      </c>
      <c r="Q124">
        <v>7.64</v>
      </c>
      <c r="S124">
        <v>7.99</v>
      </c>
      <c r="T124">
        <v>0</v>
      </c>
      <c r="U124">
        <v>95.4</v>
      </c>
      <c r="V124">
        <v>843</v>
      </c>
      <c r="W124">
        <v>35.619999999999997</v>
      </c>
      <c r="Y124">
        <v>12.84</v>
      </c>
    </row>
    <row r="125" spans="1:25" x14ac:dyDescent="0.25">
      <c r="A125">
        <v>2006</v>
      </c>
      <c r="B125">
        <v>307</v>
      </c>
      <c r="C125">
        <v>700</v>
      </c>
      <c r="D125">
        <v>-2.1589999999999998</v>
      </c>
      <c r="E125">
        <v>-18.940000000000001</v>
      </c>
      <c r="F125">
        <v>-3.3050000000000002</v>
      </c>
      <c r="G125">
        <v>-2.9889999999999999</v>
      </c>
      <c r="K125">
        <v>0.06</v>
      </c>
      <c r="L125">
        <v>279.5</v>
      </c>
      <c r="M125">
        <v>0</v>
      </c>
      <c r="O125">
        <v>-11.51</v>
      </c>
      <c r="P125">
        <v>-10.86</v>
      </c>
      <c r="Q125">
        <v>7.53</v>
      </c>
      <c r="S125">
        <v>7.92</v>
      </c>
      <c r="T125">
        <v>0</v>
      </c>
      <c r="U125">
        <v>93.4</v>
      </c>
      <c r="V125">
        <v>842</v>
      </c>
      <c r="W125">
        <v>35.6</v>
      </c>
      <c r="Y125">
        <v>12.83</v>
      </c>
    </row>
    <row r="126" spans="1:25" x14ac:dyDescent="0.25">
      <c r="A126">
        <v>2006</v>
      </c>
      <c r="B126">
        <v>307</v>
      </c>
      <c r="C126">
        <v>800</v>
      </c>
      <c r="D126">
        <v>4.9770000000000003</v>
      </c>
      <c r="E126">
        <v>-15.68</v>
      </c>
      <c r="F126">
        <v>-3.36</v>
      </c>
      <c r="G126">
        <v>-3.109</v>
      </c>
      <c r="K126">
        <v>8.4000000000000005E-2</v>
      </c>
      <c r="L126">
        <v>181.1</v>
      </c>
      <c r="M126">
        <v>0</v>
      </c>
      <c r="O126">
        <v>-4.9260000000000002</v>
      </c>
      <c r="P126">
        <v>-7.92</v>
      </c>
      <c r="Q126">
        <v>7.42</v>
      </c>
      <c r="S126">
        <v>7.84</v>
      </c>
      <c r="T126">
        <v>0</v>
      </c>
      <c r="U126">
        <v>94.7</v>
      </c>
      <c r="V126">
        <v>842</v>
      </c>
      <c r="W126">
        <v>35.6</v>
      </c>
      <c r="Y126">
        <v>12.81</v>
      </c>
    </row>
    <row r="127" spans="1:25" x14ac:dyDescent="0.25">
      <c r="A127">
        <v>2006</v>
      </c>
      <c r="B127">
        <v>307</v>
      </c>
      <c r="C127">
        <v>900</v>
      </c>
      <c r="D127">
        <v>127.4</v>
      </c>
      <c r="E127">
        <v>7.98</v>
      </c>
      <c r="F127">
        <v>-2.3919999999999999</v>
      </c>
      <c r="G127">
        <v>-1.982</v>
      </c>
      <c r="H127">
        <f>AVERAGE(G127:G151)</f>
        <v>5.2502800000000001</v>
      </c>
      <c r="I127">
        <f>MIN(G127:G151)</f>
        <v>-1.982</v>
      </c>
      <c r="J127">
        <f>MAX(G127:G151)</f>
        <v>8.25</v>
      </c>
      <c r="K127">
        <v>1.4E-2</v>
      </c>
      <c r="L127">
        <v>181.1</v>
      </c>
      <c r="M127">
        <v>0</v>
      </c>
      <c r="N127">
        <f>SUM(M127:M151)</f>
        <v>0</v>
      </c>
      <c r="O127">
        <v>53.4</v>
      </c>
      <c r="P127">
        <v>39.36</v>
      </c>
      <c r="Q127">
        <v>7.32</v>
      </c>
      <c r="S127">
        <v>7.78</v>
      </c>
      <c r="T127">
        <v>0</v>
      </c>
      <c r="U127">
        <v>91.8</v>
      </c>
      <c r="V127">
        <v>842</v>
      </c>
      <c r="W127">
        <v>35.58</v>
      </c>
      <c r="Y127">
        <v>13.24</v>
      </c>
    </row>
    <row r="128" spans="1:25" x14ac:dyDescent="0.25">
      <c r="A128">
        <v>2006</v>
      </c>
      <c r="B128">
        <v>307</v>
      </c>
      <c r="C128">
        <v>1000</v>
      </c>
      <c r="D128">
        <v>195.7</v>
      </c>
      <c r="E128">
        <v>139.4</v>
      </c>
      <c r="F128">
        <v>2.7229999999999999</v>
      </c>
      <c r="G128">
        <v>3.2029999999999998</v>
      </c>
      <c r="K128">
        <v>0.53800000000000003</v>
      </c>
      <c r="L128">
        <v>216.7</v>
      </c>
      <c r="M128">
        <v>0</v>
      </c>
      <c r="O128">
        <v>221.1</v>
      </c>
      <c r="P128">
        <v>142.80000000000001</v>
      </c>
      <c r="Q128">
        <v>7.31</v>
      </c>
      <c r="S128">
        <v>7.81</v>
      </c>
      <c r="T128">
        <v>0</v>
      </c>
      <c r="U128">
        <v>92.7</v>
      </c>
      <c r="V128">
        <v>842</v>
      </c>
      <c r="W128">
        <v>35.61</v>
      </c>
      <c r="Y128">
        <v>14.41</v>
      </c>
    </row>
    <row r="129" spans="1:25" x14ac:dyDescent="0.25">
      <c r="A129">
        <v>2006</v>
      </c>
      <c r="B129">
        <v>307</v>
      </c>
      <c r="C129">
        <v>1100</v>
      </c>
      <c r="D129">
        <v>262.5</v>
      </c>
      <c r="E129">
        <v>172.8</v>
      </c>
      <c r="F129">
        <v>4.6950000000000003</v>
      </c>
      <c r="G129">
        <v>5.9630000000000001</v>
      </c>
      <c r="K129">
        <v>1.1719999999999999</v>
      </c>
      <c r="L129">
        <v>227.8</v>
      </c>
      <c r="M129">
        <v>0</v>
      </c>
      <c r="O129">
        <v>311.8</v>
      </c>
      <c r="P129">
        <v>131.9</v>
      </c>
      <c r="Q129">
        <v>7.28</v>
      </c>
      <c r="S129">
        <v>7.82</v>
      </c>
      <c r="T129">
        <v>0</v>
      </c>
      <c r="U129">
        <v>82.4</v>
      </c>
      <c r="V129">
        <v>842</v>
      </c>
      <c r="W129">
        <v>35.61</v>
      </c>
      <c r="Y129">
        <v>14.65</v>
      </c>
    </row>
    <row r="130" spans="1:25" x14ac:dyDescent="0.25">
      <c r="A130">
        <v>2006</v>
      </c>
      <c r="B130">
        <v>307</v>
      </c>
      <c r="C130">
        <v>1200</v>
      </c>
      <c r="D130">
        <v>273.89999999999998</v>
      </c>
      <c r="E130">
        <v>180.8</v>
      </c>
      <c r="F130">
        <v>4.8550000000000004</v>
      </c>
      <c r="G130">
        <v>6.5190000000000001</v>
      </c>
      <c r="K130">
        <v>1.272</v>
      </c>
      <c r="L130">
        <v>263.39999999999998</v>
      </c>
      <c r="M130">
        <v>0</v>
      </c>
      <c r="O130">
        <v>325.2</v>
      </c>
      <c r="P130">
        <v>124.5</v>
      </c>
      <c r="Q130">
        <v>7.19</v>
      </c>
      <c r="S130">
        <v>7.75</v>
      </c>
      <c r="T130">
        <v>0</v>
      </c>
      <c r="U130">
        <v>77.599999999999994</v>
      </c>
      <c r="V130">
        <v>843</v>
      </c>
      <c r="W130">
        <v>35.630000000000003</v>
      </c>
      <c r="Y130">
        <v>14.29</v>
      </c>
    </row>
    <row r="131" spans="1:25" x14ac:dyDescent="0.25">
      <c r="A131">
        <v>2006</v>
      </c>
      <c r="B131">
        <v>307</v>
      </c>
      <c r="C131">
        <v>1300</v>
      </c>
      <c r="D131">
        <v>301.7</v>
      </c>
      <c r="E131">
        <v>203.1</v>
      </c>
      <c r="F131">
        <v>5.5</v>
      </c>
      <c r="G131">
        <v>7.58</v>
      </c>
      <c r="K131">
        <v>1.619</v>
      </c>
      <c r="L131">
        <v>256.5</v>
      </c>
      <c r="M131">
        <v>0</v>
      </c>
      <c r="O131">
        <v>354.8</v>
      </c>
      <c r="P131">
        <v>145.6</v>
      </c>
      <c r="Q131">
        <v>7.2</v>
      </c>
      <c r="S131">
        <v>7.69</v>
      </c>
      <c r="T131">
        <v>0</v>
      </c>
      <c r="U131">
        <v>73.3</v>
      </c>
      <c r="V131">
        <v>842</v>
      </c>
      <c r="W131">
        <v>35.61</v>
      </c>
      <c r="Y131">
        <v>14.44</v>
      </c>
    </row>
    <row r="132" spans="1:25" x14ac:dyDescent="0.25">
      <c r="A132">
        <v>2006</v>
      </c>
      <c r="B132">
        <v>307</v>
      </c>
      <c r="C132">
        <v>1400</v>
      </c>
      <c r="D132">
        <v>275.3</v>
      </c>
      <c r="E132">
        <v>179.5</v>
      </c>
      <c r="F132">
        <v>5.798</v>
      </c>
      <c r="G132">
        <v>8.1300000000000008</v>
      </c>
      <c r="K132">
        <v>1.486</v>
      </c>
      <c r="L132">
        <v>254.7</v>
      </c>
      <c r="M132">
        <v>0</v>
      </c>
      <c r="O132">
        <v>317.8</v>
      </c>
      <c r="P132">
        <v>143.4</v>
      </c>
      <c r="Q132">
        <v>7.26</v>
      </c>
      <c r="S132">
        <v>7.62</v>
      </c>
      <c r="T132">
        <v>0</v>
      </c>
      <c r="U132">
        <v>70.7</v>
      </c>
      <c r="V132">
        <v>842</v>
      </c>
      <c r="W132">
        <v>35.6</v>
      </c>
      <c r="Y132">
        <v>14.37</v>
      </c>
    </row>
    <row r="133" spans="1:25" x14ac:dyDescent="0.25">
      <c r="A133">
        <v>2006</v>
      </c>
      <c r="B133">
        <v>307</v>
      </c>
      <c r="C133">
        <v>1500</v>
      </c>
      <c r="D133">
        <v>200.5</v>
      </c>
      <c r="E133">
        <v>116.3</v>
      </c>
      <c r="F133">
        <v>5.9269999999999996</v>
      </c>
      <c r="G133">
        <v>8.25</v>
      </c>
      <c r="K133">
        <v>1.4059999999999999</v>
      </c>
      <c r="L133">
        <v>250.9</v>
      </c>
      <c r="M133">
        <v>0</v>
      </c>
      <c r="O133">
        <v>226.2</v>
      </c>
      <c r="P133">
        <v>120.8</v>
      </c>
      <c r="Q133">
        <v>7.41</v>
      </c>
      <c r="S133">
        <v>7.63</v>
      </c>
      <c r="T133">
        <v>0</v>
      </c>
      <c r="U133">
        <v>70.900000000000006</v>
      </c>
      <c r="V133">
        <v>841</v>
      </c>
      <c r="W133">
        <v>35.549999999999997</v>
      </c>
      <c r="Y133">
        <v>14.28</v>
      </c>
    </row>
    <row r="134" spans="1:25" x14ac:dyDescent="0.25">
      <c r="A134">
        <v>2006</v>
      </c>
      <c r="B134">
        <v>307</v>
      </c>
      <c r="C134">
        <v>1600</v>
      </c>
      <c r="D134">
        <v>72.7</v>
      </c>
      <c r="E134">
        <v>9.82</v>
      </c>
      <c r="F134">
        <v>5.2590000000000003</v>
      </c>
      <c r="G134">
        <v>6.867</v>
      </c>
      <c r="K134">
        <v>0.79300000000000004</v>
      </c>
      <c r="L134">
        <v>245.4</v>
      </c>
      <c r="M134">
        <v>0</v>
      </c>
      <c r="O134">
        <v>72.099999999999994</v>
      </c>
      <c r="P134">
        <v>43.37</v>
      </c>
      <c r="Q134">
        <v>7.52</v>
      </c>
      <c r="S134">
        <v>7.56</v>
      </c>
      <c r="T134">
        <v>0</v>
      </c>
      <c r="U134">
        <v>78.8</v>
      </c>
      <c r="V134">
        <v>841</v>
      </c>
      <c r="W134">
        <v>35.51</v>
      </c>
      <c r="Y134">
        <v>13.87</v>
      </c>
    </row>
    <row r="135" spans="1:25" x14ac:dyDescent="0.25">
      <c r="A135">
        <v>2006</v>
      </c>
      <c r="B135">
        <v>307</v>
      </c>
      <c r="C135">
        <v>1700</v>
      </c>
      <c r="D135">
        <v>13.11</v>
      </c>
      <c r="E135">
        <v>-34.229999999999997</v>
      </c>
      <c r="F135">
        <v>3.5920000000000001</v>
      </c>
      <c r="G135">
        <v>4.5250000000000004</v>
      </c>
      <c r="K135">
        <v>0.42399999999999999</v>
      </c>
      <c r="L135">
        <v>257.89999999999998</v>
      </c>
      <c r="M135">
        <v>0</v>
      </c>
      <c r="O135">
        <v>7.33</v>
      </c>
      <c r="P135">
        <v>0.38300000000000001</v>
      </c>
      <c r="Q135">
        <v>7.59</v>
      </c>
      <c r="S135">
        <v>7.51</v>
      </c>
      <c r="T135">
        <v>0</v>
      </c>
      <c r="U135">
        <v>86.3</v>
      </c>
      <c r="V135">
        <v>840</v>
      </c>
      <c r="W135">
        <v>35.47</v>
      </c>
      <c r="Y135">
        <v>13.66</v>
      </c>
    </row>
    <row r="136" spans="1:25" x14ac:dyDescent="0.25">
      <c r="A136">
        <v>2006</v>
      </c>
      <c r="B136">
        <v>307</v>
      </c>
      <c r="C136">
        <v>1800</v>
      </c>
      <c r="D136">
        <v>-3.1240000000000001</v>
      </c>
      <c r="E136">
        <v>-43.06</v>
      </c>
      <c r="F136">
        <v>3.073</v>
      </c>
      <c r="G136">
        <v>4.0890000000000004</v>
      </c>
      <c r="K136">
        <v>0.68700000000000006</v>
      </c>
      <c r="L136">
        <v>265.3</v>
      </c>
      <c r="M136">
        <v>0</v>
      </c>
      <c r="O136">
        <v>-12.12</v>
      </c>
      <c r="P136">
        <v>-11.48</v>
      </c>
      <c r="Q136">
        <v>7.63</v>
      </c>
      <c r="S136">
        <v>7.52</v>
      </c>
      <c r="T136">
        <v>0</v>
      </c>
      <c r="U136">
        <v>84.9</v>
      </c>
      <c r="V136">
        <v>840</v>
      </c>
      <c r="W136">
        <v>35.44</v>
      </c>
      <c r="Y136">
        <v>13.54</v>
      </c>
    </row>
    <row r="137" spans="1:25" x14ac:dyDescent="0.25">
      <c r="A137">
        <v>2006</v>
      </c>
      <c r="B137">
        <v>307</v>
      </c>
      <c r="C137">
        <v>1900</v>
      </c>
      <c r="D137">
        <v>-3.137</v>
      </c>
      <c r="E137">
        <v>-38.53</v>
      </c>
      <c r="F137">
        <v>2.8860000000000001</v>
      </c>
      <c r="G137">
        <v>3.9660000000000002</v>
      </c>
      <c r="K137">
        <v>1.0309999999999999</v>
      </c>
      <c r="L137">
        <v>227.5</v>
      </c>
      <c r="M137">
        <v>0</v>
      </c>
      <c r="O137">
        <v>-12.18</v>
      </c>
      <c r="P137">
        <v>-11.48</v>
      </c>
      <c r="Q137">
        <v>7.63</v>
      </c>
      <c r="S137">
        <v>7.52</v>
      </c>
      <c r="T137">
        <v>0</v>
      </c>
      <c r="U137">
        <v>83.8</v>
      </c>
      <c r="V137">
        <v>839</v>
      </c>
      <c r="W137">
        <v>35.43</v>
      </c>
      <c r="Y137">
        <v>13.45</v>
      </c>
    </row>
    <row r="138" spans="1:25" x14ac:dyDescent="0.25">
      <c r="A138">
        <v>2006</v>
      </c>
      <c r="B138">
        <v>307</v>
      </c>
      <c r="C138">
        <v>2000</v>
      </c>
      <c r="D138">
        <v>-2.964</v>
      </c>
      <c r="E138">
        <v>-39.56</v>
      </c>
      <c r="F138">
        <v>3.1629999999999998</v>
      </c>
      <c r="G138">
        <v>4.2539999999999996</v>
      </c>
      <c r="K138">
        <v>1.3420000000000001</v>
      </c>
      <c r="L138">
        <v>221.5</v>
      </c>
      <c r="M138">
        <v>0</v>
      </c>
      <c r="O138">
        <v>-12.18</v>
      </c>
      <c r="P138">
        <v>-11.49</v>
      </c>
      <c r="Q138">
        <v>7.59</v>
      </c>
      <c r="S138">
        <v>7.56</v>
      </c>
      <c r="T138">
        <v>0</v>
      </c>
      <c r="U138">
        <v>83.8</v>
      </c>
      <c r="V138">
        <v>839</v>
      </c>
      <c r="W138">
        <v>35.409999999999997</v>
      </c>
      <c r="Y138">
        <v>13.36</v>
      </c>
    </row>
    <row r="139" spans="1:25" x14ac:dyDescent="0.25">
      <c r="A139">
        <v>2006</v>
      </c>
      <c r="B139">
        <v>307</v>
      </c>
      <c r="C139">
        <v>2100</v>
      </c>
      <c r="D139">
        <v>-2.84</v>
      </c>
      <c r="E139">
        <v>-38.04</v>
      </c>
      <c r="F139">
        <v>3.048</v>
      </c>
      <c r="G139">
        <v>4.1070000000000002</v>
      </c>
      <c r="K139">
        <v>1.357</v>
      </c>
      <c r="L139">
        <v>230.5</v>
      </c>
      <c r="M139">
        <v>0</v>
      </c>
      <c r="O139">
        <v>-12.18</v>
      </c>
      <c r="P139">
        <v>-11.49</v>
      </c>
      <c r="Q139">
        <v>7.59</v>
      </c>
      <c r="S139">
        <v>7.59</v>
      </c>
      <c r="T139">
        <v>0</v>
      </c>
      <c r="U139">
        <v>84.1</v>
      </c>
      <c r="V139">
        <v>839</v>
      </c>
      <c r="W139">
        <v>35.409999999999997</v>
      </c>
      <c r="Y139">
        <v>13.29</v>
      </c>
    </row>
    <row r="140" spans="1:25" x14ac:dyDescent="0.25">
      <c r="A140">
        <v>2006</v>
      </c>
      <c r="B140">
        <v>307</v>
      </c>
      <c r="C140">
        <v>2200</v>
      </c>
      <c r="D140">
        <v>-2.11</v>
      </c>
      <c r="E140">
        <v>-27.38</v>
      </c>
      <c r="F140">
        <v>3.41</v>
      </c>
      <c r="G140">
        <v>4.5419999999999998</v>
      </c>
      <c r="K140">
        <v>1.794</v>
      </c>
      <c r="L140">
        <v>226.5</v>
      </c>
      <c r="M140">
        <v>0</v>
      </c>
      <c r="O140">
        <v>-12.18</v>
      </c>
      <c r="P140">
        <v>-11.49</v>
      </c>
      <c r="Q140">
        <v>7.52</v>
      </c>
      <c r="S140">
        <v>7.52</v>
      </c>
      <c r="T140">
        <v>0</v>
      </c>
      <c r="U140">
        <v>83.4</v>
      </c>
      <c r="V140">
        <v>839</v>
      </c>
      <c r="W140">
        <v>35.409999999999997</v>
      </c>
      <c r="Y140">
        <v>13.22</v>
      </c>
    </row>
    <row r="141" spans="1:25" x14ac:dyDescent="0.25">
      <c r="A141">
        <v>2006</v>
      </c>
      <c r="B141">
        <v>307</v>
      </c>
      <c r="C141">
        <v>2300</v>
      </c>
      <c r="D141">
        <v>-1.528</v>
      </c>
      <c r="E141">
        <v>-21.15</v>
      </c>
      <c r="F141">
        <v>3.7589999999999999</v>
      </c>
      <c r="G141">
        <v>4.9139999999999997</v>
      </c>
      <c r="K141">
        <v>1.893</v>
      </c>
      <c r="L141">
        <v>218.2</v>
      </c>
      <c r="M141">
        <v>0</v>
      </c>
      <c r="O141">
        <v>-12.18</v>
      </c>
      <c r="P141">
        <v>-11.49</v>
      </c>
      <c r="Q141">
        <v>7.5</v>
      </c>
      <c r="S141">
        <v>7.49</v>
      </c>
      <c r="T141">
        <v>0</v>
      </c>
      <c r="U141">
        <v>83.3</v>
      </c>
      <c r="V141">
        <v>839</v>
      </c>
      <c r="W141">
        <v>35.4</v>
      </c>
      <c r="Y141">
        <v>13.15</v>
      </c>
    </row>
    <row r="142" spans="1:25" x14ac:dyDescent="0.25">
      <c r="A142">
        <v>2006</v>
      </c>
      <c r="B142">
        <v>307</v>
      </c>
      <c r="C142">
        <v>2400</v>
      </c>
      <c r="D142">
        <v>-1.054</v>
      </c>
      <c r="E142">
        <v>-13.03</v>
      </c>
      <c r="F142">
        <v>4.1580000000000004</v>
      </c>
      <c r="G142">
        <v>5.335</v>
      </c>
      <c r="K142">
        <v>1.8340000000000001</v>
      </c>
      <c r="L142">
        <v>225.1</v>
      </c>
      <c r="M142">
        <v>0</v>
      </c>
      <c r="O142">
        <v>-12.18</v>
      </c>
      <c r="P142">
        <v>-11.49</v>
      </c>
      <c r="Q142">
        <v>7.5</v>
      </c>
      <c r="S142">
        <v>7.48</v>
      </c>
      <c r="T142">
        <v>0</v>
      </c>
      <c r="U142">
        <v>83.2</v>
      </c>
      <c r="V142">
        <v>838</v>
      </c>
      <c r="W142">
        <v>35.380000000000003</v>
      </c>
      <c r="Y142">
        <v>13.08</v>
      </c>
    </row>
    <row r="143" spans="1:25" x14ac:dyDescent="0.25">
      <c r="A143">
        <v>2006</v>
      </c>
      <c r="B143">
        <v>307</v>
      </c>
      <c r="C143">
        <v>2400</v>
      </c>
      <c r="D143">
        <v>70.7</v>
      </c>
      <c r="E143">
        <v>25.57</v>
      </c>
      <c r="F143">
        <v>1.577</v>
      </c>
      <c r="G143">
        <v>2.516</v>
      </c>
      <c r="K143">
        <v>0.80500000000000005</v>
      </c>
      <c r="L143">
        <v>234.4</v>
      </c>
      <c r="M143">
        <v>0</v>
      </c>
      <c r="O143">
        <v>71.599999999999994</v>
      </c>
      <c r="P143">
        <v>30.32</v>
      </c>
      <c r="Q143">
        <v>7.56</v>
      </c>
      <c r="S143">
        <v>7.77</v>
      </c>
      <c r="T143">
        <v>0</v>
      </c>
      <c r="U143">
        <v>86.5</v>
      </c>
      <c r="V143">
        <v>841</v>
      </c>
      <c r="W143">
        <v>35.54</v>
      </c>
      <c r="Y143">
        <v>13.48</v>
      </c>
    </row>
    <row r="144" spans="1:25" x14ac:dyDescent="0.25">
      <c r="A144">
        <v>2006</v>
      </c>
      <c r="B144">
        <v>308</v>
      </c>
      <c r="C144">
        <v>100</v>
      </c>
      <c r="D144">
        <v>-0.20399999999999999</v>
      </c>
      <c r="E144">
        <v>-0.77400000000000002</v>
      </c>
      <c r="F144">
        <v>4.6040000000000001</v>
      </c>
      <c r="G144">
        <v>5.7469999999999999</v>
      </c>
      <c r="K144">
        <v>2.0630000000000002</v>
      </c>
      <c r="L144">
        <v>224.4</v>
      </c>
      <c r="M144">
        <v>0</v>
      </c>
      <c r="O144">
        <v>-12.18</v>
      </c>
      <c r="P144">
        <v>-11.49</v>
      </c>
      <c r="Q144">
        <v>7.47</v>
      </c>
      <c r="S144">
        <v>7.46</v>
      </c>
      <c r="T144">
        <v>0</v>
      </c>
      <c r="U144">
        <v>84</v>
      </c>
      <c r="V144">
        <v>838</v>
      </c>
      <c r="W144">
        <v>35.369999999999997</v>
      </c>
      <c r="Y144">
        <v>13.02</v>
      </c>
    </row>
    <row r="145" spans="1:25" x14ac:dyDescent="0.25">
      <c r="A145">
        <v>2006</v>
      </c>
      <c r="B145">
        <v>308</v>
      </c>
      <c r="C145">
        <v>200</v>
      </c>
      <c r="D145">
        <v>-1.603</v>
      </c>
      <c r="E145">
        <v>-24.85</v>
      </c>
      <c r="F145">
        <v>4.8890000000000002</v>
      </c>
      <c r="G145">
        <v>6.04</v>
      </c>
      <c r="K145">
        <v>2.234</v>
      </c>
      <c r="L145">
        <v>234.4</v>
      </c>
      <c r="M145">
        <v>0</v>
      </c>
      <c r="O145">
        <v>-12.18</v>
      </c>
      <c r="P145">
        <v>-11.49</v>
      </c>
      <c r="Q145">
        <v>7.48</v>
      </c>
      <c r="S145">
        <v>7.43</v>
      </c>
      <c r="T145">
        <v>0</v>
      </c>
      <c r="U145">
        <v>84.1</v>
      </c>
      <c r="V145">
        <v>838</v>
      </c>
      <c r="W145">
        <v>35.36</v>
      </c>
      <c r="Y145">
        <v>12.97</v>
      </c>
    </row>
    <row r="146" spans="1:25" x14ac:dyDescent="0.25">
      <c r="A146">
        <v>2006</v>
      </c>
      <c r="B146">
        <v>308</v>
      </c>
      <c r="C146">
        <v>300</v>
      </c>
      <c r="D146">
        <v>-1.8129999999999999</v>
      </c>
      <c r="E146">
        <v>-25.94</v>
      </c>
      <c r="F146">
        <v>5.1870000000000003</v>
      </c>
      <c r="G146">
        <v>6.4130000000000003</v>
      </c>
      <c r="K146">
        <v>2.5059999999999998</v>
      </c>
      <c r="L146">
        <v>247.9</v>
      </c>
      <c r="M146">
        <v>0</v>
      </c>
      <c r="O146">
        <v>-12.18</v>
      </c>
      <c r="P146">
        <v>-11.49</v>
      </c>
      <c r="Q146">
        <v>7.52</v>
      </c>
      <c r="S146">
        <v>7.43</v>
      </c>
      <c r="T146">
        <v>0</v>
      </c>
      <c r="U146">
        <v>83.3</v>
      </c>
      <c r="V146">
        <v>838</v>
      </c>
      <c r="W146">
        <v>35.369999999999997</v>
      </c>
      <c r="Y146">
        <v>12.94</v>
      </c>
    </row>
    <row r="147" spans="1:25" x14ac:dyDescent="0.25">
      <c r="A147">
        <v>2006</v>
      </c>
      <c r="B147">
        <v>308</v>
      </c>
      <c r="C147">
        <v>400</v>
      </c>
      <c r="D147">
        <v>-1.004</v>
      </c>
      <c r="E147">
        <v>-6.81</v>
      </c>
      <c r="F147">
        <v>5.4660000000000002</v>
      </c>
      <c r="G147">
        <v>6.657</v>
      </c>
      <c r="K147">
        <v>1.748</v>
      </c>
      <c r="L147">
        <v>248.9</v>
      </c>
      <c r="M147">
        <v>0</v>
      </c>
      <c r="O147">
        <v>-12.18</v>
      </c>
      <c r="P147">
        <v>-11.49</v>
      </c>
      <c r="Q147">
        <v>7.54</v>
      </c>
      <c r="S147">
        <v>7.44</v>
      </c>
      <c r="T147">
        <v>0</v>
      </c>
      <c r="U147">
        <v>83.9</v>
      </c>
      <c r="V147">
        <v>838</v>
      </c>
      <c r="W147">
        <v>35.33</v>
      </c>
      <c r="Y147">
        <v>12.91</v>
      </c>
    </row>
    <row r="148" spans="1:25" x14ac:dyDescent="0.25">
      <c r="A148">
        <v>2006</v>
      </c>
      <c r="B148">
        <v>308</v>
      </c>
      <c r="C148">
        <v>500</v>
      </c>
      <c r="D148">
        <v>-1.69</v>
      </c>
      <c r="E148">
        <v>-25.78</v>
      </c>
      <c r="F148">
        <v>5.194</v>
      </c>
      <c r="G148">
        <v>6.1980000000000004</v>
      </c>
      <c r="K148">
        <v>1.4430000000000001</v>
      </c>
      <c r="L148">
        <v>242.2</v>
      </c>
      <c r="M148">
        <v>0</v>
      </c>
      <c r="O148">
        <v>-12.18</v>
      </c>
      <c r="P148">
        <v>-11.48</v>
      </c>
      <c r="Q148">
        <v>7.53</v>
      </c>
      <c r="S148">
        <v>7.41</v>
      </c>
      <c r="T148">
        <v>0</v>
      </c>
      <c r="U148">
        <v>86.2</v>
      </c>
      <c r="V148">
        <v>837</v>
      </c>
      <c r="W148">
        <v>35.32</v>
      </c>
      <c r="Y148">
        <v>12.89</v>
      </c>
    </row>
    <row r="149" spans="1:25" x14ac:dyDescent="0.25">
      <c r="A149">
        <v>2006</v>
      </c>
      <c r="B149">
        <v>308</v>
      </c>
      <c r="C149">
        <v>600</v>
      </c>
      <c r="D149">
        <v>-2.4750000000000001</v>
      </c>
      <c r="E149">
        <v>-35.049999999999997</v>
      </c>
      <c r="F149">
        <v>4.9269999999999996</v>
      </c>
      <c r="G149">
        <v>5.7720000000000002</v>
      </c>
      <c r="K149">
        <v>1.1439999999999999</v>
      </c>
      <c r="L149">
        <v>247.3</v>
      </c>
      <c r="M149">
        <v>0</v>
      </c>
      <c r="O149">
        <v>-12.18</v>
      </c>
      <c r="P149">
        <v>-11.48</v>
      </c>
      <c r="Q149">
        <v>7.59</v>
      </c>
      <c r="S149">
        <v>7.41</v>
      </c>
      <c r="T149">
        <v>0</v>
      </c>
      <c r="U149">
        <v>88.1</v>
      </c>
      <c r="V149">
        <v>837</v>
      </c>
      <c r="W149">
        <v>35.29</v>
      </c>
      <c r="Y149">
        <v>12.87</v>
      </c>
    </row>
    <row r="150" spans="1:25" x14ac:dyDescent="0.25">
      <c r="A150">
        <v>2006</v>
      </c>
      <c r="B150">
        <v>308</v>
      </c>
      <c r="C150">
        <v>700</v>
      </c>
      <c r="D150">
        <v>-2.6840000000000002</v>
      </c>
      <c r="E150">
        <v>-35.83</v>
      </c>
      <c r="F150">
        <v>4.9710000000000001</v>
      </c>
      <c r="G150">
        <v>5.7060000000000004</v>
      </c>
      <c r="K150">
        <v>1.3180000000000001</v>
      </c>
      <c r="L150">
        <v>240.1</v>
      </c>
      <c r="M150">
        <v>0</v>
      </c>
      <c r="O150">
        <v>-12.18</v>
      </c>
      <c r="P150">
        <v>-11.49</v>
      </c>
      <c r="Q150">
        <v>7.61</v>
      </c>
      <c r="S150">
        <v>7.43</v>
      </c>
      <c r="T150">
        <v>0</v>
      </c>
      <c r="U150">
        <v>89.6</v>
      </c>
      <c r="V150">
        <v>837</v>
      </c>
      <c r="W150">
        <v>35.28</v>
      </c>
      <c r="Y150">
        <v>12.86</v>
      </c>
    </row>
    <row r="151" spans="1:25" x14ac:dyDescent="0.25">
      <c r="A151">
        <v>2006</v>
      </c>
      <c r="B151">
        <v>308</v>
      </c>
      <c r="C151">
        <v>800</v>
      </c>
      <c r="D151">
        <v>4.3860000000000001</v>
      </c>
      <c r="E151">
        <v>-22.01</v>
      </c>
      <c r="F151">
        <v>5.2530000000000001</v>
      </c>
      <c r="G151">
        <v>5.9459999999999997</v>
      </c>
      <c r="K151">
        <v>1.194</v>
      </c>
      <c r="L151">
        <v>234.8</v>
      </c>
      <c r="M151">
        <v>0</v>
      </c>
      <c r="O151">
        <v>-3.8460000000000001</v>
      </c>
      <c r="P151">
        <v>-8.6199999999999992</v>
      </c>
      <c r="Q151">
        <v>7.61</v>
      </c>
      <c r="S151">
        <v>7.43</v>
      </c>
      <c r="T151">
        <v>0</v>
      </c>
      <c r="U151">
        <v>90.3</v>
      </c>
      <c r="V151">
        <v>837</v>
      </c>
      <c r="W151">
        <v>35.270000000000003</v>
      </c>
      <c r="Y151">
        <v>12.85</v>
      </c>
    </row>
    <row r="152" spans="1:25" x14ac:dyDescent="0.25">
      <c r="A152">
        <v>2006</v>
      </c>
      <c r="B152">
        <v>308</v>
      </c>
      <c r="C152">
        <v>900</v>
      </c>
      <c r="D152">
        <v>66.010000000000005</v>
      </c>
      <c r="E152">
        <v>7.84</v>
      </c>
      <c r="F152">
        <v>5.7889999999999997</v>
      </c>
      <c r="G152">
        <v>6.52</v>
      </c>
      <c r="H152">
        <f>AVERAGE(G152:G176)</f>
        <v>9.3419999999999987</v>
      </c>
      <c r="I152">
        <f>MIN(G152:G176)</f>
        <v>6.52</v>
      </c>
      <c r="J152">
        <f>MAX(G152:G176)</f>
        <v>11.75</v>
      </c>
      <c r="K152">
        <v>1.3859999999999999</v>
      </c>
      <c r="L152">
        <v>248</v>
      </c>
      <c r="M152">
        <v>0</v>
      </c>
      <c r="N152">
        <f>SUM(M152:M176)</f>
        <v>0</v>
      </c>
      <c r="O152">
        <v>61.02</v>
      </c>
      <c r="P152">
        <v>20.22</v>
      </c>
      <c r="Q152">
        <v>7.61</v>
      </c>
      <c r="S152">
        <v>7.43</v>
      </c>
      <c r="T152">
        <v>0</v>
      </c>
      <c r="U152">
        <v>90</v>
      </c>
      <c r="V152">
        <v>836</v>
      </c>
      <c r="W152">
        <v>35.25</v>
      </c>
      <c r="Y152">
        <v>13.28</v>
      </c>
    </row>
    <row r="153" spans="1:25" x14ac:dyDescent="0.25">
      <c r="A153">
        <v>2006</v>
      </c>
      <c r="B153">
        <v>308</v>
      </c>
      <c r="C153">
        <v>1000</v>
      </c>
      <c r="D153">
        <v>142.19999999999999</v>
      </c>
      <c r="E153">
        <v>95</v>
      </c>
      <c r="F153">
        <v>6.8650000000000002</v>
      </c>
      <c r="G153">
        <v>7.8</v>
      </c>
      <c r="K153">
        <v>1.8029999999999999</v>
      </c>
      <c r="L153">
        <v>260.5</v>
      </c>
      <c r="M153">
        <v>0</v>
      </c>
      <c r="O153">
        <v>170.8</v>
      </c>
      <c r="P153">
        <v>67.599999999999994</v>
      </c>
      <c r="Q153">
        <v>7.65</v>
      </c>
      <c r="S153">
        <v>7.49</v>
      </c>
      <c r="T153">
        <v>0</v>
      </c>
      <c r="U153">
        <v>87.9</v>
      </c>
      <c r="V153">
        <v>836</v>
      </c>
      <c r="W153">
        <v>35.25</v>
      </c>
      <c r="Y153">
        <v>14.25</v>
      </c>
    </row>
    <row r="154" spans="1:25" x14ac:dyDescent="0.25">
      <c r="A154">
        <v>2006</v>
      </c>
      <c r="B154">
        <v>308</v>
      </c>
      <c r="C154">
        <v>1100</v>
      </c>
      <c r="D154">
        <v>82</v>
      </c>
      <c r="E154">
        <v>55.22</v>
      </c>
      <c r="F154">
        <v>7.6</v>
      </c>
      <c r="G154">
        <v>8.69</v>
      </c>
      <c r="K154">
        <v>1.859</v>
      </c>
      <c r="L154">
        <v>254.7</v>
      </c>
      <c r="M154">
        <v>0</v>
      </c>
      <c r="O154">
        <v>92.3</v>
      </c>
      <c r="P154">
        <v>17.829999999999998</v>
      </c>
      <c r="Q154">
        <v>7.65</v>
      </c>
      <c r="S154">
        <v>7.51</v>
      </c>
      <c r="T154">
        <v>0</v>
      </c>
      <c r="U154">
        <v>86.3</v>
      </c>
      <c r="V154">
        <v>836</v>
      </c>
      <c r="W154">
        <v>35.25</v>
      </c>
      <c r="Y154">
        <v>13.85</v>
      </c>
    </row>
    <row r="155" spans="1:25" x14ac:dyDescent="0.25">
      <c r="A155">
        <v>2006</v>
      </c>
      <c r="B155">
        <v>308</v>
      </c>
      <c r="C155">
        <v>1200</v>
      </c>
      <c r="D155">
        <v>168.2</v>
      </c>
      <c r="E155">
        <v>111.8</v>
      </c>
      <c r="F155">
        <v>8.7100000000000009</v>
      </c>
      <c r="G155">
        <v>10.02</v>
      </c>
      <c r="K155">
        <v>2.2120000000000002</v>
      </c>
      <c r="L155">
        <v>258.8</v>
      </c>
      <c r="M155">
        <v>0</v>
      </c>
      <c r="O155">
        <v>197.4</v>
      </c>
      <c r="P155">
        <v>59.93</v>
      </c>
      <c r="Q155">
        <v>7.74</v>
      </c>
      <c r="S155">
        <v>7.51</v>
      </c>
      <c r="T155">
        <v>0</v>
      </c>
      <c r="U155">
        <v>84.4</v>
      </c>
      <c r="V155">
        <v>836</v>
      </c>
      <c r="W155">
        <v>35.229999999999997</v>
      </c>
      <c r="Y155">
        <v>13.88</v>
      </c>
    </row>
    <row r="156" spans="1:25" x14ac:dyDescent="0.25">
      <c r="A156">
        <v>2006</v>
      </c>
      <c r="B156">
        <v>308</v>
      </c>
      <c r="C156">
        <v>1300</v>
      </c>
      <c r="D156">
        <v>286.5</v>
      </c>
      <c r="E156">
        <v>190.8</v>
      </c>
      <c r="F156">
        <v>9.4700000000000006</v>
      </c>
      <c r="G156">
        <v>11.05</v>
      </c>
      <c r="K156">
        <v>2.5430000000000001</v>
      </c>
      <c r="L156">
        <v>271.7</v>
      </c>
      <c r="M156">
        <v>0</v>
      </c>
      <c r="O156">
        <v>338.4</v>
      </c>
      <c r="P156">
        <v>127.1</v>
      </c>
      <c r="Q156">
        <v>7.89</v>
      </c>
      <c r="S156">
        <v>7.57</v>
      </c>
      <c r="T156">
        <v>0</v>
      </c>
      <c r="U156">
        <v>81.900000000000006</v>
      </c>
      <c r="V156">
        <v>836</v>
      </c>
      <c r="W156">
        <v>35.22</v>
      </c>
      <c r="Y156">
        <v>14.38</v>
      </c>
    </row>
    <row r="157" spans="1:25" x14ac:dyDescent="0.25">
      <c r="A157">
        <v>2006</v>
      </c>
      <c r="B157">
        <v>308</v>
      </c>
      <c r="C157">
        <v>1400</v>
      </c>
      <c r="D157">
        <v>265.8</v>
      </c>
      <c r="E157">
        <v>174.6</v>
      </c>
      <c r="F157">
        <v>9.81</v>
      </c>
      <c r="G157">
        <v>11.58</v>
      </c>
      <c r="K157">
        <v>2.6219999999999999</v>
      </c>
      <c r="L157">
        <v>274.8</v>
      </c>
      <c r="M157">
        <v>0</v>
      </c>
      <c r="O157">
        <v>306.39999999999998</v>
      </c>
      <c r="P157">
        <v>135.1</v>
      </c>
      <c r="Q157">
        <v>8.02</v>
      </c>
      <c r="S157">
        <v>7.57</v>
      </c>
      <c r="T157">
        <v>0</v>
      </c>
      <c r="U157">
        <v>80.099999999999994</v>
      </c>
      <c r="V157">
        <v>835</v>
      </c>
      <c r="W157">
        <v>35.21</v>
      </c>
      <c r="Y157">
        <v>14.37</v>
      </c>
    </row>
    <row r="158" spans="1:25" x14ac:dyDescent="0.25">
      <c r="A158">
        <v>2006</v>
      </c>
      <c r="B158">
        <v>308</v>
      </c>
      <c r="C158">
        <v>1500</v>
      </c>
      <c r="D158">
        <v>144.19999999999999</v>
      </c>
      <c r="E158">
        <v>86.4</v>
      </c>
      <c r="F158">
        <v>9.89</v>
      </c>
      <c r="G158">
        <v>11.75</v>
      </c>
      <c r="K158">
        <v>2.6190000000000002</v>
      </c>
      <c r="L158">
        <v>263.8</v>
      </c>
      <c r="M158">
        <v>0</v>
      </c>
      <c r="O158">
        <v>166.8</v>
      </c>
      <c r="P158">
        <v>54.4</v>
      </c>
      <c r="Q158">
        <v>8.18</v>
      </c>
      <c r="S158">
        <v>7.63</v>
      </c>
      <c r="T158">
        <v>0</v>
      </c>
      <c r="U158">
        <v>79.2</v>
      </c>
      <c r="V158">
        <v>835</v>
      </c>
      <c r="W158">
        <v>35.200000000000003</v>
      </c>
      <c r="Y158">
        <v>13.99</v>
      </c>
    </row>
    <row r="159" spans="1:25" x14ac:dyDescent="0.25">
      <c r="A159">
        <v>2006</v>
      </c>
      <c r="B159">
        <v>308</v>
      </c>
      <c r="C159">
        <v>1600</v>
      </c>
      <c r="D159">
        <v>74.2</v>
      </c>
      <c r="E159">
        <v>19.350000000000001</v>
      </c>
      <c r="F159">
        <v>9.36</v>
      </c>
      <c r="G159">
        <v>11.07</v>
      </c>
      <c r="K159">
        <v>2.8730000000000002</v>
      </c>
      <c r="L159">
        <v>258.5</v>
      </c>
      <c r="M159">
        <v>0</v>
      </c>
      <c r="O159">
        <v>74.2</v>
      </c>
      <c r="P159">
        <v>36.85</v>
      </c>
      <c r="Q159">
        <v>8.31</v>
      </c>
      <c r="S159">
        <v>7.61</v>
      </c>
      <c r="T159">
        <v>0</v>
      </c>
      <c r="U159">
        <v>80.5</v>
      </c>
      <c r="V159">
        <v>835</v>
      </c>
      <c r="W159">
        <v>35.18</v>
      </c>
      <c r="Y159">
        <v>13.78</v>
      </c>
    </row>
    <row r="160" spans="1:25" x14ac:dyDescent="0.25">
      <c r="A160">
        <v>2006</v>
      </c>
      <c r="B160">
        <v>308</v>
      </c>
      <c r="C160">
        <v>1700</v>
      </c>
      <c r="D160">
        <v>10.83</v>
      </c>
      <c r="E160">
        <v>-28.13</v>
      </c>
      <c r="F160">
        <v>8.94</v>
      </c>
      <c r="G160">
        <v>10.28</v>
      </c>
      <c r="K160">
        <v>2.391</v>
      </c>
      <c r="L160">
        <v>258.7</v>
      </c>
      <c r="M160">
        <v>0</v>
      </c>
      <c r="O160">
        <v>3.899</v>
      </c>
      <c r="P160">
        <v>-5.5739999999999998</v>
      </c>
      <c r="Q160">
        <v>8.4600000000000009</v>
      </c>
      <c r="S160">
        <v>7.67</v>
      </c>
      <c r="T160">
        <v>0</v>
      </c>
      <c r="U160">
        <v>84.2</v>
      </c>
      <c r="V160">
        <v>835</v>
      </c>
      <c r="W160">
        <v>35.17</v>
      </c>
      <c r="Y160">
        <v>13.64</v>
      </c>
    </row>
    <row r="161" spans="1:25" x14ac:dyDescent="0.25">
      <c r="A161">
        <v>2006</v>
      </c>
      <c r="B161">
        <v>308</v>
      </c>
      <c r="C161">
        <v>1800</v>
      </c>
      <c r="D161">
        <v>-1.0580000000000001</v>
      </c>
      <c r="E161">
        <v>-12.88</v>
      </c>
      <c r="F161">
        <v>8.7899999999999991</v>
      </c>
      <c r="G161">
        <v>9.82</v>
      </c>
      <c r="K161">
        <v>1.804</v>
      </c>
      <c r="L161">
        <v>260</v>
      </c>
      <c r="M161">
        <v>0</v>
      </c>
      <c r="O161">
        <v>-11.91</v>
      </c>
      <c r="P161">
        <v>-11.37</v>
      </c>
      <c r="Q161">
        <v>8.5</v>
      </c>
      <c r="S161">
        <v>7.69</v>
      </c>
      <c r="T161">
        <v>0</v>
      </c>
      <c r="U161">
        <v>87.6</v>
      </c>
      <c r="V161">
        <v>835</v>
      </c>
      <c r="W161">
        <v>35.15</v>
      </c>
      <c r="Y161">
        <v>13.51</v>
      </c>
    </row>
    <row r="162" spans="1:25" x14ac:dyDescent="0.25">
      <c r="A162">
        <v>2006</v>
      </c>
      <c r="B162">
        <v>308</v>
      </c>
      <c r="C162">
        <v>1900</v>
      </c>
      <c r="D162">
        <v>-1.0660000000000001</v>
      </c>
      <c r="E162">
        <v>-15.38</v>
      </c>
      <c r="F162">
        <v>8.98</v>
      </c>
      <c r="G162">
        <v>9.9</v>
      </c>
      <c r="K162">
        <v>1.744</v>
      </c>
      <c r="L162">
        <v>245.7</v>
      </c>
      <c r="M162">
        <v>0</v>
      </c>
      <c r="O162">
        <v>-12.17</v>
      </c>
      <c r="P162">
        <v>-11.48</v>
      </c>
      <c r="Q162">
        <v>8.61</v>
      </c>
      <c r="S162">
        <v>7.81</v>
      </c>
      <c r="T162">
        <v>0</v>
      </c>
      <c r="U162">
        <v>88.9</v>
      </c>
      <c r="V162">
        <v>835</v>
      </c>
      <c r="W162">
        <v>35.159999999999997</v>
      </c>
      <c r="Y162">
        <v>13.42</v>
      </c>
    </row>
    <row r="163" spans="1:25" x14ac:dyDescent="0.25">
      <c r="A163">
        <v>2006</v>
      </c>
      <c r="B163">
        <v>308</v>
      </c>
      <c r="C163">
        <v>2000</v>
      </c>
      <c r="D163">
        <v>-1.3080000000000001</v>
      </c>
      <c r="E163">
        <v>-16.14</v>
      </c>
      <c r="F163">
        <v>8.8000000000000007</v>
      </c>
      <c r="G163">
        <v>9.61</v>
      </c>
      <c r="K163">
        <v>1.8</v>
      </c>
      <c r="L163">
        <v>245.3</v>
      </c>
      <c r="M163">
        <v>0</v>
      </c>
      <c r="O163">
        <v>-12.18</v>
      </c>
      <c r="P163">
        <v>-11.48</v>
      </c>
      <c r="Q163">
        <v>8.6199999999999992</v>
      </c>
      <c r="S163">
        <v>7.82</v>
      </c>
      <c r="T163">
        <v>0</v>
      </c>
      <c r="U163">
        <v>90.1</v>
      </c>
      <c r="V163">
        <v>835</v>
      </c>
      <c r="W163">
        <v>35.15</v>
      </c>
      <c r="Y163">
        <v>13.33</v>
      </c>
    </row>
    <row r="164" spans="1:25" x14ac:dyDescent="0.25">
      <c r="A164">
        <v>2006</v>
      </c>
      <c r="B164">
        <v>308</v>
      </c>
      <c r="C164">
        <v>2100</v>
      </c>
      <c r="D164">
        <v>-0.82899999999999996</v>
      </c>
      <c r="E164">
        <v>-9.24</v>
      </c>
      <c r="F164">
        <v>8.9700000000000006</v>
      </c>
      <c r="G164">
        <v>9.86</v>
      </c>
      <c r="K164">
        <v>1.964</v>
      </c>
      <c r="L164">
        <v>243.6</v>
      </c>
      <c r="M164">
        <v>0</v>
      </c>
      <c r="O164">
        <v>-12.18</v>
      </c>
      <c r="P164">
        <v>-11.48</v>
      </c>
      <c r="Q164">
        <v>8.66</v>
      </c>
      <c r="S164">
        <v>7.85</v>
      </c>
      <c r="T164">
        <v>0</v>
      </c>
      <c r="U164">
        <v>89.3</v>
      </c>
      <c r="V164">
        <v>835</v>
      </c>
      <c r="W164">
        <v>35.17</v>
      </c>
      <c r="Y164">
        <v>13.25</v>
      </c>
    </row>
    <row r="165" spans="1:25" x14ac:dyDescent="0.25">
      <c r="A165">
        <v>2006</v>
      </c>
      <c r="B165">
        <v>308</v>
      </c>
      <c r="C165">
        <v>2200</v>
      </c>
      <c r="D165">
        <v>-1.8169999999999999</v>
      </c>
      <c r="E165">
        <v>-30.85</v>
      </c>
      <c r="F165">
        <v>8.64</v>
      </c>
      <c r="G165">
        <v>9.42</v>
      </c>
      <c r="K165">
        <v>2.12</v>
      </c>
      <c r="L165">
        <v>248.7</v>
      </c>
      <c r="M165">
        <v>0</v>
      </c>
      <c r="O165">
        <v>-12.18</v>
      </c>
      <c r="P165">
        <v>-11.48</v>
      </c>
      <c r="Q165">
        <v>8.68</v>
      </c>
      <c r="S165">
        <v>7.91</v>
      </c>
      <c r="T165">
        <v>0</v>
      </c>
      <c r="U165">
        <v>90.3</v>
      </c>
      <c r="V165">
        <v>834</v>
      </c>
      <c r="W165">
        <v>35.14</v>
      </c>
      <c r="Y165">
        <v>13.18</v>
      </c>
    </row>
    <row r="166" spans="1:25" x14ac:dyDescent="0.25">
      <c r="A166">
        <v>2006</v>
      </c>
      <c r="B166">
        <v>308</v>
      </c>
      <c r="C166">
        <v>2300</v>
      </c>
      <c r="D166">
        <v>-2.0640000000000001</v>
      </c>
      <c r="E166">
        <v>-27.29</v>
      </c>
      <c r="F166">
        <v>8.19</v>
      </c>
      <c r="G166">
        <v>8.89</v>
      </c>
      <c r="K166">
        <v>2.181</v>
      </c>
      <c r="L166">
        <v>254</v>
      </c>
      <c r="M166">
        <v>0</v>
      </c>
      <c r="O166">
        <v>-12.17</v>
      </c>
      <c r="P166">
        <v>-11.48</v>
      </c>
      <c r="Q166">
        <v>8.68</v>
      </c>
      <c r="S166">
        <v>7.93</v>
      </c>
      <c r="T166">
        <v>0</v>
      </c>
      <c r="U166">
        <v>91.3</v>
      </c>
      <c r="V166">
        <v>835</v>
      </c>
      <c r="W166">
        <v>35.200000000000003</v>
      </c>
      <c r="Y166">
        <v>13.11</v>
      </c>
    </row>
    <row r="167" spans="1:25" x14ac:dyDescent="0.25">
      <c r="A167">
        <v>2006</v>
      </c>
      <c r="B167">
        <v>308</v>
      </c>
      <c r="C167">
        <v>2400</v>
      </c>
      <c r="D167">
        <v>-1.077</v>
      </c>
      <c r="E167">
        <v>-9.75</v>
      </c>
      <c r="F167">
        <v>8.49</v>
      </c>
      <c r="G167">
        <v>9.33</v>
      </c>
      <c r="K167">
        <v>2.2410000000000001</v>
      </c>
      <c r="L167">
        <v>243.6</v>
      </c>
      <c r="M167">
        <v>0</v>
      </c>
      <c r="O167">
        <v>-12.18</v>
      </c>
      <c r="P167">
        <v>-11.48</v>
      </c>
      <c r="Q167">
        <v>8.68</v>
      </c>
      <c r="S167">
        <v>7.94</v>
      </c>
      <c r="T167">
        <v>0</v>
      </c>
      <c r="U167">
        <v>89.6</v>
      </c>
      <c r="V167">
        <v>836</v>
      </c>
      <c r="W167">
        <v>35.22</v>
      </c>
      <c r="Y167">
        <v>13.05</v>
      </c>
    </row>
    <row r="168" spans="1:25" x14ac:dyDescent="0.25">
      <c r="A168">
        <v>2006</v>
      </c>
      <c r="B168">
        <v>308</v>
      </c>
      <c r="C168">
        <v>2400</v>
      </c>
      <c r="D168">
        <v>50.98</v>
      </c>
      <c r="E168">
        <v>17.27</v>
      </c>
      <c r="F168">
        <v>7.41</v>
      </c>
      <c r="G168">
        <v>8.5</v>
      </c>
      <c r="K168">
        <v>1.992</v>
      </c>
      <c r="L168">
        <v>250.4</v>
      </c>
      <c r="M168">
        <v>0</v>
      </c>
      <c r="O168">
        <v>51.54</v>
      </c>
      <c r="P168">
        <v>14.34</v>
      </c>
      <c r="Q168">
        <v>8.01</v>
      </c>
      <c r="S168">
        <v>7.6</v>
      </c>
      <c r="T168">
        <v>0</v>
      </c>
      <c r="U168">
        <v>86.3</v>
      </c>
      <c r="V168">
        <v>836</v>
      </c>
      <c r="W168">
        <v>35.24</v>
      </c>
      <c r="Y168">
        <v>13.4</v>
      </c>
    </row>
    <row r="169" spans="1:25" x14ac:dyDescent="0.25">
      <c r="A169">
        <v>2006</v>
      </c>
      <c r="B169">
        <v>309</v>
      </c>
      <c r="C169">
        <v>100</v>
      </c>
      <c r="D169">
        <v>-0.748</v>
      </c>
      <c r="E169">
        <v>-10.39</v>
      </c>
      <c r="F169">
        <v>8.15</v>
      </c>
      <c r="G169">
        <v>8.89</v>
      </c>
      <c r="K169">
        <v>2.1749999999999998</v>
      </c>
      <c r="L169">
        <v>237.3</v>
      </c>
      <c r="M169">
        <v>0</v>
      </c>
      <c r="O169">
        <v>-12.18</v>
      </c>
      <c r="P169">
        <v>-11.48</v>
      </c>
      <c r="Q169">
        <v>8.68</v>
      </c>
      <c r="S169">
        <v>7.94</v>
      </c>
      <c r="T169">
        <v>0</v>
      </c>
      <c r="U169">
        <v>90.8</v>
      </c>
      <c r="V169">
        <v>834</v>
      </c>
      <c r="W169">
        <v>35.130000000000003</v>
      </c>
      <c r="Y169">
        <v>13</v>
      </c>
    </row>
    <row r="170" spans="1:25" x14ac:dyDescent="0.25">
      <c r="A170">
        <v>2006</v>
      </c>
      <c r="B170">
        <v>309</v>
      </c>
      <c r="C170">
        <v>200</v>
      </c>
      <c r="D170">
        <v>-1.33</v>
      </c>
      <c r="E170">
        <v>-18.63</v>
      </c>
      <c r="F170">
        <v>8.0299999999999994</v>
      </c>
      <c r="G170">
        <v>8.77</v>
      </c>
      <c r="K170">
        <v>2.5990000000000002</v>
      </c>
      <c r="L170">
        <v>255.2</v>
      </c>
      <c r="M170">
        <v>0</v>
      </c>
      <c r="O170">
        <v>-12.18</v>
      </c>
      <c r="P170">
        <v>-11.48</v>
      </c>
      <c r="Q170">
        <v>8.68</v>
      </c>
      <c r="S170">
        <v>7.94</v>
      </c>
      <c r="T170">
        <v>0</v>
      </c>
      <c r="U170">
        <v>90.7</v>
      </c>
      <c r="V170">
        <v>834</v>
      </c>
      <c r="W170">
        <v>35.15</v>
      </c>
      <c r="Y170">
        <v>12.96</v>
      </c>
    </row>
    <row r="171" spans="1:25" x14ac:dyDescent="0.25">
      <c r="A171">
        <v>2006</v>
      </c>
      <c r="B171">
        <v>309</v>
      </c>
      <c r="C171">
        <v>300</v>
      </c>
      <c r="D171">
        <v>-0.78100000000000003</v>
      </c>
      <c r="E171">
        <v>-11.24</v>
      </c>
      <c r="F171">
        <v>8.24</v>
      </c>
      <c r="G171">
        <v>9.1</v>
      </c>
      <c r="K171">
        <v>2.9380000000000002</v>
      </c>
      <c r="L171">
        <v>257.39999999999998</v>
      </c>
      <c r="M171">
        <v>0</v>
      </c>
      <c r="O171">
        <v>-12.18</v>
      </c>
      <c r="P171">
        <v>-11.48</v>
      </c>
      <c r="Q171">
        <v>8.73</v>
      </c>
      <c r="S171">
        <v>7.97</v>
      </c>
      <c r="T171">
        <v>0</v>
      </c>
      <c r="U171">
        <v>89.4</v>
      </c>
      <c r="V171">
        <v>835</v>
      </c>
      <c r="W171">
        <v>35.159999999999997</v>
      </c>
      <c r="Y171">
        <v>12.93</v>
      </c>
    </row>
    <row r="172" spans="1:25" x14ac:dyDescent="0.25">
      <c r="A172">
        <v>2006</v>
      </c>
      <c r="B172">
        <v>309</v>
      </c>
      <c r="C172">
        <v>400</v>
      </c>
      <c r="D172">
        <v>-1.698</v>
      </c>
      <c r="E172">
        <v>-27.58</v>
      </c>
      <c r="F172">
        <v>8.1</v>
      </c>
      <c r="G172">
        <v>8.89</v>
      </c>
      <c r="K172">
        <v>2.3969999999999998</v>
      </c>
      <c r="L172">
        <v>262.60000000000002</v>
      </c>
      <c r="M172">
        <v>0</v>
      </c>
      <c r="O172">
        <v>-12.17</v>
      </c>
      <c r="P172">
        <v>-11.48</v>
      </c>
      <c r="Q172">
        <v>8.73</v>
      </c>
      <c r="S172">
        <v>8.0299999999999994</v>
      </c>
      <c r="T172">
        <v>0</v>
      </c>
      <c r="U172">
        <v>90.2</v>
      </c>
      <c r="V172">
        <v>835</v>
      </c>
      <c r="W172">
        <v>35.15</v>
      </c>
      <c r="Y172">
        <v>12.91</v>
      </c>
    </row>
    <row r="173" spans="1:25" x14ac:dyDescent="0.25">
      <c r="A173">
        <v>2006</v>
      </c>
      <c r="B173">
        <v>309</v>
      </c>
      <c r="C173">
        <v>500</v>
      </c>
      <c r="D173">
        <v>-1.3089999999999999</v>
      </c>
      <c r="E173">
        <v>-18.29</v>
      </c>
      <c r="F173">
        <v>7.96</v>
      </c>
      <c r="G173">
        <v>8.73</v>
      </c>
      <c r="K173">
        <v>2.105</v>
      </c>
      <c r="L173">
        <v>259.2</v>
      </c>
      <c r="M173">
        <v>0</v>
      </c>
      <c r="O173">
        <v>-12.18</v>
      </c>
      <c r="P173">
        <v>-11.48</v>
      </c>
      <c r="Q173">
        <v>8.73</v>
      </c>
      <c r="S173">
        <v>8.0399999999999991</v>
      </c>
      <c r="T173">
        <v>0</v>
      </c>
      <c r="U173">
        <v>90.3</v>
      </c>
      <c r="V173">
        <v>834</v>
      </c>
      <c r="W173">
        <v>35.14</v>
      </c>
      <c r="Y173">
        <v>12.89</v>
      </c>
    </row>
    <row r="174" spans="1:25" x14ac:dyDescent="0.25">
      <c r="A174">
        <v>2006</v>
      </c>
      <c r="B174">
        <v>309</v>
      </c>
      <c r="C174">
        <v>600</v>
      </c>
      <c r="D174">
        <v>-1.7709999999999999</v>
      </c>
      <c r="E174">
        <v>-31.03</v>
      </c>
      <c r="F174">
        <v>7.65</v>
      </c>
      <c r="G174">
        <v>8.41</v>
      </c>
      <c r="K174">
        <v>2.6789999999999998</v>
      </c>
      <c r="L174">
        <v>259.8</v>
      </c>
      <c r="M174">
        <v>0</v>
      </c>
      <c r="O174">
        <v>-12.17</v>
      </c>
      <c r="P174">
        <v>-11.48</v>
      </c>
      <c r="Q174">
        <v>8.74</v>
      </c>
      <c r="S174">
        <v>8.0500000000000007</v>
      </c>
      <c r="T174">
        <v>0</v>
      </c>
      <c r="U174">
        <v>90.2</v>
      </c>
      <c r="V174">
        <v>834</v>
      </c>
      <c r="W174">
        <v>35.119999999999997</v>
      </c>
      <c r="Y174">
        <v>12.87</v>
      </c>
    </row>
    <row r="175" spans="1:25" x14ac:dyDescent="0.25">
      <c r="A175">
        <v>2006</v>
      </c>
      <c r="B175">
        <v>309</v>
      </c>
      <c r="C175">
        <v>700</v>
      </c>
      <c r="D175">
        <v>-1.8360000000000001</v>
      </c>
      <c r="E175">
        <v>-33.67</v>
      </c>
      <c r="F175">
        <v>7.54</v>
      </c>
      <c r="G175">
        <v>8.35</v>
      </c>
      <c r="K175">
        <v>3.1040000000000001</v>
      </c>
      <c r="L175">
        <v>264.60000000000002</v>
      </c>
      <c r="M175">
        <v>0</v>
      </c>
      <c r="O175">
        <v>-12.18</v>
      </c>
      <c r="P175">
        <v>-11.48</v>
      </c>
      <c r="Q175">
        <v>8.7799999999999994</v>
      </c>
      <c r="S175">
        <v>8.09</v>
      </c>
      <c r="T175">
        <v>0</v>
      </c>
      <c r="U175">
        <v>89.6</v>
      </c>
      <c r="V175">
        <v>834</v>
      </c>
      <c r="W175">
        <v>35.1</v>
      </c>
      <c r="Y175">
        <v>12.87</v>
      </c>
    </row>
    <row r="176" spans="1:25" x14ac:dyDescent="0.25">
      <c r="A176">
        <v>2006</v>
      </c>
      <c r="B176">
        <v>309</v>
      </c>
      <c r="C176">
        <v>800</v>
      </c>
      <c r="D176">
        <v>2.1829999999999998</v>
      </c>
      <c r="E176">
        <v>-25.01</v>
      </c>
      <c r="F176">
        <v>7.49</v>
      </c>
      <c r="G176">
        <v>8.32</v>
      </c>
      <c r="K176">
        <v>3.359</v>
      </c>
      <c r="L176">
        <v>259.7</v>
      </c>
      <c r="M176">
        <v>0</v>
      </c>
      <c r="O176">
        <v>-7.21</v>
      </c>
      <c r="P176">
        <v>-10.07</v>
      </c>
      <c r="Q176">
        <v>8.7799999999999994</v>
      </c>
      <c r="S176">
        <v>8.09</v>
      </c>
      <c r="T176">
        <v>0</v>
      </c>
      <c r="U176">
        <v>89.5</v>
      </c>
      <c r="V176">
        <v>834</v>
      </c>
      <c r="W176">
        <v>35.090000000000003</v>
      </c>
      <c r="Y176">
        <v>12.86</v>
      </c>
    </row>
    <row r="177" spans="1:25" x14ac:dyDescent="0.25">
      <c r="A177">
        <v>2006</v>
      </c>
      <c r="B177">
        <v>309</v>
      </c>
      <c r="C177">
        <v>900</v>
      </c>
      <c r="D177">
        <v>47.56</v>
      </c>
      <c r="E177">
        <v>-0.42199999999999999</v>
      </c>
      <c r="F177">
        <v>7.6</v>
      </c>
      <c r="G177">
        <v>8.4600000000000009</v>
      </c>
      <c r="H177">
        <f>AVERAGE(G177:G201)</f>
        <v>9.0673999999999992</v>
      </c>
      <c r="I177">
        <f>MIN(G177:G201)</f>
        <v>6.4349999999999996</v>
      </c>
      <c r="J177">
        <f>MAX(G177:G201)</f>
        <v>10.71</v>
      </c>
      <c r="K177">
        <v>3.5510000000000002</v>
      </c>
      <c r="L177">
        <v>260.2</v>
      </c>
      <c r="M177">
        <v>0</v>
      </c>
      <c r="N177">
        <f>SUM(M177:M201)</f>
        <v>0</v>
      </c>
      <c r="O177">
        <v>50.17</v>
      </c>
      <c r="P177">
        <v>6.399</v>
      </c>
      <c r="Q177">
        <v>8.7799999999999994</v>
      </c>
      <c r="S177">
        <v>8.09</v>
      </c>
      <c r="T177">
        <v>0</v>
      </c>
      <c r="U177">
        <v>89.1</v>
      </c>
      <c r="V177">
        <v>833</v>
      </c>
      <c r="W177">
        <v>35.06</v>
      </c>
      <c r="Y177">
        <v>13.02</v>
      </c>
    </row>
    <row r="178" spans="1:25" x14ac:dyDescent="0.25">
      <c r="A178">
        <v>2006</v>
      </c>
      <c r="B178">
        <v>309</v>
      </c>
      <c r="C178">
        <v>1000</v>
      </c>
      <c r="D178">
        <v>85.7</v>
      </c>
      <c r="E178">
        <v>41.5</v>
      </c>
      <c r="F178">
        <v>8.07</v>
      </c>
      <c r="G178">
        <v>9.1</v>
      </c>
      <c r="K178">
        <v>3.254</v>
      </c>
      <c r="L178">
        <v>261.5</v>
      </c>
      <c r="M178">
        <v>0</v>
      </c>
      <c r="O178">
        <v>99.2</v>
      </c>
      <c r="P178">
        <v>19.62</v>
      </c>
      <c r="Q178">
        <v>8.76</v>
      </c>
      <c r="S178">
        <v>8.08</v>
      </c>
      <c r="T178">
        <v>0</v>
      </c>
      <c r="U178">
        <v>87.2</v>
      </c>
      <c r="V178">
        <v>833</v>
      </c>
      <c r="W178">
        <v>35.04</v>
      </c>
      <c r="Y178">
        <v>13.49</v>
      </c>
    </row>
    <row r="179" spans="1:25" x14ac:dyDescent="0.25">
      <c r="A179">
        <v>2006</v>
      </c>
      <c r="B179">
        <v>309</v>
      </c>
      <c r="C179">
        <v>1100</v>
      </c>
      <c r="D179">
        <v>96.6</v>
      </c>
      <c r="E179">
        <v>51.91</v>
      </c>
      <c r="F179">
        <v>8.3699999999999992</v>
      </c>
      <c r="G179">
        <v>9.59</v>
      </c>
      <c r="K179">
        <v>3.18</v>
      </c>
      <c r="L179">
        <v>257.3</v>
      </c>
      <c r="M179">
        <v>0</v>
      </c>
      <c r="O179">
        <v>112.9</v>
      </c>
      <c r="P179">
        <v>23.61</v>
      </c>
      <c r="Q179">
        <v>8.7899999999999991</v>
      </c>
      <c r="S179">
        <v>8.14</v>
      </c>
      <c r="T179">
        <v>0</v>
      </c>
      <c r="U179">
        <v>85.2</v>
      </c>
      <c r="V179">
        <v>833</v>
      </c>
      <c r="W179">
        <v>35.04</v>
      </c>
      <c r="Y179">
        <v>13.57</v>
      </c>
    </row>
    <row r="180" spans="1:25" x14ac:dyDescent="0.25">
      <c r="A180">
        <v>2006</v>
      </c>
      <c r="B180">
        <v>309</v>
      </c>
      <c r="C180">
        <v>1200</v>
      </c>
      <c r="D180">
        <v>129.9</v>
      </c>
      <c r="E180">
        <v>67.95</v>
      </c>
      <c r="F180">
        <v>8.67</v>
      </c>
      <c r="G180">
        <v>10.09</v>
      </c>
      <c r="K180">
        <v>3.39</v>
      </c>
      <c r="L180">
        <v>263.10000000000002</v>
      </c>
      <c r="M180">
        <v>0</v>
      </c>
      <c r="O180">
        <v>150.5</v>
      </c>
      <c r="P180">
        <v>34.79</v>
      </c>
      <c r="Q180">
        <v>8.86</v>
      </c>
      <c r="S180">
        <v>8.15</v>
      </c>
      <c r="T180">
        <v>0</v>
      </c>
      <c r="U180">
        <v>83.1</v>
      </c>
      <c r="V180">
        <v>832</v>
      </c>
      <c r="W180">
        <v>35.03</v>
      </c>
      <c r="Y180">
        <v>13.68</v>
      </c>
    </row>
    <row r="181" spans="1:25" x14ac:dyDescent="0.25">
      <c r="A181">
        <v>2006</v>
      </c>
      <c r="B181">
        <v>309</v>
      </c>
      <c r="C181">
        <v>1300</v>
      </c>
      <c r="D181">
        <v>87.2</v>
      </c>
      <c r="E181">
        <v>48.34</v>
      </c>
      <c r="F181">
        <v>8.8000000000000007</v>
      </c>
      <c r="G181">
        <v>10.36</v>
      </c>
      <c r="K181">
        <v>3.14</v>
      </c>
      <c r="L181">
        <v>259.10000000000002</v>
      </c>
      <c r="M181">
        <v>0</v>
      </c>
      <c r="O181">
        <v>93.9</v>
      </c>
      <c r="P181">
        <v>18.989999999999998</v>
      </c>
      <c r="Q181">
        <v>8.94</v>
      </c>
      <c r="S181">
        <v>8.17</v>
      </c>
      <c r="T181">
        <v>0</v>
      </c>
      <c r="U181">
        <v>81.599999999999994</v>
      </c>
      <c r="V181">
        <v>832</v>
      </c>
      <c r="W181">
        <v>35.020000000000003</v>
      </c>
      <c r="Y181">
        <v>13.61</v>
      </c>
    </row>
    <row r="182" spans="1:25" x14ac:dyDescent="0.25">
      <c r="A182">
        <v>2006</v>
      </c>
      <c r="B182">
        <v>309</v>
      </c>
      <c r="C182">
        <v>1400</v>
      </c>
      <c r="D182">
        <v>71.900000000000006</v>
      </c>
      <c r="E182">
        <v>39.81</v>
      </c>
      <c r="F182">
        <v>8.92</v>
      </c>
      <c r="G182">
        <v>10.71</v>
      </c>
      <c r="K182">
        <v>3.2160000000000002</v>
      </c>
      <c r="L182">
        <v>254.8</v>
      </c>
      <c r="M182">
        <v>0</v>
      </c>
      <c r="O182">
        <v>78.400000000000006</v>
      </c>
      <c r="P182">
        <v>14.92</v>
      </c>
      <c r="Q182">
        <v>9</v>
      </c>
      <c r="S182">
        <v>8.2200000000000006</v>
      </c>
      <c r="T182">
        <v>0</v>
      </c>
      <c r="U182">
        <v>79.3</v>
      </c>
      <c r="V182">
        <v>831</v>
      </c>
      <c r="W182">
        <v>34.96</v>
      </c>
      <c r="Y182">
        <v>13.55</v>
      </c>
    </row>
    <row r="183" spans="1:25" x14ac:dyDescent="0.25">
      <c r="A183">
        <v>2006</v>
      </c>
      <c r="B183">
        <v>309</v>
      </c>
      <c r="C183">
        <v>1500</v>
      </c>
      <c r="D183">
        <v>55.67</v>
      </c>
      <c r="E183">
        <v>22.41</v>
      </c>
      <c r="F183">
        <v>8.7799999999999994</v>
      </c>
      <c r="G183">
        <v>10.47</v>
      </c>
      <c r="K183">
        <v>2.87</v>
      </c>
      <c r="L183">
        <v>256.89999999999998</v>
      </c>
      <c r="M183">
        <v>0</v>
      </c>
      <c r="O183">
        <v>51.86</v>
      </c>
      <c r="P183">
        <v>10.68</v>
      </c>
      <c r="Q183">
        <v>9.07</v>
      </c>
      <c r="S183">
        <v>8.1999999999999993</v>
      </c>
      <c r="T183">
        <v>0</v>
      </c>
      <c r="U183">
        <v>80.3</v>
      </c>
      <c r="V183">
        <v>832</v>
      </c>
      <c r="W183">
        <v>35</v>
      </c>
      <c r="Y183">
        <v>13.53</v>
      </c>
    </row>
    <row r="184" spans="1:25" x14ac:dyDescent="0.25">
      <c r="A184">
        <v>2006</v>
      </c>
      <c r="B184">
        <v>309</v>
      </c>
      <c r="C184">
        <v>1600</v>
      </c>
      <c r="D184">
        <v>89.6</v>
      </c>
      <c r="E184">
        <v>21.74</v>
      </c>
      <c r="F184">
        <v>8.57</v>
      </c>
      <c r="G184">
        <v>10.07</v>
      </c>
      <c r="K184">
        <v>2.5329999999999999</v>
      </c>
      <c r="L184">
        <v>246.5</v>
      </c>
      <c r="M184">
        <v>0</v>
      </c>
      <c r="O184">
        <v>92.8</v>
      </c>
      <c r="P184">
        <v>52.32</v>
      </c>
      <c r="Q184">
        <v>9.14</v>
      </c>
      <c r="S184">
        <v>8.23</v>
      </c>
      <c r="T184">
        <v>0</v>
      </c>
      <c r="U184">
        <v>82.2</v>
      </c>
      <c r="V184">
        <v>828</v>
      </c>
      <c r="W184">
        <v>34.79</v>
      </c>
      <c r="Y184">
        <v>13.76</v>
      </c>
    </row>
    <row r="185" spans="1:25" x14ac:dyDescent="0.25">
      <c r="A185">
        <v>2006</v>
      </c>
      <c r="B185">
        <v>309</v>
      </c>
      <c r="C185">
        <v>1700</v>
      </c>
      <c r="D185">
        <v>12.99</v>
      </c>
      <c r="E185">
        <v>-31.18</v>
      </c>
      <c r="F185">
        <v>8.16</v>
      </c>
      <c r="G185">
        <v>9.43</v>
      </c>
      <c r="K185">
        <v>2.4500000000000002</v>
      </c>
      <c r="L185">
        <v>249.2</v>
      </c>
      <c r="M185">
        <v>0</v>
      </c>
      <c r="O185">
        <v>6.2050000000000001</v>
      </c>
      <c r="P185">
        <v>-3.1509999999999998</v>
      </c>
      <c r="Q185">
        <v>9.16</v>
      </c>
      <c r="S185">
        <v>8.23</v>
      </c>
      <c r="T185">
        <v>0</v>
      </c>
      <c r="U185">
        <v>84.5</v>
      </c>
      <c r="V185">
        <v>776</v>
      </c>
      <c r="W185">
        <v>32.18</v>
      </c>
      <c r="Y185">
        <v>13.65</v>
      </c>
    </row>
    <row r="186" spans="1:25" x14ac:dyDescent="0.25">
      <c r="A186">
        <v>2006</v>
      </c>
      <c r="B186">
        <v>309</v>
      </c>
      <c r="C186">
        <v>1800</v>
      </c>
      <c r="D186">
        <v>-1.1759999999999999</v>
      </c>
      <c r="E186">
        <v>-17.760000000000002</v>
      </c>
      <c r="F186">
        <v>8.08</v>
      </c>
      <c r="G186">
        <v>9.01</v>
      </c>
      <c r="K186">
        <v>1.63</v>
      </c>
      <c r="L186">
        <v>234.6</v>
      </c>
      <c r="M186">
        <v>0</v>
      </c>
      <c r="O186">
        <v>-11.96</v>
      </c>
      <c r="P186">
        <v>-11.41</v>
      </c>
      <c r="Q186">
        <v>9.2100000000000009</v>
      </c>
      <c r="S186">
        <v>8.26</v>
      </c>
      <c r="T186">
        <v>0</v>
      </c>
      <c r="U186">
        <v>88.4</v>
      </c>
      <c r="V186">
        <v>832</v>
      </c>
      <c r="W186">
        <v>35.01</v>
      </c>
      <c r="Y186">
        <v>13.52</v>
      </c>
    </row>
    <row r="187" spans="1:25" x14ac:dyDescent="0.25">
      <c r="A187">
        <v>2006</v>
      </c>
      <c r="B187">
        <v>309</v>
      </c>
      <c r="C187">
        <v>1900</v>
      </c>
      <c r="D187">
        <v>-1.107</v>
      </c>
      <c r="E187">
        <v>-14.04</v>
      </c>
      <c r="F187">
        <v>8.5399999999999991</v>
      </c>
      <c r="G187">
        <v>9.49</v>
      </c>
      <c r="K187">
        <v>1.9419999999999999</v>
      </c>
      <c r="L187">
        <v>248.3</v>
      </c>
      <c r="M187">
        <v>0</v>
      </c>
      <c r="O187">
        <v>-12.18</v>
      </c>
      <c r="P187">
        <v>-11.48</v>
      </c>
      <c r="Q187">
        <v>9.2100000000000009</v>
      </c>
      <c r="S187">
        <v>8.31</v>
      </c>
      <c r="T187">
        <v>0</v>
      </c>
      <c r="U187">
        <v>88.3</v>
      </c>
      <c r="V187">
        <v>832</v>
      </c>
      <c r="W187">
        <v>34.979999999999997</v>
      </c>
      <c r="Y187">
        <v>13.43</v>
      </c>
    </row>
    <row r="188" spans="1:25" x14ac:dyDescent="0.25">
      <c r="A188">
        <v>2006</v>
      </c>
      <c r="B188">
        <v>309</v>
      </c>
      <c r="C188">
        <v>2000</v>
      </c>
      <c r="D188">
        <v>-0.58699999999999997</v>
      </c>
      <c r="E188">
        <v>-5.3339999999999996</v>
      </c>
      <c r="F188">
        <v>8.5500000000000007</v>
      </c>
      <c r="G188">
        <v>9.75</v>
      </c>
      <c r="K188">
        <v>2.1070000000000002</v>
      </c>
      <c r="L188">
        <v>255.5</v>
      </c>
      <c r="M188">
        <v>0</v>
      </c>
      <c r="O188">
        <v>-12.18</v>
      </c>
      <c r="P188">
        <v>-11.48</v>
      </c>
      <c r="Q188">
        <v>9.2100000000000009</v>
      </c>
      <c r="S188">
        <v>8.3699999999999992</v>
      </c>
      <c r="T188">
        <v>0</v>
      </c>
      <c r="U188">
        <v>85.5</v>
      </c>
      <c r="V188">
        <v>831</v>
      </c>
      <c r="W188">
        <v>34.97</v>
      </c>
      <c r="Y188">
        <v>13.34</v>
      </c>
    </row>
    <row r="189" spans="1:25" x14ac:dyDescent="0.25">
      <c r="A189">
        <v>2006</v>
      </c>
      <c r="B189">
        <v>309</v>
      </c>
      <c r="C189">
        <v>2100</v>
      </c>
      <c r="D189">
        <v>-0.57299999999999995</v>
      </c>
      <c r="E189">
        <v>-4.3460000000000001</v>
      </c>
      <c r="F189">
        <v>8.35</v>
      </c>
      <c r="G189">
        <v>9.98</v>
      </c>
      <c r="K189">
        <v>2.4889999999999999</v>
      </c>
      <c r="L189">
        <v>261</v>
      </c>
      <c r="M189">
        <v>0</v>
      </c>
      <c r="O189">
        <v>-12.17</v>
      </c>
      <c r="P189">
        <v>-11.48</v>
      </c>
      <c r="Q189">
        <v>9.2100000000000009</v>
      </c>
      <c r="S189">
        <v>8.3699999999999992</v>
      </c>
      <c r="T189">
        <v>0</v>
      </c>
      <c r="U189">
        <v>80.599999999999994</v>
      </c>
      <c r="V189">
        <v>829</v>
      </c>
      <c r="W189">
        <v>34.86</v>
      </c>
      <c r="Y189">
        <v>13.26</v>
      </c>
    </row>
    <row r="190" spans="1:25" x14ac:dyDescent="0.25">
      <c r="A190">
        <v>2006</v>
      </c>
      <c r="B190">
        <v>309</v>
      </c>
      <c r="C190">
        <v>2200</v>
      </c>
      <c r="D190">
        <v>-0.70599999999999996</v>
      </c>
      <c r="E190">
        <v>-8.67</v>
      </c>
      <c r="F190">
        <v>8.19</v>
      </c>
      <c r="G190">
        <v>9.9499999999999993</v>
      </c>
      <c r="K190">
        <v>2.766</v>
      </c>
      <c r="L190">
        <v>248.5</v>
      </c>
      <c r="M190">
        <v>0</v>
      </c>
      <c r="O190">
        <v>-12.18</v>
      </c>
      <c r="P190">
        <v>-11.48</v>
      </c>
      <c r="Q190">
        <v>9.2100000000000009</v>
      </c>
      <c r="S190">
        <v>8.3699999999999992</v>
      </c>
      <c r="T190">
        <v>0</v>
      </c>
      <c r="U190">
        <v>79</v>
      </c>
      <c r="V190">
        <v>828</v>
      </c>
      <c r="W190">
        <v>34.799999999999997</v>
      </c>
      <c r="Y190">
        <v>13.19</v>
      </c>
    </row>
    <row r="191" spans="1:25" x14ac:dyDescent="0.25">
      <c r="A191">
        <v>2006</v>
      </c>
      <c r="B191">
        <v>309</v>
      </c>
      <c r="C191">
        <v>2300</v>
      </c>
      <c r="D191">
        <v>-1.4750000000000001</v>
      </c>
      <c r="E191">
        <v>-21.46</v>
      </c>
      <c r="F191">
        <v>7.9</v>
      </c>
      <c r="G191">
        <v>9.43</v>
      </c>
      <c r="K191">
        <v>2.2519999999999998</v>
      </c>
      <c r="L191">
        <v>247.7</v>
      </c>
      <c r="M191">
        <v>0</v>
      </c>
      <c r="O191">
        <v>-12.18</v>
      </c>
      <c r="P191">
        <v>-11.48</v>
      </c>
      <c r="Q191">
        <v>9.2100000000000009</v>
      </c>
      <c r="S191">
        <v>8.3699999999999992</v>
      </c>
      <c r="T191">
        <v>0</v>
      </c>
      <c r="U191">
        <v>81.400000000000006</v>
      </c>
      <c r="V191">
        <v>832</v>
      </c>
      <c r="W191">
        <v>35.020000000000003</v>
      </c>
      <c r="Y191">
        <v>13.11</v>
      </c>
    </row>
    <row r="192" spans="1:25" x14ac:dyDescent="0.25">
      <c r="A192">
        <v>2006</v>
      </c>
      <c r="B192">
        <v>309</v>
      </c>
      <c r="C192">
        <v>2400</v>
      </c>
      <c r="D192">
        <v>-1.8660000000000001</v>
      </c>
      <c r="E192">
        <v>-29.71</v>
      </c>
      <c r="F192">
        <v>7.6</v>
      </c>
      <c r="G192">
        <v>9.0500000000000007</v>
      </c>
      <c r="K192">
        <v>2.246</v>
      </c>
      <c r="L192">
        <v>246.5</v>
      </c>
      <c r="M192">
        <v>0</v>
      </c>
      <c r="O192">
        <v>-12.18</v>
      </c>
      <c r="P192">
        <v>-11.48</v>
      </c>
      <c r="Q192">
        <v>9.2100000000000009</v>
      </c>
      <c r="S192">
        <v>8.3699999999999992</v>
      </c>
      <c r="T192">
        <v>0</v>
      </c>
      <c r="U192">
        <v>82.2</v>
      </c>
      <c r="V192">
        <v>832</v>
      </c>
      <c r="W192">
        <v>35.01</v>
      </c>
      <c r="Y192">
        <v>13.05</v>
      </c>
    </row>
    <row r="193" spans="1:25" x14ac:dyDescent="0.25">
      <c r="A193">
        <v>2006</v>
      </c>
      <c r="B193">
        <v>309</v>
      </c>
      <c r="C193">
        <v>2400</v>
      </c>
      <c r="D193">
        <v>27.6</v>
      </c>
      <c r="E193">
        <v>-0.629</v>
      </c>
      <c r="F193">
        <v>8.18</v>
      </c>
      <c r="G193">
        <v>9.35</v>
      </c>
      <c r="K193">
        <v>2.6819999999999999</v>
      </c>
      <c r="L193">
        <v>254.5</v>
      </c>
      <c r="M193">
        <v>0</v>
      </c>
      <c r="O193">
        <v>23.27</v>
      </c>
      <c r="P193">
        <v>0.31</v>
      </c>
      <c r="Q193">
        <v>8.9499999999999993</v>
      </c>
      <c r="S193">
        <v>8.17</v>
      </c>
      <c r="T193">
        <v>0</v>
      </c>
      <c r="U193">
        <v>85.8</v>
      </c>
      <c r="V193">
        <v>830</v>
      </c>
      <c r="W193">
        <v>34.909999999999997</v>
      </c>
      <c r="Y193">
        <v>13.25</v>
      </c>
    </row>
    <row r="194" spans="1:25" x14ac:dyDescent="0.25">
      <c r="A194">
        <v>2006</v>
      </c>
      <c r="B194">
        <v>310</v>
      </c>
      <c r="C194">
        <v>100</v>
      </c>
      <c r="D194">
        <v>-1.413</v>
      </c>
      <c r="E194">
        <v>-21.35</v>
      </c>
      <c r="F194">
        <v>7.42</v>
      </c>
      <c r="G194">
        <v>8.76</v>
      </c>
      <c r="K194">
        <v>1.9850000000000001</v>
      </c>
      <c r="L194">
        <v>244.8</v>
      </c>
      <c r="M194">
        <v>0</v>
      </c>
      <c r="O194">
        <v>-12.18</v>
      </c>
      <c r="P194">
        <v>-11.48</v>
      </c>
      <c r="Q194">
        <v>9.18</v>
      </c>
      <c r="S194">
        <v>8.3699999999999992</v>
      </c>
      <c r="T194">
        <v>0</v>
      </c>
      <c r="U194">
        <v>83.3</v>
      </c>
      <c r="V194">
        <v>832</v>
      </c>
      <c r="W194">
        <v>35</v>
      </c>
      <c r="Y194">
        <v>13</v>
      </c>
    </row>
    <row r="195" spans="1:25" x14ac:dyDescent="0.25">
      <c r="A195">
        <v>2006</v>
      </c>
      <c r="B195">
        <v>310</v>
      </c>
      <c r="C195">
        <v>200</v>
      </c>
      <c r="D195">
        <v>-1.6020000000000001</v>
      </c>
      <c r="E195">
        <v>-23.14</v>
      </c>
      <c r="F195">
        <v>7.18</v>
      </c>
      <c r="G195">
        <v>8.4700000000000006</v>
      </c>
      <c r="K195">
        <v>2.0840000000000001</v>
      </c>
      <c r="L195">
        <v>237.6</v>
      </c>
      <c r="M195">
        <v>0</v>
      </c>
      <c r="O195">
        <v>-12.17</v>
      </c>
      <c r="P195">
        <v>-11.48</v>
      </c>
      <c r="Q195">
        <v>9.17</v>
      </c>
      <c r="S195">
        <v>8.39</v>
      </c>
      <c r="T195">
        <v>0</v>
      </c>
      <c r="U195">
        <v>83.8</v>
      </c>
      <c r="V195">
        <v>834</v>
      </c>
      <c r="W195">
        <v>35.090000000000003</v>
      </c>
      <c r="Y195">
        <v>12.95</v>
      </c>
    </row>
    <row r="196" spans="1:25" x14ac:dyDescent="0.25">
      <c r="A196">
        <v>2006</v>
      </c>
      <c r="B196">
        <v>310</v>
      </c>
      <c r="C196">
        <v>300</v>
      </c>
      <c r="D196">
        <v>-1.7010000000000001</v>
      </c>
      <c r="E196">
        <v>-26.48</v>
      </c>
      <c r="F196">
        <v>6.8920000000000003</v>
      </c>
      <c r="G196">
        <v>7.96</v>
      </c>
      <c r="K196">
        <v>1.7609999999999999</v>
      </c>
      <c r="L196">
        <v>232.1</v>
      </c>
      <c r="M196">
        <v>0</v>
      </c>
      <c r="O196">
        <v>-12.18</v>
      </c>
      <c r="P196">
        <v>-11.48</v>
      </c>
      <c r="Q196">
        <v>9.16</v>
      </c>
      <c r="S196">
        <v>8.42</v>
      </c>
      <c r="T196">
        <v>0</v>
      </c>
      <c r="U196">
        <v>86.2</v>
      </c>
      <c r="V196">
        <v>833</v>
      </c>
      <c r="W196">
        <v>35.04</v>
      </c>
      <c r="Y196">
        <v>12.92</v>
      </c>
    </row>
    <row r="197" spans="1:25" x14ac:dyDescent="0.25">
      <c r="A197">
        <v>2006</v>
      </c>
      <c r="B197">
        <v>310</v>
      </c>
      <c r="C197">
        <v>400</v>
      </c>
      <c r="D197">
        <v>-1.119</v>
      </c>
      <c r="E197">
        <v>-16.7</v>
      </c>
      <c r="F197">
        <v>6.7089999999999996</v>
      </c>
      <c r="G197">
        <v>7.6</v>
      </c>
      <c r="K197">
        <v>2.0609999999999999</v>
      </c>
      <c r="L197">
        <v>230</v>
      </c>
      <c r="M197">
        <v>0</v>
      </c>
      <c r="O197">
        <v>-12.18</v>
      </c>
      <c r="P197">
        <v>-11.49</v>
      </c>
      <c r="Q197">
        <v>9.1300000000000008</v>
      </c>
      <c r="S197">
        <v>8.43</v>
      </c>
      <c r="T197">
        <v>0</v>
      </c>
      <c r="U197">
        <v>88.3</v>
      </c>
      <c r="V197">
        <v>832</v>
      </c>
      <c r="W197">
        <v>35.01</v>
      </c>
      <c r="Y197">
        <v>12.9</v>
      </c>
    </row>
    <row r="198" spans="1:25" x14ac:dyDescent="0.25">
      <c r="A198">
        <v>2006</v>
      </c>
      <c r="B198">
        <v>310</v>
      </c>
      <c r="C198">
        <v>500</v>
      </c>
      <c r="D198">
        <v>-0.57899999999999996</v>
      </c>
      <c r="E198">
        <v>-8.44</v>
      </c>
      <c r="F198">
        <v>7.03</v>
      </c>
      <c r="G198">
        <v>7.85</v>
      </c>
      <c r="K198">
        <v>1.9059999999999999</v>
      </c>
      <c r="L198">
        <v>236</v>
      </c>
      <c r="M198">
        <v>0</v>
      </c>
      <c r="O198">
        <v>-12.18</v>
      </c>
      <c r="P198">
        <v>-11.48</v>
      </c>
      <c r="Q198">
        <v>9.1300000000000008</v>
      </c>
      <c r="S198">
        <v>8.4499999999999993</v>
      </c>
      <c r="T198">
        <v>0</v>
      </c>
      <c r="U198">
        <v>89.4</v>
      </c>
      <c r="V198">
        <v>832</v>
      </c>
      <c r="W198">
        <v>35</v>
      </c>
      <c r="Y198">
        <v>12.89</v>
      </c>
    </row>
    <row r="199" spans="1:25" x14ac:dyDescent="0.25">
      <c r="A199">
        <v>2006</v>
      </c>
      <c r="B199">
        <v>310</v>
      </c>
      <c r="C199">
        <v>600</v>
      </c>
      <c r="D199">
        <v>-0.61099999999999999</v>
      </c>
      <c r="E199">
        <v>-9.2899999999999991</v>
      </c>
      <c r="F199">
        <v>7.01</v>
      </c>
      <c r="G199">
        <v>7.79</v>
      </c>
      <c r="K199">
        <v>1.907</v>
      </c>
      <c r="L199">
        <v>222.4</v>
      </c>
      <c r="M199">
        <v>0</v>
      </c>
      <c r="O199">
        <v>-12.18</v>
      </c>
      <c r="P199">
        <v>-11.48</v>
      </c>
      <c r="Q199">
        <v>9.09</v>
      </c>
      <c r="S199">
        <v>8.4499999999999993</v>
      </c>
      <c r="T199">
        <v>0</v>
      </c>
      <c r="U199">
        <v>89.9</v>
      </c>
      <c r="V199">
        <v>831</v>
      </c>
      <c r="W199">
        <v>34.97</v>
      </c>
      <c r="Y199">
        <v>12.87</v>
      </c>
    </row>
    <row r="200" spans="1:25" x14ac:dyDescent="0.25">
      <c r="A200">
        <v>2006</v>
      </c>
      <c r="B200">
        <v>310</v>
      </c>
      <c r="C200">
        <v>700</v>
      </c>
      <c r="D200">
        <v>-0.79300000000000004</v>
      </c>
      <c r="E200">
        <v>-16.170000000000002</v>
      </c>
      <c r="F200">
        <v>6.7969999999999997</v>
      </c>
      <c r="G200">
        <v>7.53</v>
      </c>
      <c r="K200">
        <v>1.9850000000000001</v>
      </c>
      <c r="L200">
        <v>238.1</v>
      </c>
      <c r="M200">
        <v>0</v>
      </c>
      <c r="O200">
        <v>-12.18</v>
      </c>
      <c r="P200">
        <v>-11.48</v>
      </c>
      <c r="Q200">
        <v>9.08</v>
      </c>
      <c r="S200">
        <v>8.4499999999999993</v>
      </c>
      <c r="T200">
        <v>0</v>
      </c>
      <c r="U200">
        <v>90.3</v>
      </c>
      <c r="V200">
        <v>831</v>
      </c>
      <c r="W200">
        <v>34.97</v>
      </c>
      <c r="Y200">
        <v>12.86</v>
      </c>
    </row>
    <row r="201" spans="1:25" x14ac:dyDescent="0.25">
      <c r="A201">
        <v>2006</v>
      </c>
      <c r="B201">
        <v>310</v>
      </c>
      <c r="C201">
        <v>800</v>
      </c>
      <c r="D201">
        <v>2.7570000000000001</v>
      </c>
      <c r="E201">
        <v>-41.14</v>
      </c>
      <c r="F201">
        <v>6.0369999999999999</v>
      </c>
      <c r="G201">
        <v>6.4349999999999996</v>
      </c>
      <c r="K201">
        <v>1.946</v>
      </c>
      <c r="L201">
        <v>228.8</v>
      </c>
      <c r="M201">
        <v>0</v>
      </c>
      <c r="O201">
        <v>-5.8520000000000003</v>
      </c>
      <c r="P201">
        <v>-9.2899999999999991</v>
      </c>
      <c r="Q201">
        <v>9.07</v>
      </c>
      <c r="S201">
        <v>8.3800000000000008</v>
      </c>
      <c r="T201">
        <v>0</v>
      </c>
      <c r="U201">
        <v>94.5</v>
      </c>
      <c r="V201">
        <v>831</v>
      </c>
      <c r="W201">
        <v>34.97</v>
      </c>
      <c r="Y201">
        <v>12.86</v>
      </c>
    </row>
    <row r="202" spans="1:25" x14ac:dyDescent="0.25">
      <c r="A202">
        <v>2006</v>
      </c>
      <c r="B202">
        <v>310</v>
      </c>
      <c r="C202">
        <v>900</v>
      </c>
      <c r="D202">
        <v>62.63</v>
      </c>
      <c r="E202">
        <v>-15.81</v>
      </c>
      <c r="F202">
        <v>6.2809999999999997</v>
      </c>
      <c r="G202">
        <v>6.7519999999999998</v>
      </c>
      <c r="H202">
        <f>AVERAGE(G202:G226)</f>
        <v>8.3246399999999987</v>
      </c>
      <c r="I202">
        <f>MIN(G202:G226)</f>
        <v>4.3310000000000004</v>
      </c>
      <c r="J202">
        <f>MAX(G202:G226)</f>
        <v>10.02</v>
      </c>
      <c r="K202">
        <v>2.0680000000000001</v>
      </c>
      <c r="L202">
        <v>239</v>
      </c>
      <c r="M202">
        <v>0</v>
      </c>
      <c r="N202">
        <f>SUM(M202:M226)</f>
        <v>0.8</v>
      </c>
      <c r="O202">
        <v>46.11</v>
      </c>
      <c r="P202">
        <v>18.02</v>
      </c>
      <c r="Q202">
        <v>9.02</v>
      </c>
      <c r="S202">
        <v>8.36</v>
      </c>
      <c r="T202">
        <v>0</v>
      </c>
      <c r="U202">
        <v>93.6</v>
      </c>
      <c r="V202">
        <v>832</v>
      </c>
      <c r="W202">
        <v>34.979999999999997</v>
      </c>
      <c r="Y202">
        <v>13.06</v>
      </c>
    </row>
    <row r="203" spans="1:25" x14ac:dyDescent="0.25">
      <c r="A203">
        <v>2006</v>
      </c>
      <c r="B203">
        <v>310</v>
      </c>
      <c r="C203">
        <v>1000</v>
      </c>
      <c r="D203">
        <v>165.5</v>
      </c>
      <c r="E203">
        <v>104.6</v>
      </c>
      <c r="F203">
        <v>7.29</v>
      </c>
      <c r="G203">
        <v>8.0500000000000007</v>
      </c>
      <c r="K203">
        <v>2.0960000000000001</v>
      </c>
      <c r="L203">
        <v>249</v>
      </c>
      <c r="M203">
        <v>0</v>
      </c>
      <c r="O203">
        <v>199.7</v>
      </c>
      <c r="P203">
        <v>95.6</v>
      </c>
      <c r="Q203">
        <v>9.01</v>
      </c>
      <c r="S203">
        <v>8.41</v>
      </c>
      <c r="T203">
        <v>0</v>
      </c>
      <c r="U203">
        <v>90.1</v>
      </c>
      <c r="V203">
        <v>829</v>
      </c>
      <c r="W203">
        <v>34.81</v>
      </c>
      <c r="Y203">
        <v>14.49</v>
      </c>
    </row>
    <row r="204" spans="1:25" x14ac:dyDescent="0.25">
      <c r="A204">
        <v>2006</v>
      </c>
      <c r="B204">
        <v>310</v>
      </c>
      <c r="C204">
        <v>1100</v>
      </c>
      <c r="D204">
        <v>243.9</v>
      </c>
      <c r="E204">
        <v>162.9</v>
      </c>
      <c r="F204">
        <v>8.08</v>
      </c>
      <c r="G204">
        <v>9.07</v>
      </c>
      <c r="K204">
        <v>1.9379999999999999</v>
      </c>
      <c r="L204">
        <v>239.8</v>
      </c>
      <c r="M204">
        <v>0</v>
      </c>
      <c r="O204">
        <v>299.2</v>
      </c>
      <c r="P204">
        <v>124.7</v>
      </c>
      <c r="Q204">
        <v>9.01</v>
      </c>
      <c r="S204">
        <v>8.43</v>
      </c>
      <c r="T204">
        <v>0</v>
      </c>
      <c r="U204">
        <v>87.8</v>
      </c>
      <c r="V204">
        <v>831</v>
      </c>
      <c r="W204">
        <v>34.93</v>
      </c>
      <c r="Y204">
        <v>14.7</v>
      </c>
    </row>
    <row r="205" spans="1:25" x14ac:dyDescent="0.25">
      <c r="A205">
        <v>2006</v>
      </c>
      <c r="B205">
        <v>310</v>
      </c>
      <c r="C205">
        <v>1200</v>
      </c>
      <c r="D205">
        <v>269.39999999999998</v>
      </c>
      <c r="E205">
        <v>176.4</v>
      </c>
      <c r="F205">
        <v>8.66</v>
      </c>
      <c r="G205">
        <v>9.64</v>
      </c>
      <c r="K205">
        <v>1.966</v>
      </c>
      <c r="L205">
        <v>243.1</v>
      </c>
      <c r="M205">
        <v>0</v>
      </c>
      <c r="O205">
        <v>323.7</v>
      </c>
      <c r="P205">
        <v>124.9</v>
      </c>
      <c r="Q205">
        <v>9.0299999999999994</v>
      </c>
      <c r="S205">
        <v>8.4700000000000006</v>
      </c>
      <c r="T205">
        <v>0</v>
      </c>
      <c r="U205">
        <v>88.1</v>
      </c>
      <c r="V205">
        <v>831</v>
      </c>
      <c r="W205">
        <v>34.97</v>
      </c>
      <c r="Y205">
        <v>14.3</v>
      </c>
    </row>
    <row r="206" spans="1:25" x14ac:dyDescent="0.25">
      <c r="A206">
        <v>2006</v>
      </c>
      <c r="B206">
        <v>310</v>
      </c>
      <c r="C206">
        <v>1300</v>
      </c>
      <c r="D206">
        <v>321</v>
      </c>
      <c r="E206">
        <v>220.5</v>
      </c>
      <c r="F206">
        <v>9.14</v>
      </c>
      <c r="G206">
        <v>10.02</v>
      </c>
      <c r="K206">
        <v>2.0459999999999998</v>
      </c>
      <c r="L206">
        <v>235.5</v>
      </c>
      <c r="M206">
        <v>0</v>
      </c>
      <c r="O206">
        <v>382.9</v>
      </c>
      <c r="P206">
        <v>162.9</v>
      </c>
      <c r="Q206">
        <v>9.0399999999999991</v>
      </c>
      <c r="S206">
        <v>8.41</v>
      </c>
      <c r="T206">
        <v>0</v>
      </c>
      <c r="U206">
        <v>89.4</v>
      </c>
      <c r="V206">
        <v>832</v>
      </c>
      <c r="W206">
        <v>35.01</v>
      </c>
      <c r="Y206">
        <v>14.5</v>
      </c>
    </row>
    <row r="207" spans="1:25" x14ac:dyDescent="0.25">
      <c r="A207">
        <v>2006</v>
      </c>
      <c r="B207">
        <v>310</v>
      </c>
      <c r="C207">
        <v>1400</v>
      </c>
      <c r="D207">
        <v>281.10000000000002</v>
      </c>
      <c r="E207">
        <v>185.5</v>
      </c>
      <c r="F207">
        <v>9.2200000000000006</v>
      </c>
      <c r="G207">
        <v>10</v>
      </c>
      <c r="K207">
        <v>2.0630000000000002</v>
      </c>
      <c r="L207">
        <v>234.6</v>
      </c>
      <c r="M207">
        <v>0</v>
      </c>
      <c r="O207">
        <v>328.1</v>
      </c>
      <c r="P207">
        <v>157.19999999999999</v>
      </c>
      <c r="Q207">
        <v>9.1199999999999992</v>
      </c>
      <c r="S207">
        <v>8.42</v>
      </c>
      <c r="T207">
        <v>0</v>
      </c>
      <c r="U207">
        <v>90.6</v>
      </c>
      <c r="V207">
        <v>832</v>
      </c>
      <c r="W207">
        <v>35</v>
      </c>
      <c r="Y207">
        <v>14.43</v>
      </c>
    </row>
    <row r="208" spans="1:25" x14ac:dyDescent="0.25">
      <c r="A208">
        <v>2006</v>
      </c>
      <c r="B208">
        <v>310</v>
      </c>
      <c r="C208">
        <v>1500</v>
      </c>
      <c r="D208">
        <v>202</v>
      </c>
      <c r="E208">
        <v>117.3</v>
      </c>
      <c r="F208">
        <v>9.17</v>
      </c>
      <c r="G208">
        <v>9.4600000000000009</v>
      </c>
      <c r="K208">
        <v>1.5629999999999999</v>
      </c>
      <c r="L208">
        <v>239.3</v>
      </c>
      <c r="M208">
        <v>0.2</v>
      </c>
      <c r="O208">
        <v>228.6</v>
      </c>
      <c r="P208">
        <v>136.69999999999999</v>
      </c>
      <c r="Q208">
        <v>9.23</v>
      </c>
      <c r="S208">
        <v>8.4700000000000006</v>
      </c>
      <c r="T208">
        <v>0</v>
      </c>
      <c r="U208">
        <v>96.5</v>
      </c>
      <c r="V208">
        <v>832</v>
      </c>
      <c r="W208">
        <v>35</v>
      </c>
      <c r="Y208">
        <v>14.37</v>
      </c>
    </row>
    <row r="209" spans="1:25" x14ac:dyDescent="0.25">
      <c r="A209">
        <v>2006</v>
      </c>
      <c r="B209">
        <v>310</v>
      </c>
      <c r="C209">
        <v>1600</v>
      </c>
      <c r="D209">
        <v>98.5</v>
      </c>
      <c r="E209">
        <v>30.71</v>
      </c>
      <c r="F209">
        <v>8.5</v>
      </c>
      <c r="G209">
        <v>8.43</v>
      </c>
      <c r="K209">
        <v>1.0389999999999999</v>
      </c>
      <c r="L209">
        <v>227.7</v>
      </c>
      <c r="M209">
        <v>0</v>
      </c>
      <c r="O209">
        <v>96.6</v>
      </c>
      <c r="P209">
        <v>87.7</v>
      </c>
      <c r="Q209">
        <v>9.32</v>
      </c>
      <c r="S209">
        <v>8.42</v>
      </c>
      <c r="T209">
        <v>0</v>
      </c>
      <c r="U209">
        <v>100.9</v>
      </c>
      <c r="V209">
        <v>831</v>
      </c>
      <c r="W209">
        <v>34.96</v>
      </c>
      <c r="Y209">
        <v>13.97</v>
      </c>
    </row>
    <row r="210" spans="1:25" x14ac:dyDescent="0.25">
      <c r="A210">
        <v>2006</v>
      </c>
      <c r="B210">
        <v>310</v>
      </c>
      <c r="C210">
        <v>1700</v>
      </c>
      <c r="D210">
        <v>7.4</v>
      </c>
      <c r="E210">
        <v>-48.26</v>
      </c>
      <c r="F210">
        <v>6.5620000000000003</v>
      </c>
      <c r="G210">
        <v>6.4749999999999996</v>
      </c>
      <c r="K210">
        <v>0.84399999999999997</v>
      </c>
      <c r="L210">
        <v>242.9</v>
      </c>
      <c r="M210">
        <v>0</v>
      </c>
      <c r="O210">
        <v>-0.96799999999999997</v>
      </c>
      <c r="P210">
        <v>-3.778</v>
      </c>
      <c r="Q210">
        <v>9.27</v>
      </c>
      <c r="S210">
        <v>8.3699999999999992</v>
      </c>
      <c r="T210">
        <v>0</v>
      </c>
      <c r="U210">
        <v>101.2</v>
      </c>
      <c r="V210">
        <v>832</v>
      </c>
      <c r="W210">
        <v>35.03</v>
      </c>
      <c r="Y210">
        <v>13.68</v>
      </c>
    </row>
    <row r="211" spans="1:25" x14ac:dyDescent="0.25">
      <c r="A211">
        <v>2006</v>
      </c>
      <c r="B211">
        <v>310</v>
      </c>
      <c r="C211">
        <v>1800</v>
      </c>
      <c r="D211">
        <v>-3.2770000000000001</v>
      </c>
      <c r="E211">
        <v>-38.15</v>
      </c>
      <c r="F211">
        <v>4.9450000000000003</v>
      </c>
      <c r="G211">
        <v>4.8280000000000003</v>
      </c>
      <c r="K211">
        <v>0.69599999999999995</v>
      </c>
      <c r="L211">
        <v>245.5</v>
      </c>
      <c r="M211">
        <v>0</v>
      </c>
      <c r="O211">
        <v>-12.14</v>
      </c>
      <c r="P211">
        <v>-11.48</v>
      </c>
      <c r="Q211">
        <v>9.19</v>
      </c>
      <c r="S211">
        <v>8.36</v>
      </c>
      <c r="T211">
        <v>0</v>
      </c>
      <c r="U211">
        <v>101.7</v>
      </c>
      <c r="V211">
        <v>831</v>
      </c>
      <c r="W211">
        <v>34.97</v>
      </c>
      <c r="Y211">
        <v>13.54</v>
      </c>
    </row>
    <row r="212" spans="1:25" x14ac:dyDescent="0.25">
      <c r="A212">
        <v>2006</v>
      </c>
      <c r="B212">
        <v>310</v>
      </c>
      <c r="C212">
        <v>1900</v>
      </c>
      <c r="D212">
        <v>-2.274</v>
      </c>
      <c r="E212">
        <v>-19.559999999999999</v>
      </c>
      <c r="F212">
        <v>4.4089999999999998</v>
      </c>
      <c r="G212">
        <v>4.3310000000000004</v>
      </c>
      <c r="K212">
        <v>0.91600000000000004</v>
      </c>
      <c r="L212">
        <v>236</v>
      </c>
      <c r="M212">
        <v>0</v>
      </c>
      <c r="O212">
        <v>-12.18</v>
      </c>
      <c r="P212">
        <v>-11.49</v>
      </c>
      <c r="Q212">
        <v>9.0299999999999994</v>
      </c>
      <c r="S212">
        <v>8.35</v>
      </c>
      <c r="T212">
        <v>0</v>
      </c>
      <c r="U212">
        <v>101.3</v>
      </c>
      <c r="V212">
        <v>829</v>
      </c>
      <c r="W212">
        <v>34.840000000000003</v>
      </c>
      <c r="Y212">
        <v>13.45</v>
      </c>
    </row>
    <row r="213" spans="1:25" x14ac:dyDescent="0.25">
      <c r="A213">
        <v>2006</v>
      </c>
      <c r="B213">
        <v>310</v>
      </c>
      <c r="C213">
        <v>2000</v>
      </c>
      <c r="D213">
        <v>-1.1439999999999999</v>
      </c>
      <c r="E213">
        <v>-10.85</v>
      </c>
      <c r="F213">
        <v>6.7859999999999996</v>
      </c>
      <c r="G213">
        <v>7.12</v>
      </c>
      <c r="K213">
        <v>1.1040000000000001</v>
      </c>
      <c r="L213">
        <v>218.4</v>
      </c>
      <c r="M213">
        <v>0</v>
      </c>
      <c r="O213">
        <v>-12.18</v>
      </c>
      <c r="P213">
        <v>-11.48</v>
      </c>
      <c r="Q213">
        <v>8.8699999999999992</v>
      </c>
      <c r="S213">
        <v>8.36</v>
      </c>
      <c r="T213">
        <v>0</v>
      </c>
      <c r="U213">
        <v>95.5</v>
      </c>
      <c r="V213">
        <v>829</v>
      </c>
      <c r="W213">
        <v>34.86</v>
      </c>
      <c r="Y213">
        <v>13.36</v>
      </c>
    </row>
    <row r="214" spans="1:25" x14ac:dyDescent="0.25">
      <c r="A214">
        <v>2006</v>
      </c>
      <c r="B214">
        <v>310</v>
      </c>
      <c r="C214">
        <v>2100</v>
      </c>
      <c r="D214">
        <v>-1.5760000000000001</v>
      </c>
      <c r="E214">
        <v>-14.64</v>
      </c>
      <c r="F214">
        <v>7.46</v>
      </c>
      <c r="G214">
        <v>7.9</v>
      </c>
      <c r="K214">
        <v>1.2130000000000001</v>
      </c>
      <c r="L214">
        <v>223.5</v>
      </c>
      <c r="M214">
        <v>0</v>
      </c>
      <c r="O214">
        <v>-12.18</v>
      </c>
      <c r="P214">
        <v>-11.48</v>
      </c>
      <c r="Q214">
        <v>8.77</v>
      </c>
      <c r="S214">
        <v>8.36</v>
      </c>
      <c r="T214">
        <v>0</v>
      </c>
      <c r="U214">
        <v>94.3</v>
      </c>
      <c r="V214">
        <v>831</v>
      </c>
      <c r="W214">
        <v>34.96</v>
      </c>
      <c r="Y214">
        <v>13.29</v>
      </c>
    </row>
    <row r="215" spans="1:25" x14ac:dyDescent="0.25">
      <c r="A215">
        <v>2006</v>
      </c>
      <c r="B215">
        <v>310</v>
      </c>
      <c r="C215">
        <v>2200</v>
      </c>
      <c r="D215">
        <v>-1.2749999999999999</v>
      </c>
      <c r="E215">
        <v>-10.66</v>
      </c>
      <c r="F215">
        <v>8.26</v>
      </c>
      <c r="G215">
        <v>8.69</v>
      </c>
      <c r="K215">
        <v>1.3440000000000001</v>
      </c>
      <c r="L215">
        <v>215.9</v>
      </c>
      <c r="M215">
        <v>0</v>
      </c>
      <c r="O215">
        <v>-12.18</v>
      </c>
      <c r="P215">
        <v>-11.48</v>
      </c>
      <c r="Q215">
        <v>8.7200000000000006</v>
      </c>
      <c r="S215">
        <v>8.36</v>
      </c>
      <c r="T215">
        <v>0</v>
      </c>
      <c r="U215">
        <v>94.6</v>
      </c>
      <c r="V215">
        <v>830</v>
      </c>
      <c r="W215">
        <v>34.86</v>
      </c>
      <c r="Y215">
        <v>13.21</v>
      </c>
    </row>
    <row r="216" spans="1:25" x14ac:dyDescent="0.25">
      <c r="A216">
        <v>2006</v>
      </c>
      <c r="B216">
        <v>310</v>
      </c>
      <c r="C216">
        <v>2300</v>
      </c>
      <c r="D216">
        <v>-1.2370000000000001</v>
      </c>
      <c r="E216">
        <v>-9.76</v>
      </c>
      <c r="F216">
        <v>8.66</v>
      </c>
      <c r="G216">
        <v>8.94</v>
      </c>
      <c r="K216">
        <v>1.391</v>
      </c>
      <c r="L216">
        <v>231.5</v>
      </c>
      <c r="M216">
        <v>0</v>
      </c>
      <c r="O216">
        <v>-12.18</v>
      </c>
      <c r="P216">
        <v>-11.48</v>
      </c>
      <c r="Q216">
        <v>8.67</v>
      </c>
      <c r="S216">
        <v>8.33</v>
      </c>
      <c r="T216">
        <v>0</v>
      </c>
      <c r="U216">
        <v>96.4</v>
      </c>
      <c r="V216">
        <v>829</v>
      </c>
      <c r="W216">
        <v>34.85</v>
      </c>
      <c r="Y216">
        <v>13.14</v>
      </c>
    </row>
    <row r="217" spans="1:25" x14ac:dyDescent="0.25">
      <c r="A217">
        <v>2006</v>
      </c>
      <c r="B217">
        <v>310</v>
      </c>
      <c r="C217">
        <v>2400</v>
      </c>
      <c r="D217">
        <v>-0.58399999999999996</v>
      </c>
      <c r="E217">
        <v>-2.9449999999999998</v>
      </c>
      <c r="F217">
        <v>8.66</v>
      </c>
      <c r="G217">
        <v>8.86</v>
      </c>
      <c r="K217">
        <v>1.351</v>
      </c>
      <c r="L217">
        <v>241.2</v>
      </c>
      <c r="M217">
        <v>0</v>
      </c>
      <c r="O217">
        <v>-12.18</v>
      </c>
      <c r="P217">
        <v>-11.48</v>
      </c>
      <c r="Q217">
        <v>8.66</v>
      </c>
      <c r="S217">
        <v>8.27</v>
      </c>
      <c r="T217">
        <v>0</v>
      </c>
      <c r="U217">
        <v>97.4</v>
      </c>
      <c r="V217">
        <v>830</v>
      </c>
      <c r="W217">
        <v>34.880000000000003</v>
      </c>
      <c r="Y217">
        <v>13.08</v>
      </c>
    </row>
    <row r="218" spans="1:25" x14ac:dyDescent="0.25">
      <c r="A218">
        <v>2006</v>
      </c>
      <c r="B218">
        <v>310</v>
      </c>
      <c r="C218">
        <v>2400</v>
      </c>
      <c r="D218">
        <v>68.12</v>
      </c>
      <c r="E218">
        <v>27.69</v>
      </c>
      <c r="F218">
        <v>7.38</v>
      </c>
      <c r="G218">
        <v>7.96</v>
      </c>
      <c r="K218">
        <v>1.6359999999999999</v>
      </c>
      <c r="L218">
        <v>234.7</v>
      </c>
      <c r="M218">
        <v>0.2</v>
      </c>
      <c r="O218">
        <v>72</v>
      </c>
      <c r="P218">
        <v>30.58</v>
      </c>
      <c r="Q218">
        <v>9.0399999999999991</v>
      </c>
      <c r="S218">
        <v>8.39</v>
      </c>
      <c r="T218">
        <v>0</v>
      </c>
      <c r="U218">
        <v>92.7</v>
      </c>
      <c r="V218">
        <v>831</v>
      </c>
      <c r="W218">
        <v>34.96</v>
      </c>
      <c r="Y218">
        <v>13.49</v>
      </c>
    </row>
    <row r="219" spans="1:25" x14ac:dyDescent="0.25">
      <c r="A219">
        <v>2006</v>
      </c>
      <c r="B219">
        <v>311</v>
      </c>
      <c r="C219">
        <v>100</v>
      </c>
      <c r="D219">
        <v>-0.79100000000000004</v>
      </c>
      <c r="E219">
        <v>-5.2670000000000003</v>
      </c>
      <c r="F219">
        <v>8.6199999999999992</v>
      </c>
      <c r="G219">
        <v>8.82</v>
      </c>
      <c r="K219">
        <v>1.1639999999999999</v>
      </c>
      <c r="L219">
        <v>249.6</v>
      </c>
      <c r="M219">
        <v>0</v>
      </c>
      <c r="O219">
        <v>-12.18</v>
      </c>
      <c r="P219">
        <v>-11.48</v>
      </c>
      <c r="Q219">
        <v>8.66</v>
      </c>
      <c r="S219">
        <v>8.19</v>
      </c>
      <c r="T219">
        <v>0</v>
      </c>
      <c r="U219">
        <v>97.5</v>
      </c>
      <c r="V219">
        <v>829</v>
      </c>
      <c r="W219">
        <v>34.81</v>
      </c>
      <c r="Y219">
        <v>13.02</v>
      </c>
    </row>
    <row r="220" spans="1:25" x14ac:dyDescent="0.25">
      <c r="A220">
        <v>2006</v>
      </c>
      <c r="B220">
        <v>311</v>
      </c>
      <c r="C220">
        <v>200</v>
      </c>
      <c r="D220">
        <v>-0.86099999999999999</v>
      </c>
      <c r="E220">
        <v>-5.4870000000000001</v>
      </c>
      <c r="F220">
        <v>8.49</v>
      </c>
      <c r="G220">
        <v>8.6199999999999992</v>
      </c>
      <c r="K220">
        <v>1.1220000000000001</v>
      </c>
      <c r="L220">
        <v>217.6</v>
      </c>
      <c r="M220">
        <v>0.2</v>
      </c>
      <c r="O220">
        <v>-12.18</v>
      </c>
      <c r="P220">
        <v>-11.48</v>
      </c>
      <c r="Q220">
        <v>8.64</v>
      </c>
      <c r="S220">
        <v>8.16</v>
      </c>
      <c r="T220">
        <v>0</v>
      </c>
      <c r="U220">
        <v>98.4</v>
      </c>
      <c r="V220">
        <v>829</v>
      </c>
      <c r="W220">
        <v>34.82</v>
      </c>
      <c r="Y220">
        <v>12.98</v>
      </c>
    </row>
    <row r="221" spans="1:25" x14ac:dyDescent="0.25">
      <c r="A221">
        <v>2006</v>
      </c>
      <c r="B221">
        <v>311</v>
      </c>
      <c r="C221">
        <v>300</v>
      </c>
      <c r="D221">
        <v>-0.95899999999999996</v>
      </c>
      <c r="E221">
        <v>-6.1289999999999996</v>
      </c>
      <c r="F221">
        <v>8.51</v>
      </c>
      <c r="G221">
        <v>8.66</v>
      </c>
      <c r="K221">
        <v>1.1439999999999999</v>
      </c>
      <c r="L221">
        <v>216.3</v>
      </c>
      <c r="M221">
        <v>0.2</v>
      </c>
      <c r="O221">
        <v>-12.17</v>
      </c>
      <c r="P221">
        <v>-11.48</v>
      </c>
      <c r="Q221">
        <v>8.6999999999999993</v>
      </c>
      <c r="S221">
        <v>8.18</v>
      </c>
      <c r="T221">
        <v>0</v>
      </c>
      <c r="U221">
        <v>98.1</v>
      </c>
      <c r="V221">
        <v>830</v>
      </c>
      <c r="W221">
        <v>34.869999999999997</v>
      </c>
      <c r="Y221">
        <v>12.94</v>
      </c>
    </row>
    <row r="222" spans="1:25" x14ac:dyDescent="0.25">
      <c r="A222">
        <v>2006</v>
      </c>
      <c r="B222">
        <v>311</v>
      </c>
      <c r="C222">
        <v>400</v>
      </c>
      <c r="D222">
        <v>-0.59499999999999997</v>
      </c>
      <c r="E222">
        <v>-4.8220000000000001</v>
      </c>
      <c r="F222">
        <v>8.57</v>
      </c>
      <c r="G222">
        <v>8.7200000000000006</v>
      </c>
      <c r="K222">
        <v>0.78300000000000003</v>
      </c>
      <c r="L222">
        <v>235.8</v>
      </c>
      <c r="M222">
        <v>0</v>
      </c>
      <c r="O222">
        <v>-12.17</v>
      </c>
      <c r="P222">
        <v>-11.48</v>
      </c>
      <c r="Q222">
        <v>8.6999999999999993</v>
      </c>
      <c r="S222">
        <v>8.18</v>
      </c>
      <c r="T222">
        <v>0</v>
      </c>
      <c r="U222">
        <v>98</v>
      </c>
      <c r="V222">
        <v>829</v>
      </c>
      <c r="W222">
        <v>34.82</v>
      </c>
      <c r="Y222">
        <v>12.92</v>
      </c>
    </row>
    <row r="223" spans="1:25" x14ac:dyDescent="0.25">
      <c r="A223">
        <v>2006</v>
      </c>
      <c r="B223">
        <v>311</v>
      </c>
      <c r="C223">
        <v>500</v>
      </c>
      <c r="D223">
        <v>-0.57099999999999995</v>
      </c>
      <c r="E223">
        <v>-1.99</v>
      </c>
      <c r="F223">
        <v>8.75</v>
      </c>
      <c r="G223">
        <v>8.91</v>
      </c>
      <c r="K223">
        <v>1.095</v>
      </c>
      <c r="L223">
        <v>219.1</v>
      </c>
      <c r="M223">
        <v>0</v>
      </c>
      <c r="O223">
        <v>-12.18</v>
      </c>
      <c r="P223">
        <v>-11.48</v>
      </c>
      <c r="Q223">
        <v>8.74</v>
      </c>
      <c r="S223">
        <v>8.18</v>
      </c>
      <c r="T223">
        <v>0</v>
      </c>
      <c r="U223">
        <v>97.9</v>
      </c>
      <c r="V223">
        <v>830</v>
      </c>
      <c r="W223">
        <v>34.9</v>
      </c>
      <c r="Y223">
        <v>12.9</v>
      </c>
    </row>
    <row r="224" spans="1:25" x14ac:dyDescent="0.25">
      <c r="A224">
        <v>2006</v>
      </c>
      <c r="B224">
        <v>311</v>
      </c>
      <c r="C224">
        <v>600</v>
      </c>
      <c r="D224">
        <v>-0.56799999999999995</v>
      </c>
      <c r="E224">
        <v>-2.806</v>
      </c>
      <c r="F224">
        <v>8.8699999999999992</v>
      </c>
      <c r="G224">
        <v>9.11</v>
      </c>
      <c r="K224">
        <v>1.4159999999999999</v>
      </c>
      <c r="L224">
        <v>213.4</v>
      </c>
      <c r="M224">
        <v>0</v>
      </c>
      <c r="O224">
        <v>-12.18</v>
      </c>
      <c r="P224">
        <v>-11.49</v>
      </c>
      <c r="Q224">
        <v>8.75</v>
      </c>
      <c r="S224">
        <v>8.16</v>
      </c>
      <c r="T224">
        <v>0</v>
      </c>
      <c r="U224">
        <v>97</v>
      </c>
      <c r="V224">
        <v>831</v>
      </c>
      <c r="W224">
        <v>34.96</v>
      </c>
      <c r="Y224">
        <v>12.89</v>
      </c>
    </row>
    <row r="225" spans="1:25" x14ac:dyDescent="0.25">
      <c r="A225">
        <v>2006</v>
      </c>
      <c r="B225">
        <v>311</v>
      </c>
      <c r="C225">
        <v>700</v>
      </c>
      <c r="D225">
        <v>-0.218</v>
      </c>
      <c r="E225">
        <v>-4.1509999999999998</v>
      </c>
      <c r="F225">
        <v>9.01</v>
      </c>
      <c r="G225">
        <v>9.34</v>
      </c>
      <c r="K225">
        <v>1.6779999999999999</v>
      </c>
      <c r="L225">
        <v>221</v>
      </c>
      <c r="M225">
        <v>0</v>
      </c>
      <c r="O225">
        <v>-12.18</v>
      </c>
      <c r="P225">
        <v>-11.48</v>
      </c>
      <c r="Q225">
        <v>8.7899999999999991</v>
      </c>
      <c r="S225">
        <v>8.1999999999999993</v>
      </c>
      <c r="T225">
        <v>0</v>
      </c>
      <c r="U225">
        <v>95.9</v>
      </c>
      <c r="V225">
        <v>831</v>
      </c>
      <c r="W225">
        <v>34.97</v>
      </c>
      <c r="Y225">
        <v>12.88</v>
      </c>
    </row>
    <row r="226" spans="1:25" x14ac:dyDescent="0.25">
      <c r="A226">
        <v>2006</v>
      </c>
      <c r="B226">
        <v>311</v>
      </c>
      <c r="C226">
        <v>800</v>
      </c>
      <c r="D226">
        <v>0.98199999999999998</v>
      </c>
      <c r="E226">
        <v>-6.1020000000000003</v>
      </c>
      <c r="F226">
        <v>9.09</v>
      </c>
      <c r="G226">
        <v>9.41</v>
      </c>
      <c r="K226">
        <v>1.704</v>
      </c>
      <c r="L226">
        <v>224.2</v>
      </c>
      <c r="M226">
        <v>0</v>
      </c>
      <c r="O226">
        <v>-10.6</v>
      </c>
      <c r="P226">
        <v>-11.17</v>
      </c>
      <c r="Q226">
        <v>8.83</v>
      </c>
      <c r="S226">
        <v>8.25</v>
      </c>
      <c r="T226">
        <v>0</v>
      </c>
      <c r="U226">
        <v>96.1</v>
      </c>
      <c r="V226">
        <v>833</v>
      </c>
      <c r="W226">
        <v>35.08</v>
      </c>
      <c r="Y226">
        <v>12.87</v>
      </c>
    </row>
    <row r="227" spans="1:25" x14ac:dyDescent="0.25">
      <c r="A227">
        <v>2006</v>
      </c>
      <c r="B227">
        <v>311</v>
      </c>
      <c r="C227">
        <v>900</v>
      </c>
      <c r="D227">
        <v>20.100000000000001</v>
      </c>
      <c r="E227">
        <v>2.742</v>
      </c>
      <c r="F227">
        <v>9.33</v>
      </c>
      <c r="G227">
        <v>9.67</v>
      </c>
      <c r="H227">
        <f>AVERAGE(G227:G251)</f>
        <v>10.866000000000001</v>
      </c>
      <c r="I227">
        <f>MIN(G227:G251)</f>
        <v>9.4600000000000009</v>
      </c>
      <c r="J227">
        <f>MAX(G227:G251)</f>
        <v>12.11</v>
      </c>
      <c r="K227">
        <v>1.9319999999999999</v>
      </c>
      <c r="L227">
        <v>218.2</v>
      </c>
      <c r="M227">
        <v>0</v>
      </c>
      <c r="N227">
        <f>SUM(M227:M251)</f>
        <v>4.2</v>
      </c>
      <c r="O227">
        <v>10.83</v>
      </c>
      <c r="P227">
        <v>-5.9130000000000003</v>
      </c>
      <c r="Q227">
        <v>8.8699999999999992</v>
      </c>
      <c r="S227">
        <v>8.26</v>
      </c>
      <c r="T227">
        <v>0</v>
      </c>
      <c r="U227">
        <v>95.8</v>
      </c>
      <c r="V227">
        <v>831</v>
      </c>
      <c r="W227">
        <v>34.94</v>
      </c>
      <c r="Y227">
        <v>12.86</v>
      </c>
    </row>
    <row r="228" spans="1:25" x14ac:dyDescent="0.25">
      <c r="A228">
        <v>2006</v>
      </c>
      <c r="B228">
        <v>311</v>
      </c>
      <c r="C228">
        <v>1000</v>
      </c>
      <c r="D228">
        <v>76.7</v>
      </c>
      <c r="E228">
        <v>42.75</v>
      </c>
      <c r="F228">
        <v>9.85</v>
      </c>
      <c r="G228">
        <v>10.18</v>
      </c>
      <c r="K228">
        <v>1.9219999999999999</v>
      </c>
      <c r="L228">
        <v>204.7</v>
      </c>
      <c r="M228">
        <v>0</v>
      </c>
      <c r="O228">
        <v>80.2</v>
      </c>
      <c r="P228">
        <v>9.91</v>
      </c>
      <c r="Q228">
        <v>8.92</v>
      </c>
      <c r="S228">
        <v>8.26</v>
      </c>
      <c r="T228">
        <v>0</v>
      </c>
      <c r="U228">
        <v>96</v>
      </c>
      <c r="V228">
        <v>830</v>
      </c>
      <c r="W228">
        <v>34.9</v>
      </c>
      <c r="Y228">
        <v>13.14</v>
      </c>
    </row>
    <row r="229" spans="1:25" x14ac:dyDescent="0.25">
      <c r="A229">
        <v>2006</v>
      </c>
      <c r="B229">
        <v>311</v>
      </c>
      <c r="C229">
        <v>1100</v>
      </c>
      <c r="D229">
        <v>70.400000000000006</v>
      </c>
      <c r="E229">
        <v>43.46</v>
      </c>
      <c r="F229">
        <v>10.28</v>
      </c>
      <c r="G229">
        <v>10.61</v>
      </c>
      <c r="K229">
        <v>1.9259999999999999</v>
      </c>
      <c r="L229">
        <v>209.5</v>
      </c>
      <c r="M229">
        <v>0</v>
      </c>
      <c r="O229">
        <v>74.599999999999994</v>
      </c>
      <c r="P229">
        <v>8.02</v>
      </c>
      <c r="Q229">
        <v>9.0299999999999994</v>
      </c>
      <c r="S229">
        <v>8.34</v>
      </c>
      <c r="T229">
        <v>0</v>
      </c>
      <c r="U229">
        <v>96.1</v>
      </c>
      <c r="V229">
        <v>827</v>
      </c>
      <c r="W229">
        <v>34.72</v>
      </c>
      <c r="Y229">
        <v>13.44</v>
      </c>
    </row>
    <row r="230" spans="1:25" x14ac:dyDescent="0.25">
      <c r="A230">
        <v>2006</v>
      </c>
      <c r="B230">
        <v>311</v>
      </c>
      <c r="C230">
        <v>1200</v>
      </c>
      <c r="D230">
        <v>85.3</v>
      </c>
      <c r="E230">
        <v>52.58</v>
      </c>
      <c r="F230">
        <v>10.73</v>
      </c>
      <c r="G230">
        <v>11.17</v>
      </c>
      <c r="K230">
        <v>1.482</v>
      </c>
      <c r="L230">
        <v>216.6</v>
      </c>
      <c r="M230">
        <v>0</v>
      </c>
      <c r="O230">
        <v>97.8</v>
      </c>
      <c r="P230">
        <v>13.75</v>
      </c>
      <c r="Q230">
        <v>9.14</v>
      </c>
      <c r="S230">
        <v>8.33</v>
      </c>
      <c r="T230">
        <v>0</v>
      </c>
      <c r="U230">
        <v>94.9</v>
      </c>
      <c r="V230">
        <v>828</v>
      </c>
      <c r="W230">
        <v>34.78</v>
      </c>
      <c r="Y230">
        <v>13.53</v>
      </c>
    </row>
    <row r="231" spans="1:25" x14ac:dyDescent="0.25">
      <c r="A231">
        <v>2006</v>
      </c>
      <c r="B231">
        <v>311</v>
      </c>
      <c r="C231">
        <v>1300</v>
      </c>
      <c r="D231">
        <v>138.69999999999999</v>
      </c>
      <c r="E231">
        <v>83.6</v>
      </c>
      <c r="F231">
        <v>11.26</v>
      </c>
      <c r="G231">
        <v>11.83</v>
      </c>
      <c r="K231">
        <v>1.768</v>
      </c>
      <c r="L231">
        <v>213.2</v>
      </c>
      <c r="M231">
        <v>0</v>
      </c>
      <c r="O231">
        <v>164</v>
      </c>
      <c r="P231">
        <v>30.66</v>
      </c>
      <c r="Q231">
        <v>9.26</v>
      </c>
      <c r="S231">
        <v>8.3699999999999992</v>
      </c>
      <c r="T231">
        <v>0</v>
      </c>
      <c r="U231">
        <v>93.5</v>
      </c>
      <c r="V231">
        <v>828</v>
      </c>
      <c r="W231">
        <v>34.75</v>
      </c>
      <c r="Y231">
        <v>13.68</v>
      </c>
    </row>
    <row r="232" spans="1:25" x14ac:dyDescent="0.25">
      <c r="A232">
        <v>2006</v>
      </c>
      <c r="B232">
        <v>311</v>
      </c>
      <c r="C232">
        <v>1400</v>
      </c>
      <c r="D232">
        <v>127.7</v>
      </c>
      <c r="E232">
        <v>68.319999999999993</v>
      </c>
      <c r="F232">
        <v>11.52</v>
      </c>
      <c r="G232">
        <v>12.02</v>
      </c>
      <c r="K232">
        <v>1.6180000000000001</v>
      </c>
      <c r="L232">
        <v>228.9</v>
      </c>
      <c r="M232">
        <v>0</v>
      </c>
      <c r="O232">
        <v>141.6</v>
      </c>
      <c r="P232">
        <v>30.66</v>
      </c>
      <c r="Q232">
        <v>9.4700000000000006</v>
      </c>
      <c r="S232">
        <v>8.44</v>
      </c>
      <c r="T232">
        <v>0</v>
      </c>
      <c r="U232">
        <v>94.3</v>
      </c>
      <c r="V232">
        <v>827</v>
      </c>
      <c r="W232">
        <v>34.69</v>
      </c>
      <c r="Y232">
        <v>13.77</v>
      </c>
    </row>
    <row r="233" spans="1:25" x14ac:dyDescent="0.25">
      <c r="A233">
        <v>2006</v>
      </c>
      <c r="B233">
        <v>311</v>
      </c>
      <c r="C233">
        <v>1500</v>
      </c>
      <c r="D233">
        <v>121</v>
      </c>
      <c r="E233">
        <v>64.44</v>
      </c>
      <c r="F233">
        <v>11.69</v>
      </c>
      <c r="G233">
        <v>12.11</v>
      </c>
      <c r="K233">
        <v>2.1339999999999999</v>
      </c>
      <c r="L233">
        <v>226</v>
      </c>
      <c r="M233">
        <v>0</v>
      </c>
      <c r="O233">
        <v>132.6</v>
      </c>
      <c r="P233">
        <v>32.18</v>
      </c>
      <c r="Q233">
        <v>9.68</v>
      </c>
      <c r="S233">
        <v>8.52</v>
      </c>
      <c r="T233">
        <v>0</v>
      </c>
      <c r="U233">
        <v>95.3</v>
      </c>
      <c r="V233">
        <v>826</v>
      </c>
      <c r="W233">
        <v>34.67</v>
      </c>
      <c r="Y233">
        <v>13.79</v>
      </c>
    </row>
    <row r="234" spans="1:25" x14ac:dyDescent="0.25">
      <c r="A234">
        <v>2006</v>
      </c>
      <c r="B234">
        <v>311</v>
      </c>
      <c r="C234">
        <v>1600</v>
      </c>
      <c r="D234">
        <v>35.159999999999997</v>
      </c>
      <c r="E234">
        <v>12.6</v>
      </c>
      <c r="F234">
        <v>11.5</v>
      </c>
      <c r="G234">
        <v>11.8</v>
      </c>
      <c r="K234">
        <v>1.7330000000000001</v>
      </c>
      <c r="L234">
        <v>223.6</v>
      </c>
      <c r="M234">
        <v>0</v>
      </c>
      <c r="O234">
        <v>31.51</v>
      </c>
      <c r="P234">
        <v>-0.46899999999999997</v>
      </c>
      <c r="Q234">
        <v>9.84</v>
      </c>
      <c r="S234">
        <v>8.6</v>
      </c>
      <c r="T234">
        <v>0</v>
      </c>
      <c r="U234">
        <v>96.6</v>
      </c>
      <c r="V234">
        <v>826</v>
      </c>
      <c r="W234">
        <v>34.64</v>
      </c>
      <c r="Y234">
        <v>13.61</v>
      </c>
    </row>
    <row r="235" spans="1:25" x14ac:dyDescent="0.25">
      <c r="A235">
        <v>2006</v>
      </c>
      <c r="B235">
        <v>311</v>
      </c>
      <c r="C235">
        <v>1700</v>
      </c>
      <c r="D235">
        <v>3.9750000000000001</v>
      </c>
      <c r="E235">
        <v>0.38800000000000001</v>
      </c>
      <c r="F235">
        <v>11.35</v>
      </c>
      <c r="G235">
        <v>11.64</v>
      </c>
      <c r="K235">
        <v>1.875</v>
      </c>
      <c r="L235">
        <v>216.2</v>
      </c>
      <c r="M235">
        <v>0</v>
      </c>
      <c r="O235">
        <v>-6.9690000000000003</v>
      </c>
      <c r="P235">
        <v>-10.29</v>
      </c>
      <c r="Q235">
        <v>9.94</v>
      </c>
      <c r="S235">
        <v>8.61</v>
      </c>
      <c r="T235">
        <v>0</v>
      </c>
      <c r="U235">
        <v>96.7</v>
      </c>
      <c r="V235">
        <v>834</v>
      </c>
      <c r="W235">
        <v>35.119999999999997</v>
      </c>
      <c r="Y235">
        <v>13.49</v>
      </c>
    </row>
    <row r="236" spans="1:25" x14ac:dyDescent="0.25">
      <c r="A236">
        <v>2006</v>
      </c>
      <c r="B236">
        <v>311</v>
      </c>
      <c r="C236">
        <v>1800</v>
      </c>
      <c r="D236">
        <v>-0.79200000000000004</v>
      </c>
      <c r="E236">
        <v>-3.8290000000000002</v>
      </c>
      <c r="F236">
        <v>11.35</v>
      </c>
      <c r="G236">
        <v>11.49</v>
      </c>
      <c r="K236">
        <v>1.7569999999999999</v>
      </c>
      <c r="L236">
        <v>218.2</v>
      </c>
      <c r="M236">
        <v>0.6</v>
      </c>
      <c r="O236">
        <v>-12.18</v>
      </c>
      <c r="P236">
        <v>-11.47</v>
      </c>
      <c r="Q236">
        <v>10.01</v>
      </c>
      <c r="S236">
        <v>8.6999999999999993</v>
      </c>
      <c r="T236">
        <v>0</v>
      </c>
      <c r="U236">
        <v>98.3</v>
      </c>
      <c r="V236">
        <v>826</v>
      </c>
      <c r="W236">
        <v>34.64</v>
      </c>
      <c r="Y236">
        <v>13.39</v>
      </c>
    </row>
    <row r="237" spans="1:25" x14ac:dyDescent="0.25">
      <c r="A237">
        <v>2006</v>
      </c>
      <c r="B237">
        <v>311</v>
      </c>
      <c r="C237">
        <v>1900</v>
      </c>
      <c r="D237">
        <v>-0.57299999999999995</v>
      </c>
      <c r="E237">
        <v>-2.73</v>
      </c>
      <c r="F237">
        <v>11.22</v>
      </c>
      <c r="G237">
        <v>11.29</v>
      </c>
      <c r="K237">
        <v>1.851</v>
      </c>
      <c r="L237">
        <v>224</v>
      </c>
      <c r="M237">
        <v>0.4</v>
      </c>
      <c r="O237">
        <v>-12.17</v>
      </c>
      <c r="P237">
        <v>-11.47</v>
      </c>
      <c r="Q237">
        <v>10.01</v>
      </c>
      <c r="S237">
        <v>8.7100000000000009</v>
      </c>
      <c r="T237">
        <v>0</v>
      </c>
      <c r="U237">
        <v>99.2</v>
      </c>
      <c r="V237">
        <v>828</v>
      </c>
      <c r="W237">
        <v>34.76</v>
      </c>
      <c r="Y237">
        <v>13.3</v>
      </c>
    </row>
    <row r="238" spans="1:25" x14ac:dyDescent="0.25">
      <c r="A238">
        <v>2006</v>
      </c>
      <c r="B238">
        <v>311</v>
      </c>
      <c r="C238">
        <v>2000</v>
      </c>
      <c r="D238">
        <v>-0.57299999999999995</v>
      </c>
      <c r="E238">
        <v>-2.593</v>
      </c>
      <c r="F238">
        <v>11.16</v>
      </c>
      <c r="G238">
        <v>11.24</v>
      </c>
      <c r="K238">
        <v>1.615</v>
      </c>
      <c r="L238">
        <v>227.4</v>
      </c>
      <c r="M238">
        <v>0.2</v>
      </c>
      <c r="O238">
        <v>-12.17</v>
      </c>
      <c r="P238">
        <v>-11.48</v>
      </c>
      <c r="Q238">
        <v>10.02</v>
      </c>
      <c r="S238">
        <v>8.7899999999999991</v>
      </c>
      <c r="T238">
        <v>0</v>
      </c>
      <c r="U238">
        <v>99.1</v>
      </c>
      <c r="V238">
        <v>831</v>
      </c>
      <c r="W238">
        <v>34.96</v>
      </c>
      <c r="Y238">
        <v>13.22</v>
      </c>
    </row>
    <row r="239" spans="1:25" x14ac:dyDescent="0.25">
      <c r="A239">
        <v>2006</v>
      </c>
      <c r="B239">
        <v>311</v>
      </c>
      <c r="C239">
        <v>2100</v>
      </c>
      <c r="D239">
        <v>-0.57299999999999995</v>
      </c>
      <c r="E239">
        <v>-1.399</v>
      </c>
      <c r="F239">
        <v>11.31</v>
      </c>
      <c r="G239">
        <v>11.42</v>
      </c>
      <c r="K239">
        <v>1.786</v>
      </c>
      <c r="L239">
        <v>238.2</v>
      </c>
      <c r="M239">
        <v>0</v>
      </c>
      <c r="O239">
        <v>-12.17</v>
      </c>
      <c r="P239">
        <v>-11.48</v>
      </c>
      <c r="Q239">
        <v>10.06</v>
      </c>
      <c r="S239">
        <v>8.81</v>
      </c>
      <c r="T239">
        <v>0</v>
      </c>
      <c r="U239">
        <v>98.7</v>
      </c>
      <c r="V239">
        <v>830</v>
      </c>
      <c r="W239">
        <v>34.909999999999997</v>
      </c>
      <c r="Y239">
        <v>13.15</v>
      </c>
    </row>
    <row r="240" spans="1:25" x14ac:dyDescent="0.25">
      <c r="A240">
        <v>2006</v>
      </c>
      <c r="B240">
        <v>311</v>
      </c>
      <c r="C240">
        <v>2200</v>
      </c>
      <c r="D240">
        <v>-0.57299999999999995</v>
      </c>
      <c r="E240">
        <v>-1.544</v>
      </c>
      <c r="F240">
        <v>11.36</v>
      </c>
      <c r="G240">
        <v>11.48</v>
      </c>
      <c r="K240">
        <v>1.6160000000000001</v>
      </c>
      <c r="L240">
        <v>236</v>
      </c>
      <c r="M240">
        <v>0</v>
      </c>
      <c r="O240">
        <v>-12.17</v>
      </c>
      <c r="P240">
        <v>-11.48</v>
      </c>
      <c r="Q240">
        <v>10.08</v>
      </c>
      <c r="S240">
        <v>8.84</v>
      </c>
      <c r="T240">
        <v>0</v>
      </c>
      <c r="U240">
        <v>98.6</v>
      </c>
      <c r="V240">
        <v>830</v>
      </c>
      <c r="W240">
        <v>34.89</v>
      </c>
      <c r="Y240">
        <v>13.08</v>
      </c>
    </row>
    <row r="241" spans="1:25" x14ac:dyDescent="0.25">
      <c r="A241">
        <v>2006</v>
      </c>
      <c r="B241">
        <v>311</v>
      </c>
      <c r="C241">
        <v>2300</v>
      </c>
      <c r="D241">
        <v>-0.46100000000000002</v>
      </c>
      <c r="E241">
        <v>-0.61399999999999999</v>
      </c>
      <c r="F241">
        <v>11.41</v>
      </c>
      <c r="G241">
        <v>11.54</v>
      </c>
      <c r="K241">
        <v>1.502</v>
      </c>
      <c r="L241">
        <v>248</v>
      </c>
      <c r="M241">
        <v>0</v>
      </c>
      <c r="O241">
        <v>-12.17</v>
      </c>
      <c r="P241">
        <v>-11.48</v>
      </c>
      <c r="Q241">
        <v>10.119999999999999</v>
      </c>
      <c r="S241">
        <v>8.92</v>
      </c>
      <c r="T241">
        <v>0</v>
      </c>
      <c r="U241">
        <v>98.5</v>
      </c>
      <c r="V241">
        <v>829</v>
      </c>
      <c r="W241">
        <v>34.85</v>
      </c>
      <c r="Y241">
        <v>13.02</v>
      </c>
    </row>
    <row r="242" spans="1:25" x14ac:dyDescent="0.25">
      <c r="A242">
        <v>2006</v>
      </c>
      <c r="B242">
        <v>311</v>
      </c>
      <c r="C242">
        <v>2400</v>
      </c>
      <c r="D242">
        <v>-0.20399999999999999</v>
      </c>
      <c r="E242">
        <v>-0.48099999999999998</v>
      </c>
      <c r="F242">
        <v>11.36</v>
      </c>
      <c r="G242">
        <v>11.47</v>
      </c>
      <c r="K242">
        <v>1.282</v>
      </c>
      <c r="L242">
        <v>267.3</v>
      </c>
      <c r="M242">
        <v>0</v>
      </c>
      <c r="O242">
        <v>-12.17</v>
      </c>
      <c r="P242">
        <v>-11.47</v>
      </c>
      <c r="Q242">
        <v>10.119999999999999</v>
      </c>
      <c r="S242">
        <v>8.92</v>
      </c>
      <c r="T242">
        <v>0</v>
      </c>
      <c r="U242">
        <v>98.6</v>
      </c>
      <c r="V242">
        <v>829</v>
      </c>
      <c r="W242">
        <v>34.82</v>
      </c>
      <c r="Y242">
        <v>12.98</v>
      </c>
    </row>
    <row r="243" spans="1:25" x14ac:dyDescent="0.25">
      <c r="A243">
        <v>2006</v>
      </c>
      <c r="B243">
        <v>311</v>
      </c>
      <c r="C243">
        <v>2400</v>
      </c>
      <c r="D243">
        <v>27.99</v>
      </c>
      <c r="E243">
        <v>13.37</v>
      </c>
      <c r="F243">
        <v>10.27</v>
      </c>
      <c r="G243">
        <v>10.52</v>
      </c>
      <c r="K243">
        <v>1.579</v>
      </c>
      <c r="L243">
        <v>225.5</v>
      </c>
      <c r="M243">
        <v>1.6</v>
      </c>
      <c r="O243">
        <v>22.71</v>
      </c>
      <c r="P243">
        <v>-2.641</v>
      </c>
      <c r="Q243">
        <v>9.35</v>
      </c>
      <c r="S243">
        <v>8.4600000000000009</v>
      </c>
      <c r="T243">
        <v>0</v>
      </c>
      <c r="U243">
        <v>97</v>
      </c>
      <c r="V243">
        <v>829</v>
      </c>
      <c r="W243">
        <v>34.840000000000003</v>
      </c>
      <c r="Y243">
        <v>13.2</v>
      </c>
    </row>
    <row r="244" spans="1:25" x14ac:dyDescent="0.25">
      <c r="A244">
        <v>2006</v>
      </c>
      <c r="B244">
        <v>312</v>
      </c>
      <c r="C244">
        <v>100</v>
      </c>
      <c r="D244">
        <v>-0.77800000000000002</v>
      </c>
      <c r="E244">
        <v>-8.99</v>
      </c>
      <c r="F244">
        <v>10.9</v>
      </c>
      <c r="G244">
        <v>11.06</v>
      </c>
      <c r="K244">
        <v>1.288</v>
      </c>
      <c r="L244">
        <v>270.39999999999998</v>
      </c>
      <c r="M244">
        <v>0</v>
      </c>
      <c r="O244">
        <v>-12.17</v>
      </c>
      <c r="P244">
        <v>-11.48</v>
      </c>
      <c r="Q244">
        <v>10.16</v>
      </c>
      <c r="S244">
        <v>8.92</v>
      </c>
      <c r="T244">
        <v>0</v>
      </c>
      <c r="U244">
        <v>98.1</v>
      </c>
      <c r="V244">
        <v>830</v>
      </c>
      <c r="W244">
        <v>34.869999999999997</v>
      </c>
      <c r="Y244">
        <v>12.95</v>
      </c>
    </row>
    <row r="245" spans="1:25" x14ac:dyDescent="0.25">
      <c r="A245">
        <v>2006</v>
      </c>
      <c r="B245">
        <v>312</v>
      </c>
      <c r="C245">
        <v>200</v>
      </c>
      <c r="D245">
        <v>-1.335</v>
      </c>
      <c r="E245">
        <v>-17.149999999999999</v>
      </c>
      <c r="F245">
        <v>9.93</v>
      </c>
      <c r="G245">
        <v>10.27</v>
      </c>
      <c r="K245">
        <v>1.224</v>
      </c>
      <c r="L245">
        <v>266.5</v>
      </c>
      <c r="M245">
        <v>0</v>
      </c>
      <c r="O245">
        <v>-12.17</v>
      </c>
      <c r="P245">
        <v>-11.48</v>
      </c>
      <c r="Q245">
        <v>10.19</v>
      </c>
      <c r="S245">
        <v>8.9600000000000009</v>
      </c>
      <c r="T245">
        <v>0</v>
      </c>
      <c r="U245">
        <v>95.8</v>
      </c>
      <c r="V245">
        <v>829</v>
      </c>
      <c r="W245">
        <v>34.83</v>
      </c>
      <c r="Y245">
        <v>12.92</v>
      </c>
    </row>
    <row r="246" spans="1:25" x14ac:dyDescent="0.25">
      <c r="A246">
        <v>2006</v>
      </c>
      <c r="B246">
        <v>312</v>
      </c>
      <c r="C246">
        <v>300</v>
      </c>
      <c r="D246">
        <v>-1.4990000000000001</v>
      </c>
      <c r="E246">
        <v>-15.68</v>
      </c>
      <c r="F246">
        <v>10</v>
      </c>
      <c r="G246">
        <v>10.24</v>
      </c>
      <c r="K246">
        <v>1.6719999999999999</v>
      </c>
      <c r="L246">
        <v>249</v>
      </c>
      <c r="M246">
        <v>0</v>
      </c>
      <c r="O246">
        <v>-12.18</v>
      </c>
      <c r="P246">
        <v>-11.48</v>
      </c>
      <c r="Q246">
        <v>10.199999999999999</v>
      </c>
      <c r="S246">
        <v>9.02</v>
      </c>
      <c r="T246">
        <v>0</v>
      </c>
      <c r="U246">
        <v>97</v>
      </c>
      <c r="V246">
        <v>829</v>
      </c>
      <c r="W246">
        <v>34.83</v>
      </c>
      <c r="Y246">
        <v>12.9</v>
      </c>
    </row>
    <row r="247" spans="1:25" x14ac:dyDescent="0.25">
      <c r="A247">
        <v>2006</v>
      </c>
      <c r="B247">
        <v>312</v>
      </c>
      <c r="C247">
        <v>400</v>
      </c>
      <c r="D247">
        <v>-0.88300000000000001</v>
      </c>
      <c r="E247">
        <v>-9.7799999999999994</v>
      </c>
      <c r="F247">
        <v>9.6300000000000008</v>
      </c>
      <c r="G247">
        <v>10.07</v>
      </c>
      <c r="K247">
        <v>1.9650000000000001</v>
      </c>
      <c r="L247">
        <v>236.4</v>
      </c>
      <c r="M247">
        <v>0</v>
      </c>
      <c r="O247">
        <v>-12.18</v>
      </c>
      <c r="P247">
        <v>-11.49</v>
      </c>
      <c r="Q247">
        <v>10.14</v>
      </c>
      <c r="S247">
        <v>9.0299999999999994</v>
      </c>
      <c r="T247">
        <v>0</v>
      </c>
      <c r="U247">
        <v>94.7</v>
      </c>
      <c r="V247">
        <v>829</v>
      </c>
      <c r="W247">
        <v>34.840000000000003</v>
      </c>
      <c r="Y247">
        <v>12.89</v>
      </c>
    </row>
    <row r="248" spans="1:25" x14ac:dyDescent="0.25">
      <c r="A248">
        <v>2006</v>
      </c>
      <c r="B248">
        <v>312</v>
      </c>
      <c r="C248">
        <v>500</v>
      </c>
      <c r="D248">
        <v>-1.216</v>
      </c>
      <c r="E248">
        <v>-9.91</v>
      </c>
      <c r="F248">
        <v>9.0500000000000007</v>
      </c>
      <c r="G248">
        <v>9.75</v>
      </c>
      <c r="K248">
        <v>1.5169999999999999</v>
      </c>
      <c r="L248">
        <v>240.6</v>
      </c>
      <c r="M248">
        <v>0.2</v>
      </c>
      <c r="O248">
        <v>-12.18</v>
      </c>
      <c r="P248">
        <v>-11.48</v>
      </c>
      <c r="Q248">
        <v>10.09</v>
      </c>
      <c r="S248">
        <v>9.02</v>
      </c>
      <c r="T248">
        <v>0</v>
      </c>
      <c r="U248">
        <v>91.5</v>
      </c>
      <c r="V248">
        <v>830</v>
      </c>
      <c r="W248">
        <v>34.880000000000003</v>
      </c>
      <c r="Y248">
        <v>12.88</v>
      </c>
    </row>
    <row r="249" spans="1:25" x14ac:dyDescent="0.25">
      <c r="A249">
        <v>2006</v>
      </c>
      <c r="B249">
        <v>312</v>
      </c>
      <c r="C249">
        <v>600</v>
      </c>
      <c r="D249">
        <v>-1.1459999999999999</v>
      </c>
      <c r="E249">
        <v>-8.2100000000000009</v>
      </c>
      <c r="F249">
        <v>8.98</v>
      </c>
      <c r="G249">
        <v>9.4700000000000006</v>
      </c>
      <c r="K249">
        <v>1.4850000000000001</v>
      </c>
      <c r="L249">
        <v>235.8</v>
      </c>
      <c r="M249">
        <v>0.6</v>
      </c>
      <c r="O249">
        <v>-12.17</v>
      </c>
      <c r="P249">
        <v>-11.48</v>
      </c>
      <c r="Q249">
        <v>10.029999999999999</v>
      </c>
      <c r="S249">
        <v>9.02</v>
      </c>
      <c r="T249">
        <v>0</v>
      </c>
      <c r="U249">
        <v>94</v>
      </c>
      <c r="V249">
        <v>831</v>
      </c>
      <c r="W249">
        <v>34.96</v>
      </c>
      <c r="Y249">
        <v>12.87</v>
      </c>
    </row>
    <row r="250" spans="1:25" x14ac:dyDescent="0.25">
      <c r="A250">
        <v>2006</v>
      </c>
      <c r="B250">
        <v>312</v>
      </c>
      <c r="C250">
        <v>700</v>
      </c>
      <c r="D250">
        <v>-1.0009999999999999</v>
      </c>
      <c r="E250">
        <v>-7.36</v>
      </c>
      <c r="F250">
        <v>9.0399999999999991</v>
      </c>
      <c r="G250">
        <v>9.4600000000000009</v>
      </c>
      <c r="K250">
        <v>2.4039999999999999</v>
      </c>
      <c r="L250">
        <v>236</v>
      </c>
      <c r="M250">
        <v>0.6</v>
      </c>
      <c r="O250">
        <v>-12.18</v>
      </c>
      <c r="P250">
        <v>-11.48</v>
      </c>
      <c r="Q250">
        <v>9.98</v>
      </c>
      <c r="S250">
        <v>9.02</v>
      </c>
      <c r="T250">
        <v>0</v>
      </c>
      <c r="U250">
        <v>94.7</v>
      </c>
      <c r="V250">
        <v>835</v>
      </c>
      <c r="W250">
        <v>35.17</v>
      </c>
      <c r="Y250">
        <v>12.86</v>
      </c>
    </row>
    <row r="251" spans="1:25" x14ac:dyDescent="0.25">
      <c r="A251">
        <v>2006</v>
      </c>
      <c r="B251">
        <v>312</v>
      </c>
      <c r="C251">
        <v>800</v>
      </c>
      <c r="D251">
        <v>0.21199999999999999</v>
      </c>
      <c r="E251">
        <v>-4.468</v>
      </c>
      <c r="F251">
        <v>9.49</v>
      </c>
      <c r="G251">
        <v>9.85</v>
      </c>
      <c r="K251">
        <v>2.44</v>
      </c>
      <c r="L251">
        <v>238.8</v>
      </c>
      <c r="M251">
        <v>0</v>
      </c>
      <c r="O251">
        <v>-11.11</v>
      </c>
      <c r="P251">
        <v>-11.36</v>
      </c>
      <c r="Q251">
        <v>9.9499999999999993</v>
      </c>
      <c r="S251">
        <v>9.02</v>
      </c>
      <c r="T251">
        <v>0</v>
      </c>
      <c r="U251">
        <v>95.5</v>
      </c>
      <c r="V251">
        <v>839</v>
      </c>
      <c r="W251">
        <v>35.44</v>
      </c>
      <c r="Y251">
        <v>12.86</v>
      </c>
    </row>
    <row r="252" spans="1:25" x14ac:dyDescent="0.25">
      <c r="A252">
        <v>2006</v>
      </c>
      <c r="B252">
        <v>312</v>
      </c>
      <c r="C252">
        <v>900</v>
      </c>
      <c r="D252">
        <v>28.15</v>
      </c>
      <c r="E252">
        <v>2.2599999999999998</v>
      </c>
      <c r="F252">
        <v>10.14</v>
      </c>
      <c r="G252">
        <v>10.53</v>
      </c>
      <c r="H252">
        <f>AVERAGE(G252:G276)</f>
        <v>6.9949199999999996</v>
      </c>
      <c r="I252">
        <f>MIN(G252:G276)</f>
        <v>2.964</v>
      </c>
      <c r="J252">
        <f>MAX(G252:G276)</f>
        <v>10.82</v>
      </c>
      <c r="K252">
        <v>3.028</v>
      </c>
      <c r="L252">
        <v>255.3</v>
      </c>
      <c r="M252">
        <v>0</v>
      </c>
      <c r="N252">
        <f>SUM(M252:M276)</f>
        <v>3</v>
      </c>
      <c r="O252">
        <v>22.02</v>
      </c>
      <c r="P252">
        <v>-3.38</v>
      </c>
      <c r="Q252">
        <v>9.9499999999999993</v>
      </c>
      <c r="S252">
        <v>9.02</v>
      </c>
      <c r="T252">
        <v>0</v>
      </c>
      <c r="U252">
        <v>95.3</v>
      </c>
      <c r="V252">
        <v>839</v>
      </c>
      <c r="W252">
        <v>35.42</v>
      </c>
      <c r="Y252">
        <v>12.9</v>
      </c>
    </row>
    <row r="253" spans="1:25" x14ac:dyDescent="0.25">
      <c r="A253">
        <v>2006</v>
      </c>
      <c r="B253">
        <v>312</v>
      </c>
      <c r="C253">
        <v>1000</v>
      </c>
      <c r="D253">
        <v>66.180000000000007</v>
      </c>
      <c r="E253">
        <v>31.06</v>
      </c>
      <c r="F253">
        <v>10.25</v>
      </c>
      <c r="G253">
        <v>10.79</v>
      </c>
      <c r="K253">
        <v>3.3769999999999998</v>
      </c>
      <c r="L253">
        <v>265.7</v>
      </c>
      <c r="M253">
        <v>0.4</v>
      </c>
      <c r="O253">
        <v>73.099999999999994</v>
      </c>
      <c r="P253">
        <v>11.88</v>
      </c>
      <c r="Q253">
        <v>9.9499999999999993</v>
      </c>
      <c r="S253">
        <v>9.06</v>
      </c>
      <c r="T253">
        <v>0</v>
      </c>
      <c r="U253">
        <v>93.6</v>
      </c>
      <c r="V253">
        <v>839</v>
      </c>
      <c r="W253">
        <v>35.42</v>
      </c>
      <c r="Y253">
        <v>13.49</v>
      </c>
    </row>
    <row r="254" spans="1:25" x14ac:dyDescent="0.25">
      <c r="A254">
        <v>2006</v>
      </c>
      <c r="B254">
        <v>312</v>
      </c>
      <c r="C254">
        <v>1100</v>
      </c>
      <c r="D254">
        <v>122</v>
      </c>
      <c r="E254">
        <v>66.52</v>
      </c>
      <c r="F254">
        <v>9.83</v>
      </c>
      <c r="G254">
        <v>10.64</v>
      </c>
      <c r="K254">
        <v>3.972</v>
      </c>
      <c r="L254">
        <v>272.10000000000002</v>
      </c>
      <c r="M254">
        <v>0.4</v>
      </c>
      <c r="O254">
        <v>143.4</v>
      </c>
      <c r="P254">
        <v>37.119999999999997</v>
      </c>
      <c r="Q254">
        <v>10</v>
      </c>
      <c r="S254">
        <v>9.1199999999999992</v>
      </c>
      <c r="T254">
        <v>0</v>
      </c>
      <c r="U254">
        <v>90.5</v>
      </c>
      <c r="V254">
        <v>842</v>
      </c>
      <c r="W254">
        <v>35.57</v>
      </c>
      <c r="Y254">
        <v>13.77</v>
      </c>
    </row>
    <row r="255" spans="1:25" x14ac:dyDescent="0.25">
      <c r="A255">
        <v>2006</v>
      </c>
      <c r="B255">
        <v>312</v>
      </c>
      <c r="C255">
        <v>1200</v>
      </c>
      <c r="D255">
        <v>132.4</v>
      </c>
      <c r="E255">
        <v>70.099999999999994</v>
      </c>
      <c r="F255">
        <v>9.65</v>
      </c>
      <c r="G255">
        <v>10.67</v>
      </c>
      <c r="K255">
        <v>4.0270000000000001</v>
      </c>
      <c r="L255">
        <v>271.5</v>
      </c>
      <c r="M255">
        <v>0</v>
      </c>
      <c r="O255">
        <v>151.4</v>
      </c>
      <c r="P255">
        <v>27.13</v>
      </c>
      <c r="Q255">
        <v>10.029999999999999</v>
      </c>
      <c r="S255">
        <v>9.11</v>
      </c>
      <c r="T255">
        <v>0</v>
      </c>
      <c r="U255">
        <v>88.1</v>
      </c>
      <c r="V255">
        <v>841</v>
      </c>
      <c r="W255">
        <v>35.51</v>
      </c>
      <c r="Y255">
        <v>13.79</v>
      </c>
    </row>
    <row r="256" spans="1:25" x14ac:dyDescent="0.25">
      <c r="A256">
        <v>2006</v>
      </c>
      <c r="B256">
        <v>312</v>
      </c>
      <c r="C256">
        <v>1300</v>
      </c>
      <c r="D256">
        <v>194.6</v>
      </c>
      <c r="E256">
        <v>119</v>
      </c>
      <c r="F256">
        <v>10.15</v>
      </c>
      <c r="G256">
        <v>10.82</v>
      </c>
      <c r="K256">
        <v>3.74</v>
      </c>
      <c r="L256">
        <v>271.8</v>
      </c>
      <c r="M256">
        <v>0</v>
      </c>
      <c r="O256">
        <v>231.6</v>
      </c>
      <c r="P256">
        <v>53.96</v>
      </c>
      <c r="Q256">
        <v>10.08</v>
      </c>
      <c r="S256">
        <v>9.1300000000000008</v>
      </c>
      <c r="T256">
        <v>0</v>
      </c>
      <c r="U256">
        <v>92.1</v>
      </c>
      <c r="V256">
        <v>839</v>
      </c>
      <c r="W256">
        <v>35.409999999999997</v>
      </c>
      <c r="Y256">
        <v>14.02</v>
      </c>
    </row>
    <row r="257" spans="1:25" x14ac:dyDescent="0.25">
      <c r="A257">
        <v>2006</v>
      </c>
      <c r="B257">
        <v>312</v>
      </c>
      <c r="C257">
        <v>1400</v>
      </c>
      <c r="D257">
        <v>98</v>
      </c>
      <c r="E257">
        <v>55.76</v>
      </c>
      <c r="F257">
        <v>10.47</v>
      </c>
      <c r="G257">
        <v>10.79</v>
      </c>
      <c r="K257">
        <v>3.8540000000000001</v>
      </c>
      <c r="L257">
        <v>269.60000000000002</v>
      </c>
      <c r="M257">
        <v>0</v>
      </c>
      <c r="O257">
        <v>111.6</v>
      </c>
      <c r="P257">
        <v>19.440000000000001</v>
      </c>
      <c r="Q257">
        <v>10.18</v>
      </c>
      <c r="S257">
        <v>9.14</v>
      </c>
      <c r="T257">
        <v>0</v>
      </c>
      <c r="U257">
        <v>96.2</v>
      </c>
      <c r="V257">
        <v>839</v>
      </c>
      <c r="W257">
        <v>35.4</v>
      </c>
      <c r="Y257">
        <v>13.77</v>
      </c>
    </row>
    <row r="258" spans="1:25" x14ac:dyDescent="0.25">
      <c r="A258">
        <v>2006</v>
      </c>
      <c r="B258">
        <v>312</v>
      </c>
      <c r="C258">
        <v>1500</v>
      </c>
      <c r="D258">
        <v>124.3</v>
      </c>
      <c r="E258">
        <v>70.099999999999994</v>
      </c>
      <c r="F258">
        <v>10.130000000000001</v>
      </c>
      <c r="G258">
        <v>10.41</v>
      </c>
      <c r="K258">
        <v>4.4829999999999997</v>
      </c>
      <c r="L258">
        <v>274.7</v>
      </c>
      <c r="M258">
        <v>0</v>
      </c>
      <c r="O258">
        <v>135.9</v>
      </c>
      <c r="P258">
        <v>55.37</v>
      </c>
      <c r="Q258">
        <v>10.24</v>
      </c>
      <c r="S258">
        <v>9.14</v>
      </c>
      <c r="T258">
        <v>0</v>
      </c>
      <c r="U258">
        <v>96.6</v>
      </c>
      <c r="V258">
        <v>834</v>
      </c>
      <c r="W258">
        <v>35.130000000000003</v>
      </c>
      <c r="Y258">
        <v>13.9</v>
      </c>
    </row>
    <row r="259" spans="1:25" x14ac:dyDescent="0.25">
      <c r="A259">
        <v>2006</v>
      </c>
      <c r="B259">
        <v>312</v>
      </c>
      <c r="C259">
        <v>1600</v>
      </c>
      <c r="D259">
        <v>90</v>
      </c>
      <c r="E259">
        <v>35.200000000000003</v>
      </c>
      <c r="F259">
        <v>9.5</v>
      </c>
      <c r="G259">
        <v>9.66</v>
      </c>
      <c r="K259">
        <v>2.6040000000000001</v>
      </c>
      <c r="L259">
        <v>349.2</v>
      </c>
      <c r="M259">
        <v>0</v>
      </c>
      <c r="O259">
        <v>91.2</v>
      </c>
      <c r="P259">
        <v>60.75</v>
      </c>
      <c r="Q259">
        <v>10.3</v>
      </c>
      <c r="S259">
        <v>9.18</v>
      </c>
      <c r="T259">
        <v>0</v>
      </c>
      <c r="U259">
        <v>98.1</v>
      </c>
      <c r="V259">
        <v>836</v>
      </c>
      <c r="W259">
        <v>35.21</v>
      </c>
      <c r="Y259">
        <v>13.97</v>
      </c>
    </row>
    <row r="260" spans="1:25" x14ac:dyDescent="0.25">
      <c r="A260">
        <v>2006</v>
      </c>
      <c r="B260">
        <v>312</v>
      </c>
      <c r="C260">
        <v>1700</v>
      </c>
      <c r="D260">
        <v>3.5259999999999998</v>
      </c>
      <c r="E260">
        <v>-31.64</v>
      </c>
      <c r="F260">
        <v>8.24</v>
      </c>
      <c r="G260">
        <v>8.4499999999999993</v>
      </c>
      <c r="K260">
        <v>2.5139999999999998</v>
      </c>
      <c r="L260">
        <v>272.2</v>
      </c>
      <c r="M260">
        <v>0</v>
      </c>
      <c r="O260">
        <v>-5.843</v>
      </c>
      <c r="P260">
        <v>-9.2100000000000009</v>
      </c>
      <c r="Q260">
        <v>10.25</v>
      </c>
      <c r="S260">
        <v>9.16</v>
      </c>
      <c r="T260">
        <v>0</v>
      </c>
      <c r="U260">
        <v>97.2</v>
      </c>
      <c r="V260">
        <v>834</v>
      </c>
      <c r="W260">
        <v>35.1</v>
      </c>
      <c r="Y260">
        <v>13.7</v>
      </c>
    </row>
    <row r="261" spans="1:25" x14ac:dyDescent="0.25">
      <c r="A261">
        <v>2006</v>
      </c>
      <c r="B261">
        <v>312</v>
      </c>
      <c r="C261">
        <v>1800</v>
      </c>
      <c r="D261">
        <v>-2.2719999999999998</v>
      </c>
      <c r="E261">
        <v>-40.82</v>
      </c>
      <c r="F261">
        <v>7.7</v>
      </c>
      <c r="G261">
        <v>7.89</v>
      </c>
      <c r="K261">
        <v>2.4409999999999998</v>
      </c>
      <c r="L261">
        <v>271.5</v>
      </c>
      <c r="M261">
        <v>0</v>
      </c>
      <c r="O261">
        <v>-11.5</v>
      </c>
      <c r="P261">
        <v>-10.84</v>
      </c>
      <c r="Q261">
        <v>10.17</v>
      </c>
      <c r="S261">
        <v>9.2100000000000009</v>
      </c>
      <c r="T261">
        <v>0</v>
      </c>
      <c r="U261">
        <v>97.5</v>
      </c>
      <c r="V261">
        <v>843</v>
      </c>
      <c r="W261">
        <v>35.69</v>
      </c>
      <c r="Y261">
        <v>13.56</v>
      </c>
    </row>
    <row r="262" spans="1:25" x14ac:dyDescent="0.25">
      <c r="A262">
        <v>2006</v>
      </c>
      <c r="B262">
        <v>312</v>
      </c>
      <c r="C262">
        <v>1900</v>
      </c>
      <c r="D262">
        <v>-2.5550000000000002</v>
      </c>
      <c r="E262">
        <v>-47.44</v>
      </c>
      <c r="F262">
        <v>7</v>
      </c>
      <c r="G262">
        <v>7.27</v>
      </c>
      <c r="K262">
        <v>2.6930000000000001</v>
      </c>
      <c r="L262">
        <v>267.7</v>
      </c>
      <c r="M262">
        <v>0</v>
      </c>
      <c r="O262">
        <v>-11.5</v>
      </c>
      <c r="P262">
        <v>-10.85</v>
      </c>
      <c r="Q262">
        <v>10.02</v>
      </c>
      <c r="S262">
        <v>9.15</v>
      </c>
      <c r="T262">
        <v>0</v>
      </c>
      <c r="U262">
        <v>96.4</v>
      </c>
      <c r="V262">
        <v>834</v>
      </c>
      <c r="W262">
        <v>35.1</v>
      </c>
      <c r="Y262">
        <v>13.46</v>
      </c>
    </row>
    <row r="263" spans="1:25" x14ac:dyDescent="0.25">
      <c r="A263">
        <v>2006</v>
      </c>
      <c r="B263">
        <v>312</v>
      </c>
      <c r="C263">
        <v>2000</v>
      </c>
      <c r="D263">
        <v>-2.8220000000000001</v>
      </c>
      <c r="E263">
        <v>-51.03</v>
      </c>
      <c r="F263">
        <v>6.359</v>
      </c>
      <c r="G263">
        <v>6.5650000000000004</v>
      </c>
      <c r="K263">
        <v>2.5510000000000002</v>
      </c>
      <c r="L263">
        <v>269.60000000000002</v>
      </c>
      <c r="M263">
        <v>0</v>
      </c>
      <c r="O263">
        <v>-11.5</v>
      </c>
      <c r="P263">
        <v>-10.85</v>
      </c>
      <c r="Q263">
        <v>9.86</v>
      </c>
      <c r="S263">
        <v>9.18</v>
      </c>
      <c r="T263">
        <v>0</v>
      </c>
      <c r="U263">
        <v>97.2</v>
      </c>
      <c r="V263">
        <v>830</v>
      </c>
      <c r="W263">
        <v>34.909999999999997</v>
      </c>
      <c r="Y263">
        <v>13.37</v>
      </c>
    </row>
    <row r="264" spans="1:25" x14ac:dyDescent="0.25">
      <c r="A264">
        <v>2006</v>
      </c>
      <c r="B264">
        <v>312</v>
      </c>
      <c r="C264">
        <v>2100</v>
      </c>
      <c r="D264">
        <v>-2.9569999999999999</v>
      </c>
      <c r="E264">
        <v>-51.2</v>
      </c>
      <c r="F264">
        <v>5.9390000000000001</v>
      </c>
      <c r="G264">
        <v>6.2439999999999998</v>
      </c>
      <c r="K264">
        <v>2.536</v>
      </c>
      <c r="L264">
        <v>269.60000000000002</v>
      </c>
      <c r="M264">
        <v>0</v>
      </c>
      <c r="O264">
        <v>-11.5</v>
      </c>
      <c r="P264">
        <v>-10.85</v>
      </c>
      <c r="Q264">
        <v>9.66</v>
      </c>
      <c r="S264">
        <v>9.1199999999999992</v>
      </c>
      <c r="T264">
        <v>0</v>
      </c>
      <c r="U264">
        <v>95.8</v>
      </c>
      <c r="V264">
        <v>832</v>
      </c>
      <c r="W264">
        <v>34.979999999999997</v>
      </c>
      <c r="Y264">
        <v>13.29</v>
      </c>
    </row>
    <row r="265" spans="1:25" x14ac:dyDescent="0.25">
      <c r="A265">
        <v>2006</v>
      </c>
      <c r="B265">
        <v>312</v>
      </c>
      <c r="C265">
        <v>2200</v>
      </c>
      <c r="D265">
        <v>-2.89</v>
      </c>
      <c r="E265">
        <v>-49.44</v>
      </c>
      <c r="F265">
        <v>5.2629999999999999</v>
      </c>
      <c r="G265">
        <v>5.6890000000000001</v>
      </c>
      <c r="K265">
        <v>2.2719999999999998</v>
      </c>
      <c r="L265">
        <v>263.89999999999998</v>
      </c>
      <c r="M265">
        <v>0</v>
      </c>
      <c r="O265">
        <v>-11.51</v>
      </c>
      <c r="P265">
        <v>-10.84</v>
      </c>
      <c r="Q265">
        <v>9.44</v>
      </c>
      <c r="S265">
        <v>9.0399999999999991</v>
      </c>
      <c r="T265">
        <v>0</v>
      </c>
      <c r="U265">
        <v>94</v>
      </c>
      <c r="V265">
        <v>832</v>
      </c>
      <c r="W265">
        <v>35</v>
      </c>
      <c r="Y265">
        <v>13.22</v>
      </c>
    </row>
    <row r="266" spans="1:25" x14ac:dyDescent="0.25">
      <c r="A266">
        <v>2006</v>
      </c>
      <c r="B266">
        <v>312</v>
      </c>
      <c r="C266">
        <v>2300</v>
      </c>
      <c r="D266">
        <v>-3</v>
      </c>
      <c r="E266">
        <v>-49.27</v>
      </c>
      <c r="F266">
        <v>4.766</v>
      </c>
      <c r="G266">
        <v>5.1589999999999998</v>
      </c>
      <c r="K266">
        <v>2.5720000000000001</v>
      </c>
      <c r="L266">
        <v>281.3</v>
      </c>
      <c r="M266">
        <v>0</v>
      </c>
      <c r="O266">
        <v>-11.5</v>
      </c>
      <c r="P266">
        <v>-10.85</v>
      </c>
      <c r="Q266">
        <v>9.23</v>
      </c>
      <c r="S266">
        <v>8.98</v>
      </c>
      <c r="T266">
        <v>0</v>
      </c>
      <c r="U266">
        <v>94.3</v>
      </c>
      <c r="V266">
        <v>831</v>
      </c>
      <c r="W266">
        <v>34.96</v>
      </c>
      <c r="Y266">
        <v>13.15</v>
      </c>
    </row>
    <row r="267" spans="1:25" x14ac:dyDescent="0.25">
      <c r="A267">
        <v>2006</v>
      </c>
      <c r="B267">
        <v>312</v>
      </c>
      <c r="C267">
        <v>2400</v>
      </c>
      <c r="D267">
        <v>-2.65</v>
      </c>
      <c r="E267">
        <v>-47.58</v>
      </c>
      <c r="F267">
        <v>4.79</v>
      </c>
      <c r="G267">
        <v>5.1779999999999999</v>
      </c>
      <c r="K267">
        <v>2.4769999999999999</v>
      </c>
      <c r="L267">
        <v>284.39999999999998</v>
      </c>
      <c r="M267">
        <v>0</v>
      </c>
      <c r="O267">
        <v>-11.5</v>
      </c>
      <c r="P267">
        <v>-10.85</v>
      </c>
      <c r="Q267">
        <v>9.0299999999999994</v>
      </c>
      <c r="S267">
        <v>8.93</v>
      </c>
      <c r="T267">
        <v>0</v>
      </c>
      <c r="U267">
        <v>94.4</v>
      </c>
      <c r="V267">
        <v>833</v>
      </c>
      <c r="W267">
        <v>35.07</v>
      </c>
      <c r="Y267">
        <v>13.08</v>
      </c>
    </row>
    <row r="268" spans="1:25" x14ac:dyDescent="0.25">
      <c r="A268">
        <v>2006</v>
      </c>
      <c r="B268">
        <v>312</v>
      </c>
      <c r="C268">
        <v>2400</v>
      </c>
      <c r="D268">
        <v>34.68</v>
      </c>
      <c r="E268">
        <v>1E-3</v>
      </c>
      <c r="F268">
        <v>8.6300000000000008</v>
      </c>
      <c r="G268">
        <v>9.0399999999999991</v>
      </c>
      <c r="K268">
        <v>2.6309999999999998</v>
      </c>
      <c r="L268">
        <v>264.89999999999998</v>
      </c>
      <c r="M268">
        <v>2.2000000000000002</v>
      </c>
      <c r="O268">
        <v>32.4</v>
      </c>
      <c r="P268">
        <v>3.5590000000000002</v>
      </c>
      <c r="Q268">
        <v>9.9600000000000009</v>
      </c>
      <c r="S268">
        <v>9.07</v>
      </c>
      <c r="T268">
        <v>0</v>
      </c>
      <c r="U268">
        <v>94.9</v>
      </c>
      <c r="V268">
        <v>835</v>
      </c>
      <c r="W268">
        <v>35.15</v>
      </c>
      <c r="Y268">
        <v>13.32</v>
      </c>
    </row>
    <row r="269" spans="1:25" x14ac:dyDescent="0.25">
      <c r="A269">
        <v>2006</v>
      </c>
      <c r="B269">
        <v>313</v>
      </c>
      <c r="C269">
        <v>100</v>
      </c>
      <c r="D269">
        <v>-2.9159999999999999</v>
      </c>
      <c r="E269">
        <v>-48.71</v>
      </c>
      <c r="F269">
        <v>4.2</v>
      </c>
      <c r="G269">
        <v>4.4980000000000002</v>
      </c>
      <c r="K269">
        <v>1.796</v>
      </c>
      <c r="L269">
        <v>267.7</v>
      </c>
      <c r="M269">
        <v>0</v>
      </c>
      <c r="O269">
        <v>-11.5</v>
      </c>
      <c r="P269">
        <v>-10.85</v>
      </c>
      <c r="Q269">
        <v>8.84</v>
      </c>
      <c r="S269">
        <v>8.84</v>
      </c>
      <c r="T269">
        <v>0</v>
      </c>
      <c r="U269">
        <v>95.6</v>
      </c>
      <c r="V269">
        <v>832</v>
      </c>
      <c r="W269">
        <v>35.03</v>
      </c>
      <c r="Y269">
        <v>13.02</v>
      </c>
    </row>
    <row r="270" spans="1:25" x14ac:dyDescent="0.25">
      <c r="A270">
        <v>2006</v>
      </c>
      <c r="B270">
        <v>313</v>
      </c>
      <c r="C270">
        <v>200</v>
      </c>
      <c r="D270">
        <v>-2.8740000000000001</v>
      </c>
      <c r="E270">
        <v>-47.91</v>
      </c>
      <c r="F270">
        <v>3.8180000000000001</v>
      </c>
      <c r="G270">
        <v>4.0890000000000004</v>
      </c>
      <c r="K270">
        <v>2.0830000000000002</v>
      </c>
      <c r="L270">
        <v>277.10000000000002</v>
      </c>
      <c r="M270">
        <v>0</v>
      </c>
      <c r="O270">
        <v>-11.51</v>
      </c>
      <c r="P270">
        <v>-10.85</v>
      </c>
      <c r="Q270">
        <v>8.65</v>
      </c>
      <c r="S270">
        <v>8.77</v>
      </c>
      <c r="T270">
        <v>0</v>
      </c>
      <c r="U270">
        <v>95.9</v>
      </c>
      <c r="V270">
        <v>833</v>
      </c>
      <c r="W270">
        <v>35.049999999999997</v>
      </c>
      <c r="Y270">
        <v>12.97</v>
      </c>
    </row>
    <row r="271" spans="1:25" x14ac:dyDescent="0.25">
      <c r="A271">
        <v>2006</v>
      </c>
      <c r="B271">
        <v>313</v>
      </c>
      <c r="C271">
        <v>300</v>
      </c>
      <c r="D271">
        <v>-2.383</v>
      </c>
      <c r="E271">
        <v>-37.96</v>
      </c>
      <c r="F271">
        <v>4.0309999999999997</v>
      </c>
      <c r="G271">
        <v>4.4080000000000004</v>
      </c>
      <c r="K271">
        <v>1.85</v>
      </c>
      <c r="L271">
        <v>273</v>
      </c>
      <c r="M271">
        <v>0</v>
      </c>
      <c r="O271">
        <v>-11.51</v>
      </c>
      <c r="P271">
        <v>-10.85</v>
      </c>
      <c r="Q271">
        <v>8.4499999999999993</v>
      </c>
      <c r="S271">
        <v>8.67</v>
      </c>
      <c r="T271">
        <v>0</v>
      </c>
      <c r="U271">
        <v>94.4</v>
      </c>
      <c r="V271">
        <v>832</v>
      </c>
      <c r="W271">
        <v>35.03</v>
      </c>
      <c r="Y271">
        <v>12.93</v>
      </c>
    </row>
    <row r="272" spans="1:25" x14ac:dyDescent="0.25">
      <c r="A272">
        <v>2006</v>
      </c>
      <c r="B272">
        <v>313</v>
      </c>
      <c r="C272">
        <v>400</v>
      </c>
      <c r="D272">
        <v>-2.8639999999999999</v>
      </c>
      <c r="E272">
        <v>-47.8</v>
      </c>
      <c r="F272">
        <v>3.3650000000000002</v>
      </c>
      <c r="G272">
        <v>3.6160000000000001</v>
      </c>
      <c r="K272">
        <v>1.6180000000000001</v>
      </c>
      <c r="L272">
        <v>271.5</v>
      </c>
      <c r="M272">
        <v>0</v>
      </c>
      <c r="O272">
        <v>-11.51</v>
      </c>
      <c r="P272">
        <v>-10.85</v>
      </c>
      <c r="Q272">
        <v>8.27</v>
      </c>
      <c r="S272">
        <v>8.56</v>
      </c>
      <c r="T272">
        <v>0</v>
      </c>
      <c r="U272">
        <v>96.1</v>
      </c>
      <c r="V272">
        <v>832</v>
      </c>
      <c r="W272">
        <v>35.03</v>
      </c>
      <c r="Y272">
        <v>12.9</v>
      </c>
    </row>
    <row r="273" spans="1:25" x14ac:dyDescent="0.25">
      <c r="A273">
        <v>2006</v>
      </c>
      <c r="B273">
        <v>313</v>
      </c>
      <c r="C273">
        <v>500</v>
      </c>
      <c r="D273">
        <v>-2.7810000000000001</v>
      </c>
      <c r="E273">
        <v>-45.98</v>
      </c>
      <c r="F273">
        <v>3.101</v>
      </c>
      <c r="G273">
        <v>3.2909999999999999</v>
      </c>
      <c r="K273">
        <v>1.712</v>
      </c>
      <c r="L273">
        <v>257.5</v>
      </c>
      <c r="M273">
        <v>0</v>
      </c>
      <c r="O273">
        <v>-11.51</v>
      </c>
      <c r="P273">
        <v>-10.85</v>
      </c>
      <c r="Q273">
        <v>8.08</v>
      </c>
      <c r="S273">
        <v>8.4499999999999993</v>
      </c>
      <c r="T273">
        <v>0</v>
      </c>
      <c r="U273">
        <v>97</v>
      </c>
      <c r="V273">
        <v>832</v>
      </c>
      <c r="W273">
        <v>35.020000000000003</v>
      </c>
      <c r="Y273">
        <v>12.88</v>
      </c>
    </row>
    <row r="274" spans="1:25" x14ac:dyDescent="0.25">
      <c r="A274">
        <v>2006</v>
      </c>
      <c r="B274">
        <v>313</v>
      </c>
      <c r="C274">
        <v>600</v>
      </c>
      <c r="D274">
        <v>-2.8849999999999998</v>
      </c>
      <c r="E274">
        <v>-45.25</v>
      </c>
      <c r="F274">
        <v>2.8479999999999999</v>
      </c>
      <c r="G274">
        <v>3.1139999999999999</v>
      </c>
      <c r="K274">
        <v>1.3740000000000001</v>
      </c>
      <c r="L274">
        <v>253.4</v>
      </c>
      <c r="M274">
        <v>0</v>
      </c>
      <c r="O274">
        <v>-11.51</v>
      </c>
      <c r="P274">
        <v>-10.85</v>
      </c>
      <c r="Q274">
        <v>7.93</v>
      </c>
      <c r="S274">
        <v>8.3800000000000008</v>
      </c>
      <c r="T274">
        <v>0</v>
      </c>
      <c r="U274">
        <v>95.8</v>
      </c>
      <c r="V274">
        <v>832</v>
      </c>
      <c r="W274">
        <v>35.01</v>
      </c>
      <c r="Y274">
        <v>12.87</v>
      </c>
    </row>
    <row r="275" spans="1:25" x14ac:dyDescent="0.25">
      <c r="A275">
        <v>2006</v>
      </c>
      <c r="B275">
        <v>313</v>
      </c>
      <c r="C275">
        <v>700</v>
      </c>
      <c r="D275">
        <v>-2.8820000000000001</v>
      </c>
      <c r="E275">
        <v>-42.41</v>
      </c>
      <c r="F275">
        <v>2.8119999999999998</v>
      </c>
      <c r="G275">
        <v>3.0979999999999999</v>
      </c>
      <c r="K275">
        <v>1.0760000000000001</v>
      </c>
      <c r="L275">
        <v>260.89999999999998</v>
      </c>
      <c r="M275">
        <v>0</v>
      </c>
      <c r="O275">
        <v>-11.51</v>
      </c>
      <c r="P275">
        <v>-10.85</v>
      </c>
      <c r="Q275">
        <v>7.77</v>
      </c>
      <c r="S275">
        <v>8.2899999999999991</v>
      </c>
      <c r="T275">
        <v>0</v>
      </c>
      <c r="U275">
        <v>95.5</v>
      </c>
      <c r="V275">
        <v>832</v>
      </c>
      <c r="W275">
        <v>35</v>
      </c>
      <c r="Y275">
        <v>12.85</v>
      </c>
    </row>
    <row r="276" spans="1:25" x14ac:dyDescent="0.25">
      <c r="A276">
        <v>2006</v>
      </c>
      <c r="B276">
        <v>313</v>
      </c>
      <c r="C276">
        <v>800</v>
      </c>
      <c r="D276">
        <v>0.88700000000000001</v>
      </c>
      <c r="E276">
        <v>-22.7</v>
      </c>
      <c r="F276">
        <v>2.706</v>
      </c>
      <c r="G276">
        <v>2.964</v>
      </c>
      <c r="K276">
        <v>1.0129999999999999</v>
      </c>
      <c r="L276">
        <v>256.2</v>
      </c>
      <c r="M276">
        <v>0</v>
      </c>
      <c r="O276">
        <v>-7.19</v>
      </c>
      <c r="P276">
        <v>-9.51</v>
      </c>
      <c r="Q276">
        <v>7.6</v>
      </c>
      <c r="S276">
        <v>8.19</v>
      </c>
      <c r="T276">
        <v>0</v>
      </c>
      <c r="U276">
        <v>95.9</v>
      </c>
      <c r="V276">
        <v>832</v>
      </c>
      <c r="W276">
        <v>35</v>
      </c>
      <c r="Y276">
        <v>12.85</v>
      </c>
    </row>
    <row r="277" spans="1:25" x14ac:dyDescent="0.25">
      <c r="A277">
        <v>2006</v>
      </c>
      <c r="B277">
        <v>313</v>
      </c>
      <c r="C277">
        <v>900</v>
      </c>
      <c r="D277">
        <v>48.92</v>
      </c>
      <c r="E277">
        <v>-15.16</v>
      </c>
      <c r="F277">
        <v>3.4420000000000002</v>
      </c>
      <c r="G277">
        <v>3.8039999999999998</v>
      </c>
      <c r="H277">
        <f>AVERAGE(G277:G301)</f>
        <v>6.4138400000000004</v>
      </c>
      <c r="I277">
        <f>MIN(G277:G301)</f>
        <v>1.5469999999999999</v>
      </c>
      <c r="J277">
        <f>MAX(G277:G301)</f>
        <v>10.15</v>
      </c>
      <c r="K277">
        <v>1.538</v>
      </c>
      <c r="L277">
        <v>246.5</v>
      </c>
      <c r="M277">
        <v>0</v>
      </c>
      <c r="N277">
        <f>SUM(M277:M301)</f>
        <v>0</v>
      </c>
      <c r="O277">
        <v>32.4</v>
      </c>
      <c r="P277">
        <v>7.03</v>
      </c>
      <c r="Q277">
        <v>7.47</v>
      </c>
      <c r="S277">
        <v>8.11</v>
      </c>
      <c r="T277">
        <v>0</v>
      </c>
      <c r="U277">
        <v>94.4</v>
      </c>
      <c r="V277">
        <v>832</v>
      </c>
      <c r="W277">
        <v>35</v>
      </c>
      <c r="Y277">
        <v>12.99</v>
      </c>
    </row>
    <row r="278" spans="1:25" x14ac:dyDescent="0.25">
      <c r="A278">
        <v>2006</v>
      </c>
      <c r="B278">
        <v>313</v>
      </c>
      <c r="C278">
        <v>1000</v>
      </c>
      <c r="D278">
        <v>156.4</v>
      </c>
      <c r="E278">
        <v>94</v>
      </c>
      <c r="F278">
        <v>4.827</v>
      </c>
      <c r="G278">
        <v>5.3040000000000003</v>
      </c>
      <c r="K278">
        <v>1.4770000000000001</v>
      </c>
      <c r="L278">
        <v>253.1</v>
      </c>
      <c r="M278">
        <v>0</v>
      </c>
      <c r="O278">
        <v>189</v>
      </c>
      <c r="P278">
        <v>74</v>
      </c>
      <c r="Q278">
        <v>7.39</v>
      </c>
      <c r="S278">
        <v>8.06</v>
      </c>
      <c r="T278">
        <v>0</v>
      </c>
      <c r="U278">
        <v>93.1</v>
      </c>
      <c r="V278">
        <v>832</v>
      </c>
      <c r="W278">
        <v>34.99</v>
      </c>
      <c r="Y278">
        <v>14.21</v>
      </c>
    </row>
    <row r="279" spans="1:25" x14ac:dyDescent="0.25">
      <c r="A279">
        <v>2006</v>
      </c>
      <c r="B279">
        <v>313</v>
      </c>
      <c r="C279">
        <v>1100</v>
      </c>
      <c r="D279">
        <v>224.5</v>
      </c>
      <c r="E279">
        <v>153.6</v>
      </c>
      <c r="F279">
        <v>6.1390000000000002</v>
      </c>
      <c r="G279">
        <v>6.5940000000000003</v>
      </c>
      <c r="K279">
        <v>1.6930000000000001</v>
      </c>
      <c r="L279">
        <v>255.5</v>
      </c>
      <c r="M279">
        <v>0</v>
      </c>
      <c r="O279">
        <v>274.8</v>
      </c>
      <c r="P279">
        <v>97.6</v>
      </c>
      <c r="Q279">
        <v>7.38</v>
      </c>
      <c r="S279">
        <v>8.0299999999999994</v>
      </c>
      <c r="T279">
        <v>0</v>
      </c>
      <c r="U279">
        <v>93.8</v>
      </c>
      <c r="V279">
        <v>832</v>
      </c>
      <c r="W279">
        <v>34.979999999999997</v>
      </c>
      <c r="Y279">
        <v>14.5</v>
      </c>
    </row>
    <row r="280" spans="1:25" x14ac:dyDescent="0.25">
      <c r="A280">
        <v>2006</v>
      </c>
      <c r="B280">
        <v>313</v>
      </c>
      <c r="C280">
        <v>1200</v>
      </c>
      <c r="D280">
        <v>190.8</v>
      </c>
      <c r="E280">
        <v>112.1</v>
      </c>
      <c r="F280">
        <v>6.97</v>
      </c>
      <c r="G280">
        <v>7.34</v>
      </c>
      <c r="K280">
        <v>1.306</v>
      </c>
      <c r="L280">
        <v>291.7</v>
      </c>
      <c r="M280">
        <v>0</v>
      </c>
      <c r="O280">
        <v>222.6</v>
      </c>
      <c r="P280">
        <v>67.680000000000007</v>
      </c>
      <c r="Q280">
        <v>7.49</v>
      </c>
      <c r="S280">
        <v>7.94</v>
      </c>
      <c r="T280">
        <v>0</v>
      </c>
      <c r="U280">
        <v>95.1</v>
      </c>
      <c r="V280">
        <v>832</v>
      </c>
      <c r="W280">
        <v>34.99</v>
      </c>
      <c r="Y280">
        <v>14.07</v>
      </c>
    </row>
    <row r="281" spans="1:25" x14ac:dyDescent="0.25">
      <c r="A281">
        <v>2006</v>
      </c>
      <c r="B281">
        <v>313</v>
      </c>
      <c r="C281">
        <v>1300</v>
      </c>
      <c r="D281">
        <v>288.3</v>
      </c>
      <c r="E281">
        <v>199.7</v>
      </c>
      <c r="F281">
        <v>8.06</v>
      </c>
      <c r="G281">
        <v>8.43</v>
      </c>
      <c r="K281">
        <v>1.492</v>
      </c>
      <c r="L281">
        <v>286.10000000000002</v>
      </c>
      <c r="M281">
        <v>0</v>
      </c>
      <c r="O281">
        <v>344.4</v>
      </c>
      <c r="P281">
        <v>133.5</v>
      </c>
      <c r="Q281">
        <v>7.69</v>
      </c>
      <c r="S281">
        <v>7.92</v>
      </c>
      <c r="T281">
        <v>0</v>
      </c>
      <c r="U281">
        <v>95.2</v>
      </c>
      <c r="V281">
        <v>831</v>
      </c>
      <c r="W281">
        <v>34.950000000000003</v>
      </c>
      <c r="Y281">
        <v>14.47</v>
      </c>
    </row>
    <row r="282" spans="1:25" x14ac:dyDescent="0.25">
      <c r="A282">
        <v>2006</v>
      </c>
      <c r="B282">
        <v>313</v>
      </c>
      <c r="C282">
        <v>1400</v>
      </c>
      <c r="D282">
        <v>247.2</v>
      </c>
      <c r="E282">
        <v>167.4</v>
      </c>
      <c r="F282">
        <v>9.15</v>
      </c>
      <c r="G282">
        <v>9.32</v>
      </c>
      <c r="K282">
        <v>1.244</v>
      </c>
      <c r="L282">
        <v>266</v>
      </c>
      <c r="M282">
        <v>0</v>
      </c>
      <c r="O282">
        <v>286.2</v>
      </c>
      <c r="P282">
        <v>129.19999999999999</v>
      </c>
      <c r="Q282">
        <v>7.87</v>
      </c>
      <c r="S282">
        <v>7.94</v>
      </c>
      <c r="T282">
        <v>0</v>
      </c>
      <c r="U282">
        <v>97.8</v>
      </c>
      <c r="V282">
        <v>831</v>
      </c>
      <c r="W282">
        <v>34.94</v>
      </c>
      <c r="Y282">
        <v>14.38</v>
      </c>
    </row>
    <row r="283" spans="1:25" x14ac:dyDescent="0.25">
      <c r="A283">
        <v>2006</v>
      </c>
      <c r="B283">
        <v>313</v>
      </c>
      <c r="C283">
        <v>1500</v>
      </c>
      <c r="D283">
        <v>185.8</v>
      </c>
      <c r="E283">
        <v>113.5</v>
      </c>
      <c r="F283">
        <v>9.3800000000000008</v>
      </c>
      <c r="G283">
        <v>9.31</v>
      </c>
      <c r="K283">
        <v>1.0780000000000001</v>
      </c>
      <c r="L283">
        <v>266.2</v>
      </c>
      <c r="M283">
        <v>0</v>
      </c>
      <c r="O283">
        <v>207.3</v>
      </c>
      <c r="P283">
        <v>117.3</v>
      </c>
      <c r="Q283">
        <v>7.98</v>
      </c>
      <c r="S283">
        <v>7.86</v>
      </c>
      <c r="T283">
        <v>0</v>
      </c>
      <c r="U283">
        <v>100.9</v>
      </c>
      <c r="V283">
        <v>831</v>
      </c>
      <c r="W283">
        <v>34.92</v>
      </c>
      <c r="Y283">
        <v>14.33</v>
      </c>
    </row>
    <row r="284" spans="1:25" x14ac:dyDescent="0.25">
      <c r="A284">
        <v>2006</v>
      </c>
      <c r="B284">
        <v>313</v>
      </c>
      <c r="C284">
        <v>1600</v>
      </c>
      <c r="D284">
        <v>78.3</v>
      </c>
      <c r="E284">
        <v>17.899999999999999</v>
      </c>
      <c r="F284">
        <v>8.18</v>
      </c>
      <c r="G284">
        <v>7.7</v>
      </c>
      <c r="K284">
        <v>0.71299999999999997</v>
      </c>
      <c r="L284">
        <v>242.9</v>
      </c>
      <c r="M284">
        <v>0</v>
      </c>
      <c r="O284">
        <v>76.3</v>
      </c>
      <c r="P284">
        <v>59.88</v>
      </c>
      <c r="Q284">
        <v>8.06</v>
      </c>
      <c r="S284">
        <v>7.87</v>
      </c>
      <c r="T284">
        <v>0</v>
      </c>
      <c r="U284">
        <v>106.5</v>
      </c>
      <c r="V284">
        <v>830</v>
      </c>
      <c r="W284">
        <v>34.909999999999997</v>
      </c>
      <c r="Y284">
        <v>13.92</v>
      </c>
    </row>
    <row r="285" spans="1:25" x14ac:dyDescent="0.25">
      <c r="A285">
        <v>2006</v>
      </c>
      <c r="B285">
        <v>313</v>
      </c>
      <c r="C285">
        <v>1700</v>
      </c>
      <c r="D285">
        <v>0.97399999999999998</v>
      </c>
      <c r="E285">
        <v>-41.22</v>
      </c>
      <c r="F285">
        <v>4.2779999999999996</v>
      </c>
      <c r="G285">
        <v>3.9489999999999998</v>
      </c>
      <c r="K285">
        <v>0.192</v>
      </c>
      <c r="L285">
        <v>204</v>
      </c>
      <c r="M285">
        <v>0</v>
      </c>
      <c r="O285">
        <v>-6.601</v>
      </c>
      <c r="P285">
        <v>-8.77</v>
      </c>
      <c r="Q285">
        <v>8.07</v>
      </c>
      <c r="S285">
        <v>7.86</v>
      </c>
      <c r="T285">
        <v>0</v>
      </c>
      <c r="U285">
        <v>105</v>
      </c>
      <c r="V285">
        <v>830</v>
      </c>
      <c r="W285">
        <v>34.880000000000003</v>
      </c>
      <c r="Y285">
        <v>13.67</v>
      </c>
    </row>
    <row r="286" spans="1:25" x14ac:dyDescent="0.25">
      <c r="A286">
        <v>2006</v>
      </c>
      <c r="B286">
        <v>313</v>
      </c>
      <c r="C286">
        <v>1800</v>
      </c>
      <c r="D286">
        <v>-3.2519999999999998</v>
      </c>
      <c r="E286">
        <v>-33.65</v>
      </c>
      <c r="F286">
        <v>1.6060000000000001</v>
      </c>
      <c r="G286">
        <v>1.5469999999999999</v>
      </c>
      <c r="K286">
        <v>0.16500000000000001</v>
      </c>
      <c r="L286">
        <v>198.7</v>
      </c>
      <c r="M286">
        <v>0</v>
      </c>
      <c r="O286">
        <v>-11.5</v>
      </c>
      <c r="P286">
        <v>-10.84</v>
      </c>
      <c r="Q286">
        <v>7.98</v>
      </c>
      <c r="S286">
        <v>7.86</v>
      </c>
      <c r="T286">
        <v>0</v>
      </c>
      <c r="U286">
        <v>101</v>
      </c>
      <c r="V286">
        <v>829</v>
      </c>
      <c r="W286">
        <v>34.86</v>
      </c>
      <c r="Y286">
        <v>13.54</v>
      </c>
    </row>
    <row r="287" spans="1:25" x14ac:dyDescent="0.25">
      <c r="A287">
        <v>2006</v>
      </c>
      <c r="B287">
        <v>313</v>
      </c>
      <c r="C287">
        <v>1900</v>
      </c>
      <c r="D287">
        <v>-2.544</v>
      </c>
      <c r="E287">
        <v>-25.83</v>
      </c>
      <c r="F287">
        <v>2.2490000000000001</v>
      </c>
      <c r="G287">
        <v>2.4729999999999999</v>
      </c>
      <c r="K287">
        <v>0.38100000000000001</v>
      </c>
      <c r="L287">
        <v>188.3</v>
      </c>
      <c r="M287">
        <v>0</v>
      </c>
      <c r="O287">
        <v>-11.5</v>
      </c>
      <c r="P287">
        <v>-10.85</v>
      </c>
      <c r="Q287">
        <v>7.83</v>
      </c>
      <c r="S287">
        <v>7.85</v>
      </c>
      <c r="T287">
        <v>0</v>
      </c>
      <c r="U287">
        <v>96.4</v>
      </c>
      <c r="V287">
        <v>830</v>
      </c>
      <c r="W287">
        <v>34.86</v>
      </c>
      <c r="Y287">
        <v>13.45</v>
      </c>
    </row>
    <row r="288" spans="1:25" x14ac:dyDescent="0.25">
      <c r="A288">
        <v>2006</v>
      </c>
      <c r="B288">
        <v>313</v>
      </c>
      <c r="C288">
        <v>2000</v>
      </c>
      <c r="D288">
        <v>-2.5859999999999999</v>
      </c>
      <c r="E288">
        <v>-20.32</v>
      </c>
      <c r="F288">
        <v>3.3759999999999999</v>
      </c>
      <c r="G288">
        <v>3.9129999999999998</v>
      </c>
      <c r="K288">
        <v>0.64500000000000002</v>
      </c>
      <c r="L288">
        <v>185.8</v>
      </c>
      <c r="M288">
        <v>0</v>
      </c>
      <c r="O288">
        <v>-11.5</v>
      </c>
      <c r="P288">
        <v>-10.85</v>
      </c>
      <c r="Q288">
        <v>7.68</v>
      </c>
      <c r="S288">
        <v>7.91</v>
      </c>
      <c r="T288">
        <v>0</v>
      </c>
      <c r="U288">
        <v>91.9</v>
      </c>
      <c r="V288">
        <v>830</v>
      </c>
      <c r="W288">
        <v>34.869999999999997</v>
      </c>
      <c r="Y288">
        <v>13.37</v>
      </c>
    </row>
    <row r="289" spans="1:25" x14ac:dyDescent="0.25">
      <c r="A289">
        <v>2006</v>
      </c>
      <c r="B289">
        <v>313</v>
      </c>
      <c r="C289">
        <v>2100</v>
      </c>
      <c r="D289">
        <v>-2.3690000000000002</v>
      </c>
      <c r="E289">
        <v>-17.46</v>
      </c>
      <c r="F289">
        <v>4.2389999999999999</v>
      </c>
      <c r="G289">
        <v>4.9790000000000001</v>
      </c>
      <c r="K289">
        <v>0.60399999999999998</v>
      </c>
      <c r="L289">
        <v>172.9</v>
      </c>
      <c r="M289">
        <v>0</v>
      </c>
      <c r="O289">
        <v>-11.51</v>
      </c>
      <c r="P289">
        <v>-10.85</v>
      </c>
      <c r="Q289">
        <v>7.51</v>
      </c>
      <c r="S289">
        <v>7.86</v>
      </c>
      <c r="T289">
        <v>0</v>
      </c>
      <c r="U289">
        <v>89.3</v>
      </c>
      <c r="V289">
        <v>830</v>
      </c>
      <c r="W289">
        <v>34.9</v>
      </c>
      <c r="Y289">
        <v>13.29</v>
      </c>
    </row>
    <row r="290" spans="1:25" x14ac:dyDescent="0.25">
      <c r="A290">
        <v>2006</v>
      </c>
      <c r="B290">
        <v>313</v>
      </c>
      <c r="C290">
        <v>2200</v>
      </c>
      <c r="D290">
        <v>-1.9379999999999999</v>
      </c>
      <c r="E290">
        <v>-16.98</v>
      </c>
      <c r="F290">
        <v>4.8360000000000003</v>
      </c>
      <c r="G290">
        <v>5.3949999999999996</v>
      </c>
      <c r="K290">
        <v>0.70299999999999996</v>
      </c>
      <c r="L290">
        <v>147</v>
      </c>
      <c r="M290">
        <v>0</v>
      </c>
      <c r="O290">
        <v>-11.5</v>
      </c>
      <c r="P290">
        <v>-10.85</v>
      </c>
      <c r="Q290">
        <v>7.38</v>
      </c>
      <c r="S290">
        <v>7.81</v>
      </c>
      <c r="T290">
        <v>0</v>
      </c>
      <c r="U290">
        <v>92</v>
      </c>
      <c r="V290">
        <v>831</v>
      </c>
      <c r="W290">
        <v>34.93</v>
      </c>
      <c r="Y290">
        <v>13.22</v>
      </c>
    </row>
    <row r="291" spans="1:25" x14ac:dyDescent="0.25">
      <c r="A291">
        <v>2006</v>
      </c>
      <c r="B291">
        <v>313</v>
      </c>
      <c r="C291">
        <v>2300</v>
      </c>
      <c r="D291">
        <v>-1.952</v>
      </c>
      <c r="E291">
        <v>-21.19</v>
      </c>
      <c r="F291">
        <v>5.2460000000000004</v>
      </c>
      <c r="G291">
        <v>5.7060000000000004</v>
      </c>
      <c r="K291">
        <v>0.77100000000000002</v>
      </c>
      <c r="L291">
        <v>139.30000000000001</v>
      </c>
      <c r="M291">
        <v>0</v>
      </c>
      <c r="O291">
        <v>-11.5</v>
      </c>
      <c r="P291">
        <v>-10.85</v>
      </c>
      <c r="Q291">
        <v>7.27</v>
      </c>
      <c r="S291">
        <v>7.78</v>
      </c>
      <c r="T291">
        <v>0</v>
      </c>
      <c r="U291">
        <v>93.5</v>
      </c>
      <c r="V291">
        <v>830</v>
      </c>
      <c r="W291">
        <v>34.869999999999997</v>
      </c>
      <c r="Y291">
        <v>13.15</v>
      </c>
    </row>
    <row r="292" spans="1:25" x14ac:dyDescent="0.25">
      <c r="A292">
        <v>2006</v>
      </c>
      <c r="B292">
        <v>313</v>
      </c>
      <c r="C292">
        <v>2400</v>
      </c>
      <c r="D292">
        <v>-2.09</v>
      </c>
      <c r="E292">
        <v>-25.06</v>
      </c>
      <c r="F292">
        <v>5.1740000000000004</v>
      </c>
      <c r="G292">
        <v>5.6820000000000004</v>
      </c>
      <c r="K292">
        <v>0.84599999999999997</v>
      </c>
      <c r="L292">
        <v>134.4</v>
      </c>
      <c r="M292">
        <v>0</v>
      </c>
      <c r="O292">
        <v>-11.5</v>
      </c>
      <c r="P292">
        <v>-10.85</v>
      </c>
      <c r="Q292">
        <v>7.22</v>
      </c>
      <c r="S292">
        <v>7.66</v>
      </c>
      <c r="T292">
        <v>0</v>
      </c>
      <c r="U292">
        <v>92.8</v>
      </c>
      <c r="V292">
        <v>830</v>
      </c>
      <c r="W292">
        <v>34.869999999999997</v>
      </c>
      <c r="Y292">
        <v>13.08</v>
      </c>
    </row>
    <row r="293" spans="1:25" x14ac:dyDescent="0.25">
      <c r="A293">
        <v>2006</v>
      </c>
      <c r="B293">
        <v>313</v>
      </c>
      <c r="C293">
        <v>2400</v>
      </c>
      <c r="D293">
        <v>57.75</v>
      </c>
      <c r="E293">
        <v>12.61</v>
      </c>
      <c r="F293">
        <v>4.7519999999999998</v>
      </c>
      <c r="G293">
        <v>5.0220000000000002</v>
      </c>
      <c r="K293">
        <v>1.1399999999999999</v>
      </c>
      <c r="L293">
        <v>243.8</v>
      </c>
      <c r="M293">
        <v>0</v>
      </c>
      <c r="O293">
        <v>60.76</v>
      </c>
      <c r="P293">
        <v>21.5</v>
      </c>
      <c r="Q293">
        <v>7.83</v>
      </c>
      <c r="S293">
        <v>8.1</v>
      </c>
      <c r="T293">
        <v>0</v>
      </c>
      <c r="U293">
        <v>96</v>
      </c>
      <c r="V293">
        <v>831</v>
      </c>
      <c r="W293">
        <v>34.950000000000003</v>
      </c>
      <c r="Y293">
        <v>13.45</v>
      </c>
    </row>
    <row r="294" spans="1:25" x14ac:dyDescent="0.25">
      <c r="A294">
        <v>2006</v>
      </c>
      <c r="B294">
        <v>314</v>
      </c>
      <c r="C294">
        <v>100</v>
      </c>
      <c r="D294">
        <v>-1.726</v>
      </c>
      <c r="E294">
        <v>-21.17</v>
      </c>
      <c r="F294">
        <v>5.4690000000000003</v>
      </c>
      <c r="G294">
        <v>6.1020000000000003</v>
      </c>
      <c r="K294">
        <v>0.89600000000000002</v>
      </c>
      <c r="L294">
        <v>148.69999999999999</v>
      </c>
      <c r="M294">
        <v>0</v>
      </c>
      <c r="O294">
        <v>-11.5</v>
      </c>
      <c r="P294">
        <v>-10.85</v>
      </c>
      <c r="Q294">
        <v>7.16</v>
      </c>
      <c r="S294">
        <v>7.65</v>
      </c>
      <c r="T294">
        <v>0</v>
      </c>
      <c r="U294">
        <v>91.2</v>
      </c>
      <c r="V294">
        <v>830</v>
      </c>
      <c r="W294">
        <v>34.869999999999997</v>
      </c>
      <c r="Y294">
        <v>13.02</v>
      </c>
    </row>
    <row r="295" spans="1:25" x14ac:dyDescent="0.25">
      <c r="A295">
        <v>2006</v>
      </c>
      <c r="B295">
        <v>314</v>
      </c>
      <c r="C295">
        <v>200</v>
      </c>
      <c r="D295">
        <v>-1.46</v>
      </c>
      <c r="E295">
        <v>-17.899999999999999</v>
      </c>
      <c r="F295">
        <v>5.976</v>
      </c>
      <c r="G295">
        <v>6.6559999999999997</v>
      </c>
      <c r="K295">
        <v>1.083</v>
      </c>
      <c r="L295">
        <v>153.5</v>
      </c>
      <c r="M295">
        <v>0</v>
      </c>
      <c r="O295">
        <v>-11.5</v>
      </c>
      <c r="P295">
        <v>-10.85</v>
      </c>
      <c r="Q295">
        <v>7.13</v>
      </c>
      <c r="S295">
        <v>7.62</v>
      </c>
      <c r="T295">
        <v>0</v>
      </c>
      <c r="U295">
        <v>90.7</v>
      </c>
      <c r="V295">
        <v>830</v>
      </c>
      <c r="W295">
        <v>34.869999999999997</v>
      </c>
      <c r="Y295">
        <v>12.97</v>
      </c>
    </row>
    <row r="296" spans="1:25" x14ac:dyDescent="0.25">
      <c r="A296">
        <v>2006</v>
      </c>
      <c r="B296">
        <v>314</v>
      </c>
      <c r="C296">
        <v>300</v>
      </c>
      <c r="D296">
        <v>-1.877</v>
      </c>
      <c r="E296">
        <v>-22.57</v>
      </c>
      <c r="F296">
        <v>6.62</v>
      </c>
      <c r="G296">
        <v>7.2</v>
      </c>
      <c r="K296">
        <v>1.446</v>
      </c>
      <c r="L296">
        <v>171.6</v>
      </c>
      <c r="M296">
        <v>0</v>
      </c>
      <c r="O296">
        <v>-11.5</v>
      </c>
      <c r="P296">
        <v>-10.85</v>
      </c>
      <c r="Q296">
        <v>7.1</v>
      </c>
      <c r="S296">
        <v>7.52</v>
      </c>
      <c r="T296">
        <v>0</v>
      </c>
      <c r="U296">
        <v>92.3</v>
      </c>
      <c r="V296">
        <v>830</v>
      </c>
      <c r="W296">
        <v>34.869999999999997</v>
      </c>
      <c r="Y296">
        <v>12.94</v>
      </c>
    </row>
    <row r="297" spans="1:25" x14ac:dyDescent="0.25">
      <c r="A297">
        <v>2006</v>
      </c>
      <c r="B297">
        <v>314</v>
      </c>
      <c r="C297">
        <v>400</v>
      </c>
      <c r="D297">
        <v>-1.48</v>
      </c>
      <c r="E297">
        <v>-14.75</v>
      </c>
      <c r="F297">
        <v>7.35</v>
      </c>
      <c r="G297">
        <v>7.8</v>
      </c>
      <c r="K297">
        <v>2.2120000000000002</v>
      </c>
      <c r="L297">
        <v>194.5</v>
      </c>
      <c r="M297">
        <v>0</v>
      </c>
      <c r="O297">
        <v>-11.5</v>
      </c>
      <c r="P297">
        <v>-10.85</v>
      </c>
      <c r="Q297">
        <v>7.08</v>
      </c>
      <c r="S297">
        <v>7.49</v>
      </c>
      <c r="T297">
        <v>0</v>
      </c>
      <c r="U297">
        <v>94.1</v>
      </c>
      <c r="V297">
        <v>830</v>
      </c>
      <c r="W297">
        <v>34.86</v>
      </c>
      <c r="Y297">
        <v>12.91</v>
      </c>
    </row>
    <row r="298" spans="1:25" x14ac:dyDescent="0.25">
      <c r="A298">
        <v>2006</v>
      </c>
      <c r="B298">
        <v>314</v>
      </c>
      <c r="C298">
        <v>500</v>
      </c>
      <c r="D298">
        <v>-1.5569999999999999</v>
      </c>
      <c r="E298">
        <v>-17.57</v>
      </c>
      <c r="F298">
        <v>7.8</v>
      </c>
      <c r="G298">
        <v>8.19</v>
      </c>
      <c r="K298">
        <v>1.607</v>
      </c>
      <c r="L298">
        <v>151.69999999999999</v>
      </c>
      <c r="M298">
        <v>0</v>
      </c>
      <c r="O298">
        <v>-11.5</v>
      </c>
      <c r="P298">
        <v>-10.85</v>
      </c>
      <c r="Q298">
        <v>7.13</v>
      </c>
      <c r="S298">
        <v>7.49</v>
      </c>
      <c r="T298">
        <v>0</v>
      </c>
      <c r="U298">
        <v>94.9</v>
      </c>
      <c r="V298">
        <v>829</v>
      </c>
      <c r="W298">
        <v>34.86</v>
      </c>
      <c r="Y298">
        <v>12.89</v>
      </c>
    </row>
    <row r="299" spans="1:25" x14ac:dyDescent="0.25">
      <c r="A299">
        <v>2006</v>
      </c>
      <c r="B299">
        <v>314</v>
      </c>
      <c r="C299">
        <v>600</v>
      </c>
      <c r="D299">
        <v>-1.8879999999999999</v>
      </c>
      <c r="E299">
        <v>-20.87</v>
      </c>
      <c r="F299">
        <v>7.94</v>
      </c>
      <c r="G299">
        <v>8.36</v>
      </c>
      <c r="K299">
        <v>1.754</v>
      </c>
      <c r="L299">
        <v>168</v>
      </c>
      <c r="M299">
        <v>0</v>
      </c>
      <c r="O299">
        <v>-11.5</v>
      </c>
      <c r="P299">
        <v>-10.85</v>
      </c>
      <c r="Q299">
        <v>7.17</v>
      </c>
      <c r="S299">
        <v>7.49</v>
      </c>
      <c r="T299">
        <v>0</v>
      </c>
      <c r="U299">
        <v>94.6</v>
      </c>
      <c r="V299">
        <v>829</v>
      </c>
      <c r="W299">
        <v>34.840000000000003</v>
      </c>
      <c r="Y299">
        <v>12.88</v>
      </c>
    </row>
    <row r="300" spans="1:25" x14ac:dyDescent="0.25">
      <c r="A300">
        <v>2006</v>
      </c>
      <c r="B300">
        <v>314</v>
      </c>
      <c r="C300">
        <v>700</v>
      </c>
      <c r="D300">
        <v>-0.61799999999999999</v>
      </c>
      <c r="E300">
        <v>-0.17199999999999999</v>
      </c>
      <c r="F300">
        <v>8.98</v>
      </c>
      <c r="G300">
        <v>9.42</v>
      </c>
      <c r="K300">
        <v>2.92</v>
      </c>
      <c r="L300">
        <v>181.7</v>
      </c>
      <c r="M300">
        <v>0</v>
      </c>
      <c r="O300">
        <v>-11.5</v>
      </c>
      <c r="P300">
        <v>-10.85</v>
      </c>
      <c r="Q300">
        <v>7.19</v>
      </c>
      <c r="S300">
        <v>7.48</v>
      </c>
      <c r="T300">
        <v>0</v>
      </c>
      <c r="U300">
        <v>94.6</v>
      </c>
      <c r="V300">
        <v>829</v>
      </c>
      <c r="W300">
        <v>34.82</v>
      </c>
      <c r="Y300">
        <v>12.87</v>
      </c>
    </row>
    <row r="301" spans="1:25" x14ac:dyDescent="0.25">
      <c r="A301">
        <v>2006</v>
      </c>
      <c r="B301">
        <v>314</v>
      </c>
      <c r="C301">
        <v>800</v>
      </c>
      <c r="D301">
        <v>-0.59699999999999998</v>
      </c>
      <c r="E301">
        <v>-0.35199999999999998</v>
      </c>
      <c r="F301">
        <v>9.86</v>
      </c>
      <c r="G301">
        <v>10.15</v>
      </c>
      <c r="K301">
        <v>3.4350000000000001</v>
      </c>
      <c r="L301">
        <v>194.1</v>
      </c>
      <c r="M301">
        <v>0</v>
      </c>
      <c r="O301">
        <v>-11.3</v>
      </c>
      <c r="P301">
        <v>-10.84</v>
      </c>
      <c r="Q301">
        <v>7.22</v>
      </c>
      <c r="S301">
        <v>7.43</v>
      </c>
      <c r="T301">
        <v>0</v>
      </c>
      <c r="U301">
        <v>96.5</v>
      </c>
      <c r="V301">
        <v>829</v>
      </c>
      <c r="W301">
        <v>34.85</v>
      </c>
      <c r="Y301">
        <v>12.87</v>
      </c>
    </row>
    <row r="302" spans="1:25" x14ac:dyDescent="0.25">
      <c r="A302">
        <v>2006</v>
      </c>
      <c r="B302">
        <v>314</v>
      </c>
      <c r="C302">
        <v>900</v>
      </c>
      <c r="D302">
        <v>8.43</v>
      </c>
      <c r="E302">
        <v>6.516</v>
      </c>
      <c r="F302">
        <v>10.5</v>
      </c>
      <c r="G302">
        <v>10.69</v>
      </c>
      <c r="H302">
        <f>AVERAGE(G302:G326)</f>
        <v>8.750840000000002</v>
      </c>
      <c r="I302">
        <f>MIN(G302:G326)</f>
        <v>5.4960000000000004</v>
      </c>
      <c r="J302">
        <f>MAX(G302:G326)</f>
        <v>12.79</v>
      </c>
      <c r="K302">
        <v>4</v>
      </c>
      <c r="L302">
        <v>198.7</v>
      </c>
      <c r="M302">
        <v>0</v>
      </c>
      <c r="N302">
        <f>SUM(M302:M326)</f>
        <v>10.4</v>
      </c>
      <c r="O302">
        <v>1.385</v>
      </c>
      <c r="P302">
        <v>-8.01</v>
      </c>
      <c r="Q302">
        <v>7.31</v>
      </c>
      <c r="S302">
        <v>7.42</v>
      </c>
      <c r="T302">
        <v>0</v>
      </c>
      <c r="U302">
        <v>97.7</v>
      </c>
      <c r="V302">
        <v>829</v>
      </c>
      <c r="W302">
        <v>34.840000000000003</v>
      </c>
      <c r="Y302">
        <v>12.86</v>
      </c>
    </row>
    <row r="303" spans="1:25" x14ac:dyDescent="0.25">
      <c r="A303">
        <v>2006</v>
      </c>
      <c r="B303">
        <v>314</v>
      </c>
      <c r="C303">
        <v>1000</v>
      </c>
      <c r="D303">
        <v>17.52</v>
      </c>
      <c r="E303">
        <v>13.23</v>
      </c>
      <c r="F303">
        <v>10.93</v>
      </c>
      <c r="G303">
        <v>11.06</v>
      </c>
      <c r="K303">
        <v>4.1479999999999997</v>
      </c>
      <c r="L303">
        <v>202.3</v>
      </c>
      <c r="M303">
        <v>0</v>
      </c>
      <c r="O303">
        <v>13.15</v>
      </c>
      <c r="P303">
        <v>-5.6139999999999999</v>
      </c>
      <c r="Q303">
        <v>7.46</v>
      </c>
      <c r="S303">
        <v>7.49</v>
      </c>
      <c r="T303">
        <v>0</v>
      </c>
      <c r="U303">
        <v>98.5</v>
      </c>
      <c r="V303">
        <v>829</v>
      </c>
      <c r="W303">
        <v>34.840000000000003</v>
      </c>
      <c r="Y303">
        <v>12.86</v>
      </c>
    </row>
    <row r="304" spans="1:25" x14ac:dyDescent="0.25">
      <c r="A304">
        <v>2006</v>
      </c>
      <c r="B304">
        <v>314</v>
      </c>
      <c r="C304">
        <v>1100</v>
      </c>
      <c r="D304">
        <v>31.34</v>
      </c>
      <c r="E304">
        <v>19.829999999999998</v>
      </c>
      <c r="F304">
        <v>11.26</v>
      </c>
      <c r="G304">
        <v>11.31</v>
      </c>
      <c r="K304">
        <v>3.653</v>
      </c>
      <c r="L304">
        <v>204.6</v>
      </c>
      <c r="M304">
        <v>0.4</v>
      </c>
      <c r="O304">
        <v>32.46</v>
      </c>
      <c r="P304">
        <v>-2.1909999999999998</v>
      </c>
      <c r="Q304">
        <v>7.64</v>
      </c>
      <c r="S304">
        <v>7.5</v>
      </c>
      <c r="T304">
        <v>0</v>
      </c>
      <c r="U304">
        <v>99.5</v>
      </c>
      <c r="V304">
        <v>830</v>
      </c>
      <c r="W304">
        <v>34.869999999999997</v>
      </c>
      <c r="Y304">
        <v>12.89</v>
      </c>
    </row>
    <row r="305" spans="1:25" x14ac:dyDescent="0.25">
      <c r="A305">
        <v>2006</v>
      </c>
      <c r="B305">
        <v>314</v>
      </c>
      <c r="C305">
        <v>1200</v>
      </c>
      <c r="D305">
        <v>29.55</v>
      </c>
      <c r="E305">
        <v>18.77</v>
      </c>
      <c r="F305">
        <v>11.77</v>
      </c>
      <c r="G305">
        <v>11.95</v>
      </c>
      <c r="K305">
        <v>3.323</v>
      </c>
      <c r="L305">
        <v>210.6</v>
      </c>
      <c r="M305">
        <v>0.4</v>
      </c>
      <c r="O305">
        <v>30.45</v>
      </c>
      <c r="P305">
        <v>-1.823</v>
      </c>
      <c r="Q305">
        <v>7.82</v>
      </c>
      <c r="S305">
        <v>7.52</v>
      </c>
      <c r="T305">
        <v>0</v>
      </c>
      <c r="U305">
        <v>98</v>
      </c>
      <c r="V305">
        <v>831</v>
      </c>
      <c r="W305">
        <v>34.96</v>
      </c>
      <c r="Y305">
        <v>12.89</v>
      </c>
    </row>
    <row r="306" spans="1:25" x14ac:dyDescent="0.25">
      <c r="A306">
        <v>2006</v>
      </c>
      <c r="B306">
        <v>314</v>
      </c>
      <c r="C306">
        <v>1300</v>
      </c>
      <c r="D306">
        <v>36.93</v>
      </c>
      <c r="E306">
        <v>23.56</v>
      </c>
      <c r="F306">
        <v>12.02</v>
      </c>
      <c r="G306">
        <v>12.19</v>
      </c>
      <c r="K306">
        <v>3.3570000000000002</v>
      </c>
      <c r="L306">
        <v>219.6</v>
      </c>
      <c r="M306">
        <v>0.6</v>
      </c>
      <c r="O306">
        <v>39.229999999999997</v>
      </c>
      <c r="P306">
        <v>-0.38800000000000001</v>
      </c>
      <c r="Q306">
        <v>7.98</v>
      </c>
      <c r="S306">
        <v>7.53</v>
      </c>
      <c r="T306">
        <v>0</v>
      </c>
      <c r="U306">
        <v>98.1</v>
      </c>
      <c r="V306">
        <v>836</v>
      </c>
      <c r="W306">
        <v>35.22</v>
      </c>
      <c r="Y306">
        <v>13.01</v>
      </c>
    </row>
    <row r="307" spans="1:25" x14ac:dyDescent="0.25">
      <c r="A307">
        <v>2006</v>
      </c>
      <c r="B307">
        <v>314</v>
      </c>
      <c r="C307">
        <v>1400</v>
      </c>
      <c r="D307">
        <v>29.4</v>
      </c>
      <c r="E307">
        <v>18.510000000000002</v>
      </c>
      <c r="F307">
        <v>12.29</v>
      </c>
      <c r="G307">
        <v>12.59</v>
      </c>
      <c r="K307">
        <v>2.9460000000000002</v>
      </c>
      <c r="L307">
        <v>229</v>
      </c>
      <c r="M307">
        <v>0</v>
      </c>
      <c r="O307">
        <v>28.13</v>
      </c>
      <c r="P307">
        <v>-2.6509999999999998</v>
      </c>
      <c r="Q307">
        <v>8.19</v>
      </c>
      <c r="S307">
        <v>7.58</v>
      </c>
      <c r="T307">
        <v>0</v>
      </c>
      <c r="U307">
        <v>96.6</v>
      </c>
      <c r="V307">
        <v>841</v>
      </c>
      <c r="W307">
        <v>35.53</v>
      </c>
      <c r="Y307">
        <v>12.97</v>
      </c>
    </row>
    <row r="308" spans="1:25" x14ac:dyDescent="0.25">
      <c r="A308">
        <v>2006</v>
      </c>
      <c r="B308">
        <v>314</v>
      </c>
      <c r="C308">
        <v>1500</v>
      </c>
      <c r="D308">
        <v>26.04</v>
      </c>
      <c r="E308">
        <v>14.68</v>
      </c>
      <c r="F308">
        <v>12.48</v>
      </c>
      <c r="G308">
        <v>12.79</v>
      </c>
      <c r="K308">
        <v>3.1320000000000001</v>
      </c>
      <c r="L308">
        <v>231.7</v>
      </c>
      <c r="M308">
        <v>0.6</v>
      </c>
      <c r="O308">
        <v>24.96</v>
      </c>
      <c r="P308">
        <v>-3.0790000000000002</v>
      </c>
      <c r="Q308">
        <v>8.41</v>
      </c>
      <c r="S308">
        <v>7.65</v>
      </c>
      <c r="T308">
        <v>0</v>
      </c>
      <c r="U308">
        <v>96.5</v>
      </c>
      <c r="V308">
        <v>841</v>
      </c>
      <c r="W308">
        <v>35.53</v>
      </c>
      <c r="Y308">
        <v>12.96</v>
      </c>
    </row>
    <row r="309" spans="1:25" x14ac:dyDescent="0.25">
      <c r="A309">
        <v>2006</v>
      </c>
      <c r="B309">
        <v>314</v>
      </c>
      <c r="C309">
        <v>1600</v>
      </c>
      <c r="D309">
        <v>20.239999999999998</v>
      </c>
      <c r="E309">
        <v>6.3659999999999997</v>
      </c>
      <c r="F309">
        <v>12.33</v>
      </c>
      <c r="G309">
        <v>12.6</v>
      </c>
      <c r="K309">
        <v>3.2149999999999999</v>
      </c>
      <c r="L309">
        <v>242.5</v>
      </c>
      <c r="M309">
        <v>0.6</v>
      </c>
      <c r="O309">
        <v>16.82</v>
      </c>
      <c r="P309">
        <v>-4.8639999999999999</v>
      </c>
      <c r="Q309">
        <v>8.61</v>
      </c>
      <c r="S309">
        <v>7.73</v>
      </c>
      <c r="T309">
        <v>0</v>
      </c>
      <c r="U309">
        <v>96.9</v>
      </c>
      <c r="V309">
        <v>848</v>
      </c>
      <c r="W309">
        <v>35.950000000000003</v>
      </c>
      <c r="Y309">
        <v>12.91</v>
      </c>
    </row>
    <row r="310" spans="1:25" x14ac:dyDescent="0.25">
      <c r="A310">
        <v>2006</v>
      </c>
      <c r="B310">
        <v>314</v>
      </c>
      <c r="C310">
        <v>1700</v>
      </c>
      <c r="D310">
        <v>1.296</v>
      </c>
      <c r="E310">
        <v>-3.6030000000000002</v>
      </c>
      <c r="F310">
        <v>10.93</v>
      </c>
      <c r="G310">
        <v>11.25</v>
      </c>
      <c r="K310">
        <v>3.3079999999999998</v>
      </c>
      <c r="L310">
        <v>268.60000000000002</v>
      </c>
      <c r="M310">
        <v>1</v>
      </c>
      <c r="O310">
        <v>-10.07</v>
      </c>
      <c r="P310">
        <v>-10.65</v>
      </c>
      <c r="Q310">
        <v>8.7799999999999994</v>
      </c>
      <c r="S310">
        <v>7.82</v>
      </c>
      <c r="T310">
        <v>0</v>
      </c>
      <c r="U310">
        <v>96.3</v>
      </c>
      <c r="V310">
        <v>852</v>
      </c>
      <c r="W310">
        <v>36.22</v>
      </c>
      <c r="Y310">
        <v>12.89</v>
      </c>
    </row>
    <row r="311" spans="1:25" x14ac:dyDescent="0.25">
      <c r="A311">
        <v>2006</v>
      </c>
      <c r="B311">
        <v>314</v>
      </c>
      <c r="C311">
        <v>1800</v>
      </c>
      <c r="D311">
        <v>-0.503</v>
      </c>
      <c r="E311">
        <v>-6.4080000000000004</v>
      </c>
      <c r="F311">
        <v>8.6199999999999992</v>
      </c>
      <c r="G311">
        <v>8.8000000000000007</v>
      </c>
      <c r="K311">
        <v>2.6739999999999999</v>
      </c>
      <c r="L311">
        <v>294</v>
      </c>
      <c r="M311">
        <v>1.2</v>
      </c>
      <c r="O311">
        <v>-11.5</v>
      </c>
      <c r="P311">
        <v>-10.86</v>
      </c>
      <c r="Q311">
        <v>8.89</v>
      </c>
      <c r="S311">
        <v>7.87</v>
      </c>
      <c r="T311">
        <v>0</v>
      </c>
      <c r="U311">
        <v>97.7</v>
      </c>
      <c r="V311">
        <v>865</v>
      </c>
      <c r="W311">
        <v>37.04</v>
      </c>
      <c r="Y311">
        <v>12.88</v>
      </c>
    </row>
    <row r="312" spans="1:25" x14ac:dyDescent="0.25">
      <c r="A312">
        <v>2006</v>
      </c>
      <c r="B312">
        <v>314</v>
      </c>
      <c r="C312">
        <v>1900</v>
      </c>
      <c r="D312">
        <v>-0.57299999999999995</v>
      </c>
      <c r="E312">
        <v>-7.06</v>
      </c>
      <c r="F312">
        <v>8.6199999999999992</v>
      </c>
      <c r="G312">
        <v>8.74</v>
      </c>
      <c r="K312">
        <v>1.883</v>
      </c>
      <c r="L312">
        <v>273.39999999999998</v>
      </c>
      <c r="M312">
        <v>0.2</v>
      </c>
      <c r="O312">
        <v>-11.5</v>
      </c>
      <c r="P312">
        <v>-10.85</v>
      </c>
      <c r="Q312">
        <v>8.9700000000000006</v>
      </c>
      <c r="S312">
        <v>7.93</v>
      </c>
      <c r="T312">
        <v>0</v>
      </c>
      <c r="U312">
        <v>98.4</v>
      </c>
      <c r="V312">
        <v>876</v>
      </c>
      <c r="W312">
        <v>37.71</v>
      </c>
      <c r="Y312">
        <v>12.87</v>
      </c>
    </row>
    <row r="313" spans="1:25" x14ac:dyDescent="0.25">
      <c r="A313">
        <v>2006</v>
      </c>
      <c r="B313">
        <v>314</v>
      </c>
      <c r="C313">
        <v>2000</v>
      </c>
      <c r="D313">
        <v>-0.84</v>
      </c>
      <c r="E313">
        <v>-19.649999999999999</v>
      </c>
      <c r="F313">
        <v>8.3699999999999992</v>
      </c>
      <c r="G313">
        <v>8.56</v>
      </c>
      <c r="K313">
        <v>2.141</v>
      </c>
      <c r="L313">
        <v>266.10000000000002</v>
      </c>
      <c r="M313">
        <v>0</v>
      </c>
      <c r="O313">
        <v>-11.5</v>
      </c>
      <c r="P313">
        <v>-10.84</v>
      </c>
      <c r="Q313">
        <v>8.9499999999999993</v>
      </c>
      <c r="S313">
        <v>7.98</v>
      </c>
      <c r="T313">
        <v>0</v>
      </c>
      <c r="U313">
        <v>97.5</v>
      </c>
      <c r="V313">
        <v>873</v>
      </c>
      <c r="W313">
        <v>37.53</v>
      </c>
      <c r="Y313">
        <v>12.87</v>
      </c>
    </row>
    <row r="314" spans="1:25" x14ac:dyDescent="0.25">
      <c r="A314">
        <v>2006</v>
      </c>
      <c r="B314">
        <v>314</v>
      </c>
      <c r="C314">
        <v>2100</v>
      </c>
      <c r="D314">
        <v>-1.472</v>
      </c>
      <c r="E314">
        <v>-31.19</v>
      </c>
      <c r="F314">
        <v>7.52</v>
      </c>
      <c r="G314">
        <v>7.93</v>
      </c>
      <c r="K314">
        <v>2.387</v>
      </c>
      <c r="L314">
        <v>277.60000000000002</v>
      </c>
      <c r="M314">
        <v>0.2</v>
      </c>
      <c r="O314">
        <v>-11.5</v>
      </c>
      <c r="P314">
        <v>-10.85</v>
      </c>
      <c r="Q314">
        <v>8.91</v>
      </c>
      <c r="S314">
        <v>8.0399999999999991</v>
      </c>
      <c r="T314">
        <v>0</v>
      </c>
      <c r="U314">
        <v>94.7</v>
      </c>
      <c r="V314">
        <v>866</v>
      </c>
      <c r="W314">
        <v>37.08</v>
      </c>
      <c r="Y314">
        <v>12.87</v>
      </c>
    </row>
    <row r="315" spans="1:25" x14ac:dyDescent="0.25">
      <c r="A315">
        <v>2006</v>
      </c>
      <c r="B315">
        <v>314</v>
      </c>
      <c r="C315">
        <v>2200</v>
      </c>
      <c r="D315">
        <v>-1.4830000000000001</v>
      </c>
      <c r="E315">
        <v>-23.13</v>
      </c>
      <c r="F315">
        <v>6.8120000000000003</v>
      </c>
      <c r="G315">
        <v>7.51</v>
      </c>
      <c r="K315">
        <v>2.2000000000000002</v>
      </c>
      <c r="L315">
        <v>271.8</v>
      </c>
      <c r="M315">
        <v>0</v>
      </c>
      <c r="O315">
        <v>-11.5</v>
      </c>
      <c r="P315">
        <v>-10.85</v>
      </c>
      <c r="Q315">
        <v>8.86</v>
      </c>
      <c r="S315">
        <v>8.09</v>
      </c>
      <c r="T315">
        <v>0</v>
      </c>
      <c r="U315">
        <v>90.8</v>
      </c>
      <c r="V315">
        <v>861</v>
      </c>
      <c r="W315">
        <v>36.770000000000003</v>
      </c>
      <c r="Y315">
        <v>12.86</v>
      </c>
    </row>
    <row r="316" spans="1:25" x14ac:dyDescent="0.25">
      <c r="A316">
        <v>2006</v>
      </c>
      <c r="B316">
        <v>314</v>
      </c>
      <c r="C316">
        <v>2300</v>
      </c>
      <c r="D316">
        <v>-1.397</v>
      </c>
      <c r="E316">
        <v>-28.39</v>
      </c>
      <c r="F316">
        <v>6.3620000000000001</v>
      </c>
      <c r="G316">
        <v>6.9720000000000004</v>
      </c>
      <c r="K316">
        <v>2.0190000000000001</v>
      </c>
      <c r="L316">
        <v>258</v>
      </c>
      <c r="M316">
        <v>0</v>
      </c>
      <c r="O316">
        <v>-11.5</v>
      </c>
      <c r="P316">
        <v>-10.85</v>
      </c>
      <c r="Q316">
        <v>8.7899999999999991</v>
      </c>
      <c r="S316">
        <v>8.11</v>
      </c>
      <c r="T316">
        <v>0</v>
      </c>
      <c r="U316">
        <v>91.8</v>
      </c>
      <c r="V316">
        <v>858</v>
      </c>
      <c r="W316">
        <v>36.57</v>
      </c>
      <c r="Y316">
        <v>12.86</v>
      </c>
    </row>
    <row r="317" spans="1:25" x14ac:dyDescent="0.25">
      <c r="A317">
        <v>2006</v>
      </c>
      <c r="B317">
        <v>314</v>
      </c>
      <c r="C317">
        <v>2400</v>
      </c>
      <c r="D317">
        <v>-1.714</v>
      </c>
      <c r="E317">
        <v>-27.8</v>
      </c>
      <c r="F317">
        <v>5.9509999999999996</v>
      </c>
      <c r="G317">
        <v>6.38</v>
      </c>
      <c r="K317">
        <v>2.157</v>
      </c>
      <c r="L317">
        <v>251.7</v>
      </c>
      <c r="M317">
        <v>0</v>
      </c>
      <c r="O317">
        <v>-11.5</v>
      </c>
      <c r="P317">
        <v>-10.85</v>
      </c>
      <c r="Q317">
        <v>8.6999999999999993</v>
      </c>
      <c r="S317">
        <v>8.07</v>
      </c>
      <c r="T317">
        <v>0</v>
      </c>
      <c r="U317">
        <v>94.1</v>
      </c>
      <c r="V317">
        <v>855</v>
      </c>
      <c r="W317">
        <v>36.409999999999997</v>
      </c>
      <c r="Y317">
        <v>12.86</v>
      </c>
    </row>
    <row r="318" spans="1:25" x14ac:dyDescent="0.25">
      <c r="A318">
        <v>2006</v>
      </c>
      <c r="B318">
        <v>314</v>
      </c>
      <c r="C318">
        <v>2400</v>
      </c>
      <c r="D318">
        <v>7.57</v>
      </c>
      <c r="E318">
        <v>-5.88</v>
      </c>
      <c r="F318">
        <v>9.0299999999999994</v>
      </c>
      <c r="G318">
        <v>9.3800000000000008</v>
      </c>
      <c r="K318">
        <v>2.5790000000000002</v>
      </c>
      <c r="L318">
        <v>221.7</v>
      </c>
      <c r="M318">
        <v>5.2</v>
      </c>
      <c r="O318">
        <v>0.17399999999999999</v>
      </c>
      <c r="P318">
        <v>-8.42</v>
      </c>
      <c r="Q318">
        <v>7.98</v>
      </c>
      <c r="S318">
        <v>7.69</v>
      </c>
      <c r="T318">
        <v>0</v>
      </c>
      <c r="U318">
        <v>95.5</v>
      </c>
      <c r="V318">
        <v>843</v>
      </c>
      <c r="W318">
        <v>35.659999999999997</v>
      </c>
      <c r="Y318">
        <v>12.9</v>
      </c>
    </row>
    <row r="319" spans="1:25" x14ac:dyDescent="0.25">
      <c r="A319">
        <v>2006</v>
      </c>
      <c r="B319">
        <v>315</v>
      </c>
      <c r="C319">
        <v>100</v>
      </c>
      <c r="D319">
        <v>-2.41</v>
      </c>
      <c r="E319">
        <v>-32.9</v>
      </c>
      <c r="F319">
        <v>5.6689999999999996</v>
      </c>
      <c r="G319">
        <v>6.1070000000000002</v>
      </c>
      <c r="K319">
        <v>2.2829999999999999</v>
      </c>
      <c r="L319">
        <v>255.3</v>
      </c>
      <c r="M319">
        <v>0</v>
      </c>
      <c r="O319">
        <v>-11.5</v>
      </c>
      <c r="P319">
        <v>-10.84</v>
      </c>
      <c r="Q319">
        <v>8.57</v>
      </c>
      <c r="S319">
        <v>8.0399999999999991</v>
      </c>
      <c r="T319">
        <v>0</v>
      </c>
      <c r="U319">
        <v>93.9</v>
      </c>
      <c r="V319">
        <v>853</v>
      </c>
      <c r="W319">
        <v>36.270000000000003</v>
      </c>
      <c r="Y319">
        <v>12.86</v>
      </c>
    </row>
    <row r="320" spans="1:25" x14ac:dyDescent="0.25">
      <c r="A320">
        <v>2006</v>
      </c>
      <c r="B320">
        <v>315</v>
      </c>
      <c r="C320">
        <v>200</v>
      </c>
      <c r="D320">
        <v>-2.3109999999999999</v>
      </c>
      <c r="E320">
        <v>-34.659999999999997</v>
      </c>
      <c r="F320">
        <v>5.1859999999999999</v>
      </c>
      <c r="G320">
        <v>5.4960000000000004</v>
      </c>
      <c r="K320">
        <v>2.6869999999999998</v>
      </c>
      <c r="L320">
        <v>253</v>
      </c>
      <c r="M320">
        <v>0</v>
      </c>
      <c r="O320">
        <v>-11.51</v>
      </c>
      <c r="P320">
        <v>-10.85</v>
      </c>
      <c r="Q320">
        <v>8.43</v>
      </c>
      <c r="S320">
        <v>8.0299999999999994</v>
      </c>
      <c r="T320">
        <v>0</v>
      </c>
      <c r="U320">
        <v>95.6</v>
      </c>
      <c r="V320">
        <v>852</v>
      </c>
      <c r="W320">
        <v>36.21</v>
      </c>
      <c r="Y320">
        <v>12.85</v>
      </c>
    </row>
    <row r="321" spans="1:25" x14ac:dyDescent="0.25">
      <c r="A321">
        <v>2006</v>
      </c>
      <c r="B321">
        <v>315</v>
      </c>
      <c r="C321">
        <v>300</v>
      </c>
      <c r="D321">
        <v>-2.5009999999999999</v>
      </c>
      <c r="E321">
        <v>-33.340000000000003</v>
      </c>
      <c r="F321">
        <v>5.0860000000000003</v>
      </c>
      <c r="G321">
        <v>5.5860000000000003</v>
      </c>
      <c r="K321">
        <v>2.9289999999999998</v>
      </c>
      <c r="L321">
        <v>245.6</v>
      </c>
      <c r="M321">
        <v>0</v>
      </c>
      <c r="O321">
        <v>-11.51</v>
      </c>
      <c r="P321">
        <v>-10.85</v>
      </c>
      <c r="Q321">
        <v>8.31</v>
      </c>
      <c r="S321">
        <v>8</v>
      </c>
      <c r="T321">
        <v>0</v>
      </c>
      <c r="U321">
        <v>92.9</v>
      </c>
      <c r="V321">
        <v>851</v>
      </c>
      <c r="W321">
        <v>36.119999999999997</v>
      </c>
      <c r="Y321">
        <v>12.85</v>
      </c>
    </row>
    <row r="322" spans="1:25" x14ac:dyDescent="0.25">
      <c r="A322">
        <v>2006</v>
      </c>
      <c r="B322">
        <v>315</v>
      </c>
      <c r="C322">
        <v>400</v>
      </c>
      <c r="D322">
        <v>-2.2269999999999999</v>
      </c>
      <c r="E322">
        <v>-29.62</v>
      </c>
      <c r="F322">
        <v>5.194</v>
      </c>
      <c r="G322">
        <v>5.7960000000000003</v>
      </c>
      <c r="K322">
        <v>3.2120000000000002</v>
      </c>
      <c r="L322">
        <v>246.3</v>
      </c>
      <c r="M322">
        <v>0</v>
      </c>
      <c r="O322">
        <v>-11.51</v>
      </c>
      <c r="P322">
        <v>-10.85</v>
      </c>
      <c r="Q322">
        <v>8.17</v>
      </c>
      <c r="S322">
        <v>7.98</v>
      </c>
      <c r="T322">
        <v>0</v>
      </c>
      <c r="U322">
        <v>91.5</v>
      </c>
      <c r="V322">
        <v>850</v>
      </c>
      <c r="W322">
        <v>36.090000000000003</v>
      </c>
      <c r="Y322">
        <v>12.85</v>
      </c>
    </row>
    <row r="323" spans="1:25" x14ac:dyDescent="0.25">
      <c r="A323">
        <v>2006</v>
      </c>
      <c r="B323">
        <v>315</v>
      </c>
      <c r="C323">
        <v>500</v>
      </c>
      <c r="D323">
        <v>-2.1379999999999999</v>
      </c>
      <c r="E323">
        <v>-28.33</v>
      </c>
      <c r="F323">
        <v>5.4480000000000004</v>
      </c>
      <c r="G323">
        <v>5.8769999999999998</v>
      </c>
      <c r="K323">
        <v>3.6949999999999998</v>
      </c>
      <c r="L323">
        <v>243.2</v>
      </c>
      <c r="M323">
        <v>0</v>
      </c>
      <c r="O323">
        <v>-11.51</v>
      </c>
      <c r="P323">
        <v>-10.85</v>
      </c>
      <c r="Q323">
        <v>8.0399999999999991</v>
      </c>
      <c r="S323">
        <v>7.95</v>
      </c>
      <c r="T323">
        <v>0</v>
      </c>
      <c r="U323">
        <v>94</v>
      </c>
      <c r="V323">
        <v>850</v>
      </c>
      <c r="W323">
        <v>36.04</v>
      </c>
      <c r="Y323">
        <v>12.85</v>
      </c>
    </row>
    <row r="324" spans="1:25" x14ac:dyDescent="0.25">
      <c r="A324">
        <v>2006</v>
      </c>
      <c r="B324">
        <v>315</v>
      </c>
      <c r="C324">
        <v>600</v>
      </c>
      <c r="D324">
        <v>-1.7450000000000001</v>
      </c>
      <c r="E324">
        <v>-30.02</v>
      </c>
      <c r="F324">
        <v>5.61</v>
      </c>
      <c r="G324">
        <v>6.0069999999999997</v>
      </c>
      <c r="K324">
        <v>4.0469999999999997</v>
      </c>
      <c r="L324">
        <v>249</v>
      </c>
      <c r="M324">
        <v>0</v>
      </c>
      <c r="O324">
        <v>-11.51</v>
      </c>
      <c r="P324">
        <v>-10.86</v>
      </c>
      <c r="Q324">
        <v>7.94</v>
      </c>
      <c r="S324">
        <v>7.87</v>
      </c>
      <c r="T324">
        <v>0</v>
      </c>
      <c r="U324">
        <v>94.4</v>
      </c>
      <c r="V324">
        <v>847</v>
      </c>
      <c r="W324">
        <v>35.92</v>
      </c>
      <c r="Y324">
        <v>12.85</v>
      </c>
    </row>
    <row r="325" spans="1:25" x14ac:dyDescent="0.25">
      <c r="A325">
        <v>2006</v>
      </c>
      <c r="B325">
        <v>315</v>
      </c>
      <c r="C325">
        <v>700</v>
      </c>
      <c r="D325">
        <v>-1.603</v>
      </c>
      <c r="E325">
        <v>-20.440000000000001</v>
      </c>
      <c r="F325">
        <v>5.8929999999999998</v>
      </c>
      <c r="G325">
        <v>6.2569999999999997</v>
      </c>
      <c r="K325">
        <v>3.7170000000000001</v>
      </c>
      <c r="L325">
        <v>246.9</v>
      </c>
      <c r="M325">
        <v>0</v>
      </c>
      <c r="O325">
        <v>-11.51</v>
      </c>
      <c r="P325">
        <v>-10.85</v>
      </c>
      <c r="Q325">
        <v>7.84</v>
      </c>
      <c r="S325">
        <v>7.86</v>
      </c>
      <c r="T325">
        <v>0</v>
      </c>
      <c r="U325">
        <v>95</v>
      </c>
      <c r="V325">
        <v>848</v>
      </c>
      <c r="W325">
        <v>35.94</v>
      </c>
      <c r="Y325">
        <v>12.85</v>
      </c>
    </row>
    <row r="326" spans="1:25" x14ac:dyDescent="0.25">
      <c r="A326">
        <v>2006</v>
      </c>
      <c r="B326">
        <v>315</v>
      </c>
      <c r="C326">
        <v>800</v>
      </c>
      <c r="D326">
        <v>-0.48899999999999999</v>
      </c>
      <c r="E326">
        <v>-16.32</v>
      </c>
      <c r="F326">
        <v>6.5609999999999999</v>
      </c>
      <c r="G326">
        <v>6.9429999999999996</v>
      </c>
      <c r="K326">
        <v>4.0730000000000004</v>
      </c>
      <c r="L326">
        <v>256.89999999999998</v>
      </c>
      <c r="M326">
        <v>0</v>
      </c>
      <c r="O326">
        <v>-10.23</v>
      </c>
      <c r="P326">
        <v>-10.59</v>
      </c>
      <c r="Q326">
        <v>7.73</v>
      </c>
      <c r="S326">
        <v>7.76</v>
      </c>
      <c r="T326">
        <v>0</v>
      </c>
      <c r="U326">
        <v>94.8</v>
      </c>
      <c r="V326">
        <v>846</v>
      </c>
      <c r="W326">
        <v>35.81</v>
      </c>
      <c r="Y326">
        <v>12.85</v>
      </c>
    </row>
    <row r="327" spans="1:25" x14ac:dyDescent="0.25">
      <c r="A327">
        <v>2006</v>
      </c>
      <c r="B327">
        <v>315</v>
      </c>
      <c r="C327">
        <v>900</v>
      </c>
      <c r="D327">
        <v>17.73</v>
      </c>
      <c r="E327">
        <v>-4.6139999999999999</v>
      </c>
      <c r="F327">
        <v>7.05</v>
      </c>
      <c r="G327">
        <v>7.36</v>
      </c>
      <c r="H327">
        <f>AVERAGE(G327:G351)</f>
        <v>8.2059599999999993</v>
      </c>
      <c r="I327">
        <f>MIN(G327:G351)</f>
        <v>6.2320000000000002</v>
      </c>
      <c r="J327">
        <f>MAX(G327:G351)</f>
        <v>10.59</v>
      </c>
      <c r="K327">
        <v>4.13</v>
      </c>
      <c r="L327">
        <v>253.3</v>
      </c>
      <c r="M327">
        <v>0</v>
      </c>
      <c r="N327">
        <f>SUM(M327:M351)</f>
        <v>5.6</v>
      </c>
      <c r="O327">
        <v>10.02</v>
      </c>
      <c r="P327">
        <v>-6.2130000000000001</v>
      </c>
      <c r="Q327">
        <v>7.72</v>
      </c>
      <c r="S327">
        <v>7.71</v>
      </c>
      <c r="T327">
        <v>0</v>
      </c>
      <c r="U327">
        <v>95.8</v>
      </c>
      <c r="V327">
        <v>845</v>
      </c>
      <c r="W327">
        <v>35.770000000000003</v>
      </c>
      <c r="Y327">
        <v>12.87</v>
      </c>
    </row>
    <row r="328" spans="1:25" x14ac:dyDescent="0.25">
      <c r="A328">
        <v>2006</v>
      </c>
      <c r="B328">
        <v>315</v>
      </c>
      <c r="C328">
        <v>1000</v>
      </c>
      <c r="D328">
        <v>46.5</v>
      </c>
      <c r="E328">
        <v>25.19</v>
      </c>
      <c r="F328">
        <v>7.73</v>
      </c>
      <c r="G328">
        <v>8.0399999999999991</v>
      </c>
      <c r="K328">
        <v>4.4720000000000004</v>
      </c>
      <c r="L328">
        <v>260.5</v>
      </c>
      <c r="M328">
        <v>0.2</v>
      </c>
      <c r="O328">
        <v>48.64</v>
      </c>
      <c r="P328">
        <v>1.2090000000000001</v>
      </c>
      <c r="Q328">
        <v>7.72</v>
      </c>
      <c r="S328">
        <v>7.71</v>
      </c>
      <c r="T328">
        <v>0</v>
      </c>
      <c r="U328">
        <v>96</v>
      </c>
      <c r="V328">
        <v>845</v>
      </c>
      <c r="W328">
        <v>35.74</v>
      </c>
      <c r="Y328">
        <v>13.06</v>
      </c>
    </row>
    <row r="329" spans="1:25" x14ac:dyDescent="0.25">
      <c r="A329">
        <v>2006</v>
      </c>
      <c r="B329">
        <v>315</v>
      </c>
      <c r="C329">
        <v>1100</v>
      </c>
      <c r="D329">
        <v>114</v>
      </c>
      <c r="E329">
        <v>62.31</v>
      </c>
      <c r="F329">
        <v>8.39</v>
      </c>
      <c r="G329">
        <v>8.6999999999999993</v>
      </c>
      <c r="K329">
        <v>4.6210000000000004</v>
      </c>
      <c r="L329">
        <v>267.2</v>
      </c>
      <c r="M329">
        <v>0</v>
      </c>
      <c r="O329">
        <v>131.9</v>
      </c>
      <c r="P329">
        <v>21.72</v>
      </c>
      <c r="Q329">
        <v>7.76</v>
      </c>
      <c r="S329">
        <v>7.7</v>
      </c>
      <c r="T329">
        <v>0</v>
      </c>
      <c r="U329">
        <v>96.1</v>
      </c>
      <c r="V329">
        <v>846</v>
      </c>
      <c r="W329">
        <v>35.81</v>
      </c>
      <c r="Y329">
        <v>13.53</v>
      </c>
    </row>
    <row r="330" spans="1:25" x14ac:dyDescent="0.25">
      <c r="A330">
        <v>2006</v>
      </c>
      <c r="B330">
        <v>315</v>
      </c>
      <c r="C330">
        <v>1200</v>
      </c>
      <c r="D330">
        <v>94.9</v>
      </c>
      <c r="E330">
        <v>58.17</v>
      </c>
      <c r="F330">
        <v>9.1</v>
      </c>
      <c r="G330">
        <v>9.5399999999999991</v>
      </c>
      <c r="K330">
        <v>5.5449999999999999</v>
      </c>
      <c r="L330">
        <v>273.7</v>
      </c>
      <c r="M330">
        <v>0.2</v>
      </c>
      <c r="O330">
        <v>113.6</v>
      </c>
      <c r="P330">
        <v>14.28</v>
      </c>
      <c r="Q330">
        <v>7.82</v>
      </c>
      <c r="S330">
        <v>7.65</v>
      </c>
      <c r="T330">
        <v>0</v>
      </c>
      <c r="U330">
        <v>94.6</v>
      </c>
      <c r="V330">
        <v>846</v>
      </c>
      <c r="W330">
        <v>35.83</v>
      </c>
      <c r="Y330">
        <v>13.57</v>
      </c>
    </row>
    <row r="331" spans="1:25" x14ac:dyDescent="0.25">
      <c r="A331">
        <v>2006</v>
      </c>
      <c r="B331">
        <v>315</v>
      </c>
      <c r="C331">
        <v>1300</v>
      </c>
      <c r="D331">
        <v>139.6</v>
      </c>
      <c r="E331">
        <v>89.7</v>
      </c>
      <c r="F331">
        <v>9.44</v>
      </c>
      <c r="G331">
        <v>9.8000000000000007</v>
      </c>
      <c r="K331">
        <v>6.1689999999999996</v>
      </c>
      <c r="L331">
        <v>290.2</v>
      </c>
      <c r="M331">
        <v>1.2</v>
      </c>
      <c r="O331">
        <v>174</v>
      </c>
      <c r="P331">
        <v>30.7</v>
      </c>
      <c r="Q331">
        <v>7.96</v>
      </c>
      <c r="S331">
        <v>7.68</v>
      </c>
      <c r="T331">
        <v>0</v>
      </c>
      <c r="U331">
        <v>95.7</v>
      </c>
      <c r="V331">
        <v>855</v>
      </c>
      <c r="W331">
        <v>36.4</v>
      </c>
      <c r="Y331">
        <v>13.67</v>
      </c>
    </row>
    <row r="332" spans="1:25" x14ac:dyDescent="0.25">
      <c r="A332">
        <v>2006</v>
      </c>
      <c r="B332">
        <v>315</v>
      </c>
      <c r="C332">
        <v>1400</v>
      </c>
      <c r="D332">
        <v>99.5</v>
      </c>
      <c r="E332">
        <v>61.45</v>
      </c>
      <c r="F332">
        <v>10.119999999999999</v>
      </c>
      <c r="G332">
        <v>10.59</v>
      </c>
      <c r="K332">
        <v>6.2839999999999998</v>
      </c>
      <c r="L332">
        <v>291.3</v>
      </c>
      <c r="M332">
        <v>0</v>
      </c>
      <c r="O332">
        <v>124</v>
      </c>
      <c r="P332">
        <v>16.25</v>
      </c>
      <c r="Q332">
        <v>8.15</v>
      </c>
      <c r="S332">
        <v>7.72</v>
      </c>
      <c r="T332">
        <v>0</v>
      </c>
      <c r="U332">
        <v>94.4</v>
      </c>
      <c r="V332">
        <v>862</v>
      </c>
      <c r="W332">
        <v>36.79</v>
      </c>
      <c r="Y332">
        <v>13.63</v>
      </c>
    </row>
    <row r="333" spans="1:25" x14ac:dyDescent="0.25">
      <c r="A333">
        <v>2006</v>
      </c>
      <c r="B333">
        <v>315</v>
      </c>
      <c r="C333">
        <v>1500</v>
      </c>
      <c r="D333">
        <v>75.3</v>
      </c>
      <c r="E333">
        <v>42.53</v>
      </c>
      <c r="F333">
        <v>10.26</v>
      </c>
      <c r="G333">
        <v>10.56</v>
      </c>
      <c r="K333">
        <v>7.07</v>
      </c>
      <c r="L333">
        <v>293.5</v>
      </c>
      <c r="M333">
        <v>0.2</v>
      </c>
      <c r="O333">
        <v>90</v>
      </c>
      <c r="P333">
        <v>9.98</v>
      </c>
      <c r="Q333">
        <v>8.34</v>
      </c>
      <c r="S333">
        <v>7.72</v>
      </c>
      <c r="T333">
        <v>0</v>
      </c>
      <c r="U333">
        <v>96.5</v>
      </c>
      <c r="V333">
        <v>859</v>
      </c>
      <c r="W333">
        <v>36.630000000000003</v>
      </c>
      <c r="Y333">
        <v>13.57</v>
      </c>
    </row>
    <row r="334" spans="1:25" x14ac:dyDescent="0.25">
      <c r="A334">
        <v>2006</v>
      </c>
      <c r="B334">
        <v>315</v>
      </c>
      <c r="C334">
        <v>1600</v>
      </c>
      <c r="D334">
        <v>13.6</v>
      </c>
      <c r="E334">
        <v>-2.706</v>
      </c>
      <c r="F334">
        <v>9.59</v>
      </c>
      <c r="G334">
        <v>9.83</v>
      </c>
      <c r="K334">
        <v>6.8070000000000004</v>
      </c>
      <c r="L334">
        <v>296.89999999999998</v>
      </c>
      <c r="M334">
        <v>0.8</v>
      </c>
      <c r="O334">
        <v>6.9</v>
      </c>
      <c r="P334">
        <v>-7.06</v>
      </c>
      <c r="Q334">
        <v>8.4700000000000006</v>
      </c>
      <c r="S334">
        <v>7.77</v>
      </c>
      <c r="T334">
        <v>0</v>
      </c>
      <c r="U334">
        <v>97.1</v>
      </c>
      <c r="V334">
        <v>862</v>
      </c>
      <c r="W334">
        <v>36.83</v>
      </c>
      <c r="Y334">
        <v>13.41</v>
      </c>
    </row>
    <row r="335" spans="1:25" x14ac:dyDescent="0.25">
      <c r="A335">
        <v>2006</v>
      </c>
      <c r="B335">
        <v>315</v>
      </c>
      <c r="C335">
        <v>1700</v>
      </c>
      <c r="D335">
        <v>0.60099999999999998</v>
      </c>
      <c r="E335">
        <v>-18.57</v>
      </c>
      <c r="F335">
        <v>9.15</v>
      </c>
      <c r="G335">
        <v>9.4700000000000006</v>
      </c>
      <c r="K335">
        <v>6.2709999999999999</v>
      </c>
      <c r="L335">
        <v>301.5</v>
      </c>
      <c r="M335">
        <v>0.2</v>
      </c>
      <c r="O335">
        <v>-9.6300000000000008</v>
      </c>
      <c r="P335">
        <v>-10.62</v>
      </c>
      <c r="Q335">
        <v>8.5299999999999994</v>
      </c>
      <c r="S335">
        <v>7.82</v>
      </c>
      <c r="T335">
        <v>0</v>
      </c>
      <c r="U335">
        <v>96</v>
      </c>
      <c r="V335">
        <v>869</v>
      </c>
      <c r="W335">
        <v>37.299999999999997</v>
      </c>
      <c r="Y335">
        <v>13.29</v>
      </c>
    </row>
    <row r="336" spans="1:25" x14ac:dyDescent="0.25">
      <c r="A336">
        <v>2006</v>
      </c>
      <c r="B336">
        <v>315</v>
      </c>
      <c r="C336">
        <v>1800</v>
      </c>
      <c r="D336">
        <v>-1.091</v>
      </c>
      <c r="E336">
        <v>-23.26</v>
      </c>
      <c r="F336">
        <v>8.66</v>
      </c>
      <c r="G336">
        <v>9.1199999999999992</v>
      </c>
      <c r="K336">
        <v>6.3920000000000003</v>
      </c>
      <c r="L336">
        <v>302.7</v>
      </c>
      <c r="M336">
        <v>0</v>
      </c>
      <c r="O336">
        <v>-11.5</v>
      </c>
      <c r="P336">
        <v>-10.85</v>
      </c>
      <c r="Q336">
        <v>8.57</v>
      </c>
      <c r="S336">
        <v>7.83</v>
      </c>
      <c r="T336">
        <v>0</v>
      </c>
      <c r="U336">
        <v>94.3</v>
      </c>
      <c r="V336">
        <v>868</v>
      </c>
      <c r="W336">
        <v>37.18</v>
      </c>
      <c r="Y336">
        <v>13.2</v>
      </c>
    </row>
    <row r="337" spans="1:25" x14ac:dyDescent="0.25">
      <c r="A337">
        <v>2006</v>
      </c>
      <c r="B337">
        <v>315</v>
      </c>
      <c r="C337">
        <v>1900</v>
      </c>
      <c r="D337">
        <v>-1.677</v>
      </c>
      <c r="E337">
        <v>-36.590000000000003</v>
      </c>
      <c r="F337">
        <v>8.06</v>
      </c>
      <c r="G337">
        <v>8.57</v>
      </c>
      <c r="K337">
        <v>5.8810000000000002</v>
      </c>
      <c r="L337">
        <v>299.39999999999998</v>
      </c>
      <c r="M337">
        <v>0</v>
      </c>
      <c r="O337">
        <v>-11.51</v>
      </c>
      <c r="P337">
        <v>-10.85</v>
      </c>
      <c r="Q337">
        <v>8.5299999999999994</v>
      </c>
      <c r="S337">
        <v>7.83</v>
      </c>
      <c r="T337">
        <v>0</v>
      </c>
      <c r="U337">
        <v>93.6</v>
      </c>
      <c r="V337">
        <v>864</v>
      </c>
      <c r="W337">
        <v>36.94</v>
      </c>
      <c r="Y337">
        <v>13.14</v>
      </c>
    </row>
    <row r="338" spans="1:25" x14ac:dyDescent="0.25">
      <c r="A338">
        <v>2006</v>
      </c>
      <c r="B338">
        <v>315</v>
      </c>
      <c r="C338">
        <v>2000</v>
      </c>
      <c r="D338">
        <v>-2.2290000000000001</v>
      </c>
      <c r="E338">
        <v>-44.71</v>
      </c>
      <c r="F338">
        <v>7.67</v>
      </c>
      <c r="G338">
        <v>8</v>
      </c>
      <c r="K338">
        <v>4.7699999999999996</v>
      </c>
      <c r="L338">
        <v>294.10000000000002</v>
      </c>
      <c r="M338">
        <v>0</v>
      </c>
      <c r="O338">
        <v>-11.5</v>
      </c>
      <c r="P338">
        <v>-10.85</v>
      </c>
      <c r="Q338">
        <v>8.4700000000000006</v>
      </c>
      <c r="S338">
        <v>7.85</v>
      </c>
      <c r="T338">
        <v>0</v>
      </c>
      <c r="U338">
        <v>95.7</v>
      </c>
      <c r="V338">
        <v>860</v>
      </c>
      <c r="W338">
        <v>36.72</v>
      </c>
      <c r="Y338">
        <v>13.08</v>
      </c>
    </row>
    <row r="339" spans="1:25" x14ac:dyDescent="0.25">
      <c r="A339">
        <v>2006</v>
      </c>
      <c r="B339">
        <v>315</v>
      </c>
      <c r="C339">
        <v>2100</v>
      </c>
      <c r="D339">
        <v>-1.9410000000000001</v>
      </c>
      <c r="E339">
        <v>-32.479999999999997</v>
      </c>
      <c r="F339">
        <v>7.75</v>
      </c>
      <c r="G339">
        <v>8.0399999999999991</v>
      </c>
      <c r="K339">
        <v>4.1139999999999999</v>
      </c>
      <c r="L339">
        <v>304.2</v>
      </c>
      <c r="M339">
        <v>0</v>
      </c>
      <c r="O339">
        <v>-11.51</v>
      </c>
      <c r="P339">
        <v>-10.85</v>
      </c>
      <c r="Q339">
        <v>8.3699999999999992</v>
      </c>
      <c r="S339">
        <v>7.88</v>
      </c>
      <c r="T339">
        <v>0</v>
      </c>
      <c r="U339">
        <v>96.2</v>
      </c>
      <c r="V339">
        <v>857</v>
      </c>
      <c r="W339">
        <v>36.53</v>
      </c>
      <c r="Y339">
        <v>13.04</v>
      </c>
    </row>
    <row r="340" spans="1:25" x14ac:dyDescent="0.25">
      <c r="A340">
        <v>2006</v>
      </c>
      <c r="B340">
        <v>315</v>
      </c>
      <c r="C340">
        <v>2200</v>
      </c>
      <c r="D340">
        <v>-1.1679999999999999</v>
      </c>
      <c r="E340">
        <v>-17.37</v>
      </c>
      <c r="F340">
        <v>7.58</v>
      </c>
      <c r="G340">
        <v>7.81</v>
      </c>
      <c r="K340">
        <v>2.9860000000000002</v>
      </c>
      <c r="L340">
        <v>291</v>
      </c>
      <c r="M340">
        <v>0</v>
      </c>
      <c r="O340">
        <v>-11.5</v>
      </c>
      <c r="P340">
        <v>-10.85</v>
      </c>
      <c r="Q340">
        <v>8.27</v>
      </c>
      <c r="S340">
        <v>7.9</v>
      </c>
      <c r="T340">
        <v>0</v>
      </c>
      <c r="U340">
        <v>97</v>
      </c>
      <c r="V340">
        <v>856</v>
      </c>
      <c r="W340">
        <v>36.42</v>
      </c>
      <c r="Y340">
        <v>13.01</v>
      </c>
    </row>
    <row r="341" spans="1:25" x14ac:dyDescent="0.25">
      <c r="A341">
        <v>2006</v>
      </c>
      <c r="B341">
        <v>315</v>
      </c>
      <c r="C341">
        <v>2300</v>
      </c>
      <c r="D341">
        <v>-1.627</v>
      </c>
      <c r="E341">
        <v>-23.16</v>
      </c>
      <c r="F341">
        <v>7.49</v>
      </c>
      <c r="G341">
        <v>7.81</v>
      </c>
      <c r="K341">
        <v>3.3340000000000001</v>
      </c>
      <c r="L341">
        <v>297.60000000000002</v>
      </c>
      <c r="M341">
        <v>0</v>
      </c>
      <c r="O341">
        <v>-11.51</v>
      </c>
      <c r="P341">
        <v>-10.85</v>
      </c>
      <c r="Q341">
        <v>8.1999999999999993</v>
      </c>
      <c r="S341">
        <v>7.9</v>
      </c>
      <c r="T341">
        <v>0</v>
      </c>
      <c r="U341">
        <v>95.8</v>
      </c>
      <c r="V341">
        <v>854</v>
      </c>
      <c r="W341">
        <v>36.31</v>
      </c>
      <c r="Y341">
        <v>12.99</v>
      </c>
    </row>
    <row r="342" spans="1:25" x14ac:dyDescent="0.25">
      <c r="A342">
        <v>2006</v>
      </c>
      <c r="B342">
        <v>315</v>
      </c>
      <c r="C342">
        <v>2400</v>
      </c>
      <c r="D342">
        <v>-1.698</v>
      </c>
      <c r="E342">
        <v>-29.58</v>
      </c>
      <c r="F342">
        <v>7.26</v>
      </c>
      <c r="G342">
        <v>7.57</v>
      </c>
      <c r="K342">
        <v>3.351</v>
      </c>
      <c r="L342">
        <v>298</v>
      </c>
      <c r="M342">
        <v>0</v>
      </c>
      <c r="O342">
        <v>-11.5</v>
      </c>
      <c r="P342">
        <v>-10.85</v>
      </c>
      <c r="Q342">
        <v>8.1300000000000008</v>
      </c>
      <c r="S342">
        <v>7.84</v>
      </c>
      <c r="T342">
        <v>0</v>
      </c>
      <c r="U342">
        <v>95.9</v>
      </c>
      <c r="V342">
        <v>852</v>
      </c>
      <c r="W342">
        <v>36.19</v>
      </c>
      <c r="Y342">
        <v>12.97</v>
      </c>
    </row>
    <row r="343" spans="1:25" x14ac:dyDescent="0.25">
      <c r="A343">
        <v>2006</v>
      </c>
      <c r="B343">
        <v>315</v>
      </c>
      <c r="C343">
        <v>2400</v>
      </c>
      <c r="D343">
        <v>23.95</v>
      </c>
      <c r="E343">
        <v>-4.9729999999999999</v>
      </c>
      <c r="F343">
        <v>7.5</v>
      </c>
      <c r="G343">
        <v>7.87</v>
      </c>
      <c r="K343">
        <v>4.5350000000000001</v>
      </c>
      <c r="L343">
        <v>275.7</v>
      </c>
      <c r="M343">
        <v>2.8</v>
      </c>
      <c r="O343">
        <v>21.59</v>
      </c>
      <c r="P343">
        <v>-3.843</v>
      </c>
      <c r="Q343">
        <v>8.17</v>
      </c>
      <c r="S343">
        <v>7.83</v>
      </c>
      <c r="T343">
        <v>0</v>
      </c>
      <c r="U343">
        <v>95.1</v>
      </c>
      <c r="V343">
        <v>854</v>
      </c>
      <c r="W343">
        <v>36.32</v>
      </c>
      <c r="Y343">
        <v>13.12</v>
      </c>
    </row>
    <row r="344" spans="1:25" x14ac:dyDescent="0.25">
      <c r="A344">
        <v>2006</v>
      </c>
      <c r="B344">
        <v>316</v>
      </c>
      <c r="C344">
        <v>100</v>
      </c>
      <c r="D344">
        <v>-0.96299999999999997</v>
      </c>
      <c r="E344">
        <v>-14.78</v>
      </c>
      <c r="F344">
        <v>6.9749999999999996</v>
      </c>
      <c r="G344">
        <v>7.19</v>
      </c>
      <c r="K344">
        <v>2.1880000000000002</v>
      </c>
      <c r="L344">
        <v>270.10000000000002</v>
      </c>
      <c r="M344">
        <v>0</v>
      </c>
      <c r="O344">
        <v>-11.5</v>
      </c>
      <c r="P344">
        <v>-10.85</v>
      </c>
      <c r="Q344">
        <v>8.0500000000000007</v>
      </c>
      <c r="S344">
        <v>7.82</v>
      </c>
      <c r="T344">
        <v>0</v>
      </c>
      <c r="U344">
        <v>97.1</v>
      </c>
      <c r="V344">
        <v>851</v>
      </c>
      <c r="W344">
        <v>36.11</v>
      </c>
      <c r="Y344">
        <v>12.96</v>
      </c>
    </row>
    <row r="345" spans="1:25" x14ac:dyDescent="0.25">
      <c r="A345">
        <v>2006</v>
      </c>
      <c r="B345">
        <v>316</v>
      </c>
      <c r="C345">
        <v>200</v>
      </c>
      <c r="D345">
        <v>-1.4790000000000001</v>
      </c>
      <c r="E345">
        <v>-21.25</v>
      </c>
      <c r="F345">
        <v>6.26</v>
      </c>
      <c r="G345">
        <v>6.6059999999999999</v>
      </c>
      <c r="K345">
        <v>2.1760000000000002</v>
      </c>
      <c r="L345">
        <v>263.7</v>
      </c>
      <c r="M345">
        <v>0</v>
      </c>
      <c r="O345">
        <v>-11.5</v>
      </c>
      <c r="P345">
        <v>-10.84</v>
      </c>
      <c r="Q345">
        <v>7.97</v>
      </c>
      <c r="S345">
        <v>7.78</v>
      </c>
      <c r="T345">
        <v>0</v>
      </c>
      <c r="U345">
        <v>95.3</v>
      </c>
      <c r="V345">
        <v>850</v>
      </c>
      <c r="W345">
        <v>36.08</v>
      </c>
      <c r="Y345">
        <v>12.95</v>
      </c>
    </row>
    <row r="346" spans="1:25" x14ac:dyDescent="0.25">
      <c r="A346">
        <v>2006</v>
      </c>
      <c r="B346">
        <v>316</v>
      </c>
      <c r="C346">
        <v>300</v>
      </c>
      <c r="D346">
        <v>-0.98799999999999999</v>
      </c>
      <c r="E346">
        <v>-17.18</v>
      </c>
      <c r="F346">
        <v>6.1779999999999999</v>
      </c>
      <c r="G346">
        <v>6.3840000000000003</v>
      </c>
      <c r="K346">
        <v>2.1819999999999999</v>
      </c>
      <c r="L346">
        <v>265.10000000000002</v>
      </c>
      <c r="M346">
        <v>0</v>
      </c>
      <c r="O346">
        <v>-11.5</v>
      </c>
      <c r="P346">
        <v>-10.85</v>
      </c>
      <c r="Q346">
        <v>7.9</v>
      </c>
      <c r="S346">
        <v>7.71</v>
      </c>
      <c r="T346">
        <v>0</v>
      </c>
      <c r="U346">
        <v>97.1</v>
      </c>
      <c r="V346">
        <v>849</v>
      </c>
      <c r="W346">
        <v>36.01</v>
      </c>
      <c r="Y346">
        <v>12.94</v>
      </c>
    </row>
    <row r="347" spans="1:25" x14ac:dyDescent="0.25">
      <c r="A347">
        <v>2006</v>
      </c>
      <c r="B347">
        <v>316</v>
      </c>
      <c r="C347">
        <v>400</v>
      </c>
      <c r="D347">
        <v>-0.96499999999999997</v>
      </c>
      <c r="E347">
        <v>-11.8</v>
      </c>
      <c r="F347">
        <v>6.0519999999999996</v>
      </c>
      <c r="G347">
        <v>6.2320000000000002</v>
      </c>
      <c r="K347">
        <v>1.36</v>
      </c>
      <c r="L347">
        <v>234.9</v>
      </c>
      <c r="M347">
        <v>0</v>
      </c>
      <c r="O347">
        <v>-11.5</v>
      </c>
      <c r="P347">
        <v>-10.84</v>
      </c>
      <c r="Q347">
        <v>7.82</v>
      </c>
      <c r="S347">
        <v>7.71</v>
      </c>
      <c r="T347">
        <v>0</v>
      </c>
      <c r="U347">
        <v>97.5</v>
      </c>
      <c r="V347">
        <v>848</v>
      </c>
      <c r="W347">
        <v>35.94</v>
      </c>
      <c r="Y347">
        <v>12.93</v>
      </c>
    </row>
    <row r="348" spans="1:25" x14ac:dyDescent="0.25">
      <c r="A348">
        <v>2006</v>
      </c>
      <c r="B348">
        <v>316</v>
      </c>
      <c r="C348">
        <v>500</v>
      </c>
      <c r="D348">
        <v>-0.57899999999999996</v>
      </c>
      <c r="E348">
        <v>-5.4180000000000001</v>
      </c>
      <c r="F348">
        <v>6.6779999999999999</v>
      </c>
      <c r="G348">
        <v>6.9770000000000003</v>
      </c>
      <c r="K348">
        <v>1.496</v>
      </c>
      <c r="L348">
        <v>239.4</v>
      </c>
      <c r="M348">
        <v>0</v>
      </c>
      <c r="O348">
        <v>-11.5</v>
      </c>
      <c r="P348">
        <v>-10.85</v>
      </c>
      <c r="Q348">
        <v>7.77</v>
      </c>
      <c r="S348">
        <v>7.69</v>
      </c>
      <c r="T348">
        <v>0</v>
      </c>
      <c r="U348">
        <v>96</v>
      </c>
      <c r="V348">
        <v>846</v>
      </c>
      <c r="W348">
        <v>35.82</v>
      </c>
      <c r="Y348">
        <v>12.92</v>
      </c>
    </row>
    <row r="349" spans="1:25" x14ac:dyDescent="0.25">
      <c r="A349">
        <v>2006</v>
      </c>
      <c r="B349">
        <v>316</v>
      </c>
      <c r="C349">
        <v>600</v>
      </c>
      <c r="D349">
        <v>-0.57299999999999995</v>
      </c>
      <c r="E349">
        <v>-5.0469999999999997</v>
      </c>
      <c r="F349">
        <v>7.11</v>
      </c>
      <c r="G349">
        <v>7.48</v>
      </c>
      <c r="K349">
        <v>2.218</v>
      </c>
      <c r="L349">
        <v>252.7</v>
      </c>
      <c r="M349">
        <v>0</v>
      </c>
      <c r="O349">
        <v>-11.5</v>
      </c>
      <c r="P349">
        <v>-10.85</v>
      </c>
      <c r="Q349">
        <v>7.77</v>
      </c>
      <c r="S349">
        <v>7.65</v>
      </c>
      <c r="T349">
        <v>0</v>
      </c>
      <c r="U349">
        <v>95</v>
      </c>
      <c r="V349">
        <v>845</v>
      </c>
      <c r="W349">
        <v>35.78</v>
      </c>
      <c r="Y349">
        <v>12.92</v>
      </c>
    </row>
    <row r="350" spans="1:25" x14ac:dyDescent="0.25">
      <c r="A350">
        <v>2006</v>
      </c>
      <c r="B350">
        <v>316</v>
      </c>
      <c r="C350">
        <v>700</v>
      </c>
      <c r="D350">
        <v>-0.57499999999999996</v>
      </c>
      <c r="E350">
        <v>-5.0949999999999998</v>
      </c>
      <c r="F350">
        <v>7.38</v>
      </c>
      <c r="G350">
        <v>7.64</v>
      </c>
      <c r="K350">
        <v>2.0430000000000001</v>
      </c>
      <c r="L350">
        <v>238.2</v>
      </c>
      <c r="M350">
        <v>0</v>
      </c>
      <c r="O350">
        <v>-11.51</v>
      </c>
      <c r="P350">
        <v>-10.85</v>
      </c>
      <c r="Q350">
        <v>7.77</v>
      </c>
      <c r="S350">
        <v>7.6</v>
      </c>
      <c r="T350">
        <v>0</v>
      </c>
      <c r="U350">
        <v>96.6</v>
      </c>
      <c r="V350">
        <v>845</v>
      </c>
      <c r="W350">
        <v>35.75</v>
      </c>
      <c r="Y350">
        <v>12.91</v>
      </c>
    </row>
    <row r="351" spans="1:25" x14ac:dyDescent="0.25">
      <c r="A351">
        <v>2006</v>
      </c>
      <c r="B351">
        <v>316</v>
      </c>
      <c r="C351">
        <v>800</v>
      </c>
      <c r="D351">
        <v>-0.105</v>
      </c>
      <c r="E351">
        <v>-2.3319999999999999</v>
      </c>
      <c r="F351">
        <v>7.91</v>
      </c>
      <c r="G351">
        <v>7.96</v>
      </c>
      <c r="K351">
        <v>1.6659999999999999</v>
      </c>
      <c r="L351">
        <v>227.1</v>
      </c>
      <c r="M351">
        <v>0</v>
      </c>
      <c r="O351">
        <v>-11.2</v>
      </c>
      <c r="P351">
        <v>-10.84</v>
      </c>
      <c r="Q351">
        <v>7.78</v>
      </c>
      <c r="S351">
        <v>7.6</v>
      </c>
      <c r="T351">
        <v>0</v>
      </c>
      <c r="U351">
        <v>99.3</v>
      </c>
      <c r="V351">
        <v>845</v>
      </c>
      <c r="W351">
        <v>35.74</v>
      </c>
      <c r="Y351">
        <v>12.91</v>
      </c>
    </row>
    <row r="352" spans="1:25" x14ac:dyDescent="0.25">
      <c r="A352">
        <v>2006</v>
      </c>
      <c r="B352">
        <v>316</v>
      </c>
      <c r="C352">
        <v>900</v>
      </c>
      <c r="D352">
        <v>6.0540000000000003</v>
      </c>
      <c r="E352">
        <v>2.9990000000000001</v>
      </c>
      <c r="F352">
        <v>8.27</v>
      </c>
      <c r="G352">
        <v>8.25</v>
      </c>
      <c r="H352">
        <f>AVERAGE(G352:G376)</f>
        <v>10.347999999999999</v>
      </c>
      <c r="I352">
        <f>MIN(G352:G376)</f>
        <v>8.25</v>
      </c>
      <c r="J352">
        <f>MAX(G352:G376)</f>
        <v>12.68</v>
      </c>
      <c r="K352">
        <v>1.73</v>
      </c>
      <c r="L352">
        <v>233.3</v>
      </c>
      <c r="M352">
        <v>0.4</v>
      </c>
      <c r="N352">
        <f>SUM(M352:M376)</f>
        <v>3.4000000000000004</v>
      </c>
      <c r="O352">
        <v>-2.6230000000000002</v>
      </c>
      <c r="P352">
        <v>-9.1199999999999992</v>
      </c>
      <c r="Q352">
        <v>7.82</v>
      </c>
      <c r="S352">
        <v>7.6</v>
      </c>
      <c r="T352">
        <v>0</v>
      </c>
      <c r="U352">
        <v>100.3</v>
      </c>
      <c r="V352">
        <v>844</v>
      </c>
      <c r="W352">
        <v>35.68</v>
      </c>
      <c r="Y352">
        <v>12.9</v>
      </c>
    </row>
    <row r="353" spans="1:25" x14ac:dyDescent="0.25">
      <c r="A353">
        <v>2006</v>
      </c>
      <c r="B353">
        <v>316</v>
      </c>
      <c r="C353">
        <v>1000</v>
      </c>
      <c r="D353">
        <v>52.7</v>
      </c>
      <c r="E353">
        <v>32.65</v>
      </c>
      <c r="F353">
        <v>8.82</v>
      </c>
      <c r="G353">
        <v>8.81</v>
      </c>
      <c r="K353">
        <v>1.9390000000000001</v>
      </c>
      <c r="L353">
        <v>251.3</v>
      </c>
      <c r="M353">
        <v>0</v>
      </c>
      <c r="O353">
        <v>54.97</v>
      </c>
      <c r="P353">
        <v>2.3159999999999998</v>
      </c>
      <c r="Q353">
        <v>7.86</v>
      </c>
      <c r="S353">
        <v>7.6</v>
      </c>
      <c r="T353">
        <v>0</v>
      </c>
      <c r="U353">
        <v>100.2</v>
      </c>
      <c r="V353">
        <v>846</v>
      </c>
      <c r="W353">
        <v>35.82</v>
      </c>
      <c r="Y353">
        <v>13.03</v>
      </c>
    </row>
    <row r="354" spans="1:25" x14ac:dyDescent="0.25">
      <c r="A354">
        <v>2006</v>
      </c>
      <c r="B354">
        <v>316</v>
      </c>
      <c r="C354">
        <v>1100</v>
      </c>
      <c r="D354">
        <v>170</v>
      </c>
      <c r="E354">
        <v>88.2</v>
      </c>
      <c r="F354">
        <v>8.9700000000000006</v>
      </c>
      <c r="G354">
        <v>9.23</v>
      </c>
      <c r="K354">
        <v>2.5819999999999999</v>
      </c>
      <c r="L354">
        <v>243.8</v>
      </c>
      <c r="M354">
        <v>0</v>
      </c>
      <c r="O354">
        <v>194.6</v>
      </c>
      <c r="P354">
        <v>51.55</v>
      </c>
      <c r="Q354">
        <v>7.94</v>
      </c>
      <c r="S354">
        <v>7.62</v>
      </c>
      <c r="T354">
        <v>0</v>
      </c>
      <c r="U354">
        <v>96.8</v>
      </c>
      <c r="V354">
        <v>846</v>
      </c>
      <c r="W354">
        <v>35.85</v>
      </c>
      <c r="Y354">
        <v>13.98</v>
      </c>
    </row>
    <row r="355" spans="1:25" x14ac:dyDescent="0.25">
      <c r="A355">
        <v>2006</v>
      </c>
      <c r="B355">
        <v>316</v>
      </c>
      <c r="C355">
        <v>1200</v>
      </c>
      <c r="D355">
        <v>194.5</v>
      </c>
      <c r="E355">
        <v>109.4</v>
      </c>
      <c r="F355">
        <v>9.23</v>
      </c>
      <c r="G355">
        <v>9.83</v>
      </c>
      <c r="K355">
        <v>3.0489999999999999</v>
      </c>
      <c r="L355">
        <v>251.3</v>
      </c>
      <c r="M355">
        <v>0</v>
      </c>
      <c r="O355">
        <v>229.1</v>
      </c>
      <c r="P355">
        <v>62.84</v>
      </c>
      <c r="Q355">
        <v>8.1199999999999992</v>
      </c>
      <c r="S355">
        <v>7.66</v>
      </c>
      <c r="T355">
        <v>0</v>
      </c>
      <c r="U355">
        <v>92.6</v>
      </c>
      <c r="V355">
        <v>847</v>
      </c>
      <c r="W355">
        <v>35.86</v>
      </c>
      <c r="Y355">
        <v>14.02</v>
      </c>
    </row>
    <row r="356" spans="1:25" x14ac:dyDescent="0.25">
      <c r="A356">
        <v>2006</v>
      </c>
      <c r="B356">
        <v>316</v>
      </c>
      <c r="C356">
        <v>1300</v>
      </c>
      <c r="D356">
        <v>169.9</v>
      </c>
      <c r="E356">
        <v>100.1</v>
      </c>
      <c r="F356">
        <v>9.61</v>
      </c>
      <c r="G356">
        <v>10.34</v>
      </c>
      <c r="K356">
        <v>3.464</v>
      </c>
      <c r="L356">
        <v>255.8</v>
      </c>
      <c r="M356">
        <v>0</v>
      </c>
      <c r="O356">
        <v>195.8</v>
      </c>
      <c r="P356">
        <v>43.2</v>
      </c>
      <c r="Q356">
        <v>8.26</v>
      </c>
      <c r="S356">
        <v>7.63</v>
      </c>
      <c r="T356">
        <v>0</v>
      </c>
      <c r="U356">
        <v>91.3</v>
      </c>
      <c r="V356">
        <v>845</v>
      </c>
      <c r="W356">
        <v>35.78</v>
      </c>
      <c r="Y356">
        <v>13.99</v>
      </c>
    </row>
    <row r="357" spans="1:25" x14ac:dyDescent="0.25">
      <c r="A357">
        <v>2006</v>
      </c>
      <c r="B357">
        <v>316</v>
      </c>
      <c r="C357">
        <v>1400</v>
      </c>
      <c r="D357">
        <v>78.7</v>
      </c>
      <c r="E357">
        <v>42.31</v>
      </c>
      <c r="F357">
        <v>9.6999999999999993</v>
      </c>
      <c r="G357">
        <v>10.17</v>
      </c>
      <c r="K357">
        <v>2.9169999999999998</v>
      </c>
      <c r="L357">
        <v>258</v>
      </c>
      <c r="M357">
        <v>0</v>
      </c>
      <c r="O357">
        <v>88.2</v>
      </c>
      <c r="P357">
        <v>10.7</v>
      </c>
      <c r="Q357">
        <v>8.41</v>
      </c>
      <c r="S357">
        <v>7.64</v>
      </c>
      <c r="T357">
        <v>0</v>
      </c>
      <c r="U357">
        <v>94.3</v>
      </c>
      <c r="V357">
        <v>845</v>
      </c>
      <c r="W357">
        <v>35.770000000000003</v>
      </c>
      <c r="Y357">
        <v>13.66</v>
      </c>
    </row>
    <row r="358" spans="1:25" x14ac:dyDescent="0.25">
      <c r="A358">
        <v>2006</v>
      </c>
      <c r="B358">
        <v>316</v>
      </c>
      <c r="C358">
        <v>1500</v>
      </c>
      <c r="D358">
        <v>56</v>
      </c>
      <c r="E358">
        <v>27.79</v>
      </c>
      <c r="F358">
        <v>9.75</v>
      </c>
      <c r="G358">
        <v>10.220000000000001</v>
      </c>
      <c r="K358">
        <v>2.7410000000000001</v>
      </c>
      <c r="L358">
        <v>245.5</v>
      </c>
      <c r="M358">
        <v>0</v>
      </c>
      <c r="O358">
        <v>58.49</v>
      </c>
      <c r="P358">
        <v>5.2140000000000004</v>
      </c>
      <c r="Q358">
        <v>8.56</v>
      </c>
      <c r="S358">
        <v>7.72</v>
      </c>
      <c r="T358">
        <v>0</v>
      </c>
      <c r="U358">
        <v>94.3</v>
      </c>
      <c r="V358">
        <v>845</v>
      </c>
      <c r="W358">
        <v>35.76</v>
      </c>
      <c r="Y358">
        <v>13.52</v>
      </c>
    </row>
    <row r="359" spans="1:25" x14ac:dyDescent="0.25">
      <c r="A359">
        <v>2006</v>
      </c>
      <c r="B359">
        <v>316</v>
      </c>
      <c r="C359">
        <v>1600</v>
      </c>
      <c r="D359">
        <v>21.71</v>
      </c>
      <c r="E359">
        <v>8.1199999999999992</v>
      </c>
      <c r="F359">
        <v>9.7799999999999994</v>
      </c>
      <c r="G359">
        <v>10.07</v>
      </c>
      <c r="K359">
        <v>2.226</v>
      </c>
      <c r="L359">
        <v>231.4</v>
      </c>
      <c r="M359">
        <v>0</v>
      </c>
      <c r="O359">
        <v>15.26</v>
      </c>
      <c r="P359">
        <v>-4.4870000000000001</v>
      </c>
      <c r="Q359">
        <v>8.7100000000000009</v>
      </c>
      <c r="S359">
        <v>7.79</v>
      </c>
      <c r="T359">
        <v>0</v>
      </c>
      <c r="U359">
        <v>96.5</v>
      </c>
      <c r="V359">
        <v>845</v>
      </c>
      <c r="W359">
        <v>35.79</v>
      </c>
      <c r="Y359">
        <v>13.43</v>
      </c>
    </row>
    <row r="360" spans="1:25" x14ac:dyDescent="0.25">
      <c r="A360">
        <v>2006</v>
      </c>
      <c r="B360">
        <v>316</v>
      </c>
      <c r="C360">
        <v>1700</v>
      </c>
      <c r="D360">
        <v>-0.153</v>
      </c>
      <c r="E360">
        <v>-6.6529999999999996</v>
      </c>
      <c r="F360">
        <v>9.65</v>
      </c>
      <c r="G360">
        <v>9.82</v>
      </c>
      <c r="K360">
        <v>2.78</v>
      </c>
      <c r="L360">
        <v>237</v>
      </c>
      <c r="M360">
        <v>0.2</v>
      </c>
      <c r="O360">
        <v>-10.42</v>
      </c>
      <c r="P360">
        <v>-10.69</v>
      </c>
      <c r="Q360">
        <v>8.7799999999999994</v>
      </c>
      <c r="S360">
        <v>7.87</v>
      </c>
      <c r="T360">
        <v>0</v>
      </c>
      <c r="U360">
        <v>97.9</v>
      </c>
      <c r="V360">
        <v>844</v>
      </c>
      <c r="W360">
        <v>35.729999999999997</v>
      </c>
      <c r="Y360">
        <v>13.32</v>
      </c>
    </row>
    <row r="361" spans="1:25" x14ac:dyDescent="0.25">
      <c r="A361">
        <v>2006</v>
      </c>
      <c r="B361">
        <v>316</v>
      </c>
      <c r="C361">
        <v>1800</v>
      </c>
      <c r="D361">
        <v>-1.0980000000000001</v>
      </c>
      <c r="E361">
        <v>-6.5739999999999998</v>
      </c>
      <c r="F361">
        <v>9.41</v>
      </c>
      <c r="G361">
        <v>9.57</v>
      </c>
      <c r="K361">
        <v>3.6440000000000001</v>
      </c>
      <c r="L361">
        <v>237</v>
      </c>
      <c r="M361">
        <v>0</v>
      </c>
      <c r="O361">
        <v>-11.51</v>
      </c>
      <c r="P361">
        <v>-10.84</v>
      </c>
      <c r="Q361">
        <v>8.8000000000000007</v>
      </c>
      <c r="S361">
        <v>7.93</v>
      </c>
      <c r="T361">
        <v>0</v>
      </c>
      <c r="U361">
        <v>98</v>
      </c>
      <c r="V361">
        <v>844</v>
      </c>
      <c r="W361">
        <v>35.69</v>
      </c>
      <c r="Y361">
        <v>13.24</v>
      </c>
    </row>
    <row r="362" spans="1:25" x14ac:dyDescent="0.25">
      <c r="A362">
        <v>2006</v>
      </c>
      <c r="B362">
        <v>316</v>
      </c>
      <c r="C362">
        <v>1900</v>
      </c>
      <c r="D362">
        <v>-0.76100000000000001</v>
      </c>
      <c r="E362">
        <v>-4.4980000000000002</v>
      </c>
      <c r="F362">
        <v>9.52</v>
      </c>
      <c r="G362">
        <v>9.66</v>
      </c>
      <c r="K362">
        <v>4.335</v>
      </c>
      <c r="L362">
        <v>234.3</v>
      </c>
      <c r="M362">
        <v>0</v>
      </c>
      <c r="O362">
        <v>-11.5</v>
      </c>
      <c r="P362">
        <v>-10.84</v>
      </c>
      <c r="Q362">
        <v>8.82</v>
      </c>
      <c r="S362">
        <v>7.94</v>
      </c>
      <c r="T362">
        <v>0</v>
      </c>
      <c r="U362">
        <v>98.2</v>
      </c>
      <c r="V362">
        <v>842</v>
      </c>
      <c r="W362">
        <v>35.6</v>
      </c>
      <c r="Y362">
        <v>13.16</v>
      </c>
    </row>
    <row r="363" spans="1:25" x14ac:dyDescent="0.25">
      <c r="A363">
        <v>2006</v>
      </c>
      <c r="B363">
        <v>316</v>
      </c>
      <c r="C363">
        <v>2000</v>
      </c>
      <c r="D363">
        <v>-0.98299999999999998</v>
      </c>
      <c r="E363">
        <v>-5.0960000000000001</v>
      </c>
      <c r="F363">
        <v>9.75</v>
      </c>
      <c r="G363">
        <v>9.8699999999999992</v>
      </c>
      <c r="K363">
        <v>4.7919999999999998</v>
      </c>
      <c r="L363">
        <v>231.9</v>
      </c>
      <c r="M363">
        <v>0.2</v>
      </c>
      <c r="O363">
        <v>-11.5</v>
      </c>
      <c r="P363">
        <v>-10.85</v>
      </c>
      <c r="Q363">
        <v>8.84</v>
      </c>
      <c r="S363">
        <v>8</v>
      </c>
      <c r="T363">
        <v>0</v>
      </c>
      <c r="U363">
        <v>98.6</v>
      </c>
      <c r="V363">
        <v>841</v>
      </c>
      <c r="W363">
        <v>35.549999999999997</v>
      </c>
      <c r="Y363">
        <v>13.1</v>
      </c>
    </row>
    <row r="364" spans="1:25" x14ac:dyDescent="0.25">
      <c r="A364">
        <v>2006</v>
      </c>
      <c r="B364">
        <v>316</v>
      </c>
      <c r="C364">
        <v>2100</v>
      </c>
      <c r="D364">
        <v>-1.014</v>
      </c>
      <c r="E364">
        <v>-4.335</v>
      </c>
      <c r="F364">
        <v>10.37</v>
      </c>
      <c r="G364">
        <v>10.58</v>
      </c>
      <c r="K364">
        <v>4.53</v>
      </c>
      <c r="L364">
        <v>233.9</v>
      </c>
      <c r="M364">
        <v>0</v>
      </c>
      <c r="O364">
        <v>-11.51</v>
      </c>
      <c r="P364">
        <v>-10.84</v>
      </c>
      <c r="Q364">
        <v>8.84</v>
      </c>
      <c r="S364">
        <v>8.0399999999999991</v>
      </c>
      <c r="T364">
        <v>0</v>
      </c>
      <c r="U364">
        <v>97.5</v>
      </c>
      <c r="V364">
        <v>842</v>
      </c>
      <c r="W364">
        <v>35.58</v>
      </c>
      <c r="Y364">
        <v>13.04</v>
      </c>
    </row>
    <row r="365" spans="1:25" x14ac:dyDescent="0.25">
      <c r="A365">
        <v>2006</v>
      </c>
      <c r="B365">
        <v>316</v>
      </c>
      <c r="C365">
        <v>2200</v>
      </c>
      <c r="D365">
        <v>-0.99099999999999999</v>
      </c>
      <c r="E365">
        <v>-1.917</v>
      </c>
      <c r="F365">
        <v>11.4</v>
      </c>
      <c r="G365">
        <v>11.67</v>
      </c>
      <c r="K365">
        <v>4.1260000000000003</v>
      </c>
      <c r="L365">
        <v>240.9</v>
      </c>
      <c r="M365">
        <v>0</v>
      </c>
      <c r="O365">
        <v>-11.5</v>
      </c>
      <c r="P365">
        <v>-10.85</v>
      </c>
      <c r="Q365">
        <v>8.91</v>
      </c>
      <c r="S365">
        <v>8.07</v>
      </c>
      <c r="T365">
        <v>0</v>
      </c>
      <c r="U365">
        <v>96.8</v>
      </c>
      <c r="V365">
        <v>842</v>
      </c>
      <c r="W365">
        <v>35.58</v>
      </c>
      <c r="Y365">
        <v>13</v>
      </c>
    </row>
    <row r="366" spans="1:25" x14ac:dyDescent="0.25">
      <c r="A366">
        <v>2006</v>
      </c>
      <c r="B366">
        <v>316</v>
      </c>
      <c r="C366">
        <v>2300</v>
      </c>
      <c r="D366">
        <v>-0.58099999999999996</v>
      </c>
      <c r="E366">
        <v>-1.677</v>
      </c>
      <c r="F366">
        <v>11.95</v>
      </c>
      <c r="G366">
        <v>12.17</v>
      </c>
      <c r="K366">
        <v>3.972</v>
      </c>
      <c r="L366">
        <v>250.5</v>
      </c>
      <c r="M366">
        <v>0.8</v>
      </c>
      <c r="O366">
        <v>-11.5</v>
      </c>
      <c r="P366">
        <v>-10.85</v>
      </c>
      <c r="Q366">
        <v>8.9600000000000009</v>
      </c>
      <c r="S366">
        <v>8.1199999999999992</v>
      </c>
      <c r="T366">
        <v>0</v>
      </c>
      <c r="U366">
        <v>97.5</v>
      </c>
      <c r="V366">
        <v>844</v>
      </c>
      <c r="W366">
        <v>35.74</v>
      </c>
      <c r="Y366">
        <v>12.98</v>
      </c>
    </row>
    <row r="367" spans="1:25" x14ac:dyDescent="0.25">
      <c r="A367">
        <v>2006</v>
      </c>
      <c r="B367">
        <v>316</v>
      </c>
      <c r="C367">
        <v>2400</v>
      </c>
      <c r="D367">
        <v>-0.97199999999999998</v>
      </c>
      <c r="E367">
        <v>-13.02</v>
      </c>
      <c r="F367">
        <v>12.11</v>
      </c>
      <c r="G367">
        <v>12.38</v>
      </c>
      <c r="K367">
        <v>3.4729999999999999</v>
      </c>
      <c r="L367">
        <v>255.2</v>
      </c>
      <c r="M367">
        <v>0</v>
      </c>
      <c r="O367">
        <v>-11.5</v>
      </c>
      <c r="P367">
        <v>-10.84</v>
      </c>
      <c r="Q367">
        <v>9.01</v>
      </c>
      <c r="S367">
        <v>8.07</v>
      </c>
      <c r="T367">
        <v>0</v>
      </c>
      <c r="U367">
        <v>97</v>
      </c>
      <c r="V367">
        <v>849</v>
      </c>
      <c r="W367">
        <v>36.04</v>
      </c>
      <c r="Y367">
        <v>12.96</v>
      </c>
    </row>
    <row r="368" spans="1:25" x14ac:dyDescent="0.25">
      <c r="A368">
        <v>2006</v>
      </c>
      <c r="B368">
        <v>316</v>
      </c>
      <c r="C368">
        <v>2400</v>
      </c>
      <c r="D368">
        <v>30.7</v>
      </c>
      <c r="E368">
        <v>11.87</v>
      </c>
      <c r="F368">
        <v>8.8699999999999992</v>
      </c>
      <c r="G368">
        <v>9.1300000000000008</v>
      </c>
      <c r="K368">
        <v>2.8180000000000001</v>
      </c>
      <c r="L368">
        <v>245.2</v>
      </c>
      <c r="M368">
        <v>1.6</v>
      </c>
      <c r="O368">
        <v>27.13</v>
      </c>
      <c r="P368">
        <v>-0.46600000000000003</v>
      </c>
      <c r="Q368">
        <v>8.31</v>
      </c>
      <c r="S368">
        <v>7.79</v>
      </c>
      <c r="T368">
        <v>0</v>
      </c>
      <c r="U368">
        <v>96.7</v>
      </c>
      <c r="V368">
        <v>845</v>
      </c>
      <c r="W368">
        <v>35.79</v>
      </c>
      <c r="Y368">
        <v>13.2</v>
      </c>
    </row>
    <row r="369" spans="1:25" x14ac:dyDescent="0.25">
      <c r="A369">
        <v>2006</v>
      </c>
      <c r="B369">
        <v>317</v>
      </c>
      <c r="C369">
        <v>100</v>
      </c>
      <c r="D369">
        <v>-0.98799999999999999</v>
      </c>
      <c r="E369">
        <v>-10.7</v>
      </c>
      <c r="F369">
        <v>11.96</v>
      </c>
      <c r="G369">
        <v>12.68</v>
      </c>
      <c r="K369">
        <v>4.3739999999999997</v>
      </c>
      <c r="L369">
        <v>271.8</v>
      </c>
      <c r="M369">
        <v>0</v>
      </c>
      <c r="O369">
        <v>-11.52</v>
      </c>
      <c r="P369">
        <v>-10.89</v>
      </c>
      <c r="Q369">
        <v>9.11</v>
      </c>
      <c r="S369">
        <v>8.15</v>
      </c>
      <c r="T369">
        <v>0</v>
      </c>
      <c r="U369">
        <v>92</v>
      </c>
      <c r="V369">
        <v>850</v>
      </c>
      <c r="W369">
        <v>36.049999999999997</v>
      </c>
      <c r="Y369">
        <v>12.95</v>
      </c>
    </row>
    <row r="370" spans="1:25" x14ac:dyDescent="0.25">
      <c r="A370">
        <v>2006</v>
      </c>
      <c r="B370">
        <v>317</v>
      </c>
      <c r="C370">
        <v>200</v>
      </c>
      <c r="D370">
        <v>-1.125</v>
      </c>
      <c r="E370">
        <v>-8.39</v>
      </c>
      <c r="F370">
        <v>11.51</v>
      </c>
      <c r="G370">
        <v>12.2</v>
      </c>
      <c r="K370">
        <v>4.1059999999999999</v>
      </c>
      <c r="L370">
        <v>288.39999999999998</v>
      </c>
      <c r="M370">
        <v>0</v>
      </c>
      <c r="O370">
        <v>-11.53</v>
      </c>
      <c r="P370">
        <v>-10.89</v>
      </c>
      <c r="Q370">
        <v>9.1999999999999993</v>
      </c>
      <c r="S370">
        <v>8.16</v>
      </c>
      <c r="T370">
        <v>0</v>
      </c>
      <c r="U370">
        <v>92.2</v>
      </c>
      <c r="V370">
        <v>849</v>
      </c>
      <c r="W370">
        <v>35.99</v>
      </c>
      <c r="Y370">
        <v>12.94</v>
      </c>
    </row>
    <row r="371" spans="1:25" x14ac:dyDescent="0.25">
      <c r="A371">
        <v>2006</v>
      </c>
      <c r="B371">
        <v>317</v>
      </c>
      <c r="C371">
        <v>300</v>
      </c>
      <c r="D371">
        <v>-0.95299999999999996</v>
      </c>
      <c r="E371">
        <v>-11.28</v>
      </c>
      <c r="F371">
        <v>10.81</v>
      </c>
      <c r="G371">
        <v>11.51</v>
      </c>
      <c r="K371">
        <v>5.3769999999999998</v>
      </c>
      <c r="L371">
        <v>290.5</v>
      </c>
      <c r="M371">
        <v>0</v>
      </c>
      <c r="O371">
        <v>-11.51</v>
      </c>
      <c r="P371">
        <v>-10.87</v>
      </c>
      <c r="Q371">
        <v>9.26</v>
      </c>
      <c r="S371">
        <v>8.1999999999999993</v>
      </c>
      <c r="T371">
        <v>0</v>
      </c>
      <c r="U371">
        <v>92</v>
      </c>
      <c r="V371">
        <v>848</v>
      </c>
      <c r="W371">
        <v>35.93</v>
      </c>
      <c r="Y371">
        <v>12.93</v>
      </c>
    </row>
    <row r="372" spans="1:25" x14ac:dyDescent="0.25">
      <c r="A372">
        <v>2006</v>
      </c>
      <c r="B372">
        <v>317</v>
      </c>
      <c r="C372">
        <v>400</v>
      </c>
      <c r="D372">
        <v>-1.2569999999999999</v>
      </c>
      <c r="E372">
        <v>-20.65</v>
      </c>
      <c r="F372">
        <v>10.43</v>
      </c>
      <c r="G372">
        <v>10.77</v>
      </c>
      <c r="K372">
        <v>4.4630000000000001</v>
      </c>
      <c r="L372">
        <v>277</v>
      </c>
      <c r="M372">
        <v>0</v>
      </c>
      <c r="O372">
        <v>-11.51</v>
      </c>
      <c r="P372">
        <v>-10.86</v>
      </c>
      <c r="Q372">
        <v>9.2799999999999994</v>
      </c>
      <c r="S372">
        <v>8.25</v>
      </c>
      <c r="T372">
        <v>0</v>
      </c>
      <c r="U372">
        <v>95.9</v>
      </c>
      <c r="V372">
        <v>846</v>
      </c>
      <c r="W372">
        <v>35.85</v>
      </c>
      <c r="Y372">
        <v>12.93</v>
      </c>
    </row>
    <row r="373" spans="1:25" x14ac:dyDescent="0.25">
      <c r="A373">
        <v>2006</v>
      </c>
      <c r="B373">
        <v>317</v>
      </c>
      <c r="C373">
        <v>500</v>
      </c>
      <c r="D373">
        <v>-1.5049999999999999</v>
      </c>
      <c r="E373">
        <v>-20.05</v>
      </c>
      <c r="F373">
        <v>10.25</v>
      </c>
      <c r="G373">
        <v>10.6</v>
      </c>
      <c r="K373">
        <v>5.8109999999999999</v>
      </c>
      <c r="L373">
        <v>279.7</v>
      </c>
      <c r="M373">
        <v>0</v>
      </c>
      <c r="O373">
        <v>-11.51</v>
      </c>
      <c r="P373">
        <v>-10.85</v>
      </c>
      <c r="Q373">
        <v>9.33</v>
      </c>
      <c r="S373">
        <v>8.34</v>
      </c>
      <c r="T373">
        <v>0</v>
      </c>
      <c r="U373">
        <v>95.8</v>
      </c>
      <c r="V373">
        <v>847</v>
      </c>
      <c r="W373">
        <v>35.869999999999997</v>
      </c>
      <c r="Y373">
        <v>12.92</v>
      </c>
    </row>
    <row r="374" spans="1:25" x14ac:dyDescent="0.25">
      <c r="A374">
        <v>2006</v>
      </c>
      <c r="B374">
        <v>317</v>
      </c>
      <c r="C374">
        <v>600</v>
      </c>
      <c r="D374">
        <v>-1.1259999999999999</v>
      </c>
      <c r="E374">
        <v>-11.32</v>
      </c>
      <c r="F374">
        <v>9.93</v>
      </c>
      <c r="G374">
        <v>10.3</v>
      </c>
      <c r="K374">
        <v>5.0759999999999996</v>
      </c>
      <c r="L374">
        <v>282.89999999999998</v>
      </c>
      <c r="M374">
        <v>0</v>
      </c>
      <c r="O374">
        <v>-11.5</v>
      </c>
      <c r="P374">
        <v>-10.86</v>
      </c>
      <c r="Q374">
        <v>9.31</v>
      </c>
      <c r="S374">
        <v>8.3699999999999992</v>
      </c>
      <c r="T374">
        <v>0</v>
      </c>
      <c r="U374">
        <v>95.5</v>
      </c>
      <c r="V374">
        <v>863</v>
      </c>
      <c r="W374">
        <v>36.9</v>
      </c>
      <c r="Y374">
        <v>12.91</v>
      </c>
    </row>
    <row r="375" spans="1:25" x14ac:dyDescent="0.25">
      <c r="A375">
        <v>2006</v>
      </c>
      <c r="B375">
        <v>317</v>
      </c>
      <c r="C375">
        <v>700</v>
      </c>
      <c r="D375">
        <v>-1.64</v>
      </c>
      <c r="E375">
        <v>-30.03</v>
      </c>
      <c r="F375">
        <v>9.5500000000000007</v>
      </c>
      <c r="G375">
        <v>9.84</v>
      </c>
      <c r="K375">
        <v>4.6639999999999997</v>
      </c>
      <c r="L375">
        <v>283.7</v>
      </c>
      <c r="M375">
        <v>0.2</v>
      </c>
      <c r="O375">
        <v>-11.5</v>
      </c>
      <c r="P375">
        <v>-10.85</v>
      </c>
      <c r="Q375">
        <v>9.26</v>
      </c>
      <c r="S375">
        <v>8.3699999999999992</v>
      </c>
      <c r="T375">
        <v>0</v>
      </c>
      <c r="U375">
        <v>96.5</v>
      </c>
      <c r="V375">
        <v>846</v>
      </c>
      <c r="W375">
        <v>35.82</v>
      </c>
      <c r="Y375">
        <v>12.91</v>
      </c>
    </row>
    <row r="376" spans="1:25" x14ac:dyDescent="0.25">
      <c r="A376">
        <v>2006</v>
      </c>
      <c r="B376">
        <v>317</v>
      </c>
      <c r="C376">
        <v>800</v>
      </c>
      <c r="D376">
        <v>0.80200000000000005</v>
      </c>
      <c r="E376">
        <v>-30.26</v>
      </c>
      <c r="F376">
        <v>8.86</v>
      </c>
      <c r="G376">
        <v>9.0299999999999994</v>
      </c>
      <c r="K376">
        <v>4.58</v>
      </c>
      <c r="L376">
        <v>278.89999999999998</v>
      </c>
      <c r="M376">
        <v>0</v>
      </c>
      <c r="O376">
        <v>-8.1999999999999993</v>
      </c>
      <c r="P376">
        <v>-10.23</v>
      </c>
      <c r="Q376">
        <v>9.18</v>
      </c>
      <c r="S376">
        <v>8.3699999999999992</v>
      </c>
      <c r="T376">
        <v>0</v>
      </c>
      <c r="U376">
        <v>97.9</v>
      </c>
      <c r="V376">
        <v>846</v>
      </c>
      <c r="W376">
        <v>35.81</v>
      </c>
      <c r="Y376">
        <v>12.9</v>
      </c>
    </row>
    <row r="377" spans="1:25" x14ac:dyDescent="0.25">
      <c r="A377">
        <v>2006</v>
      </c>
      <c r="B377">
        <v>317</v>
      </c>
      <c r="C377">
        <v>900</v>
      </c>
      <c r="D377">
        <v>31.72</v>
      </c>
      <c r="E377">
        <v>-4.6459999999999999</v>
      </c>
      <c r="F377">
        <v>8.73</v>
      </c>
      <c r="G377">
        <v>8.98</v>
      </c>
      <c r="H377">
        <f>AVERAGE(G377:G401)</f>
        <v>8.6139200000000002</v>
      </c>
      <c r="I377">
        <f>MIN(G377:G401)</f>
        <v>5.8049999999999997</v>
      </c>
      <c r="J377">
        <f>MAX(G377:G401)</f>
        <v>10.98</v>
      </c>
      <c r="K377">
        <v>4.1100000000000003</v>
      </c>
      <c r="L377">
        <v>274</v>
      </c>
      <c r="M377">
        <v>0.2</v>
      </c>
      <c r="N377">
        <f>SUM(M377:M401)</f>
        <v>1</v>
      </c>
      <c r="O377">
        <v>23.6</v>
      </c>
      <c r="P377">
        <v>-1.5780000000000001</v>
      </c>
      <c r="Q377">
        <v>9.09</v>
      </c>
      <c r="S377">
        <v>8.3699999999999992</v>
      </c>
      <c r="T377">
        <v>0</v>
      </c>
      <c r="U377">
        <v>96.8</v>
      </c>
      <c r="V377">
        <v>845</v>
      </c>
      <c r="W377">
        <v>35.78</v>
      </c>
      <c r="Y377">
        <v>12.99</v>
      </c>
    </row>
    <row r="378" spans="1:25" x14ac:dyDescent="0.25">
      <c r="A378">
        <v>2006</v>
      </c>
      <c r="B378">
        <v>317</v>
      </c>
      <c r="C378">
        <v>1000</v>
      </c>
      <c r="D378">
        <v>54.71</v>
      </c>
      <c r="E378">
        <v>16.7</v>
      </c>
      <c r="F378">
        <v>8.7899999999999991</v>
      </c>
      <c r="G378">
        <v>9.06</v>
      </c>
      <c r="K378">
        <v>3.226</v>
      </c>
      <c r="L378">
        <v>272.5</v>
      </c>
      <c r="M378">
        <v>0.2</v>
      </c>
      <c r="O378">
        <v>55.6</v>
      </c>
      <c r="P378">
        <v>7.94</v>
      </c>
      <c r="Q378">
        <v>9.0399999999999991</v>
      </c>
      <c r="S378">
        <v>8.3699999999999992</v>
      </c>
      <c r="T378">
        <v>0</v>
      </c>
      <c r="U378">
        <v>96.6</v>
      </c>
      <c r="V378">
        <v>845</v>
      </c>
      <c r="W378">
        <v>35.79</v>
      </c>
      <c r="Y378">
        <v>13.48</v>
      </c>
    </row>
    <row r="379" spans="1:25" x14ac:dyDescent="0.25">
      <c r="A379">
        <v>2006</v>
      </c>
      <c r="B379">
        <v>317</v>
      </c>
      <c r="C379">
        <v>1100</v>
      </c>
      <c r="D379">
        <v>201.7</v>
      </c>
      <c r="E379">
        <v>122.9</v>
      </c>
      <c r="F379">
        <v>9.3699999999999992</v>
      </c>
      <c r="G379">
        <v>9.9600000000000009</v>
      </c>
      <c r="K379">
        <v>3.4889999999999999</v>
      </c>
      <c r="L379">
        <v>259.7</v>
      </c>
      <c r="M379">
        <v>0</v>
      </c>
      <c r="O379">
        <v>243.1</v>
      </c>
      <c r="P379">
        <v>82.1</v>
      </c>
      <c r="Q379">
        <v>9.0399999999999991</v>
      </c>
      <c r="S379">
        <v>8.3800000000000008</v>
      </c>
      <c r="T379">
        <v>0</v>
      </c>
      <c r="U379">
        <v>92.9</v>
      </c>
      <c r="V379">
        <v>847</v>
      </c>
      <c r="W379">
        <v>35.869999999999997</v>
      </c>
      <c r="Y379">
        <v>14.44</v>
      </c>
    </row>
    <row r="380" spans="1:25" x14ac:dyDescent="0.25">
      <c r="A380">
        <v>2006</v>
      </c>
      <c r="B380">
        <v>317</v>
      </c>
      <c r="C380">
        <v>1200</v>
      </c>
      <c r="D380">
        <v>118.4</v>
      </c>
      <c r="E380">
        <v>64.819999999999993</v>
      </c>
      <c r="F380">
        <v>9.86</v>
      </c>
      <c r="G380">
        <v>10.36</v>
      </c>
      <c r="K380">
        <v>4.101</v>
      </c>
      <c r="L380">
        <v>262.10000000000002</v>
      </c>
      <c r="M380">
        <v>0</v>
      </c>
      <c r="O380">
        <v>131</v>
      </c>
      <c r="P380">
        <v>26.17</v>
      </c>
      <c r="Q380">
        <v>9.07</v>
      </c>
      <c r="S380">
        <v>8.3699999999999992</v>
      </c>
      <c r="T380">
        <v>0</v>
      </c>
      <c r="U380">
        <v>94</v>
      </c>
      <c r="V380">
        <v>847</v>
      </c>
      <c r="W380">
        <v>35.92</v>
      </c>
      <c r="Y380">
        <v>13.85</v>
      </c>
    </row>
    <row r="381" spans="1:25" x14ac:dyDescent="0.25">
      <c r="A381">
        <v>2006</v>
      </c>
      <c r="B381">
        <v>317</v>
      </c>
      <c r="C381">
        <v>1300</v>
      </c>
      <c r="D381">
        <v>182.6</v>
      </c>
      <c r="E381">
        <v>133.30000000000001</v>
      </c>
      <c r="F381">
        <v>10.08</v>
      </c>
      <c r="G381">
        <v>10.43</v>
      </c>
      <c r="K381">
        <v>3.5529999999999999</v>
      </c>
      <c r="L381">
        <v>267.8</v>
      </c>
      <c r="M381">
        <v>0</v>
      </c>
      <c r="O381">
        <v>226.2</v>
      </c>
      <c r="P381">
        <v>62.49</v>
      </c>
      <c r="Q381">
        <v>9.14</v>
      </c>
      <c r="S381">
        <v>8.32</v>
      </c>
      <c r="T381">
        <v>0</v>
      </c>
      <c r="U381">
        <v>95.9</v>
      </c>
      <c r="V381">
        <v>847</v>
      </c>
      <c r="W381">
        <v>35.86</v>
      </c>
      <c r="Y381">
        <v>14.02</v>
      </c>
    </row>
    <row r="382" spans="1:25" x14ac:dyDescent="0.25">
      <c r="A382">
        <v>2006</v>
      </c>
      <c r="B382">
        <v>317</v>
      </c>
      <c r="C382">
        <v>1400</v>
      </c>
      <c r="D382">
        <v>164.8</v>
      </c>
      <c r="E382">
        <v>109.9</v>
      </c>
      <c r="F382">
        <v>10.59</v>
      </c>
      <c r="G382">
        <v>10.98</v>
      </c>
      <c r="K382">
        <v>4.5839999999999996</v>
      </c>
      <c r="L382">
        <v>265.89999999999998</v>
      </c>
      <c r="M382">
        <v>0</v>
      </c>
      <c r="O382">
        <v>190.6</v>
      </c>
      <c r="P382">
        <v>53.13</v>
      </c>
      <c r="Q382">
        <v>9.27</v>
      </c>
      <c r="S382">
        <v>8.3800000000000008</v>
      </c>
      <c r="T382">
        <v>0</v>
      </c>
      <c r="U382">
        <v>95.4</v>
      </c>
      <c r="V382">
        <v>846</v>
      </c>
      <c r="W382">
        <v>35.82</v>
      </c>
      <c r="Y382">
        <v>13.99</v>
      </c>
    </row>
    <row r="383" spans="1:25" x14ac:dyDescent="0.25">
      <c r="A383">
        <v>2006</v>
      </c>
      <c r="B383">
        <v>317</v>
      </c>
      <c r="C383">
        <v>1500</v>
      </c>
      <c r="D383">
        <v>88.8</v>
      </c>
      <c r="E383">
        <v>50.57</v>
      </c>
      <c r="F383">
        <v>10.26</v>
      </c>
      <c r="G383">
        <v>10.58</v>
      </c>
      <c r="K383">
        <v>3.327</v>
      </c>
      <c r="L383">
        <v>254.9</v>
      </c>
      <c r="M383">
        <v>0</v>
      </c>
      <c r="O383">
        <v>100.3</v>
      </c>
      <c r="P383">
        <v>29.47</v>
      </c>
      <c r="Q383">
        <v>9.3800000000000008</v>
      </c>
      <c r="S383">
        <v>8.3800000000000008</v>
      </c>
      <c r="T383">
        <v>0</v>
      </c>
      <c r="U383">
        <v>96.3</v>
      </c>
      <c r="V383">
        <v>844</v>
      </c>
      <c r="W383">
        <v>35.71</v>
      </c>
      <c r="Y383">
        <v>13.87</v>
      </c>
    </row>
    <row r="384" spans="1:25" x14ac:dyDescent="0.25">
      <c r="A384">
        <v>2006</v>
      </c>
      <c r="B384">
        <v>317</v>
      </c>
      <c r="C384">
        <v>1600</v>
      </c>
      <c r="D384">
        <v>20.37</v>
      </c>
      <c r="E384">
        <v>5.33</v>
      </c>
      <c r="F384">
        <v>9.73</v>
      </c>
      <c r="G384">
        <v>10.029999999999999</v>
      </c>
      <c r="K384">
        <v>2.7970000000000002</v>
      </c>
      <c r="L384">
        <v>259.8</v>
      </c>
      <c r="M384">
        <v>0</v>
      </c>
      <c r="O384">
        <v>16.440000000000001</v>
      </c>
      <c r="P384">
        <v>-3.4849999999999999</v>
      </c>
      <c r="Q384">
        <v>9.43</v>
      </c>
      <c r="S384">
        <v>8.3800000000000008</v>
      </c>
      <c r="T384">
        <v>0</v>
      </c>
      <c r="U384">
        <v>96.4</v>
      </c>
      <c r="V384">
        <v>844</v>
      </c>
      <c r="W384">
        <v>35.69</v>
      </c>
      <c r="Y384">
        <v>13.64</v>
      </c>
    </row>
    <row r="385" spans="1:25" x14ac:dyDescent="0.25">
      <c r="A385">
        <v>2006</v>
      </c>
      <c r="B385">
        <v>317</v>
      </c>
      <c r="C385">
        <v>1700</v>
      </c>
      <c r="D385">
        <v>2.6509999999999998</v>
      </c>
      <c r="E385">
        <v>-17.25</v>
      </c>
      <c r="F385">
        <v>9.11</v>
      </c>
      <c r="G385">
        <v>9.2899999999999991</v>
      </c>
      <c r="K385">
        <v>3.0230000000000001</v>
      </c>
      <c r="L385">
        <v>251.8</v>
      </c>
      <c r="M385">
        <v>0</v>
      </c>
      <c r="O385">
        <v>-6.03</v>
      </c>
      <c r="P385">
        <v>-9.56</v>
      </c>
      <c r="Q385">
        <v>9.44</v>
      </c>
      <c r="S385">
        <v>8.42</v>
      </c>
      <c r="T385">
        <v>0</v>
      </c>
      <c r="U385">
        <v>97.7</v>
      </c>
      <c r="V385">
        <v>843</v>
      </c>
      <c r="W385">
        <v>35.65</v>
      </c>
      <c r="Y385">
        <v>13.5</v>
      </c>
    </row>
    <row r="386" spans="1:25" x14ac:dyDescent="0.25">
      <c r="A386">
        <v>2006</v>
      </c>
      <c r="B386">
        <v>317</v>
      </c>
      <c r="C386">
        <v>1800</v>
      </c>
      <c r="D386">
        <v>-0.78100000000000003</v>
      </c>
      <c r="E386">
        <v>-13.58</v>
      </c>
      <c r="F386">
        <v>8.86</v>
      </c>
      <c r="G386">
        <v>9.15</v>
      </c>
      <c r="K386">
        <v>3.5569999999999999</v>
      </c>
      <c r="L386">
        <v>248.3</v>
      </c>
      <c r="M386">
        <v>0</v>
      </c>
      <c r="O386">
        <v>-11.5</v>
      </c>
      <c r="P386">
        <v>-10.84</v>
      </c>
      <c r="Q386">
        <v>9.44</v>
      </c>
      <c r="S386">
        <v>8.48</v>
      </c>
      <c r="T386">
        <v>0</v>
      </c>
      <c r="U386">
        <v>96.3</v>
      </c>
      <c r="V386">
        <v>842</v>
      </c>
      <c r="W386">
        <v>35.619999999999997</v>
      </c>
      <c r="Y386">
        <v>13.4</v>
      </c>
    </row>
    <row r="387" spans="1:25" x14ac:dyDescent="0.25">
      <c r="A387">
        <v>2006</v>
      </c>
      <c r="B387">
        <v>317</v>
      </c>
      <c r="C387">
        <v>1900</v>
      </c>
      <c r="D387">
        <v>-1.0229999999999999</v>
      </c>
      <c r="E387">
        <v>-16.86</v>
      </c>
      <c r="F387">
        <v>8.51</v>
      </c>
      <c r="G387">
        <v>8.77</v>
      </c>
      <c r="K387">
        <v>3.5190000000000001</v>
      </c>
      <c r="L387">
        <v>242.5</v>
      </c>
      <c r="M387">
        <v>0</v>
      </c>
      <c r="O387">
        <v>-11.5</v>
      </c>
      <c r="P387">
        <v>-10.85</v>
      </c>
      <c r="Q387">
        <v>9.35</v>
      </c>
      <c r="S387">
        <v>8.48</v>
      </c>
      <c r="T387">
        <v>0</v>
      </c>
      <c r="U387">
        <v>96.7</v>
      </c>
      <c r="V387">
        <v>769</v>
      </c>
      <c r="W387">
        <v>31.93</v>
      </c>
      <c r="Y387">
        <v>13.31</v>
      </c>
    </row>
    <row r="388" spans="1:25" x14ac:dyDescent="0.25">
      <c r="A388">
        <v>2006</v>
      </c>
      <c r="B388">
        <v>317</v>
      </c>
      <c r="C388">
        <v>2000</v>
      </c>
      <c r="D388">
        <v>-0.95099999999999996</v>
      </c>
      <c r="E388">
        <v>-14.67</v>
      </c>
      <c r="F388">
        <v>8.5399999999999991</v>
      </c>
      <c r="G388">
        <v>8.85</v>
      </c>
      <c r="K388">
        <v>3.83</v>
      </c>
      <c r="L388">
        <v>242.5</v>
      </c>
      <c r="M388">
        <v>0</v>
      </c>
      <c r="O388">
        <v>-11.51</v>
      </c>
      <c r="P388">
        <v>-10.85</v>
      </c>
      <c r="Q388">
        <v>9.26</v>
      </c>
      <c r="S388">
        <v>8.48</v>
      </c>
      <c r="T388">
        <v>0</v>
      </c>
      <c r="U388">
        <v>96.1</v>
      </c>
      <c r="V388">
        <v>843</v>
      </c>
      <c r="W388">
        <v>35.64</v>
      </c>
      <c r="Y388">
        <v>13.23</v>
      </c>
    </row>
    <row r="389" spans="1:25" x14ac:dyDescent="0.25">
      <c r="A389">
        <v>2006</v>
      </c>
      <c r="B389">
        <v>317</v>
      </c>
      <c r="C389">
        <v>2100</v>
      </c>
      <c r="D389">
        <v>-0.59499999999999997</v>
      </c>
      <c r="E389">
        <v>-11.53</v>
      </c>
      <c r="F389">
        <v>8.4600000000000009</v>
      </c>
      <c r="G389">
        <v>8.73</v>
      </c>
      <c r="K389">
        <v>3.8090000000000002</v>
      </c>
      <c r="L389">
        <v>248</v>
      </c>
      <c r="M389">
        <v>0</v>
      </c>
      <c r="O389">
        <v>-11.5</v>
      </c>
      <c r="P389">
        <v>-10.84</v>
      </c>
      <c r="Q389">
        <v>9.18</v>
      </c>
      <c r="S389">
        <v>8.48</v>
      </c>
      <c r="T389">
        <v>0</v>
      </c>
      <c r="U389">
        <v>96.5</v>
      </c>
      <c r="V389">
        <v>842</v>
      </c>
      <c r="W389">
        <v>35.56</v>
      </c>
      <c r="Y389">
        <v>13.16</v>
      </c>
    </row>
    <row r="390" spans="1:25" x14ac:dyDescent="0.25">
      <c r="A390">
        <v>2006</v>
      </c>
      <c r="B390">
        <v>317</v>
      </c>
      <c r="C390">
        <v>2200</v>
      </c>
      <c r="D390">
        <v>-0.628</v>
      </c>
      <c r="E390">
        <v>-10.53</v>
      </c>
      <c r="F390">
        <v>8.48</v>
      </c>
      <c r="G390">
        <v>8.76</v>
      </c>
      <c r="K390">
        <v>3.8050000000000002</v>
      </c>
      <c r="L390">
        <v>251.9</v>
      </c>
      <c r="M390">
        <v>0</v>
      </c>
      <c r="O390">
        <v>-11.5</v>
      </c>
      <c r="P390">
        <v>-10.85</v>
      </c>
      <c r="Q390">
        <v>9.1</v>
      </c>
      <c r="S390">
        <v>8.4700000000000006</v>
      </c>
      <c r="T390">
        <v>0</v>
      </c>
      <c r="U390">
        <v>96.4</v>
      </c>
      <c r="V390">
        <v>842</v>
      </c>
      <c r="W390">
        <v>35.58</v>
      </c>
      <c r="Y390">
        <v>13.09</v>
      </c>
    </row>
    <row r="391" spans="1:25" x14ac:dyDescent="0.25">
      <c r="A391">
        <v>2006</v>
      </c>
      <c r="B391">
        <v>317</v>
      </c>
      <c r="C391">
        <v>2300</v>
      </c>
      <c r="D391">
        <v>-1.3129999999999999</v>
      </c>
      <c r="E391">
        <v>-12.74</v>
      </c>
      <c r="F391">
        <v>8.4</v>
      </c>
      <c r="G391">
        <v>8.65</v>
      </c>
      <c r="K391">
        <v>3.7130000000000001</v>
      </c>
      <c r="L391">
        <v>255.9</v>
      </c>
      <c r="M391">
        <v>0</v>
      </c>
      <c r="O391">
        <v>-11.5</v>
      </c>
      <c r="P391">
        <v>-10.85</v>
      </c>
      <c r="Q391">
        <v>9.0500000000000007</v>
      </c>
      <c r="S391">
        <v>8.42</v>
      </c>
      <c r="T391">
        <v>0</v>
      </c>
      <c r="U391">
        <v>96.8</v>
      </c>
      <c r="V391">
        <v>841</v>
      </c>
      <c r="W391">
        <v>35.520000000000003</v>
      </c>
      <c r="Y391">
        <v>13.03</v>
      </c>
    </row>
    <row r="392" spans="1:25" x14ac:dyDescent="0.25">
      <c r="A392">
        <v>2006</v>
      </c>
      <c r="B392">
        <v>317</v>
      </c>
      <c r="C392">
        <v>2400</v>
      </c>
      <c r="D392">
        <v>-1.893</v>
      </c>
      <c r="E392">
        <v>-25.84</v>
      </c>
      <c r="F392">
        <v>7.99</v>
      </c>
      <c r="G392">
        <v>8.26</v>
      </c>
      <c r="K392">
        <v>3.3580000000000001</v>
      </c>
      <c r="L392">
        <v>257.5</v>
      </c>
      <c r="M392">
        <v>0</v>
      </c>
      <c r="O392">
        <v>-11.5</v>
      </c>
      <c r="P392">
        <v>-10.85</v>
      </c>
      <c r="Q392">
        <v>9</v>
      </c>
      <c r="S392">
        <v>8.39</v>
      </c>
      <c r="T392">
        <v>0</v>
      </c>
      <c r="U392">
        <v>96.5</v>
      </c>
      <c r="V392">
        <v>841</v>
      </c>
      <c r="W392">
        <v>35.51</v>
      </c>
      <c r="Y392">
        <v>12.99</v>
      </c>
    </row>
    <row r="393" spans="1:25" x14ac:dyDescent="0.25">
      <c r="A393">
        <v>2006</v>
      </c>
      <c r="B393">
        <v>317</v>
      </c>
      <c r="C393">
        <v>2400</v>
      </c>
      <c r="D393">
        <v>35.450000000000003</v>
      </c>
      <c r="E393">
        <v>9.7200000000000006</v>
      </c>
      <c r="F393">
        <v>9.5399999999999991</v>
      </c>
      <c r="G393">
        <v>9.91</v>
      </c>
      <c r="K393">
        <v>4.01</v>
      </c>
      <c r="L393">
        <v>265.39999999999998</v>
      </c>
      <c r="M393">
        <v>0.6</v>
      </c>
      <c r="O393">
        <v>33.81</v>
      </c>
      <c r="P393">
        <v>3.5190000000000001</v>
      </c>
      <c r="Q393">
        <v>9.2200000000000006</v>
      </c>
      <c r="S393">
        <v>8.36</v>
      </c>
      <c r="T393">
        <v>0</v>
      </c>
      <c r="U393">
        <v>95.6</v>
      </c>
      <c r="V393">
        <v>843</v>
      </c>
      <c r="W393">
        <v>35.65</v>
      </c>
      <c r="Y393">
        <v>13.31</v>
      </c>
    </row>
    <row r="394" spans="1:25" x14ac:dyDescent="0.25">
      <c r="A394">
        <v>2006</v>
      </c>
      <c r="B394">
        <v>318</v>
      </c>
      <c r="C394">
        <v>100</v>
      </c>
      <c r="D394">
        <v>-2.0230000000000001</v>
      </c>
      <c r="E394">
        <v>-32.380000000000003</v>
      </c>
      <c r="F394">
        <v>7.54</v>
      </c>
      <c r="G394">
        <v>7.83</v>
      </c>
      <c r="K394">
        <v>2.7890000000000001</v>
      </c>
      <c r="L394">
        <v>251.6</v>
      </c>
      <c r="M394">
        <v>0</v>
      </c>
      <c r="O394">
        <v>-11.5</v>
      </c>
      <c r="P394">
        <v>-10.85</v>
      </c>
      <c r="Q394">
        <v>8.9600000000000009</v>
      </c>
      <c r="S394">
        <v>8.42</v>
      </c>
      <c r="T394">
        <v>0</v>
      </c>
      <c r="U394">
        <v>96.3</v>
      </c>
      <c r="V394">
        <v>841</v>
      </c>
      <c r="W394">
        <v>35.5</v>
      </c>
      <c r="Y394">
        <v>12.96</v>
      </c>
    </row>
    <row r="395" spans="1:25" x14ac:dyDescent="0.25">
      <c r="A395">
        <v>2006</v>
      </c>
      <c r="B395">
        <v>318</v>
      </c>
      <c r="C395">
        <v>200</v>
      </c>
      <c r="D395">
        <v>-2.036</v>
      </c>
      <c r="E395">
        <v>-37.94</v>
      </c>
      <c r="F395">
        <v>7.26</v>
      </c>
      <c r="G395">
        <v>7.58</v>
      </c>
      <c r="K395">
        <v>2.69</v>
      </c>
      <c r="L395">
        <v>241.9</v>
      </c>
      <c r="M395">
        <v>0</v>
      </c>
      <c r="O395">
        <v>-11.5</v>
      </c>
      <c r="P395">
        <v>-10.85</v>
      </c>
      <c r="Q395">
        <v>8.89</v>
      </c>
      <c r="S395">
        <v>8.39</v>
      </c>
      <c r="T395">
        <v>0</v>
      </c>
      <c r="U395">
        <v>95.8</v>
      </c>
      <c r="V395">
        <v>840</v>
      </c>
      <c r="W395">
        <v>35.46</v>
      </c>
      <c r="Y395">
        <v>12.94</v>
      </c>
    </row>
    <row r="396" spans="1:25" x14ac:dyDescent="0.25">
      <c r="A396">
        <v>2006</v>
      </c>
      <c r="B396">
        <v>318</v>
      </c>
      <c r="C396">
        <v>300</v>
      </c>
      <c r="D396">
        <v>-2.2410000000000001</v>
      </c>
      <c r="E396">
        <v>-37.89</v>
      </c>
      <c r="F396">
        <v>6.984</v>
      </c>
      <c r="G396">
        <v>7.31</v>
      </c>
      <c r="K396">
        <v>2.7989999999999999</v>
      </c>
      <c r="L396">
        <v>242.5</v>
      </c>
      <c r="M396">
        <v>0</v>
      </c>
      <c r="O396">
        <v>-11.5</v>
      </c>
      <c r="P396">
        <v>-10.85</v>
      </c>
      <c r="Q396">
        <v>8.7899999999999991</v>
      </c>
      <c r="S396">
        <v>8.36</v>
      </c>
      <c r="T396">
        <v>0</v>
      </c>
      <c r="U396">
        <v>95.6</v>
      </c>
      <c r="V396">
        <v>841</v>
      </c>
      <c r="W396">
        <v>35.520000000000003</v>
      </c>
      <c r="Y396">
        <v>12.92</v>
      </c>
    </row>
    <row r="397" spans="1:25" x14ac:dyDescent="0.25">
      <c r="A397">
        <v>2006</v>
      </c>
      <c r="B397">
        <v>318</v>
      </c>
      <c r="C397">
        <v>400</v>
      </c>
      <c r="D397">
        <v>-2.6440000000000001</v>
      </c>
      <c r="E397">
        <v>-47.37</v>
      </c>
      <c r="F397">
        <v>6.44</v>
      </c>
      <c r="G397">
        <v>6.7859999999999996</v>
      </c>
      <c r="K397">
        <v>2.4049999999999998</v>
      </c>
      <c r="L397">
        <v>248.9</v>
      </c>
      <c r="M397">
        <v>0</v>
      </c>
      <c r="O397">
        <v>-11.5</v>
      </c>
      <c r="P397">
        <v>-10.84</v>
      </c>
      <c r="Q397">
        <v>8.66</v>
      </c>
      <c r="S397">
        <v>8.33</v>
      </c>
      <c r="T397">
        <v>0</v>
      </c>
      <c r="U397">
        <v>95.3</v>
      </c>
      <c r="V397">
        <v>840</v>
      </c>
      <c r="W397">
        <v>35.450000000000003</v>
      </c>
      <c r="Y397">
        <v>12.91</v>
      </c>
    </row>
    <row r="398" spans="1:25" x14ac:dyDescent="0.25">
      <c r="A398">
        <v>2006</v>
      </c>
      <c r="B398">
        <v>318</v>
      </c>
      <c r="C398">
        <v>500</v>
      </c>
      <c r="D398">
        <v>-2.5310000000000001</v>
      </c>
      <c r="E398">
        <v>-40.950000000000003</v>
      </c>
      <c r="F398">
        <v>6.0170000000000003</v>
      </c>
      <c r="G398">
        <v>6.3159999999999998</v>
      </c>
      <c r="K398">
        <v>2.125</v>
      </c>
      <c r="L398">
        <v>232.8</v>
      </c>
      <c r="M398">
        <v>0</v>
      </c>
      <c r="O398">
        <v>-11.5</v>
      </c>
      <c r="P398">
        <v>-10.84</v>
      </c>
      <c r="Q398">
        <v>8.51</v>
      </c>
      <c r="S398">
        <v>8.25</v>
      </c>
      <c r="T398">
        <v>0</v>
      </c>
      <c r="U398">
        <v>95.9</v>
      </c>
      <c r="V398">
        <v>843</v>
      </c>
      <c r="W398">
        <v>35.659999999999997</v>
      </c>
      <c r="Y398">
        <v>12.9</v>
      </c>
    </row>
    <row r="399" spans="1:25" x14ac:dyDescent="0.25">
      <c r="A399">
        <v>2006</v>
      </c>
      <c r="B399">
        <v>318</v>
      </c>
      <c r="C399">
        <v>600</v>
      </c>
      <c r="D399">
        <v>-2.0249999999999999</v>
      </c>
      <c r="E399">
        <v>-33.200000000000003</v>
      </c>
      <c r="F399">
        <v>6.2910000000000004</v>
      </c>
      <c r="G399">
        <v>6.6589999999999998</v>
      </c>
      <c r="K399">
        <v>2.629</v>
      </c>
      <c r="L399">
        <v>236.9</v>
      </c>
      <c r="M399">
        <v>0</v>
      </c>
      <c r="O399">
        <v>-11.5</v>
      </c>
      <c r="P399">
        <v>-10.85</v>
      </c>
      <c r="Q399">
        <v>8.36</v>
      </c>
      <c r="S399">
        <v>8.2200000000000006</v>
      </c>
      <c r="T399">
        <v>0</v>
      </c>
      <c r="U399">
        <v>95</v>
      </c>
      <c r="V399">
        <v>840</v>
      </c>
      <c r="W399">
        <v>35.450000000000003</v>
      </c>
      <c r="Y399">
        <v>12.89</v>
      </c>
    </row>
    <row r="400" spans="1:25" x14ac:dyDescent="0.25">
      <c r="A400">
        <v>2006</v>
      </c>
      <c r="B400">
        <v>318</v>
      </c>
      <c r="C400">
        <v>700</v>
      </c>
      <c r="D400">
        <v>-2.8380000000000001</v>
      </c>
      <c r="E400">
        <v>-48.35</v>
      </c>
      <c r="F400">
        <v>6.0030000000000001</v>
      </c>
      <c r="G400">
        <v>6.3120000000000003</v>
      </c>
      <c r="K400">
        <v>2.2080000000000002</v>
      </c>
      <c r="L400">
        <v>237.2</v>
      </c>
      <c r="M400">
        <v>0</v>
      </c>
      <c r="O400">
        <v>-11.5</v>
      </c>
      <c r="P400">
        <v>-10.84</v>
      </c>
      <c r="Q400">
        <v>8.23</v>
      </c>
      <c r="S400">
        <v>8.14</v>
      </c>
      <c r="T400">
        <v>0</v>
      </c>
      <c r="U400">
        <v>95.7</v>
      </c>
      <c r="V400">
        <v>839</v>
      </c>
      <c r="W400">
        <v>35.44</v>
      </c>
      <c r="Y400">
        <v>12.88</v>
      </c>
    </row>
    <row r="401" spans="1:25" x14ac:dyDescent="0.25">
      <c r="A401">
        <v>2006</v>
      </c>
      <c r="B401">
        <v>318</v>
      </c>
      <c r="C401">
        <v>800</v>
      </c>
      <c r="D401">
        <v>-1.431</v>
      </c>
      <c r="E401">
        <v>-44.07</v>
      </c>
      <c r="F401">
        <v>5.6669999999999998</v>
      </c>
      <c r="G401">
        <v>5.8049999999999997</v>
      </c>
      <c r="K401">
        <v>1.8109999999999999</v>
      </c>
      <c r="L401">
        <v>231.8</v>
      </c>
      <c r="M401">
        <v>0</v>
      </c>
      <c r="O401">
        <v>-9.74</v>
      </c>
      <c r="P401">
        <v>-10.37</v>
      </c>
      <c r="Q401">
        <v>8.11</v>
      </c>
      <c r="S401">
        <v>8.08</v>
      </c>
      <c r="T401">
        <v>0</v>
      </c>
      <c r="U401">
        <v>98</v>
      </c>
      <c r="V401">
        <v>839</v>
      </c>
      <c r="W401">
        <v>35.409999999999997</v>
      </c>
      <c r="Y401">
        <v>12.87</v>
      </c>
    </row>
    <row r="402" spans="1:25" x14ac:dyDescent="0.25">
      <c r="A402">
        <v>2006</v>
      </c>
      <c r="B402">
        <v>318</v>
      </c>
      <c r="C402">
        <v>900</v>
      </c>
      <c r="D402">
        <v>36.18</v>
      </c>
      <c r="E402">
        <v>-22.99</v>
      </c>
      <c r="F402">
        <v>5.6310000000000002</v>
      </c>
      <c r="G402">
        <v>5.8390000000000004</v>
      </c>
      <c r="H402">
        <f>AVERAGE(G402:G426)</f>
        <v>6.7644799999999998</v>
      </c>
      <c r="I402">
        <f>MIN(G402:G426)</f>
        <v>5.33</v>
      </c>
      <c r="J402">
        <f>MAX(G402:G426)</f>
        <v>9.1300000000000008</v>
      </c>
      <c r="K402">
        <v>1.8260000000000001</v>
      </c>
      <c r="L402">
        <v>223.5</v>
      </c>
      <c r="M402">
        <v>0</v>
      </c>
      <c r="N402">
        <f>SUM(M402:M426)</f>
        <v>2.8000000000000003</v>
      </c>
      <c r="O402">
        <v>14.03</v>
      </c>
      <c r="P402">
        <v>-1.9990000000000001</v>
      </c>
      <c r="Q402">
        <v>7.99</v>
      </c>
      <c r="S402">
        <v>8.07</v>
      </c>
      <c r="T402">
        <v>0</v>
      </c>
      <c r="U402">
        <v>97.1</v>
      </c>
      <c r="V402">
        <v>839</v>
      </c>
      <c r="W402">
        <v>35.409999999999997</v>
      </c>
      <c r="Y402">
        <v>12.98</v>
      </c>
    </row>
    <row r="403" spans="1:25" x14ac:dyDescent="0.25">
      <c r="A403">
        <v>2006</v>
      </c>
      <c r="B403">
        <v>318</v>
      </c>
      <c r="C403">
        <v>1000</v>
      </c>
      <c r="D403">
        <v>90.1</v>
      </c>
      <c r="E403">
        <v>28.36</v>
      </c>
      <c r="F403">
        <v>6.4359999999999999</v>
      </c>
      <c r="G403">
        <v>6.9039999999999999</v>
      </c>
      <c r="K403">
        <v>2.1459999999999999</v>
      </c>
      <c r="L403">
        <v>232.4</v>
      </c>
      <c r="M403">
        <v>0</v>
      </c>
      <c r="O403">
        <v>97.5</v>
      </c>
      <c r="P403">
        <v>27.14</v>
      </c>
      <c r="Q403">
        <v>7.87</v>
      </c>
      <c r="S403">
        <v>7.98</v>
      </c>
      <c r="T403">
        <v>0</v>
      </c>
      <c r="U403">
        <v>93.7</v>
      </c>
      <c r="V403">
        <v>839</v>
      </c>
      <c r="W403">
        <v>35.4</v>
      </c>
      <c r="Y403">
        <v>13.58</v>
      </c>
    </row>
    <row r="404" spans="1:25" x14ac:dyDescent="0.25">
      <c r="A404">
        <v>2006</v>
      </c>
      <c r="B404">
        <v>318</v>
      </c>
      <c r="C404">
        <v>1100</v>
      </c>
      <c r="D404">
        <v>150</v>
      </c>
      <c r="E404">
        <v>87.6</v>
      </c>
      <c r="F404">
        <v>7.37</v>
      </c>
      <c r="G404">
        <v>7.9</v>
      </c>
      <c r="K404">
        <v>3.004</v>
      </c>
      <c r="L404">
        <v>231.9</v>
      </c>
      <c r="M404">
        <v>0</v>
      </c>
      <c r="O404">
        <v>174.4</v>
      </c>
      <c r="P404">
        <v>50.47</v>
      </c>
      <c r="Q404">
        <v>7.84</v>
      </c>
      <c r="S404">
        <v>7.98</v>
      </c>
      <c r="T404">
        <v>0</v>
      </c>
      <c r="U404">
        <v>93.1</v>
      </c>
      <c r="V404">
        <v>839</v>
      </c>
      <c r="W404">
        <v>35.4</v>
      </c>
      <c r="Y404">
        <v>13.94</v>
      </c>
    </row>
    <row r="405" spans="1:25" x14ac:dyDescent="0.25">
      <c r="A405">
        <v>2006</v>
      </c>
      <c r="B405">
        <v>318</v>
      </c>
      <c r="C405">
        <v>1200</v>
      </c>
      <c r="D405">
        <v>191.1</v>
      </c>
      <c r="E405">
        <v>126.5</v>
      </c>
      <c r="F405">
        <v>8.1300000000000008</v>
      </c>
      <c r="G405">
        <v>8.64</v>
      </c>
      <c r="K405">
        <v>2.8530000000000002</v>
      </c>
      <c r="L405">
        <v>231.6</v>
      </c>
      <c r="M405">
        <v>0</v>
      </c>
      <c r="O405">
        <v>226.7</v>
      </c>
      <c r="P405">
        <v>73.5</v>
      </c>
      <c r="Q405">
        <v>7.92</v>
      </c>
      <c r="S405">
        <v>7.95</v>
      </c>
      <c r="T405">
        <v>0</v>
      </c>
      <c r="U405">
        <v>93.5</v>
      </c>
      <c r="V405">
        <v>838</v>
      </c>
      <c r="W405">
        <v>35.369999999999997</v>
      </c>
      <c r="Y405">
        <v>14.05</v>
      </c>
    </row>
    <row r="406" spans="1:25" x14ac:dyDescent="0.25">
      <c r="A406">
        <v>2006</v>
      </c>
      <c r="B406">
        <v>318</v>
      </c>
      <c r="C406">
        <v>1300</v>
      </c>
      <c r="D406">
        <v>145.4</v>
      </c>
      <c r="E406">
        <v>84.5</v>
      </c>
      <c r="F406">
        <v>8.5500000000000007</v>
      </c>
      <c r="G406">
        <v>8.8699999999999992</v>
      </c>
      <c r="K406">
        <v>2.4750000000000001</v>
      </c>
      <c r="L406">
        <v>218.9</v>
      </c>
      <c r="M406">
        <v>0</v>
      </c>
      <c r="O406">
        <v>167.2</v>
      </c>
      <c r="P406">
        <v>44.12</v>
      </c>
      <c r="Q406">
        <v>8.07</v>
      </c>
      <c r="S406">
        <v>7.93</v>
      </c>
      <c r="T406">
        <v>0</v>
      </c>
      <c r="U406">
        <v>96.1</v>
      </c>
      <c r="V406">
        <v>838</v>
      </c>
      <c r="W406">
        <v>35.35</v>
      </c>
      <c r="Y406">
        <v>13.85</v>
      </c>
    </row>
    <row r="407" spans="1:25" x14ac:dyDescent="0.25">
      <c r="A407">
        <v>2006</v>
      </c>
      <c r="B407">
        <v>318</v>
      </c>
      <c r="C407">
        <v>1400</v>
      </c>
      <c r="D407">
        <v>109.5</v>
      </c>
      <c r="E407">
        <v>58.27</v>
      </c>
      <c r="F407">
        <v>8.81</v>
      </c>
      <c r="G407">
        <v>9.06</v>
      </c>
      <c r="K407">
        <v>2.2970000000000002</v>
      </c>
      <c r="L407">
        <v>216.8</v>
      </c>
      <c r="M407">
        <v>0</v>
      </c>
      <c r="O407">
        <v>122.8</v>
      </c>
      <c r="P407">
        <v>30.36</v>
      </c>
      <c r="Q407">
        <v>8.24</v>
      </c>
      <c r="S407">
        <v>7.93</v>
      </c>
      <c r="T407">
        <v>0</v>
      </c>
      <c r="U407">
        <v>96.8</v>
      </c>
      <c r="V407">
        <v>838</v>
      </c>
      <c r="W407">
        <v>35.340000000000003</v>
      </c>
      <c r="Y407">
        <v>13.82</v>
      </c>
    </row>
    <row r="408" spans="1:25" x14ac:dyDescent="0.25">
      <c r="A408">
        <v>2006</v>
      </c>
      <c r="B408">
        <v>318</v>
      </c>
      <c r="C408">
        <v>1500</v>
      </c>
      <c r="D408">
        <v>100.4</v>
      </c>
      <c r="E408">
        <v>56.4</v>
      </c>
      <c r="F408">
        <v>8.85</v>
      </c>
      <c r="G408">
        <v>9.1300000000000008</v>
      </c>
      <c r="K408">
        <v>2.2149999999999999</v>
      </c>
      <c r="L408">
        <v>219.2</v>
      </c>
      <c r="M408">
        <v>0</v>
      </c>
      <c r="O408">
        <v>118</v>
      </c>
      <c r="P408">
        <v>31.72</v>
      </c>
      <c r="Q408">
        <v>8.39</v>
      </c>
      <c r="S408">
        <v>7.93</v>
      </c>
      <c r="T408">
        <v>0</v>
      </c>
      <c r="U408">
        <v>96.5</v>
      </c>
      <c r="V408">
        <v>838</v>
      </c>
      <c r="W408">
        <v>35.33</v>
      </c>
      <c r="Y408">
        <v>13.75</v>
      </c>
    </row>
    <row r="409" spans="1:25" x14ac:dyDescent="0.25">
      <c r="A409">
        <v>2006</v>
      </c>
      <c r="B409">
        <v>318</v>
      </c>
      <c r="C409">
        <v>1600</v>
      </c>
      <c r="D409">
        <v>65.180000000000007</v>
      </c>
      <c r="E409">
        <v>23.51</v>
      </c>
      <c r="F409">
        <v>8.77</v>
      </c>
      <c r="G409">
        <v>9</v>
      </c>
      <c r="K409">
        <v>2.411</v>
      </c>
      <c r="L409">
        <v>226.2</v>
      </c>
      <c r="M409">
        <v>0</v>
      </c>
      <c r="O409">
        <v>73.099999999999994</v>
      </c>
      <c r="P409">
        <v>26.91</v>
      </c>
      <c r="Q409">
        <v>8.5299999999999994</v>
      </c>
      <c r="S409">
        <v>7.94</v>
      </c>
      <c r="T409">
        <v>0</v>
      </c>
      <c r="U409">
        <v>97.2</v>
      </c>
      <c r="V409">
        <v>837</v>
      </c>
      <c r="W409">
        <v>35.31</v>
      </c>
      <c r="Y409">
        <v>13.7</v>
      </c>
    </row>
    <row r="410" spans="1:25" x14ac:dyDescent="0.25">
      <c r="A410">
        <v>2006</v>
      </c>
      <c r="B410">
        <v>318</v>
      </c>
      <c r="C410">
        <v>1700</v>
      </c>
      <c r="D410">
        <v>2.0219999999999998</v>
      </c>
      <c r="E410">
        <v>-19</v>
      </c>
      <c r="F410">
        <v>7.29</v>
      </c>
      <c r="G410">
        <v>7.39</v>
      </c>
      <c r="K410">
        <v>2.3370000000000002</v>
      </c>
      <c r="L410">
        <v>245</v>
      </c>
      <c r="M410">
        <v>0.8</v>
      </c>
      <c r="O410">
        <v>-7.74</v>
      </c>
      <c r="P410">
        <v>-9.81</v>
      </c>
      <c r="Q410">
        <v>8.57</v>
      </c>
      <c r="S410">
        <v>7.94</v>
      </c>
      <c r="T410">
        <v>0</v>
      </c>
      <c r="U410">
        <v>98.8</v>
      </c>
      <c r="V410">
        <v>838</v>
      </c>
      <c r="W410">
        <v>35.340000000000003</v>
      </c>
      <c r="Y410">
        <v>13.57</v>
      </c>
    </row>
    <row r="411" spans="1:25" x14ac:dyDescent="0.25">
      <c r="A411">
        <v>2006</v>
      </c>
      <c r="B411">
        <v>318</v>
      </c>
      <c r="C411">
        <v>1800</v>
      </c>
      <c r="D411">
        <v>-2.1669999999999998</v>
      </c>
      <c r="E411">
        <v>-42.69</v>
      </c>
      <c r="F411">
        <v>5.6879999999999997</v>
      </c>
      <c r="G411">
        <v>5.9109999999999996</v>
      </c>
      <c r="K411">
        <v>1.996</v>
      </c>
      <c r="L411">
        <v>242.3</v>
      </c>
      <c r="M411">
        <v>0</v>
      </c>
      <c r="O411">
        <v>-11.5</v>
      </c>
      <c r="P411">
        <v>-10.84</v>
      </c>
      <c r="Q411">
        <v>8.5500000000000007</v>
      </c>
      <c r="S411">
        <v>7.9</v>
      </c>
      <c r="T411">
        <v>0</v>
      </c>
      <c r="U411">
        <v>96.8</v>
      </c>
      <c r="V411">
        <v>840</v>
      </c>
      <c r="W411">
        <v>35.450000000000003</v>
      </c>
      <c r="Y411">
        <v>13.46</v>
      </c>
    </row>
    <row r="412" spans="1:25" x14ac:dyDescent="0.25">
      <c r="A412">
        <v>2006</v>
      </c>
      <c r="B412">
        <v>318</v>
      </c>
      <c r="C412">
        <v>1900</v>
      </c>
      <c r="D412">
        <v>-2.8650000000000002</v>
      </c>
      <c r="E412">
        <v>-47.52</v>
      </c>
      <c r="F412">
        <v>5.15</v>
      </c>
      <c r="G412">
        <v>5.3419999999999996</v>
      </c>
      <c r="K412">
        <v>1.383</v>
      </c>
      <c r="L412">
        <v>231.4</v>
      </c>
      <c r="M412">
        <v>0</v>
      </c>
      <c r="O412">
        <v>-11.5</v>
      </c>
      <c r="P412">
        <v>-10.85</v>
      </c>
      <c r="Q412">
        <v>8.48</v>
      </c>
      <c r="S412">
        <v>7.92</v>
      </c>
      <c r="T412">
        <v>0</v>
      </c>
      <c r="U412">
        <v>97.2</v>
      </c>
      <c r="V412">
        <v>840</v>
      </c>
      <c r="W412">
        <v>35.46</v>
      </c>
      <c r="Y412">
        <v>13.37</v>
      </c>
    </row>
    <row r="413" spans="1:25" x14ac:dyDescent="0.25">
      <c r="A413">
        <v>2006</v>
      </c>
      <c r="B413">
        <v>318</v>
      </c>
      <c r="C413">
        <v>2000</v>
      </c>
      <c r="D413">
        <v>-2.3519999999999999</v>
      </c>
      <c r="E413">
        <v>-33.770000000000003</v>
      </c>
      <c r="F413">
        <v>5.6369999999999996</v>
      </c>
      <c r="G413">
        <v>5.7210000000000001</v>
      </c>
      <c r="K413">
        <v>1.5329999999999999</v>
      </c>
      <c r="L413">
        <v>220.8</v>
      </c>
      <c r="M413">
        <v>0</v>
      </c>
      <c r="O413">
        <v>-11.5</v>
      </c>
      <c r="P413">
        <v>-10.85</v>
      </c>
      <c r="Q413">
        <v>8.3000000000000007</v>
      </c>
      <c r="S413">
        <v>7.93</v>
      </c>
      <c r="T413">
        <v>0</v>
      </c>
      <c r="U413">
        <v>98.8</v>
      </c>
      <c r="V413">
        <v>839</v>
      </c>
      <c r="W413">
        <v>35.43</v>
      </c>
      <c r="Y413">
        <v>13.29</v>
      </c>
    </row>
    <row r="414" spans="1:25" x14ac:dyDescent="0.25">
      <c r="A414">
        <v>2006</v>
      </c>
      <c r="B414">
        <v>318</v>
      </c>
      <c r="C414">
        <v>2100</v>
      </c>
      <c r="D414">
        <v>-2.2679999999999998</v>
      </c>
      <c r="E414">
        <v>-33.36</v>
      </c>
      <c r="F414">
        <v>5.6820000000000004</v>
      </c>
      <c r="G414">
        <v>5.9349999999999996</v>
      </c>
      <c r="K414">
        <v>1.895</v>
      </c>
      <c r="L414">
        <v>216.3</v>
      </c>
      <c r="M414">
        <v>0</v>
      </c>
      <c r="O414">
        <v>-11.5</v>
      </c>
      <c r="P414">
        <v>-10.85</v>
      </c>
      <c r="Q414">
        <v>8.15</v>
      </c>
      <c r="S414">
        <v>7.97</v>
      </c>
      <c r="T414">
        <v>0</v>
      </c>
      <c r="U414">
        <v>96.4</v>
      </c>
      <c r="V414">
        <v>839</v>
      </c>
      <c r="W414">
        <v>35.409999999999997</v>
      </c>
      <c r="Y414">
        <v>13.21</v>
      </c>
    </row>
    <row r="415" spans="1:25" x14ac:dyDescent="0.25">
      <c r="A415">
        <v>2006</v>
      </c>
      <c r="B415">
        <v>318</v>
      </c>
      <c r="C415">
        <v>2200</v>
      </c>
      <c r="D415">
        <v>-2.8450000000000002</v>
      </c>
      <c r="E415">
        <v>-40</v>
      </c>
      <c r="F415">
        <v>5.46</v>
      </c>
      <c r="G415">
        <v>5.7069999999999999</v>
      </c>
      <c r="K415">
        <v>1.8680000000000001</v>
      </c>
      <c r="L415">
        <v>228.3</v>
      </c>
      <c r="M415">
        <v>0</v>
      </c>
      <c r="O415">
        <v>-11.5</v>
      </c>
      <c r="P415">
        <v>-10.85</v>
      </c>
      <c r="Q415">
        <v>8.01</v>
      </c>
      <c r="S415">
        <v>7.89</v>
      </c>
      <c r="T415">
        <v>0</v>
      </c>
      <c r="U415">
        <v>96.5</v>
      </c>
      <c r="V415">
        <v>839</v>
      </c>
      <c r="W415">
        <v>35.39</v>
      </c>
      <c r="Y415">
        <v>13.14</v>
      </c>
    </row>
    <row r="416" spans="1:25" x14ac:dyDescent="0.25">
      <c r="A416">
        <v>2006</v>
      </c>
      <c r="B416">
        <v>318</v>
      </c>
      <c r="C416">
        <v>2300</v>
      </c>
      <c r="D416">
        <v>-2.76</v>
      </c>
      <c r="E416">
        <v>-37.049999999999997</v>
      </c>
      <c r="F416">
        <v>5.1790000000000003</v>
      </c>
      <c r="G416">
        <v>5.3949999999999996</v>
      </c>
      <c r="K416">
        <v>1.6419999999999999</v>
      </c>
      <c r="L416">
        <v>234.3</v>
      </c>
      <c r="M416">
        <v>0</v>
      </c>
      <c r="O416">
        <v>-11.5</v>
      </c>
      <c r="P416">
        <v>-10.85</v>
      </c>
      <c r="Q416">
        <v>7.86</v>
      </c>
      <c r="S416">
        <v>7.86</v>
      </c>
      <c r="T416">
        <v>0</v>
      </c>
      <c r="U416">
        <v>96.9</v>
      </c>
      <c r="V416">
        <v>839</v>
      </c>
      <c r="W416">
        <v>35.39</v>
      </c>
      <c r="Y416">
        <v>13.08</v>
      </c>
    </row>
    <row r="417" spans="1:25" x14ac:dyDescent="0.25">
      <c r="A417">
        <v>2006</v>
      </c>
      <c r="B417">
        <v>318</v>
      </c>
      <c r="C417">
        <v>2400</v>
      </c>
      <c r="D417">
        <v>-2.7269999999999999</v>
      </c>
      <c r="E417">
        <v>-35.1</v>
      </c>
      <c r="F417">
        <v>5.1159999999999997</v>
      </c>
      <c r="G417">
        <v>5.33</v>
      </c>
      <c r="K417">
        <v>1.72</v>
      </c>
      <c r="L417">
        <v>220.5</v>
      </c>
      <c r="M417">
        <v>0</v>
      </c>
      <c r="O417">
        <v>-11.5</v>
      </c>
      <c r="P417">
        <v>-10.85</v>
      </c>
      <c r="Q417">
        <v>7.73</v>
      </c>
      <c r="S417">
        <v>7.79</v>
      </c>
      <c r="T417">
        <v>0</v>
      </c>
      <c r="U417">
        <v>96.9</v>
      </c>
      <c r="V417">
        <v>838</v>
      </c>
      <c r="W417">
        <v>35.380000000000003</v>
      </c>
      <c r="Y417">
        <v>13.02</v>
      </c>
    </row>
    <row r="418" spans="1:25" x14ac:dyDescent="0.25">
      <c r="A418">
        <v>2006</v>
      </c>
      <c r="B418">
        <v>318</v>
      </c>
      <c r="C418">
        <v>2400</v>
      </c>
      <c r="D418">
        <v>35.590000000000003</v>
      </c>
      <c r="E418">
        <v>-7.02</v>
      </c>
      <c r="F418">
        <v>6.665</v>
      </c>
      <c r="G418">
        <v>6.944</v>
      </c>
      <c r="K418">
        <v>2.2109999999999999</v>
      </c>
      <c r="L418">
        <v>231.9</v>
      </c>
      <c r="M418">
        <v>0.8</v>
      </c>
      <c r="O418">
        <v>33.97</v>
      </c>
      <c r="P418">
        <v>4.5890000000000004</v>
      </c>
      <c r="Q418">
        <v>8.2899999999999991</v>
      </c>
      <c r="S418">
        <v>8.0500000000000007</v>
      </c>
      <c r="T418">
        <v>0</v>
      </c>
      <c r="U418">
        <v>96.2</v>
      </c>
      <c r="V418">
        <v>839</v>
      </c>
      <c r="W418">
        <v>35.42</v>
      </c>
      <c r="Y418">
        <v>13.3</v>
      </c>
    </row>
    <row r="419" spans="1:25" x14ac:dyDescent="0.25">
      <c r="A419">
        <v>2006</v>
      </c>
      <c r="B419">
        <v>319</v>
      </c>
      <c r="C419">
        <v>100</v>
      </c>
      <c r="D419">
        <v>-1.77</v>
      </c>
      <c r="E419">
        <v>-17.3</v>
      </c>
      <c r="F419">
        <v>5.2359999999999998</v>
      </c>
      <c r="G419">
        <v>5.4779999999999998</v>
      </c>
      <c r="K419">
        <v>1.35</v>
      </c>
      <c r="L419">
        <v>221</v>
      </c>
      <c r="M419">
        <v>0</v>
      </c>
      <c r="O419">
        <v>-11.51</v>
      </c>
      <c r="P419">
        <v>-10.85</v>
      </c>
      <c r="Q419">
        <v>7.59</v>
      </c>
      <c r="S419">
        <v>7.78</v>
      </c>
      <c r="T419">
        <v>0</v>
      </c>
      <c r="U419">
        <v>96.5</v>
      </c>
      <c r="V419">
        <v>838</v>
      </c>
      <c r="W419">
        <v>35.369999999999997</v>
      </c>
      <c r="Y419">
        <v>12.98</v>
      </c>
    </row>
    <row r="420" spans="1:25" x14ac:dyDescent="0.25">
      <c r="A420">
        <v>2006</v>
      </c>
      <c r="B420">
        <v>319</v>
      </c>
      <c r="C420">
        <v>200</v>
      </c>
      <c r="D420">
        <v>-1.1459999999999999</v>
      </c>
      <c r="E420">
        <v>-10.35</v>
      </c>
      <c r="F420">
        <v>5.5380000000000003</v>
      </c>
      <c r="G420">
        <v>5.84</v>
      </c>
      <c r="K420">
        <v>1.268</v>
      </c>
      <c r="L420">
        <v>214.6</v>
      </c>
      <c r="M420">
        <v>0</v>
      </c>
      <c r="O420">
        <v>-11.5</v>
      </c>
      <c r="P420">
        <v>-10.85</v>
      </c>
      <c r="Q420">
        <v>7.47</v>
      </c>
      <c r="S420">
        <v>7.67</v>
      </c>
      <c r="T420">
        <v>0</v>
      </c>
      <c r="U420">
        <v>95.7</v>
      </c>
      <c r="V420">
        <v>839</v>
      </c>
      <c r="W420">
        <v>35.4</v>
      </c>
      <c r="Y420">
        <v>12.94</v>
      </c>
    </row>
    <row r="421" spans="1:25" x14ac:dyDescent="0.25">
      <c r="A421">
        <v>2006</v>
      </c>
      <c r="B421">
        <v>319</v>
      </c>
      <c r="C421">
        <v>300</v>
      </c>
      <c r="D421">
        <v>-1.1639999999999999</v>
      </c>
      <c r="E421">
        <v>-11.53</v>
      </c>
      <c r="F421">
        <v>5.8310000000000004</v>
      </c>
      <c r="G421">
        <v>6.1669999999999998</v>
      </c>
      <c r="K421">
        <v>1.3129999999999999</v>
      </c>
      <c r="L421">
        <v>205.6</v>
      </c>
      <c r="M421">
        <v>0</v>
      </c>
      <c r="O421">
        <v>-11.5</v>
      </c>
      <c r="P421">
        <v>-10.85</v>
      </c>
      <c r="Q421">
        <v>7.41</v>
      </c>
      <c r="S421">
        <v>7.65</v>
      </c>
      <c r="T421">
        <v>0</v>
      </c>
      <c r="U421">
        <v>95.3</v>
      </c>
      <c r="V421">
        <v>839</v>
      </c>
      <c r="W421">
        <v>35.39</v>
      </c>
      <c r="Y421">
        <v>12.92</v>
      </c>
    </row>
    <row r="422" spans="1:25" x14ac:dyDescent="0.25">
      <c r="A422">
        <v>2006</v>
      </c>
      <c r="B422">
        <v>319</v>
      </c>
      <c r="C422">
        <v>400</v>
      </c>
      <c r="D422">
        <v>-1.149</v>
      </c>
      <c r="E422">
        <v>-10.83</v>
      </c>
      <c r="F422">
        <v>6.1959999999999997</v>
      </c>
      <c r="G422">
        <v>6.5170000000000003</v>
      </c>
      <c r="K422">
        <v>1.29</v>
      </c>
      <c r="L422">
        <v>201</v>
      </c>
      <c r="M422">
        <v>0</v>
      </c>
      <c r="O422">
        <v>-11.5</v>
      </c>
      <c r="P422">
        <v>-10.85</v>
      </c>
      <c r="Q422">
        <v>7.4</v>
      </c>
      <c r="S422">
        <v>7.56</v>
      </c>
      <c r="T422">
        <v>0</v>
      </c>
      <c r="U422">
        <v>95.6</v>
      </c>
      <c r="V422">
        <v>838</v>
      </c>
      <c r="W422">
        <v>35.35</v>
      </c>
      <c r="Y422">
        <v>12.9</v>
      </c>
    </row>
    <row r="423" spans="1:25" x14ac:dyDescent="0.25">
      <c r="A423">
        <v>2006</v>
      </c>
      <c r="B423">
        <v>319</v>
      </c>
      <c r="C423">
        <v>500</v>
      </c>
      <c r="D423">
        <v>-1.1459999999999999</v>
      </c>
      <c r="E423">
        <v>-8.65</v>
      </c>
      <c r="F423">
        <v>6.2380000000000004</v>
      </c>
      <c r="G423">
        <v>6.6150000000000002</v>
      </c>
      <c r="K423">
        <v>0.95799999999999996</v>
      </c>
      <c r="L423">
        <v>187.5</v>
      </c>
      <c r="M423">
        <v>0</v>
      </c>
      <c r="O423">
        <v>-11.5</v>
      </c>
      <c r="P423">
        <v>-10.85</v>
      </c>
      <c r="Q423">
        <v>7.37</v>
      </c>
      <c r="S423">
        <v>7.52</v>
      </c>
      <c r="T423">
        <v>0</v>
      </c>
      <c r="U423">
        <v>94.8</v>
      </c>
      <c r="V423">
        <v>838</v>
      </c>
      <c r="W423">
        <v>35.340000000000003</v>
      </c>
      <c r="Y423">
        <v>12.89</v>
      </c>
    </row>
    <row r="424" spans="1:25" x14ac:dyDescent="0.25">
      <c r="A424">
        <v>2006</v>
      </c>
      <c r="B424">
        <v>319</v>
      </c>
      <c r="C424">
        <v>600</v>
      </c>
      <c r="D424">
        <v>-1.1459999999999999</v>
      </c>
      <c r="E424">
        <v>-7.75</v>
      </c>
      <c r="F424">
        <v>6.194</v>
      </c>
      <c r="G424">
        <v>6.5720000000000001</v>
      </c>
      <c r="K424">
        <v>0.82099999999999995</v>
      </c>
      <c r="L424">
        <v>167.7</v>
      </c>
      <c r="M424">
        <v>0.2</v>
      </c>
      <c r="O424">
        <v>-11.5</v>
      </c>
      <c r="P424">
        <v>-10.84</v>
      </c>
      <c r="Q424">
        <v>7.36</v>
      </c>
      <c r="S424">
        <v>7.49</v>
      </c>
      <c r="T424">
        <v>0</v>
      </c>
      <c r="U424">
        <v>94.8</v>
      </c>
      <c r="V424">
        <v>838</v>
      </c>
      <c r="W424">
        <v>35.35</v>
      </c>
      <c r="Y424">
        <v>12.88</v>
      </c>
    </row>
    <row r="425" spans="1:25" x14ac:dyDescent="0.25">
      <c r="A425">
        <v>2006</v>
      </c>
      <c r="B425">
        <v>319</v>
      </c>
      <c r="C425">
        <v>700</v>
      </c>
      <c r="D425">
        <v>-1.1459999999999999</v>
      </c>
      <c r="E425">
        <v>-7.97</v>
      </c>
      <c r="F425">
        <v>6.069</v>
      </c>
      <c r="G425">
        <v>6.5279999999999996</v>
      </c>
      <c r="K425">
        <v>0.65900000000000003</v>
      </c>
      <c r="L425">
        <v>162.19999999999999</v>
      </c>
      <c r="M425">
        <v>0.4</v>
      </c>
      <c r="O425">
        <v>-11.5</v>
      </c>
      <c r="P425">
        <v>-10.85</v>
      </c>
      <c r="Q425">
        <v>7.4</v>
      </c>
      <c r="S425">
        <v>7.46</v>
      </c>
      <c r="T425">
        <v>0</v>
      </c>
      <c r="U425">
        <v>93.7</v>
      </c>
      <c r="V425">
        <v>840</v>
      </c>
      <c r="W425">
        <v>35.44</v>
      </c>
      <c r="Y425">
        <v>12.88</v>
      </c>
    </row>
    <row r="426" spans="1:25" x14ac:dyDescent="0.25">
      <c r="A426">
        <v>2006</v>
      </c>
      <c r="B426">
        <v>319</v>
      </c>
      <c r="C426">
        <v>800</v>
      </c>
      <c r="D426">
        <v>-0.627</v>
      </c>
      <c r="E426">
        <v>-6.55</v>
      </c>
      <c r="F426">
        <v>6.0389999999999997</v>
      </c>
      <c r="G426">
        <v>6.3769999999999998</v>
      </c>
      <c r="K426">
        <v>0.54300000000000004</v>
      </c>
      <c r="L426">
        <v>150.1</v>
      </c>
      <c r="M426">
        <v>0.6</v>
      </c>
      <c r="O426">
        <v>-11.28</v>
      </c>
      <c r="P426">
        <v>-10.84</v>
      </c>
      <c r="Q426">
        <v>7.4</v>
      </c>
      <c r="S426">
        <v>7.39</v>
      </c>
      <c r="T426">
        <v>0</v>
      </c>
      <c r="U426">
        <v>95.3</v>
      </c>
      <c r="V426">
        <v>843</v>
      </c>
      <c r="W426">
        <v>35.64</v>
      </c>
      <c r="Y426">
        <v>12.87</v>
      </c>
    </row>
    <row r="427" spans="1:25" x14ac:dyDescent="0.25">
      <c r="A427">
        <v>2006</v>
      </c>
      <c r="B427">
        <v>319</v>
      </c>
      <c r="C427">
        <v>900</v>
      </c>
      <c r="D427">
        <v>4.2930000000000001</v>
      </c>
      <c r="E427">
        <v>-2.5910000000000002</v>
      </c>
      <c r="F427">
        <v>6.0030000000000001</v>
      </c>
      <c r="G427">
        <v>6.2690000000000001</v>
      </c>
      <c r="H427">
        <f>AVERAGE(G427:G451)</f>
        <v>6.0214799999999995</v>
      </c>
      <c r="I427">
        <f>MIN(G427:G451)</f>
        <v>4.274</v>
      </c>
      <c r="J427">
        <f>MAX(G427:G451)</f>
        <v>7.49</v>
      </c>
      <c r="K427">
        <v>0.83799999999999997</v>
      </c>
      <c r="L427">
        <v>113.4</v>
      </c>
      <c r="M427">
        <v>1</v>
      </c>
      <c r="N427">
        <f>SUM(M427:M451)</f>
        <v>66.40000000000002</v>
      </c>
      <c r="O427">
        <v>-4.0119999999999996</v>
      </c>
      <c r="P427">
        <v>-9.6</v>
      </c>
      <c r="Q427">
        <v>7.4</v>
      </c>
      <c r="S427">
        <v>7.38</v>
      </c>
      <c r="T427">
        <v>0</v>
      </c>
      <c r="U427">
        <v>96.3</v>
      </c>
      <c r="V427">
        <v>848</v>
      </c>
      <c r="W427">
        <v>35.96</v>
      </c>
      <c r="Y427">
        <v>12.86</v>
      </c>
    </row>
    <row r="428" spans="1:25" x14ac:dyDescent="0.25">
      <c r="A428">
        <v>2006</v>
      </c>
      <c r="B428">
        <v>319</v>
      </c>
      <c r="C428">
        <v>1000</v>
      </c>
      <c r="D428">
        <v>14.16</v>
      </c>
      <c r="E428">
        <v>5.54</v>
      </c>
      <c r="F428">
        <v>6.1189999999999998</v>
      </c>
      <c r="G428">
        <v>6.2910000000000004</v>
      </c>
      <c r="K428">
        <v>1.1439999999999999</v>
      </c>
      <c r="L428">
        <v>104.7</v>
      </c>
      <c r="M428">
        <v>1.8</v>
      </c>
      <c r="O428">
        <v>9.6300000000000008</v>
      </c>
      <c r="P428">
        <v>-6.8949999999999996</v>
      </c>
      <c r="Q428">
        <v>7.41</v>
      </c>
      <c r="S428">
        <v>7.38</v>
      </c>
      <c r="T428">
        <v>0</v>
      </c>
      <c r="U428">
        <v>97.6</v>
      </c>
      <c r="V428">
        <v>866</v>
      </c>
      <c r="W428">
        <v>37.06</v>
      </c>
      <c r="Y428">
        <v>12.86</v>
      </c>
    </row>
    <row r="429" spans="1:25" x14ac:dyDescent="0.25">
      <c r="A429">
        <v>2006</v>
      </c>
      <c r="B429">
        <v>319</v>
      </c>
      <c r="C429">
        <v>1100</v>
      </c>
      <c r="D429">
        <v>18.21</v>
      </c>
      <c r="E429">
        <v>8.76</v>
      </c>
      <c r="F429">
        <v>6.0750000000000002</v>
      </c>
      <c r="G429">
        <v>6.2430000000000003</v>
      </c>
      <c r="K429">
        <v>1.1140000000000001</v>
      </c>
      <c r="L429">
        <v>103.3</v>
      </c>
      <c r="M429">
        <v>3</v>
      </c>
      <c r="O429">
        <v>14.81</v>
      </c>
      <c r="P429">
        <v>-6.0140000000000002</v>
      </c>
      <c r="Q429">
        <v>7.45</v>
      </c>
      <c r="S429">
        <v>7.38</v>
      </c>
      <c r="T429">
        <v>0</v>
      </c>
      <c r="U429">
        <v>97.7</v>
      </c>
      <c r="V429">
        <v>900</v>
      </c>
      <c r="W429">
        <v>39.43</v>
      </c>
      <c r="Y429">
        <v>12.86</v>
      </c>
    </row>
    <row r="430" spans="1:25" x14ac:dyDescent="0.25">
      <c r="A430">
        <v>2006</v>
      </c>
      <c r="B430">
        <v>319</v>
      </c>
      <c r="C430">
        <v>1200</v>
      </c>
      <c r="D430">
        <v>23.05</v>
      </c>
      <c r="E430">
        <v>12.78</v>
      </c>
      <c r="F430">
        <v>6.0629999999999997</v>
      </c>
      <c r="G430">
        <v>6.2249999999999996</v>
      </c>
      <c r="K430">
        <v>0.55500000000000005</v>
      </c>
      <c r="L430">
        <v>83.3</v>
      </c>
      <c r="M430">
        <v>3.2</v>
      </c>
      <c r="O430">
        <v>21.37</v>
      </c>
      <c r="P430">
        <v>-4.4829999999999997</v>
      </c>
      <c r="Q430">
        <v>7.45</v>
      </c>
      <c r="S430">
        <v>7.28</v>
      </c>
      <c r="T430">
        <v>0</v>
      </c>
      <c r="U430">
        <v>97.7</v>
      </c>
      <c r="V430">
        <v>911</v>
      </c>
      <c r="W430">
        <v>40.25</v>
      </c>
      <c r="Y430">
        <v>12.86</v>
      </c>
    </row>
    <row r="431" spans="1:25" x14ac:dyDescent="0.25">
      <c r="A431">
        <v>2006</v>
      </c>
      <c r="B431">
        <v>319</v>
      </c>
      <c r="C431">
        <v>1300</v>
      </c>
      <c r="D431">
        <v>26.84</v>
      </c>
      <c r="E431">
        <v>16.14</v>
      </c>
      <c r="F431">
        <v>5.9269999999999996</v>
      </c>
      <c r="G431">
        <v>6.0529999999999999</v>
      </c>
      <c r="K431">
        <v>0.84099999999999997</v>
      </c>
      <c r="L431">
        <v>71.2</v>
      </c>
      <c r="M431">
        <v>3</v>
      </c>
      <c r="O431">
        <v>26.75</v>
      </c>
      <c r="P431">
        <v>-2.5960000000000001</v>
      </c>
      <c r="Q431">
        <v>7.47</v>
      </c>
      <c r="S431">
        <v>7.17</v>
      </c>
      <c r="T431">
        <v>0</v>
      </c>
      <c r="U431">
        <v>98.2</v>
      </c>
      <c r="V431">
        <v>913</v>
      </c>
      <c r="W431">
        <v>40.43</v>
      </c>
      <c r="Y431">
        <v>12.87</v>
      </c>
    </row>
    <row r="432" spans="1:25" x14ac:dyDescent="0.25">
      <c r="A432">
        <v>2006</v>
      </c>
      <c r="B432">
        <v>319</v>
      </c>
      <c r="C432">
        <v>1400</v>
      </c>
      <c r="D432">
        <v>28.7</v>
      </c>
      <c r="E432">
        <v>17.21</v>
      </c>
      <c r="F432">
        <v>5.907</v>
      </c>
      <c r="G432">
        <v>6.01</v>
      </c>
      <c r="K432">
        <v>0.88300000000000001</v>
      </c>
      <c r="L432">
        <v>58.24</v>
      </c>
      <c r="M432">
        <v>1.6</v>
      </c>
      <c r="O432">
        <v>28.88</v>
      </c>
      <c r="P432">
        <v>-2.2490000000000001</v>
      </c>
      <c r="Q432">
        <v>7.45</v>
      </c>
      <c r="S432">
        <v>7.17</v>
      </c>
      <c r="T432">
        <v>0</v>
      </c>
      <c r="U432">
        <v>98.5</v>
      </c>
      <c r="V432">
        <v>916</v>
      </c>
      <c r="W432">
        <v>40.67</v>
      </c>
      <c r="Y432">
        <v>12.92</v>
      </c>
    </row>
    <row r="433" spans="1:25" x14ac:dyDescent="0.25">
      <c r="A433">
        <v>2006</v>
      </c>
      <c r="B433">
        <v>319</v>
      </c>
      <c r="C433">
        <v>1500</v>
      </c>
      <c r="D433">
        <v>15.44</v>
      </c>
      <c r="E433">
        <v>7.05</v>
      </c>
      <c r="F433">
        <v>5.6280000000000001</v>
      </c>
      <c r="G433">
        <v>5.7430000000000003</v>
      </c>
      <c r="K433">
        <v>0.86</v>
      </c>
      <c r="L433">
        <v>67.650000000000006</v>
      </c>
      <c r="M433">
        <v>1.8</v>
      </c>
      <c r="O433">
        <v>10.48</v>
      </c>
      <c r="P433">
        <v>-6.1189999999999998</v>
      </c>
      <c r="Q433">
        <v>7.5</v>
      </c>
      <c r="S433">
        <v>7.17</v>
      </c>
      <c r="T433">
        <v>0</v>
      </c>
      <c r="U433">
        <v>98.4</v>
      </c>
      <c r="V433">
        <v>922</v>
      </c>
      <c r="W433">
        <v>41.16</v>
      </c>
      <c r="Y433">
        <v>12.9</v>
      </c>
    </row>
    <row r="434" spans="1:25" x14ac:dyDescent="0.25">
      <c r="A434">
        <v>2006</v>
      </c>
      <c r="B434">
        <v>319</v>
      </c>
      <c r="C434">
        <v>1600</v>
      </c>
      <c r="D434">
        <v>4.8559999999999999</v>
      </c>
      <c r="E434">
        <v>0.437</v>
      </c>
      <c r="F434">
        <v>5.609</v>
      </c>
      <c r="G434">
        <v>5.7409999999999997</v>
      </c>
      <c r="K434">
        <v>1.1539999999999999</v>
      </c>
      <c r="L434">
        <v>74.2</v>
      </c>
      <c r="M434">
        <v>1.8</v>
      </c>
      <c r="O434">
        <v>-3.7189999999999999</v>
      </c>
      <c r="P434">
        <v>-9.17</v>
      </c>
      <c r="Q434">
        <v>7.51</v>
      </c>
      <c r="S434">
        <v>7.17</v>
      </c>
      <c r="T434">
        <v>0</v>
      </c>
      <c r="U434">
        <v>98.1</v>
      </c>
      <c r="V434">
        <v>926</v>
      </c>
      <c r="W434">
        <v>41.46</v>
      </c>
      <c r="Y434">
        <v>12.87</v>
      </c>
    </row>
    <row r="435" spans="1:25" x14ac:dyDescent="0.25">
      <c r="A435">
        <v>2006</v>
      </c>
      <c r="B435">
        <v>319</v>
      </c>
      <c r="C435">
        <v>1700</v>
      </c>
      <c r="D435">
        <v>0.33100000000000002</v>
      </c>
      <c r="E435">
        <v>-2.19</v>
      </c>
      <c r="F435">
        <v>6.0030000000000001</v>
      </c>
      <c r="G435">
        <v>6.141</v>
      </c>
      <c r="K435">
        <v>1.1299999999999999</v>
      </c>
      <c r="L435">
        <v>81.5</v>
      </c>
      <c r="M435">
        <v>2.2000000000000002</v>
      </c>
      <c r="O435">
        <v>-10.77</v>
      </c>
      <c r="P435">
        <v>-10.73</v>
      </c>
      <c r="Q435">
        <v>7.51</v>
      </c>
      <c r="S435">
        <v>7.18</v>
      </c>
      <c r="T435">
        <v>0</v>
      </c>
      <c r="U435">
        <v>98.1</v>
      </c>
      <c r="V435">
        <v>930</v>
      </c>
      <c r="W435">
        <v>41.85</v>
      </c>
      <c r="Y435">
        <v>12.86</v>
      </c>
    </row>
    <row r="436" spans="1:25" x14ac:dyDescent="0.25">
      <c r="A436">
        <v>2006</v>
      </c>
      <c r="B436">
        <v>319</v>
      </c>
      <c r="C436">
        <v>1800</v>
      </c>
      <c r="D436">
        <v>0</v>
      </c>
      <c r="E436">
        <v>-1.9950000000000001</v>
      </c>
      <c r="F436">
        <v>6.4320000000000004</v>
      </c>
      <c r="G436">
        <v>6.5709999999999997</v>
      </c>
      <c r="K436">
        <v>1.163</v>
      </c>
      <c r="L436">
        <v>52.33</v>
      </c>
      <c r="M436">
        <v>2.8</v>
      </c>
      <c r="O436">
        <v>-11.5</v>
      </c>
      <c r="P436">
        <v>-10.85</v>
      </c>
      <c r="Q436">
        <v>7.49</v>
      </c>
      <c r="S436">
        <v>7.25</v>
      </c>
      <c r="T436">
        <v>0</v>
      </c>
      <c r="U436">
        <v>98.1</v>
      </c>
      <c r="V436">
        <v>935</v>
      </c>
      <c r="W436">
        <v>42.24</v>
      </c>
      <c r="Y436">
        <v>12.86</v>
      </c>
    </row>
    <row r="437" spans="1:25" x14ac:dyDescent="0.25">
      <c r="A437">
        <v>2006</v>
      </c>
      <c r="B437">
        <v>319</v>
      </c>
      <c r="C437">
        <v>1900</v>
      </c>
      <c r="D437">
        <v>-2E-3</v>
      </c>
      <c r="E437">
        <v>-1.6140000000000001</v>
      </c>
      <c r="F437">
        <v>6.726</v>
      </c>
      <c r="G437">
        <v>6.89</v>
      </c>
      <c r="K437">
        <v>1.482</v>
      </c>
      <c r="L437">
        <v>79.8</v>
      </c>
      <c r="M437">
        <v>0.8</v>
      </c>
      <c r="O437">
        <v>-11.5</v>
      </c>
      <c r="P437">
        <v>-10.84</v>
      </c>
      <c r="Q437">
        <v>7.49</v>
      </c>
      <c r="S437">
        <v>7.28</v>
      </c>
      <c r="T437">
        <v>0</v>
      </c>
      <c r="U437">
        <v>97.8</v>
      </c>
      <c r="V437">
        <v>941</v>
      </c>
      <c r="W437">
        <v>42.81</v>
      </c>
      <c r="Y437">
        <v>12.86</v>
      </c>
    </row>
    <row r="438" spans="1:25" x14ac:dyDescent="0.25">
      <c r="A438">
        <v>2006</v>
      </c>
      <c r="B438">
        <v>319</v>
      </c>
      <c r="C438">
        <v>2000</v>
      </c>
      <c r="D438">
        <v>0</v>
      </c>
      <c r="E438">
        <v>-1.333</v>
      </c>
      <c r="F438">
        <v>6.9109999999999996</v>
      </c>
      <c r="G438">
        <v>7.08</v>
      </c>
      <c r="K438">
        <v>1.1180000000000001</v>
      </c>
      <c r="L438">
        <v>79.099999999999994</v>
      </c>
      <c r="M438">
        <v>4</v>
      </c>
      <c r="O438">
        <v>-11.5</v>
      </c>
      <c r="P438">
        <v>-10.84</v>
      </c>
      <c r="Q438">
        <v>7.51</v>
      </c>
      <c r="S438">
        <v>7.28</v>
      </c>
      <c r="T438">
        <v>0</v>
      </c>
      <c r="U438">
        <v>97.7</v>
      </c>
      <c r="V438">
        <v>944</v>
      </c>
      <c r="W438">
        <v>43.07</v>
      </c>
      <c r="Y438">
        <v>12.86</v>
      </c>
    </row>
    <row r="439" spans="1:25" x14ac:dyDescent="0.25">
      <c r="A439">
        <v>2006</v>
      </c>
      <c r="B439">
        <v>319</v>
      </c>
      <c r="C439">
        <v>2100</v>
      </c>
      <c r="D439">
        <v>0</v>
      </c>
      <c r="E439">
        <v>-0.875</v>
      </c>
      <c r="F439">
        <v>7.11</v>
      </c>
      <c r="G439">
        <v>7.27</v>
      </c>
      <c r="K439">
        <v>1.1559999999999999</v>
      </c>
      <c r="L439">
        <v>74.8</v>
      </c>
      <c r="M439">
        <v>2.2000000000000002</v>
      </c>
      <c r="O439">
        <v>-11.51</v>
      </c>
      <c r="P439">
        <v>-10.84</v>
      </c>
      <c r="Q439">
        <v>7.52</v>
      </c>
      <c r="S439">
        <v>7.28</v>
      </c>
      <c r="T439">
        <v>0</v>
      </c>
      <c r="U439">
        <v>97.8</v>
      </c>
      <c r="V439">
        <v>951</v>
      </c>
      <c r="W439">
        <v>43.67</v>
      </c>
      <c r="Y439">
        <v>12.86</v>
      </c>
    </row>
    <row r="440" spans="1:25" x14ac:dyDescent="0.25">
      <c r="A440">
        <v>2006</v>
      </c>
      <c r="B440">
        <v>319</v>
      </c>
      <c r="C440">
        <v>2200</v>
      </c>
      <c r="D440">
        <v>0</v>
      </c>
      <c r="E440">
        <v>-0.67500000000000004</v>
      </c>
      <c r="F440">
        <v>7.35</v>
      </c>
      <c r="G440">
        <v>7.49</v>
      </c>
      <c r="K440">
        <v>1.1870000000000001</v>
      </c>
      <c r="L440">
        <v>16.37</v>
      </c>
      <c r="M440">
        <v>1.4</v>
      </c>
      <c r="O440">
        <v>-11.5</v>
      </c>
      <c r="P440">
        <v>-10.84</v>
      </c>
      <c r="Q440">
        <v>7.58</v>
      </c>
      <c r="S440">
        <v>7.28</v>
      </c>
      <c r="T440">
        <v>0</v>
      </c>
      <c r="U440">
        <v>98.2</v>
      </c>
      <c r="V440">
        <v>957</v>
      </c>
      <c r="W440">
        <v>44.3</v>
      </c>
      <c r="Y440">
        <v>12.86</v>
      </c>
    </row>
    <row r="441" spans="1:25" x14ac:dyDescent="0.25">
      <c r="A441">
        <v>2006</v>
      </c>
      <c r="B441">
        <v>319</v>
      </c>
      <c r="C441">
        <v>2300</v>
      </c>
      <c r="D441">
        <v>7.2999999999999995E-2</v>
      </c>
      <c r="E441">
        <v>-1.1870000000000001</v>
      </c>
      <c r="F441">
        <v>6.9420000000000002</v>
      </c>
      <c r="G441">
        <v>7.03</v>
      </c>
      <c r="K441">
        <v>2.282</v>
      </c>
      <c r="L441">
        <v>277.5</v>
      </c>
      <c r="M441">
        <v>0.8</v>
      </c>
      <c r="O441">
        <v>-11.5</v>
      </c>
      <c r="P441">
        <v>-10.85</v>
      </c>
      <c r="Q441">
        <v>7.61</v>
      </c>
      <c r="S441">
        <v>7.28</v>
      </c>
      <c r="T441">
        <v>0</v>
      </c>
      <c r="U441">
        <v>98.8</v>
      </c>
      <c r="V441">
        <v>963</v>
      </c>
      <c r="W441">
        <v>44.84</v>
      </c>
      <c r="Y441">
        <v>12.86</v>
      </c>
    </row>
    <row r="442" spans="1:25" x14ac:dyDescent="0.25">
      <c r="A442">
        <v>2006</v>
      </c>
      <c r="B442">
        <v>319</v>
      </c>
      <c r="C442">
        <v>2400</v>
      </c>
      <c r="D442">
        <v>0.06</v>
      </c>
      <c r="E442">
        <v>-2.5270000000000001</v>
      </c>
      <c r="F442">
        <v>5.9779999999999998</v>
      </c>
      <c r="G442">
        <v>6.08</v>
      </c>
      <c r="K442">
        <v>3.1739999999999999</v>
      </c>
      <c r="L442">
        <v>281.8</v>
      </c>
      <c r="M442">
        <v>0.6</v>
      </c>
      <c r="O442">
        <v>-11.51</v>
      </c>
      <c r="P442">
        <v>-10.85</v>
      </c>
      <c r="Q442">
        <v>7.65</v>
      </c>
      <c r="S442">
        <v>7.28</v>
      </c>
      <c r="T442">
        <v>0</v>
      </c>
      <c r="U442">
        <v>98.6</v>
      </c>
      <c r="V442">
        <v>967</v>
      </c>
      <c r="W442">
        <v>45.31</v>
      </c>
      <c r="Y442">
        <v>12.86</v>
      </c>
    </row>
    <row r="443" spans="1:25" x14ac:dyDescent="0.25">
      <c r="A443">
        <v>2006</v>
      </c>
      <c r="B443">
        <v>319</v>
      </c>
      <c r="C443">
        <v>2400</v>
      </c>
      <c r="D443">
        <v>5.28</v>
      </c>
      <c r="E443">
        <v>-1.167</v>
      </c>
      <c r="F443">
        <v>6.1719999999999997</v>
      </c>
      <c r="G443">
        <v>6.3840000000000003</v>
      </c>
      <c r="K443">
        <v>1.1779999999999999</v>
      </c>
      <c r="L443">
        <v>123.5</v>
      </c>
      <c r="M443">
        <v>33.200000000000003</v>
      </c>
      <c r="O443">
        <v>-3.2879999999999998</v>
      </c>
      <c r="P443">
        <v>-9.19</v>
      </c>
      <c r="Q443">
        <v>7.47</v>
      </c>
      <c r="S443">
        <v>7.36</v>
      </c>
      <c r="T443">
        <v>0</v>
      </c>
      <c r="U443">
        <v>97.1</v>
      </c>
      <c r="V443">
        <v>896</v>
      </c>
      <c r="W443">
        <v>39.49</v>
      </c>
      <c r="Y443">
        <v>12.88</v>
      </c>
    </row>
    <row r="444" spans="1:25" x14ac:dyDescent="0.25">
      <c r="A444">
        <v>2006</v>
      </c>
      <c r="B444">
        <v>320</v>
      </c>
      <c r="C444">
        <v>100</v>
      </c>
      <c r="D444">
        <v>0</v>
      </c>
      <c r="E444">
        <v>-2.94</v>
      </c>
      <c r="F444">
        <v>5.86</v>
      </c>
      <c r="G444">
        <v>6.0250000000000004</v>
      </c>
      <c r="K444">
        <v>3.762</v>
      </c>
      <c r="L444">
        <v>273.8</v>
      </c>
      <c r="M444">
        <v>0.2</v>
      </c>
      <c r="O444">
        <v>-11.5</v>
      </c>
      <c r="P444">
        <v>-10.85</v>
      </c>
      <c r="Q444">
        <v>7.61</v>
      </c>
      <c r="S444">
        <v>7.28</v>
      </c>
      <c r="T444">
        <v>0</v>
      </c>
      <c r="U444">
        <v>97.7</v>
      </c>
      <c r="V444">
        <v>966</v>
      </c>
      <c r="W444">
        <v>45.16</v>
      </c>
      <c r="Y444">
        <v>12.86</v>
      </c>
    </row>
    <row r="445" spans="1:25" x14ac:dyDescent="0.25">
      <c r="A445">
        <v>2006</v>
      </c>
      <c r="B445">
        <v>320</v>
      </c>
      <c r="C445">
        <v>200</v>
      </c>
      <c r="D445">
        <v>0</v>
      </c>
      <c r="E445">
        <v>-4.859</v>
      </c>
      <c r="F445">
        <v>5.3120000000000003</v>
      </c>
      <c r="G445">
        <v>5.5990000000000002</v>
      </c>
      <c r="K445">
        <v>2.7789999999999999</v>
      </c>
      <c r="L445">
        <v>268</v>
      </c>
      <c r="M445">
        <v>0</v>
      </c>
      <c r="O445">
        <v>-11.5</v>
      </c>
      <c r="P445">
        <v>-10.84</v>
      </c>
      <c r="Q445">
        <v>7.61</v>
      </c>
      <c r="S445">
        <v>7.28</v>
      </c>
      <c r="T445">
        <v>0</v>
      </c>
      <c r="U445">
        <v>95.9</v>
      </c>
      <c r="V445">
        <v>967</v>
      </c>
      <c r="W445">
        <v>45.25</v>
      </c>
      <c r="Y445">
        <v>12.86</v>
      </c>
    </row>
    <row r="446" spans="1:25" x14ac:dyDescent="0.25">
      <c r="A446">
        <v>2006</v>
      </c>
      <c r="B446">
        <v>320</v>
      </c>
      <c r="C446">
        <v>300</v>
      </c>
      <c r="D446">
        <v>0</v>
      </c>
      <c r="E446">
        <v>-5.157</v>
      </c>
      <c r="F446">
        <v>5.1929999999999996</v>
      </c>
      <c r="G446">
        <v>5.5469999999999997</v>
      </c>
      <c r="K446">
        <v>2.8530000000000002</v>
      </c>
      <c r="L446">
        <v>261.2</v>
      </c>
      <c r="M446">
        <v>0.4</v>
      </c>
      <c r="O446">
        <v>-11.5</v>
      </c>
      <c r="P446">
        <v>-10.84</v>
      </c>
      <c r="Q446">
        <v>7.57</v>
      </c>
      <c r="S446">
        <v>7.28</v>
      </c>
      <c r="T446">
        <v>0</v>
      </c>
      <c r="U446">
        <v>95</v>
      </c>
      <c r="V446">
        <v>967</v>
      </c>
      <c r="W446">
        <v>45.28</v>
      </c>
      <c r="Y446">
        <v>12.86</v>
      </c>
    </row>
    <row r="447" spans="1:25" x14ac:dyDescent="0.25">
      <c r="A447">
        <v>2006</v>
      </c>
      <c r="B447">
        <v>320</v>
      </c>
      <c r="C447">
        <v>400</v>
      </c>
      <c r="D447">
        <v>-8.8999999999999996E-2</v>
      </c>
      <c r="E447">
        <v>-6.9459999999999997</v>
      </c>
      <c r="F447">
        <v>5.0119999999999996</v>
      </c>
      <c r="G447">
        <v>5.3259999999999996</v>
      </c>
      <c r="K447">
        <v>2.6659999999999999</v>
      </c>
      <c r="L447">
        <v>256.8</v>
      </c>
      <c r="M447">
        <v>0</v>
      </c>
      <c r="O447">
        <v>-11.5</v>
      </c>
      <c r="P447">
        <v>-10.85</v>
      </c>
      <c r="Q447">
        <v>7.55</v>
      </c>
      <c r="S447">
        <v>7.3</v>
      </c>
      <c r="T447">
        <v>0</v>
      </c>
      <c r="U447">
        <v>95.5</v>
      </c>
      <c r="V447">
        <v>968</v>
      </c>
      <c r="W447">
        <v>45.33</v>
      </c>
      <c r="Y447">
        <v>12.86</v>
      </c>
    </row>
    <row r="448" spans="1:25" x14ac:dyDescent="0.25">
      <c r="A448">
        <v>2006</v>
      </c>
      <c r="B448">
        <v>320</v>
      </c>
      <c r="C448">
        <v>500</v>
      </c>
      <c r="D448">
        <v>-0.223</v>
      </c>
      <c r="E448">
        <v>-8.4499999999999993</v>
      </c>
      <c r="F448">
        <v>4.7370000000000001</v>
      </c>
      <c r="G448">
        <v>5.0789999999999997</v>
      </c>
      <c r="K448">
        <v>2.427</v>
      </c>
      <c r="L448">
        <v>251.7</v>
      </c>
      <c r="M448">
        <v>0.2</v>
      </c>
      <c r="O448">
        <v>-11.51</v>
      </c>
      <c r="P448">
        <v>-10.85</v>
      </c>
      <c r="Q448">
        <v>7.53</v>
      </c>
      <c r="S448">
        <v>7.26</v>
      </c>
      <c r="T448">
        <v>0</v>
      </c>
      <c r="U448">
        <v>95</v>
      </c>
      <c r="V448">
        <v>968</v>
      </c>
      <c r="W448">
        <v>45.38</v>
      </c>
      <c r="Y448">
        <v>12.86</v>
      </c>
    </row>
    <row r="449" spans="1:25" x14ac:dyDescent="0.25">
      <c r="A449">
        <v>2006</v>
      </c>
      <c r="B449">
        <v>320</v>
      </c>
      <c r="C449">
        <v>600</v>
      </c>
      <c r="D449">
        <v>-0.61899999999999999</v>
      </c>
      <c r="E449">
        <v>-17.420000000000002</v>
      </c>
      <c r="F449">
        <v>4.3</v>
      </c>
      <c r="G449">
        <v>4.702</v>
      </c>
      <c r="K449">
        <v>2.2890000000000001</v>
      </c>
      <c r="L449">
        <v>245.7</v>
      </c>
      <c r="M449">
        <v>0.4</v>
      </c>
      <c r="O449">
        <v>-11.51</v>
      </c>
      <c r="P449">
        <v>-10.85</v>
      </c>
      <c r="Q449">
        <v>7.47</v>
      </c>
      <c r="S449">
        <v>7.22</v>
      </c>
      <c r="T449">
        <v>0</v>
      </c>
      <c r="U449">
        <v>94.1</v>
      </c>
      <c r="V449">
        <v>969</v>
      </c>
      <c r="W449">
        <v>45.43</v>
      </c>
      <c r="Y449">
        <v>12.86</v>
      </c>
    </row>
    <row r="450" spans="1:25" x14ac:dyDescent="0.25">
      <c r="A450">
        <v>2006</v>
      </c>
      <c r="B450">
        <v>320</v>
      </c>
      <c r="C450">
        <v>700</v>
      </c>
      <c r="D450">
        <v>-0.876</v>
      </c>
      <c r="E450">
        <v>-20.98</v>
      </c>
      <c r="F450">
        <v>4.0339999999999998</v>
      </c>
      <c r="G450">
        <v>4.4740000000000002</v>
      </c>
      <c r="K450">
        <v>2.4950000000000001</v>
      </c>
      <c r="L450">
        <v>243.4</v>
      </c>
      <c r="M450">
        <v>0</v>
      </c>
      <c r="O450">
        <v>-11.51</v>
      </c>
      <c r="P450">
        <v>-10.85</v>
      </c>
      <c r="Q450">
        <v>7.42</v>
      </c>
      <c r="S450">
        <v>7.25</v>
      </c>
      <c r="T450">
        <v>0</v>
      </c>
      <c r="U450">
        <v>93.4</v>
      </c>
      <c r="V450">
        <v>968</v>
      </c>
      <c r="W450">
        <v>45.42</v>
      </c>
      <c r="Y450">
        <v>12.86</v>
      </c>
    </row>
    <row r="451" spans="1:25" x14ac:dyDescent="0.25">
      <c r="A451">
        <v>2006</v>
      </c>
      <c r="B451">
        <v>320</v>
      </c>
      <c r="C451">
        <v>800</v>
      </c>
      <c r="D451">
        <v>-9.6000000000000002E-2</v>
      </c>
      <c r="E451">
        <v>-21.35</v>
      </c>
      <c r="F451">
        <v>3.8</v>
      </c>
      <c r="G451">
        <v>4.274</v>
      </c>
      <c r="K451">
        <v>1.8220000000000001</v>
      </c>
      <c r="L451">
        <v>239.4</v>
      </c>
      <c r="M451">
        <v>0</v>
      </c>
      <c r="O451">
        <v>-10.53</v>
      </c>
      <c r="P451">
        <v>-10.59</v>
      </c>
      <c r="Q451">
        <v>7.33</v>
      </c>
      <c r="S451">
        <v>7.22</v>
      </c>
      <c r="T451">
        <v>0</v>
      </c>
      <c r="U451">
        <v>92.9</v>
      </c>
      <c r="V451">
        <v>970</v>
      </c>
      <c r="W451">
        <v>45.54</v>
      </c>
      <c r="Y451">
        <v>12.85</v>
      </c>
    </row>
    <row r="452" spans="1:25" x14ac:dyDescent="0.25">
      <c r="A452">
        <v>2006</v>
      </c>
      <c r="B452">
        <v>320</v>
      </c>
      <c r="C452">
        <v>900</v>
      </c>
      <c r="D452">
        <v>6.351</v>
      </c>
      <c r="E452">
        <v>-2.3159999999999998</v>
      </c>
      <c r="F452">
        <v>3.952</v>
      </c>
      <c r="G452">
        <v>4.444</v>
      </c>
      <c r="H452">
        <f>AVERAGE(G452:G476)</f>
        <v>4.9475199999999999</v>
      </c>
      <c r="I452">
        <f>MIN(G452:G476)</f>
        <v>3.84</v>
      </c>
      <c r="J452">
        <f>MAX(G452:G476)</f>
        <v>6.5410000000000004</v>
      </c>
      <c r="K452">
        <v>1.7569999999999999</v>
      </c>
      <c r="L452">
        <v>226</v>
      </c>
      <c r="M452">
        <v>0</v>
      </c>
      <c r="N452">
        <f>SUM(M452:M476)</f>
        <v>3.0000000000000004</v>
      </c>
      <c r="O452">
        <v>-5.0720000000000001</v>
      </c>
      <c r="P452">
        <v>-9.5299999999999994</v>
      </c>
      <c r="Q452">
        <v>7.23</v>
      </c>
      <c r="S452">
        <v>7.16</v>
      </c>
      <c r="T452">
        <v>0</v>
      </c>
      <c r="U452">
        <v>92.7</v>
      </c>
      <c r="V452">
        <v>970</v>
      </c>
      <c r="W452">
        <v>45.54</v>
      </c>
      <c r="Y452">
        <v>12.85</v>
      </c>
    </row>
    <row r="453" spans="1:25" x14ac:dyDescent="0.25">
      <c r="A453">
        <v>2006</v>
      </c>
      <c r="B453">
        <v>320</v>
      </c>
      <c r="C453">
        <v>1000</v>
      </c>
      <c r="D453">
        <v>56.78</v>
      </c>
      <c r="E453">
        <v>29.6</v>
      </c>
      <c r="F453">
        <v>4.4219999999999997</v>
      </c>
      <c r="G453">
        <v>5.0030000000000001</v>
      </c>
      <c r="K453">
        <v>2.661</v>
      </c>
      <c r="L453">
        <v>241.1</v>
      </c>
      <c r="M453">
        <v>0</v>
      </c>
      <c r="O453">
        <v>58.69</v>
      </c>
      <c r="P453">
        <v>3.8730000000000002</v>
      </c>
      <c r="Q453">
        <v>7.18</v>
      </c>
      <c r="S453">
        <v>7.16</v>
      </c>
      <c r="T453">
        <v>0</v>
      </c>
      <c r="U453">
        <v>91.5</v>
      </c>
      <c r="V453">
        <v>969</v>
      </c>
      <c r="W453">
        <v>45.5</v>
      </c>
      <c r="Y453">
        <v>13.14</v>
      </c>
    </row>
    <row r="454" spans="1:25" x14ac:dyDescent="0.25">
      <c r="A454">
        <v>2006</v>
      </c>
      <c r="B454">
        <v>320</v>
      </c>
      <c r="C454">
        <v>1100</v>
      </c>
      <c r="D454">
        <v>154.5</v>
      </c>
      <c r="E454">
        <v>90.5</v>
      </c>
      <c r="F454">
        <v>4.2869999999999999</v>
      </c>
      <c r="G454">
        <v>5.14</v>
      </c>
      <c r="K454">
        <v>3.343</v>
      </c>
      <c r="L454">
        <v>258.3</v>
      </c>
      <c r="M454">
        <v>0</v>
      </c>
      <c r="O454">
        <v>183.3</v>
      </c>
      <c r="P454">
        <v>59.76</v>
      </c>
      <c r="Q454">
        <v>7.14</v>
      </c>
      <c r="S454">
        <v>7.12</v>
      </c>
      <c r="T454">
        <v>0</v>
      </c>
      <c r="U454">
        <v>87.7</v>
      </c>
      <c r="V454">
        <v>969</v>
      </c>
      <c r="W454">
        <v>45.49</v>
      </c>
      <c r="Y454">
        <v>13.94</v>
      </c>
    </row>
    <row r="455" spans="1:25" x14ac:dyDescent="0.25">
      <c r="A455">
        <v>2006</v>
      </c>
      <c r="B455">
        <v>320</v>
      </c>
      <c r="C455">
        <v>1200</v>
      </c>
      <c r="D455">
        <v>247.1</v>
      </c>
      <c r="E455">
        <v>174.6</v>
      </c>
      <c r="F455">
        <v>4.8849999999999998</v>
      </c>
      <c r="G455">
        <v>5.7729999999999997</v>
      </c>
      <c r="K455">
        <v>3.1589999999999998</v>
      </c>
      <c r="L455">
        <v>244.4</v>
      </c>
      <c r="M455">
        <v>0</v>
      </c>
      <c r="O455">
        <v>291.60000000000002</v>
      </c>
      <c r="P455">
        <v>115.4</v>
      </c>
      <c r="Q455">
        <v>7.19</v>
      </c>
      <c r="S455">
        <v>7.1</v>
      </c>
      <c r="T455">
        <v>0</v>
      </c>
      <c r="U455">
        <v>87.5</v>
      </c>
      <c r="V455">
        <v>970</v>
      </c>
      <c r="W455">
        <v>45.54</v>
      </c>
      <c r="Y455">
        <v>14.3</v>
      </c>
    </row>
    <row r="456" spans="1:25" x14ac:dyDescent="0.25">
      <c r="A456">
        <v>2006</v>
      </c>
      <c r="B456">
        <v>320</v>
      </c>
      <c r="C456">
        <v>1300</v>
      </c>
      <c r="D456">
        <v>265.5</v>
      </c>
      <c r="E456">
        <v>190.3</v>
      </c>
      <c r="F456">
        <v>5.234</v>
      </c>
      <c r="G456">
        <v>6.5410000000000004</v>
      </c>
      <c r="K456">
        <v>2.907</v>
      </c>
      <c r="L456">
        <v>251.1</v>
      </c>
      <c r="M456">
        <v>0</v>
      </c>
      <c r="O456">
        <v>310.60000000000002</v>
      </c>
      <c r="P456">
        <v>130.6</v>
      </c>
      <c r="Q456">
        <v>7.28</v>
      </c>
      <c r="S456">
        <v>7.08</v>
      </c>
      <c r="T456">
        <v>0</v>
      </c>
      <c r="U456">
        <v>82.3</v>
      </c>
      <c r="V456">
        <v>969</v>
      </c>
      <c r="W456">
        <v>45.45</v>
      </c>
      <c r="Y456">
        <v>14.46</v>
      </c>
    </row>
    <row r="457" spans="1:25" x14ac:dyDescent="0.25">
      <c r="A457">
        <v>2006</v>
      </c>
      <c r="B457">
        <v>320</v>
      </c>
      <c r="C457">
        <v>1400</v>
      </c>
      <c r="D457">
        <v>141.5</v>
      </c>
      <c r="E457">
        <v>80</v>
      </c>
      <c r="F457">
        <v>5.0540000000000003</v>
      </c>
      <c r="G457">
        <v>6.4619999999999997</v>
      </c>
      <c r="K457">
        <v>2.423</v>
      </c>
      <c r="L457">
        <v>252.4</v>
      </c>
      <c r="M457">
        <v>0</v>
      </c>
      <c r="O457">
        <v>150.69999999999999</v>
      </c>
      <c r="P457">
        <v>62.71</v>
      </c>
      <c r="Q457">
        <v>7.39</v>
      </c>
      <c r="S457">
        <v>7.07</v>
      </c>
      <c r="T457">
        <v>0</v>
      </c>
      <c r="U457">
        <v>80.900000000000006</v>
      </c>
      <c r="V457">
        <v>968</v>
      </c>
      <c r="W457">
        <v>45.4</v>
      </c>
      <c r="Y457">
        <v>14.05</v>
      </c>
    </row>
    <row r="458" spans="1:25" x14ac:dyDescent="0.25">
      <c r="A458">
        <v>2006</v>
      </c>
      <c r="B458">
        <v>320</v>
      </c>
      <c r="C458">
        <v>1500</v>
      </c>
      <c r="D458">
        <v>101.8</v>
      </c>
      <c r="E458">
        <v>38.840000000000003</v>
      </c>
      <c r="F458">
        <v>4.8460000000000001</v>
      </c>
      <c r="G458">
        <v>6.1609999999999996</v>
      </c>
      <c r="K458">
        <v>1.9339999999999999</v>
      </c>
      <c r="L458">
        <v>250.1</v>
      </c>
      <c r="M458">
        <v>0</v>
      </c>
      <c r="O458">
        <v>106.4</v>
      </c>
      <c r="P458">
        <v>50.04</v>
      </c>
      <c r="Q458">
        <v>7.41</v>
      </c>
      <c r="S458">
        <v>7.05</v>
      </c>
      <c r="T458">
        <v>0</v>
      </c>
      <c r="U458">
        <v>81.900000000000006</v>
      </c>
      <c r="V458">
        <v>968</v>
      </c>
      <c r="W458">
        <v>45.43</v>
      </c>
      <c r="Y458">
        <v>13.94</v>
      </c>
    </row>
    <row r="459" spans="1:25" x14ac:dyDescent="0.25">
      <c r="A459">
        <v>2006</v>
      </c>
      <c r="B459">
        <v>320</v>
      </c>
      <c r="C459">
        <v>1600</v>
      </c>
      <c r="D459">
        <v>62.86</v>
      </c>
      <c r="E459">
        <v>-10</v>
      </c>
      <c r="F459">
        <v>4.4749999999999996</v>
      </c>
      <c r="G459">
        <v>5.7539999999999996</v>
      </c>
      <c r="K459">
        <v>2.0569999999999999</v>
      </c>
      <c r="L459">
        <v>226.8</v>
      </c>
      <c r="M459">
        <v>0</v>
      </c>
      <c r="O459">
        <v>50.57</v>
      </c>
      <c r="P459">
        <v>40.9</v>
      </c>
      <c r="Q459">
        <v>7.4</v>
      </c>
      <c r="S459">
        <v>7.01</v>
      </c>
      <c r="T459">
        <v>0</v>
      </c>
      <c r="U459">
        <v>82.1</v>
      </c>
      <c r="V459">
        <v>969</v>
      </c>
      <c r="W459">
        <v>45.45</v>
      </c>
      <c r="Y459">
        <v>13.85</v>
      </c>
    </row>
    <row r="460" spans="1:25" x14ac:dyDescent="0.25">
      <c r="A460">
        <v>2006</v>
      </c>
      <c r="B460">
        <v>320</v>
      </c>
      <c r="C460">
        <v>1700</v>
      </c>
      <c r="D460">
        <v>-0.19900000000000001</v>
      </c>
      <c r="E460">
        <v>-53.03</v>
      </c>
      <c r="F460">
        <v>3.5830000000000002</v>
      </c>
      <c r="G460">
        <v>4.4859999999999998</v>
      </c>
      <c r="K460">
        <v>1.3540000000000001</v>
      </c>
      <c r="L460">
        <v>207.7</v>
      </c>
      <c r="M460">
        <v>0</v>
      </c>
      <c r="O460">
        <v>-8.2200000000000006</v>
      </c>
      <c r="P460">
        <v>-9.7200000000000006</v>
      </c>
      <c r="Q460">
        <v>7.34</v>
      </c>
      <c r="S460">
        <v>7.02</v>
      </c>
      <c r="T460">
        <v>0</v>
      </c>
      <c r="U460">
        <v>86.7</v>
      </c>
      <c r="V460">
        <v>968</v>
      </c>
      <c r="W460">
        <v>45.37</v>
      </c>
      <c r="Y460">
        <v>13.61</v>
      </c>
    </row>
    <row r="461" spans="1:25" x14ac:dyDescent="0.25">
      <c r="A461">
        <v>2006</v>
      </c>
      <c r="B461">
        <v>320</v>
      </c>
      <c r="C461">
        <v>1800</v>
      </c>
      <c r="D461">
        <v>-3.121</v>
      </c>
      <c r="E461">
        <v>-46.66</v>
      </c>
      <c r="F461">
        <v>3.3050000000000002</v>
      </c>
      <c r="G461">
        <v>4.1349999999999998</v>
      </c>
      <c r="K461">
        <v>1.4950000000000001</v>
      </c>
      <c r="L461">
        <v>181.8</v>
      </c>
      <c r="M461">
        <v>0</v>
      </c>
      <c r="O461">
        <v>-11.5</v>
      </c>
      <c r="P461">
        <v>-10.85</v>
      </c>
      <c r="Q461">
        <v>7.18</v>
      </c>
      <c r="S461">
        <v>6.9710000000000001</v>
      </c>
      <c r="T461">
        <v>0</v>
      </c>
      <c r="U461">
        <v>87.5</v>
      </c>
      <c r="V461">
        <v>968</v>
      </c>
      <c r="W461">
        <v>45.41</v>
      </c>
      <c r="Y461">
        <v>13.49</v>
      </c>
    </row>
    <row r="462" spans="1:25" x14ac:dyDescent="0.25">
      <c r="A462">
        <v>2006</v>
      </c>
      <c r="B462">
        <v>320</v>
      </c>
      <c r="C462">
        <v>1900</v>
      </c>
      <c r="D462">
        <v>-2.7410000000000001</v>
      </c>
      <c r="E462">
        <v>-37.53</v>
      </c>
      <c r="F462">
        <v>3.407</v>
      </c>
      <c r="G462">
        <v>4.2329999999999997</v>
      </c>
      <c r="K462">
        <v>1.2969999999999999</v>
      </c>
      <c r="L462">
        <v>189.6</v>
      </c>
      <c r="M462">
        <v>0</v>
      </c>
      <c r="O462">
        <v>-11.5</v>
      </c>
      <c r="P462">
        <v>-10.85</v>
      </c>
      <c r="Q462">
        <v>7.02</v>
      </c>
      <c r="S462">
        <v>7.03</v>
      </c>
      <c r="T462">
        <v>0</v>
      </c>
      <c r="U462">
        <v>87.6</v>
      </c>
      <c r="V462">
        <v>957</v>
      </c>
      <c r="W462">
        <v>44.41</v>
      </c>
      <c r="Y462">
        <v>13.4</v>
      </c>
    </row>
    <row r="463" spans="1:25" x14ac:dyDescent="0.25">
      <c r="A463">
        <v>2006</v>
      </c>
      <c r="B463">
        <v>320</v>
      </c>
      <c r="C463">
        <v>2000</v>
      </c>
      <c r="D463">
        <v>-2.0249999999999999</v>
      </c>
      <c r="E463">
        <v>-25.73</v>
      </c>
      <c r="F463">
        <v>3.7189999999999999</v>
      </c>
      <c r="G463">
        <v>4.6109999999999998</v>
      </c>
      <c r="K463">
        <v>1.0169999999999999</v>
      </c>
      <c r="L463">
        <v>192.8</v>
      </c>
      <c r="M463">
        <v>0</v>
      </c>
      <c r="O463">
        <v>-11.51</v>
      </c>
      <c r="P463">
        <v>-10.85</v>
      </c>
      <c r="Q463">
        <v>6.8559999999999999</v>
      </c>
      <c r="S463">
        <v>6.9480000000000004</v>
      </c>
      <c r="T463">
        <v>0</v>
      </c>
      <c r="U463">
        <v>86.9</v>
      </c>
      <c r="V463">
        <v>922</v>
      </c>
      <c r="W463">
        <v>41.17</v>
      </c>
      <c r="Y463">
        <v>13.31</v>
      </c>
    </row>
    <row r="464" spans="1:25" x14ac:dyDescent="0.25">
      <c r="A464">
        <v>2006</v>
      </c>
      <c r="B464">
        <v>320</v>
      </c>
      <c r="C464">
        <v>2100</v>
      </c>
      <c r="D464">
        <v>-2.3370000000000002</v>
      </c>
      <c r="E464">
        <v>-29.66</v>
      </c>
      <c r="F464">
        <v>4.1470000000000002</v>
      </c>
      <c r="G464">
        <v>5.0129999999999999</v>
      </c>
      <c r="K464">
        <v>1.8540000000000001</v>
      </c>
      <c r="L464">
        <v>189.6</v>
      </c>
      <c r="M464">
        <v>0.2</v>
      </c>
      <c r="O464">
        <v>-11.51</v>
      </c>
      <c r="P464">
        <v>-10.85</v>
      </c>
      <c r="Q464">
        <v>6.718</v>
      </c>
      <c r="S464">
        <v>6.9409999999999998</v>
      </c>
      <c r="T464">
        <v>0</v>
      </c>
      <c r="U464">
        <v>87.5</v>
      </c>
      <c r="V464">
        <v>924</v>
      </c>
      <c r="W464">
        <v>41.3</v>
      </c>
      <c r="Y464">
        <v>13.24</v>
      </c>
    </row>
    <row r="465" spans="1:25" x14ac:dyDescent="0.25">
      <c r="A465">
        <v>2006</v>
      </c>
      <c r="B465">
        <v>320</v>
      </c>
      <c r="C465">
        <v>2200</v>
      </c>
      <c r="D465">
        <v>-2.5670000000000002</v>
      </c>
      <c r="E465">
        <v>-36.130000000000003</v>
      </c>
      <c r="F465">
        <v>4.1040000000000001</v>
      </c>
      <c r="G465">
        <v>4.9039999999999999</v>
      </c>
      <c r="K465">
        <v>1.925</v>
      </c>
      <c r="L465">
        <v>201.1</v>
      </c>
      <c r="M465">
        <v>0</v>
      </c>
      <c r="O465">
        <v>-11.51</v>
      </c>
      <c r="P465">
        <v>-10.85</v>
      </c>
      <c r="Q465">
        <v>6.6079999999999997</v>
      </c>
      <c r="S465">
        <v>6.851</v>
      </c>
      <c r="T465">
        <v>0</v>
      </c>
      <c r="U465">
        <v>88.4</v>
      </c>
      <c r="V465">
        <v>923</v>
      </c>
      <c r="W465">
        <v>41.21</v>
      </c>
      <c r="Y465">
        <v>13.17</v>
      </c>
    </row>
    <row r="466" spans="1:25" x14ac:dyDescent="0.25">
      <c r="A466">
        <v>2006</v>
      </c>
      <c r="B466">
        <v>320</v>
      </c>
      <c r="C466">
        <v>2300</v>
      </c>
      <c r="D466">
        <v>-2.758</v>
      </c>
      <c r="E466">
        <v>-41.29</v>
      </c>
      <c r="F466">
        <v>4.0419999999999998</v>
      </c>
      <c r="G466">
        <v>4.8390000000000004</v>
      </c>
      <c r="K466">
        <v>1.9359999999999999</v>
      </c>
      <c r="L466">
        <v>211.2</v>
      </c>
      <c r="M466">
        <v>0</v>
      </c>
      <c r="O466">
        <v>-11.5</v>
      </c>
      <c r="P466">
        <v>-10.85</v>
      </c>
      <c r="Q466">
        <v>6.4950000000000001</v>
      </c>
      <c r="S466">
        <v>6.8029999999999999</v>
      </c>
      <c r="T466">
        <v>0</v>
      </c>
      <c r="U466">
        <v>88.4</v>
      </c>
      <c r="V466">
        <v>919</v>
      </c>
      <c r="W466">
        <v>40.950000000000003</v>
      </c>
      <c r="Y466">
        <v>13.1</v>
      </c>
    </row>
    <row r="467" spans="1:25" x14ac:dyDescent="0.25">
      <c r="A467">
        <v>2006</v>
      </c>
      <c r="B467">
        <v>320</v>
      </c>
      <c r="C467">
        <v>2400</v>
      </c>
      <c r="D467">
        <v>-1.9770000000000001</v>
      </c>
      <c r="E467">
        <v>-22.79</v>
      </c>
      <c r="F467">
        <v>3.9489999999999998</v>
      </c>
      <c r="G467">
        <v>4.742</v>
      </c>
      <c r="K467">
        <v>1.6240000000000001</v>
      </c>
      <c r="L467">
        <v>199.1</v>
      </c>
      <c r="M467">
        <v>0.2</v>
      </c>
      <c r="O467">
        <v>-11.51</v>
      </c>
      <c r="P467">
        <v>-10.85</v>
      </c>
      <c r="Q467">
        <v>6.383</v>
      </c>
      <c r="S467">
        <v>6.7229999999999999</v>
      </c>
      <c r="T467">
        <v>0</v>
      </c>
      <c r="U467">
        <v>88.4</v>
      </c>
      <c r="V467">
        <v>915</v>
      </c>
      <c r="W467">
        <v>40.57</v>
      </c>
      <c r="Y467">
        <v>13.05</v>
      </c>
    </row>
    <row r="468" spans="1:25" x14ac:dyDescent="0.25">
      <c r="A468">
        <v>2006</v>
      </c>
      <c r="B468">
        <v>320</v>
      </c>
      <c r="C468">
        <v>2400</v>
      </c>
      <c r="D468">
        <v>42.36</v>
      </c>
      <c r="E468">
        <v>8.77</v>
      </c>
      <c r="F468">
        <v>4.4020000000000001</v>
      </c>
      <c r="G468">
        <v>5.1360000000000001</v>
      </c>
      <c r="K468">
        <v>2.2429999999999999</v>
      </c>
      <c r="L468">
        <v>233.3</v>
      </c>
      <c r="M468">
        <v>1.6</v>
      </c>
      <c r="O468">
        <v>40.29</v>
      </c>
      <c r="P468">
        <v>11.73</v>
      </c>
      <c r="Q468">
        <v>7.2</v>
      </c>
      <c r="S468">
        <v>7.09</v>
      </c>
      <c r="T468">
        <v>0</v>
      </c>
      <c r="U468">
        <v>89.5</v>
      </c>
      <c r="V468">
        <v>958</v>
      </c>
      <c r="W468">
        <v>44.46</v>
      </c>
      <c r="Y468">
        <v>13.32</v>
      </c>
    </row>
    <row r="469" spans="1:25" x14ac:dyDescent="0.25">
      <c r="A469">
        <v>2006</v>
      </c>
      <c r="B469">
        <v>321</v>
      </c>
      <c r="C469">
        <v>100</v>
      </c>
      <c r="D469">
        <v>-1.944</v>
      </c>
      <c r="E469">
        <v>-22.1</v>
      </c>
      <c r="F469">
        <v>4.125</v>
      </c>
      <c r="G469">
        <v>4.968</v>
      </c>
      <c r="K469">
        <v>1.327</v>
      </c>
      <c r="L469">
        <v>201</v>
      </c>
      <c r="M469">
        <v>0</v>
      </c>
      <c r="O469">
        <v>-11.5</v>
      </c>
      <c r="P469">
        <v>-10.85</v>
      </c>
      <c r="Q469">
        <v>6.3</v>
      </c>
      <c r="S469">
        <v>6.6879999999999997</v>
      </c>
      <c r="T469">
        <v>0</v>
      </c>
      <c r="U469">
        <v>87.8</v>
      </c>
      <c r="V469">
        <v>912</v>
      </c>
      <c r="W469">
        <v>40.380000000000003</v>
      </c>
      <c r="Y469">
        <v>13.01</v>
      </c>
    </row>
    <row r="470" spans="1:25" x14ac:dyDescent="0.25">
      <c r="A470">
        <v>2006</v>
      </c>
      <c r="B470">
        <v>321</v>
      </c>
      <c r="C470">
        <v>200</v>
      </c>
      <c r="D470">
        <v>-2.4870000000000001</v>
      </c>
      <c r="E470">
        <v>-33.83</v>
      </c>
      <c r="F470">
        <v>3.7160000000000002</v>
      </c>
      <c r="G470">
        <v>4.5860000000000003</v>
      </c>
      <c r="K470">
        <v>1.026</v>
      </c>
      <c r="L470">
        <v>204.3</v>
      </c>
      <c r="M470">
        <v>0</v>
      </c>
      <c r="O470">
        <v>-11.5</v>
      </c>
      <c r="P470">
        <v>-10.85</v>
      </c>
      <c r="Q470">
        <v>6.2389999999999999</v>
      </c>
      <c r="S470">
        <v>6.6139999999999999</v>
      </c>
      <c r="T470">
        <v>0</v>
      </c>
      <c r="U470">
        <v>87.2</v>
      </c>
      <c r="V470">
        <v>910</v>
      </c>
      <c r="W470">
        <v>40.19</v>
      </c>
      <c r="Y470">
        <v>12.98</v>
      </c>
    </row>
    <row r="471" spans="1:25" x14ac:dyDescent="0.25">
      <c r="A471">
        <v>2006</v>
      </c>
      <c r="B471">
        <v>321</v>
      </c>
      <c r="C471">
        <v>300</v>
      </c>
      <c r="D471">
        <v>-1.8560000000000001</v>
      </c>
      <c r="E471">
        <v>-21.44</v>
      </c>
      <c r="F471">
        <v>3.6429999999999998</v>
      </c>
      <c r="G471">
        <v>4.41</v>
      </c>
      <c r="K471">
        <v>0.51900000000000002</v>
      </c>
      <c r="L471">
        <v>182.5</v>
      </c>
      <c r="M471">
        <v>0</v>
      </c>
      <c r="O471">
        <v>-11.51</v>
      </c>
      <c r="P471">
        <v>-10.85</v>
      </c>
      <c r="Q471">
        <v>6.173</v>
      </c>
      <c r="S471">
        <v>6.5490000000000004</v>
      </c>
      <c r="T471">
        <v>0</v>
      </c>
      <c r="U471">
        <v>88.6</v>
      </c>
      <c r="V471">
        <v>908</v>
      </c>
      <c r="W471">
        <v>40.08</v>
      </c>
      <c r="Y471">
        <v>12.96</v>
      </c>
    </row>
    <row r="472" spans="1:25" x14ac:dyDescent="0.25">
      <c r="A472">
        <v>2006</v>
      </c>
      <c r="B472">
        <v>321</v>
      </c>
      <c r="C472">
        <v>400</v>
      </c>
      <c r="D472">
        <v>-1.915</v>
      </c>
      <c r="E472">
        <v>-21.76</v>
      </c>
      <c r="F472">
        <v>4.0519999999999996</v>
      </c>
      <c r="G472">
        <v>4.8540000000000001</v>
      </c>
      <c r="K472">
        <v>0.93400000000000005</v>
      </c>
      <c r="L472">
        <v>241.8</v>
      </c>
      <c r="M472">
        <v>0.2</v>
      </c>
      <c r="O472">
        <v>-11.5</v>
      </c>
      <c r="P472">
        <v>-10.85</v>
      </c>
      <c r="Q472">
        <v>6.101</v>
      </c>
      <c r="S472">
        <v>6.5060000000000002</v>
      </c>
      <c r="T472">
        <v>0</v>
      </c>
      <c r="U472">
        <v>88.3</v>
      </c>
      <c r="V472">
        <v>908</v>
      </c>
      <c r="W472">
        <v>40.03</v>
      </c>
      <c r="Y472">
        <v>12.94</v>
      </c>
    </row>
    <row r="473" spans="1:25" x14ac:dyDescent="0.25">
      <c r="A473">
        <v>2006</v>
      </c>
      <c r="B473">
        <v>321</v>
      </c>
      <c r="C473">
        <v>500</v>
      </c>
      <c r="D473">
        <v>-1.0649999999999999</v>
      </c>
      <c r="E473">
        <v>-9</v>
      </c>
      <c r="F473">
        <v>4.3760000000000003</v>
      </c>
      <c r="G473">
        <v>5.0679999999999996</v>
      </c>
      <c r="K473">
        <v>1.1559999999999999</v>
      </c>
      <c r="L473">
        <v>238</v>
      </c>
      <c r="M473">
        <v>0.2</v>
      </c>
      <c r="O473">
        <v>-11.51</v>
      </c>
      <c r="P473">
        <v>-10.85</v>
      </c>
      <c r="Q473">
        <v>6.0359999999999996</v>
      </c>
      <c r="S473">
        <v>6.4880000000000004</v>
      </c>
      <c r="T473">
        <v>0</v>
      </c>
      <c r="U473">
        <v>90</v>
      </c>
      <c r="V473">
        <v>909</v>
      </c>
      <c r="W473">
        <v>40.1</v>
      </c>
      <c r="Y473">
        <v>12.93</v>
      </c>
    </row>
    <row r="474" spans="1:25" x14ac:dyDescent="0.25">
      <c r="A474">
        <v>2006</v>
      </c>
      <c r="B474">
        <v>321</v>
      </c>
      <c r="C474">
        <v>600</v>
      </c>
      <c r="D474">
        <v>-1.048</v>
      </c>
      <c r="E474">
        <v>-13.66</v>
      </c>
      <c r="F474">
        <v>4.0469999999999997</v>
      </c>
      <c r="G474">
        <v>4.6440000000000001</v>
      </c>
      <c r="K474">
        <v>0.627</v>
      </c>
      <c r="L474">
        <v>238.5</v>
      </c>
      <c r="M474">
        <v>0</v>
      </c>
      <c r="O474">
        <v>-11.5</v>
      </c>
      <c r="P474">
        <v>-10.85</v>
      </c>
      <c r="Q474">
        <v>6.0119999999999996</v>
      </c>
      <c r="S474">
        <v>6.3979999999999997</v>
      </c>
      <c r="T474">
        <v>0</v>
      </c>
      <c r="U474">
        <v>91.2</v>
      </c>
      <c r="V474">
        <v>908</v>
      </c>
      <c r="W474">
        <v>40.07</v>
      </c>
      <c r="Y474">
        <v>12.92</v>
      </c>
    </row>
    <row r="475" spans="1:25" x14ac:dyDescent="0.25">
      <c r="A475">
        <v>2006</v>
      </c>
      <c r="B475">
        <v>321</v>
      </c>
      <c r="C475">
        <v>700</v>
      </c>
      <c r="D475">
        <v>-0.99199999999999999</v>
      </c>
      <c r="E475">
        <v>-11.72</v>
      </c>
      <c r="F475">
        <v>3.3919999999999999</v>
      </c>
      <c r="G475">
        <v>3.84</v>
      </c>
      <c r="K475">
        <v>0.46700000000000003</v>
      </c>
      <c r="L475">
        <v>185.2</v>
      </c>
      <c r="M475">
        <v>0</v>
      </c>
      <c r="O475">
        <v>-11.5</v>
      </c>
      <c r="P475">
        <v>-10.85</v>
      </c>
      <c r="Q475">
        <v>6.0119999999999996</v>
      </c>
      <c r="S475">
        <v>6.3940000000000001</v>
      </c>
      <c r="T475">
        <v>0</v>
      </c>
      <c r="U475">
        <v>93.2</v>
      </c>
      <c r="V475">
        <v>905</v>
      </c>
      <c r="W475">
        <v>39.840000000000003</v>
      </c>
      <c r="Y475">
        <v>12.92</v>
      </c>
    </row>
    <row r="476" spans="1:25" x14ac:dyDescent="0.25">
      <c r="A476">
        <v>2006</v>
      </c>
      <c r="B476">
        <v>321</v>
      </c>
      <c r="C476">
        <v>800</v>
      </c>
      <c r="D476">
        <v>-0.34499999999999997</v>
      </c>
      <c r="E476">
        <v>-4.8979999999999997</v>
      </c>
      <c r="F476">
        <v>3.61</v>
      </c>
      <c r="G476">
        <v>3.9409999999999998</v>
      </c>
      <c r="K476">
        <v>1.3480000000000001</v>
      </c>
      <c r="L476">
        <v>314.7</v>
      </c>
      <c r="M476">
        <v>0.6</v>
      </c>
      <c r="O476">
        <v>-11.23</v>
      </c>
      <c r="P476">
        <v>-10.84</v>
      </c>
      <c r="Q476">
        <v>6.0129999999999999</v>
      </c>
      <c r="S476">
        <v>6.3090000000000002</v>
      </c>
      <c r="T476">
        <v>0</v>
      </c>
      <c r="U476">
        <v>94.9</v>
      </c>
      <c r="V476">
        <v>912</v>
      </c>
      <c r="W476">
        <v>40.33</v>
      </c>
      <c r="Y476">
        <v>12.91</v>
      </c>
    </row>
    <row r="477" spans="1:25" x14ac:dyDescent="0.25">
      <c r="A477">
        <v>2006</v>
      </c>
      <c r="B477">
        <v>321</v>
      </c>
      <c r="C477">
        <v>900</v>
      </c>
      <c r="D477">
        <v>2.004</v>
      </c>
      <c r="E477">
        <v>-4.1689999999999996</v>
      </c>
      <c r="F477">
        <v>2.5470000000000002</v>
      </c>
      <c r="G477">
        <v>2.82</v>
      </c>
      <c r="H477">
        <f>AVERAGE(G477:G501)</f>
        <v>3.0378400000000001</v>
      </c>
      <c r="I477">
        <f>MIN(G477:G501)</f>
        <v>0.83699999999999997</v>
      </c>
      <c r="J477">
        <f>MAX(G477:G501)</f>
        <v>4.9050000000000002</v>
      </c>
      <c r="K477">
        <v>2.1779999999999999</v>
      </c>
      <c r="L477">
        <v>321.8</v>
      </c>
      <c r="M477">
        <v>2.8</v>
      </c>
      <c r="N477">
        <f>SUM(M477:M501)</f>
        <v>15</v>
      </c>
      <c r="O477">
        <v>-7.85</v>
      </c>
      <c r="P477">
        <v>-9.9700000000000006</v>
      </c>
      <c r="Q477">
        <v>6.0119999999999996</v>
      </c>
      <c r="S477">
        <v>6.2880000000000003</v>
      </c>
      <c r="T477">
        <v>0</v>
      </c>
      <c r="U477">
        <v>95.6</v>
      </c>
      <c r="V477">
        <v>920</v>
      </c>
      <c r="W477">
        <v>41</v>
      </c>
      <c r="Y477">
        <v>12.91</v>
      </c>
    </row>
    <row r="478" spans="1:25" x14ac:dyDescent="0.25">
      <c r="A478">
        <v>2006</v>
      </c>
      <c r="B478">
        <v>321</v>
      </c>
      <c r="C478">
        <v>1000</v>
      </c>
      <c r="D478">
        <v>10.17</v>
      </c>
      <c r="E478">
        <v>0.60799999999999998</v>
      </c>
      <c r="F478">
        <v>0.59599999999999997</v>
      </c>
      <c r="G478">
        <v>0.83699999999999997</v>
      </c>
      <c r="K478">
        <v>2.0499999999999998</v>
      </c>
      <c r="L478">
        <v>310</v>
      </c>
      <c r="M478">
        <v>1.6</v>
      </c>
      <c r="O478">
        <v>6.06</v>
      </c>
      <c r="P478">
        <v>-7.1</v>
      </c>
      <c r="Q478">
        <v>5.9640000000000004</v>
      </c>
      <c r="S478">
        <v>6.18</v>
      </c>
      <c r="T478">
        <v>0</v>
      </c>
      <c r="U478">
        <v>95.8</v>
      </c>
      <c r="V478">
        <v>924</v>
      </c>
      <c r="W478">
        <v>41.3</v>
      </c>
      <c r="Y478">
        <v>12.9</v>
      </c>
    </row>
    <row r="479" spans="1:25" x14ac:dyDescent="0.25">
      <c r="A479">
        <v>2006</v>
      </c>
      <c r="B479">
        <v>321</v>
      </c>
      <c r="C479">
        <v>1100</v>
      </c>
      <c r="D479">
        <v>47.08</v>
      </c>
      <c r="E479">
        <v>28.39</v>
      </c>
      <c r="F479">
        <v>1.048</v>
      </c>
      <c r="G479">
        <v>1.304</v>
      </c>
      <c r="K479">
        <v>2.5129999999999999</v>
      </c>
      <c r="L479">
        <v>298</v>
      </c>
      <c r="M479">
        <v>2.2000000000000002</v>
      </c>
      <c r="O479">
        <v>57.31</v>
      </c>
      <c r="P479">
        <v>3.2450000000000001</v>
      </c>
      <c r="Q479">
        <v>5.8170000000000002</v>
      </c>
      <c r="S479">
        <v>6.056</v>
      </c>
      <c r="T479">
        <v>0</v>
      </c>
      <c r="U479">
        <v>95.6</v>
      </c>
      <c r="V479">
        <v>926</v>
      </c>
      <c r="W479">
        <v>41.46</v>
      </c>
      <c r="Y479">
        <v>13.01</v>
      </c>
    </row>
    <row r="480" spans="1:25" x14ac:dyDescent="0.25">
      <c r="A480">
        <v>2006</v>
      </c>
      <c r="B480">
        <v>321</v>
      </c>
      <c r="C480">
        <v>1200</v>
      </c>
      <c r="D480">
        <v>137.4</v>
      </c>
      <c r="E480">
        <v>86.6</v>
      </c>
      <c r="F480">
        <v>2.2589999999999999</v>
      </c>
      <c r="G480">
        <v>2.5249999999999999</v>
      </c>
      <c r="K480">
        <v>2.9550000000000001</v>
      </c>
      <c r="L480">
        <v>254.3</v>
      </c>
      <c r="M480">
        <v>0.4</v>
      </c>
      <c r="O480">
        <v>165.1</v>
      </c>
      <c r="P480">
        <v>35.08</v>
      </c>
      <c r="Q480">
        <v>5.6230000000000002</v>
      </c>
      <c r="S480">
        <v>5.94</v>
      </c>
      <c r="T480">
        <v>0</v>
      </c>
      <c r="U480">
        <v>95.7</v>
      </c>
      <c r="V480">
        <v>927</v>
      </c>
      <c r="W480">
        <v>41.6</v>
      </c>
      <c r="Y480">
        <v>13.61</v>
      </c>
    </row>
    <row r="481" spans="1:25" x14ac:dyDescent="0.25">
      <c r="A481">
        <v>2006</v>
      </c>
      <c r="B481">
        <v>321</v>
      </c>
      <c r="C481">
        <v>1300</v>
      </c>
      <c r="D481">
        <v>147.5</v>
      </c>
      <c r="E481">
        <v>84.6</v>
      </c>
      <c r="F481">
        <v>2.9670000000000001</v>
      </c>
      <c r="G481">
        <v>3.4470000000000001</v>
      </c>
      <c r="K481">
        <v>3.383</v>
      </c>
      <c r="L481">
        <v>238.2</v>
      </c>
      <c r="M481">
        <v>0</v>
      </c>
      <c r="O481">
        <v>170.5</v>
      </c>
      <c r="P481">
        <v>44.17</v>
      </c>
      <c r="Q481">
        <v>5.5960000000000001</v>
      </c>
      <c r="S481">
        <v>5.867</v>
      </c>
      <c r="T481">
        <v>0</v>
      </c>
      <c r="U481">
        <v>92.6</v>
      </c>
      <c r="V481">
        <v>929</v>
      </c>
      <c r="W481">
        <v>41.73</v>
      </c>
      <c r="Y481">
        <v>13.86</v>
      </c>
    </row>
    <row r="482" spans="1:25" x14ac:dyDescent="0.25">
      <c r="A482">
        <v>2006</v>
      </c>
      <c r="B482">
        <v>321</v>
      </c>
      <c r="C482">
        <v>1400</v>
      </c>
      <c r="D482">
        <v>211.1</v>
      </c>
      <c r="E482">
        <v>120.3</v>
      </c>
      <c r="F482">
        <v>3.7360000000000002</v>
      </c>
      <c r="G482">
        <v>4.5880000000000001</v>
      </c>
      <c r="K482">
        <v>3.0510000000000002</v>
      </c>
      <c r="L482">
        <v>239.3</v>
      </c>
      <c r="M482">
        <v>0</v>
      </c>
      <c r="O482">
        <v>237.8</v>
      </c>
      <c r="P482">
        <v>110.9</v>
      </c>
      <c r="Q482">
        <v>5.7220000000000004</v>
      </c>
      <c r="S482">
        <v>5.907</v>
      </c>
      <c r="T482">
        <v>0</v>
      </c>
      <c r="U482">
        <v>87.5</v>
      </c>
      <c r="V482">
        <v>929</v>
      </c>
      <c r="W482">
        <v>41.75</v>
      </c>
      <c r="Y482">
        <v>14.38</v>
      </c>
    </row>
    <row r="483" spans="1:25" x14ac:dyDescent="0.25">
      <c r="A483">
        <v>2006</v>
      </c>
      <c r="B483">
        <v>321</v>
      </c>
      <c r="C483">
        <v>1500</v>
      </c>
      <c r="D483">
        <v>138.1</v>
      </c>
      <c r="E483">
        <v>60.63</v>
      </c>
      <c r="F483">
        <v>3.8490000000000002</v>
      </c>
      <c r="G483">
        <v>4.9050000000000002</v>
      </c>
      <c r="K483">
        <v>2.9780000000000002</v>
      </c>
      <c r="L483">
        <v>239</v>
      </c>
      <c r="M483">
        <v>0</v>
      </c>
      <c r="O483">
        <v>142.30000000000001</v>
      </c>
      <c r="P483">
        <v>84.7</v>
      </c>
      <c r="Q483">
        <v>5.8540000000000001</v>
      </c>
      <c r="S483">
        <v>5.9480000000000004</v>
      </c>
      <c r="T483">
        <v>0</v>
      </c>
      <c r="U483">
        <v>84.7</v>
      </c>
      <c r="V483">
        <v>930</v>
      </c>
      <c r="W483">
        <v>41.81</v>
      </c>
      <c r="Y483">
        <v>14.25</v>
      </c>
    </row>
    <row r="484" spans="1:25" x14ac:dyDescent="0.25">
      <c r="A484">
        <v>2006</v>
      </c>
      <c r="B484">
        <v>321</v>
      </c>
      <c r="C484">
        <v>1600</v>
      </c>
      <c r="D484">
        <v>46.79</v>
      </c>
      <c r="E484">
        <v>-14.22</v>
      </c>
      <c r="F484">
        <v>3.3769999999999998</v>
      </c>
      <c r="G484">
        <v>4.4359999999999999</v>
      </c>
      <c r="K484">
        <v>1.921</v>
      </c>
      <c r="L484">
        <v>230.3</v>
      </c>
      <c r="M484">
        <v>0</v>
      </c>
      <c r="O484">
        <v>35.9</v>
      </c>
      <c r="P484">
        <v>19.93</v>
      </c>
      <c r="Q484">
        <v>5.9039999999999999</v>
      </c>
      <c r="S484">
        <v>5.8810000000000002</v>
      </c>
      <c r="T484">
        <v>0</v>
      </c>
      <c r="U484">
        <v>84.3</v>
      </c>
      <c r="V484">
        <v>930</v>
      </c>
      <c r="W484">
        <v>41.83</v>
      </c>
      <c r="Y484">
        <v>13.76</v>
      </c>
    </row>
    <row r="485" spans="1:25" x14ac:dyDescent="0.25">
      <c r="A485">
        <v>2006</v>
      </c>
      <c r="B485">
        <v>321</v>
      </c>
      <c r="C485">
        <v>1700</v>
      </c>
      <c r="D485">
        <v>0.40600000000000003</v>
      </c>
      <c r="E485">
        <v>-39.79</v>
      </c>
      <c r="F485">
        <v>2.7749999999999999</v>
      </c>
      <c r="G485">
        <v>3.6150000000000002</v>
      </c>
      <c r="K485">
        <v>1.486</v>
      </c>
      <c r="L485">
        <v>208.2</v>
      </c>
      <c r="M485">
        <v>0</v>
      </c>
      <c r="O485">
        <v>-7.84</v>
      </c>
      <c r="P485">
        <v>-9.7899999999999991</v>
      </c>
      <c r="Q485">
        <v>5.9029999999999996</v>
      </c>
      <c r="S485">
        <v>5.8840000000000003</v>
      </c>
      <c r="T485">
        <v>0</v>
      </c>
      <c r="U485">
        <v>87.1</v>
      </c>
      <c r="V485">
        <v>931</v>
      </c>
      <c r="W485">
        <v>41.9</v>
      </c>
      <c r="Y485">
        <v>13.61</v>
      </c>
    </row>
    <row r="486" spans="1:25" x14ac:dyDescent="0.25">
      <c r="A486">
        <v>2006</v>
      </c>
      <c r="B486">
        <v>321</v>
      </c>
      <c r="C486">
        <v>1800</v>
      </c>
      <c r="D486">
        <v>-1.339</v>
      </c>
      <c r="E486">
        <v>-18.559999999999999</v>
      </c>
      <c r="F486">
        <v>2.79</v>
      </c>
      <c r="G486">
        <v>3.51</v>
      </c>
      <c r="K486">
        <v>1.4850000000000001</v>
      </c>
      <c r="L486">
        <v>211.6</v>
      </c>
      <c r="M486">
        <v>0</v>
      </c>
      <c r="O486">
        <v>-11.5</v>
      </c>
      <c r="P486">
        <v>-10.85</v>
      </c>
      <c r="Q486">
        <v>5.8440000000000003</v>
      </c>
      <c r="S486">
        <v>5.8710000000000004</v>
      </c>
      <c r="T486">
        <v>0</v>
      </c>
      <c r="U486">
        <v>88.9</v>
      </c>
      <c r="V486">
        <v>932</v>
      </c>
      <c r="W486">
        <v>41.96</v>
      </c>
      <c r="Y486">
        <v>13.49</v>
      </c>
    </row>
    <row r="487" spans="1:25" x14ac:dyDescent="0.25">
      <c r="A487">
        <v>2006</v>
      </c>
      <c r="B487">
        <v>321</v>
      </c>
      <c r="C487">
        <v>1900</v>
      </c>
      <c r="D487">
        <v>-1.2130000000000001</v>
      </c>
      <c r="E487">
        <v>-19.97</v>
      </c>
      <c r="F487">
        <v>2.738</v>
      </c>
      <c r="G487">
        <v>3.56</v>
      </c>
      <c r="K487">
        <v>2.2280000000000002</v>
      </c>
      <c r="L487">
        <v>237.2</v>
      </c>
      <c r="M487">
        <v>0</v>
      </c>
      <c r="O487">
        <v>-11.5</v>
      </c>
      <c r="P487">
        <v>-10.85</v>
      </c>
      <c r="Q487">
        <v>5.75</v>
      </c>
      <c r="S487">
        <v>5.8540000000000001</v>
      </c>
      <c r="T487">
        <v>0</v>
      </c>
      <c r="U487">
        <v>87.4</v>
      </c>
      <c r="V487">
        <v>932</v>
      </c>
      <c r="W487">
        <v>42.03</v>
      </c>
      <c r="Y487">
        <v>13.4</v>
      </c>
    </row>
    <row r="488" spans="1:25" x14ac:dyDescent="0.25">
      <c r="A488">
        <v>2006</v>
      </c>
      <c r="B488">
        <v>321</v>
      </c>
      <c r="C488">
        <v>2000</v>
      </c>
      <c r="D488">
        <v>-1.597</v>
      </c>
      <c r="E488">
        <v>-32.96</v>
      </c>
      <c r="F488">
        <v>2.2010000000000001</v>
      </c>
      <c r="G488">
        <v>3.1480000000000001</v>
      </c>
      <c r="K488">
        <v>2.7349999999999999</v>
      </c>
      <c r="L488">
        <v>246.1</v>
      </c>
      <c r="M488">
        <v>0</v>
      </c>
      <c r="O488">
        <v>-11.51</v>
      </c>
      <c r="P488">
        <v>-10.85</v>
      </c>
      <c r="Q488">
        <v>5.6719999999999997</v>
      </c>
      <c r="S488">
        <v>5.8529999999999998</v>
      </c>
      <c r="T488">
        <v>0</v>
      </c>
      <c r="U488">
        <v>85.2</v>
      </c>
      <c r="V488">
        <v>933</v>
      </c>
      <c r="W488">
        <v>42.08</v>
      </c>
      <c r="Y488">
        <v>13.32</v>
      </c>
    </row>
    <row r="489" spans="1:25" x14ac:dyDescent="0.25">
      <c r="A489">
        <v>2006</v>
      </c>
      <c r="B489">
        <v>321</v>
      </c>
      <c r="C489">
        <v>2100</v>
      </c>
      <c r="D489">
        <v>-2.8069999999999999</v>
      </c>
      <c r="E489">
        <v>-53.48</v>
      </c>
      <c r="F489">
        <v>1.5169999999999999</v>
      </c>
      <c r="G489">
        <v>2.3029999999999999</v>
      </c>
      <c r="K489">
        <v>2.6869999999999998</v>
      </c>
      <c r="L489">
        <v>236.1</v>
      </c>
      <c r="M489">
        <v>0</v>
      </c>
      <c r="O489">
        <v>-11.51</v>
      </c>
      <c r="P489">
        <v>-10.85</v>
      </c>
      <c r="Q489">
        <v>5.585</v>
      </c>
      <c r="S489">
        <v>5.774</v>
      </c>
      <c r="T489">
        <v>0</v>
      </c>
      <c r="U489">
        <v>87.3</v>
      </c>
      <c r="V489">
        <v>933</v>
      </c>
      <c r="W489">
        <v>42.12</v>
      </c>
      <c r="Y489">
        <v>13.24</v>
      </c>
    </row>
    <row r="490" spans="1:25" x14ac:dyDescent="0.25">
      <c r="A490">
        <v>2006</v>
      </c>
      <c r="B490">
        <v>321</v>
      </c>
      <c r="C490">
        <v>2200</v>
      </c>
      <c r="D490">
        <v>-2.4649999999999999</v>
      </c>
      <c r="E490">
        <v>-48.39</v>
      </c>
      <c r="F490">
        <v>1.208</v>
      </c>
      <c r="G490">
        <v>1.869</v>
      </c>
      <c r="K490">
        <v>2.952</v>
      </c>
      <c r="L490">
        <v>226.4</v>
      </c>
      <c r="M490">
        <v>0</v>
      </c>
      <c r="O490">
        <v>-11.49</v>
      </c>
      <c r="P490">
        <v>-10.8</v>
      </c>
      <c r="Q490">
        <v>5.4649999999999999</v>
      </c>
      <c r="S490">
        <v>5.7729999999999997</v>
      </c>
      <c r="T490">
        <v>0</v>
      </c>
      <c r="U490">
        <v>89</v>
      </c>
      <c r="V490">
        <v>934</v>
      </c>
      <c r="W490">
        <v>42.2</v>
      </c>
      <c r="Y490">
        <v>13.16</v>
      </c>
    </row>
    <row r="491" spans="1:25" x14ac:dyDescent="0.25">
      <c r="A491">
        <v>2006</v>
      </c>
      <c r="B491">
        <v>321</v>
      </c>
      <c r="C491">
        <v>2300</v>
      </c>
      <c r="D491">
        <v>-2.3679999999999999</v>
      </c>
      <c r="E491">
        <v>-45.54</v>
      </c>
      <c r="F491">
        <v>1.0509999999999999</v>
      </c>
      <c r="G491">
        <v>1.7070000000000001</v>
      </c>
      <c r="K491">
        <v>3.2450000000000001</v>
      </c>
      <c r="L491">
        <v>219.6</v>
      </c>
      <c r="M491">
        <v>0</v>
      </c>
      <c r="O491">
        <v>-11.47</v>
      </c>
      <c r="P491">
        <v>-10.74</v>
      </c>
      <c r="Q491">
        <v>5.3220000000000001</v>
      </c>
      <c r="S491">
        <v>5.7160000000000002</v>
      </c>
      <c r="T491">
        <v>0</v>
      </c>
      <c r="U491">
        <v>89</v>
      </c>
      <c r="V491">
        <v>935</v>
      </c>
      <c r="W491">
        <v>42.26</v>
      </c>
      <c r="Y491">
        <v>13.1</v>
      </c>
    </row>
    <row r="492" spans="1:25" x14ac:dyDescent="0.25">
      <c r="A492">
        <v>2006</v>
      </c>
      <c r="B492">
        <v>321</v>
      </c>
      <c r="C492">
        <v>2400</v>
      </c>
      <c r="D492">
        <v>-2.3620000000000001</v>
      </c>
      <c r="E492">
        <v>-43.18</v>
      </c>
      <c r="F492">
        <v>1.2969999999999999</v>
      </c>
      <c r="G492">
        <v>1.968</v>
      </c>
      <c r="K492">
        <v>3.6110000000000002</v>
      </c>
      <c r="L492">
        <v>222.5</v>
      </c>
      <c r="M492">
        <v>0</v>
      </c>
      <c r="O492">
        <v>-11.44</v>
      </c>
      <c r="P492">
        <v>-10.7</v>
      </c>
      <c r="Q492">
        <v>5.1929999999999996</v>
      </c>
      <c r="S492">
        <v>5.68</v>
      </c>
      <c r="T492">
        <v>0</v>
      </c>
      <c r="U492">
        <v>88.9</v>
      </c>
      <c r="V492">
        <v>936</v>
      </c>
      <c r="W492">
        <v>42.38</v>
      </c>
      <c r="Y492">
        <v>13.04</v>
      </c>
    </row>
    <row r="493" spans="1:25" x14ac:dyDescent="0.25">
      <c r="A493">
        <v>2006</v>
      </c>
      <c r="B493">
        <v>321</v>
      </c>
      <c r="C493">
        <v>2400</v>
      </c>
      <c r="D493">
        <v>29.78</v>
      </c>
      <c r="E493">
        <v>-3.2320000000000002</v>
      </c>
      <c r="F493">
        <v>2.7879999999999998</v>
      </c>
      <c r="G493">
        <v>3.452</v>
      </c>
      <c r="K493">
        <v>2.036</v>
      </c>
      <c r="L493">
        <v>240.6</v>
      </c>
      <c r="M493">
        <v>8</v>
      </c>
      <c r="O493">
        <v>26.13</v>
      </c>
      <c r="P493">
        <v>4.53</v>
      </c>
      <c r="Q493">
        <v>5.8380000000000001</v>
      </c>
      <c r="S493">
        <v>6.101</v>
      </c>
      <c r="T493">
        <v>0</v>
      </c>
      <c r="U493">
        <v>89.8</v>
      </c>
      <c r="V493">
        <v>923</v>
      </c>
      <c r="W493">
        <v>41.27</v>
      </c>
      <c r="Y493">
        <v>13.27</v>
      </c>
    </row>
    <row r="494" spans="1:25" x14ac:dyDescent="0.25">
      <c r="A494">
        <v>2006</v>
      </c>
      <c r="B494">
        <v>322</v>
      </c>
      <c r="C494">
        <v>100</v>
      </c>
      <c r="D494">
        <v>-2.4500000000000002</v>
      </c>
      <c r="E494">
        <v>-40.200000000000003</v>
      </c>
      <c r="F494">
        <v>1.863</v>
      </c>
      <c r="G494">
        <v>2.7130000000000001</v>
      </c>
      <c r="K494">
        <v>3.5379999999999998</v>
      </c>
      <c r="L494">
        <v>222.9</v>
      </c>
      <c r="M494">
        <v>0</v>
      </c>
      <c r="O494">
        <v>-11.43</v>
      </c>
      <c r="P494">
        <v>-10.71</v>
      </c>
      <c r="Q494">
        <v>5.07</v>
      </c>
      <c r="S494">
        <v>5.6280000000000001</v>
      </c>
      <c r="T494">
        <v>0</v>
      </c>
      <c r="U494">
        <v>86.4</v>
      </c>
      <c r="V494">
        <v>937</v>
      </c>
      <c r="W494">
        <v>42.46</v>
      </c>
      <c r="Y494">
        <v>12.99</v>
      </c>
    </row>
    <row r="495" spans="1:25" x14ac:dyDescent="0.25">
      <c r="A495">
        <v>2006</v>
      </c>
      <c r="B495">
        <v>322</v>
      </c>
      <c r="C495">
        <v>200</v>
      </c>
      <c r="D495">
        <v>-2.5859999999999999</v>
      </c>
      <c r="E495">
        <v>-46.92</v>
      </c>
      <c r="F495">
        <v>1.982</v>
      </c>
      <c r="G495">
        <v>2.911</v>
      </c>
      <c r="K495">
        <v>4.16</v>
      </c>
      <c r="L495">
        <v>219.9</v>
      </c>
      <c r="M495">
        <v>0</v>
      </c>
      <c r="O495">
        <v>-11.46</v>
      </c>
      <c r="P495">
        <v>-10.74</v>
      </c>
      <c r="Q495">
        <v>4.9480000000000004</v>
      </c>
      <c r="S495">
        <v>5.5590000000000002</v>
      </c>
      <c r="T495">
        <v>0</v>
      </c>
      <c r="U495">
        <v>85.3</v>
      </c>
      <c r="V495">
        <v>937</v>
      </c>
      <c r="W495">
        <v>42.45</v>
      </c>
      <c r="Y495">
        <v>12.96</v>
      </c>
    </row>
    <row r="496" spans="1:25" x14ac:dyDescent="0.25">
      <c r="A496">
        <v>2006</v>
      </c>
      <c r="B496">
        <v>322</v>
      </c>
      <c r="C496">
        <v>300</v>
      </c>
      <c r="D496">
        <v>-1.347</v>
      </c>
      <c r="E496">
        <v>-19.93</v>
      </c>
      <c r="F496">
        <v>2.3260000000000001</v>
      </c>
      <c r="G496">
        <v>3.1419999999999999</v>
      </c>
      <c r="K496">
        <v>4.41</v>
      </c>
      <c r="L496">
        <v>212.5</v>
      </c>
      <c r="M496">
        <v>0</v>
      </c>
      <c r="O496">
        <v>-11.48</v>
      </c>
      <c r="P496">
        <v>-10.77</v>
      </c>
      <c r="Q496">
        <v>4.8440000000000003</v>
      </c>
      <c r="S496">
        <v>5.4779999999999998</v>
      </c>
      <c r="T496">
        <v>0</v>
      </c>
      <c r="U496">
        <v>87.2</v>
      </c>
      <c r="V496">
        <v>939</v>
      </c>
      <c r="W496">
        <v>42.6</v>
      </c>
      <c r="Y496">
        <v>12.93</v>
      </c>
    </row>
    <row r="497" spans="1:25" x14ac:dyDescent="0.25">
      <c r="A497">
        <v>2006</v>
      </c>
      <c r="B497">
        <v>322</v>
      </c>
      <c r="C497">
        <v>400</v>
      </c>
      <c r="D497">
        <v>-1.607</v>
      </c>
      <c r="E497">
        <v>-30.47</v>
      </c>
      <c r="F497">
        <v>2.11</v>
      </c>
      <c r="G497">
        <v>2.8420000000000001</v>
      </c>
      <c r="K497">
        <v>3.5449999999999999</v>
      </c>
      <c r="L497">
        <v>226.4</v>
      </c>
      <c r="M497">
        <v>0</v>
      </c>
      <c r="O497">
        <v>-11.49</v>
      </c>
      <c r="P497">
        <v>-10.81</v>
      </c>
      <c r="Q497">
        <v>4.7859999999999996</v>
      </c>
      <c r="S497">
        <v>5.44</v>
      </c>
      <c r="T497">
        <v>0</v>
      </c>
      <c r="U497">
        <v>88.4</v>
      </c>
      <c r="V497">
        <v>926</v>
      </c>
      <c r="W497">
        <v>41.52</v>
      </c>
      <c r="Y497">
        <v>12.91</v>
      </c>
    </row>
    <row r="498" spans="1:25" x14ac:dyDescent="0.25">
      <c r="A498">
        <v>2006</v>
      </c>
      <c r="B498">
        <v>322</v>
      </c>
      <c r="C498">
        <v>500</v>
      </c>
      <c r="D498">
        <v>-0.47499999999999998</v>
      </c>
      <c r="E498">
        <v>-3.2669999999999999</v>
      </c>
      <c r="F498">
        <v>2.657</v>
      </c>
      <c r="G498">
        <v>3.3690000000000002</v>
      </c>
      <c r="K498">
        <v>3.9649999999999999</v>
      </c>
      <c r="L498">
        <v>235.6</v>
      </c>
      <c r="M498">
        <v>0</v>
      </c>
      <c r="O498">
        <v>-11.49</v>
      </c>
      <c r="P498">
        <v>-10.82</v>
      </c>
      <c r="Q498">
        <v>4.7380000000000004</v>
      </c>
      <c r="S498">
        <v>5.36</v>
      </c>
      <c r="T498">
        <v>0</v>
      </c>
      <c r="U498">
        <v>88.9</v>
      </c>
      <c r="V498">
        <v>923</v>
      </c>
      <c r="W498">
        <v>41.27</v>
      </c>
      <c r="Y498">
        <v>12.9</v>
      </c>
    </row>
    <row r="499" spans="1:25" x14ac:dyDescent="0.25">
      <c r="A499">
        <v>2006</v>
      </c>
      <c r="B499">
        <v>322</v>
      </c>
      <c r="C499">
        <v>600</v>
      </c>
      <c r="D499">
        <v>-0.77900000000000003</v>
      </c>
      <c r="E499">
        <v>-13.42</v>
      </c>
      <c r="F499">
        <v>3.113</v>
      </c>
      <c r="G499">
        <v>3.746</v>
      </c>
      <c r="K499">
        <v>4.3410000000000002</v>
      </c>
      <c r="L499">
        <v>246.7</v>
      </c>
      <c r="M499">
        <v>0</v>
      </c>
      <c r="O499">
        <v>-11.5</v>
      </c>
      <c r="P499">
        <v>-10.83</v>
      </c>
      <c r="Q499">
        <v>4.7480000000000002</v>
      </c>
      <c r="S499">
        <v>5.3559999999999999</v>
      </c>
      <c r="T499">
        <v>0</v>
      </c>
      <c r="U499">
        <v>90.3</v>
      </c>
      <c r="V499">
        <v>919</v>
      </c>
      <c r="W499">
        <v>40.950000000000003</v>
      </c>
      <c r="Y499">
        <v>12.89</v>
      </c>
    </row>
    <row r="500" spans="1:25" x14ac:dyDescent="0.25">
      <c r="A500">
        <v>2006</v>
      </c>
      <c r="B500">
        <v>322</v>
      </c>
      <c r="C500">
        <v>700</v>
      </c>
      <c r="D500">
        <v>-1.474</v>
      </c>
      <c r="E500">
        <v>-30.91</v>
      </c>
      <c r="F500">
        <v>3.2120000000000002</v>
      </c>
      <c r="G500">
        <v>3.6379999999999999</v>
      </c>
      <c r="K500">
        <v>4.2469999999999999</v>
      </c>
      <c r="L500">
        <v>258.60000000000002</v>
      </c>
      <c r="M500">
        <v>0</v>
      </c>
      <c r="O500">
        <v>-11.5</v>
      </c>
      <c r="P500">
        <v>-10.84</v>
      </c>
      <c r="Q500">
        <v>4.7480000000000002</v>
      </c>
      <c r="S500">
        <v>5.306</v>
      </c>
      <c r="T500">
        <v>0</v>
      </c>
      <c r="U500">
        <v>93.4</v>
      </c>
      <c r="V500">
        <v>916</v>
      </c>
      <c r="W500">
        <v>40.700000000000003</v>
      </c>
      <c r="Y500">
        <v>12.89</v>
      </c>
    </row>
    <row r="501" spans="1:25" x14ac:dyDescent="0.25">
      <c r="A501">
        <v>2006</v>
      </c>
      <c r="B501">
        <v>322</v>
      </c>
      <c r="C501">
        <v>800</v>
      </c>
      <c r="D501">
        <v>-0.39600000000000002</v>
      </c>
      <c r="E501">
        <v>-23.26</v>
      </c>
      <c r="F501">
        <v>3.2570000000000001</v>
      </c>
      <c r="G501">
        <v>3.5910000000000002</v>
      </c>
      <c r="K501">
        <v>4.2839999999999998</v>
      </c>
      <c r="L501">
        <v>258.8</v>
      </c>
      <c r="M501">
        <v>0</v>
      </c>
      <c r="O501">
        <v>-10.28</v>
      </c>
      <c r="P501">
        <v>-10.45</v>
      </c>
      <c r="Q501">
        <v>4.7460000000000004</v>
      </c>
      <c r="S501">
        <v>5.2130000000000001</v>
      </c>
      <c r="T501">
        <v>0</v>
      </c>
      <c r="U501">
        <v>94.8</v>
      </c>
      <c r="V501">
        <v>911</v>
      </c>
      <c r="W501">
        <v>40.28</v>
      </c>
      <c r="Y501">
        <v>12.88</v>
      </c>
    </row>
    <row r="502" spans="1:25" x14ac:dyDescent="0.25">
      <c r="A502">
        <v>2006</v>
      </c>
      <c r="B502">
        <v>322</v>
      </c>
      <c r="C502">
        <v>900</v>
      </c>
      <c r="D502">
        <v>20.47</v>
      </c>
      <c r="E502">
        <v>-32.619999999999997</v>
      </c>
      <c r="F502">
        <v>2.6669999999999998</v>
      </c>
      <c r="G502">
        <v>2.923</v>
      </c>
      <c r="H502">
        <f>AVERAGE(G502:G526)</f>
        <v>2.9127599999999991</v>
      </c>
      <c r="I502">
        <f>MIN(G502:G526)</f>
        <v>1.0169999999999999</v>
      </c>
      <c r="J502">
        <f>MAX(G502:G526)</f>
        <v>4.8</v>
      </c>
      <c r="K502">
        <v>3.3140000000000001</v>
      </c>
      <c r="L502">
        <v>259.7</v>
      </c>
      <c r="M502">
        <v>0</v>
      </c>
      <c r="N502">
        <f>SUM(M502:M526)</f>
        <v>1.2000000000000002</v>
      </c>
      <c r="O502">
        <v>9.82</v>
      </c>
      <c r="P502">
        <v>-4.4989999999999997</v>
      </c>
      <c r="Q502">
        <v>4.7530000000000001</v>
      </c>
      <c r="S502">
        <v>5.2149999999999999</v>
      </c>
      <c r="T502">
        <v>0</v>
      </c>
      <c r="U502">
        <v>95.9</v>
      </c>
      <c r="V502">
        <v>907</v>
      </c>
      <c r="W502">
        <v>39.979999999999997</v>
      </c>
      <c r="Y502">
        <v>12.91</v>
      </c>
    </row>
    <row r="503" spans="1:25" x14ac:dyDescent="0.25">
      <c r="A503">
        <v>2006</v>
      </c>
      <c r="B503">
        <v>322</v>
      </c>
      <c r="C503">
        <v>1000</v>
      </c>
      <c r="D503">
        <v>89.8</v>
      </c>
      <c r="E503">
        <v>15.39</v>
      </c>
      <c r="F503">
        <v>3.028</v>
      </c>
      <c r="G503">
        <v>3.2240000000000002</v>
      </c>
      <c r="K503">
        <v>3.2490000000000001</v>
      </c>
      <c r="L503">
        <v>255.3</v>
      </c>
      <c r="M503">
        <v>0</v>
      </c>
      <c r="O503">
        <v>91.4</v>
      </c>
      <c r="P503">
        <v>26.5</v>
      </c>
      <c r="Q503">
        <v>4.7610000000000001</v>
      </c>
      <c r="S503">
        <v>5.2430000000000003</v>
      </c>
      <c r="T503">
        <v>0</v>
      </c>
      <c r="U503">
        <v>96.9</v>
      </c>
      <c r="V503">
        <v>904</v>
      </c>
      <c r="W503">
        <v>39.76</v>
      </c>
      <c r="Y503">
        <v>13.59</v>
      </c>
    </row>
    <row r="504" spans="1:25" x14ac:dyDescent="0.25">
      <c r="A504">
        <v>2006</v>
      </c>
      <c r="B504">
        <v>322</v>
      </c>
      <c r="C504">
        <v>1100</v>
      </c>
      <c r="D504">
        <v>164.5</v>
      </c>
      <c r="E504">
        <v>106.5</v>
      </c>
      <c r="F504">
        <v>4.1859999999999999</v>
      </c>
      <c r="G504">
        <v>4.5949999999999998</v>
      </c>
      <c r="K504">
        <v>2.6110000000000002</v>
      </c>
      <c r="L504">
        <v>257.8</v>
      </c>
      <c r="M504">
        <v>0</v>
      </c>
      <c r="O504">
        <v>204.4</v>
      </c>
      <c r="P504">
        <v>36.9</v>
      </c>
      <c r="Q504">
        <v>4.7549999999999999</v>
      </c>
      <c r="S504">
        <v>5.2649999999999997</v>
      </c>
      <c r="T504">
        <v>0</v>
      </c>
      <c r="U504">
        <v>93.9</v>
      </c>
      <c r="V504">
        <v>902</v>
      </c>
      <c r="W504">
        <v>39.619999999999997</v>
      </c>
      <c r="Y504">
        <v>13.73</v>
      </c>
    </row>
    <row r="505" spans="1:25" x14ac:dyDescent="0.25">
      <c r="A505">
        <v>2006</v>
      </c>
      <c r="B505">
        <v>322</v>
      </c>
      <c r="C505">
        <v>1200</v>
      </c>
      <c r="D505">
        <v>97.6</v>
      </c>
      <c r="E505">
        <v>63.28</v>
      </c>
      <c r="F505">
        <v>4.3360000000000003</v>
      </c>
      <c r="G505">
        <v>4.774</v>
      </c>
      <c r="K505">
        <v>2.819</v>
      </c>
      <c r="L505">
        <v>244.7</v>
      </c>
      <c r="M505">
        <v>0</v>
      </c>
      <c r="O505">
        <v>114.2</v>
      </c>
      <c r="P505">
        <v>15.33</v>
      </c>
      <c r="Q505">
        <v>4.8639999999999999</v>
      </c>
      <c r="S505">
        <v>5.2720000000000002</v>
      </c>
      <c r="T505">
        <v>0</v>
      </c>
      <c r="U505">
        <v>93.6</v>
      </c>
      <c r="V505">
        <v>901</v>
      </c>
      <c r="W505">
        <v>39.51</v>
      </c>
      <c r="Y505">
        <v>13.6</v>
      </c>
    </row>
    <row r="506" spans="1:25" x14ac:dyDescent="0.25">
      <c r="A506">
        <v>2006</v>
      </c>
      <c r="B506">
        <v>322</v>
      </c>
      <c r="C506">
        <v>1300</v>
      </c>
      <c r="D506">
        <v>69.349999999999994</v>
      </c>
      <c r="E506">
        <v>40.9</v>
      </c>
      <c r="F506">
        <v>4.4610000000000003</v>
      </c>
      <c r="G506">
        <v>4.8</v>
      </c>
      <c r="K506">
        <v>2.7559999999999998</v>
      </c>
      <c r="L506">
        <v>241.3</v>
      </c>
      <c r="M506">
        <v>0</v>
      </c>
      <c r="O506">
        <v>83.8</v>
      </c>
      <c r="P506">
        <v>9.7899999999999991</v>
      </c>
      <c r="Q506">
        <v>5.0629999999999997</v>
      </c>
      <c r="S506">
        <v>5.26</v>
      </c>
      <c r="T506">
        <v>0</v>
      </c>
      <c r="U506">
        <v>95</v>
      </c>
      <c r="V506">
        <v>898</v>
      </c>
      <c r="W506">
        <v>39.32</v>
      </c>
      <c r="Y506">
        <v>13.53</v>
      </c>
    </row>
    <row r="507" spans="1:25" x14ac:dyDescent="0.25">
      <c r="A507">
        <v>2006</v>
      </c>
      <c r="B507">
        <v>322</v>
      </c>
      <c r="C507">
        <v>1400</v>
      </c>
      <c r="D507">
        <v>67.37</v>
      </c>
      <c r="E507">
        <v>39.76</v>
      </c>
      <c r="F507">
        <v>4.3040000000000003</v>
      </c>
      <c r="G507">
        <v>4.4169999999999998</v>
      </c>
      <c r="K507">
        <v>3.2509999999999999</v>
      </c>
      <c r="L507">
        <v>264</v>
      </c>
      <c r="M507">
        <v>0</v>
      </c>
      <c r="O507">
        <v>78.3</v>
      </c>
      <c r="P507">
        <v>6.5659999999999998</v>
      </c>
      <c r="Q507">
        <v>5.2409999999999997</v>
      </c>
      <c r="S507">
        <v>5.2610000000000001</v>
      </c>
      <c r="T507">
        <v>0</v>
      </c>
      <c r="U507">
        <v>98.3</v>
      </c>
      <c r="V507">
        <v>897</v>
      </c>
      <c r="W507">
        <v>39.229999999999997</v>
      </c>
      <c r="Y507">
        <v>13.47</v>
      </c>
    </row>
    <row r="508" spans="1:25" x14ac:dyDescent="0.25">
      <c r="A508">
        <v>2006</v>
      </c>
      <c r="B508">
        <v>322</v>
      </c>
      <c r="C508">
        <v>1500</v>
      </c>
      <c r="D508">
        <v>59.64</v>
      </c>
      <c r="E508">
        <v>26.67</v>
      </c>
      <c r="F508">
        <v>3.5190000000000001</v>
      </c>
      <c r="G508">
        <v>3.726</v>
      </c>
      <c r="K508">
        <v>3.363</v>
      </c>
      <c r="L508">
        <v>281.8</v>
      </c>
      <c r="M508">
        <v>0</v>
      </c>
      <c r="O508">
        <v>64.7</v>
      </c>
      <c r="P508">
        <v>8.07</v>
      </c>
      <c r="Q508">
        <v>5.3760000000000003</v>
      </c>
      <c r="S508">
        <v>5.2690000000000001</v>
      </c>
      <c r="T508">
        <v>0</v>
      </c>
      <c r="U508">
        <v>96.8</v>
      </c>
      <c r="V508">
        <v>897</v>
      </c>
      <c r="W508">
        <v>39.21</v>
      </c>
      <c r="Y508">
        <v>13.49</v>
      </c>
    </row>
    <row r="509" spans="1:25" x14ac:dyDescent="0.25">
      <c r="A509">
        <v>2006</v>
      </c>
      <c r="B509">
        <v>322</v>
      </c>
      <c r="C509">
        <v>1600</v>
      </c>
      <c r="D509">
        <v>38.72</v>
      </c>
      <c r="E509">
        <v>-14.08</v>
      </c>
      <c r="F509">
        <v>3.028</v>
      </c>
      <c r="G509">
        <v>3.3460000000000001</v>
      </c>
      <c r="K509">
        <v>2.7130000000000001</v>
      </c>
      <c r="L509">
        <v>268.8</v>
      </c>
      <c r="M509">
        <v>0</v>
      </c>
      <c r="O509">
        <v>32.549999999999997</v>
      </c>
      <c r="P509">
        <v>15.92</v>
      </c>
      <c r="Q509">
        <v>5.4859999999999998</v>
      </c>
      <c r="S509">
        <v>5.3079999999999998</v>
      </c>
      <c r="T509">
        <v>0</v>
      </c>
      <c r="U509">
        <v>95</v>
      </c>
      <c r="V509">
        <v>895</v>
      </c>
      <c r="W509">
        <v>39.049999999999997</v>
      </c>
      <c r="Y509">
        <v>13.64</v>
      </c>
    </row>
    <row r="510" spans="1:25" x14ac:dyDescent="0.25">
      <c r="A510">
        <v>2006</v>
      </c>
      <c r="B510">
        <v>322</v>
      </c>
      <c r="C510">
        <v>1700</v>
      </c>
      <c r="D510">
        <v>0.108</v>
      </c>
      <c r="E510">
        <v>-32.11</v>
      </c>
      <c r="F510">
        <v>2.9</v>
      </c>
      <c r="G510">
        <v>3.1829999999999998</v>
      </c>
      <c r="K510">
        <v>2.7919999999999998</v>
      </c>
      <c r="L510">
        <v>252.3</v>
      </c>
      <c r="M510">
        <v>0.2</v>
      </c>
      <c r="O510">
        <v>-8.64</v>
      </c>
      <c r="P510">
        <v>-10.08</v>
      </c>
      <c r="Q510">
        <v>5.4749999999999996</v>
      </c>
      <c r="S510">
        <v>5.3289999999999997</v>
      </c>
      <c r="T510">
        <v>0</v>
      </c>
      <c r="U510">
        <v>95.5</v>
      </c>
      <c r="V510">
        <v>896</v>
      </c>
      <c r="W510">
        <v>39.159999999999997</v>
      </c>
      <c r="Y510">
        <v>13.46</v>
      </c>
    </row>
    <row r="511" spans="1:25" x14ac:dyDescent="0.25">
      <c r="A511">
        <v>2006</v>
      </c>
      <c r="B511">
        <v>322</v>
      </c>
      <c r="C511">
        <v>1800</v>
      </c>
      <c r="D511">
        <v>-2.6909999999999998</v>
      </c>
      <c r="E511">
        <v>-39.74</v>
      </c>
      <c r="F511">
        <v>2.5579999999999998</v>
      </c>
      <c r="G511">
        <v>2.7650000000000001</v>
      </c>
      <c r="K511">
        <v>1.6970000000000001</v>
      </c>
      <c r="L511">
        <v>237.6</v>
      </c>
      <c r="M511">
        <v>0</v>
      </c>
      <c r="O511">
        <v>-11.51</v>
      </c>
      <c r="P511">
        <v>-10.85</v>
      </c>
      <c r="Q511">
        <v>5.3869999999999996</v>
      </c>
      <c r="S511">
        <v>5.3579999999999997</v>
      </c>
      <c r="T511">
        <v>0</v>
      </c>
      <c r="U511">
        <v>96.7</v>
      </c>
      <c r="V511">
        <v>896</v>
      </c>
      <c r="W511">
        <v>39.14</v>
      </c>
      <c r="Y511">
        <v>13.37</v>
      </c>
    </row>
    <row r="512" spans="1:25" x14ac:dyDescent="0.25">
      <c r="A512">
        <v>2006</v>
      </c>
      <c r="B512">
        <v>322</v>
      </c>
      <c r="C512">
        <v>1900</v>
      </c>
      <c r="D512">
        <v>-2.984</v>
      </c>
      <c r="E512">
        <v>-41.13</v>
      </c>
      <c r="F512">
        <v>1.887</v>
      </c>
      <c r="G512">
        <v>2.1779999999999999</v>
      </c>
      <c r="K512">
        <v>1.339</v>
      </c>
      <c r="L512">
        <v>206.6</v>
      </c>
      <c r="M512">
        <v>0</v>
      </c>
      <c r="O512">
        <v>-11.49</v>
      </c>
      <c r="P512">
        <v>-10.83</v>
      </c>
      <c r="Q512">
        <v>5.2839999999999998</v>
      </c>
      <c r="S512">
        <v>5.3559999999999999</v>
      </c>
      <c r="T512">
        <v>0</v>
      </c>
      <c r="U512">
        <v>95.2</v>
      </c>
      <c r="V512">
        <v>894</v>
      </c>
      <c r="W512">
        <v>39</v>
      </c>
      <c r="Y512">
        <v>13.29</v>
      </c>
    </row>
    <row r="513" spans="1:25" x14ac:dyDescent="0.25">
      <c r="A513">
        <v>2006</v>
      </c>
      <c r="B513">
        <v>322</v>
      </c>
      <c r="C513">
        <v>2000</v>
      </c>
      <c r="D513">
        <v>-2.738</v>
      </c>
      <c r="E513">
        <v>-35.14</v>
      </c>
      <c r="F513">
        <v>2.032</v>
      </c>
      <c r="G513">
        <v>2.367</v>
      </c>
      <c r="K513">
        <v>1.6719999999999999</v>
      </c>
      <c r="L513">
        <v>214.6</v>
      </c>
      <c r="M513">
        <v>0</v>
      </c>
      <c r="O513">
        <v>-11.47</v>
      </c>
      <c r="P513">
        <v>-10.79</v>
      </c>
      <c r="Q513">
        <v>5.1619999999999999</v>
      </c>
      <c r="S513">
        <v>5.3819999999999997</v>
      </c>
      <c r="T513">
        <v>0</v>
      </c>
      <c r="U513">
        <v>94.5</v>
      </c>
      <c r="V513">
        <v>892</v>
      </c>
      <c r="W513">
        <v>38.869999999999997</v>
      </c>
      <c r="Y513">
        <v>13.21</v>
      </c>
    </row>
    <row r="514" spans="1:25" x14ac:dyDescent="0.25">
      <c r="A514">
        <v>2006</v>
      </c>
      <c r="B514">
        <v>322</v>
      </c>
      <c r="C514">
        <v>2100</v>
      </c>
      <c r="D514">
        <v>-1.679</v>
      </c>
      <c r="E514">
        <v>-16.55</v>
      </c>
      <c r="F514">
        <v>2.2490000000000001</v>
      </c>
      <c r="G514">
        <v>2.5950000000000002</v>
      </c>
      <c r="K514">
        <v>1.42</v>
      </c>
      <c r="L514">
        <v>209.1</v>
      </c>
      <c r="M514">
        <v>0</v>
      </c>
      <c r="O514">
        <v>-11.46</v>
      </c>
      <c r="P514">
        <v>-10.75</v>
      </c>
      <c r="Q514">
        <v>5.0439999999999996</v>
      </c>
      <c r="S514">
        <v>5.4</v>
      </c>
      <c r="T514">
        <v>0</v>
      </c>
      <c r="U514">
        <v>94.4</v>
      </c>
      <c r="V514">
        <v>892</v>
      </c>
      <c r="W514">
        <v>38.83</v>
      </c>
      <c r="Y514">
        <v>13.14</v>
      </c>
    </row>
    <row r="515" spans="1:25" x14ac:dyDescent="0.25">
      <c r="A515">
        <v>2006</v>
      </c>
      <c r="B515">
        <v>322</v>
      </c>
      <c r="C515">
        <v>2200</v>
      </c>
      <c r="D515">
        <v>-1.143</v>
      </c>
      <c r="E515">
        <v>-7.71</v>
      </c>
      <c r="F515">
        <v>2.786</v>
      </c>
      <c r="G515">
        <v>3.194</v>
      </c>
      <c r="K515">
        <v>1.25</v>
      </c>
      <c r="L515">
        <v>197.1</v>
      </c>
      <c r="M515">
        <v>0.4</v>
      </c>
      <c r="O515">
        <v>-11.46</v>
      </c>
      <c r="P515">
        <v>-10.75</v>
      </c>
      <c r="Q515">
        <v>4.9279999999999999</v>
      </c>
      <c r="S515">
        <v>5.38</v>
      </c>
      <c r="T515">
        <v>0</v>
      </c>
      <c r="U515">
        <v>93.6</v>
      </c>
      <c r="V515">
        <v>891</v>
      </c>
      <c r="W515">
        <v>38.79</v>
      </c>
      <c r="Y515">
        <v>13.07</v>
      </c>
    </row>
    <row r="516" spans="1:25" x14ac:dyDescent="0.25">
      <c r="A516">
        <v>2006</v>
      </c>
      <c r="B516">
        <v>322</v>
      </c>
      <c r="C516">
        <v>2300</v>
      </c>
      <c r="D516">
        <v>-1.57</v>
      </c>
      <c r="E516">
        <v>-24.8</v>
      </c>
      <c r="F516">
        <v>2.9079999999999999</v>
      </c>
      <c r="G516">
        <v>3.2690000000000001</v>
      </c>
      <c r="K516">
        <v>2.0139999999999998</v>
      </c>
      <c r="L516">
        <v>222.2</v>
      </c>
      <c r="M516">
        <v>0</v>
      </c>
      <c r="O516">
        <v>-11.49</v>
      </c>
      <c r="P516">
        <v>-10.8</v>
      </c>
      <c r="Q516">
        <v>4.8479999999999999</v>
      </c>
      <c r="S516">
        <v>5.27</v>
      </c>
      <c r="T516">
        <v>0</v>
      </c>
      <c r="U516">
        <v>94.3</v>
      </c>
      <c r="V516">
        <v>895</v>
      </c>
      <c r="W516">
        <v>39.090000000000003</v>
      </c>
      <c r="Y516">
        <v>13.02</v>
      </c>
    </row>
    <row r="517" spans="1:25" x14ac:dyDescent="0.25">
      <c r="A517">
        <v>2006</v>
      </c>
      <c r="B517">
        <v>322</v>
      </c>
      <c r="C517">
        <v>2400</v>
      </c>
      <c r="D517">
        <v>-2.4630000000000001</v>
      </c>
      <c r="E517">
        <v>-41.55</v>
      </c>
      <c r="F517">
        <v>2.173</v>
      </c>
      <c r="G517">
        <v>2.4159999999999999</v>
      </c>
      <c r="K517">
        <v>2.04</v>
      </c>
      <c r="L517">
        <v>235.8</v>
      </c>
      <c r="M517">
        <v>0</v>
      </c>
      <c r="O517">
        <v>-11.5</v>
      </c>
      <c r="P517">
        <v>-10.81</v>
      </c>
      <c r="Q517">
        <v>4.7990000000000004</v>
      </c>
      <c r="S517">
        <v>5.2489999999999997</v>
      </c>
      <c r="T517">
        <v>0</v>
      </c>
      <c r="U517">
        <v>96</v>
      </c>
      <c r="V517">
        <v>893</v>
      </c>
      <c r="W517">
        <v>38.94</v>
      </c>
      <c r="Y517">
        <v>12.97</v>
      </c>
    </row>
    <row r="518" spans="1:25" x14ac:dyDescent="0.25">
      <c r="A518">
        <v>2006</v>
      </c>
      <c r="B518">
        <v>322</v>
      </c>
      <c r="C518">
        <v>2400</v>
      </c>
      <c r="D518">
        <v>24.22</v>
      </c>
      <c r="E518">
        <v>-8.39</v>
      </c>
      <c r="F518">
        <v>2.8980000000000001</v>
      </c>
      <c r="G518">
        <v>3.3220000000000001</v>
      </c>
      <c r="K518">
        <v>2.9489999999999998</v>
      </c>
      <c r="L518">
        <v>239.3</v>
      </c>
      <c r="M518">
        <v>0.6</v>
      </c>
      <c r="O518">
        <v>20.82</v>
      </c>
      <c r="P518">
        <v>-2.3769999999999998</v>
      </c>
      <c r="Q518">
        <v>4.9939999999999998</v>
      </c>
      <c r="S518">
        <v>5.34</v>
      </c>
      <c r="T518">
        <v>0</v>
      </c>
      <c r="U518">
        <v>93.4</v>
      </c>
      <c r="V518">
        <v>907</v>
      </c>
      <c r="W518">
        <v>39.99</v>
      </c>
      <c r="Y518">
        <v>13.2</v>
      </c>
    </row>
    <row r="519" spans="1:25" x14ac:dyDescent="0.25">
      <c r="A519">
        <v>2006</v>
      </c>
      <c r="B519">
        <v>323</v>
      </c>
      <c r="C519">
        <v>100</v>
      </c>
      <c r="D519">
        <v>-2.5019999999999998</v>
      </c>
      <c r="E519">
        <v>-36.840000000000003</v>
      </c>
      <c r="F519">
        <v>2.036</v>
      </c>
      <c r="G519">
        <v>2.2850000000000001</v>
      </c>
      <c r="K519">
        <v>2.234</v>
      </c>
      <c r="L519">
        <v>236.3</v>
      </c>
      <c r="M519">
        <v>0</v>
      </c>
      <c r="O519">
        <v>-11.47</v>
      </c>
      <c r="P519">
        <v>-10.76</v>
      </c>
      <c r="Q519">
        <v>4.7359999999999998</v>
      </c>
      <c r="S519">
        <v>5.1740000000000004</v>
      </c>
      <c r="T519">
        <v>0</v>
      </c>
      <c r="U519">
        <v>95.9</v>
      </c>
      <c r="V519">
        <v>891</v>
      </c>
      <c r="W519">
        <v>38.770000000000003</v>
      </c>
      <c r="Y519">
        <v>12.94</v>
      </c>
    </row>
    <row r="520" spans="1:25" x14ac:dyDescent="0.25">
      <c r="A520">
        <v>2006</v>
      </c>
      <c r="B520">
        <v>323</v>
      </c>
      <c r="C520">
        <v>200</v>
      </c>
      <c r="D520">
        <v>-1.2070000000000001</v>
      </c>
      <c r="E520">
        <v>-11.23</v>
      </c>
      <c r="F520">
        <v>2.2770000000000001</v>
      </c>
      <c r="G520">
        <v>2.516</v>
      </c>
      <c r="K520">
        <v>2.266</v>
      </c>
      <c r="L520">
        <v>240.5</v>
      </c>
      <c r="M520">
        <v>0</v>
      </c>
      <c r="O520">
        <v>-11.44</v>
      </c>
      <c r="P520">
        <v>-10.75</v>
      </c>
      <c r="Q520">
        <v>4.6680000000000001</v>
      </c>
      <c r="S520">
        <v>5.1879999999999997</v>
      </c>
      <c r="T520">
        <v>0</v>
      </c>
      <c r="U520">
        <v>96.1</v>
      </c>
      <c r="V520">
        <v>889</v>
      </c>
      <c r="W520">
        <v>38.65</v>
      </c>
      <c r="Y520">
        <v>12.91</v>
      </c>
    </row>
    <row r="521" spans="1:25" x14ac:dyDescent="0.25">
      <c r="A521">
        <v>2006</v>
      </c>
      <c r="B521">
        <v>323</v>
      </c>
      <c r="C521">
        <v>300</v>
      </c>
      <c r="D521">
        <v>-1.4710000000000001</v>
      </c>
      <c r="E521">
        <v>-22.14</v>
      </c>
      <c r="F521">
        <v>2.4900000000000002</v>
      </c>
      <c r="G521">
        <v>2.734</v>
      </c>
      <c r="K521">
        <v>2.5750000000000002</v>
      </c>
      <c r="L521">
        <v>250.7</v>
      </c>
      <c r="M521">
        <v>0</v>
      </c>
      <c r="O521">
        <v>-11.49</v>
      </c>
      <c r="P521">
        <v>-10.79</v>
      </c>
      <c r="Q521">
        <v>4.5919999999999996</v>
      </c>
      <c r="S521">
        <v>5.1529999999999996</v>
      </c>
      <c r="T521">
        <v>0</v>
      </c>
      <c r="U521">
        <v>96.1</v>
      </c>
      <c r="V521">
        <v>888</v>
      </c>
      <c r="W521">
        <v>38.58</v>
      </c>
      <c r="Y521">
        <v>12.89</v>
      </c>
    </row>
    <row r="522" spans="1:25" x14ac:dyDescent="0.25">
      <c r="A522">
        <v>2006</v>
      </c>
      <c r="B522">
        <v>323</v>
      </c>
      <c r="C522">
        <v>400</v>
      </c>
      <c r="D522">
        <v>-2.5</v>
      </c>
      <c r="E522">
        <v>-39.9</v>
      </c>
      <c r="F522">
        <v>1.63</v>
      </c>
      <c r="G522">
        <v>1.8120000000000001</v>
      </c>
      <c r="K522">
        <v>2.3530000000000002</v>
      </c>
      <c r="L522">
        <v>229.5</v>
      </c>
      <c r="M522">
        <v>0</v>
      </c>
      <c r="O522">
        <v>-11.48</v>
      </c>
      <c r="P522">
        <v>-10.79</v>
      </c>
      <c r="Q522">
        <v>4.5149999999999997</v>
      </c>
      <c r="S522">
        <v>5.0460000000000003</v>
      </c>
      <c r="T522">
        <v>0</v>
      </c>
      <c r="U522">
        <v>97</v>
      </c>
      <c r="V522">
        <v>887</v>
      </c>
      <c r="W522">
        <v>38.46</v>
      </c>
      <c r="Y522">
        <v>12.88</v>
      </c>
    </row>
    <row r="523" spans="1:25" x14ac:dyDescent="0.25">
      <c r="A523">
        <v>2006</v>
      </c>
      <c r="B523">
        <v>323</v>
      </c>
      <c r="C523">
        <v>500</v>
      </c>
      <c r="D523">
        <v>-2.8050000000000002</v>
      </c>
      <c r="E523">
        <v>-37.72</v>
      </c>
      <c r="F523">
        <v>1.0940000000000001</v>
      </c>
      <c r="G523">
        <v>1.3540000000000001</v>
      </c>
      <c r="K523">
        <v>2.3159999999999998</v>
      </c>
      <c r="L523">
        <v>219.2</v>
      </c>
      <c r="M523">
        <v>0</v>
      </c>
      <c r="O523">
        <v>-11.43</v>
      </c>
      <c r="P523">
        <v>-10.71</v>
      </c>
      <c r="Q523">
        <v>4.4720000000000004</v>
      </c>
      <c r="S523">
        <v>5.0380000000000003</v>
      </c>
      <c r="T523">
        <v>0</v>
      </c>
      <c r="U523">
        <v>95.6</v>
      </c>
      <c r="V523">
        <v>885</v>
      </c>
      <c r="W523">
        <v>38.35</v>
      </c>
      <c r="Y523">
        <v>12.87</v>
      </c>
    </row>
    <row r="524" spans="1:25" x14ac:dyDescent="0.25">
      <c r="A524">
        <v>2006</v>
      </c>
      <c r="B524">
        <v>323</v>
      </c>
      <c r="C524">
        <v>600</v>
      </c>
      <c r="D524">
        <v>-2.7040000000000002</v>
      </c>
      <c r="E524">
        <v>-35.54</v>
      </c>
      <c r="F524">
        <v>0.73299999999999998</v>
      </c>
      <c r="G524">
        <v>1.0169999999999999</v>
      </c>
      <c r="K524">
        <v>2.0699999999999998</v>
      </c>
      <c r="L524">
        <v>209.9</v>
      </c>
      <c r="M524">
        <v>0</v>
      </c>
      <c r="O524">
        <v>-11.35</v>
      </c>
      <c r="P524">
        <v>-10.63</v>
      </c>
      <c r="Q524">
        <v>4.3760000000000003</v>
      </c>
      <c r="S524">
        <v>4.9749999999999996</v>
      </c>
      <c r="T524">
        <v>0</v>
      </c>
      <c r="U524">
        <v>95.1</v>
      </c>
      <c r="V524">
        <v>884</v>
      </c>
      <c r="W524">
        <v>38.270000000000003</v>
      </c>
      <c r="Y524">
        <v>12.86</v>
      </c>
    </row>
    <row r="525" spans="1:25" x14ac:dyDescent="0.25">
      <c r="A525">
        <v>2006</v>
      </c>
      <c r="B525">
        <v>323</v>
      </c>
      <c r="C525">
        <v>700</v>
      </c>
      <c r="D525">
        <v>-2.883</v>
      </c>
      <c r="E525">
        <v>-33.06</v>
      </c>
      <c r="F525">
        <v>1.111</v>
      </c>
      <c r="G525">
        <v>1.5940000000000001</v>
      </c>
      <c r="K525">
        <v>1.718</v>
      </c>
      <c r="L525">
        <v>214</v>
      </c>
      <c r="M525">
        <v>0</v>
      </c>
      <c r="O525">
        <v>-11.23</v>
      </c>
      <c r="P525">
        <v>-10.51</v>
      </c>
      <c r="Q525">
        <v>4.2869999999999999</v>
      </c>
      <c r="S525">
        <v>4.9329999999999998</v>
      </c>
      <c r="T525">
        <v>0</v>
      </c>
      <c r="U525">
        <v>91.9</v>
      </c>
      <c r="V525">
        <v>882</v>
      </c>
      <c r="W525">
        <v>38.17</v>
      </c>
      <c r="Y525">
        <v>12.85</v>
      </c>
    </row>
    <row r="526" spans="1:25" x14ac:dyDescent="0.25">
      <c r="A526">
        <v>2006</v>
      </c>
      <c r="B526">
        <v>323</v>
      </c>
      <c r="C526">
        <v>800</v>
      </c>
      <c r="D526">
        <v>-1.492</v>
      </c>
      <c r="E526">
        <v>-28.41</v>
      </c>
      <c r="F526">
        <v>1.8029999999999999</v>
      </c>
      <c r="G526">
        <v>2.4129999999999998</v>
      </c>
      <c r="K526">
        <v>2.0779999999999998</v>
      </c>
      <c r="L526">
        <v>197.5</v>
      </c>
      <c r="M526">
        <v>0</v>
      </c>
      <c r="O526">
        <v>-9.0500000000000007</v>
      </c>
      <c r="P526">
        <v>-9.99</v>
      </c>
      <c r="Q526">
        <v>4.2039999999999997</v>
      </c>
      <c r="S526">
        <v>4.8659999999999997</v>
      </c>
      <c r="T526">
        <v>0</v>
      </c>
      <c r="U526">
        <v>90.1</v>
      </c>
      <c r="V526">
        <v>881</v>
      </c>
      <c r="W526">
        <v>38.1</v>
      </c>
      <c r="Y526">
        <v>12.85</v>
      </c>
    </row>
    <row r="527" spans="1:25" x14ac:dyDescent="0.25">
      <c r="A527">
        <v>2006</v>
      </c>
      <c r="B527">
        <v>323</v>
      </c>
      <c r="C527">
        <v>900</v>
      </c>
      <c r="D527">
        <v>26.45</v>
      </c>
      <c r="E527">
        <v>-1.2829999999999999</v>
      </c>
      <c r="F527">
        <v>2.226</v>
      </c>
      <c r="G527">
        <v>2.78</v>
      </c>
      <c r="H527">
        <f>AVERAGE(G527:G551)</f>
        <v>7.2544000000000004</v>
      </c>
      <c r="I527">
        <f>MIN(G527:G551)</f>
        <v>2.78</v>
      </c>
      <c r="J527">
        <f>MAX(G527:G551)</f>
        <v>10.71</v>
      </c>
      <c r="K527">
        <v>2.1850000000000001</v>
      </c>
      <c r="L527">
        <v>195.6</v>
      </c>
      <c r="M527">
        <v>0</v>
      </c>
      <c r="N527">
        <f>SUM(M527:M551)</f>
        <v>16</v>
      </c>
      <c r="O527">
        <v>24.2</v>
      </c>
      <c r="P527">
        <v>-2.387</v>
      </c>
      <c r="Q527">
        <v>4.1509999999999998</v>
      </c>
      <c r="S527">
        <v>4.867</v>
      </c>
      <c r="T527">
        <v>0</v>
      </c>
      <c r="U527">
        <v>91.2</v>
      </c>
      <c r="V527">
        <v>880</v>
      </c>
      <c r="W527">
        <v>38.04</v>
      </c>
      <c r="Y527">
        <v>12.91</v>
      </c>
    </row>
    <row r="528" spans="1:25" x14ac:dyDescent="0.25">
      <c r="A528">
        <v>2006</v>
      </c>
      <c r="B528">
        <v>323</v>
      </c>
      <c r="C528">
        <v>1000</v>
      </c>
      <c r="D528">
        <v>68.66</v>
      </c>
      <c r="E528">
        <v>27.66</v>
      </c>
      <c r="F528">
        <v>3.6829999999999998</v>
      </c>
      <c r="G528">
        <v>4.4260000000000002</v>
      </c>
      <c r="K528">
        <v>2.613</v>
      </c>
      <c r="L528">
        <v>202.4</v>
      </c>
      <c r="M528">
        <v>0</v>
      </c>
      <c r="O528">
        <v>79.7</v>
      </c>
      <c r="P528">
        <v>9.3800000000000008</v>
      </c>
      <c r="Q528">
        <v>4.0890000000000004</v>
      </c>
      <c r="S528">
        <v>4.8460000000000001</v>
      </c>
      <c r="T528">
        <v>0</v>
      </c>
      <c r="U528">
        <v>89</v>
      </c>
      <c r="V528">
        <v>881</v>
      </c>
      <c r="W528">
        <v>38.07</v>
      </c>
      <c r="Y528">
        <v>13.38</v>
      </c>
    </row>
    <row r="529" spans="1:25" x14ac:dyDescent="0.25">
      <c r="A529">
        <v>2006</v>
      </c>
      <c r="B529">
        <v>323</v>
      </c>
      <c r="C529">
        <v>1100</v>
      </c>
      <c r="D529">
        <v>81.2</v>
      </c>
      <c r="E529">
        <v>41.96</v>
      </c>
      <c r="F529">
        <v>4.87</v>
      </c>
      <c r="G529">
        <v>5.5369999999999999</v>
      </c>
      <c r="K529">
        <v>2.419</v>
      </c>
      <c r="L529">
        <v>190.7</v>
      </c>
      <c r="M529">
        <v>0</v>
      </c>
      <c r="O529">
        <v>97.4</v>
      </c>
      <c r="P529">
        <v>11.96</v>
      </c>
      <c r="Q529">
        <v>4.0979999999999999</v>
      </c>
      <c r="S529">
        <v>4.7839999999999998</v>
      </c>
      <c r="T529">
        <v>0</v>
      </c>
      <c r="U529">
        <v>90.5</v>
      </c>
      <c r="V529">
        <v>882</v>
      </c>
      <c r="W529">
        <v>38.159999999999997</v>
      </c>
      <c r="Y529">
        <v>13.53</v>
      </c>
    </row>
    <row r="530" spans="1:25" x14ac:dyDescent="0.25">
      <c r="A530">
        <v>2006</v>
      </c>
      <c r="B530">
        <v>323</v>
      </c>
      <c r="C530">
        <v>1200</v>
      </c>
      <c r="D530">
        <v>97.2</v>
      </c>
      <c r="E530">
        <v>54.68</v>
      </c>
      <c r="F530">
        <v>5.8540000000000001</v>
      </c>
      <c r="G530">
        <v>6.4790000000000001</v>
      </c>
      <c r="K530">
        <v>2.641</v>
      </c>
      <c r="L530">
        <v>177.8</v>
      </c>
      <c r="M530">
        <v>0</v>
      </c>
      <c r="O530">
        <v>117.9</v>
      </c>
      <c r="P530">
        <v>15.11</v>
      </c>
      <c r="Q530">
        <v>4.2039999999999997</v>
      </c>
      <c r="S530">
        <v>4.7690000000000001</v>
      </c>
      <c r="T530">
        <v>0</v>
      </c>
      <c r="U530">
        <v>91.4</v>
      </c>
      <c r="V530">
        <v>882</v>
      </c>
      <c r="W530">
        <v>38.18</v>
      </c>
      <c r="Y530">
        <v>13.56</v>
      </c>
    </row>
    <row r="531" spans="1:25" x14ac:dyDescent="0.25">
      <c r="A531">
        <v>2006</v>
      </c>
      <c r="B531">
        <v>323</v>
      </c>
      <c r="C531">
        <v>1300</v>
      </c>
      <c r="D531">
        <v>49.19</v>
      </c>
      <c r="E531">
        <v>26.33</v>
      </c>
      <c r="F531">
        <v>7.01</v>
      </c>
      <c r="G531">
        <v>7.46</v>
      </c>
      <c r="K531">
        <v>3.109</v>
      </c>
      <c r="L531">
        <v>181</v>
      </c>
      <c r="M531">
        <v>0</v>
      </c>
      <c r="O531">
        <v>56.5</v>
      </c>
      <c r="P531">
        <v>2.8090000000000002</v>
      </c>
      <c r="Q531">
        <v>4.3419999999999996</v>
      </c>
      <c r="S531">
        <v>4.7679999999999998</v>
      </c>
      <c r="T531">
        <v>0</v>
      </c>
      <c r="U531">
        <v>94</v>
      </c>
      <c r="V531">
        <v>881</v>
      </c>
      <c r="W531">
        <v>38.1</v>
      </c>
      <c r="Y531">
        <v>13.44</v>
      </c>
    </row>
    <row r="532" spans="1:25" x14ac:dyDescent="0.25">
      <c r="A532">
        <v>2006</v>
      </c>
      <c r="B532">
        <v>323</v>
      </c>
      <c r="C532">
        <v>1400</v>
      </c>
      <c r="D532">
        <v>31.54</v>
      </c>
      <c r="E532">
        <v>12.28</v>
      </c>
      <c r="F532">
        <v>7.7</v>
      </c>
      <c r="G532">
        <v>7.99</v>
      </c>
      <c r="K532">
        <v>3.6110000000000002</v>
      </c>
      <c r="L532">
        <v>185</v>
      </c>
      <c r="M532">
        <v>0.2</v>
      </c>
      <c r="O532">
        <v>35.19</v>
      </c>
      <c r="P532">
        <v>-1.7470000000000001</v>
      </c>
      <c r="Q532">
        <v>4.53</v>
      </c>
      <c r="S532">
        <v>4.7789999999999999</v>
      </c>
      <c r="T532">
        <v>0</v>
      </c>
      <c r="U532">
        <v>96.3</v>
      </c>
      <c r="V532">
        <v>881</v>
      </c>
      <c r="W532">
        <v>38.06</v>
      </c>
      <c r="Y532">
        <v>13.35</v>
      </c>
    </row>
    <row r="533" spans="1:25" x14ac:dyDescent="0.25">
      <c r="A533">
        <v>2006</v>
      </c>
      <c r="B533">
        <v>323</v>
      </c>
      <c r="C533">
        <v>1500</v>
      </c>
      <c r="D533">
        <v>16.579999999999998</v>
      </c>
      <c r="E533">
        <v>3.573</v>
      </c>
      <c r="F533">
        <v>7.87</v>
      </c>
      <c r="G533">
        <v>8.0399999999999991</v>
      </c>
      <c r="K533">
        <v>4.282</v>
      </c>
      <c r="L533">
        <v>183.7</v>
      </c>
      <c r="M533">
        <v>0.8</v>
      </c>
      <c r="O533">
        <v>14.23</v>
      </c>
      <c r="P533">
        <v>-5.9180000000000001</v>
      </c>
      <c r="Q533">
        <v>4.7249999999999996</v>
      </c>
      <c r="S533">
        <v>4.7850000000000001</v>
      </c>
      <c r="T533">
        <v>0</v>
      </c>
      <c r="U533">
        <v>97.8</v>
      </c>
      <c r="V533">
        <v>883</v>
      </c>
      <c r="W533">
        <v>38.22</v>
      </c>
      <c r="Y533">
        <v>13.25</v>
      </c>
    </row>
    <row r="534" spans="1:25" x14ac:dyDescent="0.25">
      <c r="A534">
        <v>2006</v>
      </c>
      <c r="B534">
        <v>323</v>
      </c>
      <c r="C534">
        <v>1600</v>
      </c>
      <c r="D534">
        <v>6.6769999999999996</v>
      </c>
      <c r="E534">
        <v>-1.3839999999999999</v>
      </c>
      <c r="F534">
        <v>7.61</v>
      </c>
      <c r="G534">
        <v>7.76</v>
      </c>
      <c r="K534">
        <v>4.8520000000000003</v>
      </c>
      <c r="L534">
        <v>187.4</v>
      </c>
      <c r="M534">
        <v>1</v>
      </c>
      <c r="O534">
        <v>-0.69199999999999995</v>
      </c>
      <c r="P534">
        <v>-8.58</v>
      </c>
      <c r="Q534">
        <v>4.9080000000000004</v>
      </c>
      <c r="S534">
        <v>4.8680000000000003</v>
      </c>
      <c r="T534">
        <v>0</v>
      </c>
      <c r="U534">
        <v>98</v>
      </c>
      <c r="V534">
        <v>904</v>
      </c>
      <c r="W534">
        <v>39.74</v>
      </c>
      <c r="Y534">
        <v>13.17</v>
      </c>
    </row>
    <row r="535" spans="1:25" x14ac:dyDescent="0.25">
      <c r="A535">
        <v>2006</v>
      </c>
      <c r="B535">
        <v>323</v>
      </c>
      <c r="C535">
        <v>1700</v>
      </c>
      <c r="D535">
        <v>-0.35499999999999998</v>
      </c>
      <c r="E535">
        <v>-3.5339999999999998</v>
      </c>
      <c r="F535">
        <v>7.71</v>
      </c>
      <c r="G535">
        <v>7.88</v>
      </c>
      <c r="K535">
        <v>5.5940000000000003</v>
      </c>
      <c r="L535">
        <v>188.9</v>
      </c>
      <c r="M535">
        <v>0.8</v>
      </c>
      <c r="O535">
        <v>-11.11</v>
      </c>
      <c r="P535">
        <v>-10.82</v>
      </c>
      <c r="Q535">
        <v>5.085</v>
      </c>
      <c r="S535">
        <v>4.8869999999999996</v>
      </c>
      <c r="T535">
        <v>0</v>
      </c>
      <c r="U535">
        <v>97.7</v>
      </c>
      <c r="V535">
        <v>975</v>
      </c>
      <c r="W535">
        <v>46.38</v>
      </c>
      <c r="Y535">
        <v>13.1</v>
      </c>
    </row>
    <row r="536" spans="1:25" x14ac:dyDescent="0.25">
      <c r="A536">
        <v>2006</v>
      </c>
      <c r="B536">
        <v>323</v>
      </c>
      <c r="C536">
        <v>1800</v>
      </c>
      <c r="D536">
        <v>-0.745</v>
      </c>
      <c r="E536">
        <v>-2.7109999999999999</v>
      </c>
      <c r="F536">
        <v>8.41</v>
      </c>
      <c r="G536">
        <v>8.68</v>
      </c>
      <c r="K536">
        <v>5.9509999999999996</v>
      </c>
      <c r="L536">
        <v>198.3</v>
      </c>
      <c r="M536">
        <v>0.8</v>
      </c>
      <c r="O536">
        <v>-11.51</v>
      </c>
      <c r="P536">
        <v>-10.85</v>
      </c>
      <c r="Q536">
        <v>5.2480000000000002</v>
      </c>
      <c r="S536">
        <v>4.97</v>
      </c>
      <c r="T536">
        <v>0</v>
      </c>
      <c r="U536">
        <v>96.6</v>
      </c>
      <c r="V536">
        <v>1006</v>
      </c>
      <c r="W536">
        <v>49.69</v>
      </c>
      <c r="Y536">
        <v>13.04</v>
      </c>
    </row>
    <row r="537" spans="1:25" x14ac:dyDescent="0.25">
      <c r="A537">
        <v>2006</v>
      </c>
      <c r="B537">
        <v>323</v>
      </c>
      <c r="C537">
        <v>1900</v>
      </c>
      <c r="D537">
        <v>-0.66400000000000003</v>
      </c>
      <c r="E537">
        <v>-2.27</v>
      </c>
      <c r="F537">
        <v>9.2799999999999994</v>
      </c>
      <c r="G537">
        <v>9.5399999999999991</v>
      </c>
      <c r="K537">
        <v>4.83</v>
      </c>
      <c r="L537">
        <v>213</v>
      </c>
      <c r="M537">
        <v>0.8</v>
      </c>
      <c r="O537">
        <v>-11.5</v>
      </c>
      <c r="P537">
        <v>-10.85</v>
      </c>
      <c r="Q537">
        <v>5.4029999999999996</v>
      </c>
      <c r="S537">
        <v>5.0170000000000003</v>
      </c>
      <c r="T537">
        <v>0</v>
      </c>
      <c r="U537">
        <v>96.7</v>
      </c>
      <c r="V537">
        <v>1008</v>
      </c>
      <c r="W537">
        <v>49.9</v>
      </c>
      <c r="Y537">
        <v>13</v>
      </c>
    </row>
    <row r="538" spans="1:25" x14ac:dyDescent="0.25">
      <c r="A538">
        <v>2006</v>
      </c>
      <c r="B538">
        <v>323</v>
      </c>
      <c r="C538">
        <v>2000</v>
      </c>
      <c r="D538">
        <v>-0.81799999999999995</v>
      </c>
      <c r="E538">
        <v>-5.4029999999999996</v>
      </c>
      <c r="F538">
        <v>9.77</v>
      </c>
      <c r="G538">
        <v>9.99</v>
      </c>
      <c r="K538">
        <v>3.6280000000000001</v>
      </c>
      <c r="L538">
        <v>217.4</v>
      </c>
      <c r="M538">
        <v>0.4</v>
      </c>
      <c r="O538">
        <v>-11.5</v>
      </c>
      <c r="P538">
        <v>-10.85</v>
      </c>
      <c r="Q538">
        <v>5.55</v>
      </c>
      <c r="S538">
        <v>5.0490000000000004</v>
      </c>
      <c r="T538">
        <v>0</v>
      </c>
      <c r="U538">
        <v>97.3</v>
      </c>
      <c r="V538">
        <v>1010</v>
      </c>
      <c r="W538">
        <v>50.19</v>
      </c>
      <c r="Y538">
        <v>12.96</v>
      </c>
    </row>
    <row r="539" spans="1:25" x14ac:dyDescent="0.25">
      <c r="A539">
        <v>2006</v>
      </c>
      <c r="B539">
        <v>323</v>
      </c>
      <c r="C539">
        <v>2100</v>
      </c>
      <c r="D539">
        <v>-1.079</v>
      </c>
      <c r="E539">
        <v>-3.141</v>
      </c>
      <c r="F539">
        <v>10.25</v>
      </c>
      <c r="G539">
        <v>10.67</v>
      </c>
      <c r="K539">
        <v>3.649</v>
      </c>
      <c r="L539">
        <v>225.7</v>
      </c>
      <c r="M539">
        <v>0</v>
      </c>
      <c r="O539">
        <v>-11.5</v>
      </c>
      <c r="P539">
        <v>-10.85</v>
      </c>
      <c r="Q539">
        <v>5.7290000000000001</v>
      </c>
      <c r="S539">
        <v>5.125</v>
      </c>
      <c r="T539">
        <v>0</v>
      </c>
      <c r="U539">
        <v>95.1</v>
      </c>
      <c r="V539">
        <v>1014</v>
      </c>
      <c r="W539">
        <v>50.73</v>
      </c>
      <c r="Y539">
        <v>12.94</v>
      </c>
    </row>
    <row r="540" spans="1:25" x14ac:dyDescent="0.25">
      <c r="A540">
        <v>2006</v>
      </c>
      <c r="B540">
        <v>323</v>
      </c>
      <c r="C540">
        <v>2200</v>
      </c>
      <c r="D540">
        <v>-0.67300000000000004</v>
      </c>
      <c r="E540">
        <v>-2.2749999999999999</v>
      </c>
      <c r="F540">
        <v>10.43</v>
      </c>
      <c r="G540">
        <v>10.71</v>
      </c>
      <c r="K540">
        <v>3.9969999999999999</v>
      </c>
      <c r="L540">
        <v>256.39999999999998</v>
      </c>
      <c r="M540">
        <v>2.4</v>
      </c>
      <c r="O540">
        <v>-11.5</v>
      </c>
      <c r="P540">
        <v>-10.84</v>
      </c>
      <c r="Q540">
        <v>5.9320000000000004</v>
      </c>
      <c r="S540">
        <v>5.226</v>
      </c>
      <c r="T540">
        <v>0</v>
      </c>
      <c r="U540">
        <v>96.7</v>
      </c>
      <c r="V540">
        <v>1013</v>
      </c>
      <c r="W540">
        <v>50.58</v>
      </c>
      <c r="Y540">
        <v>12.92</v>
      </c>
    </row>
    <row r="541" spans="1:25" x14ac:dyDescent="0.25">
      <c r="A541">
        <v>2006</v>
      </c>
      <c r="B541">
        <v>323</v>
      </c>
      <c r="C541">
        <v>2300</v>
      </c>
      <c r="D541">
        <v>-0.7</v>
      </c>
      <c r="E541">
        <v>-8.49</v>
      </c>
      <c r="F541">
        <v>9.57</v>
      </c>
      <c r="G541">
        <v>10.08</v>
      </c>
      <c r="K541">
        <v>4.024</v>
      </c>
      <c r="L541">
        <v>266.10000000000002</v>
      </c>
      <c r="M541">
        <v>0.8</v>
      </c>
      <c r="O541">
        <v>-11.5</v>
      </c>
      <c r="P541">
        <v>-10.84</v>
      </c>
      <c r="Q541">
        <v>6.1269999999999998</v>
      </c>
      <c r="S541">
        <v>5.3179999999999996</v>
      </c>
      <c r="T541">
        <v>0</v>
      </c>
      <c r="U541">
        <v>93.8</v>
      </c>
      <c r="V541">
        <v>1014</v>
      </c>
      <c r="W541">
        <v>50.61</v>
      </c>
      <c r="Y541">
        <v>12.91</v>
      </c>
    </row>
    <row r="542" spans="1:25" x14ac:dyDescent="0.25">
      <c r="A542">
        <v>2006</v>
      </c>
      <c r="B542">
        <v>323</v>
      </c>
      <c r="C542">
        <v>2400</v>
      </c>
      <c r="D542">
        <v>-0.72899999999999998</v>
      </c>
      <c r="E542">
        <v>-10.18</v>
      </c>
      <c r="F542">
        <v>8.49</v>
      </c>
      <c r="G542">
        <v>9.01</v>
      </c>
      <c r="K542">
        <v>4.5119999999999996</v>
      </c>
      <c r="L542">
        <v>275.8</v>
      </c>
      <c r="M542">
        <v>0</v>
      </c>
      <c r="O542">
        <v>-11.5</v>
      </c>
      <c r="P542">
        <v>-10.84</v>
      </c>
      <c r="Q542">
        <v>6.2939999999999996</v>
      </c>
      <c r="S542">
        <v>5.4039999999999999</v>
      </c>
      <c r="T542">
        <v>0</v>
      </c>
      <c r="U542">
        <v>93.5</v>
      </c>
      <c r="V542">
        <v>1013</v>
      </c>
      <c r="W542">
        <v>50.54</v>
      </c>
      <c r="Y542">
        <v>12.9</v>
      </c>
    </row>
    <row r="543" spans="1:25" x14ac:dyDescent="0.25">
      <c r="A543">
        <v>2006</v>
      </c>
      <c r="B543">
        <v>323</v>
      </c>
      <c r="C543">
        <v>2400</v>
      </c>
      <c r="D543">
        <v>14.75</v>
      </c>
      <c r="E543">
        <v>-4.9589999999999996</v>
      </c>
      <c r="F543">
        <v>5.5789999999999997</v>
      </c>
      <c r="G543">
        <v>5.9480000000000004</v>
      </c>
      <c r="K543">
        <v>3.3130000000000002</v>
      </c>
      <c r="L543">
        <v>214.7</v>
      </c>
      <c r="M543">
        <v>8</v>
      </c>
      <c r="O543">
        <v>10.16</v>
      </c>
      <c r="P543">
        <v>-6.2930000000000001</v>
      </c>
      <c r="Q543">
        <v>4.8440000000000003</v>
      </c>
      <c r="S543">
        <v>4.9930000000000003</v>
      </c>
      <c r="T543">
        <v>0</v>
      </c>
      <c r="U543">
        <v>94.7</v>
      </c>
      <c r="V543">
        <v>926</v>
      </c>
      <c r="W543">
        <v>42.19</v>
      </c>
      <c r="Y543">
        <v>13.06</v>
      </c>
    </row>
    <row r="544" spans="1:25" x14ac:dyDescent="0.25">
      <c r="A544">
        <v>2006</v>
      </c>
      <c r="B544">
        <v>324</v>
      </c>
      <c r="C544">
        <v>100</v>
      </c>
      <c r="D544">
        <v>-2.2690000000000001</v>
      </c>
      <c r="E544">
        <v>-38.97</v>
      </c>
      <c r="F544">
        <v>7.32</v>
      </c>
      <c r="G544">
        <v>7.75</v>
      </c>
      <c r="K544">
        <v>3.4649999999999999</v>
      </c>
      <c r="L544">
        <v>264.7</v>
      </c>
      <c r="M544">
        <v>0</v>
      </c>
      <c r="O544">
        <v>-11.5</v>
      </c>
      <c r="P544">
        <v>-10.85</v>
      </c>
      <c r="Q544">
        <v>6.3849999999999998</v>
      </c>
      <c r="S544">
        <v>5.4429999999999996</v>
      </c>
      <c r="T544">
        <v>0</v>
      </c>
      <c r="U544">
        <v>94.3</v>
      </c>
      <c r="V544">
        <v>1014</v>
      </c>
      <c r="W544">
        <v>50.63</v>
      </c>
      <c r="Y544">
        <v>12.9</v>
      </c>
    </row>
    <row r="545" spans="1:25" x14ac:dyDescent="0.25">
      <c r="A545">
        <v>2006</v>
      </c>
      <c r="B545">
        <v>324</v>
      </c>
      <c r="C545">
        <v>200</v>
      </c>
      <c r="D545">
        <v>-2.86</v>
      </c>
      <c r="E545">
        <v>-51.48</v>
      </c>
      <c r="F545">
        <v>6.452</v>
      </c>
      <c r="G545">
        <v>6.9029999999999996</v>
      </c>
      <c r="K545">
        <v>3.34</v>
      </c>
      <c r="L545">
        <v>253.8</v>
      </c>
      <c r="M545">
        <v>0</v>
      </c>
      <c r="O545">
        <v>-11.51</v>
      </c>
      <c r="P545">
        <v>-10.84</v>
      </c>
      <c r="Q545">
        <v>6.4420000000000002</v>
      </c>
      <c r="S545">
        <v>5.5519999999999996</v>
      </c>
      <c r="T545">
        <v>0</v>
      </c>
      <c r="U545">
        <v>93.9</v>
      </c>
      <c r="V545">
        <v>1015</v>
      </c>
      <c r="W545">
        <v>50.76</v>
      </c>
      <c r="Y545">
        <v>12.89</v>
      </c>
    </row>
    <row r="546" spans="1:25" x14ac:dyDescent="0.25">
      <c r="A546">
        <v>2006</v>
      </c>
      <c r="B546">
        <v>324</v>
      </c>
      <c r="C546">
        <v>300</v>
      </c>
      <c r="D546">
        <v>-2.62</v>
      </c>
      <c r="E546">
        <v>-46.03</v>
      </c>
      <c r="F546">
        <v>5.96</v>
      </c>
      <c r="G546">
        <v>6.3840000000000003</v>
      </c>
      <c r="K546">
        <v>3.395</v>
      </c>
      <c r="L546">
        <v>255.8</v>
      </c>
      <c r="M546">
        <v>0</v>
      </c>
      <c r="O546">
        <v>-11.5</v>
      </c>
      <c r="P546">
        <v>-10.85</v>
      </c>
      <c r="Q546">
        <v>6.367</v>
      </c>
      <c r="S546">
        <v>5.6420000000000003</v>
      </c>
      <c r="T546">
        <v>0</v>
      </c>
      <c r="U546">
        <v>94.1</v>
      </c>
      <c r="V546">
        <v>1026</v>
      </c>
      <c r="W546">
        <v>52.39</v>
      </c>
      <c r="Y546">
        <v>12.89</v>
      </c>
    </row>
    <row r="547" spans="1:25" x14ac:dyDescent="0.25">
      <c r="A547">
        <v>2006</v>
      </c>
      <c r="B547">
        <v>324</v>
      </c>
      <c r="C547">
        <v>400</v>
      </c>
      <c r="D547">
        <v>-2.76</v>
      </c>
      <c r="E547">
        <v>-42.91</v>
      </c>
      <c r="F547">
        <v>5.5640000000000001</v>
      </c>
      <c r="G547">
        <v>5.9130000000000003</v>
      </c>
      <c r="K547">
        <v>2.9830000000000001</v>
      </c>
      <c r="L547">
        <v>255.4</v>
      </c>
      <c r="M547">
        <v>0</v>
      </c>
      <c r="O547">
        <v>-11.51</v>
      </c>
      <c r="P547">
        <v>-10.85</v>
      </c>
      <c r="Q547">
        <v>6.2290000000000001</v>
      </c>
      <c r="S547">
        <v>5.6470000000000002</v>
      </c>
      <c r="T547">
        <v>0</v>
      </c>
      <c r="U547">
        <v>95.1</v>
      </c>
      <c r="V547">
        <v>1017</v>
      </c>
      <c r="W547">
        <v>51.1</v>
      </c>
      <c r="Y547">
        <v>12.88</v>
      </c>
    </row>
    <row r="548" spans="1:25" x14ac:dyDescent="0.25">
      <c r="A548">
        <v>2006</v>
      </c>
      <c r="B548">
        <v>324</v>
      </c>
      <c r="C548">
        <v>500</v>
      </c>
      <c r="D548">
        <v>-2.8109999999999999</v>
      </c>
      <c r="E548">
        <v>-48.82</v>
      </c>
      <c r="F548">
        <v>5.1769999999999996</v>
      </c>
      <c r="G548">
        <v>5.5839999999999996</v>
      </c>
      <c r="K548">
        <v>3.3980000000000001</v>
      </c>
      <c r="L548">
        <v>241.6</v>
      </c>
      <c r="M548">
        <v>0</v>
      </c>
      <c r="O548">
        <v>-11.5</v>
      </c>
      <c r="P548">
        <v>-10.85</v>
      </c>
      <c r="Q548">
        <v>6.0970000000000004</v>
      </c>
      <c r="S548">
        <v>5.6669999999999998</v>
      </c>
      <c r="T548">
        <v>0</v>
      </c>
      <c r="U548">
        <v>94.2</v>
      </c>
      <c r="V548">
        <v>1018</v>
      </c>
      <c r="W548">
        <v>51.25</v>
      </c>
      <c r="Y548">
        <v>12.88</v>
      </c>
    </row>
    <row r="549" spans="1:25" x14ac:dyDescent="0.25">
      <c r="A549">
        <v>2006</v>
      </c>
      <c r="B549">
        <v>324</v>
      </c>
      <c r="C549">
        <v>600</v>
      </c>
      <c r="D549">
        <v>-2.5070000000000001</v>
      </c>
      <c r="E549">
        <v>-46.26</v>
      </c>
      <c r="F549">
        <v>4.9340000000000002</v>
      </c>
      <c r="G549">
        <v>5.3380000000000001</v>
      </c>
      <c r="K549">
        <v>3.331</v>
      </c>
      <c r="L549">
        <v>240.4</v>
      </c>
      <c r="M549">
        <v>0</v>
      </c>
      <c r="O549">
        <v>-11.5</v>
      </c>
      <c r="P549">
        <v>-10.85</v>
      </c>
      <c r="Q549">
        <v>5.9660000000000002</v>
      </c>
      <c r="S549">
        <v>5.6269999999999998</v>
      </c>
      <c r="T549">
        <v>0</v>
      </c>
      <c r="U549">
        <v>94.2</v>
      </c>
      <c r="V549">
        <v>1019</v>
      </c>
      <c r="W549">
        <v>51.28</v>
      </c>
      <c r="Y549">
        <v>12.88</v>
      </c>
    </row>
    <row r="550" spans="1:25" x14ac:dyDescent="0.25">
      <c r="A550">
        <v>2006</v>
      </c>
      <c r="B550">
        <v>324</v>
      </c>
      <c r="C550">
        <v>700</v>
      </c>
      <c r="D550">
        <v>-2.3940000000000001</v>
      </c>
      <c r="E550">
        <v>-43.69</v>
      </c>
      <c r="F550">
        <v>4.875</v>
      </c>
      <c r="G550">
        <v>5.2110000000000003</v>
      </c>
      <c r="K550">
        <v>3.379</v>
      </c>
      <c r="L550">
        <v>244</v>
      </c>
      <c r="M550">
        <v>0</v>
      </c>
      <c r="O550">
        <v>-11.51</v>
      </c>
      <c r="P550">
        <v>-10.85</v>
      </c>
      <c r="Q550">
        <v>5.8250000000000002</v>
      </c>
      <c r="S550">
        <v>5.6040000000000001</v>
      </c>
      <c r="T550">
        <v>0</v>
      </c>
      <c r="U550">
        <v>95.1</v>
      </c>
      <c r="V550">
        <v>1018</v>
      </c>
      <c r="W550">
        <v>51.14</v>
      </c>
      <c r="Y550">
        <v>12.87</v>
      </c>
    </row>
    <row r="551" spans="1:25" x14ac:dyDescent="0.25">
      <c r="A551">
        <v>2006</v>
      </c>
      <c r="B551">
        <v>324</v>
      </c>
      <c r="C551">
        <v>800</v>
      </c>
      <c r="D551">
        <v>-1.764</v>
      </c>
      <c r="E551">
        <v>-44.25</v>
      </c>
      <c r="F551">
        <v>4.9560000000000004</v>
      </c>
      <c r="G551">
        <v>5.2969999999999997</v>
      </c>
      <c r="K551">
        <v>3.4729999999999999</v>
      </c>
      <c r="L551">
        <v>239.3</v>
      </c>
      <c r="M551">
        <v>0</v>
      </c>
      <c r="O551">
        <v>-10.52</v>
      </c>
      <c r="P551">
        <v>-10.58</v>
      </c>
      <c r="Q551">
        <v>5.6989999999999998</v>
      </c>
      <c r="S551">
        <v>5.6139999999999999</v>
      </c>
      <c r="T551">
        <v>0</v>
      </c>
      <c r="U551">
        <v>95.1</v>
      </c>
      <c r="V551">
        <v>1019</v>
      </c>
      <c r="W551">
        <v>51.38</v>
      </c>
      <c r="Y551">
        <v>12.87</v>
      </c>
    </row>
    <row r="552" spans="1:25" x14ac:dyDescent="0.25">
      <c r="A552">
        <v>2006</v>
      </c>
      <c r="B552">
        <v>324</v>
      </c>
      <c r="C552">
        <v>900</v>
      </c>
      <c r="D552">
        <v>29.93</v>
      </c>
      <c r="E552">
        <v>-11.83</v>
      </c>
      <c r="F552">
        <v>4.9409999999999998</v>
      </c>
      <c r="G552">
        <v>5.226</v>
      </c>
      <c r="H552">
        <f>AVERAGE(G552:G576)</f>
        <v>4.8401200000000015</v>
      </c>
      <c r="I552">
        <f>MIN(G552:G576)</f>
        <v>2.206</v>
      </c>
      <c r="J552">
        <f>MAX(G552:G576)</f>
        <v>7.54</v>
      </c>
      <c r="K552">
        <v>3.2749999999999999</v>
      </c>
      <c r="L552">
        <v>241.9</v>
      </c>
      <c r="M552">
        <v>0</v>
      </c>
      <c r="N552">
        <f>SUM(M552:M576)</f>
        <v>4.4000000000000004</v>
      </c>
      <c r="O552">
        <v>27.4</v>
      </c>
      <c r="P552">
        <v>-0.76200000000000001</v>
      </c>
      <c r="Q552">
        <v>5.5880000000000001</v>
      </c>
      <c r="S552">
        <v>5.5309999999999997</v>
      </c>
      <c r="T552">
        <v>0</v>
      </c>
      <c r="U552">
        <v>95.9</v>
      </c>
      <c r="V552">
        <v>1019</v>
      </c>
      <c r="W552">
        <v>51.27</v>
      </c>
      <c r="Y552">
        <v>12.97</v>
      </c>
    </row>
    <row r="553" spans="1:25" x14ac:dyDescent="0.25">
      <c r="A553">
        <v>2006</v>
      </c>
      <c r="B553">
        <v>324</v>
      </c>
      <c r="C553">
        <v>1000</v>
      </c>
      <c r="D553">
        <v>89.2</v>
      </c>
      <c r="E553">
        <v>21.5</v>
      </c>
      <c r="F553">
        <v>5.149</v>
      </c>
      <c r="G553">
        <v>5.4669999999999996</v>
      </c>
      <c r="K553">
        <v>3.806</v>
      </c>
      <c r="L553">
        <v>239.1</v>
      </c>
      <c r="M553">
        <v>0</v>
      </c>
      <c r="O553">
        <v>88.8</v>
      </c>
      <c r="P553">
        <v>27.32</v>
      </c>
      <c r="Q553">
        <v>5.4729999999999999</v>
      </c>
      <c r="S553">
        <v>5.5039999999999996</v>
      </c>
      <c r="T553">
        <v>0</v>
      </c>
      <c r="U553">
        <v>95.4</v>
      </c>
      <c r="V553">
        <v>1018</v>
      </c>
      <c r="W553">
        <v>51.19</v>
      </c>
      <c r="Y553">
        <v>13.67</v>
      </c>
    </row>
    <row r="554" spans="1:25" x14ac:dyDescent="0.25">
      <c r="A554">
        <v>2006</v>
      </c>
      <c r="B554">
        <v>324</v>
      </c>
      <c r="C554">
        <v>1100</v>
      </c>
      <c r="D554">
        <v>93.2</v>
      </c>
      <c r="E554">
        <v>53.37</v>
      </c>
      <c r="F554">
        <v>5.6630000000000003</v>
      </c>
      <c r="G554">
        <v>6.0789999999999997</v>
      </c>
      <c r="K554">
        <v>3.7989999999999999</v>
      </c>
      <c r="L554">
        <v>244</v>
      </c>
      <c r="M554">
        <v>0</v>
      </c>
      <c r="O554">
        <v>105.8</v>
      </c>
      <c r="P554">
        <v>22.43</v>
      </c>
      <c r="Q554">
        <v>5.4109999999999996</v>
      </c>
      <c r="S554">
        <v>5.4470000000000001</v>
      </c>
      <c r="T554">
        <v>0</v>
      </c>
      <c r="U554">
        <v>94.2</v>
      </c>
      <c r="V554">
        <v>1016</v>
      </c>
      <c r="W554">
        <v>50.88</v>
      </c>
      <c r="Y554">
        <v>13.74</v>
      </c>
    </row>
    <row r="555" spans="1:25" x14ac:dyDescent="0.25">
      <c r="A555">
        <v>2006</v>
      </c>
      <c r="B555">
        <v>324</v>
      </c>
      <c r="C555">
        <v>1200</v>
      </c>
      <c r="D555">
        <v>184</v>
      </c>
      <c r="E555">
        <v>115.1</v>
      </c>
      <c r="F555">
        <v>6.32</v>
      </c>
      <c r="G555">
        <v>6.7110000000000003</v>
      </c>
      <c r="K555">
        <v>4.569</v>
      </c>
      <c r="L555">
        <v>241.7</v>
      </c>
      <c r="M555">
        <v>0</v>
      </c>
      <c r="O555">
        <v>212.5</v>
      </c>
      <c r="P555">
        <v>78.900000000000006</v>
      </c>
      <c r="Q555">
        <v>5.4939999999999998</v>
      </c>
      <c r="S555">
        <v>5.4260000000000002</v>
      </c>
      <c r="T555">
        <v>0</v>
      </c>
      <c r="U555">
        <v>94.7</v>
      </c>
      <c r="V555">
        <v>952</v>
      </c>
      <c r="W555">
        <v>43.76</v>
      </c>
      <c r="Y555">
        <v>14.2</v>
      </c>
    </row>
    <row r="556" spans="1:25" x14ac:dyDescent="0.25">
      <c r="A556">
        <v>2006</v>
      </c>
      <c r="B556">
        <v>324</v>
      </c>
      <c r="C556">
        <v>1300</v>
      </c>
      <c r="D556">
        <v>202.9</v>
      </c>
      <c r="E556">
        <v>135.4</v>
      </c>
      <c r="F556">
        <v>6.859</v>
      </c>
      <c r="G556">
        <v>7.24</v>
      </c>
      <c r="K556">
        <v>4.6760000000000002</v>
      </c>
      <c r="L556">
        <v>239.8</v>
      </c>
      <c r="M556">
        <v>0</v>
      </c>
      <c r="O556">
        <v>235.8</v>
      </c>
      <c r="P556">
        <v>97.2</v>
      </c>
      <c r="Q556">
        <v>5.5839999999999996</v>
      </c>
      <c r="S556">
        <v>5.4109999999999996</v>
      </c>
      <c r="T556">
        <v>0</v>
      </c>
      <c r="U556">
        <v>94.9</v>
      </c>
      <c r="V556">
        <v>942</v>
      </c>
      <c r="W556">
        <v>42.9</v>
      </c>
      <c r="Y556">
        <v>14.34</v>
      </c>
    </row>
    <row r="557" spans="1:25" x14ac:dyDescent="0.25">
      <c r="A557">
        <v>2006</v>
      </c>
      <c r="B557">
        <v>324</v>
      </c>
      <c r="C557">
        <v>1400</v>
      </c>
      <c r="D557">
        <v>202.3</v>
      </c>
      <c r="E557">
        <v>130.6</v>
      </c>
      <c r="F557">
        <v>7.23</v>
      </c>
      <c r="G557">
        <v>7.54</v>
      </c>
      <c r="K557">
        <v>4.7949999999999999</v>
      </c>
      <c r="L557">
        <v>241.4</v>
      </c>
      <c r="M557">
        <v>0</v>
      </c>
      <c r="O557">
        <v>228.1</v>
      </c>
      <c r="P557">
        <v>115.2</v>
      </c>
      <c r="Q557">
        <v>5.7</v>
      </c>
      <c r="S557">
        <v>5.4379999999999997</v>
      </c>
      <c r="T557">
        <v>0</v>
      </c>
      <c r="U557">
        <v>96</v>
      </c>
      <c r="V557">
        <v>934</v>
      </c>
      <c r="W557">
        <v>42.19</v>
      </c>
      <c r="Y557">
        <v>14.39</v>
      </c>
    </row>
    <row r="558" spans="1:25" x14ac:dyDescent="0.25">
      <c r="A558">
        <v>2006</v>
      </c>
      <c r="B558">
        <v>324</v>
      </c>
      <c r="C558">
        <v>1500</v>
      </c>
      <c r="D558">
        <v>100.9</v>
      </c>
      <c r="E558">
        <v>51.29</v>
      </c>
      <c r="F558">
        <v>7.31</v>
      </c>
      <c r="G558">
        <v>7.54</v>
      </c>
      <c r="K558">
        <v>4.7759999999999998</v>
      </c>
      <c r="L558">
        <v>249.7</v>
      </c>
      <c r="M558">
        <v>0.2</v>
      </c>
      <c r="O558">
        <v>105.4</v>
      </c>
      <c r="P558">
        <v>51.4</v>
      </c>
      <c r="Q558">
        <v>5.8369999999999997</v>
      </c>
      <c r="S558">
        <v>5.4379999999999997</v>
      </c>
      <c r="T558">
        <v>0</v>
      </c>
      <c r="U558">
        <v>96.9</v>
      </c>
      <c r="V558">
        <v>930</v>
      </c>
      <c r="W558">
        <v>41.79</v>
      </c>
      <c r="Y558">
        <v>14.06</v>
      </c>
    </row>
    <row r="559" spans="1:25" x14ac:dyDescent="0.25">
      <c r="A559">
        <v>2006</v>
      </c>
      <c r="B559">
        <v>324</v>
      </c>
      <c r="C559">
        <v>1600</v>
      </c>
      <c r="D559">
        <v>31.81</v>
      </c>
      <c r="E559">
        <v>-16.41</v>
      </c>
      <c r="F559">
        <v>6.2839999999999998</v>
      </c>
      <c r="G559">
        <v>6.3929999999999998</v>
      </c>
      <c r="K559">
        <v>4.8529999999999998</v>
      </c>
      <c r="L559">
        <v>248.3</v>
      </c>
      <c r="M559">
        <v>0</v>
      </c>
      <c r="O559">
        <v>27.05</v>
      </c>
      <c r="P559">
        <v>5.5750000000000002</v>
      </c>
      <c r="Q559">
        <v>5.8739999999999997</v>
      </c>
      <c r="S559">
        <v>5.3940000000000001</v>
      </c>
      <c r="T559">
        <v>0</v>
      </c>
      <c r="U559">
        <v>98.5</v>
      </c>
      <c r="V559">
        <v>928</v>
      </c>
      <c r="W559">
        <v>41.68</v>
      </c>
      <c r="Y559">
        <v>13.69</v>
      </c>
    </row>
    <row r="560" spans="1:25" x14ac:dyDescent="0.25">
      <c r="A560">
        <v>2006</v>
      </c>
      <c r="B560">
        <v>324</v>
      </c>
      <c r="C560">
        <v>1700</v>
      </c>
      <c r="D560">
        <v>4.9000000000000002E-2</v>
      </c>
      <c r="E560">
        <v>-44.03</v>
      </c>
      <c r="F560">
        <v>5.5019999999999998</v>
      </c>
      <c r="G560">
        <v>5.7619999999999996</v>
      </c>
      <c r="K560">
        <v>3.2090000000000001</v>
      </c>
      <c r="L560">
        <v>238.2</v>
      </c>
      <c r="M560">
        <v>0</v>
      </c>
      <c r="O560">
        <v>-8.1199999999999992</v>
      </c>
      <c r="P560">
        <v>-9.82</v>
      </c>
      <c r="Q560">
        <v>5.9020000000000001</v>
      </c>
      <c r="S560">
        <v>5.4089999999999998</v>
      </c>
      <c r="T560">
        <v>0</v>
      </c>
      <c r="U560">
        <v>96.3</v>
      </c>
      <c r="V560">
        <v>924</v>
      </c>
      <c r="W560">
        <v>41.34</v>
      </c>
      <c r="Y560">
        <v>13.55</v>
      </c>
    </row>
    <row r="561" spans="1:25" x14ac:dyDescent="0.25">
      <c r="A561">
        <v>2006</v>
      </c>
      <c r="B561">
        <v>324</v>
      </c>
      <c r="C561">
        <v>1800</v>
      </c>
      <c r="D561">
        <v>-1.2969999999999999</v>
      </c>
      <c r="E561">
        <v>-8.15</v>
      </c>
      <c r="F561">
        <v>5.665</v>
      </c>
      <c r="G561">
        <v>6.0289999999999999</v>
      </c>
      <c r="K561">
        <v>3.532</v>
      </c>
      <c r="L561">
        <v>251.8</v>
      </c>
      <c r="M561">
        <v>0</v>
      </c>
      <c r="O561">
        <v>-11.5</v>
      </c>
      <c r="P561">
        <v>-10.84</v>
      </c>
      <c r="Q561">
        <v>5.8319999999999999</v>
      </c>
      <c r="S561">
        <v>5.4290000000000003</v>
      </c>
      <c r="T561">
        <v>0</v>
      </c>
      <c r="U561">
        <v>94.9</v>
      </c>
      <c r="V561">
        <v>921</v>
      </c>
      <c r="W561">
        <v>41.04</v>
      </c>
      <c r="Y561">
        <v>13.44</v>
      </c>
    </row>
    <row r="562" spans="1:25" x14ac:dyDescent="0.25">
      <c r="A562">
        <v>2006</v>
      </c>
      <c r="B562">
        <v>324</v>
      </c>
      <c r="C562">
        <v>1900</v>
      </c>
      <c r="D562">
        <v>-1.407</v>
      </c>
      <c r="E562">
        <v>-10.130000000000001</v>
      </c>
      <c r="F562">
        <v>5.45</v>
      </c>
      <c r="G562">
        <v>5.61</v>
      </c>
      <c r="K562">
        <v>3.3759999999999999</v>
      </c>
      <c r="L562">
        <v>252.9</v>
      </c>
      <c r="M562">
        <v>0.6</v>
      </c>
      <c r="O562">
        <v>-11.5</v>
      </c>
      <c r="P562">
        <v>-10.85</v>
      </c>
      <c r="Q562">
        <v>5.7690000000000001</v>
      </c>
      <c r="S562">
        <v>5.4290000000000003</v>
      </c>
      <c r="T562">
        <v>0</v>
      </c>
      <c r="U562">
        <v>97.7</v>
      </c>
      <c r="V562">
        <v>921</v>
      </c>
      <c r="W562">
        <v>41.08</v>
      </c>
      <c r="Y562">
        <v>13.35</v>
      </c>
    </row>
    <row r="563" spans="1:25" x14ac:dyDescent="0.25">
      <c r="A563">
        <v>2006</v>
      </c>
      <c r="B563">
        <v>324</v>
      </c>
      <c r="C563">
        <v>2000</v>
      </c>
      <c r="D563">
        <v>-0.82399999999999995</v>
      </c>
      <c r="E563">
        <v>-9.9</v>
      </c>
      <c r="F563">
        <v>4.899</v>
      </c>
      <c r="G563">
        <v>5.0129999999999999</v>
      </c>
      <c r="K563">
        <v>3.9129999999999998</v>
      </c>
      <c r="L563">
        <v>269.60000000000002</v>
      </c>
      <c r="M563">
        <v>1.2</v>
      </c>
      <c r="O563">
        <v>-11.51</v>
      </c>
      <c r="P563">
        <v>-10.85</v>
      </c>
      <c r="Q563">
        <v>5.7320000000000002</v>
      </c>
      <c r="S563">
        <v>5.44</v>
      </c>
      <c r="T563">
        <v>0</v>
      </c>
      <c r="U563">
        <v>98.3</v>
      </c>
      <c r="V563">
        <v>955</v>
      </c>
      <c r="W563">
        <v>44.19</v>
      </c>
      <c r="Y563">
        <v>13.27</v>
      </c>
    </row>
    <row r="564" spans="1:25" x14ac:dyDescent="0.25">
      <c r="A564">
        <v>2006</v>
      </c>
      <c r="B564">
        <v>324</v>
      </c>
      <c r="C564">
        <v>2100</v>
      </c>
      <c r="D564">
        <v>-2.2639999999999998</v>
      </c>
      <c r="E564">
        <v>-47.05</v>
      </c>
      <c r="F564">
        <v>3.96</v>
      </c>
      <c r="G564">
        <v>4.1660000000000004</v>
      </c>
      <c r="K564">
        <v>3.3260000000000001</v>
      </c>
      <c r="L564">
        <v>244.4</v>
      </c>
      <c r="M564">
        <v>0</v>
      </c>
      <c r="O564">
        <v>-11.51</v>
      </c>
      <c r="P564">
        <v>-10.85</v>
      </c>
      <c r="Q564">
        <v>5.742</v>
      </c>
      <c r="S564">
        <v>5.4</v>
      </c>
      <c r="T564">
        <v>0</v>
      </c>
      <c r="U564">
        <v>96.9</v>
      </c>
      <c r="V564">
        <v>974</v>
      </c>
      <c r="W564">
        <v>46</v>
      </c>
      <c r="Y564">
        <v>13.19</v>
      </c>
    </row>
    <row r="565" spans="1:25" x14ac:dyDescent="0.25">
      <c r="A565">
        <v>2006</v>
      </c>
      <c r="B565">
        <v>324</v>
      </c>
      <c r="C565">
        <v>2200</v>
      </c>
      <c r="D565">
        <v>-2.3519999999999999</v>
      </c>
      <c r="E565">
        <v>-49.46</v>
      </c>
      <c r="F565">
        <v>3.605</v>
      </c>
      <c r="G565">
        <v>4.0910000000000002</v>
      </c>
      <c r="K565">
        <v>4.5789999999999997</v>
      </c>
      <c r="L565">
        <v>255.4</v>
      </c>
      <c r="M565">
        <v>0</v>
      </c>
      <c r="O565">
        <v>-11.51</v>
      </c>
      <c r="P565">
        <v>-10.85</v>
      </c>
      <c r="Q565">
        <v>5.6820000000000004</v>
      </c>
      <c r="S565">
        <v>5.4180000000000001</v>
      </c>
      <c r="T565">
        <v>0</v>
      </c>
      <c r="U565">
        <v>92.6</v>
      </c>
      <c r="V565">
        <v>975</v>
      </c>
      <c r="W565">
        <v>46.13</v>
      </c>
      <c r="Y565">
        <v>13.13</v>
      </c>
    </row>
    <row r="566" spans="1:25" x14ac:dyDescent="0.25">
      <c r="A566">
        <v>2006</v>
      </c>
      <c r="B566">
        <v>324</v>
      </c>
      <c r="C566">
        <v>2300</v>
      </c>
      <c r="D566">
        <v>-2.3250000000000002</v>
      </c>
      <c r="E566">
        <v>-42.41</v>
      </c>
      <c r="F566">
        <v>3.5870000000000002</v>
      </c>
      <c r="G566">
        <v>3.9390000000000001</v>
      </c>
      <c r="K566">
        <v>4.141</v>
      </c>
      <c r="L566">
        <v>255.2</v>
      </c>
      <c r="M566">
        <v>0</v>
      </c>
      <c r="O566">
        <v>-11.51</v>
      </c>
      <c r="P566">
        <v>-10.85</v>
      </c>
      <c r="Q566">
        <v>5.5439999999999996</v>
      </c>
      <c r="S566">
        <v>5.4189999999999996</v>
      </c>
      <c r="T566">
        <v>0</v>
      </c>
      <c r="U566">
        <v>94.6</v>
      </c>
      <c r="V566">
        <v>976</v>
      </c>
      <c r="W566">
        <v>46.24</v>
      </c>
      <c r="Y566">
        <v>13.07</v>
      </c>
    </row>
    <row r="567" spans="1:25" x14ac:dyDescent="0.25">
      <c r="A567">
        <v>2006</v>
      </c>
      <c r="B567">
        <v>324</v>
      </c>
      <c r="C567">
        <v>2400</v>
      </c>
      <c r="D567">
        <v>-1.56</v>
      </c>
      <c r="E567">
        <v>-25.93</v>
      </c>
      <c r="F567">
        <v>3.3740000000000001</v>
      </c>
      <c r="G567">
        <v>3.7120000000000002</v>
      </c>
      <c r="K567">
        <v>4.0949999999999998</v>
      </c>
      <c r="L567">
        <v>252.2</v>
      </c>
      <c r="M567">
        <v>0</v>
      </c>
      <c r="O567">
        <v>-11.51</v>
      </c>
      <c r="P567">
        <v>-10.85</v>
      </c>
      <c r="Q567">
        <v>5.407</v>
      </c>
      <c r="S567">
        <v>5.343</v>
      </c>
      <c r="T567">
        <v>0</v>
      </c>
      <c r="U567">
        <v>94.8</v>
      </c>
      <c r="V567">
        <v>977</v>
      </c>
      <c r="W567">
        <v>46.34</v>
      </c>
      <c r="Y567">
        <v>13.01</v>
      </c>
    </row>
    <row r="568" spans="1:25" x14ac:dyDescent="0.25">
      <c r="A568">
        <v>2006</v>
      </c>
      <c r="B568">
        <v>324</v>
      </c>
      <c r="C568">
        <v>2400</v>
      </c>
      <c r="D568">
        <v>37.6</v>
      </c>
      <c r="E568">
        <v>-5.016</v>
      </c>
      <c r="F568">
        <v>5.46</v>
      </c>
      <c r="G568">
        <v>5.7869999999999999</v>
      </c>
      <c r="K568">
        <v>3.8119999999999998</v>
      </c>
      <c r="L568">
        <v>248.3</v>
      </c>
      <c r="M568">
        <v>2</v>
      </c>
      <c r="O568">
        <v>35.46</v>
      </c>
      <c r="P568">
        <v>9.3800000000000008</v>
      </c>
      <c r="Q568">
        <v>5.8159999999999998</v>
      </c>
      <c r="S568">
        <v>5.4859999999999998</v>
      </c>
      <c r="T568">
        <v>0</v>
      </c>
      <c r="U568">
        <v>95.4</v>
      </c>
      <c r="V568">
        <v>979</v>
      </c>
      <c r="W568">
        <v>47</v>
      </c>
      <c r="Y568">
        <v>13.34</v>
      </c>
    </row>
    <row r="569" spans="1:25" x14ac:dyDescent="0.25">
      <c r="A569">
        <v>2006</v>
      </c>
      <c r="B569">
        <v>325</v>
      </c>
      <c r="C569">
        <v>100</v>
      </c>
      <c r="D569">
        <v>-2.2370000000000001</v>
      </c>
      <c r="E569">
        <v>-38.97</v>
      </c>
      <c r="F569">
        <v>3.298</v>
      </c>
      <c r="G569">
        <v>3.6259999999999999</v>
      </c>
      <c r="K569">
        <v>3.8260000000000001</v>
      </c>
      <c r="L569">
        <v>249.3</v>
      </c>
      <c r="M569">
        <v>0</v>
      </c>
      <c r="O569">
        <v>-11.51</v>
      </c>
      <c r="P569">
        <v>-10.85</v>
      </c>
      <c r="Q569">
        <v>5.2869999999999999</v>
      </c>
      <c r="S569">
        <v>5.3109999999999999</v>
      </c>
      <c r="T569">
        <v>0</v>
      </c>
      <c r="U569">
        <v>94.9</v>
      </c>
      <c r="V569">
        <v>969</v>
      </c>
      <c r="W569">
        <v>45.57</v>
      </c>
      <c r="Y569">
        <v>12.98</v>
      </c>
    </row>
    <row r="570" spans="1:25" x14ac:dyDescent="0.25">
      <c r="A570">
        <v>2006</v>
      </c>
      <c r="B570">
        <v>325</v>
      </c>
      <c r="C570">
        <v>200</v>
      </c>
      <c r="D570">
        <v>-1.8819999999999999</v>
      </c>
      <c r="E570">
        <v>-33.18</v>
      </c>
      <c r="F570">
        <v>3.3180000000000001</v>
      </c>
      <c r="G570">
        <v>3.5550000000000002</v>
      </c>
      <c r="K570">
        <v>4.3890000000000002</v>
      </c>
      <c r="L570">
        <v>255</v>
      </c>
      <c r="M570">
        <v>0.2</v>
      </c>
      <c r="O570">
        <v>-11.51</v>
      </c>
      <c r="P570">
        <v>-10.85</v>
      </c>
      <c r="Q570">
        <v>5.1769999999999996</v>
      </c>
      <c r="S570">
        <v>5.2869999999999999</v>
      </c>
      <c r="T570">
        <v>0</v>
      </c>
      <c r="U570">
        <v>96.3</v>
      </c>
      <c r="V570">
        <v>939</v>
      </c>
      <c r="W570">
        <v>42.62</v>
      </c>
      <c r="Y570">
        <v>12.95</v>
      </c>
    </row>
    <row r="571" spans="1:25" x14ac:dyDescent="0.25">
      <c r="A571">
        <v>2006</v>
      </c>
      <c r="B571">
        <v>325</v>
      </c>
      <c r="C571">
        <v>300</v>
      </c>
      <c r="D571">
        <v>-1.853</v>
      </c>
      <c r="E571">
        <v>-27.4</v>
      </c>
      <c r="F571">
        <v>3.0539999999999998</v>
      </c>
      <c r="G571">
        <v>3.254</v>
      </c>
      <c r="K571">
        <v>3.48</v>
      </c>
      <c r="L571">
        <v>249.1</v>
      </c>
      <c r="M571">
        <v>0.2</v>
      </c>
      <c r="O571">
        <v>-11.51</v>
      </c>
      <c r="P571">
        <v>-10.84</v>
      </c>
      <c r="Q571">
        <v>5.077</v>
      </c>
      <c r="S571">
        <v>5.2050000000000001</v>
      </c>
      <c r="T571">
        <v>0</v>
      </c>
      <c r="U571">
        <v>96.9</v>
      </c>
      <c r="V571">
        <v>941</v>
      </c>
      <c r="W571">
        <v>42.79</v>
      </c>
      <c r="Y571">
        <v>12.93</v>
      </c>
    </row>
    <row r="572" spans="1:25" x14ac:dyDescent="0.25">
      <c r="A572">
        <v>2006</v>
      </c>
      <c r="B572">
        <v>325</v>
      </c>
      <c r="C572">
        <v>400</v>
      </c>
      <c r="D572">
        <v>-2.2530000000000001</v>
      </c>
      <c r="E572">
        <v>-42.85</v>
      </c>
      <c r="F572">
        <v>2.6110000000000002</v>
      </c>
      <c r="G572">
        <v>2.8969999999999998</v>
      </c>
      <c r="K572">
        <v>3.8650000000000002</v>
      </c>
      <c r="L572">
        <v>249.9</v>
      </c>
      <c r="M572">
        <v>0</v>
      </c>
      <c r="O572">
        <v>-11.51</v>
      </c>
      <c r="P572">
        <v>-10.85</v>
      </c>
      <c r="Q572">
        <v>5.01</v>
      </c>
      <c r="S572">
        <v>5.2080000000000002</v>
      </c>
      <c r="T572">
        <v>0</v>
      </c>
      <c r="U572">
        <v>95.4</v>
      </c>
      <c r="V572">
        <v>937</v>
      </c>
      <c r="W572">
        <v>42.43</v>
      </c>
      <c r="Y572">
        <v>12.91</v>
      </c>
    </row>
    <row r="573" spans="1:25" x14ac:dyDescent="0.25">
      <c r="A573">
        <v>2006</v>
      </c>
      <c r="B573">
        <v>325</v>
      </c>
      <c r="C573">
        <v>500</v>
      </c>
      <c r="D573">
        <v>-2.2250000000000001</v>
      </c>
      <c r="E573">
        <v>-43.5</v>
      </c>
      <c r="F573">
        <v>3.0579999999999998</v>
      </c>
      <c r="G573">
        <v>3.4620000000000002</v>
      </c>
      <c r="K573">
        <v>5.0679999999999996</v>
      </c>
      <c r="L573">
        <v>266.3</v>
      </c>
      <c r="M573">
        <v>0</v>
      </c>
      <c r="O573">
        <v>-11.51</v>
      </c>
      <c r="P573">
        <v>-10.85</v>
      </c>
      <c r="Q573">
        <v>4.92</v>
      </c>
      <c r="S573">
        <v>5.1429999999999998</v>
      </c>
      <c r="T573">
        <v>0</v>
      </c>
      <c r="U573">
        <v>93.7</v>
      </c>
      <c r="V573">
        <v>930</v>
      </c>
      <c r="W573">
        <v>41.86</v>
      </c>
      <c r="Y573">
        <v>12.9</v>
      </c>
    </row>
    <row r="574" spans="1:25" x14ac:dyDescent="0.25">
      <c r="A574">
        <v>2006</v>
      </c>
      <c r="B574">
        <v>325</v>
      </c>
      <c r="C574">
        <v>600</v>
      </c>
      <c r="D574">
        <v>-2.4319999999999999</v>
      </c>
      <c r="E574">
        <v>-48.69</v>
      </c>
      <c r="F574">
        <v>2.8319999999999999</v>
      </c>
      <c r="G574">
        <v>3.149</v>
      </c>
      <c r="K574">
        <v>4.452</v>
      </c>
      <c r="L574">
        <v>262.5</v>
      </c>
      <c r="M574">
        <v>0</v>
      </c>
      <c r="O574">
        <v>-11.51</v>
      </c>
      <c r="P574">
        <v>-10.84</v>
      </c>
      <c r="Q574">
        <v>4.8230000000000004</v>
      </c>
      <c r="S574">
        <v>5.141</v>
      </c>
      <c r="T574">
        <v>0</v>
      </c>
      <c r="U574">
        <v>95</v>
      </c>
      <c r="V574">
        <v>924</v>
      </c>
      <c r="W574">
        <v>41.29</v>
      </c>
      <c r="Y574">
        <v>12.89</v>
      </c>
    </row>
    <row r="575" spans="1:25" x14ac:dyDescent="0.25">
      <c r="A575">
        <v>2006</v>
      </c>
      <c r="B575">
        <v>325</v>
      </c>
      <c r="C575">
        <v>700</v>
      </c>
      <c r="D575">
        <v>-2.4300000000000002</v>
      </c>
      <c r="E575">
        <v>-50.61</v>
      </c>
      <c r="F575">
        <v>2.2480000000000002</v>
      </c>
      <c r="G575">
        <v>2.5489999999999999</v>
      </c>
      <c r="K575">
        <v>3.5590000000000002</v>
      </c>
      <c r="L575">
        <v>257</v>
      </c>
      <c r="M575">
        <v>0</v>
      </c>
      <c r="O575">
        <v>-11.51</v>
      </c>
      <c r="P575">
        <v>-10.84</v>
      </c>
      <c r="Q575">
        <v>4.72</v>
      </c>
      <c r="S575">
        <v>5.04</v>
      </c>
      <c r="T575">
        <v>0</v>
      </c>
      <c r="U575">
        <v>95.1</v>
      </c>
      <c r="V575">
        <v>919</v>
      </c>
      <c r="W575">
        <v>40.92</v>
      </c>
      <c r="Y575">
        <v>12.89</v>
      </c>
    </row>
    <row r="576" spans="1:25" x14ac:dyDescent="0.25">
      <c r="A576">
        <v>2006</v>
      </c>
      <c r="B576">
        <v>325</v>
      </c>
      <c r="C576">
        <v>800</v>
      </c>
      <c r="D576">
        <v>-1.6120000000000001</v>
      </c>
      <c r="E576">
        <v>-44.66</v>
      </c>
      <c r="F576">
        <v>1.9710000000000001</v>
      </c>
      <c r="G576">
        <v>2.206</v>
      </c>
      <c r="K576">
        <v>3.4449999999999998</v>
      </c>
      <c r="L576">
        <v>256.5</v>
      </c>
      <c r="M576">
        <v>0</v>
      </c>
      <c r="O576">
        <v>-10.51</v>
      </c>
      <c r="P576">
        <v>-10.51</v>
      </c>
      <c r="Q576">
        <v>4.5970000000000004</v>
      </c>
      <c r="S576">
        <v>5.0019999999999998</v>
      </c>
      <c r="T576">
        <v>0</v>
      </c>
      <c r="U576">
        <v>96.1</v>
      </c>
      <c r="V576">
        <v>913</v>
      </c>
      <c r="W576">
        <v>40.450000000000003</v>
      </c>
      <c r="Y576">
        <v>12.88</v>
      </c>
    </row>
    <row r="577" spans="1:25" x14ac:dyDescent="0.25">
      <c r="A577">
        <v>2006</v>
      </c>
      <c r="B577">
        <v>325</v>
      </c>
      <c r="C577">
        <v>900</v>
      </c>
      <c r="D577">
        <v>19.97</v>
      </c>
      <c r="E577">
        <v>-5.1360000000000001</v>
      </c>
      <c r="F577">
        <v>2.4350000000000001</v>
      </c>
      <c r="G577">
        <v>2.6960000000000002</v>
      </c>
      <c r="H577">
        <f>AVERAGE(G577:G601)</f>
        <v>5.3116000000000012</v>
      </c>
      <c r="I577">
        <f>MIN(G577:G601)</f>
        <v>2.6960000000000002</v>
      </c>
      <c r="J577">
        <f>MAX(G577:G601)</f>
        <v>7.52</v>
      </c>
      <c r="K577">
        <v>3.5169999999999999</v>
      </c>
      <c r="L577">
        <v>253.6</v>
      </c>
      <c r="M577">
        <v>0</v>
      </c>
      <c r="N577">
        <f>SUM(M577:M601)</f>
        <v>0.4</v>
      </c>
      <c r="O577">
        <v>19.93</v>
      </c>
      <c r="P577">
        <v>-3.294</v>
      </c>
      <c r="Q577">
        <v>4.5049999999999999</v>
      </c>
      <c r="S577">
        <v>4.9539999999999997</v>
      </c>
      <c r="T577">
        <v>0</v>
      </c>
      <c r="U577">
        <v>95.8</v>
      </c>
      <c r="V577">
        <v>909</v>
      </c>
      <c r="W577">
        <v>40.15</v>
      </c>
      <c r="Y577">
        <v>12.93</v>
      </c>
    </row>
    <row r="578" spans="1:25" x14ac:dyDescent="0.25">
      <c r="A578">
        <v>2006</v>
      </c>
      <c r="B578">
        <v>325</v>
      </c>
      <c r="C578">
        <v>1000</v>
      </c>
      <c r="D578">
        <v>36.99</v>
      </c>
      <c r="E578">
        <v>19.12</v>
      </c>
      <c r="F578">
        <v>3.0219999999999998</v>
      </c>
      <c r="G578">
        <v>3.3380000000000001</v>
      </c>
      <c r="K578">
        <v>3.3540000000000001</v>
      </c>
      <c r="L578">
        <v>251.6</v>
      </c>
      <c r="M578">
        <v>0</v>
      </c>
      <c r="O578">
        <v>35.01</v>
      </c>
      <c r="P578">
        <v>-1.454</v>
      </c>
      <c r="Q578">
        <v>4.42</v>
      </c>
      <c r="S578">
        <v>4.9269999999999996</v>
      </c>
      <c r="T578">
        <v>0</v>
      </c>
      <c r="U578">
        <v>95.1</v>
      </c>
      <c r="V578">
        <v>907</v>
      </c>
      <c r="W578">
        <v>39.979999999999997</v>
      </c>
      <c r="Y578">
        <v>12.95</v>
      </c>
    </row>
    <row r="579" spans="1:25" x14ac:dyDescent="0.25">
      <c r="A579">
        <v>2006</v>
      </c>
      <c r="B579">
        <v>325</v>
      </c>
      <c r="C579">
        <v>1100</v>
      </c>
      <c r="D579">
        <v>109.1</v>
      </c>
      <c r="E579">
        <v>56.29</v>
      </c>
      <c r="F579">
        <v>4.4130000000000003</v>
      </c>
      <c r="G579">
        <v>4.7919999999999998</v>
      </c>
      <c r="K579">
        <v>4.0629999999999997</v>
      </c>
      <c r="L579">
        <v>271.10000000000002</v>
      </c>
      <c r="M579">
        <v>0</v>
      </c>
      <c r="O579">
        <v>121.3</v>
      </c>
      <c r="P579">
        <v>26.13</v>
      </c>
      <c r="Q579">
        <v>4.45</v>
      </c>
      <c r="S579">
        <v>4.91</v>
      </c>
      <c r="T579">
        <v>0</v>
      </c>
      <c r="U579">
        <v>94.4</v>
      </c>
      <c r="V579">
        <v>904</v>
      </c>
      <c r="W579">
        <v>39.76</v>
      </c>
      <c r="Y579">
        <v>13.61</v>
      </c>
    </row>
    <row r="580" spans="1:25" x14ac:dyDescent="0.25">
      <c r="A580">
        <v>2006</v>
      </c>
      <c r="B580">
        <v>325</v>
      </c>
      <c r="C580">
        <v>1200</v>
      </c>
      <c r="D580">
        <v>101.4</v>
      </c>
      <c r="E580">
        <v>70.099999999999994</v>
      </c>
      <c r="F580">
        <v>5.8120000000000003</v>
      </c>
      <c r="G580">
        <v>6.2469999999999999</v>
      </c>
      <c r="K580">
        <v>4.38</v>
      </c>
      <c r="L580">
        <v>286</v>
      </c>
      <c r="M580">
        <v>0</v>
      </c>
      <c r="O580">
        <v>116.2</v>
      </c>
      <c r="P580">
        <v>21.5</v>
      </c>
      <c r="Q580">
        <v>4.5510000000000002</v>
      </c>
      <c r="S580">
        <v>4.8789999999999996</v>
      </c>
      <c r="T580">
        <v>0</v>
      </c>
      <c r="U580">
        <v>94</v>
      </c>
      <c r="V580">
        <v>902</v>
      </c>
      <c r="W580">
        <v>39.57</v>
      </c>
      <c r="Y580">
        <v>13.79</v>
      </c>
    </row>
    <row r="581" spans="1:25" x14ac:dyDescent="0.25">
      <c r="A581">
        <v>2006</v>
      </c>
      <c r="B581">
        <v>325</v>
      </c>
      <c r="C581">
        <v>1300</v>
      </c>
      <c r="D581">
        <v>205.8</v>
      </c>
      <c r="E581">
        <v>143.30000000000001</v>
      </c>
      <c r="F581">
        <v>7.01</v>
      </c>
      <c r="G581">
        <v>7.42</v>
      </c>
      <c r="K581">
        <v>5.3650000000000002</v>
      </c>
      <c r="L581">
        <v>298.7</v>
      </c>
      <c r="M581">
        <v>0</v>
      </c>
      <c r="O581">
        <v>244.8</v>
      </c>
      <c r="P581">
        <v>75.2</v>
      </c>
      <c r="Q581">
        <v>4.7039999999999997</v>
      </c>
      <c r="S581">
        <v>4.87</v>
      </c>
      <c r="T581">
        <v>0</v>
      </c>
      <c r="U581">
        <v>94.6</v>
      </c>
      <c r="V581">
        <v>899</v>
      </c>
      <c r="W581">
        <v>39.4</v>
      </c>
      <c r="Y581">
        <v>14.11</v>
      </c>
    </row>
    <row r="582" spans="1:25" x14ac:dyDescent="0.25">
      <c r="A582">
        <v>2006</v>
      </c>
      <c r="B582">
        <v>325</v>
      </c>
      <c r="C582">
        <v>1400</v>
      </c>
      <c r="D582">
        <v>141.69999999999999</v>
      </c>
      <c r="E582">
        <v>77.599999999999994</v>
      </c>
      <c r="F582">
        <v>7.21</v>
      </c>
      <c r="G582">
        <v>7.52</v>
      </c>
      <c r="K582">
        <v>5.6139999999999999</v>
      </c>
      <c r="L582">
        <v>297</v>
      </c>
      <c r="M582">
        <v>0</v>
      </c>
      <c r="O582">
        <v>151.30000000000001</v>
      </c>
      <c r="P582">
        <v>61.47</v>
      </c>
      <c r="Q582">
        <v>4.9089999999999998</v>
      </c>
      <c r="S582">
        <v>4.8609999999999998</v>
      </c>
      <c r="T582">
        <v>0</v>
      </c>
      <c r="U582">
        <v>95.9</v>
      </c>
      <c r="V582">
        <v>896</v>
      </c>
      <c r="W582">
        <v>39.159999999999997</v>
      </c>
      <c r="Y582">
        <v>14.09</v>
      </c>
    </row>
    <row r="583" spans="1:25" x14ac:dyDescent="0.25">
      <c r="A583">
        <v>2006</v>
      </c>
      <c r="B583">
        <v>325</v>
      </c>
      <c r="C583">
        <v>1500</v>
      </c>
      <c r="D583">
        <v>76</v>
      </c>
      <c r="E583">
        <v>32.340000000000003</v>
      </c>
      <c r="F583">
        <v>7.18</v>
      </c>
      <c r="G583">
        <v>7.49</v>
      </c>
      <c r="K583">
        <v>4.8419999999999996</v>
      </c>
      <c r="L583">
        <v>294.39999999999998</v>
      </c>
      <c r="M583">
        <v>0</v>
      </c>
      <c r="O583">
        <v>76.900000000000006</v>
      </c>
      <c r="P583">
        <v>25.72</v>
      </c>
      <c r="Q583">
        <v>5.0819999999999999</v>
      </c>
      <c r="S583">
        <v>4.8890000000000002</v>
      </c>
      <c r="T583">
        <v>0</v>
      </c>
      <c r="U583">
        <v>95.9</v>
      </c>
      <c r="V583">
        <v>894</v>
      </c>
      <c r="W583">
        <v>39.01</v>
      </c>
      <c r="Y583">
        <v>13.85</v>
      </c>
    </row>
    <row r="584" spans="1:25" x14ac:dyDescent="0.25">
      <c r="A584">
        <v>2006</v>
      </c>
      <c r="B584">
        <v>325</v>
      </c>
      <c r="C584">
        <v>1600</v>
      </c>
      <c r="D584">
        <v>23.18</v>
      </c>
      <c r="E584">
        <v>-9.5399999999999991</v>
      </c>
      <c r="F584">
        <v>6.7069999999999999</v>
      </c>
      <c r="G584">
        <v>6.94</v>
      </c>
      <c r="K584">
        <v>4.851</v>
      </c>
      <c r="L584">
        <v>300.39999999999998</v>
      </c>
      <c r="M584">
        <v>0</v>
      </c>
      <c r="O584">
        <v>16.07</v>
      </c>
      <c r="P584">
        <v>-3.3889999999999998</v>
      </c>
      <c r="Q584">
        <v>5.2409999999999997</v>
      </c>
      <c r="S584">
        <v>4.931</v>
      </c>
      <c r="T584">
        <v>0</v>
      </c>
      <c r="U584">
        <v>96.8</v>
      </c>
      <c r="V584">
        <v>892</v>
      </c>
      <c r="W584">
        <v>38.85</v>
      </c>
      <c r="Y584">
        <v>13.65</v>
      </c>
    </row>
    <row r="585" spans="1:25" x14ac:dyDescent="0.25">
      <c r="A585">
        <v>2006</v>
      </c>
      <c r="B585">
        <v>325</v>
      </c>
      <c r="C585">
        <v>1700</v>
      </c>
      <c r="D585">
        <v>0.10199999999999999</v>
      </c>
      <c r="E585">
        <v>-30.45</v>
      </c>
      <c r="F585">
        <v>6.4509999999999996</v>
      </c>
      <c r="G585">
        <v>6.58</v>
      </c>
      <c r="K585">
        <v>4.2640000000000002</v>
      </c>
      <c r="L585">
        <v>296.60000000000002</v>
      </c>
      <c r="M585">
        <v>0</v>
      </c>
      <c r="O585">
        <v>-9.5</v>
      </c>
      <c r="P585">
        <v>-10.31</v>
      </c>
      <c r="Q585">
        <v>5.3529999999999998</v>
      </c>
      <c r="S585">
        <v>4.9909999999999997</v>
      </c>
      <c r="T585">
        <v>0</v>
      </c>
      <c r="U585">
        <v>98.2</v>
      </c>
      <c r="V585">
        <v>891</v>
      </c>
      <c r="W585">
        <v>38.770000000000003</v>
      </c>
      <c r="Y585">
        <v>13.52</v>
      </c>
    </row>
    <row r="586" spans="1:25" x14ac:dyDescent="0.25">
      <c r="A586">
        <v>2006</v>
      </c>
      <c r="B586">
        <v>325</v>
      </c>
      <c r="C586">
        <v>1800</v>
      </c>
      <c r="D586">
        <v>-1.52</v>
      </c>
      <c r="E586">
        <v>-21.41</v>
      </c>
      <c r="F586">
        <v>6.1820000000000004</v>
      </c>
      <c r="G586">
        <v>6.4269999999999996</v>
      </c>
      <c r="K586">
        <v>3.4940000000000002</v>
      </c>
      <c r="L586">
        <v>279.39999999999998</v>
      </c>
      <c r="M586">
        <v>0</v>
      </c>
      <c r="O586">
        <v>-11.5</v>
      </c>
      <c r="P586">
        <v>-10.85</v>
      </c>
      <c r="Q586">
        <v>5.383</v>
      </c>
      <c r="S586">
        <v>4.9950000000000001</v>
      </c>
      <c r="T586">
        <v>0</v>
      </c>
      <c r="U586">
        <v>96.6</v>
      </c>
      <c r="V586">
        <v>889</v>
      </c>
      <c r="W586">
        <v>38.61</v>
      </c>
      <c r="Y586">
        <v>13.42</v>
      </c>
    </row>
    <row r="587" spans="1:25" x14ac:dyDescent="0.25">
      <c r="A587">
        <v>2006</v>
      </c>
      <c r="B587">
        <v>325</v>
      </c>
      <c r="C587">
        <v>1900</v>
      </c>
      <c r="D587">
        <v>-2.056</v>
      </c>
      <c r="E587">
        <v>-36.630000000000003</v>
      </c>
      <c r="F587">
        <v>5.6630000000000003</v>
      </c>
      <c r="G587">
        <v>5.8860000000000001</v>
      </c>
      <c r="K587">
        <v>3.149</v>
      </c>
      <c r="L587">
        <v>275.5</v>
      </c>
      <c r="M587">
        <v>0</v>
      </c>
      <c r="O587">
        <v>-11.5</v>
      </c>
      <c r="P587">
        <v>-10.84</v>
      </c>
      <c r="Q587">
        <v>5.35</v>
      </c>
      <c r="S587">
        <v>4.9960000000000004</v>
      </c>
      <c r="T587">
        <v>0</v>
      </c>
      <c r="U587">
        <v>96.8</v>
      </c>
      <c r="V587">
        <v>888</v>
      </c>
      <c r="W587">
        <v>38.549999999999997</v>
      </c>
      <c r="Y587">
        <v>13.33</v>
      </c>
    </row>
    <row r="588" spans="1:25" x14ac:dyDescent="0.25">
      <c r="A588">
        <v>2006</v>
      </c>
      <c r="B588">
        <v>325</v>
      </c>
      <c r="C588">
        <v>2000</v>
      </c>
      <c r="D588">
        <v>-2.1549999999999998</v>
      </c>
      <c r="E588">
        <v>-39.54</v>
      </c>
      <c r="F588">
        <v>5.633</v>
      </c>
      <c r="G588">
        <v>5.9450000000000003</v>
      </c>
      <c r="K588">
        <v>3.5329999999999999</v>
      </c>
      <c r="L588">
        <v>282.89999999999998</v>
      </c>
      <c r="M588">
        <v>0</v>
      </c>
      <c r="O588">
        <v>-11.51</v>
      </c>
      <c r="P588">
        <v>-10.85</v>
      </c>
      <c r="Q588">
        <v>5.3109999999999999</v>
      </c>
      <c r="S588">
        <v>5.0259999999999998</v>
      </c>
      <c r="T588">
        <v>0</v>
      </c>
      <c r="U588">
        <v>95.6</v>
      </c>
      <c r="V588">
        <v>885</v>
      </c>
      <c r="W588">
        <v>38.36</v>
      </c>
      <c r="Y588">
        <v>13.25</v>
      </c>
    </row>
    <row r="589" spans="1:25" x14ac:dyDescent="0.25">
      <c r="A589">
        <v>2006</v>
      </c>
      <c r="B589">
        <v>325</v>
      </c>
      <c r="C589">
        <v>2100</v>
      </c>
      <c r="D589">
        <v>-2.0720000000000001</v>
      </c>
      <c r="E589">
        <v>-36.35</v>
      </c>
      <c r="F589">
        <v>5.319</v>
      </c>
      <c r="G589">
        <v>5.5529999999999999</v>
      </c>
      <c r="K589">
        <v>2.7429999999999999</v>
      </c>
      <c r="L589">
        <v>278.5</v>
      </c>
      <c r="M589">
        <v>0</v>
      </c>
      <c r="O589">
        <v>-11.5</v>
      </c>
      <c r="P589">
        <v>-10.85</v>
      </c>
      <c r="Q589">
        <v>5.2969999999999997</v>
      </c>
      <c r="S589">
        <v>5.0819999999999999</v>
      </c>
      <c r="T589">
        <v>0</v>
      </c>
      <c r="U589">
        <v>96.7</v>
      </c>
      <c r="V589">
        <v>884</v>
      </c>
      <c r="W589">
        <v>38.299999999999997</v>
      </c>
      <c r="Y589">
        <v>13.17</v>
      </c>
    </row>
    <row r="590" spans="1:25" x14ac:dyDescent="0.25">
      <c r="A590">
        <v>2006</v>
      </c>
      <c r="B590">
        <v>325</v>
      </c>
      <c r="C590">
        <v>2200</v>
      </c>
      <c r="D590">
        <v>-2.1680000000000001</v>
      </c>
      <c r="E590">
        <v>-37.99</v>
      </c>
      <c r="F590">
        <v>5.1050000000000004</v>
      </c>
      <c r="G590">
        <v>5.3719999999999999</v>
      </c>
      <c r="K590">
        <v>2.964</v>
      </c>
      <c r="L590">
        <v>276.89999999999998</v>
      </c>
      <c r="M590">
        <v>0</v>
      </c>
      <c r="O590">
        <v>-11.5</v>
      </c>
      <c r="P590">
        <v>-10.85</v>
      </c>
      <c r="Q590">
        <v>5.242</v>
      </c>
      <c r="S590">
        <v>5.0890000000000004</v>
      </c>
      <c r="T590">
        <v>0</v>
      </c>
      <c r="U590">
        <v>96.2</v>
      </c>
      <c r="V590">
        <v>883</v>
      </c>
      <c r="W590">
        <v>38.229999999999997</v>
      </c>
      <c r="Y590">
        <v>13.11</v>
      </c>
    </row>
    <row r="591" spans="1:25" x14ac:dyDescent="0.25">
      <c r="A591">
        <v>2006</v>
      </c>
      <c r="B591">
        <v>325</v>
      </c>
      <c r="C591">
        <v>2300</v>
      </c>
      <c r="D591">
        <v>-2.0249999999999999</v>
      </c>
      <c r="E591">
        <v>-31.69</v>
      </c>
      <c r="F591">
        <v>4.9560000000000004</v>
      </c>
      <c r="G591">
        <v>5.2210000000000001</v>
      </c>
      <c r="K591">
        <v>2.7309999999999999</v>
      </c>
      <c r="L591">
        <v>281.8</v>
      </c>
      <c r="M591">
        <v>0</v>
      </c>
      <c r="O591">
        <v>-11.51</v>
      </c>
      <c r="P591">
        <v>-10.85</v>
      </c>
      <c r="Q591">
        <v>5.2009999999999996</v>
      </c>
      <c r="S591">
        <v>5.0640000000000001</v>
      </c>
      <c r="T591">
        <v>0</v>
      </c>
      <c r="U591">
        <v>96.2</v>
      </c>
      <c r="V591">
        <v>883</v>
      </c>
      <c r="W591">
        <v>38.24</v>
      </c>
      <c r="Y591">
        <v>13.05</v>
      </c>
    </row>
    <row r="592" spans="1:25" x14ac:dyDescent="0.25">
      <c r="A592">
        <v>2006</v>
      </c>
      <c r="B592">
        <v>325</v>
      </c>
      <c r="C592">
        <v>2400</v>
      </c>
      <c r="D592">
        <v>-2.0649999999999999</v>
      </c>
      <c r="E592">
        <v>-33.85</v>
      </c>
      <c r="F592">
        <v>4.7350000000000003</v>
      </c>
      <c r="G592">
        <v>4.9589999999999996</v>
      </c>
      <c r="K592">
        <v>2.3450000000000002</v>
      </c>
      <c r="L592">
        <v>259</v>
      </c>
      <c r="M592">
        <v>0</v>
      </c>
      <c r="O592">
        <v>-11.51</v>
      </c>
      <c r="P592">
        <v>-10.85</v>
      </c>
      <c r="Q592">
        <v>5.15</v>
      </c>
      <c r="S592">
        <v>5.077</v>
      </c>
      <c r="T592">
        <v>0</v>
      </c>
      <c r="U592">
        <v>96.7</v>
      </c>
      <c r="V592">
        <v>882</v>
      </c>
      <c r="W592">
        <v>38.15</v>
      </c>
      <c r="Y592">
        <v>13</v>
      </c>
    </row>
    <row r="593" spans="1:25" x14ac:dyDescent="0.25">
      <c r="A593">
        <v>2006</v>
      </c>
      <c r="B593">
        <v>325</v>
      </c>
      <c r="C593">
        <v>2400</v>
      </c>
      <c r="D593">
        <v>28.47</v>
      </c>
      <c r="E593">
        <v>-8.91</v>
      </c>
      <c r="F593">
        <v>4.593</v>
      </c>
      <c r="G593">
        <v>4.8789999999999996</v>
      </c>
      <c r="K593">
        <v>3.887</v>
      </c>
      <c r="L593">
        <v>272</v>
      </c>
      <c r="M593">
        <v>0.4</v>
      </c>
      <c r="O593">
        <v>25.02</v>
      </c>
      <c r="P593">
        <v>1.2170000000000001</v>
      </c>
      <c r="Q593">
        <v>4.99</v>
      </c>
      <c r="S593">
        <v>5.0359999999999996</v>
      </c>
      <c r="T593">
        <v>0</v>
      </c>
      <c r="U593">
        <v>95.8</v>
      </c>
      <c r="V593">
        <v>907</v>
      </c>
      <c r="W593">
        <v>40.04</v>
      </c>
      <c r="Y593">
        <v>13.26</v>
      </c>
    </row>
    <row r="594" spans="1:25" x14ac:dyDescent="0.25">
      <c r="A594">
        <v>2006</v>
      </c>
      <c r="B594">
        <v>326</v>
      </c>
      <c r="C594">
        <v>100</v>
      </c>
      <c r="D594">
        <v>-1.831</v>
      </c>
      <c r="E594">
        <v>-27.19</v>
      </c>
      <c r="F594">
        <v>4.7160000000000002</v>
      </c>
      <c r="G594">
        <v>4.9130000000000003</v>
      </c>
      <c r="K594">
        <v>2.4169999999999998</v>
      </c>
      <c r="L594">
        <v>260</v>
      </c>
      <c r="M594">
        <v>0</v>
      </c>
      <c r="O594">
        <v>-11.51</v>
      </c>
      <c r="P594">
        <v>-10.85</v>
      </c>
      <c r="Q594">
        <v>5.1059999999999999</v>
      </c>
      <c r="S594">
        <v>5.0940000000000003</v>
      </c>
      <c r="T594">
        <v>0</v>
      </c>
      <c r="U594">
        <v>97.1</v>
      </c>
      <c r="V594">
        <v>882</v>
      </c>
      <c r="W594">
        <v>38.15</v>
      </c>
      <c r="Y594">
        <v>12.96</v>
      </c>
    </row>
    <row r="595" spans="1:25" x14ac:dyDescent="0.25">
      <c r="A595">
        <v>2006</v>
      </c>
      <c r="B595">
        <v>326</v>
      </c>
      <c r="C595">
        <v>200</v>
      </c>
      <c r="D595">
        <v>-1.579</v>
      </c>
      <c r="E595">
        <v>-24.46</v>
      </c>
      <c r="F595">
        <v>4.8390000000000004</v>
      </c>
      <c r="G595">
        <v>5.0890000000000004</v>
      </c>
      <c r="K595">
        <v>2.1040000000000001</v>
      </c>
      <c r="L595">
        <v>251.3</v>
      </c>
      <c r="M595">
        <v>0</v>
      </c>
      <c r="O595">
        <v>-11.5</v>
      </c>
      <c r="P595">
        <v>-10.85</v>
      </c>
      <c r="Q595">
        <v>5.0590000000000002</v>
      </c>
      <c r="S595">
        <v>5.0940000000000003</v>
      </c>
      <c r="T595">
        <v>0</v>
      </c>
      <c r="U595">
        <v>96.4</v>
      </c>
      <c r="V595">
        <v>881</v>
      </c>
      <c r="W595">
        <v>38.1</v>
      </c>
      <c r="Y595">
        <v>12.94</v>
      </c>
    </row>
    <row r="596" spans="1:25" x14ac:dyDescent="0.25">
      <c r="A596">
        <v>2006</v>
      </c>
      <c r="B596">
        <v>326</v>
      </c>
      <c r="C596">
        <v>300</v>
      </c>
      <c r="D596">
        <v>-2.35</v>
      </c>
      <c r="E596">
        <v>-33.380000000000003</v>
      </c>
      <c r="F596">
        <v>4.3689999999999998</v>
      </c>
      <c r="G596">
        <v>4.4690000000000003</v>
      </c>
      <c r="K596">
        <v>2.0499999999999998</v>
      </c>
      <c r="L596">
        <v>245</v>
      </c>
      <c r="M596">
        <v>0</v>
      </c>
      <c r="O596">
        <v>-11.51</v>
      </c>
      <c r="P596">
        <v>-10.85</v>
      </c>
      <c r="Q596">
        <v>5.0250000000000004</v>
      </c>
      <c r="S596">
        <v>5.0730000000000004</v>
      </c>
      <c r="T596">
        <v>0</v>
      </c>
      <c r="U596">
        <v>98.5</v>
      </c>
      <c r="V596">
        <v>881</v>
      </c>
      <c r="W596">
        <v>38.049999999999997</v>
      </c>
      <c r="Y596">
        <v>12.92</v>
      </c>
    </row>
    <row r="597" spans="1:25" x14ac:dyDescent="0.25">
      <c r="A597">
        <v>2006</v>
      </c>
      <c r="B597">
        <v>326</v>
      </c>
      <c r="C597">
        <v>400</v>
      </c>
      <c r="D597">
        <v>-2.5350000000000001</v>
      </c>
      <c r="E597">
        <v>-20.13</v>
      </c>
      <c r="F597">
        <v>3.77</v>
      </c>
      <c r="G597">
        <v>3.8660000000000001</v>
      </c>
      <c r="K597">
        <v>1.6339999999999999</v>
      </c>
      <c r="L597">
        <v>224.2</v>
      </c>
      <c r="M597">
        <v>0</v>
      </c>
      <c r="O597">
        <v>-11.5</v>
      </c>
      <c r="P597">
        <v>-10.85</v>
      </c>
      <c r="Q597">
        <v>4.9409999999999998</v>
      </c>
      <c r="S597">
        <v>4.9859999999999998</v>
      </c>
      <c r="T597">
        <v>0</v>
      </c>
      <c r="U597">
        <v>98.5</v>
      </c>
      <c r="V597">
        <v>881</v>
      </c>
      <c r="W597">
        <v>38.04</v>
      </c>
      <c r="Y597">
        <v>12.9</v>
      </c>
    </row>
    <row r="598" spans="1:25" x14ac:dyDescent="0.25">
      <c r="A598">
        <v>2006</v>
      </c>
      <c r="B598">
        <v>326</v>
      </c>
      <c r="C598">
        <v>500</v>
      </c>
      <c r="D598">
        <v>-1.302</v>
      </c>
      <c r="E598">
        <v>-6.7869999999999999</v>
      </c>
      <c r="F598">
        <v>3.8410000000000002</v>
      </c>
      <c r="G598">
        <v>3.9649999999999999</v>
      </c>
      <c r="K598">
        <v>1.593</v>
      </c>
      <c r="L598">
        <v>224.1</v>
      </c>
      <c r="M598">
        <v>0</v>
      </c>
      <c r="O598">
        <v>-11.51</v>
      </c>
      <c r="P598">
        <v>-10.85</v>
      </c>
      <c r="Q598">
        <v>4.8339999999999996</v>
      </c>
      <c r="S598">
        <v>4.984</v>
      </c>
      <c r="T598">
        <v>0</v>
      </c>
      <c r="U598">
        <v>98.1</v>
      </c>
      <c r="V598">
        <v>881</v>
      </c>
      <c r="W598">
        <v>38.049999999999997</v>
      </c>
      <c r="Y598">
        <v>12.89</v>
      </c>
    </row>
    <row r="599" spans="1:25" x14ac:dyDescent="0.25">
      <c r="A599">
        <v>2006</v>
      </c>
      <c r="B599">
        <v>326</v>
      </c>
      <c r="C599">
        <v>600</v>
      </c>
      <c r="D599">
        <v>-1.371</v>
      </c>
      <c r="E599">
        <v>-7.57</v>
      </c>
      <c r="F599">
        <v>3.903</v>
      </c>
      <c r="G599">
        <v>4.0970000000000004</v>
      </c>
      <c r="K599">
        <v>1.054</v>
      </c>
      <c r="L599">
        <v>240.1</v>
      </c>
      <c r="M599">
        <v>0</v>
      </c>
      <c r="O599">
        <v>-11.51</v>
      </c>
      <c r="P599">
        <v>-10.84</v>
      </c>
      <c r="Q599">
        <v>4.7590000000000003</v>
      </c>
      <c r="S599">
        <v>4.9850000000000003</v>
      </c>
      <c r="T599">
        <v>0</v>
      </c>
      <c r="U599">
        <v>97.1</v>
      </c>
      <c r="V599">
        <v>880</v>
      </c>
      <c r="W599">
        <v>38.01</v>
      </c>
      <c r="Y599">
        <v>12.88</v>
      </c>
    </row>
    <row r="600" spans="1:25" x14ac:dyDescent="0.25">
      <c r="A600">
        <v>2006</v>
      </c>
      <c r="B600">
        <v>326</v>
      </c>
      <c r="C600">
        <v>700</v>
      </c>
      <c r="D600">
        <v>-0.77500000000000002</v>
      </c>
      <c r="E600">
        <v>-3.1259999999999999</v>
      </c>
      <c r="F600">
        <v>4.1639999999999997</v>
      </c>
      <c r="G600">
        <v>4.4569999999999999</v>
      </c>
      <c r="K600">
        <v>1.8819999999999999</v>
      </c>
      <c r="L600">
        <v>219.1</v>
      </c>
      <c r="M600">
        <v>0</v>
      </c>
      <c r="O600">
        <v>-11.51</v>
      </c>
      <c r="P600">
        <v>-10.85</v>
      </c>
      <c r="Q600">
        <v>4.7389999999999999</v>
      </c>
      <c r="S600">
        <v>4.9509999999999996</v>
      </c>
      <c r="T600">
        <v>0</v>
      </c>
      <c r="U600">
        <v>95.6</v>
      </c>
      <c r="V600">
        <v>880</v>
      </c>
      <c r="W600">
        <v>37.979999999999997</v>
      </c>
      <c r="Y600">
        <v>12.87</v>
      </c>
    </row>
    <row r="601" spans="1:25" x14ac:dyDescent="0.25">
      <c r="A601">
        <v>2006</v>
      </c>
      <c r="B601">
        <v>326</v>
      </c>
      <c r="C601">
        <v>800</v>
      </c>
      <c r="D601">
        <v>-0.97</v>
      </c>
      <c r="E601">
        <v>-5.65</v>
      </c>
      <c r="F601">
        <v>4.1390000000000002</v>
      </c>
      <c r="G601">
        <v>4.6689999999999996</v>
      </c>
      <c r="K601">
        <v>1.6180000000000001</v>
      </c>
      <c r="L601">
        <v>217.5</v>
      </c>
      <c r="M601">
        <v>0</v>
      </c>
      <c r="O601">
        <v>-11.25</v>
      </c>
      <c r="P601">
        <v>-10.78</v>
      </c>
      <c r="Q601">
        <v>4.74</v>
      </c>
      <c r="S601">
        <v>4.8819999999999997</v>
      </c>
      <c r="T601">
        <v>0</v>
      </c>
      <c r="U601">
        <v>92.2</v>
      </c>
      <c r="V601">
        <v>879</v>
      </c>
      <c r="W601">
        <v>37.96</v>
      </c>
      <c r="Y601">
        <v>12.87</v>
      </c>
    </row>
    <row r="602" spans="1:25" x14ac:dyDescent="0.25">
      <c r="A602">
        <v>2006</v>
      </c>
      <c r="B602">
        <v>326</v>
      </c>
      <c r="C602">
        <v>900</v>
      </c>
      <c r="D602">
        <v>4.3390000000000004</v>
      </c>
      <c r="E602">
        <v>-2.7</v>
      </c>
      <c r="F602">
        <v>4.4379999999999997</v>
      </c>
      <c r="G602">
        <v>5.2619999999999996</v>
      </c>
      <c r="H602">
        <f>AVERAGE(G602:G626)</f>
        <v>7.1650800000000014</v>
      </c>
      <c r="I602">
        <f>MIN(G602:G626)</f>
        <v>5.2619999999999996</v>
      </c>
      <c r="J602">
        <f>MAX(G602:G626)</f>
        <v>9.31</v>
      </c>
      <c r="K602">
        <v>1.708</v>
      </c>
      <c r="L602">
        <v>194.4</v>
      </c>
      <c r="M602">
        <v>0</v>
      </c>
      <c r="N602">
        <f>SUM(M602:M626)</f>
        <v>7.9999999999999991</v>
      </c>
      <c r="O602">
        <v>-3.6190000000000002</v>
      </c>
      <c r="P602">
        <v>-9.2200000000000006</v>
      </c>
      <c r="Q602">
        <v>4.76</v>
      </c>
      <c r="S602">
        <v>4.8760000000000003</v>
      </c>
      <c r="T602">
        <v>0</v>
      </c>
      <c r="U602">
        <v>88.2</v>
      </c>
      <c r="V602">
        <v>879</v>
      </c>
      <c r="W602">
        <v>37.96</v>
      </c>
      <c r="Y602">
        <v>12.86</v>
      </c>
    </row>
    <row r="603" spans="1:25" x14ac:dyDescent="0.25">
      <c r="A603">
        <v>2006</v>
      </c>
      <c r="B603">
        <v>326</v>
      </c>
      <c r="C603">
        <v>1000</v>
      </c>
      <c r="D603">
        <v>20.8</v>
      </c>
      <c r="E603">
        <v>10.46</v>
      </c>
      <c r="F603">
        <v>4.7160000000000002</v>
      </c>
      <c r="G603">
        <v>5.3959999999999999</v>
      </c>
      <c r="K603">
        <v>1.6479999999999999</v>
      </c>
      <c r="L603">
        <v>193.9</v>
      </c>
      <c r="M603">
        <v>0</v>
      </c>
      <c r="O603">
        <v>18.45</v>
      </c>
      <c r="P603">
        <v>-4.9379999999999997</v>
      </c>
      <c r="Q603">
        <v>4.8250000000000002</v>
      </c>
      <c r="S603">
        <v>4.8769999999999998</v>
      </c>
      <c r="T603">
        <v>0</v>
      </c>
      <c r="U603">
        <v>90.3</v>
      </c>
      <c r="V603">
        <v>879</v>
      </c>
      <c r="W603">
        <v>37.93</v>
      </c>
      <c r="Y603">
        <v>12.86</v>
      </c>
    </row>
    <row r="604" spans="1:25" x14ac:dyDescent="0.25">
      <c r="A604">
        <v>2006</v>
      </c>
      <c r="B604">
        <v>326</v>
      </c>
      <c r="C604">
        <v>1100</v>
      </c>
      <c r="D604">
        <v>28.13</v>
      </c>
      <c r="E604">
        <v>17.21</v>
      </c>
      <c r="F604">
        <v>5.1059999999999999</v>
      </c>
      <c r="G604">
        <v>5.3849999999999998</v>
      </c>
      <c r="K604">
        <v>1.006</v>
      </c>
      <c r="L604">
        <v>181.5</v>
      </c>
      <c r="M604">
        <v>0.2</v>
      </c>
      <c r="O604">
        <v>27.73</v>
      </c>
      <c r="P604">
        <v>-3.302</v>
      </c>
      <c r="Q604">
        <v>4.9039999999999999</v>
      </c>
      <c r="S604">
        <v>4.88</v>
      </c>
      <c r="T604">
        <v>0</v>
      </c>
      <c r="U604">
        <v>96</v>
      </c>
      <c r="V604">
        <v>879</v>
      </c>
      <c r="W604">
        <v>37.94</v>
      </c>
      <c r="Y604">
        <v>12.88</v>
      </c>
    </row>
    <row r="605" spans="1:25" x14ac:dyDescent="0.25">
      <c r="A605">
        <v>2006</v>
      </c>
      <c r="B605">
        <v>326</v>
      </c>
      <c r="C605">
        <v>1200</v>
      </c>
      <c r="D605">
        <v>37.979999999999997</v>
      </c>
      <c r="E605">
        <v>23.34</v>
      </c>
      <c r="F605">
        <v>5.2439999999999998</v>
      </c>
      <c r="G605">
        <v>5.3090000000000002</v>
      </c>
      <c r="K605">
        <v>0.65100000000000002</v>
      </c>
      <c r="L605">
        <v>164.8</v>
      </c>
      <c r="M605">
        <v>0</v>
      </c>
      <c r="O605">
        <v>41.05</v>
      </c>
      <c r="P605">
        <v>-1.29</v>
      </c>
      <c r="Q605">
        <v>4.9740000000000002</v>
      </c>
      <c r="S605">
        <v>4.9029999999999996</v>
      </c>
      <c r="T605">
        <v>0</v>
      </c>
      <c r="U605">
        <v>99.1</v>
      </c>
      <c r="V605">
        <v>883</v>
      </c>
      <c r="W605">
        <v>38.229999999999997</v>
      </c>
      <c r="Y605">
        <v>12.93</v>
      </c>
    </row>
    <row r="606" spans="1:25" x14ac:dyDescent="0.25">
      <c r="A606">
        <v>2006</v>
      </c>
      <c r="B606">
        <v>326</v>
      </c>
      <c r="C606">
        <v>1300</v>
      </c>
      <c r="D606">
        <v>66.12</v>
      </c>
      <c r="E606">
        <v>40.36</v>
      </c>
      <c r="F606">
        <v>6.0330000000000004</v>
      </c>
      <c r="G606">
        <v>6.1509999999999998</v>
      </c>
      <c r="K606">
        <v>1.9530000000000001</v>
      </c>
      <c r="L606">
        <v>226.7</v>
      </c>
      <c r="M606">
        <v>0</v>
      </c>
      <c r="O606">
        <v>78</v>
      </c>
      <c r="P606">
        <v>5.8650000000000002</v>
      </c>
      <c r="Q606">
        <v>5.0910000000000002</v>
      </c>
      <c r="S606">
        <v>4.9370000000000003</v>
      </c>
      <c r="T606">
        <v>0</v>
      </c>
      <c r="U606">
        <v>98.3</v>
      </c>
      <c r="V606">
        <v>884</v>
      </c>
      <c r="W606">
        <v>38.28</v>
      </c>
      <c r="Y606">
        <v>13.22</v>
      </c>
    </row>
    <row r="607" spans="1:25" x14ac:dyDescent="0.25">
      <c r="A607">
        <v>2006</v>
      </c>
      <c r="B607">
        <v>326</v>
      </c>
      <c r="C607">
        <v>1400</v>
      </c>
      <c r="D607">
        <v>68.61</v>
      </c>
      <c r="E607">
        <v>38.61</v>
      </c>
      <c r="F607">
        <v>6.3029999999999999</v>
      </c>
      <c r="G607">
        <v>6.4649999999999999</v>
      </c>
      <c r="K607">
        <v>2.0099999999999998</v>
      </c>
      <c r="L607">
        <v>227.6</v>
      </c>
      <c r="M607">
        <v>0</v>
      </c>
      <c r="O607">
        <v>78.599999999999994</v>
      </c>
      <c r="P607">
        <v>6.532</v>
      </c>
      <c r="Q607">
        <v>5.2270000000000003</v>
      </c>
      <c r="S607">
        <v>4.9180000000000001</v>
      </c>
      <c r="T607">
        <v>0</v>
      </c>
      <c r="U607">
        <v>97.8</v>
      </c>
      <c r="V607">
        <v>882</v>
      </c>
      <c r="W607">
        <v>38.14</v>
      </c>
      <c r="Y607">
        <v>13.42</v>
      </c>
    </row>
    <row r="608" spans="1:25" x14ac:dyDescent="0.25">
      <c r="A608">
        <v>2006</v>
      </c>
      <c r="B608">
        <v>326</v>
      </c>
      <c r="C608">
        <v>1500</v>
      </c>
      <c r="D608">
        <v>62.39</v>
      </c>
      <c r="E608">
        <v>29.18</v>
      </c>
      <c r="F608">
        <v>6.8339999999999996</v>
      </c>
      <c r="G608">
        <v>7.04</v>
      </c>
      <c r="K608">
        <v>1.6220000000000001</v>
      </c>
      <c r="L608">
        <v>234.9</v>
      </c>
      <c r="M608">
        <v>0</v>
      </c>
      <c r="O608">
        <v>66.47</v>
      </c>
      <c r="P608">
        <v>7.13</v>
      </c>
      <c r="Q608">
        <v>5.399</v>
      </c>
      <c r="S608">
        <v>4.9930000000000003</v>
      </c>
      <c r="T608">
        <v>0</v>
      </c>
      <c r="U608">
        <v>97.2</v>
      </c>
      <c r="V608">
        <v>880</v>
      </c>
      <c r="W608">
        <v>38.04</v>
      </c>
      <c r="Y608">
        <v>13.49</v>
      </c>
    </row>
    <row r="609" spans="1:25" x14ac:dyDescent="0.25">
      <c r="A609">
        <v>2006</v>
      </c>
      <c r="B609">
        <v>326</v>
      </c>
      <c r="C609">
        <v>1600</v>
      </c>
      <c r="D609">
        <v>12.02</v>
      </c>
      <c r="E609">
        <v>-12.12</v>
      </c>
      <c r="F609">
        <v>7.02</v>
      </c>
      <c r="G609">
        <v>7.28</v>
      </c>
      <c r="K609">
        <v>1.544</v>
      </c>
      <c r="L609">
        <v>233</v>
      </c>
      <c r="M609">
        <v>0</v>
      </c>
      <c r="O609">
        <v>1.3759999999999999</v>
      </c>
      <c r="P609">
        <v>-6.89</v>
      </c>
      <c r="Q609">
        <v>5.556</v>
      </c>
      <c r="S609">
        <v>5.0179999999999998</v>
      </c>
      <c r="T609">
        <v>0</v>
      </c>
      <c r="U609">
        <v>96.6</v>
      </c>
      <c r="V609">
        <v>879</v>
      </c>
      <c r="W609">
        <v>37.96</v>
      </c>
      <c r="Y609">
        <v>13.4</v>
      </c>
    </row>
    <row r="610" spans="1:25" x14ac:dyDescent="0.25">
      <c r="A610">
        <v>2006</v>
      </c>
      <c r="B610">
        <v>326</v>
      </c>
      <c r="C610">
        <v>1700</v>
      </c>
      <c r="D610">
        <v>-0.95499999999999996</v>
      </c>
      <c r="E610">
        <v>-30.26</v>
      </c>
      <c r="F610">
        <v>6.593</v>
      </c>
      <c r="G610">
        <v>6.82</v>
      </c>
      <c r="K610">
        <v>1.456</v>
      </c>
      <c r="L610">
        <v>216.1</v>
      </c>
      <c r="M610">
        <v>0</v>
      </c>
      <c r="O610">
        <v>-9.76</v>
      </c>
      <c r="P610">
        <v>-10.23</v>
      </c>
      <c r="Q610">
        <v>5.6319999999999997</v>
      </c>
      <c r="S610">
        <v>5.0970000000000004</v>
      </c>
      <c r="T610">
        <v>0</v>
      </c>
      <c r="U610">
        <v>96.9</v>
      </c>
      <c r="V610">
        <v>883</v>
      </c>
      <c r="W610">
        <v>38.22</v>
      </c>
      <c r="Y610">
        <v>13.27</v>
      </c>
    </row>
    <row r="611" spans="1:25" x14ac:dyDescent="0.25">
      <c r="A611">
        <v>2006</v>
      </c>
      <c r="B611">
        <v>326</v>
      </c>
      <c r="C611">
        <v>1800</v>
      </c>
      <c r="D611">
        <v>-1.9830000000000001</v>
      </c>
      <c r="E611">
        <v>-16.45</v>
      </c>
      <c r="F611">
        <v>6.2709999999999999</v>
      </c>
      <c r="G611">
        <v>6.4930000000000003</v>
      </c>
      <c r="K611">
        <v>1.0229999999999999</v>
      </c>
      <c r="L611">
        <v>202.2</v>
      </c>
      <c r="M611">
        <v>0</v>
      </c>
      <c r="O611">
        <v>-11.37</v>
      </c>
      <c r="P611">
        <v>-10.64</v>
      </c>
      <c r="Q611">
        <v>5.6109999999999998</v>
      </c>
      <c r="S611">
        <v>5.1040000000000001</v>
      </c>
      <c r="T611">
        <v>0</v>
      </c>
      <c r="U611">
        <v>96.9</v>
      </c>
      <c r="V611">
        <v>897</v>
      </c>
      <c r="W611">
        <v>39.26</v>
      </c>
      <c r="Y611">
        <v>13.18</v>
      </c>
    </row>
    <row r="612" spans="1:25" x14ac:dyDescent="0.25">
      <c r="A612">
        <v>2006</v>
      </c>
      <c r="B612">
        <v>326</v>
      </c>
      <c r="C612">
        <v>1900</v>
      </c>
      <c r="D612">
        <v>-1.5389999999999999</v>
      </c>
      <c r="E612">
        <v>-9.02</v>
      </c>
      <c r="F612">
        <v>6.62</v>
      </c>
      <c r="G612">
        <v>6.8650000000000002</v>
      </c>
      <c r="K612">
        <v>1.42</v>
      </c>
      <c r="L612">
        <v>192.1</v>
      </c>
      <c r="M612">
        <v>0</v>
      </c>
      <c r="O612">
        <v>-11.3</v>
      </c>
      <c r="P612">
        <v>-10.62</v>
      </c>
      <c r="Q612">
        <v>5.57</v>
      </c>
      <c r="S612">
        <v>5.133</v>
      </c>
      <c r="T612">
        <v>0</v>
      </c>
      <c r="U612">
        <v>96.7</v>
      </c>
      <c r="V612">
        <v>893</v>
      </c>
      <c r="W612">
        <v>38.950000000000003</v>
      </c>
      <c r="Y612">
        <v>13.11</v>
      </c>
    </row>
    <row r="613" spans="1:25" x14ac:dyDescent="0.25">
      <c r="A613">
        <v>2006</v>
      </c>
      <c r="B613">
        <v>326</v>
      </c>
      <c r="C613">
        <v>2000</v>
      </c>
      <c r="D613">
        <v>-1.1519999999999999</v>
      </c>
      <c r="E613">
        <v>-5.5869999999999997</v>
      </c>
      <c r="F613">
        <v>7.22</v>
      </c>
      <c r="G613">
        <v>7.55</v>
      </c>
      <c r="K613">
        <v>1.3779999999999999</v>
      </c>
      <c r="L613">
        <v>190.1</v>
      </c>
      <c r="M613">
        <v>0</v>
      </c>
      <c r="O613">
        <v>-11.34</v>
      </c>
      <c r="P613">
        <v>-10.63</v>
      </c>
      <c r="Q613">
        <v>5.5449999999999999</v>
      </c>
      <c r="S613">
        <v>5.2110000000000003</v>
      </c>
      <c r="T613">
        <v>0</v>
      </c>
      <c r="U613">
        <v>95.7</v>
      </c>
      <c r="V613">
        <v>879</v>
      </c>
      <c r="W613">
        <v>37.92</v>
      </c>
      <c r="Y613">
        <v>13.05</v>
      </c>
    </row>
    <row r="614" spans="1:25" x14ac:dyDescent="0.25">
      <c r="A614">
        <v>2006</v>
      </c>
      <c r="B614">
        <v>326</v>
      </c>
      <c r="C614">
        <v>2100</v>
      </c>
      <c r="D614">
        <v>-1.2110000000000001</v>
      </c>
      <c r="E614">
        <v>-6.9160000000000004</v>
      </c>
      <c r="F614">
        <v>7.22</v>
      </c>
      <c r="G614">
        <v>7.59</v>
      </c>
      <c r="K614">
        <v>1.0740000000000001</v>
      </c>
      <c r="L614">
        <v>128.6</v>
      </c>
      <c r="M614">
        <v>0</v>
      </c>
      <c r="O614">
        <v>-11.47</v>
      </c>
      <c r="P614">
        <v>-10.76</v>
      </c>
      <c r="Q614">
        <v>5.5720000000000001</v>
      </c>
      <c r="S614">
        <v>5.2119999999999997</v>
      </c>
      <c r="T614">
        <v>0</v>
      </c>
      <c r="U614">
        <v>95.1</v>
      </c>
      <c r="V614">
        <v>876</v>
      </c>
      <c r="W614">
        <v>37.76</v>
      </c>
      <c r="Y614">
        <v>13</v>
      </c>
    </row>
    <row r="615" spans="1:25" x14ac:dyDescent="0.25">
      <c r="A615">
        <v>2006</v>
      </c>
      <c r="B615">
        <v>326</v>
      </c>
      <c r="C615">
        <v>2200</v>
      </c>
      <c r="D615">
        <v>-1.45</v>
      </c>
      <c r="E615">
        <v>-6.8760000000000003</v>
      </c>
      <c r="F615">
        <v>7.23</v>
      </c>
      <c r="G615">
        <v>7.82</v>
      </c>
      <c r="K615">
        <v>1.427</v>
      </c>
      <c r="L615">
        <v>118.9</v>
      </c>
      <c r="M615">
        <v>0</v>
      </c>
      <c r="O615">
        <v>-11.48</v>
      </c>
      <c r="P615">
        <v>-10.78</v>
      </c>
      <c r="Q615">
        <v>5.6029999999999998</v>
      </c>
      <c r="S615">
        <v>5.2140000000000004</v>
      </c>
      <c r="T615">
        <v>0</v>
      </c>
      <c r="U615">
        <v>92.4</v>
      </c>
      <c r="V615">
        <v>877</v>
      </c>
      <c r="W615">
        <v>37.79</v>
      </c>
      <c r="Y615">
        <v>12.97</v>
      </c>
    </row>
    <row r="616" spans="1:25" x14ac:dyDescent="0.25">
      <c r="A616">
        <v>2006</v>
      </c>
      <c r="B616">
        <v>326</v>
      </c>
      <c r="C616">
        <v>2300</v>
      </c>
      <c r="D616">
        <v>-0.99199999999999999</v>
      </c>
      <c r="E616">
        <v>-4.2859999999999996</v>
      </c>
      <c r="F616">
        <v>7.51</v>
      </c>
      <c r="G616">
        <v>7.92</v>
      </c>
      <c r="K616">
        <v>1.9079999999999999</v>
      </c>
      <c r="L616">
        <v>114.3</v>
      </c>
      <c r="M616">
        <v>0.8</v>
      </c>
      <c r="O616">
        <v>-11.48</v>
      </c>
      <c r="P616">
        <v>-10.77</v>
      </c>
      <c r="Q616">
        <v>5.6630000000000003</v>
      </c>
      <c r="S616">
        <v>5.2750000000000004</v>
      </c>
      <c r="T616">
        <v>0</v>
      </c>
      <c r="U616">
        <v>94.7</v>
      </c>
      <c r="V616">
        <v>881</v>
      </c>
      <c r="W616">
        <v>38.08</v>
      </c>
      <c r="Y616">
        <v>12.94</v>
      </c>
    </row>
    <row r="617" spans="1:25" x14ac:dyDescent="0.25">
      <c r="A617">
        <v>2006</v>
      </c>
      <c r="B617">
        <v>326</v>
      </c>
      <c r="C617">
        <v>2400</v>
      </c>
      <c r="D617">
        <v>-0.56499999999999995</v>
      </c>
      <c r="E617">
        <v>-1.0049999999999999</v>
      </c>
      <c r="F617">
        <v>8.09</v>
      </c>
      <c r="G617">
        <v>8.2799999999999994</v>
      </c>
      <c r="K617">
        <v>3.278</v>
      </c>
      <c r="L617">
        <v>106.2</v>
      </c>
      <c r="M617">
        <v>1.4</v>
      </c>
      <c r="O617">
        <v>-11.5</v>
      </c>
      <c r="P617">
        <v>-10.81</v>
      </c>
      <c r="Q617">
        <v>5.7309999999999999</v>
      </c>
      <c r="S617">
        <v>5.3209999999999997</v>
      </c>
      <c r="T617">
        <v>0</v>
      </c>
      <c r="U617">
        <v>97.6</v>
      </c>
      <c r="V617">
        <v>906</v>
      </c>
      <c r="W617">
        <v>39.909999999999997</v>
      </c>
      <c r="Y617">
        <v>12.92</v>
      </c>
    </row>
    <row r="618" spans="1:25" x14ac:dyDescent="0.25">
      <c r="A618">
        <v>2006</v>
      </c>
      <c r="B618">
        <v>326</v>
      </c>
      <c r="C618">
        <v>2400</v>
      </c>
      <c r="D618">
        <v>11.58</v>
      </c>
      <c r="E618">
        <v>-2.681</v>
      </c>
      <c r="F618">
        <v>5.6749999999999998</v>
      </c>
      <c r="G618">
        <v>5.9640000000000004</v>
      </c>
      <c r="K618">
        <v>1.6439999999999999</v>
      </c>
      <c r="L618">
        <v>205.5</v>
      </c>
      <c r="M618">
        <v>2.4</v>
      </c>
      <c r="O618">
        <v>5.2729999999999997</v>
      </c>
      <c r="P618">
        <v>-7.42</v>
      </c>
      <c r="Q618">
        <v>5.2030000000000003</v>
      </c>
      <c r="S618">
        <v>5.0419999999999998</v>
      </c>
      <c r="T618">
        <v>0</v>
      </c>
      <c r="U618">
        <v>95.9</v>
      </c>
      <c r="V618">
        <v>883</v>
      </c>
      <c r="W618">
        <v>38.200000000000003</v>
      </c>
      <c r="Y618">
        <v>13.03</v>
      </c>
    </row>
    <row r="619" spans="1:25" x14ac:dyDescent="0.25">
      <c r="A619">
        <v>2006</v>
      </c>
      <c r="B619">
        <v>327</v>
      </c>
      <c r="C619">
        <v>100</v>
      </c>
      <c r="D619">
        <v>-0.54900000000000004</v>
      </c>
      <c r="E619">
        <v>-0.96199999999999997</v>
      </c>
      <c r="F619">
        <v>8.2200000000000006</v>
      </c>
      <c r="G619">
        <v>8.4499999999999993</v>
      </c>
      <c r="K619">
        <v>4.03</v>
      </c>
      <c r="L619">
        <v>107.2</v>
      </c>
      <c r="M619">
        <v>1.8</v>
      </c>
      <c r="O619">
        <v>-11.5</v>
      </c>
      <c r="P619">
        <v>-10.82</v>
      </c>
      <c r="Q619">
        <v>5.83</v>
      </c>
      <c r="S619">
        <v>5.31</v>
      </c>
      <c r="T619">
        <v>0</v>
      </c>
      <c r="U619">
        <v>97</v>
      </c>
      <c r="V619">
        <v>985</v>
      </c>
      <c r="W619">
        <v>47.23</v>
      </c>
      <c r="Y619">
        <v>12.9</v>
      </c>
    </row>
    <row r="620" spans="1:25" x14ac:dyDescent="0.25">
      <c r="A620">
        <v>2006</v>
      </c>
      <c r="B620">
        <v>327</v>
      </c>
      <c r="C620">
        <v>200</v>
      </c>
      <c r="D620">
        <v>-0.36099999999999999</v>
      </c>
      <c r="E620">
        <v>-3.331</v>
      </c>
      <c r="F620">
        <v>8.52</v>
      </c>
      <c r="G620">
        <v>8.91</v>
      </c>
      <c r="K620">
        <v>3.653</v>
      </c>
      <c r="L620">
        <v>120.3</v>
      </c>
      <c r="M620">
        <v>0.6</v>
      </c>
      <c r="O620">
        <v>-11.5</v>
      </c>
      <c r="P620">
        <v>-10.83</v>
      </c>
      <c r="Q620">
        <v>5.9379999999999997</v>
      </c>
      <c r="S620">
        <v>5.3460000000000001</v>
      </c>
      <c r="T620">
        <v>0</v>
      </c>
      <c r="U620">
        <v>95</v>
      </c>
      <c r="V620">
        <v>994</v>
      </c>
      <c r="W620">
        <v>48.27</v>
      </c>
      <c r="Y620">
        <v>12.89</v>
      </c>
    </row>
    <row r="621" spans="1:25" x14ac:dyDescent="0.25">
      <c r="A621">
        <v>2006</v>
      </c>
      <c r="B621">
        <v>327</v>
      </c>
      <c r="C621">
        <v>300</v>
      </c>
      <c r="D621">
        <v>-0.65400000000000003</v>
      </c>
      <c r="E621">
        <v>-4.4180000000000001</v>
      </c>
      <c r="F621">
        <v>8.7799999999999994</v>
      </c>
      <c r="G621">
        <v>9.31</v>
      </c>
      <c r="K621">
        <v>4.0860000000000003</v>
      </c>
      <c r="L621">
        <v>128.6</v>
      </c>
      <c r="M621">
        <v>0.8</v>
      </c>
      <c r="O621">
        <v>-11.5</v>
      </c>
      <c r="P621">
        <v>-10.84</v>
      </c>
      <c r="Q621">
        <v>6.0549999999999997</v>
      </c>
      <c r="S621">
        <v>5.3769999999999998</v>
      </c>
      <c r="T621">
        <v>0</v>
      </c>
      <c r="U621">
        <v>93.4</v>
      </c>
      <c r="V621">
        <v>997</v>
      </c>
      <c r="W621">
        <v>48.53</v>
      </c>
      <c r="Y621">
        <v>12.89</v>
      </c>
    </row>
    <row r="622" spans="1:25" x14ac:dyDescent="0.25">
      <c r="A622">
        <v>2006</v>
      </c>
      <c r="B622">
        <v>327</v>
      </c>
      <c r="C622">
        <v>400</v>
      </c>
      <c r="D622">
        <v>-0.40300000000000002</v>
      </c>
      <c r="E622">
        <v>-6.5890000000000004</v>
      </c>
      <c r="F622">
        <v>8.3000000000000007</v>
      </c>
      <c r="G622">
        <v>9.31</v>
      </c>
      <c r="K622">
        <v>3.254</v>
      </c>
      <c r="L622">
        <v>194.8</v>
      </c>
      <c r="M622">
        <v>0</v>
      </c>
      <c r="O622">
        <v>-11.5</v>
      </c>
      <c r="P622">
        <v>-10.84</v>
      </c>
      <c r="Q622">
        <v>6.16</v>
      </c>
      <c r="S622">
        <v>5.3959999999999999</v>
      </c>
      <c r="T622">
        <v>0</v>
      </c>
      <c r="U622">
        <v>87.5</v>
      </c>
      <c r="V622">
        <v>999</v>
      </c>
      <c r="W622">
        <v>48.81</v>
      </c>
      <c r="Y622">
        <v>12.88</v>
      </c>
    </row>
    <row r="623" spans="1:25" x14ac:dyDescent="0.25">
      <c r="A623">
        <v>2006</v>
      </c>
      <c r="B623">
        <v>327</v>
      </c>
      <c r="C623">
        <v>500</v>
      </c>
      <c r="D623">
        <v>-0.63200000000000001</v>
      </c>
      <c r="E623">
        <v>-8.19</v>
      </c>
      <c r="F623">
        <v>7.59</v>
      </c>
      <c r="G623">
        <v>8.35</v>
      </c>
      <c r="K623">
        <v>3.96</v>
      </c>
      <c r="L623">
        <v>223</v>
      </c>
      <c r="M623">
        <v>0</v>
      </c>
      <c r="O623">
        <v>-11.5</v>
      </c>
      <c r="P623">
        <v>-10.85</v>
      </c>
      <c r="Q623">
        <v>6.2750000000000004</v>
      </c>
      <c r="S623">
        <v>5.4509999999999996</v>
      </c>
      <c r="T623">
        <v>0</v>
      </c>
      <c r="U623">
        <v>90.3</v>
      </c>
      <c r="V623">
        <v>1001</v>
      </c>
      <c r="W623">
        <v>48.99</v>
      </c>
      <c r="Y623">
        <v>12.88</v>
      </c>
    </row>
    <row r="624" spans="1:25" x14ac:dyDescent="0.25">
      <c r="A624">
        <v>2006</v>
      </c>
      <c r="B624">
        <v>327</v>
      </c>
      <c r="C624">
        <v>600</v>
      </c>
      <c r="D624">
        <v>-0.72199999999999998</v>
      </c>
      <c r="E624">
        <v>-13.99</v>
      </c>
      <c r="F624">
        <v>6.8490000000000002</v>
      </c>
      <c r="G624">
        <v>7.65</v>
      </c>
      <c r="K624">
        <v>4.9139999999999997</v>
      </c>
      <c r="L624">
        <v>237.4</v>
      </c>
      <c r="M624">
        <v>0</v>
      </c>
      <c r="O624">
        <v>-11.5</v>
      </c>
      <c r="P624">
        <v>-10.84</v>
      </c>
      <c r="Q624">
        <v>6.3570000000000002</v>
      </c>
      <c r="S624">
        <v>5.5049999999999999</v>
      </c>
      <c r="T624">
        <v>0</v>
      </c>
      <c r="U624">
        <v>89.5</v>
      </c>
      <c r="V624">
        <v>1003</v>
      </c>
      <c r="W624">
        <v>49.23</v>
      </c>
      <c r="Y624">
        <v>12.88</v>
      </c>
    </row>
    <row r="625" spans="1:25" x14ac:dyDescent="0.25">
      <c r="A625">
        <v>2006</v>
      </c>
      <c r="B625">
        <v>327</v>
      </c>
      <c r="C625">
        <v>700</v>
      </c>
      <c r="D625">
        <v>-2.1469999999999998</v>
      </c>
      <c r="E625">
        <v>-44.33</v>
      </c>
      <c r="F625">
        <v>6.3620000000000001</v>
      </c>
      <c r="G625">
        <v>6.8109999999999999</v>
      </c>
      <c r="K625">
        <v>3.9540000000000002</v>
      </c>
      <c r="L625">
        <v>231.8</v>
      </c>
      <c r="M625">
        <v>0</v>
      </c>
      <c r="O625">
        <v>-11.5</v>
      </c>
      <c r="P625">
        <v>-10.82</v>
      </c>
      <c r="Q625">
        <v>6.39</v>
      </c>
      <c r="S625">
        <v>5.5869999999999997</v>
      </c>
      <c r="T625">
        <v>0</v>
      </c>
      <c r="U625">
        <v>93.9</v>
      </c>
      <c r="V625">
        <v>1006</v>
      </c>
      <c r="W625">
        <v>49.63</v>
      </c>
      <c r="Y625">
        <v>12.87</v>
      </c>
    </row>
    <row r="626" spans="1:25" x14ac:dyDescent="0.25">
      <c r="A626">
        <v>2006</v>
      </c>
      <c r="B626">
        <v>327</v>
      </c>
      <c r="C626">
        <v>800</v>
      </c>
      <c r="D626">
        <v>-1.6140000000000001</v>
      </c>
      <c r="E626">
        <v>-36.479999999999997</v>
      </c>
      <c r="F626">
        <v>6.383</v>
      </c>
      <c r="G626">
        <v>6.7460000000000004</v>
      </c>
      <c r="K626">
        <v>3.79</v>
      </c>
      <c r="L626">
        <v>224.2</v>
      </c>
      <c r="M626">
        <v>0</v>
      </c>
      <c r="O626">
        <v>-10.62</v>
      </c>
      <c r="P626">
        <v>-10.52</v>
      </c>
      <c r="Q626">
        <v>6.3120000000000003</v>
      </c>
      <c r="S626">
        <v>5.6289999999999996</v>
      </c>
      <c r="T626">
        <v>0</v>
      </c>
      <c r="U626">
        <v>95.1</v>
      </c>
      <c r="V626">
        <v>937</v>
      </c>
      <c r="W626">
        <v>43.53</v>
      </c>
      <c r="Y626">
        <v>12.87</v>
      </c>
    </row>
    <row r="627" spans="1:25" x14ac:dyDescent="0.25">
      <c r="A627">
        <v>2006</v>
      </c>
      <c r="B627">
        <v>327</v>
      </c>
      <c r="C627">
        <v>900</v>
      </c>
      <c r="D627">
        <v>28.09</v>
      </c>
      <c r="E627">
        <v>2.1619999999999999</v>
      </c>
      <c r="F627">
        <v>6.6150000000000002</v>
      </c>
      <c r="G627">
        <v>6.9329999999999998</v>
      </c>
      <c r="H627">
        <f>AVERAGE(G627:G651)</f>
        <v>5.8688000000000002</v>
      </c>
      <c r="I627">
        <f>MIN(G627:G651)</f>
        <v>2.4430000000000001</v>
      </c>
      <c r="J627">
        <f>MAX(G627:G651)</f>
        <v>8.57</v>
      </c>
      <c r="K627">
        <v>4.0179999999999998</v>
      </c>
      <c r="L627">
        <v>212.5</v>
      </c>
      <c r="M627">
        <v>0</v>
      </c>
      <c r="N627">
        <f>SUM(M627:M651)</f>
        <v>5.2</v>
      </c>
      <c r="O627">
        <v>31.96</v>
      </c>
      <c r="P627">
        <v>-0.57099999999999995</v>
      </c>
      <c r="Q627">
        <v>6.2089999999999996</v>
      </c>
      <c r="S627">
        <v>5.6459999999999999</v>
      </c>
      <c r="T627">
        <v>0</v>
      </c>
      <c r="U627">
        <v>95.7</v>
      </c>
      <c r="V627">
        <v>1006</v>
      </c>
      <c r="W627">
        <v>49.65</v>
      </c>
      <c r="Y627">
        <v>12.95</v>
      </c>
    </row>
    <row r="628" spans="1:25" x14ac:dyDescent="0.25">
      <c r="A628">
        <v>2006</v>
      </c>
      <c r="B628">
        <v>327</v>
      </c>
      <c r="C628">
        <v>1000</v>
      </c>
      <c r="D628">
        <v>32.340000000000003</v>
      </c>
      <c r="E628">
        <v>13.98</v>
      </c>
      <c r="F628">
        <v>6.8319999999999999</v>
      </c>
      <c r="G628">
        <v>7.05</v>
      </c>
      <c r="K628">
        <v>4.4219999999999997</v>
      </c>
      <c r="L628">
        <v>212.2</v>
      </c>
      <c r="M628">
        <v>0</v>
      </c>
      <c r="O628">
        <v>33.19</v>
      </c>
      <c r="P628">
        <v>-2.0960000000000001</v>
      </c>
      <c r="Q628">
        <v>6.1740000000000004</v>
      </c>
      <c r="S628">
        <v>5.6459999999999999</v>
      </c>
      <c r="T628">
        <v>0</v>
      </c>
      <c r="U628">
        <v>97</v>
      </c>
      <c r="V628">
        <v>1005</v>
      </c>
      <c r="W628">
        <v>49.55</v>
      </c>
      <c r="Y628">
        <v>13.07</v>
      </c>
    </row>
    <row r="629" spans="1:25" x14ac:dyDescent="0.25">
      <c r="A629">
        <v>2006</v>
      </c>
      <c r="B629">
        <v>327</v>
      </c>
      <c r="C629">
        <v>1100</v>
      </c>
      <c r="D629">
        <v>40.97</v>
      </c>
      <c r="E629">
        <v>20.51</v>
      </c>
      <c r="F629">
        <v>7.12</v>
      </c>
      <c r="G629">
        <v>7.5</v>
      </c>
      <c r="K629">
        <v>4.7439999999999998</v>
      </c>
      <c r="L629">
        <v>229.4</v>
      </c>
      <c r="M629">
        <v>0.2</v>
      </c>
      <c r="O629">
        <v>45.22</v>
      </c>
      <c r="P629">
        <v>-6.2E-2</v>
      </c>
      <c r="Q629">
        <v>6.18</v>
      </c>
      <c r="S629">
        <v>5.6459999999999999</v>
      </c>
      <c r="T629">
        <v>0</v>
      </c>
      <c r="U629">
        <v>94.9</v>
      </c>
      <c r="V629">
        <v>1005</v>
      </c>
      <c r="W629">
        <v>49.52</v>
      </c>
      <c r="Y629">
        <v>13.05</v>
      </c>
    </row>
    <row r="630" spans="1:25" x14ac:dyDescent="0.25">
      <c r="A630">
        <v>2006</v>
      </c>
      <c r="B630">
        <v>327</v>
      </c>
      <c r="C630">
        <v>1200</v>
      </c>
      <c r="D630">
        <v>66.099999999999994</v>
      </c>
      <c r="E630">
        <v>38.950000000000003</v>
      </c>
      <c r="F630">
        <v>7.66</v>
      </c>
      <c r="G630">
        <v>8.16</v>
      </c>
      <c r="K630">
        <v>5.5430000000000001</v>
      </c>
      <c r="L630">
        <v>241.6</v>
      </c>
      <c r="M630">
        <v>0</v>
      </c>
      <c r="O630">
        <v>75.599999999999994</v>
      </c>
      <c r="P630">
        <v>6.5010000000000003</v>
      </c>
      <c r="Q630">
        <v>6.2430000000000003</v>
      </c>
      <c r="S630">
        <v>5.6589999999999998</v>
      </c>
      <c r="T630">
        <v>0</v>
      </c>
      <c r="U630">
        <v>93.6</v>
      </c>
      <c r="V630">
        <v>1004</v>
      </c>
      <c r="W630">
        <v>49.39</v>
      </c>
      <c r="Y630">
        <v>13.29</v>
      </c>
    </row>
    <row r="631" spans="1:25" x14ac:dyDescent="0.25">
      <c r="A631">
        <v>2006</v>
      </c>
      <c r="B631">
        <v>327</v>
      </c>
      <c r="C631">
        <v>1300</v>
      </c>
      <c r="D631">
        <v>70.400000000000006</v>
      </c>
      <c r="E631">
        <v>34.22</v>
      </c>
      <c r="F631">
        <v>8</v>
      </c>
      <c r="G631">
        <v>8.43</v>
      </c>
      <c r="K631">
        <v>5.1760000000000002</v>
      </c>
      <c r="L631">
        <v>240.4</v>
      </c>
      <c r="M631">
        <v>0</v>
      </c>
      <c r="O631">
        <v>71.8</v>
      </c>
      <c r="P631">
        <v>8.27</v>
      </c>
      <c r="Q631">
        <v>6.327</v>
      </c>
      <c r="S631">
        <v>5.7030000000000003</v>
      </c>
      <c r="T631">
        <v>0</v>
      </c>
      <c r="U631">
        <v>94.5</v>
      </c>
      <c r="V631">
        <v>1003</v>
      </c>
      <c r="W631">
        <v>49.25</v>
      </c>
      <c r="Y631">
        <v>13.44</v>
      </c>
    </row>
    <row r="632" spans="1:25" x14ac:dyDescent="0.25">
      <c r="A632">
        <v>2006</v>
      </c>
      <c r="B632">
        <v>327</v>
      </c>
      <c r="C632">
        <v>1400</v>
      </c>
      <c r="D632">
        <v>49.11</v>
      </c>
      <c r="E632">
        <v>23.33</v>
      </c>
      <c r="F632">
        <v>8.25</v>
      </c>
      <c r="G632">
        <v>8.4499999999999993</v>
      </c>
      <c r="K632">
        <v>5.0819999999999999</v>
      </c>
      <c r="L632">
        <v>251.8</v>
      </c>
      <c r="M632">
        <v>0.6</v>
      </c>
      <c r="O632">
        <v>54.91</v>
      </c>
      <c r="P632">
        <v>3.85</v>
      </c>
      <c r="Q632">
        <v>6.3869999999999996</v>
      </c>
      <c r="S632">
        <v>5.7130000000000001</v>
      </c>
      <c r="T632">
        <v>0</v>
      </c>
      <c r="U632">
        <v>97.4</v>
      </c>
      <c r="V632">
        <v>1002</v>
      </c>
      <c r="W632">
        <v>49.15</v>
      </c>
      <c r="Y632">
        <v>13.4</v>
      </c>
    </row>
    <row r="633" spans="1:25" x14ac:dyDescent="0.25">
      <c r="A633">
        <v>2006</v>
      </c>
      <c r="B633">
        <v>327</v>
      </c>
      <c r="C633">
        <v>1500</v>
      </c>
      <c r="D633">
        <v>57.68</v>
      </c>
      <c r="E633">
        <v>30.29</v>
      </c>
      <c r="F633">
        <v>8.2200000000000006</v>
      </c>
      <c r="G633">
        <v>8.57</v>
      </c>
      <c r="K633">
        <v>5.7720000000000002</v>
      </c>
      <c r="L633">
        <v>251.1</v>
      </c>
      <c r="M633">
        <v>0</v>
      </c>
      <c r="O633">
        <v>65.8</v>
      </c>
      <c r="P633">
        <v>6.8710000000000004</v>
      </c>
      <c r="Q633">
        <v>6.4729999999999999</v>
      </c>
      <c r="S633">
        <v>5.7050000000000001</v>
      </c>
      <c r="T633">
        <v>0</v>
      </c>
      <c r="U633">
        <v>95.6</v>
      </c>
      <c r="V633">
        <v>1002</v>
      </c>
      <c r="W633">
        <v>49.21</v>
      </c>
      <c r="Y633">
        <v>13.45</v>
      </c>
    </row>
    <row r="634" spans="1:25" x14ac:dyDescent="0.25">
      <c r="A634">
        <v>2006</v>
      </c>
      <c r="B634">
        <v>327</v>
      </c>
      <c r="C634">
        <v>1600</v>
      </c>
      <c r="D634">
        <v>16.059999999999999</v>
      </c>
      <c r="E634">
        <v>1.7110000000000001</v>
      </c>
      <c r="F634">
        <v>7.87</v>
      </c>
      <c r="G634">
        <v>8.15</v>
      </c>
      <c r="K634">
        <v>5.7359999999999998</v>
      </c>
      <c r="L634">
        <v>254.9</v>
      </c>
      <c r="M634">
        <v>0.2</v>
      </c>
      <c r="O634">
        <v>14.97</v>
      </c>
      <c r="P634">
        <v>-5.29</v>
      </c>
      <c r="Q634">
        <v>6.5439999999999996</v>
      </c>
      <c r="S634">
        <v>5.7290000000000001</v>
      </c>
      <c r="T634">
        <v>0</v>
      </c>
      <c r="U634">
        <v>96.4</v>
      </c>
      <c r="V634">
        <v>1003</v>
      </c>
      <c r="W634">
        <v>49.25</v>
      </c>
      <c r="Y634">
        <v>13.31</v>
      </c>
    </row>
    <row r="635" spans="1:25" x14ac:dyDescent="0.25">
      <c r="A635">
        <v>2006</v>
      </c>
      <c r="B635">
        <v>327</v>
      </c>
      <c r="C635">
        <v>1700</v>
      </c>
      <c r="D635">
        <v>0.30599999999999999</v>
      </c>
      <c r="E635">
        <v>-14.74</v>
      </c>
      <c r="F635">
        <v>7.2</v>
      </c>
      <c r="G635">
        <v>7.55</v>
      </c>
      <c r="K635">
        <v>5.9889999999999999</v>
      </c>
      <c r="L635">
        <v>250.2</v>
      </c>
      <c r="M635">
        <v>0</v>
      </c>
      <c r="O635">
        <v>-9.14</v>
      </c>
      <c r="P635">
        <v>-10.26</v>
      </c>
      <c r="Q635">
        <v>6.62</v>
      </c>
      <c r="S635">
        <v>5.7809999999999997</v>
      </c>
      <c r="T635">
        <v>0</v>
      </c>
      <c r="U635">
        <v>95.4</v>
      </c>
      <c r="V635">
        <v>1004</v>
      </c>
      <c r="W635">
        <v>49.36</v>
      </c>
      <c r="Y635">
        <v>13.21</v>
      </c>
    </row>
    <row r="636" spans="1:25" x14ac:dyDescent="0.25">
      <c r="A636">
        <v>2006</v>
      </c>
      <c r="B636">
        <v>327</v>
      </c>
      <c r="C636">
        <v>1800</v>
      </c>
      <c r="D636">
        <v>-1.401</v>
      </c>
      <c r="E636">
        <v>-30.85</v>
      </c>
      <c r="F636">
        <v>6.5919999999999996</v>
      </c>
      <c r="G636">
        <v>6.94</v>
      </c>
      <c r="K636">
        <v>5.617</v>
      </c>
      <c r="L636">
        <v>249.9</v>
      </c>
      <c r="M636">
        <v>0</v>
      </c>
      <c r="O636">
        <v>-11.5</v>
      </c>
      <c r="P636">
        <v>-10.85</v>
      </c>
      <c r="Q636">
        <v>6.6369999999999996</v>
      </c>
      <c r="S636">
        <v>5.8529999999999998</v>
      </c>
      <c r="T636">
        <v>0</v>
      </c>
      <c r="U636">
        <v>95.3</v>
      </c>
      <c r="V636">
        <v>998</v>
      </c>
      <c r="W636">
        <v>48.94</v>
      </c>
      <c r="Y636">
        <v>13.13</v>
      </c>
    </row>
    <row r="637" spans="1:25" x14ac:dyDescent="0.25">
      <c r="A637">
        <v>2006</v>
      </c>
      <c r="B637">
        <v>327</v>
      </c>
      <c r="C637">
        <v>1900</v>
      </c>
      <c r="D637">
        <v>-1.7270000000000001</v>
      </c>
      <c r="E637">
        <v>-40.07</v>
      </c>
      <c r="F637">
        <v>6.2130000000000001</v>
      </c>
      <c r="G637">
        <v>6.5739999999999998</v>
      </c>
      <c r="K637">
        <v>5.5330000000000004</v>
      </c>
      <c r="L637">
        <v>248.3</v>
      </c>
      <c r="M637">
        <v>0</v>
      </c>
      <c r="O637">
        <v>-11.5</v>
      </c>
      <c r="P637">
        <v>-10.81</v>
      </c>
      <c r="Q637">
        <v>6.5629999999999997</v>
      </c>
      <c r="S637">
        <v>5.8630000000000004</v>
      </c>
      <c r="T637">
        <v>0</v>
      </c>
      <c r="U637">
        <v>95</v>
      </c>
      <c r="V637">
        <v>946</v>
      </c>
      <c r="W637">
        <v>43.2</v>
      </c>
      <c r="Y637">
        <v>13.07</v>
      </c>
    </row>
    <row r="638" spans="1:25" x14ac:dyDescent="0.25">
      <c r="A638">
        <v>2006</v>
      </c>
      <c r="B638">
        <v>327</v>
      </c>
      <c r="C638">
        <v>2000</v>
      </c>
      <c r="D638">
        <v>-2.0449999999999999</v>
      </c>
      <c r="E638">
        <v>-47.41</v>
      </c>
      <c r="F638">
        <v>5.8789999999999996</v>
      </c>
      <c r="G638">
        <v>6.2320000000000002</v>
      </c>
      <c r="K638">
        <v>5.5060000000000002</v>
      </c>
      <c r="L638">
        <v>246.6</v>
      </c>
      <c r="M638">
        <v>0</v>
      </c>
      <c r="O638">
        <v>-11.46</v>
      </c>
      <c r="P638">
        <v>-10.75</v>
      </c>
      <c r="Q638">
        <v>6.4450000000000003</v>
      </c>
      <c r="S638">
        <v>5.8630000000000004</v>
      </c>
      <c r="T638">
        <v>0</v>
      </c>
      <c r="U638">
        <v>95.1</v>
      </c>
      <c r="V638">
        <v>935</v>
      </c>
      <c r="W638">
        <v>42.25</v>
      </c>
      <c r="Y638">
        <v>13.02</v>
      </c>
    </row>
    <row r="639" spans="1:25" x14ac:dyDescent="0.25">
      <c r="A639">
        <v>2006</v>
      </c>
      <c r="B639">
        <v>327</v>
      </c>
      <c r="C639">
        <v>2100</v>
      </c>
      <c r="D639">
        <v>-2.2949999999999999</v>
      </c>
      <c r="E639">
        <v>-49.98</v>
      </c>
      <c r="F639">
        <v>5.641</v>
      </c>
      <c r="G639">
        <v>5.9829999999999997</v>
      </c>
      <c r="K639">
        <v>4.7880000000000003</v>
      </c>
      <c r="L639">
        <v>244.2</v>
      </c>
      <c r="M639">
        <v>0</v>
      </c>
      <c r="O639">
        <v>-11.41</v>
      </c>
      <c r="P639">
        <v>-10.69</v>
      </c>
      <c r="Q639">
        <v>6.3120000000000003</v>
      </c>
      <c r="S639">
        <v>5.8319999999999999</v>
      </c>
      <c r="T639">
        <v>0</v>
      </c>
      <c r="U639">
        <v>95.2</v>
      </c>
      <c r="V639">
        <v>926</v>
      </c>
      <c r="W639">
        <v>41.5</v>
      </c>
      <c r="Y639">
        <v>12.98</v>
      </c>
    </row>
    <row r="640" spans="1:25" x14ac:dyDescent="0.25">
      <c r="A640">
        <v>2006</v>
      </c>
      <c r="B640">
        <v>327</v>
      </c>
      <c r="C640">
        <v>2200</v>
      </c>
      <c r="D640">
        <v>-2.4239999999999999</v>
      </c>
      <c r="E640">
        <v>-50.25</v>
      </c>
      <c r="F640">
        <v>5.1260000000000003</v>
      </c>
      <c r="G640">
        <v>5.36</v>
      </c>
      <c r="K640">
        <v>3.653</v>
      </c>
      <c r="L640">
        <v>237.1</v>
      </c>
      <c r="M640">
        <v>0</v>
      </c>
      <c r="O640">
        <v>-11.33</v>
      </c>
      <c r="P640">
        <v>-10.59</v>
      </c>
      <c r="Q640">
        <v>6.1890000000000001</v>
      </c>
      <c r="S640">
        <v>5.798</v>
      </c>
      <c r="T640">
        <v>0</v>
      </c>
      <c r="U640">
        <v>96.6</v>
      </c>
      <c r="V640">
        <v>919</v>
      </c>
      <c r="W640">
        <v>40.89</v>
      </c>
      <c r="Y640">
        <v>12.95</v>
      </c>
    </row>
    <row r="641" spans="1:25" x14ac:dyDescent="0.25">
      <c r="A641">
        <v>2006</v>
      </c>
      <c r="B641">
        <v>327</v>
      </c>
      <c r="C641">
        <v>2300</v>
      </c>
      <c r="D641">
        <v>-2.67</v>
      </c>
      <c r="E641">
        <v>-50.29</v>
      </c>
      <c r="F641">
        <v>4.4729999999999999</v>
      </c>
      <c r="G641">
        <v>4.6790000000000003</v>
      </c>
      <c r="K641">
        <v>3.1429999999999998</v>
      </c>
      <c r="L641">
        <v>228.7</v>
      </c>
      <c r="M641">
        <v>0</v>
      </c>
      <c r="O641">
        <v>-11.12</v>
      </c>
      <c r="P641">
        <v>-10.45</v>
      </c>
      <c r="Q641">
        <v>6.0469999999999997</v>
      </c>
      <c r="S641">
        <v>5.8109999999999999</v>
      </c>
      <c r="T641">
        <v>0</v>
      </c>
      <c r="U641">
        <v>96.9</v>
      </c>
      <c r="V641">
        <v>912</v>
      </c>
      <c r="W641">
        <v>40.36</v>
      </c>
      <c r="Y641">
        <v>12.93</v>
      </c>
    </row>
    <row r="642" spans="1:25" x14ac:dyDescent="0.25">
      <c r="A642">
        <v>2006</v>
      </c>
      <c r="B642">
        <v>327</v>
      </c>
      <c r="C642">
        <v>2400</v>
      </c>
      <c r="D642">
        <v>-2.59</v>
      </c>
      <c r="E642">
        <v>-50.17</v>
      </c>
      <c r="F642">
        <v>4.16</v>
      </c>
      <c r="G642">
        <v>4.3559999999999999</v>
      </c>
      <c r="K642">
        <v>3.2810000000000001</v>
      </c>
      <c r="L642">
        <v>229.3</v>
      </c>
      <c r="M642">
        <v>0</v>
      </c>
      <c r="O642">
        <v>-11.01</v>
      </c>
      <c r="P642">
        <v>-10.39</v>
      </c>
      <c r="Q642">
        <v>5.9050000000000002</v>
      </c>
      <c r="S642">
        <v>5.7530000000000001</v>
      </c>
      <c r="T642">
        <v>0</v>
      </c>
      <c r="U642">
        <v>97.1</v>
      </c>
      <c r="V642">
        <v>908</v>
      </c>
      <c r="W642">
        <v>40.049999999999997</v>
      </c>
      <c r="Y642">
        <v>12.9</v>
      </c>
    </row>
    <row r="643" spans="1:25" x14ac:dyDescent="0.25">
      <c r="A643">
        <v>2006</v>
      </c>
      <c r="B643">
        <v>327</v>
      </c>
      <c r="C643">
        <v>2400</v>
      </c>
      <c r="D643">
        <v>14.12</v>
      </c>
      <c r="E643">
        <v>-11.95</v>
      </c>
      <c r="F643">
        <v>6.952</v>
      </c>
      <c r="G643">
        <v>7.35</v>
      </c>
      <c r="K643">
        <v>4.5679999999999996</v>
      </c>
      <c r="L643">
        <v>228.2</v>
      </c>
      <c r="M643">
        <v>4.2</v>
      </c>
      <c r="O643">
        <v>8.91</v>
      </c>
      <c r="P643">
        <v>-6.4029999999999996</v>
      </c>
      <c r="Q643">
        <v>6.274</v>
      </c>
      <c r="S643">
        <v>5.65</v>
      </c>
      <c r="T643">
        <v>0</v>
      </c>
      <c r="U643">
        <v>94.7</v>
      </c>
      <c r="V643">
        <v>979</v>
      </c>
      <c r="W643">
        <v>46.91</v>
      </c>
      <c r="Y643">
        <v>13.05</v>
      </c>
    </row>
    <row r="644" spans="1:25" x14ac:dyDescent="0.25">
      <c r="A644">
        <v>2006</v>
      </c>
      <c r="B644">
        <v>328</v>
      </c>
      <c r="C644">
        <v>100</v>
      </c>
      <c r="D644">
        <v>-2.4820000000000002</v>
      </c>
      <c r="E644">
        <v>-48.66</v>
      </c>
      <c r="F644">
        <v>3.9380000000000002</v>
      </c>
      <c r="G644">
        <v>4.2270000000000003</v>
      </c>
      <c r="K644">
        <v>3.4430000000000001</v>
      </c>
      <c r="L644">
        <v>238.7</v>
      </c>
      <c r="M644">
        <v>0</v>
      </c>
      <c r="O644">
        <v>-10.96</v>
      </c>
      <c r="P644">
        <v>-10.36</v>
      </c>
      <c r="Q644">
        <v>5.74</v>
      </c>
      <c r="S644">
        <v>5.7119999999999997</v>
      </c>
      <c r="T644">
        <v>0</v>
      </c>
      <c r="U644">
        <v>95.6</v>
      </c>
      <c r="V644">
        <v>905</v>
      </c>
      <c r="W644">
        <v>39.840000000000003</v>
      </c>
      <c r="Y644">
        <v>12.89</v>
      </c>
    </row>
    <row r="645" spans="1:25" x14ac:dyDescent="0.25">
      <c r="A645">
        <v>2006</v>
      </c>
      <c r="B645">
        <v>328</v>
      </c>
      <c r="C645">
        <v>200</v>
      </c>
      <c r="D645">
        <v>-2.36</v>
      </c>
      <c r="E645">
        <v>-50.11</v>
      </c>
      <c r="F645">
        <v>3.7530000000000001</v>
      </c>
      <c r="G645">
        <v>3.9740000000000002</v>
      </c>
      <c r="K645">
        <v>3.605</v>
      </c>
      <c r="L645">
        <v>230.3</v>
      </c>
      <c r="M645">
        <v>0</v>
      </c>
      <c r="O645">
        <v>-10.9</v>
      </c>
      <c r="P645">
        <v>-10.28</v>
      </c>
      <c r="Q645">
        <v>5.5810000000000004</v>
      </c>
      <c r="S645">
        <v>5.6360000000000001</v>
      </c>
      <c r="T645">
        <v>0</v>
      </c>
      <c r="U645">
        <v>96.6</v>
      </c>
      <c r="V645">
        <v>902</v>
      </c>
      <c r="W645">
        <v>39.619999999999997</v>
      </c>
      <c r="Y645">
        <v>12.87</v>
      </c>
    </row>
    <row r="646" spans="1:25" x14ac:dyDescent="0.25">
      <c r="A646">
        <v>2006</v>
      </c>
      <c r="B646">
        <v>328</v>
      </c>
      <c r="C646">
        <v>300</v>
      </c>
      <c r="D646">
        <v>-2.823</v>
      </c>
      <c r="E646">
        <v>-52.06</v>
      </c>
      <c r="F646">
        <v>3.2570000000000001</v>
      </c>
      <c r="G646">
        <v>3.4769999999999999</v>
      </c>
      <c r="K646">
        <v>2.665</v>
      </c>
      <c r="L646">
        <v>223.7</v>
      </c>
      <c r="M646">
        <v>0</v>
      </c>
      <c r="O646">
        <v>-10.88</v>
      </c>
      <c r="P646">
        <v>-10.24</v>
      </c>
      <c r="Q646">
        <v>5.4269999999999996</v>
      </c>
      <c r="S646">
        <v>5.5469999999999997</v>
      </c>
      <c r="T646">
        <v>0</v>
      </c>
      <c r="U646">
        <v>96.6</v>
      </c>
      <c r="V646">
        <v>900</v>
      </c>
      <c r="W646">
        <v>39.450000000000003</v>
      </c>
      <c r="Y646">
        <v>12.86</v>
      </c>
    </row>
    <row r="647" spans="1:25" x14ac:dyDescent="0.25">
      <c r="A647">
        <v>2006</v>
      </c>
      <c r="B647">
        <v>328</v>
      </c>
      <c r="C647">
        <v>400</v>
      </c>
      <c r="D647">
        <v>-2.9329999999999998</v>
      </c>
      <c r="E647">
        <v>-52.99</v>
      </c>
      <c r="F647">
        <v>2.7370000000000001</v>
      </c>
      <c r="G647">
        <v>2.9790000000000001</v>
      </c>
      <c r="K647">
        <v>2.226</v>
      </c>
      <c r="L647">
        <v>204.6</v>
      </c>
      <c r="M647">
        <v>0</v>
      </c>
      <c r="O647">
        <v>-10.84</v>
      </c>
      <c r="P647">
        <v>-10.23</v>
      </c>
      <c r="Q647">
        <v>5.2850000000000001</v>
      </c>
      <c r="S647">
        <v>5.4870000000000001</v>
      </c>
      <c r="T647">
        <v>0</v>
      </c>
      <c r="U647">
        <v>96.2</v>
      </c>
      <c r="V647">
        <v>898</v>
      </c>
      <c r="W647">
        <v>39.31</v>
      </c>
      <c r="Y647">
        <v>12.85</v>
      </c>
    </row>
    <row r="648" spans="1:25" x14ac:dyDescent="0.25">
      <c r="A648">
        <v>2006</v>
      </c>
      <c r="B648">
        <v>328</v>
      </c>
      <c r="C648">
        <v>500</v>
      </c>
      <c r="D648">
        <v>-2.9089999999999998</v>
      </c>
      <c r="E648">
        <v>-48.74</v>
      </c>
      <c r="F648">
        <v>2.1640000000000001</v>
      </c>
      <c r="G648">
        <v>2.4430000000000001</v>
      </c>
      <c r="K648">
        <v>2.52</v>
      </c>
      <c r="L648">
        <v>206.4</v>
      </c>
      <c r="M648">
        <v>0</v>
      </c>
      <c r="O648">
        <v>-10.84</v>
      </c>
      <c r="P648">
        <v>-10.210000000000001</v>
      </c>
      <c r="Q648">
        <v>5.1420000000000003</v>
      </c>
      <c r="S648">
        <v>5.4219999999999997</v>
      </c>
      <c r="T648">
        <v>0</v>
      </c>
      <c r="U648">
        <v>95.5</v>
      </c>
      <c r="V648">
        <v>896</v>
      </c>
      <c r="W648">
        <v>39.130000000000003</v>
      </c>
      <c r="Y648">
        <v>12.84</v>
      </c>
    </row>
    <row r="649" spans="1:25" x14ac:dyDescent="0.25">
      <c r="A649">
        <v>2006</v>
      </c>
      <c r="B649">
        <v>328</v>
      </c>
      <c r="C649">
        <v>600</v>
      </c>
      <c r="D649">
        <v>-2.871</v>
      </c>
      <c r="E649">
        <v>-39.85</v>
      </c>
      <c r="F649">
        <v>2.58</v>
      </c>
      <c r="G649">
        <v>3.0870000000000002</v>
      </c>
      <c r="K649">
        <v>1.7909999999999999</v>
      </c>
      <c r="L649">
        <v>198</v>
      </c>
      <c r="M649">
        <v>0</v>
      </c>
      <c r="O649">
        <v>-10.83</v>
      </c>
      <c r="P649">
        <v>-10.220000000000001</v>
      </c>
      <c r="Q649">
        <v>4.9850000000000003</v>
      </c>
      <c r="S649">
        <v>5.3630000000000004</v>
      </c>
      <c r="T649">
        <v>0</v>
      </c>
      <c r="U649">
        <v>92</v>
      </c>
      <c r="V649">
        <v>894</v>
      </c>
      <c r="W649">
        <v>38.99</v>
      </c>
      <c r="Y649">
        <v>12.84</v>
      </c>
    </row>
    <row r="650" spans="1:25" x14ac:dyDescent="0.25">
      <c r="A650">
        <v>2006</v>
      </c>
      <c r="B650">
        <v>328</v>
      </c>
      <c r="C650">
        <v>700</v>
      </c>
      <c r="D650">
        <v>-2.327</v>
      </c>
      <c r="E650">
        <v>-28.21</v>
      </c>
      <c r="F650">
        <v>3.0979999999999999</v>
      </c>
      <c r="G650">
        <v>3.7829999999999999</v>
      </c>
      <c r="K650">
        <v>0.998</v>
      </c>
      <c r="L650">
        <v>161.9</v>
      </c>
      <c r="M650">
        <v>0</v>
      </c>
      <c r="O650">
        <v>-10.83</v>
      </c>
      <c r="P650">
        <v>-10.220000000000001</v>
      </c>
      <c r="Q650">
        <v>4.8520000000000003</v>
      </c>
      <c r="S650">
        <v>5.2590000000000003</v>
      </c>
      <c r="T650">
        <v>0</v>
      </c>
      <c r="U650">
        <v>89.6</v>
      </c>
      <c r="V650">
        <v>892</v>
      </c>
      <c r="W650">
        <v>38.880000000000003</v>
      </c>
      <c r="Y650">
        <v>12.83</v>
      </c>
    </row>
    <row r="651" spans="1:25" x14ac:dyDescent="0.25">
      <c r="A651">
        <v>2006</v>
      </c>
      <c r="B651">
        <v>328</v>
      </c>
      <c r="C651">
        <v>800</v>
      </c>
      <c r="D651">
        <v>-2.4119999999999999</v>
      </c>
      <c r="E651">
        <v>-35.92</v>
      </c>
      <c r="F651">
        <v>3.7690000000000001</v>
      </c>
      <c r="G651">
        <v>4.4829999999999997</v>
      </c>
      <c r="K651">
        <v>1.042</v>
      </c>
      <c r="L651">
        <v>149.69999999999999</v>
      </c>
      <c r="M651">
        <v>0</v>
      </c>
      <c r="O651">
        <v>-10.65</v>
      </c>
      <c r="P651">
        <v>-10.220000000000001</v>
      </c>
      <c r="Q651">
        <v>4.7649999999999997</v>
      </c>
      <c r="S651">
        <v>5.2389999999999999</v>
      </c>
      <c r="T651">
        <v>0</v>
      </c>
      <c r="U651">
        <v>89.4</v>
      </c>
      <c r="V651">
        <v>891</v>
      </c>
      <c r="W651">
        <v>38.799999999999997</v>
      </c>
      <c r="Y651">
        <v>12.83</v>
      </c>
    </row>
    <row r="652" spans="1:25" x14ac:dyDescent="0.25">
      <c r="A652">
        <v>2006</v>
      </c>
      <c r="B652">
        <v>328</v>
      </c>
      <c r="C652">
        <v>900</v>
      </c>
      <c r="D652">
        <v>6.0229999999999997</v>
      </c>
      <c r="E652">
        <v>-8.7799999999999994</v>
      </c>
      <c r="F652">
        <v>3.7759999999999998</v>
      </c>
      <c r="G652">
        <v>4.2119999999999997</v>
      </c>
      <c r="H652">
        <f>AVERAGE(G652:G676)</f>
        <v>6.7003199999999996</v>
      </c>
      <c r="I652">
        <f>MIN(G652:G676)</f>
        <v>4.2119999999999997</v>
      </c>
      <c r="J652">
        <f>MAX(G652:G676)</f>
        <v>9.5399999999999991</v>
      </c>
      <c r="K652">
        <v>1.0369999999999999</v>
      </c>
      <c r="L652">
        <v>113.1</v>
      </c>
      <c r="M652">
        <v>0</v>
      </c>
      <c r="N652">
        <f>SUM(M652:M676)</f>
        <v>38.799999999999997</v>
      </c>
      <c r="O652">
        <v>-1.2090000000000001</v>
      </c>
      <c r="P652">
        <v>-8.4600000000000009</v>
      </c>
      <c r="Q652">
        <v>4.66</v>
      </c>
      <c r="S652">
        <v>5.1120000000000001</v>
      </c>
      <c r="T652">
        <v>0</v>
      </c>
      <c r="U652">
        <v>93.5</v>
      </c>
      <c r="V652">
        <v>890</v>
      </c>
      <c r="W652">
        <v>38.700000000000003</v>
      </c>
      <c r="Y652">
        <v>12.83</v>
      </c>
    </row>
    <row r="653" spans="1:25" x14ac:dyDescent="0.25">
      <c r="A653">
        <v>2006</v>
      </c>
      <c r="B653">
        <v>328</v>
      </c>
      <c r="C653">
        <v>1000</v>
      </c>
      <c r="D653">
        <v>19.84</v>
      </c>
      <c r="E653">
        <v>11.78</v>
      </c>
      <c r="F653">
        <v>5.0049999999999999</v>
      </c>
      <c r="G653">
        <v>5.1630000000000003</v>
      </c>
      <c r="K653">
        <v>1.84</v>
      </c>
      <c r="L653">
        <v>103.2</v>
      </c>
      <c r="M653">
        <v>0.4</v>
      </c>
      <c r="O653">
        <v>18.350000000000001</v>
      </c>
      <c r="P653">
        <v>-4.976</v>
      </c>
      <c r="Q653">
        <v>4.6260000000000003</v>
      </c>
      <c r="S653">
        <v>5.0940000000000003</v>
      </c>
      <c r="T653">
        <v>0</v>
      </c>
      <c r="U653">
        <v>97.7</v>
      </c>
      <c r="V653">
        <v>893</v>
      </c>
      <c r="W653">
        <v>38.909999999999997</v>
      </c>
      <c r="Y653">
        <v>12.85</v>
      </c>
    </row>
    <row r="654" spans="1:25" x14ac:dyDescent="0.25">
      <c r="A654">
        <v>2006</v>
      </c>
      <c r="B654">
        <v>328</v>
      </c>
      <c r="C654">
        <v>1100</v>
      </c>
      <c r="D654">
        <v>33.03</v>
      </c>
      <c r="E654">
        <v>23.05</v>
      </c>
      <c r="F654">
        <v>6.5789999999999997</v>
      </c>
      <c r="G654">
        <v>6.5220000000000002</v>
      </c>
      <c r="K654">
        <v>2.5070000000000001</v>
      </c>
      <c r="L654">
        <v>105.2</v>
      </c>
      <c r="M654">
        <v>1.2</v>
      </c>
      <c r="O654">
        <v>33.71</v>
      </c>
      <c r="P654">
        <v>-2.3519999999999999</v>
      </c>
      <c r="Q654">
        <v>4.6740000000000004</v>
      </c>
      <c r="S654">
        <v>5.0940000000000003</v>
      </c>
      <c r="T654">
        <v>0</v>
      </c>
      <c r="U654">
        <v>100.8</v>
      </c>
      <c r="V654">
        <v>903</v>
      </c>
      <c r="W654">
        <v>39.700000000000003</v>
      </c>
      <c r="Y654">
        <v>12.92</v>
      </c>
    </row>
    <row r="655" spans="1:25" x14ac:dyDescent="0.25">
      <c r="A655">
        <v>2006</v>
      </c>
      <c r="B655">
        <v>328</v>
      </c>
      <c r="C655">
        <v>1200</v>
      </c>
      <c r="D655">
        <v>15.98</v>
      </c>
      <c r="E655">
        <v>12.52</v>
      </c>
      <c r="F655">
        <v>8.33</v>
      </c>
      <c r="G655">
        <v>8.41</v>
      </c>
      <c r="K655">
        <v>3.05</v>
      </c>
      <c r="L655">
        <v>124.2</v>
      </c>
      <c r="M655">
        <v>4.5999999999999996</v>
      </c>
      <c r="O655">
        <v>11.26</v>
      </c>
      <c r="P655">
        <v>-5.8929999999999998</v>
      </c>
      <c r="Q655">
        <v>4.7830000000000004</v>
      </c>
      <c r="S655">
        <v>5.0309999999999997</v>
      </c>
      <c r="T655">
        <v>0</v>
      </c>
      <c r="U655">
        <v>98.9</v>
      </c>
      <c r="V655">
        <v>974</v>
      </c>
      <c r="W655">
        <v>46.11</v>
      </c>
      <c r="Y655">
        <v>12.91</v>
      </c>
    </row>
    <row r="656" spans="1:25" x14ac:dyDescent="0.25">
      <c r="A656">
        <v>2006</v>
      </c>
      <c r="B656">
        <v>328</v>
      </c>
      <c r="C656">
        <v>1300</v>
      </c>
      <c r="D656">
        <v>33.26</v>
      </c>
      <c r="E656">
        <v>19.79</v>
      </c>
      <c r="F656">
        <v>8.69</v>
      </c>
      <c r="G656">
        <v>8.98</v>
      </c>
      <c r="K656">
        <v>3.3140000000000001</v>
      </c>
      <c r="L656">
        <v>126.2</v>
      </c>
      <c r="M656">
        <v>0.6</v>
      </c>
      <c r="O656">
        <v>33.909999999999997</v>
      </c>
      <c r="P656">
        <v>-0.86799999999999999</v>
      </c>
      <c r="Q656">
        <v>5.0090000000000003</v>
      </c>
      <c r="S656">
        <v>4.9960000000000004</v>
      </c>
      <c r="T656">
        <v>0</v>
      </c>
      <c r="U656">
        <v>96.4</v>
      </c>
      <c r="V656">
        <v>985</v>
      </c>
      <c r="W656">
        <v>47.19</v>
      </c>
      <c r="Y656">
        <v>12.92</v>
      </c>
    </row>
    <row r="657" spans="1:25" x14ac:dyDescent="0.25">
      <c r="A657">
        <v>2006</v>
      </c>
      <c r="B657">
        <v>328</v>
      </c>
      <c r="C657">
        <v>1400</v>
      </c>
      <c r="D657">
        <v>10.98</v>
      </c>
      <c r="E657">
        <v>4.6879999999999997</v>
      </c>
      <c r="F657">
        <v>9.2100000000000009</v>
      </c>
      <c r="G657">
        <v>9.5399999999999991</v>
      </c>
      <c r="K657">
        <v>2.6320000000000001</v>
      </c>
      <c r="L657">
        <v>129.1</v>
      </c>
      <c r="M657">
        <v>4.8</v>
      </c>
      <c r="O657">
        <v>4.218</v>
      </c>
      <c r="P657">
        <v>-7.22</v>
      </c>
      <c r="Q657">
        <v>5.3140000000000001</v>
      </c>
      <c r="S657">
        <v>5.0590000000000002</v>
      </c>
      <c r="T657">
        <v>0</v>
      </c>
      <c r="U657">
        <v>95.9</v>
      </c>
      <c r="V657">
        <v>985</v>
      </c>
      <c r="W657">
        <v>47.19</v>
      </c>
      <c r="Y657">
        <v>12.92</v>
      </c>
    </row>
    <row r="658" spans="1:25" x14ac:dyDescent="0.25">
      <c r="A658">
        <v>2006</v>
      </c>
      <c r="B658">
        <v>328</v>
      </c>
      <c r="C658">
        <v>1500</v>
      </c>
      <c r="D658">
        <v>2.9569999999999999</v>
      </c>
      <c r="E658">
        <v>1.355</v>
      </c>
      <c r="F658">
        <v>9.15</v>
      </c>
      <c r="G658">
        <v>9.3800000000000008</v>
      </c>
      <c r="K658">
        <v>2.214</v>
      </c>
      <c r="L658">
        <v>135.6</v>
      </c>
      <c r="M658">
        <v>5</v>
      </c>
      <c r="O658">
        <v>-6.8490000000000002</v>
      </c>
      <c r="P658">
        <v>-9.68</v>
      </c>
      <c r="Q658">
        <v>5.5839999999999996</v>
      </c>
      <c r="S658">
        <v>5.15</v>
      </c>
      <c r="T658">
        <v>0</v>
      </c>
      <c r="U658">
        <v>97.1</v>
      </c>
      <c r="V658">
        <v>986</v>
      </c>
      <c r="W658">
        <v>47.32</v>
      </c>
      <c r="Y658">
        <v>12.88</v>
      </c>
    </row>
    <row r="659" spans="1:25" x14ac:dyDescent="0.25">
      <c r="A659">
        <v>2006</v>
      </c>
      <c r="B659">
        <v>328</v>
      </c>
      <c r="C659">
        <v>1600</v>
      </c>
      <c r="D659">
        <v>8.77</v>
      </c>
      <c r="E659">
        <v>-3.2349999999999999</v>
      </c>
      <c r="F659">
        <v>8.7799999999999994</v>
      </c>
      <c r="G659">
        <v>9.1199999999999992</v>
      </c>
      <c r="K659">
        <v>1.6659999999999999</v>
      </c>
      <c r="L659">
        <v>141.1</v>
      </c>
      <c r="M659">
        <v>2.2000000000000002</v>
      </c>
      <c r="O659">
        <v>1.4990000000000001</v>
      </c>
      <c r="P659">
        <v>-7.56</v>
      </c>
      <c r="Q659">
        <v>5.84</v>
      </c>
      <c r="S659">
        <v>5.2380000000000004</v>
      </c>
      <c r="T659">
        <v>0</v>
      </c>
      <c r="U659">
        <v>95.7</v>
      </c>
      <c r="V659">
        <v>986</v>
      </c>
      <c r="W659">
        <v>47.33</v>
      </c>
      <c r="Y659">
        <v>12.88</v>
      </c>
    </row>
    <row r="660" spans="1:25" x14ac:dyDescent="0.25">
      <c r="A660">
        <v>2006</v>
      </c>
      <c r="B660">
        <v>328</v>
      </c>
      <c r="C660">
        <v>1700</v>
      </c>
      <c r="D660">
        <v>-4.4999999999999998E-2</v>
      </c>
      <c r="E660">
        <v>-14.41</v>
      </c>
      <c r="F660">
        <v>8.36</v>
      </c>
      <c r="G660">
        <v>8.81</v>
      </c>
      <c r="K660">
        <v>1.3180000000000001</v>
      </c>
      <c r="L660">
        <v>151.1</v>
      </c>
      <c r="M660">
        <v>0</v>
      </c>
      <c r="O660">
        <v>-10.31</v>
      </c>
      <c r="P660">
        <v>-10.5</v>
      </c>
      <c r="Q660">
        <v>6.0590000000000002</v>
      </c>
      <c r="S660">
        <v>5.319</v>
      </c>
      <c r="T660">
        <v>0</v>
      </c>
      <c r="U660">
        <v>94.2</v>
      </c>
      <c r="V660">
        <v>986</v>
      </c>
      <c r="W660">
        <v>47.34</v>
      </c>
      <c r="Y660">
        <v>12.87</v>
      </c>
    </row>
    <row r="661" spans="1:25" x14ac:dyDescent="0.25">
      <c r="A661">
        <v>2006</v>
      </c>
      <c r="B661">
        <v>328</v>
      </c>
      <c r="C661">
        <v>1800</v>
      </c>
      <c r="D661">
        <v>-0.55100000000000005</v>
      </c>
      <c r="E661">
        <v>-7.14</v>
      </c>
      <c r="F661">
        <v>8.1999999999999993</v>
      </c>
      <c r="G661">
        <v>8.74</v>
      </c>
      <c r="K661">
        <v>0.97199999999999998</v>
      </c>
      <c r="L661">
        <v>144.6</v>
      </c>
      <c r="M661">
        <v>0</v>
      </c>
      <c r="O661">
        <v>-11.5</v>
      </c>
      <c r="P661">
        <v>-10.84</v>
      </c>
      <c r="Q661">
        <v>6.1630000000000003</v>
      </c>
      <c r="S661">
        <v>5.3739999999999997</v>
      </c>
      <c r="T661">
        <v>0</v>
      </c>
      <c r="U661">
        <v>93.1</v>
      </c>
      <c r="V661">
        <v>987</v>
      </c>
      <c r="W661">
        <v>47.39</v>
      </c>
      <c r="Y661">
        <v>12.87</v>
      </c>
    </row>
    <row r="662" spans="1:25" x14ac:dyDescent="0.25">
      <c r="A662">
        <v>2006</v>
      </c>
      <c r="B662">
        <v>328</v>
      </c>
      <c r="C662">
        <v>1900</v>
      </c>
      <c r="D662">
        <v>-0.50900000000000001</v>
      </c>
      <c r="E662">
        <v>-10.43</v>
      </c>
      <c r="F662">
        <v>7.22</v>
      </c>
      <c r="G662">
        <v>7.99</v>
      </c>
      <c r="K662">
        <v>0.82699999999999996</v>
      </c>
      <c r="L662">
        <v>179.7</v>
      </c>
      <c r="M662">
        <v>0</v>
      </c>
      <c r="O662">
        <v>-11.5</v>
      </c>
      <c r="P662">
        <v>-10.84</v>
      </c>
      <c r="Q662">
        <v>6.2329999999999997</v>
      </c>
      <c r="S662">
        <v>5.4279999999999999</v>
      </c>
      <c r="T662">
        <v>0</v>
      </c>
      <c r="U662">
        <v>90</v>
      </c>
      <c r="V662">
        <v>988</v>
      </c>
      <c r="W662">
        <v>47.54</v>
      </c>
      <c r="Y662">
        <v>12.87</v>
      </c>
    </row>
    <row r="663" spans="1:25" x14ac:dyDescent="0.25">
      <c r="A663">
        <v>2006</v>
      </c>
      <c r="B663">
        <v>328</v>
      </c>
      <c r="C663">
        <v>2000</v>
      </c>
      <c r="D663">
        <v>-1.087</v>
      </c>
      <c r="E663">
        <v>-9.75</v>
      </c>
      <c r="F663">
        <v>6.8280000000000003</v>
      </c>
      <c r="G663">
        <v>7.56</v>
      </c>
      <c r="K663">
        <v>1.2889999999999999</v>
      </c>
      <c r="L663">
        <v>199.5</v>
      </c>
      <c r="M663">
        <v>0.4</v>
      </c>
      <c r="O663">
        <v>-11.5</v>
      </c>
      <c r="P663">
        <v>-10.84</v>
      </c>
      <c r="Q663">
        <v>6.2619999999999996</v>
      </c>
      <c r="S663">
        <v>5.51</v>
      </c>
      <c r="T663">
        <v>0</v>
      </c>
      <c r="U663">
        <v>90.3</v>
      </c>
      <c r="V663">
        <v>999</v>
      </c>
      <c r="W663">
        <v>48.81</v>
      </c>
      <c r="Y663">
        <v>12.87</v>
      </c>
    </row>
    <row r="664" spans="1:25" x14ac:dyDescent="0.25">
      <c r="A664">
        <v>2006</v>
      </c>
      <c r="B664">
        <v>328</v>
      </c>
      <c r="C664">
        <v>2100</v>
      </c>
      <c r="D664">
        <v>-1.1220000000000001</v>
      </c>
      <c r="E664">
        <v>-11.41</v>
      </c>
      <c r="F664">
        <v>6.6580000000000004</v>
      </c>
      <c r="G664">
        <v>7.22</v>
      </c>
      <c r="K664">
        <v>1.2609999999999999</v>
      </c>
      <c r="L664">
        <v>185.3</v>
      </c>
      <c r="M664">
        <v>0</v>
      </c>
      <c r="O664">
        <v>-11.5</v>
      </c>
      <c r="P664">
        <v>-10.84</v>
      </c>
      <c r="Q664">
        <v>6.2859999999999996</v>
      </c>
      <c r="S664">
        <v>5.5369999999999999</v>
      </c>
      <c r="T664">
        <v>0</v>
      </c>
      <c r="U664">
        <v>92.5</v>
      </c>
      <c r="V664">
        <v>995</v>
      </c>
      <c r="W664">
        <v>48.32</v>
      </c>
      <c r="Y664">
        <v>12.87</v>
      </c>
    </row>
    <row r="665" spans="1:25" x14ac:dyDescent="0.25">
      <c r="A665">
        <v>2006</v>
      </c>
      <c r="B665">
        <v>328</v>
      </c>
      <c r="C665">
        <v>2200</v>
      </c>
      <c r="D665">
        <v>-1.996</v>
      </c>
      <c r="E665">
        <v>-32.93</v>
      </c>
      <c r="F665">
        <v>6.2839999999999998</v>
      </c>
      <c r="G665">
        <v>6.8940000000000001</v>
      </c>
      <c r="K665">
        <v>1.119</v>
      </c>
      <c r="L665">
        <v>214.3</v>
      </c>
      <c r="M665">
        <v>0.2</v>
      </c>
      <c r="O665">
        <v>-11.49</v>
      </c>
      <c r="P665">
        <v>-10.82</v>
      </c>
      <c r="Q665">
        <v>6.2679999999999998</v>
      </c>
      <c r="S665">
        <v>5.5380000000000003</v>
      </c>
      <c r="T665">
        <v>0</v>
      </c>
      <c r="U665">
        <v>91.8</v>
      </c>
      <c r="V665">
        <v>991</v>
      </c>
      <c r="W665">
        <v>47.92</v>
      </c>
      <c r="Y665">
        <v>12.87</v>
      </c>
    </row>
    <row r="666" spans="1:25" x14ac:dyDescent="0.25">
      <c r="A666">
        <v>2006</v>
      </c>
      <c r="B666">
        <v>328</v>
      </c>
      <c r="C666">
        <v>2300</v>
      </c>
      <c r="D666">
        <v>-2.0310000000000001</v>
      </c>
      <c r="E666">
        <v>-24.03</v>
      </c>
      <c r="F666">
        <v>6.2370000000000001</v>
      </c>
      <c r="G666">
        <v>6.734</v>
      </c>
      <c r="K666">
        <v>1.1020000000000001</v>
      </c>
      <c r="L666">
        <v>202.9</v>
      </c>
      <c r="M666">
        <v>0</v>
      </c>
      <c r="O666">
        <v>-11.49</v>
      </c>
      <c r="P666">
        <v>-10.82</v>
      </c>
      <c r="Q666">
        <v>6.1890000000000001</v>
      </c>
      <c r="S666">
        <v>5.5380000000000003</v>
      </c>
      <c r="T666">
        <v>0</v>
      </c>
      <c r="U666">
        <v>93.2</v>
      </c>
      <c r="V666">
        <v>993</v>
      </c>
      <c r="W666">
        <v>48.16</v>
      </c>
      <c r="Y666">
        <v>12.87</v>
      </c>
    </row>
    <row r="667" spans="1:25" x14ac:dyDescent="0.25">
      <c r="A667">
        <v>2006</v>
      </c>
      <c r="B667">
        <v>328</v>
      </c>
      <c r="C667">
        <v>2400</v>
      </c>
      <c r="D667">
        <v>-1.84</v>
      </c>
      <c r="E667">
        <v>-22.47</v>
      </c>
      <c r="F667">
        <v>5.8940000000000001</v>
      </c>
      <c r="G667">
        <v>6.3010000000000002</v>
      </c>
      <c r="K667">
        <v>1.0209999999999999</v>
      </c>
      <c r="L667">
        <v>188.8</v>
      </c>
      <c r="M667">
        <v>0</v>
      </c>
      <c r="O667">
        <v>-11.48</v>
      </c>
      <c r="P667">
        <v>-10.79</v>
      </c>
      <c r="Q667">
        <v>6.0780000000000003</v>
      </c>
      <c r="S667">
        <v>5.5380000000000003</v>
      </c>
      <c r="T667">
        <v>0</v>
      </c>
      <c r="U667">
        <v>94.4</v>
      </c>
      <c r="V667">
        <v>996</v>
      </c>
      <c r="W667">
        <v>48.46</v>
      </c>
      <c r="Y667">
        <v>12.87</v>
      </c>
    </row>
    <row r="668" spans="1:25" x14ac:dyDescent="0.25">
      <c r="A668">
        <v>2006</v>
      </c>
      <c r="B668">
        <v>328</v>
      </c>
      <c r="C668">
        <v>2400</v>
      </c>
      <c r="D668">
        <v>4.1890000000000001</v>
      </c>
      <c r="E668">
        <v>-17.829999999999998</v>
      </c>
      <c r="F668">
        <v>5.8529999999999998</v>
      </c>
      <c r="G668">
        <v>6.2519999999999998</v>
      </c>
      <c r="K668">
        <v>1.8939999999999999</v>
      </c>
      <c r="L668">
        <v>169.4</v>
      </c>
      <c r="M668">
        <v>19.399999999999999</v>
      </c>
      <c r="O668">
        <v>-3.4420000000000002</v>
      </c>
      <c r="P668">
        <v>-8.9700000000000006</v>
      </c>
      <c r="Q668">
        <v>5.492</v>
      </c>
      <c r="S668">
        <v>5.343</v>
      </c>
      <c r="T668">
        <v>0</v>
      </c>
      <c r="U668">
        <v>94.5</v>
      </c>
      <c r="V668">
        <v>947</v>
      </c>
      <c r="W668">
        <v>43.77</v>
      </c>
      <c r="Y668">
        <v>12.87</v>
      </c>
    </row>
    <row r="669" spans="1:25" x14ac:dyDescent="0.25">
      <c r="A669">
        <v>2006</v>
      </c>
      <c r="B669">
        <v>329</v>
      </c>
      <c r="C669">
        <v>100</v>
      </c>
      <c r="D669">
        <v>-2.7010000000000001</v>
      </c>
      <c r="E669">
        <v>-23.47</v>
      </c>
      <c r="F669">
        <v>5.2309999999999999</v>
      </c>
      <c r="G669">
        <v>5.7149999999999999</v>
      </c>
      <c r="K669">
        <v>1.3380000000000001</v>
      </c>
      <c r="L669">
        <v>186.5</v>
      </c>
      <c r="M669">
        <v>0</v>
      </c>
      <c r="O669">
        <v>-11.43</v>
      </c>
      <c r="P669">
        <v>-10.72</v>
      </c>
      <c r="Q669">
        <v>5.9669999999999996</v>
      </c>
      <c r="S669">
        <v>5.5540000000000003</v>
      </c>
      <c r="T669">
        <v>0</v>
      </c>
      <c r="U669">
        <v>93.1</v>
      </c>
      <c r="V669">
        <v>1015</v>
      </c>
      <c r="W669">
        <v>51.15</v>
      </c>
      <c r="Y669">
        <v>12.86</v>
      </c>
    </row>
    <row r="670" spans="1:25" x14ac:dyDescent="0.25">
      <c r="A670">
        <v>2006</v>
      </c>
      <c r="B670">
        <v>329</v>
      </c>
      <c r="C670">
        <v>200</v>
      </c>
      <c r="D670">
        <v>-2.931</v>
      </c>
      <c r="E670">
        <v>-22.76</v>
      </c>
      <c r="F670">
        <v>4.6399999999999997</v>
      </c>
      <c r="G670">
        <v>5.3380000000000001</v>
      </c>
      <c r="K670">
        <v>0.93400000000000005</v>
      </c>
      <c r="L670">
        <v>193.5</v>
      </c>
      <c r="M670">
        <v>0</v>
      </c>
      <c r="O670">
        <v>-11.32</v>
      </c>
      <c r="P670">
        <v>-10.62</v>
      </c>
      <c r="Q670">
        <v>5.827</v>
      </c>
      <c r="S670">
        <v>5.5250000000000004</v>
      </c>
      <c r="T670">
        <v>0</v>
      </c>
      <c r="U670">
        <v>90</v>
      </c>
      <c r="V670">
        <v>997</v>
      </c>
      <c r="W670">
        <v>48.59</v>
      </c>
      <c r="Y670">
        <v>12.86</v>
      </c>
    </row>
    <row r="671" spans="1:25" x14ac:dyDescent="0.25">
      <c r="A671">
        <v>2006</v>
      </c>
      <c r="B671">
        <v>329</v>
      </c>
      <c r="C671">
        <v>300</v>
      </c>
      <c r="D671">
        <v>-2.5819999999999999</v>
      </c>
      <c r="E671">
        <v>-18.75</v>
      </c>
      <c r="F671">
        <v>4.0650000000000004</v>
      </c>
      <c r="G671">
        <v>4.63</v>
      </c>
      <c r="K671">
        <v>0.77300000000000002</v>
      </c>
      <c r="L671">
        <v>190</v>
      </c>
      <c r="M671">
        <v>0</v>
      </c>
      <c r="O671">
        <v>-11.16</v>
      </c>
      <c r="P671">
        <v>-10.49</v>
      </c>
      <c r="Q671">
        <v>5.6639999999999997</v>
      </c>
      <c r="S671">
        <v>5.5209999999999999</v>
      </c>
      <c r="T671">
        <v>0</v>
      </c>
      <c r="U671">
        <v>91.7</v>
      </c>
      <c r="V671">
        <v>1001</v>
      </c>
      <c r="W671">
        <v>48.99</v>
      </c>
      <c r="Y671">
        <v>12.86</v>
      </c>
    </row>
    <row r="672" spans="1:25" x14ac:dyDescent="0.25">
      <c r="A672">
        <v>2006</v>
      </c>
      <c r="B672">
        <v>329</v>
      </c>
      <c r="C672">
        <v>400</v>
      </c>
      <c r="D672">
        <v>-2.3260000000000001</v>
      </c>
      <c r="E672">
        <v>-16.190000000000001</v>
      </c>
      <c r="F672">
        <v>3.831</v>
      </c>
      <c r="G672">
        <v>4.407</v>
      </c>
      <c r="K672">
        <v>0.72299999999999998</v>
      </c>
      <c r="L672">
        <v>177.3</v>
      </c>
      <c r="M672">
        <v>0</v>
      </c>
      <c r="O672">
        <v>-11.01</v>
      </c>
      <c r="P672">
        <v>-10.37</v>
      </c>
      <c r="Q672">
        <v>5.4569999999999999</v>
      </c>
      <c r="S672">
        <v>5.4390000000000001</v>
      </c>
      <c r="T672">
        <v>0</v>
      </c>
      <c r="U672">
        <v>91.4</v>
      </c>
      <c r="V672">
        <v>1000</v>
      </c>
      <c r="W672">
        <v>48.91</v>
      </c>
      <c r="Y672">
        <v>12.85</v>
      </c>
    </row>
    <row r="673" spans="1:25" x14ac:dyDescent="0.25">
      <c r="A673">
        <v>2006</v>
      </c>
      <c r="B673">
        <v>329</v>
      </c>
      <c r="C673">
        <v>500</v>
      </c>
      <c r="D673">
        <v>-2.2930000000000001</v>
      </c>
      <c r="E673">
        <v>-15.26</v>
      </c>
      <c r="F673">
        <v>3.6549999999999998</v>
      </c>
      <c r="G673">
        <v>4.5759999999999996</v>
      </c>
      <c r="K673">
        <v>0.84599999999999997</v>
      </c>
      <c r="L673">
        <v>151.19999999999999</v>
      </c>
      <c r="M673">
        <v>0</v>
      </c>
      <c r="O673">
        <v>-10.95</v>
      </c>
      <c r="P673">
        <v>-10.34</v>
      </c>
      <c r="Q673">
        <v>5.274</v>
      </c>
      <c r="S673">
        <v>5.4020000000000001</v>
      </c>
      <c r="T673">
        <v>0</v>
      </c>
      <c r="U673">
        <v>86.5</v>
      </c>
      <c r="V673">
        <v>999</v>
      </c>
      <c r="W673">
        <v>48.86</v>
      </c>
      <c r="Y673">
        <v>12.85</v>
      </c>
    </row>
    <row r="674" spans="1:25" x14ac:dyDescent="0.25">
      <c r="A674">
        <v>2006</v>
      </c>
      <c r="B674">
        <v>329</v>
      </c>
      <c r="C674">
        <v>600</v>
      </c>
      <c r="D674">
        <v>-3.1080000000000001</v>
      </c>
      <c r="E674">
        <v>-23.37</v>
      </c>
      <c r="F674">
        <v>3.5979999999999999</v>
      </c>
      <c r="G674">
        <v>4.8929999999999998</v>
      </c>
      <c r="K674">
        <v>1.204</v>
      </c>
      <c r="L674">
        <v>165.3</v>
      </c>
      <c r="M674">
        <v>0</v>
      </c>
      <c r="O674">
        <v>-10.97</v>
      </c>
      <c r="P674">
        <v>-10.3</v>
      </c>
      <c r="Q674">
        <v>5.1280000000000001</v>
      </c>
      <c r="S674">
        <v>5.3109999999999999</v>
      </c>
      <c r="T674">
        <v>0</v>
      </c>
      <c r="U674">
        <v>81.3</v>
      </c>
      <c r="V674">
        <v>999</v>
      </c>
      <c r="W674">
        <v>48.81</v>
      </c>
      <c r="Y674">
        <v>12.85</v>
      </c>
    </row>
    <row r="675" spans="1:25" x14ac:dyDescent="0.25">
      <c r="A675">
        <v>2006</v>
      </c>
      <c r="B675">
        <v>329</v>
      </c>
      <c r="C675">
        <v>700</v>
      </c>
      <c r="D675">
        <v>-3.6</v>
      </c>
      <c r="E675">
        <v>-28.69</v>
      </c>
      <c r="F675">
        <v>3.6680000000000001</v>
      </c>
      <c r="G675">
        <v>4.97</v>
      </c>
      <c r="K675">
        <v>1.512</v>
      </c>
      <c r="L675">
        <v>154.1</v>
      </c>
      <c r="M675">
        <v>0</v>
      </c>
      <c r="O675">
        <v>-10.99</v>
      </c>
      <c r="P675">
        <v>-10.36</v>
      </c>
      <c r="Q675">
        <v>5.0129999999999999</v>
      </c>
      <c r="S675">
        <v>5.2389999999999999</v>
      </c>
      <c r="T675">
        <v>0</v>
      </c>
      <c r="U675">
        <v>81.2</v>
      </c>
      <c r="V675">
        <v>998</v>
      </c>
      <c r="W675">
        <v>48.75</v>
      </c>
      <c r="Y675">
        <v>12.85</v>
      </c>
    </row>
    <row r="676" spans="1:25" x14ac:dyDescent="0.25">
      <c r="A676">
        <v>2006</v>
      </c>
      <c r="B676">
        <v>329</v>
      </c>
      <c r="C676">
        <v>800</v>
      </c>
      <c r="D676">
        <v>-3.3279999999999998</v>
      </c>
      <c r="E676">
        <v>-33.03</v>
      </c>
      <c r="F676">
        <v>3.879</v>
      </c>
      <c r="G676">
        <v>5.1509999999999998</v>
      </c>
      <c r="K676">
        <v>2.2280000000000002</v>
      </c>
      <c r="L676">
        <v>195.9</v>
      </c>
      <c r="M676">
        <v>0</v>
      </c>
      <c r="O676">
        <v>-10.75</v>
      </c>
      <c r="P676">
        <v>-10.29</v>
      </c>
      <c r="Q676">
        <v>4.8979999999999997</v>
      </c>
      <c r="S676">
        <v>5.194</v>
      </c>
      <c r="T676">
        <v>0</v>
      </c>
      <c r="U676">
        <v>81.8</v>
      </c>
      <c r="V676">
        <v>998</v>
      </c>
      <c r="W676">
        <v>48.68</v>
      </c>
      <c r="Y676">
        <v>12.85</v>
      </c>
    </row>
    <row r="677" spans="1:25" x14ac:dyDescent="0.25">
      <c r="A677">
        <v>2006</v>
      </c>
      <c r="B677">
        <v>329</v>
      </c>
      <c r="C677">
        <v>900</v>
      </c>
      <c r="D677">
        <v>4.9210000000000003</v>
      </c>
      <c r="E677">
        <v>-28.33</v>
      </c>
      <c r="F677">
        <v>3.99</v>
      </c>
      <c r="G677">
        <v>5.1529999999999996</v>
      </c>
      <c r="H677">
        <f>AVERAGE(G677:G701)</f>
        <v>6.2715200000000015</v>
      </c>
      <c r="I677">
        <f>MIN(G677:G701)</f>
        <v>4.5819999999999999</v>
      </c>
      <c r="J677">
        <f>MAX(G677:G701)</f>
        <v>8.2100000000000009</v>
      </c>
      <c r="K677">
        <v>3.1110000000000002</v>
      </c>
      <c r="L677">
        <v>205.7</v>
      </c>
      <c r="M677">
        <v>0</v>
      </c>
      <c r="N677">
        <f>SUM(M677:M701)</f>
        <v>4.4000000000000004</v>
      </c>
      <c r="O677">
        <v>-3.403</v>
      </c>
      <c r="P677">
        <v>-8.4499999999999993</v>
      </c>
      <c r="Q677">
        <v>4.7939999999999996</v>
      </c>
      <c r="S677">
        <v>5.0979999999999999</v>
      </c>
      <c r="T677">
        <v>0</v>
      </c>
      <c r="U677">
        <v>83.3</v>
      </c>
      <c r="V677">
        <v>997</v>
      </c>
      <c r="W677">
        <v>48.61</v>
      </c>
      <c r="Y677">
        <v>12.85</v>
      </c>
    </row>
    <row r="678" spans="1:25" x14ac:dyDescent="0.25">
      <c r="A678">
        <v>2006</v>
      </c>
      <c r="B678">
        <v>329</v>
      </c>
      <c r="C678">
        <v>1000</v>
      </c>
      <c r="D678">
        <v>45.64</v>
      </c>
      <c r="E678">
        <v>-4.3680000000000003</v>
      </c>
      <c r="F678">
        <v>4.1360000000000001</v>
      </c>
      <c r="G678">
        <v>5.1680000000000001</v>
      </c>
      <c r="K678">
        <v>3.0590000000000002</v>
      </c>
      <c r="L678">
        <v>220</v>
      </c>
      <c r="M678">
        <v>0</v>
      </c>
      <c r="O678">
        <v>39.18</v>
      </c>
      <c r="P678">
        <v>12.12</v>
      </c>
      <c r="Q678">
        <v>4.72</v>
      </c>
      <c r="S678">
        <v>5.0720000000000001</v>
      </c>
      <c r="T678">
        <v>0</v>
      </c>
      <c r="U678">
        <v>85.2</v>
      </c>
      <c r="V678">
        <v>997</v>
      </c>
      <c r="W678">
        <v>48.57</v>
      </c>
      <c r="Y678">
        <v>13.21</v>
      </c>
    </row>
    <row r="679" spans="1:25" x14ac:dyDescent="0.25">
      <c r="A679">
        <v>2006</v>
      </c>
      <c r="B679">
        <v>329</v>
      </c>
      <c r="C679">
        <v>1100</v>
      </c>
      <c r="D679">
        <v>144.6</v>
      </c>
      <c r="E679">
        <v>49.99</v>
      </c>
      <c r="F679">
        <v>4.8049999999999997</v>
      </c>
      <c r="G679">
        <v>5.9210000000000003</v>
      </c>
      <c r="K679">
        <v>3.2509999999999999</v>
      </c>
      <c r="L679">
        <v>222.4</v>
      </c>
      <c r="M679">
        <v>0</v>
      </c>
      <c r="O679">
        <v>163.30000000000001</v>
      </c>
      <c r="P679">
        <v>73.900000000000006</v>
      </c>
      <c r="Q679">
        <v>4.6870000000000003</v>
      </c>
      <c r="S679">
        <v>5.0279999999999996</v>
      </c>
      <c r="T679">
        <v>0</v>
      </c>
      <c r="U679">
        <v>84.5</v>
      </c>
      <c r="V679">
        <v>997</v>
      </c>
      <c r="W679">
        <v>48.52</v>
      </c>
      <c r="Y679">
        <v>14.31</v>
      </c>
    </row>
    <row r="680" spans="1:25" x14ac:dyDescent="0.25">
      <c r="A680">
        <v>2006</v>
      </c>
      <c r="B680">
        <v>329</v>
      </c>
      <c r="C680">
        <v>1200</v>
      </c>
      <c r="D680">
        <v>215.6</v>
      </c>
      <c r="E680">
        <v>152.4</v>
      </c>
      <c r="F680">
        <v>5.5960000000000001</v>
      </c>
      <c r="G680">
        <v>6.883</v>
      </c>
      <c r="K680">
        <v>3.6349999999999998</v>
      </c>
      <c r="L680">
        <v>228.6</v>
      </c>
      <c r="M680">
        <v>0</v>
      </c>
      <c r="O680">
        <v>253.2</v>
      </c>
      <c r="P680">
        <v>112.3</v>
      </c>
      <c r="Q680">
        <v>4.7030000000000003</v>
      </c>
      <c r="S680">
        <v>4.9690000000000003</v>
      </c>
      <c r="T680">
        <v>0</v>
      </c>
      <c r="U680">
        <v>82.8</v>
      </c>
      <c r="V680">
        <v>996</v>
      </c>
      <c r="W680">
        <v>48.5</v>
      </c>
      <c r="Y680">
        <v>14.37</v>
      </c>
    </row>
    <row r="681" spans="1:25" x14ac:dyDescent="0.25">
      <c r="A681">
        <v>2006</v>
      </c>
      <c r="B681">
        <v>329</v>
      </c>
      <c r="C681">
        <v>1300</v>
      </c>
      <c r="D681">
        <v>217.2</v>
      </c>
      <c r="E681">
        <v>155.19999999999999</v>
      </c>
      <c r="F681">
        <v>6.2880000000000003</v>
      </c>
      <c r="G681">
        <v>7.48</v>
      </c>
      <c r="K681">
        <v>3.55</v>
      </c>
      <c r="L681">
        <v>221.7</v>
      </c>
      <c r="M681">
        <v>0</v>
      </c>
      <c r="O681">
        <v>251.9</v>
      </c>
      <c r="P681">
        <v>114</v>
      </c>
      <c r="Q681">
        <v>4.8360000000000003</v>
      </c>
      <c r="S681">
        <v>4.9089999999999998</v>
      </c>
      <c r="T681">
        <v>0</v>
      </c>
      <c r="U681">
        <v>84.4</v>
      </c>
      <c r="V681">
        <v>984</v>
      </c>
      <c r="W681">
        <v>47.19</v>
      </c>
      <c r="Y681">
        <v>14.4</v>
      </c>
    </row>
    <row r="682" spans="1:25" x14ac:dyDescent="0.25">
      <c r="A682">
        <v>2006</v>
      </c>
      <c r="B682">
        <v>329</v>
      </c>
      <c r="C682">
        <v>1400</v>
      </c>
      <c r="D682">
        <v>147.19999999999999</v>
      </c>
      <c r="E682">
        <v>98.9</v>
      </c>
      <c r="F682">
        <v>6.9089999999999998</v>
      </c>
      <c r="G682">
        <v>8.0399999999999991</v>
      </c>
      <c r="K682">
        <v>3.2719999999999998</v>
      </c>
      <c r="L682">
        <v>226</v>
      </c>
      <c r="M682">
        <v>0</v>
      </c>
      <c r="O682">
        <v>163.5</v>
      </c>
      <c r="P682">
        <v>70.3</v>
      </c>
      <c r="Q682">
        <v>5.0720000000000001</v>
      </c>
      <c r="S682">
        <v>4.9429999999999996</v>
      </c>
      <c r="T682">
        <v>0</v>
      </c>
      <c r="U682">
        <v>85.4</v>
      </c>
      <c r="V682">
        <v>950</v>
      </c>
      <c r="W682">
        <v>43.64</v>
      </c>
      <c r="Y682">
        <v>14.1</v>
      </c>
    </row>
    <row r="683" spans="1:25" x14ac:dyDescent="0.25">
      <c r="A683">
        <v>2006</v>
      </c>
      <c r="B683">
        <v>329</v>
      </c>
      <c r="C683">
        <v>1500</v>
      </c>
      <c r="D683">
        <v>71.599999999999994</v>
      </c>
      <c r="E683">
        <v>28.65</v>
      </c>
      <c r="F683">
        <v>7.2</v>
      </c>
      <c r="G683">
        <v>8.2100000000000009</v>
      </c>
      <c r="K683">
        <v>4.1870000000000003</v>
      </c>
      <c r="L683">
        <v>241.4</v>
      </c>
      <c r="M683">
        <v>0</v>
      </c>
      <c r="O683">
        <v>71.400000000000006</v>
      </c>
      <c r="P683">
        <v>20.25</v>
      </c>
      <c r="Q683">
        <v>5.26</v>
      </c>
      <c r="S683">
        <v>4.899</v>
      </c>
      <c r="T683">
        <v>0</v>
      </c>
      <c r="U683">
        <v>87.1</v>
      </c>
      <c r="V683">
        <v>944</v>
      </c>
      <c r="W683">
        <v>43.02</v>
      </c>
      <c r="Y683">
        <v>13.8</v>
      </c>
    </row>
    <row r="684" spans="1:25" x14ac:dyDescent="0.25">
      <c r="A684">
        <v>2006</v>
      </c>
      <c r="B684">
        <v>329</v>
      </c>
      <c r="C684">
        <v>1600</v>
      </c>
      <c r="D684">
        <v>25.31</v>
      </c>
      <c r="E684">
        <v>-17.77</v>
      </c>
      <c r="F684">
        <v>7.29</v>
      </c>
      <c r="G684">
        <v>7.91</v>
      </c>
      <c r="K684">
        <v>3.5569999999999999</v>
      </c>
      <c r="L684">
        <v>231.9</v>
      </c>
      <c r="M684">
        <v>0</v>
      </c>
      <c r="O684">
        <v>18.53</v>
      </c>
      <c r="P684">
        <v>3.8210000000000002</v>
      </c>
      <c r="Q684">
        <v>5.3769999999999998</v>
      </c>
      <c r="S684">
        <v>4.8949999999999996</v>
      </c>
      <c r="T684">
        <v>0</v>
      </c>
      <c r="U684">
        <v>91.9</v>
      </c>
      <c r="V684">
        <v>937</v>
      </c>
      <c r="W684">
        <v>42.44</v>
      </c>
      <c r="Y684">
        <v>13.64</v>
      </c>
    </row>
    <row r="685" spans="1:25" x14ac:dyDescent="0.25">
      <c r="A685">
        <v>2006</v>
      </c>
      <c r="B685">
        <v>329</v>
      </c>
      <c r="C685">
        <v>1700</v>
      </c>
      <c r="D685">
        <v>-5.8999999999999997E-2</v>
      </c>
      <c r="E685">
        <v>-21.35</v>
      </c>
      <c r="F685">
        <v>7.27</v>
      </c>
      <c r="G685">
        <v>7.7</v>
      </c>
      <c r="K685">
        <v>4.1740000000000004</v>
      </c>
      <c r="L685">
        <v>234.6</v>
      </c>
      <c r="M685">
        <v>0</v>
      </c>
      <c r="O685">
        <v>-9.69</v>
      </c>
      <c r="P685">
        <v>-10.37</v>
      </c>
      <c r="Q685">
        <v>5.4189999999999996</v>
      </c>
      <c r="S685">
        <v>4.9210000000000003</v>
      </c>
      <c r="T685">
        <v>0</v>
      </c>
      <c r="U685">
        <v>94.4</v>
      </c>
      <c r="V685">
        <v>932</v>
      </c>
      <c r="W685">
        <v>41.98</v>
      </c>
      <c r="Y685">
        <v>13.47</v>
      </c>
    </row>
    <row r="686" spans="1:25" x14ac:dyDescent="0.25">
      <c r="A686">
        <v>2006</v>
      </c>
      <c r="B686">
        <v>329</v>
      </c>
      <c r="C686">
        <v>1800</v>
      </c>
      <c r="D686">
        <v>-1.159</v>
      </c>
      <c r="E686">
        <v>-15.44</v>
      </c>
      <c r="F686">
        <v>7.48</v>
      </c>
      <c r="G686">
        <v>7.8</v>
      </c>
      <c r="K686">
        <v>4.91</v>
      </c>
      <c r="L686">
        <v>239.8</v>
      </c>
      <c r="M686">
        <v>0</v>
      </c>
      <c r="O686">
        <v>-11.5</v>
      </c>
      <c r="P686">
        <v>-10.85</v>
      </c>
      <c r="Q686">
        <v>5.4649999999999999</v>
      </c>
      <c r="S686">
        <v>4.968</v>
      </c>
      <c r="T686">
        <v>0</v>
      </c>
      <c r="U686">
        <v>95.8</v>
      </c>
      <c r="V686">
        <v>927</v>
      </c>
      <c r="W686">
        <v>41.54</v>
      </c>
      <c r="Y686">
        <v>13.36</v>
      </c>
    </row>
    <row r="687" spans="1:25" x14ac:dyDescent="0.25">
      <c r="A687">
        <v>2006</v>
      </c>
      <c r="B687">
        <v>329</v>
      </c>
      <c r="C687">
        <v>1900</v>
      </c>
      <c r="D687">
        <v>-0.90900000000000003</v>
      </c>
      <c r="E687">
        <v>-9.74</v>
      </c>
      <c r="F687">
        <v>6.8280000000000003</v>
      </c>
      <c r="G687">
        <v>6.7809999999999997</v>
      </c>
      <c r="K687">
        <v>3.6970000000000001</v>
      </c>
      <c r="L687">
        <v>266.2</v>
      </c>
      <c r="M687">
        <v>2</v>
      </c>
      <c r="O687">
        <v>-11.5</v>
      </c>
      <c r="P687">
        <v>-10.84</v>
      </c>
      <c r="Q687">
        <v>5.4820000000000002</v>
      </c>
      <c r="S687">
        <v>4.9850000000000003</v>
      </c>
      <c r="T687">
        <v>0</v>
      </c>
      <c r="U687">
        <v>100.7</v>
      </c>
      <c r="V687">
        <v>946</v>
      </c>
      <c r="W687">
        <v>43.32</v>
      </c>
      <c r="Y687">
        <v>13.27</v>
      </c>
    </row>
    <row r="688" spans="1:25" x14ac:dyDescent="0.25">
      <c r="A688">
        <v>2006</v>
      </c>
      <c r="B688">
        <v>329</v>
      </c>
      <c r="C688">
        <v>2000</v>
      </c>
      <c r="D688">
        <v>-1.113</v>
      </c>
      <c r="E688">
        <v>-11.95</v>
      </c>
      <c r="F688">
        <v>6.9509999999999996</v>
      </c>
      <c r="G688">
        <v>7.26</v>
      </c>
      <c r="K688">
        <v>3.613</v>
      </c>
      <c r="L688">
        <v>253.4</v>
      </c>
      <c r="M688">
        <v>0.2</v>
      </c>
      <c r="O688">
        <v>-11.5</v>
      </c>
      <c r="P688">
        <v>-10.84</v>
      </c>
      <c r="Q688">
        <v>5.51</v>
      </c>
      <c r="S688">
        <v>4.9950000000000001</v>
      </c>
      <c r="T688">
        <v>0</v>
      </c>
      <c r="U688">
        <v>95.8</v>
      </c>
      <c r="V688">
        <v>957</v>
      </c>
      <c r="W688">
        <v>44.24</v>
      </c>
      <c r="Y688">
        <v>13.2</v>
      </c>
    </row>
    <row r="689" spans="1:25" x14ac:dyDescent="0.25">
      <c r="A689">
        <v>2006</v>
      </c>
      <c r="B689">
        <v>329</v>
      </c>
      <c r="C689">
        <v>2100</v>
      </c>
      <c r="D689">
        <v>-1.1459999999999999</v>
      </c>
      <c r="E689">
        <v>-18.829999999999998</v>
      </c>
      <c r="F689">
        <v>6.891</v>
      </c>
      <c r="G689">
        <v>7.28</v>
      </c>
      <c r="K689">
        <v>3.839</v>
      </c>
      <c r="L689">
        <v>238.1</v>
      </c>
      <c r="M689">
        <v>0</v>
      </c>
      <c r="O689">
        <v>-11.5</v>
      </c>
      <c r="P689">
        <v>-10.84</v>
      </c>
      <c r="Q689">
        <v>5.5439999999999996</v>
      </c>
      <c r="S689">
        <v>4.9950000000000001</v>
      </c>
      <c r="T689">
        <v>0</v>
      </c>
      <c r="U689">
        <v>94.8</v>
      </c>
      <c r="V689">
        <v>958</v>
      </c>
      <c r="W689">
        <v>44.37</v>
      </c>
      <c r="Y689">
        <v>13.14</v>
      </c>
    </row>
    <row r="690" spans="1:25" x14ac:dyDescent="0.25">
      <c r="A690">
        <v>2006</v>
      </c>
      <c r="B690">
        <v>329</v>
      </c>
      <c r="C690">
        <v>2200</v>
      </c>
      <c r="D690">
        <v>-1.3819999999999999</v>
      </c>
      <c r="E690">
        <v>-18.89</v>
      </c>
      <c r="F690">
        <v>7.02</v>
      </c>
      <c r="G690">
        <v>7.43</v>
      </c>
      <c r="K690">
        <v>3.8210000000000002</v>
      </c>
      <c r="L690">
        <v>239</v>
      </c>
      <c r="M690">
        <v>0</v>
      </c>
      <c r="O690">
        <v>-11.5</v>
      </c>
      <c r="P690">
        <v>-10.83</v>
      </c>
      <c r="Q690">
        <v>5.5759999999999996</v>
      </c>
      <c r="S690">
        <v>5.0510000000000002</v>
      </c>
      <c r="T690">
        <v>0</v>
      </c>
      <c r="U690">
        <v>94.6</v>
      </c>
      <c r="V690">
        <v>959</v>
      </c>
      <c r="W690">
        <v>44.52</v>
      </c>
      <c r="Y690">
        <v>13.09</v>
      </c>
    </row>
    <row r="691" spans="1:25" x14ac:dyDescent="0.25">
      <c r="A691">
        <v>2006</v>
      </c>
      <c r="B691">
        <v>329</v>
      </c>
      <c r="C691">
        <v>2300</v>
      </c>
      <c r="D691">
        <v>-2.0950000000000002</v>
      </c>
      <c r="E691">
        <v>-39.18</v>
      </c>
      <c r="F691">
        <v>6.2759999999999998</v>
      </c>
      <c r="G691">
        <v>6.5490000000000004</v>
      </c>
      <c r="K691">
        <v>3.1190000000000002</v>
      </c>
      <c r="L691">
        <v>224.8</v>
      </c>
      <c r="M691">
        <v>0</v>
      </c>
      <c r="O691">
        <v>-11.5</v>
      </c>
      <c r="P691">
        <v>-10.84</v>
      </c>
      <c r="Q691">
        <v>5.593</v>
      </c>
      <c r="S691">
        <v>5.069</v>
      </c>
      <c r="T691">
        <v>0</v>
      </c>
      <c r="U691">
        <v>96.2</v>
      </c>
      <c r="V691">
        <v>959</v>
      </c>
      <c r="W691">
        <v>44.52</v>
      </c>
      <c r="Y691">
        <v>13.05</v>
      </c>
    </row>
    <row r="692" spans="1:25" x14ac:dyDescent="0.25">
      <c r="A692">
        <v>2006</v>
      </c>
      <c r="B692">
        <v>329</v>
      </c>
      <c r="C692">
        <v>2400</v>
      </c>
      <c r="D692">
        <v>-2.343</v>
      </c>
      <c r="E692">
        <v>-42.53</v>
      </c>
      <c r="F692">
        <v>5.5330000000000004</v>
      </c>
      <c r="G692">
        <v>5.8470000000000004</v>
      </c>
      <c r="K692">
        <v>2.8290000000000002</v>
      </c>
      <c r="L692">
        <v>230</v>
      </c>
      <c r="M692">
        <v>0</v>
      </c>
      <c r="O692">
        <v>-11.46</v>
      </c>
      <c r="P692">
        <v>-10.76</v>
      </c>
      <c r="Q692">
        <v>5.524</v>
      </c>
      <c r="S692">
        <v>5.0270000000000001</v>
      </c>
      <c r="T692">
        <v>0</v>
      </c>
      <c r="U692">
        <v>95.6</v>
      </c>
      <c r="V692">
        <v>960</v>
      </c>
      <c r="W692">
        <v>44.58</v>
      </c>
      <c r="Y692">
        <v>13.02</v>
      </c>
    </row>
    <row r="693" spans="1:25" x14ac:dyDescent="0.25">
      <c r="A693">
        <v>2006</v>
      </c>
      <c r="B693">
        <v>329</v>
      </c>
      <c r="C693">
        <v>2400</v>
      </c>
      <c r="D693">
        <v>34.96</v>
      </c>
      <c r="E693">
        <v>3.1320000000000001</v>
      </c>
      <c r="F693">
        <v>5.5430000000000001</v>
      </c>
      <c r="G693">
        <v>6.2949999999999999</v>
      </c>
      <c r="K693">
        <v>2.7989999999999999</v>
      </c>
      <c r="L693">
        <v>215.8</v>
      </c>
      <c r="M693">
        <v>2.2000000000000002</v>
      </c>
      <c r="O693">
        <v>32.46</v>
      </c>
      <c r="P693">
        <v>9.5299999999999994</v>
      </c>
      <c r="Q693">
        <v>5.2830000000000004</v>
      </c>
      <c r="S693">
        <v>5.125</v>
      </c>
      <c r="T693">
        <v>0</v>
      </c>
      <c r="U693">
        <v>89.6</v>
      </c>
      <c r="V693">
        <v>975</v>
      </c>
      <c r="W693">
        <v>46.35</v>
      </c>
      <c r="Y693">
        <v>13.3</v>
      </c>
    </row>
    <row r="694" spans="1:25" x14ac:dyDescent="0.25">
      <c r="A694">
        <v>2006</v>
      </c>
      <c r="B694">
        <v>330</v>
      </c>
      <c r="C694">
        <v>100</v>
      </c>
      <c r="D694">
        <v>-2.544</v>
      </c>
      <c r="E694">
        <v>-45.5</v>
      </c>
      <c r="F694">
        <v>5.3559999999999999</v>
      </c>
      <c r="G694">
        <v>5.6760000000000002</v>
      </c>
      <c r="K694">
        <v>2.8380000000000001</v>
      </c>
      <c r="L694">
        <v>220</v>
      </c>
      <c r="M694">
        <v>0</v>
      </c>
      <c r="O694">
        <v>-11.4</v>
      </c>
      <c r="P694">
        <v>-10.66</v>
      </c>
      <c r="Q694">
        <v>5.4550000000000001</v>
      </c>
      <c r="S694">
        <v>5.0199999999999996</v>
      </c>
      <c r="T694">
        <v>0</v>
      </c>
      <c r="U694">
        <v>95.5</v>
      </c>
      <c r="V694">
        <v>961</v>
      </c>
      <c r="W694">
        <v>44.65</v>
      </c>
      <c r="Y694">
        <v>13</v>
      </c>
    </row>
    <row r="695" spans="1:25" x14ac:dyDescent="0.25">
      <c r="A695">
        <v>2006</v>
      </c>
      <c r="B695">
        <v>330</v>
      </c>
      <c r="C695">
        <v>200</v>
      </c>
      <c r="D695">
        <v>-2.8130000000000002</v>
      </c>
      <c r="E695">
        <v>-47.45</v>
      </c>
      <c r="F695">
        <v>4.859</v>
      </c>
      <c r="G695">
        <v>5.2169999999999996</v>
      </c>
      <c r="K695">
        <v>2.3730000000000002</v>
      </c>
      <c r="L695">
        <v>216.1</v>
      </c>
      <c r="M695">
        <v>0</v>
      </c>
      <c r="O695">
        <v>-11.29</v>
      </c>
      <c r="P695">
        <v>-10.6</v>
      </c>
      <c r="Q695">
        <v>5.3620000000000001</v>
      </c>
      <c r="S695">
        <v>5.0449999999999999</v>
      </c>
      <c r="T695">
        <v>0</v>
      </c>
      <c r="U695">
        <v>94.8</v>
      </c>
      <c r="V695">
        <v>948</v>
      </c>
      <c r="W695">
        <v>43.42</v>
      </c>
      <c r="Y695">
        <v>12.98</v>
      </c>
    </row>
    <row r="696" spans="1:25" x14ac:dyDescent="0.25">
      <c r="A696">
        <v>2006</v>
      </c>
      <c r="B696">
        <v>330</v>
      </c>
      <c r="C696">
        <v>300</v>
      </c>
      <c r="D696">
        <v>-2.87</v>
      </c>
      <c r="E696">
        <v>-47.27</v>
      </c>
      <c r="F696">
        <v>4.5339999999999998</v>
      </c>
      <c r="G696">
        <v>4.7850000000000001</v>
      </c>
      <c r="K696">
        <v>1.9419999999999999</v>
      </c>
      <c r="L696">
        <v>205.8</v>
      </c>
      <c r="M696">
        <v>0</v>
      </c>
      <c r="O696">
        <v>-11.2</v>
      </c>
      <c r="P696">
        <v>-10.51</v>
      </c>
      <c r="Q696">
        <v>5.2590000000000003</v>
      </c>
      <c r="S696">
        <v>5.08</v>
      </c>
      <c r="T696">
        <v>0</v>
      </c>
      <c r="U696">
        <v>96.3</v>
      </c>
      <c r="V696">
        <v>937</v>
      </c>
      <c r="W696">
        <v>42.44</v>
      </c>
      <c r="Y696">
        <v>12.96</v>
      </c>
    </row>
    <row r="697" spans="1:25" x14ac:dyDescent="0.25">
      <c r="A697">
        <v>2006</v>
      </c>
      <c r="B697">
        <v>330</v>
      </c>
      <c r="C697">
        <v>400</v>
      </c>
      <c r="D697">
        <v>-2.9369999999999998</v>
      </c>
      <c r="E697">
        <v>-46.44</v>
      </c>
      <c r="F697">
        <v>4.3650000000000002</v>
      </c>
      <c r="G697">
        <v>4.6619999999999999</v>
      </c>
      <c r="K697">
        <v>1.39</v>
      </c>
      <c r="L697">
        <v>187.2</v>
      </c>
      <c r="M697">
        <v>0</v>
      </c>
      <c r="O697">
        <v>-11.08</v>
      </c>
      <c r="P697">
        <v>-10.46</v>
      </c>
      <c r="Q697">
        <v>5.1230000000000002</v>
      </c>
      <c r="S697">
        <v>5.0579999999999998</v>
      </c>
      <c r="T697">
        <v>0</v>
      </c>
      <c r="U697">
        <v>95.6</v>
      </c>
      <c r="V697">
        <v>932</v>
      </c>
      <c r="W697">
        <v>42</v>
      </c>
      <c r="Y697">
        <v>12.95</v>
      </c>
    </row>
    <row r="698" spans="1:25" x14ac:dyDescent="0.25">
      <c r="A698">
        <v>2006</v>
      </c>
      <c r="B698">
        <v>330</v>
      </c>
      <c r="C698">
        <v>500</v>
      </c>
      <c r="D698">
        <v>-2.952</v>
      </c>
      <c r="E698">
        <v>-42.38</v>
      </c>
      <c r="F698">
        <v>4.34</v>
      </c>
      <c r="G698">
        <v>4.5819999999999999</v>
      </c>
      <c r="K698">
        <v>1.375</v>
      </c>
      <c r="L698">
        <v>200.1</v>
      </c>
      <c r="M698">
        <v>0</v>
      </c>
      <c r="O698">
        <v>-10.97</v>
      </c>
      <c r="P698">
        <v>-10.33</v>
      </c>
      <c r="Q698">
        <v>4.976</v>
      </c>
      <c r="S698">
        <v>4.9850000000000003</v>
      </c>
      <c r="T698">
        <v>0</v>
      </c>
      <c r="U698">
        <v>96.4</v>
      </c>
      <c r="V698">
        <v>927</v>
      </c>
      <c r="W698">
        <v>41.61</v>
      </c>
      <c r="Y698">
        <v>12.94</v>
      </c>
    </row>
    <row r="699" spans="1:25" x14ac:dyDescent="0.25">
      <c r="A699">
        <v>2006</v>
      </c>
      <c r="B699">
        <v>330</v>
      </c>
      <c r="C699">
        <v>600</v>
      </c>
      <c r="D699">
        <v>-2.9420000000000002</v>
      </c>
      <c r="E699">
        <v>-39.79</v>
      </c>
      <c r="F699">
        <v>4.4429999999999996</v>
      </c>
      <c r="G699">
        <v>4.7220000000000004</v>
      </c>
      <c r="K699">
        <v>1.7450000000000001</v>
      </c>
      <c r="L699">
        <v>207.2</v>
      </c>
      <c r="M699">
        <v>0</v>
      </c>
      <c r="O699">
        <v>-10.91</v>
      </c>
      <c r="P699">
        <v>-10.3</v>
      </c>
      <c r="Q699">
        <v>4.83</v>
      </c>
      <c r="S699">
        <v>4.9809999999999999</v>
      </c>
      <c r="T699">
        <v>0</v>
      </c>
      <c r="U699">
        <v>95.9</v>
      </c>
      <c r="V699">
        <v>923</v>
      </c>
      <c r="W699">
        <v>41.25</v>
      </c>
      <c r="Y699">
        <v>12.93</v>
      </c>
    </row>
    <row r="700" spans="1:25" x14ac:dyDescent="0.25">
      <c r="A700">
        <v>2006</v>
      </c>
      <c r="B700">
        <v>330</v>
      </c>
      <c r="C700">
        <v>700</v>
      </c>
      <c r="D700">
        <v>-3.0739999999999998</v>
      </c>
      <c r="E700">
        <v>-38.770000000000003</v>
      </c>
      <c r="F700">
        <v>4.3879999999999999</v>
      </c>
      <c r="G700">
        <v>4.7460000000000004</v>
      </c>
      <c r="K700">
        <v>1.244</v>
      </c>
      <c r="L700">
        <v>202.5</v>
      </c>
      <c r="M700">
        <v>0</v>
      </c>
      <c r="O700">
        <v>-10.94</v>
      </c>
      <c r="P700">
        <v>-10.29</v>
      </c>
      <c r="Q700">
        <v>4.6959999999999997</v>
      </c>
      <c r="S700">
        <v>4.88</v>
      </c>
      <c r="T700">
        <v>0</v>
      </c>
      <c r="U700">
        <v>94.7</v>
      </c>
      <c r="V700">
        <v>920</v>
      </c>
      <c r="W700">
        <v>41.03</v>
      </c>
      <c r="Y700">
        <v>12.93</v>
      </c>
    </row>
    <row r="701" spans="1:25" x14ac:dyDescent="0.25">
      <c r="A701">
        <v>2006</v>
      </c>
      <c r="B701">
        <v>330</v>
      </c>
      <c r="C701">
        <v>800</v>
      </c>
      <c r="D701">
        <v>-2.8290000000000002</v>
      </c>
      <c r="E701">
        <v>-35.92</v>
      </c>
      <c r="F701">
        <v>4.3380000000000001</v>
      </c>
      <c r="G701">
        <v>4.6909999999999998</v>
      </c>
      <c r="K701">
        <v>1.444</v>
      </c>
      <c r="L701">
        <v>204.1</v>
      </c>
      <c r="M701">
        <v>0</v>
      </c>
      <c r="O701">
        <v>-10.67</v>
      </c>
      <c r="P701">
        <v>-10.24</v>
      </c>
      <c r="Q701">
        <v>4.569</v>
      </c>
      <c r="S701">
        <v>4.8499999999999996</v>
      </c>
      <c r="T701">
        <v>0</v>
      </c>
      <c r="U701">
        <v>94.8</v>
      </c>
      <c r="V701">
        <v>915</v>
      </c>
      <c r="W701">
        <v>40.630000000000003</v>
      </c>
      <c r="Y701">
        <v>12.92</v>
      </c>
    </row>
    <row r="702" spans="1:25" x14ac:dyDescent="0.25">
      <c r="A702">
        <v>2006</v>
      </c>
      <c r="B702">
        <v>330</v>
      </c>
      <c r="C702">
        <v>900</v>
      </c>
      <c r="D702">
        <v>11.06</v>
      </c>
      <c r="E702">
        <v>-27.39</v>
      </c>
      <c r="F702">
        <v>4.2210000000000001</v>
      </c>
      <c r="G702">
        <v>4.6219999999999999</v>
      </c>
      <c r="H702">
        <f>AVERAGE(G702:G726)</f>
        <v>9.6724800000000002</v>
      </c>
      <c r="I702">
        <f>MIN(G702:G726)</f>
        <v>4.6219999999999999</v>
      </c>
      <c r="J702">
        <f>MAX(G702:G726)</f>
        <v>11.48</v>
      </c>
      <c r="K702">
        <v>1.1879999999999999</v>
      </c>
      <c r="L702">
        <v>186.1</v>
      </c>
      <c r="M702">
        <v>0</v>
      </c>
      <c r="N702">
        <f>SUM(M702:M726)</f>
        <v>11.200000000000001</v>
      </c>
      <c r="O702">
        <v>-0.188</v>
      </c>
      <c r="P702">
        <v>-7.22</v>
      </c>
      <c r="Q702">
        <v>4.4420000000000002</v>
      </c>
      <c r="S702">
        <v>4.7670000000000003</v>
      </c>
      <c r="T702">
        <v>0</v>
      </c>
      <c r="U702">
        <v>94.1</v>
      </c>
      <c r="V702">
        <v>913</v>
      </c>
      <c r="W702">
        <v>40.4</v>
      </c>
      <c r="Y702">
        <v>12.92</v>
      </c>
    </row>
    <row r="703" spans="1:25" x14ac:dyDescent="0.25">
      <c r="A703">
        <v>2006</v>
      </c>
      <c r="B703">
        <v>330</v>
      </c>
      <c r="C703">
        <v>1000</v>
      </c>
      <c r="D703">
        <v>88.2</v>
      </c>
      <c r="E703">
        <v>10.23</v>
      </c>
      <c r="F703">
        <v>4.7880000000000003</v>
      </c>
      <c r="G703">
        <v>5.2789999999999999</v>
      </c>
      <c r="K703">
        <v>1.0509999999999999</v>
      </c>
      <c r="L703">
        <v>169.3</v>
      </c>
      <c r="M703">
        <v>0</v>
      </c>
      <c r="O703">
        <v>68.64</v>
      </c>
      <c r="P703">
        <v>37.43</v>
      </c>
      <c r="Q703">
        <v>4.3380000000000001</v>
      </c>
      <c r="S703">
        <v>4.7670000000000003</v>
      </c>
      <c r="T703">
        <v>0</v>
      </c>
      <c r="U703">
        <v>92.9</v>
      </c>
      <c r="V703">
        <v>910</v>
      </c>
      <c r="W703">
        <v>40.229999999999997</v>
      </c>
      <c r="Y703">
        <v>13.52</v>
      </c>
    </row>
    <row r="704" spans="1:25" x14ac:dyDescent="0.25">
      <c r="A704">
        <v>2006</v>
      </c>
      <c r="B704">
        <v>330</v>
      </c>
      <c r="C704">
        <v>1100</v>
      </c>
      <c r="D704">
        <v>164.1</v>
      </c>
      <c r="E704">
        <v>57.86</v>
      </c>
      <c r="F704">
        <v>6.3289999999999997</v>
      </c>
      <c r="G704">
        <v>6.9210000000000003</v>
      </c>
      <c r="K704">
        <v>1.5980000000000001</v>
      </c>
      <c r="L704">
        <v>183.3</v>
      </c>
      <c r="M704">
        <v>0</v>
      </c>
      <c r="O704">
        <v>188.3</v>
      </c>
      <c r="P704">
        <v>92.8</v>
      </c>
      <c r="Q704">
        <v>4.335</v>
      </c>
      <c r="S704">
        <v>4.7590000000000003</v>
      </c>
      <c r="T704">
        <v>0</v>
      </c>
      <c r="U704">
        <v>92</v>
      </c>
      <c r="V704">
        <v>909</v>
      </c>
      <c r="W704">
        <v>40.11</v>
      </c>
      <c r="Y704">
        <v>14.65</v>
      </c>
    </row>
    <row r="705" spans="1:25" x14ac:dyDescent="0.25">
      <c r="A705">
        <v>2006</v>
      </c>
      <c r="B705">
        <v>330</v>
      </c>
      <c r="C705">
        <v>1200</v>
      </c>
      <c r="D705">
        <v>201.4</v>
      </c>
      <c r="E705">
        <v>148.80000000000001</v>
      </c>
      <c r="F705">
        <v>7.62</v>
      </c>
      <c r="G705">
        <v>8.2799999999999994</v>
      </c>
      <c r="K705">
        <v>1.7629999999999999</v>
      </c>
      <c r="L705">
        <v>184.4</v>
      </c>
      <c r="M705">
        <v>0</v>
      </c>
      <c r="O705">
        <v>236.6</v>
      </c>
      <c r="P705">
        <v>106.5</v>
      </c>
      <c r="Q705">
        <v>4.3460000000000001</v>
      </c>
      <c r="S705">
        <v>4.6950000000000003</v>
      </c>
      <c r="T705">
        <v>0</v>
      </c>
      <c r="U705">
        <v>91.5</v>
      </c>
      <c r="V705">
        <v>908</v>
      </c>
      <c r="W705">
        <v>40.03</v>
      </c>
      <c r="Y705">
        <v>14.41</v>
      </c>
    </row>
    <row r="706" spans="1:25" x14ac:dyDescent="0.25">
      <c r="A706">
        <v>2006</v>
      </c>
      <c r="B706">
        <v>330</v>
      </c>
      <c r="C706">
        <v>1300</v>
      </c>
      <c r="D706">
        <v>193.7</v>
      </c>
      <c r="E706">
        <v>137.80000000000001</v>
      </c>
      <c r="F706">
        <v>8.68</v>
      </c>
      <c r="G706">
        <v>9.19</v>
      </c>
      <c r="K706">
        <v>1.7669999999999999</v>
      </c>
      <c r="L706">
        <v>172</v>
      </c>
      <c r="M706">
        <v>0</v>
      </c>
      <c r="O706">
        <v>225.2</v>
      </c>
      <c r="P706">
        <v>100.5</v>
      </c>
      <c r="Q706">
        <v>4.5330000000000004</v>
      </c>
      <c r="S706">
        <v>4.6689999999999996</v>
      </c>
      <c r="T706">
        <v>0</v>
      </c>
      <c r="U706">
        <v>93.6</v>
      </c>
      <c r="V706">
        <v>907</v>
      </c>
      <c r="W706">
        <v>39.94</v>
      </c>
      <c r="Y706">
        <v>14.36</v>
      </c>
    </row>
    <row r="707" spans="1:25" x14ac:dyDescent="0.25">
      <c r="A707">
        <v>2006</v>
      </c>
      <c r="B707">
        <v>330</v>
      </c>
      <c r="C707">
        <v>1400</v>
      </c>
      <c r="D707">
        <v>122</v>
      </c>
      <c r="E707">
        <v>65.7</v>
      </c>
      <c r="F707">
        <v>9.1199999999999992</v>
      </c>
      <c r="G707">
        <v>9.3800000000000008</v>
      </c>
      <c r="K707">
        <v>1.6339999999999999</v>
      </c>
      <c r="L707">
        <v>159</v>
      </c>
      <c r="M707">
        <v>0</v>
      </c>
      <c r="O707">
        <v>132.9</v>
      </c>
      <c r="P707">
        <v>52.76</v>
      </c>
      <c r="Q707">
        <v>4.7469999999999999</v>
      </c>
      <c r="S707">
        <v>4.617</v>
      </c>
      <c r="T707">
        <v>0</v>
      </c>
      <c r="U707">
        <v>96.8</v>
      </c>
      <c r="V707">
        <v>905</v>
      </c>
      <c r="W707">
        <v>39.82</v>
      </c>
      <c r="Y707">
        <v>14.01</v>
      </c>
    </row>
    <row r="708" spans="1:25" x14ac:dyDescent="0.25">
      <c r="A708">
        <v>2006</v>
      </c>
      <c r="B708">
        <v>330</v>
      </c>
      <c r="C708">
        <v>1500</v>
      </c>
      <c r="D708">
        <v>64.150000000000006</v>
      </c>
      <c r="E708">
        <v>13.55</v>
      </c>
      <c r="F708">
        <v>8.7899999999999991</v>
      </c>
      <c r="G708">
        <v>9.15</v>
      </c>
      <c r="K708">
        <v>1.601</v>
      </c>
      <c r="L708">
        <v>134.80000000000001</v>
      </c>
      <c r="M708">
        <v>0</v>
      </c>
      <c r="O708">
        <v>66.48</v>
      </c>
      <c r="P708">
        <v>13.97</v>
      </c>
      <c r="Q708">
        <v>4.9649999999999999</v>
      </c>
      <c r="S708">
        <v>4.6159999999999997</v>
      </c>
      <c r="T708">
        <v>0</v>
      </c>
      <c r="U708">
        <v>95.5</v>
      </c>
      <c r="V708">
        <v>903</v>
      </c>
      <c r="W708">
        <v>39.69</v>
      </c>
      <c r="Y708">
        <v>13.71</v>
      </c>
    </row>
    <row r="709" spans="1:25" x14ac:dyDescent="0.25">
      <c r="A709">
        <v>2006</v>
      </c>
      <c r="B709">
        <v>330</v>
      </c>
      <c r="C709">
        <v>1600</v>
      </c>
      <c r="D709">
        <v>18.309999999999999</v>
      </c>
      <c r="E709">
        <v>-0.622</v>
      </c>
      <c r="F709">
        <v>9.1</v>
      </c>
      <c r="G709">
        <v>9.5500000000000007</v>
      </c>
      <c r="K709">
        <v>1.758</v>
      </c>
      <c r="L709">
        <v>138.80000000000001</v>
      </c>
      <c r="M709">
        <v>0</v>
      </c>
      <c r="O709">
        <v>12.46</v>
      </c>
      <c r="P709">
        <v>-5.0730000000000004</v>
      </c>
      <c r="Q709">
        <v>5.1310000000000002</v>
      </c>
      <c r="S709">
        <v>4.6749999999999998</v>
      </c>
      <c r="T709">
        <v>0</v>
      </c>
      <c r="U709">
        <v>94.4</v>
      </c>
      <c r="V709">
        <v>902</v>
      </c>
      <c r="W709">
        <v>39.58</v>
      </c>
      <c r="Y709">
        <v>13.54</v>
      </c>
    </row>
    <row r="710" spans="1:25" x14ac:dyDescent="0.25">
      <c r="A710">
        <v>2006</v>
      </c>
      <c r="B710">
        <v>330</v>
      </c>
      <c r="C710">
        <v>1700</v>
      </c>
      <c r="D710">
        <v>-1.0680000000000001</v>
      </c>
      <c r="E710">
        <v>-23.32</v>
      </c>
      <c r="F710">
        <v>9.58</v>
      </c>
      <c r="G710">
        <v>9.98</v>
      </c>
      <c r="K710">
        <v>2.286</v>
      </c>
      <c r="L710">
        <v>155.4</v>
      </c>
      <c r="M710">
        <v>0</v>
      </c>
      <c r="O710">
        <v>-10.67</v>
      </c>
      <c r="P710">
        <v>-10.59</v>
      </c>
      <c r="Q710">
        <v>5.2240000000000002</v>
      </c>
      <c r="S710">
        <v>4.7</v>
      </c>
      <c r="T710">
        <v>0</v>
      </c>
      <c r="U710">
        <v>95.2</v>
      </c>
      <c r="V710">
        <v>901</v>
      </c>
      <c r="W710">
        <v>39.51</v>
      </c>
      <c r="Y710">
        <v>13.42</v>
      </c>
    </row>
    <row r="711" spans="1:25" x14ac:dyDescent="0.25">
      <c r="A711">
        <v>2006</v>
      </c>
      <c r="B711">
        <v>330</v>
      </c>
      <c r="C711">
        <v>1800</v>
      </c>
      <c r="D711">
        <v>-1.736</v>
      </c>
      <c r="E711">
        <v>-17.78</v>
      </c>
      <c r="F711">
        <v>9.67</v>
      </c>
      <c r="G711">
        <v>10.15</v>
      </c>
      <c r="K711">
        <v>2.6760000000000002</v>
      </c>
      <c r="L711">
        <v>139.6</v>
      </c>
      <c r="M711">
        <v>0</v>
      </c>
      <c r="O711">
        <v>-11.5</v>
      </c>
      <c r="P711">
        <v>-10.84</v>
      </c>
      <c r="Q711">
        <v>5.3179999999999996</v>
      </c>
      <c r="S711">
        <v>4.7750000000000004</v>
      </c>
      <c r="T711">
        <v>0</v>
      </c>
      <c r="U711">
        <v>94.3</v>
      </c>
      <c r="V711">
        <v>900</v>
      </c>
      <c r="W711">
        <v>39.43</v>
      </c>
      <c r="Y711">
        <v>13.32</v>
      </c>
    </row>
    <row r="712" spans="1:25" x14ac:dyDescent="0.25">
      <c r="A712">
        <v>2006</v>
      </c>
      <c r="B712">
        <v>330</v>
      </c>
      <c r="C712">
        <v>1900</v>
      </c>
      <c r="D712">
        <v>-1.4430000000000001</v>
      </c>
      <c r="E712">
        <v>-14.19</v>
      </c>
      <c r="F712">
        <v>10.119999999999999</v>
      </c>
      <c r="G712">
        <v>10.59</v>
      </c>
      <c r="K712">
        <v>2.7410000000000001</v>
      </c>
      <c r="L712">
        <v>139.6</v>
      </c>
      <c r="M712">
        <v>0</v>
      </c>
      <c r="O712">
        <v>-11.5</v>
      </c>
      <c r="P712">
        <v>-10.84</v>
      </c>
      <c r="Q712">
        <v>5.4160000000000004</v>
      </c>
      <c r="S712">
        <v>4.8010000000000002</v>
      </c>
      <c r="T712">
        <v>0</v>
      </c>
      <c r="U712">
        <v>94.4</v>
      </c>
      <c r="V712">
        <v>898</v>
      </c>
      <c r="W712">
        <v>39.33</v>
      </c>
      <c r="Y712">
        <v>13.24</v>
      </c>
    </row>
    <row r="713" spans="1:25" x14ac:dyDescent="0.25">
      <c r="A713">
        <v>2006</v>
      </c>
      <c r="B713">
        <v>330</v>
      </c>
      <c r="C713">
        <v>2000</v>
      </c>
      <c r="D713">
        <v>-1.548</v>
      </c>
      <c r="E713">
        <v>-15.99</v>
      </c>
      <c r="F713">
        <v>10.56</v>
      </c>
      <c r="G713">
        <v>10.91</v>
      </c>
      <c r="K713">
        <v>3.3290000000000002</v>
      </c>
      <c r="L713">
        <v>136.80000000000001</v>
      </c>
      <c r="M713">
        <v>0</v>
      </c>
      <c r="O713">
        <v>-11.5</v>
      </c>
      <c r="P713">
        <v>-10.84</v>
      </c>
      <c r="Q713">
        <v>5.5289999999999999</v>
      </c>
      <c r="S713">
        <v>4.8869999999999996</v>
      </c>
      <c r="T713">
        <v>0</v>
      </c>
      <c r="U713">
        <v>95.9</v>
      </c>
      <c r="V713">
        <v>898</v>
      </c>
      <c r="W713">
        <v>39.26</v>
      </c>
      <c r="Y713">
        <v>13.17</v>
      </c>
    </row>
    <row r="714" spans="1:25" x14ac:dyDescent="0.25">
      <c r="A714">
        <v>2006</v>
      </c>
      <c r="B714">
        <v>330</v>
      </c>
      <c r="C714">
        <v>2100</v>
      </c>
      <c r="D714">
        <v>-1.1299999999999999</v>
      </c>
      <c r="E714">
        <v>-5.9240000000000004</v>
      </c>
      <c r="F714">
        <v>10.85</v>
      </c>
      <c r="G714">
        <v>11.2</v>
      </c>
      <c r="K714">
        <v>3.8959999999999999</v>
      </c>
      <c r="L714">
        <v>136.19999999999999</v>
      </c>
      <c r="M714">
        <v>0</v>
      </c>
      <c r="O714">
        <v>-11.5</v>
      </c>
      <c r="P714">
        <v>-10.84</v>
      </c>
      <c r="Q714">
        <v>5.6550000000000002</v>
      </c>
      <c r="S714">
        <v>4.9409999999999998</v>
      </c>
      <c r="T714">
        <v>0</v>
      </c>
      <c r="U714">
        <v>96</v>
      </c>
      <c r="V714">
        <v>897</v>
      </c>
      <c r="W714">
        <v>39.25</v>
      </c>
      <c r="Y714">
        <v>13.1</v>
      </c>
    </row>
    <row r="715" spans="1:25" x14ac:dyDescent="0.25">
      <c r="A715">
        <v>2006</v>
      </c>
      <c r="B715">
        <v>330</v>
      </c>
      <c r="C715">
        <v>2200</v>
      </c>
      <c r="D715">
        <v>-1.86</v>
      </c>
      <c r="E715">
        <v>-7.53</v>
      </c>
      <c r="F715">
        <v>11.01</v>
      </c>
      <c r="G715">
        <v>11.27</v>
      </c>
      <c r="K715">
        <v>4.05</v>
      </c>
      <c r="L715">
        <v>133.4</v>
      </c>
      <c r="M715">
        <v>0.2</v>
      </c>
      <c r="O715">
        <v>-11.5</v>
      </c>
      <c r="P715">
        <v>-10.84</v>
      </c>
      <c r="Q715">
        <v>5.8010000000000002</v>
      </c>
      <c r="S715">
        <v>5.0030000000000001</v>
      </c>
      <c r="T715">
        <v>0</v>
      </c>
      <c r="U715">
        <v>97</v>
      </c>
      <c r="V715">
        <v>898</v>
      </c>
      <c r="W715">
        <v>39.28</v>
      </c>
      <c r="Y715">
        <v>13.05</v>
      </c>
    </row>
    <row r="716" spans="1:25" x14ac:dyDescent="0.25">
      <c r="A716">
        <v>2006</v>
      </c>
      <c r="B716">
        <v>330</v>
      </c>
      <c r="C716">
        <v>2300</v>
      </c>
      <c r="D716">
        <v>-1.484</v>
      </c>
      <c r="E716">
        <v>-7.44</v>
      </c>
      <c r="F716">
        <v>11.04</v>
      </c>
      <c r="G716">
        <v>11.29</v>
      </c>
      <c r="K716">
        <v>4.2030000000000003</v>
      </c>
      <c r="L716">
        <v>145.9</v>
      </c>
      <c r="M716">
        <v>1.2</v>
      </c>
      <c r="O716">
        <v>-11.5</v>
      </c>
      <c r="P716">
        <v>-10.84</v>
      </c>
      <c r="Q716">
        <v>5.976</v>
      </c>
      <c r="S716">
        <v>5.0640000000000001</v>
      </c>
      <c r="T716">
        <v>0</v>
      </c>
      <c r="U716">
        <v>97.1</v>
      </c>
      <c r="V716">
        <v>914</v>
      </c>
      <c r="W716">
        <v>40.5</v>
      </c>
      <c r="Y716">
        <v>13.02</v>
      </c>
    </row>
    <row r="717" spans="1:25" x14ac:dyDescent="0.25">
      <c r="A717">
        <v>2006</v>
      </c>
      <c r="B717">
        <v>330</v>
      </c>
      <c r="C717">
        <v>2400</v>
      </c>
      <c r="D717">
        <v>-1.3380000000000001</v>
      </c>
      <c r="E717">
        <v>-7.44</v>
      </c>
      <c r="F717">
        <v>10.92</v>
      </c>
      <c r="G717">
        <v>11.21</v>
      </c>
      <c r="K717">
        <v>4.7160000000000002</v>
      </c>
      <c r="L717">
        <v>144.69999999999999</v>
      </c>
      <c r="M717">
        <v>1</v>
      </c>
      <c r="O717">
        <v>-11.5</v>
      </c>
      <c r="P717">
        <v>-10.84</v>
      </c>
      <c r="Q717">
        <v>6.1630000000000003</v>
      </c>
      <c r="S717">
        <v>5.1230000000000002</v>
      </c>
      <c r="T717">
        <v>0</v>
      </c>
      <c r="U717">
        <v>96.6</v>
      </c>
      <c r="V717">
        <v>954</v>
      </c>
      <c r="W717">
        <v>43.96</v>
      </c>
      <c r="Y717">
        <v>12.99</v>
      </c>
    </row>
    <row r="718" spans="1:25" x14ac:dyDescent="0.25">
      <c r="A718">
        <v>2006</v>
      </c>
      <c r="B718">
        <v>330</v>
      </c>
      <c r="C718">
        <v>2400</v>
      </c>
      <c r="D718">
        <v>34.51</v>
      </c>
      <c r="E718">
        <v>-1.552</v>
      </c>
      <c r="F718">
        <v>7.46</v>
      </c>
      <c r="G718">
        <v>7.84</v>
      </c>
      <c r="K718">
        <v>2.2749999999999999</v>
      </c>
      <c r="L718">
        <v>171.8</v>
      </c>
      <c r="M718">
        <v>2.4</v>
      </c>
      <c r="O718">
        <v>31.28</v>
      </c>
      <c r="P718">
        <v>9.24</v>
      </c>
      <c r="Q718">
        <v>5.0910000000000002</v>
      </c>
      <c r="S718">
        <v>4.8650000000000002</v>
      </c>
      <c r="T718">
        <v>0</v>
      </c>
      <c r="U718">
        <v>95</v>
      </c>
      <c r="V718">
        <v>916</v>
      </c>
      <c r="W718">
        <v>40.72</v>
      </c>
      <c r="Y718">
        <v>13.33</v>
      </c>
    </row>
    <row r="719" spans="1:25" x14ac:dyDescent="0.25">
      <c r="A719">
        <v>2006</v>
      </c>
      <c r="B719">
        <v>331</v>
      </c>
      <c r="C719">
        <v>100</v>
      </c>
      <c r="D719">
        <v>-0.627</v>
      </c>
      <c r="E719">
        <v>-4.649</v>
      </c>
      <c r="F719">
        <v>11.02</v>
      </c>
      <c r="G719">
        <v>11.22</v>
      </c>
      <c r="K719">
        <v>5.1310000000000002</v>
      </c>
      <c r="L719">
        <v>137</v>
      </c>
      <c r="M719">
        <v>2</v>
      </c>
      <c r="O719">
        <v>-11.5</v>
      </c>
      <c r="P719">
        <v>-10.85</v>
      </c>
      <c r="Q719">
        <v>6.3460000000000001</v>
      </c>
      <c r="S719">
        <v>5.2309999999999999</v>
      </c>
      <c r="T719">
        <v>0</v>
      </c>
      <c r="U719">
        <v>97.8</v>
      </c>
      <c r="V719">
        <v>958</v>
      </c>
      <c r="W719">
        <v>44.43</v>
      </c>
      <c r="Y719">
        <v>12.97</v>
      </c>
    </row>
    <row r="720" spans="1:25" x14ac:dyDescent="0.25">
      <c r="A720">
        <v>2006</v>
      </c>
      <c r="B720">
        <v>331</v>
      </c>
      <c r="C720">
        <v>200</v>
      </c>
      <c r="D720">
        <v>-0.49</v>
      </c>
      <c r="E720">
        <v>-4.258</v>
      </c>
      <c r="F720">
        <v>11.2</v>
      </c>
      <c r="G720">
        <v>11.48</v>
      </c>
      <c r="K720">
        <v>5.0170000000000003</v>
      </c>
      <c r="L720">
        <v>148.9</v>
      </c>
      <c r="M720">
        <v>2</v>
      </c>
      <c r="O720">
        <v>-11.51</v>
      </c>
      <c r="P720">
        <v>-10.84</v>
      </c>
      <c r="Q720">
        <v>6.5650000000000004</v>
      </c>
      <c r="S720">
        <v>5.4</v>
      </c>
      <c r="T720">
        <v>0</v>
      </c>
      <c r="U720">
        <v>96.8</v>
      </c>
      <c r="V720">
        <v>961</v>
      </c>
      <c r="W720">
        <v>44.63</v>
      </c>
      <c r="Y720">
        <v>12.96</v>
      </c>
    </row>
    <row r="721" spans="1:25" x14ac:dyDescent="0.25">
      <c r="A721">
        <v>2006</v>
      </c>
      <c r="B721">
        <v>331</v>
      </c>
      <c r="C721">
        <v>300</v>
      </c>
      <c r="D721">
        <v>-0.878</v>
      </c>
      <c r="E721">
        <v>-28.28</v>
      </c>
      <c r="F721">
        <v>9.77</v>
      </c>
      <c r="G721">
        <v>10.26</v>
      </c>
      <c r="K721">
        <v>2.5430000000000001</v>
      </c>
      <c r="L721">
        <v>171.7</v>
      </c>
      <c r="M721">
        <v>0.2</v>
      </c>
      <c r="O721">
        <v>-11.5</v>
      </c>
      <c r="P721">
        <v>-10.84</v>
      </c>
      <c r="Q721">
        <v>6.7880000000000003</v>
      </c>
      <c r="S721">
        <v>5.5339999999999998</v>
      </c>
      <c r="T721">
        <v>0</v>
      </c>
      <c r="U721">
        <v>94.1</v>
      </c>
      <c r="V721">
        <v>962</v>
      </c>
      <c r="W721">
        <v>44.81</v>
      </c>
      <c r="Y721">
        <v>12.94</v>
      </c>
    </row>
    <row r="722" spans="1:25" x14ac:dyDescent="0.25">
      <c r="A722">
        <v>2006</v>
      </c>
      <c r="B722">
        <v>331</v>
      </c>
      <c r="C722">
        <v>400</v>
      </c>
      <c r="D722">
        <v>-2.3580000000000001</v>
      </c>
      <c r="E722">
        <v>-45.2</v>
      </c>
      <c r="F722">
        <v>9.44</v>
      </c>
      <c r="G722">
        <v>10.1</v>
      </c>
      <c r="K722">
        <v>2.8780000000000001</v>
      </c>
      <c r="L722">
        <v>171</v>
      </c>
      <c r="M722">
        <v>0</v>
      </c>
      <c r="O722">
        <v>-11.5</v>
      </c>
      <c r="P722">
        <v>-10.84</v>
      </c>
      <c r="Q722">
        <v>6.8970000000000002</v>
      </c>
      <c r="S722">
        <v>5.64</v>
      </c>
      <c r="T722">
        <v>0</v>
      </c>
      <c r="U722">
        <v>92.1</v>
      </c>
      <c r="V722">
        <v>964</v>
      </c>
      <c r="W722">
        <v>44.98</v>
      </c>
      <c r="Y722">
        <v>12.93</v>
      </c>
    </row>
    <row r="723" spans="1:25" x14ac:dyDescent="0.25">
      <c r="A723">
        <v>2006</v>
      </c>
      <c r="B723">
        <v>331</v>
      </c>
      <c r="C723">
        <v>500</v>
      </c>
      <c r="D723">
        <v>-2.6480000000000001</v>
      </c>
      <c r="E723">
        <v>-40.1</v>
      </c>
      <c r="F723">
        <v>9.64</v>
      </c>
      <c r="G723">
        <v>10.220000000000001</v>
      </c>
      <c r="K723">
        <v>2.6920000000000002</v>
      </c>
      <c r="L723">
        <v>165.9</v>
      </c>
      <c r="M723">
        <v>0</v>
      </c>
      <c r="O723">
        <v>-11.5</v>
      </c>
      <c r="P723">
        <v>-10.84</v>
      </c>
      <c r="Q723">
        <v>6.8769999999999998</v>
      </c>
      <c r="S723">
        <v>5.6669999999999998</v>
      </c>
      <c r="T723">
        <v>0</v>
      </c>
      <c r="U723">
        <v>93</v>
      </c>
      <c r="V723">
        <v>964</v>
      </c>
      <c r="W723">
        <v>45.02</v>
      </c>
      <c r="Y723">
        <v>12.93</v>
      </c>
    </row>
    <row r="724" spans="1:25" x14ac:dyDescent="0.25">
      <c r="A724">
        <v>2006</v>
      </c>
      <c r="B724">
        <v>331</v>
      </c>
      <c r="C724">
        <v>600</v>
      </c>
      <c r="D724">
        <v>-2.4220000000000002</v>
      </c>
      <c r="E724">
        <v>-31.99</v>
      </c>
      <c r="F724">
        <v>10.18</v>
      </c>
      <c r="G724">
        <v>10.62</v>
      </c>
      <c r="K724">
        <v>3.3519999999999999</v>
      </c>
      <c r="L724">
        <v>170.6</v>
      </c>
      <c r="M724">
        <v>0.4</v>
      </c>
      <c r="O724">
        <v>-11.5</v>
      </c>
      <c r="P724">
        <v>-10.84</v>
      </c>
      <c r="Q724">
        <v>6.8390000000000004</v>
      </c>
      <c r="S724">
        <v>5.7409999999999997</v>
      </c>
      <c r="T724">
        <v>0</v>
      </c>
      <c r="U724">
        <v>94.9</v>
      </c>
      <c r="V724">
        <v>967</v>
      </c>
      <c r="W724">
        <v>45.26</v>
      </c>
      <c r="Y724">
        <v>12.92</v>
      </c>
    </row>
    <row r="725" spans="1:25" x14ac:dyDescent="0.25">
      <c r="A725">
        <v>2006</v>
      </c>
      <c r="B725">
        <v>331</v>
      </c>
      <c r="C725">
        <v>700</v>
      </c>
      <c r="D725">
        <v>-2.3660000000000001</v>
      </c>
      <c r="E725">
        <v>-39.14</v>
      </c>
      <c r="F725">
        <v>10.25</v>
      </c>
      <c r="G725">
        <v>10.6</v>
      </c>
      <c r="K725">
        <v>2.8769999999999998</v>
      </c>
      <c r="L725">
        <v>168</v>
      </c>
      <c r="M725">
        <v>0</v>
      </c>
      <c r="O725">
        <v>-11.5</v>
      </c>
      <c r="P725">
        <v>-10.84</v>
      </c>
      <c r="Q725">
        <v>6.8230000000000004</v>
      </c>
      <c r="S725">
        <v>5.7629999999999999</v>
      </c>
      <c r="T725">
        <v>0</v>
      </c>
      <c r="U725">
        <v>95.8</v>
      </c>
      <c r="V725">
        <v>971</v>
      </c>
      <c r="W725">
        <v>45.69</v>
      </c>
      <c r="Y725">
        <v>12.92</v>
      </c>
    </row>
    <row r="726" spans="1:25" x14ac:dyDescent="0.25">
      <c r="A726">
        <v>2006</v>
      </c>
      <c r="B726">
        <v>331</v>
      </c>
      <c r="C726">
        <v>800</v>
      </c>
      <c r="D726">
        <v>-1.1299999999999999</v>
      </c>
      <c r="E726">
        <v>-16.63</v>
      </c>
      <c r="F726">
        <v>10.1</v>
      </c>
      <c r="G726">
        <v>10.5</v>
      </c>
      <c r="K726">
        <v>3.4729999999999999</v>
      </c>
      <c r="L726">
        <v>173.7</v>
      </c>
      <c r="M726">
        <v>1.8</v>
      </c>
      <c r="O726">
        <v>-11.38</v>
      </c>
      <c r="P726">
        <v>-10.84</v>
      </c>
      <c r="Q726">
        <v>6.8230000000000004</v>
      </c>
      <c r="S726">
        <v>5.7880000000000003</v>
      </c>
      <c r="T726">
        <v>0</v>
      </c>
      <c r="U726">
        <v>95.3</v>
      </c>
      <c r="V726">
        <v>974</v>
      </c>
      <c r="W726">
        <v>46</v>
      </c>
      <c r="Y726">
        <v>12.92</v>
      </c>
    </row>
    <row r="727" spans="1:25" x14ac:dyDescent="0.25">
      <c r="A727">
        <v>2006</v>
      </c>
      <c r="B727">
        <v>331</v>
      </c>
      <c r="C727">
        <v>900</v>
      </c>
      <c r="D727">
        <v>5.5540000000000003</v>
      </c>
      <c r="E727">
        <v>-7.16</v>
      </c>
      <c r="F727">
        <v>8.82</v>
      </c>
      <c r="G727">
        <v>9.17</v>
      </c>
      <c r="H727">
        <f>AVERAGE(G727:G751)</f>
        <v>9.2175600000000024</v>
      </c>
      <c r="I727">
        <f>MIN(G727:G751)</f>
        <v>6.4809999999999999</v>
      </c>
      <c r="J727">
        <f>MAX(G727:G751)</f>
        <v>11.28</v>
      </c>
      <c r="K727">
        <v>2.5960000000000001</v>
      </c>
      <c r="L727">
        <v>187.8</v>
      </c>
      <c r="M727">
        <v>1</v>
      </c>
      <c r="N727">
        <f>SUM(M727:M751)</f>
        <v>10</v>
      </c>
      <c r="O727">
        <v>-2.6379999999999999</v>
      </c>
      <c r="P727">
        <v>-8.77</v>
      </c>
      <c r="Q727">
        <v>6.8280000000000003</v>
      </c>
      <c r="S727">
        <v>5.8129999999999997</v>
      </c>
      <c r="T727">
        <v>0</v>
      </c>
      <c r="U727">
        <v>95.7</v>
      </c>
      <c r="V727">
        <v>974</v>
      </c>
      <c r="W727">
        <v>45.98</v>
      </c>
      <c r="Y727">
        <v>12.92</v>
      </c>
    </row>
    <row r="728" spans="1:25" x14ac:dyDescent="0.25">
      <c r="A728">
        <v>2006</v>
      </c>
      <c r="B728">
        <v>331</v>
      </c>
      <c r="C728">
        <v>1000</v>
      </c>
      <c r="D728">
        <v>54.12</v>
      </c>
      <c r="E728">
        <v>16.02</v>
      </c>
      <c r="F728">
        <v>8.9499999999999993</v>
      </c>
      <c r="G728">
        <v>9.4700000000000006</v>
      </c>
      <c r="K728">
        <v>2.5110000000000001</v>
      </c>
      <c r="L728">
        <v>196</v>
      </c>
      <c r="M728">
        <v>0</v>
      </c>
      <c r="O728">
        <v>57.1</v>
      </c>
      <c r="P728">
        <v>17.02</v>
      </c>
      <c r="Q728">
        <v>6.8739999999999997</v>
      </c>
      <c r="S728">
        <v>5.8479999999999999</v>
      </c>
      <c r="T728">
        <v>0</v>
      </c>
      <c r="U728">
        <v>93.7</v>
      </c>
      <c r="V728">
        <v>973</v>
      </c>
      <c r="W728">
        <v>45.91</v>
      </c>
      <c r="Y728">
        <v>13.26</v>
      </c>
    </row>
    <row r="729" spans="1:25" x14ac:dyDescent="0.25">
      <c r="A729">
        <v>2006</v>
      </c>
      <c r="B729">
        <v>331</v>
      </c>
      <c r="C729">
        <v>1100</v>
      </c>
      <c r="D729">
        <v>107.7</v>
      </c>
      <c r="E729">
        <v>43.5</v>
      </c>
      <c r="F729">
        <v>9.36</v>
      </c>
      <c r="G729">
        <v>10.06</v>
      </c>
      <c r="K729">
        <v>3.6579999999999999</v>
      </c>
      <c r="L729">
        <v>183.5</v>
      </c>
      <c r="M729">
        <v>0</v>
      </c>
      <c r="O729">
        <v>117.4</v>
      </c>
      <c r="P729">
        <v>39.5</v>
      </c>
      <c r="Q729">
        <v>6.94</v>
      </c>
      <c r="S729">
        <v>5.9080000000000004</v>
      </c>
      <c r="T729">
        <v>0</v>
      </c>
      <c r="U729">
        <v>91.5</v>
      </c>
      <c r="V729">
        <v>973</v>
      </c>
      <c r="W729">
        <v>45.87</v>
      </c>
      <c r="Y729">
        <v>14.04</v>
      </c>
    </row>
    <row r="730" spans="1:25" x14ac:dyDescent="0.25">
      <c r="A730">
        <v>2006</v>
      </c>
      <c r="B730">
        <v>331</v>
      </c>
      <c r="C730">
        <v>1200</v>
      </c>
      <c r="D730">
        <v>158.6</v>
      </c>
      <c r="E730">
        <v>99.3</v>
      </c>
      <c r="F730">
        <v>10.18</v>
      </c>
      <c r="G730">
        <v>10.75</v>
      </c>
      <c r="K730">
        <v>4.2329999999999997</v>
      </c>
      <c r="L730">
        <v>191.2</v>
      </c>
      <c r="M730">
        <v>0</v>
      </c>
      <c r="O730">
        <v>182.1</v>
      </c>
      <c r="P730">
        <v>61.22</v>
      </c>
      <c r="Q730">
        <v>6.9809999999999999</v>
      </c>
      <c r="S730">
        <v>5.9429999999999996</v>
      </c>
      <c r="T730">
        <v>0</v>
      </c>
      <c r="U730">
        <v>93.3</v>
      </c>
      <c r="V730">
        <v>974</v>
      </c>
      <c r="W730">
        <v>45.97</v>
      </c>
      <c r="Y730">
        <v>14.15</v>
      </c>
    </row>
    <row r="731" spans="1:25" x14ac:dyDescent="0.25">
      <c r="A731">
        <v>2006</v>
      </c>
      <c r="B731">
        <v>331</v>
      </c>
      <c r="C731">
        <v>1300</v>
      </c>
      <c r="D731">
        <v>198.7</v>
      </c>
      <c r="E731">
        <v>136</v>
      </c>
      <c r="F731">
        <v>10.81</v>
      </c>
      <c r="G731">
        <v>11.28</v>
      </c>
      <c r="K731">
        <v>4.59</v>
      </c>
      <c r="L731">
        <v>196.1</v>
      </c>
      <c r="M731">
        <v>0</v>
      </c>
      <c r="O731">
        <v>232.8</v>
      </c>
      <c r="P731">
        <v>98.2</v>
      </c>
      <c r="Q731">
        <v>7.07</v>
      </c>
      <c r="S731">
        <v>5.9770000000000003</v>
      </c>
      <c r="T731">
        <v>0</v>
      </c>
      <c r="U731">
        <v>94.5</v>
      </c>
      <c r="V731">
        <v>975</v>
      </c>
      <c r="W731">
        <v>46.09</v>
      </c>
      <c r="Y731">
        <v>14.38</v>
      </c>
    </row>
    <row r="732" spans="1:25" x14ac:dyDescent="0.25">
      <c r="A732">
        <v>2006</v>
      </c>
      <c r="B732">
        <v>331</v>
      </c>
      <c r="C732">
        <v>1400</v>
      </c>
      <c r="D732">
        <v>150.69999999999999</v>
      </c>
      <c r="E732">
        <v>89.1</v>
      </c>
      <c r="F732">
        <v>10.99</v>
      </c>
      <c r="G732">
        <v>11.27</v>
      </c>
      <c r="K732">
        <v>4.5190000000000001</v>
      </c>
      <c r="L732">
        <v>197.7</v>
      </c>
      <c r="M732">
        <v>0</v>
      </c>
      <c r="O732">
        <v>165.3</v>
      </c>
      <c r="P732">
        <v>74.599999999999994</v>
      </c>
      <c r="Q732">
        <v>7.23</v>
      </c>
      <c r="S732">
        <v>6.0380000000000003</v>
      </c>
      <c r="T732">
        <v>0</v>
      </c>
      <c r="U732">
        <v>96.7</v>
      </c>
      <c r="V732">
        <v>975</v>
      </c>
      <c r="W732">
        <v>46.16</v>
      </c>
      <c r="Y732">
        <v>14.17</v>
      </c>
    </row>
    <row r="733" spans="1:25" x14ac:dyDescent="0.25">
      <c r="A733">
        <v>2006</v>
      </c>
      <c r="B733">
        <v>331</v>
      </c>
      <c r="C733">
        <v>1500</v>
      </c>
      <c r="D733">
        <v>72.2</v>
      </c>
      <c r="E733">
        <v>21.15</v>
      </c>
      <c r="F733">
        <v>10.54</v>
      </c>
      <c r="G733">
        <v>10.9</v>
      </c>
      <c r="K733">
        <v>4.3449999999999998</v>
      </c>
      <c r="L733">
        <v>199</v>
      </c>
      <c r="M733">
        <v>0</v>
      </c>
      <c r="O733">
        <v>71</v>
      </c>
      <c r="P733">
        <v>26.17</v>
      </c>
      <c r="Q733">
        <v>7.31</v>
      </c>
      <c r="S733">
        <v>6.0449999999999999</v>
      </c>
      <c r="T733">
        <v>0</v>
      </c>
      <c r="U733">
        <v>95.8</v>
      </c>
      <c r="V733">
        <v>978</v>
      </c>
      <c r="W733">
        <v>46.41</v>
      </c>
      <c r="Y733">
        <v>13.8</v>
      </c>
    </row>
    <row r="734" spans="1:25" x14ac:dyDescent="0.25">
      <c r="A734">
        <v>2006</v>
      </c>
      <c r="B734">
        <v>331</v>
      </c>
      <c r="C734">
        <v>1600</v>
      </c>
      <c r="D734">
        <v>29.88</v>
      </c>
      <c r="E734">
        <v>-21</v>
      </c>
      <c r="F734">
        <v>10.050000000000001</v>
      </c>
      <c r="G734">
        <v>10.43</v>
      </c>
      <c r="K734">
        <v>4.0679999999999996</v>
      </c>
      <c r="L734">
        <v>202.6</v>
      </c>
      <c r="M734">
        <v>0</v>
      </c>
      <c r="O734">
        <v>24.3</v>
      </c>
      <c r="P734">
        <v>8.31</v>
      </c>
      <c r="Q734">
        <v>7.3</v>
      </c>
      <c r="S734">
        <v>6.048</v>
      </c>
      <c r="T734">
        <v>0</v>
      </c>
      <c r="U734">
        <v>95.5</v>
      </c>
      <c r="V734">
        <v>980</v>
      </c>
      <c r="W734">
        <v>46.64</v>
      </c>
      <c r="Y734">
        <v>13.68</v>
      </c>
    </row>
    <row r="735" spans="1:25" x14ac:dyDescent="0.25">
      <c r="A735">
        <v>2006</v>
      </c>
      <c r="B735">
        <v>331</v>
      </c>
      <c r="C735">
        <v>1700</v>
      </c>
      <c r="D735">
        <v>-1.36</v>
      </c>
      <c r="E735">
        <v>-43.25</v>
      </c>
      <c r="F735">
        <v>9.39</v>
      </c>
      <c r="G735">
        <v>9.75</v>
      </c>
      <c r="K735">
        <v>3.577</v>
      </c>
      <c r="L735">
        <v>205.5</v>
      </c>
      <c r="M735">
        <v>0</v>
      </c>
      <c r="O735">
        <v>-9.42</v>
      </c>
      <c r="P735">
        <v>-10.119999999999999</v>
      </c>
      <c r="Q735">
        <v>7.26</v>
      </c>
      <c r="S735">
        <v>6.0919999999999996</v>
      </c>
      <c r="T735">
        <v>0</v>
      </c>
      <c r="U735">
        <v>95.6</v>
      </c>
      <c r="V735">
        <v>977</v>
      </c>
      <c r="W735">
        <v>46.31</v>
      </c>
      <c r="Y735">
        <v>13.52</v>
      </c>
    </row>
    <row r="736" spans="1:25" x14ac:dyDescent="0.25">
      <c r="A736">
        <v>2006</v>
      </c>
      <c r="B736">
        <v>331</v>
      </c>
      <c r="C736">
        <v>1800</v>
      </c>
      <c r="D736">
        <v>-2.92</v>
      </c>
      <c r="E736">
        <v>-42.49</v>
      </c>
      <c r="F736">
        <v>9.3000000000000007</v>
      </c>
      <c r="G736">
        <v>9.7200000000000006</v>
      </c>
      <c r="K736">
        <v>3.415</v>
      </c>
      <c r="L736">
        <v>192.4</v>
      </c>
      <c r="M736">
        <v>0</v>
      </c>
      <c r="O736">
        <v>-11.5</v>
      </c>
      <c r="P736">
        <v>-10.84</v>
      </c>
      <c r="Q736">
        <v>7.15</v>
      </c>
      <c r="S736">
        <v>6.1150000000000002</v>
      </c>
      <c r="T736">
        <v>0</v>
      </c>
      <c r="U736">
        <v>94.7</v>
      </c>
      <c r="V736">
        <v>900</v>
      </c>
      <c r="W736">
        <v>39.950000000000003</v>
      </c>
      <c r="Y736">
        <v>13.41</v>
      </c>
    </row>
    <row r="737" spans="1:25" x14ac:dyDescent="0.25">
      <c r="A737">
        <v>2006</v>
      </c>
      <c r="B737">
        <v>331</v>
      </c>
      <c r="C737">
        <v>1900</v>
      </c>
      <c r="D737">
        <v>-2.8620000000000001</v>
      </c>
      <c r="E737">
        <v>-40.89</v>
      </c>
      <c r="F737">
        <v>9.25</v>
      </c>
      <c r="G737">
        <v>9.56</v>
      </c>
      <c r="K737">
        <v>3.3119999999999998</v>
      </c>
      <c r="L737">
        <v>186.4</v>
      </c>
      <c r="M737">
        <v>0</v>
      </c>
      <c r="O737">
        <v>-11.5</v>
      </c>
      <c r="P737">
        <v>-10.84</v>
      </c>
      <c r="Q737">
        <v>6.9989999999999997</v>
      </c>
      <c r="S737">
        <v>6.0919999999999996</v>
      </c>
      <c r="T737">
        <v>0</v>
      </c>
      <c r="U737">
        <v>96.2</v>
      </c>
      <c r="V737">
        <v>980</v>
      </c>
      <c r="W737">
        <v>46.67</v>
      </c>
      <c r="Y737">
        <v>13.31</v>
      </c>
    </row>
    <row r="738" spans="1:25" x14ac:dyDescent="0.25">
      <c r="A738">
        <v>2006</v>
      </c>
      <c r="B738">
        <v>331</v>
      </c>
      <c r="C738">
        <v>2000</v>
      </c>
      <c r="D738">
        <v>-2.915</v>
      </c>
      <c r="E738">
        <v>-41.78</v>
      </c>
      <c r="F738">
        <v>9.1199999999999992</v>
      </c>
      <c r="G738">
        <v>9.4600000000000009</v>
      </c>
      <c r="K738">
        <v>3.3889999999999998</v>
      </c>
      <c r="L738">
        <v>195.4</v>
      </c>
      <c r="M738">
        <v>0</v>
      </c>
      <c r="O738">
        <v>-11.5</v>
      </c>
      <c r="P738">
        <v>-10.85</v>
      </c>
      <c r="Q738">
        <v>6.8620000000000001</v>
      </c>
      <c r="S738">
        <v>6.0890000000000004</v>
      </c>
      <c r="T738">
        <v>0</v>
      </c>
      <c r="U738">
        <v>95.8</v>
      </c>
      <c r="V738">
        <v>982</v>
      </c>
      <c r="W738">
        <v>46.82</v>
      </c>
      <c r="Y738">
        <v>13.23</v>
      </c>
    </row>
    <row r="739" spans="1:25" x14ac:dyDescent="0.25">
      <c r="A739">
        <v>2006</v>
      </c>
      <c r="B739">
        <v>331</v>
      </c>
      <c r="C739">
        <v>2100</v>
      </c>
      <c r="D739">
        <v>-2.8940000000000001</v>
      </c>
      <c r="E739">
        <v>-42.99</v>
      </c>
      <c r="F739">
        <v>8.8000000000000007</v>
      </c>
      <c r="G739">
        <v>9.14</v>
      </c>
      <c r="K739">
        <v>3.2669999999999999</v>
      </c>
      <c r="L739">
        <v>198.7</v>
      </c>
      <c r="M739">
        <v>0</v>
      </c>
      <c r="O739">
        <v>-11.5</v>
      </c>
      <c r="P739">
        <v>-10.84</v>
      </c>
      <c r="Q739">
        <v>6.7359999999999998</v>
      </c>
      <c r="S739">
        <v>6.077</v>
      </c>
      <c r="T739">
        <v>0</v>
      </c>
      <c r="U739">
        <v>95.9</v>
      </c>
      <c r="V739">
        <v>982</v>
      </c>
      <c r="W739">
        <v>46.85</v>
      </c>
      <c r="Y739">
        <v>13.16</v>
      </c>
    </row>
    <row r="740" spans="1:25" x14ac:dyDescent="0.25">
      <c r="A740">
        <v>2006</v>
      </c>
      <c r="B740">
        <v>331</v>
      </c>
      <c r="C740">
        <v>2200</v>
      </c>
      <c r="D740">
        <v>-2.859</v>
      </c>
      <c r="E740">
        <v>-40.65</v>
      </c>
      <c r="F740">
        <v>8.77</v>
      </c>
      <c r="G740">
        <v>9.1199999999999992</v>
      </c>
      <c r="K740">
        <v>3.6219999999999999</v>
      </c>
      <c r="L740">
        <v>203.8</v>
      </c>
      <c r="M740">
        <v>0</v>
      </c>
      <c r="O740">
        <v>-11.5</v>
      </c>
      <c r="P740">
        <v>-10.84</v>
      </c>
      <c r="Q740">
        <v>6.6210000000000004</v>
      </c>
      <c r="S740">
        <v>6.0019999999999998</v>
      </c>
      <c r="T740">
        <v>0</v>
      </c>
      <c r="U740">
        <v>95.6</v>
      </c>
      <c r="V740">
        <v>980</v>
      </c>
      <c r="W740">
        <v>46.65</v>
      </c>
      <c r="Y740">
        <v>13.1</v>
      </c>
    </row>
    <row r="741" spans="1:25" x14ac:dyDescent="0.25">
      <c r="A741">
        <v>2006</v>
      </c>
      <c r="B741">
        <v>331</v>
      </c>
      <c r="C741">
        <v>2300</v>
      </c>
      <c r="D741">
        <v>-2.758</v>
      </c>
      <c r="E741">
        <v>-37.31</v>
      </c>
      <c r="F741">
        <v>8.67</v>
      </c>
      <c r="G741">
        <v>8.8800000000000008</v>
      </c>
      <c r="K741">
        <v>2.7669999999999999</v>
      </c>
      <c r="L741">
        <v>190.3</v>
      </c>
      <c r="M741">
        <v>0</v>
      </c>
      <c r="O741">
        <v>-11.5</v>
      </c>
      <c r="P741">
        <v>-10.84</v>
      </c>
      <c r="Q741">
        <v>6.5389999999999997</v>
      </c>
      <c r="S741">
        <v>6.008</v>
      </c>
      <c r="T741">
        <v>0</v>
      </c>
      <c r="U741">
        <v>97.4</v>
      </c>
      <c r="V741">
        <v>980</v>
      </c>
      <c r="W741">
        <v>46.65</v>
      </c>
      <c r="Y741">
        <v>13.04</v>
      </c>
    </row>
    <row r="742" spans="1:25" x14ac:dyDescent="0.25">
      <c r="A742">
        <v>2006</v>
      </c>
      <c r="B742">
        <v>331</v>
      </c>
      <c r="C742">
        <v>2400</v>
      </c>
      <c r="D742">
        <v>-2.3380000000000001</v>
      </c>
      <c r="E742">
        <v>-27.22</v>
      </c>
      <c r="F742">
        <v>8.6999999999999993</v>
      </c>
      <c r="G742">
        <v>9.02</v>
      </c>
      <c r="K742">
        <v>1.996</v>
      </c>
      <c r="L742">
        <v>167.4</v>
      </c>
      <c r="M742">
        <v>0</v>
      </c>
      <c r="O742">
        <v>-11.5</v>
      </c>
      <c r="P742">
        <v>-10.84</v>
      </c>
      <c r="Q742">
        <v>6.4630000000000001</v>
      </c>
      <c r="S742">
        <v>5.9880000000000004</v>
      </c>
      <c r="T742">
        <v>0</v>
      </c>
      <c r="U742">
        <v>96</v>
      </c>
      <c r="V742">
        <v>974</v>
      </c>
      <c r="W742">
        <v>46.05</v>
      </c>
      <c r="Y742">
        <v>13</v>
      </c>
    </row>
    <row r="743" spans="1:25" x14ac:dyDescent="0.25">
      <c r="A743">
        <v>2006</v>
      </c>
      <c r="B743">
        <v>331</v>
      </c>
      <c r="C743">
        <v>2400</v>
      </c>
      <c r="D743">
        <v>30.98</v>
      </c>
      <c r="E743">
        <v>-6.2469999999999999</v>
      </c>
      <c r="F743">
        <v>9.7200000000000006</v>
      </c>
      <c r="G743">
        <v>10.119999999999999</v>
      </c>
      <c r="K743">
        <v>3.4929999999999999</v>
      </c>
      <c r="L743">
        <v>183.9</v>
      </c>
      <c r="M743">
        <v>7.4</v>
      </c>
      <c r="O743">
        <v>27.74</v>
      </c>
      <c r="P743">
        <v>5.9770000000000003</v>
      </c>
      <c r="Q743">
        <v>6.88</v>
      </c>
      <c r="S743">
        <v>5.8689999999999998</v>
      </c>
      <c r="T743">
        <v>0</v>
      </c>
      <c r="U743">
        <v>95.2</v>
      </c>
      <c r="V743">
        <v>970</v>
      </c>
      <c r="W743">
        <v>45.66</v>
      </c>
      <c r="Y743">
        <v>13.32</v>
      </c>
    </row>
    <row r="744" spans="1:25" x14ac:dyDescent="0.25">
      <c r="A744">
        <v>2006</v>
      </c>
      <c r="B744">
        <v>332</v>
      </c>
      <c r="C744">
        <v>100</v>
      </c>
      <c r="D744">
        <v>-1.9670000000000001</v>
      </c>
      <c r="E744">
        <v>-19.38</v>
      </c>
      <c r="F744">
        <v>8.91</v>
      </c>
      <c r="G744">
        <v>9.23</v>
      </c>
      <c r="K744">
        <v>1.6220000000000001</v>
      </c>
      <c r="L744">
        <v>160.6</v>
      </c>
      <c r="M744">
        <v>0</v>
      </c>
      <c r="O744">
        <v>-11.5</v>
      </c>
      <c r="P744">
        <v>-10.84</v>
      </c>
      <c r="Q744">
        <v>6.3940000000000001</v>
      </c>
      <c r="S744">
        <v>5.9219999999999997</v>
      </c>
      <c r="T744">
        <v>0</v>
      </c>
      <c r="U744">
        <v>96</v>
      </c>
      <c r="V744">
        <v>953</v>
      </c>
      <c r="W744">
        <v>43.93</v>
      </c>
      <c r="Y744">
        <v>12.97</v>
      </c>
    </row>
    <row r="745" spans="1:25" x14ac:dyDescent="0.25">
      <c r="A745">
        <v>2006</v>
      </c>
      <c r="B745">
        <v>332</v>
      </c>
      <c r="C745">
        <v>200</v>
      </c>
      <c r="D745">
        <v>-1.9359999999999999</v>
      </c>
      <c r="E745">
        <v>-8.67</v>
      </c>
      <c r="F745">
        <v>9.1300000000000008</v>
      </c>
      <c r="G745">
        <v>9.49</v>
      </c>
      <c r="K745">
        <v>1.716</v>
      </c>
      <c r="L745">
        <v>166.4</v>
      </c>
      <c r="M745">
        <v>0.4</v>
      </c>
      <c r="O745">
        <v>-11.5</v>
      </c>
      <c r="P745">
        <v>-10.84</v>
      </c>
      <c r="Q745">
        <v>6.3280000000000003</v>
      </c>
      <c r="S745">
        <v>5.8940000000000001</v>
      </c>
      <c r="T745">
        <v>0</v>
      </c>
      <c r="U745">
        <v>95.6</v>
      </c>
      <c r="V745">
        <v>951</v>
      </c>
      <c r="W745">
        <v>43.73</v>
      </c>
      <c r="Y745">
        <v>12.95</v>
      </c>
    </row>
    <row r="746" spans="1:25" x14ac:dyDescent="0.25">
      <c r="A746">
        <v>2006</v>
      </c>
      <c r="B746">
        <v>332</v>
      </c>
      <c r="C746">
        <v>300</v>
      </c>
      <c r="D746">
        <v>-1.3220000000000001</v>
      </c>
      <c r="E746">
        <v>-11.9</v>
      </c>
      <c r="F746">
        <v>8.5299999999999994</v>
      </c>
      <c r="G746">
        <v>8.48</v>
      </c>
      <c r="K746">
        <v>1.6619999999999999</v>
      </c>
      <c r="L746">
        <v>196.3</v>
      </c>
      <c r="M746">
        <v>1.2</v>
      </c>
      <c r="O746">
        <v>-11.5</v>
      </c>
      <c r="P746">
        <v>-10.84</v>
      </c>
      <c r="Q746">
        <v>6.3479999999999999</v>
      </c>
      <c r="S746">
        <v>5.859</v>
      </c>
      <c r="T746">
        <v>0</v>
      </c>
      <c r="U746">
        <v>100.6</v>
      </c>
      <c r="V746">
        <v>963</v>
      </c>
      <c r="W746">
        <v>44.84</v>
      </c>
      <c r="Y746">
        <v>12.94</v>
      </c>
    </row>
    <row r="747" spans="1:25" x14ac:dyDescent="0.25">
      <c r="A747">
        <v>2006</v>
      </c>
      <c r="B747">
        <v>332</v>
      </c>
      <c r="C747">
        <v>400</v>
      </c>
      <c r="D747">
        <v>-1.603</v>
      </c>
      <c r="E747">
        <v>-22.6</v>
      </c>
      <c r="F747">
        <v>7.37</v>
      </c>
      <c r="G747">
        <v>7.59</v>
      </c>
      <c r="K747">
        <v>1.4610000000000001</v>
      </c>
      <c r="L747">
        <v>184.9</v>
      </c>
      <c r="M747">
        <v>0</v>
      </c>
      <c r="O747">
        <v>-11.5</v>
      </c>
      <c r="P747">
        <v>-10.84</v>
      </c>
      <c r="Q747">
        <v>6.4050000000000002</v>
      </c>
      <c r="S747">
        <v>5.8250000000000002</v>
      </c>
      <c r="T747">
        <v>0</v>
      </c>
      <c r="U747">
        <v>97.1</v>
      </c>
      <c r="V747">
        <v>965</v>
      </c>
      <c r="W747">
        <v>45.07</v>
      </c>
      <c r="Y747">
        <v>12.93</v>
      </c>
    </row>
    <row r="748" spans="1:25" x14ac:dyDescent="0.25">
      <c r="A748">
        <v>2006</v>
      </c>
      <c r="B748">
        <v>332</v>
      </c>
      <c r="C748">
        <v>500</v>
      </c>
      <c r="D748">
        <v>-1.51</v>
      </c>
      <c r="E748">
        <v>-25.36</v>
      </c>
      <c r="F748">
        <v>7.09</v>
      </c>
      <c r="G748">
        <v>7.4</v>
      </c>
      <c r="K748">
        <v>1.7050000000000001</v>
      </c>
      <c r="L748">
        <v>194.4</v>
      </c>
      <c r="M748">
        <v>0</v>
      </c>
      <c r="O748">
        <v>-11.5</v>
      </c>
      <c r="P748">
        <v>-10.84</v>
      </c>
      <c r="Q748">
        <v>6.4189999999999996</v>
      </c>
      <c r="S748">
        <v>5.8620000000000001</v>
      </c>
      <c r="T748">
        <v>0</v>
      </c>
      <c r="U748">
        <v>95.9</v>
      </c>
      <c r="V748">
        <v>967</v>
      </c>
      <c r="W748">
        <v>45.23</v>
      </c>
      <c r="Y748">
        <v>12.91</v>
      </c>
    </row>
    <row r="749" spans="1:25" x14ac:dyDescent="0.25">
      <c r="A749">
        <v>2006</v>
      </c>
      <c r="B749">
        <v>332</v>
      </c>
      <c r="C749">
        <v>600</v>
      </c>
      <c r="D749">
        <v>-1.663</v>
      </c>
      <c r="E749">
        <v>-30.21</v>
      </c>
      <c r="F749">
        <v>6.742</v>
      </c>
      <c r="G749">
        <v>7.09</v>
      </c>
      <c r="K749">
        <v>1.7889999999999999</v>
      </c>
      <c r="L749">
        <v>191.5</v>
      </c>
      <c r="M749">
        <v>0</v>
      </c>
      <c r="O749">
        <v>-11.5</v>
      </c>
      <c r="P749">
        <v>-10.81</v>
      </c>
      <c r="Q749">
        <v>6.36</v>
      </c>
      <c r="S749">
        <v>5.8559999999999999</v>
      </c>
      <c r="T749">
        <v>0</v>
      </c>
      <c r="U749">
        <v>95.3</v>
      </c>
      <c r="V749">
        <v>967</v>
      </c>
      <c r="W749">
        <v>45.3</v>
      </c>
      <c r="Y749">
        <v>12.9</v>
      </c>
    </row>
    <row r="750" spans="1:25" x14ac:dyDescent="0.25">
      <c r="A750">
        <v>2006</v>
      </c>
      <c r="B750">
        <v>332</v>
      </c>
      <c r="C750">
        <v>700</v>
      </c>
      <c r="D750">
        <v>-2.919</v>
      </c>
      <c r="E750">
        <v>-42.86</v>
      </c>
      <c r="F750">
        <v>6.32</v>
      </c>
      <c r="G750">
        <v>6.5780000000000003</v>
      </c>
      <c r="K750">
        <v>1.6279999999999999</v>
      </c>
      <c r="L750">
        <v>199.9</v>
      </c>
      <c r="M750">
        <v>0</v>
      </c>
      <c r="O750">
        <v>-11.49</v>
      </c>
      <c r="P750">
        <v>-10.79</v>
      </c>
      <c r="Q750">
        <v>6.274</v>
      </c>
      <c r="S750">
        <v>5.7690000000000001</v>
      </c>
      <c r="T750">
        <v>0</v>
      </c>
      <c r="U750">
        <v>96.5</v>
      </c>
      <c r="V750">
        <v>967</v>
      </c>
      <c r="W750">
        <v>45.31</v>
      </c>
      <c r="Y750">
        <v>12.9</v>
      </c>
    </row>
    <row r="751" spans="1:25" x14ac:dyDescent="0.25">
      <c r="A751">
        <v>2006</v>
      </c>
      <c r="B751">
        <v>332</v>
      </c>
      <c r="C751">
        <v>800</v>
      </c>
      <c r="D751">
        <v>-2.8410000000000002</v>
      </c>
      <c r="E751">
        <v>-39.42</v>
      </c>
      <c r="F751">
        <v>6.1239999999999997</v>
      </c>
      <c r="G751">
        <v>6.4809999999999999</v>
      </c>
      <c r="K751">
        <v>2.2160000000000002</v>
      </c>
      <c r="L751">
        <v>212.6</v>
      </c>
      <c r="M751">
        <v>0</v>
      </c>
      <c r="O751">
        <v>-11.18</v>
      </c>
      <c r="P751">
        <v>-10.59</v>
      </c>
      <c r="Q751">
        <v>6.1459999999999999</v>
      </c>
      <c r="S751">
        <v>5.7549999999999999</v>
      </c>
      <c r="T751">
        <v>0</v>
      </c>
      <c r="U751">
        <v>95.1</v>
      </c>
      <c r="V751">
        <v>969</v>
      </c>
      <c r="W751">
        <v>45.44</v>
      </c>
      <c r="Y751">
        <v>12.89</v>
      </c>
    </row>
    <row r="752" spans="1:25" x14ac:dyDescent="0.25">
      <c r="A752">
        <v>2006</v>
      </c>
      <c r="B752">
        <v>332</v>
      </c>
      <c r="C752">
        <v>900</v>
      </c>
      <c r="D752">
        <v>7.08</v>
      </c>
      <c r="E752">
        <v>-31.58</v>
      </c>
      <c r="F752">
        <v>6.1280000000000001</v>
      </c>
      <c r="G752">
        <v>6.5309999999999997</v>
      </c>
      <c r="H752">
        <f>AVERAGE(G752:G776)</f>
        <v>7.1416000000000004</v>
      </c>
      <c r="I752">
        <f>MIN(G752:G776)</f>
        <v>5.17</v>
      </c>
      <c r="J752">
        <f>MAX(G752:G776)</f>
        <v>9.18</v>
      </c>
      <c r="K752">
        <v>2.6040000000000001</v>
      </c>
      <c r="L752">
        <v>216.1</v>
      </c>
      <c r="M752">
        <v>0</v>
      </c>
      <c r="N752">
        <f>SUM(M752:M776)</f>
        <v>2</v>
      </c>
      <c r="O752">
        <v>-2.2480000000000002</v>
      </c>
      <c r="P752">
        <v>-7.99</v>
      </c>
      <c r="Q752">
        <v>6.0110000000000001</v>
      </c>
      <c r="S752">
        <v>5.7480000000000002</v>
      </c>
      <c r="T752">
        <v>0</v>
      </c>
      <c r="U752">
        <v>94.5</v>
      </c>
      <c r="V752">
        <v>970</v>
      </c>
      <c r="W752">
        <v>45.53</v>
      </c>
      <c r="Y752">
        <v>12.88</v>
      </c>
    </row>
    <row r="753" spans="1:25" x14ac:dyDescent="0.25">
      <c r="A753">
        <v>2006</v>
      </c>
      <c r="B753">
        <v>332</v>
      </c>
      <c r="C753">
        <v>1000</v>
      </c>
      <c r="D753">
        <v>59.1</v>
      </c>
      <c r="E753">
        <v>-11.47</v>
      </c>
      <c r="F753">
        <v>6.2</v>
      </c>
      <c r="G753">
        <v>6.6870000000000003</v>
      </c>
      <c r="K753">
        <v>2.9</v>
      </c>
      <c r="L753">
        <v>209.9</v>
      </c>
      <c r="M753">
        <v>0.2</v>
      </c>
      <c r="O753">
        <v>45.23</v>
      </c>
      <c r="P753">
        <v>20.39</v>
      </c>
      <c r="Q753">
        <v>5.9</v>
      </c>
      <c r="S753">
        <v>5.6619999999999999</v>
      </c>
      <c r="T753">
        <v>0</v>
      </c>
      <c r="U753">
        <v>93.4</v>
      </c>
      <c r="V753">
        <v>965</v>
      </c>
      <c r="W753">
        <v>45.13</v>
      </c>
      <c r="Y753">
        <v>13.35</v>
      </c>
    </row>
    <row r="754" spans="1:25" x14ac:dyDescent="0.25">
      <c r="A754">
        <v>2006</v>
      </c>
      <c r="B754">
        <v>332</v>
      </c>
      <c r="C754">
        <v>1100</v>
      </c>
      <c r="D754">
        <v>107.6</v>
      </c>
      <c r="E754">
        <v>46.62</v>
      </c>
      <c r="F754">
        <v>6.8419999999999996</v>
      </c>
      <c r="G754">
        <v>7.34</v>
      </c>
      <c r="K754">
        <v>3.1859999999999999</v>
      </c>
      <c r="L754">
        <v>205.5</v>
      </c>
      <c r="M754">
        <v>0</v>
      </c>
      <c r="O754">
        <v>121.6</v>
      </c>
      <c r="P754">
        <v>37.450000000000003</v>
      </c>
      <c r="Q754">
        <v>5.86</v>
      </c>
      <c r="S754">
        <v>5.7030000000000003</v>
      </c>
      <c r="T754">
        <v>0</v>
      </c>
      <c r="U754">
        <v>93.3</v>
      </c>
      <c r="V754">
        <v>952</v>
      </c>
      <c r="W754">
        <v>43.8</v>
      </c>
      <c r="Y754">
        <v>13.99</v>
      </c>
    </row>
    <row r="755" spans="1:25" x14ac:dyDescent="0.25">
      <c r="A755">
        <v>2006</v>
      </c>
      <c r="B755">
        <v>332</v>
      </c>
      <c r="C755">
        <v>1200</v>
      </c>
      <c r="D755">
        <v>100.5</v>
      </c>
      <c r="E755">
        <v>48.42</v>
      </c>
      <c r="F755">
        <v>7.32</v>
      </c>
      <c r="G755">
        <v>7.76</v>
      </c>
      <c r="K755">
        <v>3.1739999999999999</v>
      </c>
      <c r="L755">
        <v>216.6</v>
      </c>
      <c r="M755">
        <v>0</v>
      </c>
      <c r="O755">
        <v>111.5</v>
      </c>
      <c r="P755">
        <v>22.61</v>
      </c>
      <c r="Q755">
        <v>5.85</v>
      </c>
      <c r="S755">
        <v>5.6429999999999998</v>
      </c>
      <c r="T755">
        <v>0</v>
      </c>
      <c r="U755">
        <v>94.2</v>
      </c>
      <c r="V755">
        <v>945</v>
      </c>
      <c r="W755">
        <v>43.19</v>
      </c>
      <c r="Y755">
        <v>13.73</v>
      </c>
    </row>
    <row r="756" spans="1:25" x14ac:dyDescent="0.25">
      <c r="A756">
        <v>2006</v>
      </c>
      <c r="B756">
        <v>332</v>
      </c>
      <c r="C756">
        <v>1300</v>
      </c>
      <c r="D756">
        <v>76.8</v>
      </c>
      <c r="E756">
        <v>39.79</v>
      </c>
      <c r="F756">
        <v>7.56</v>
      </c>
      <c r="G756">
        <v>7.91</v>
      </c>
      <c r="K756">
        <v>2.9870000000000001</v>
      </c>
      <c r="L756">
        <v>219.2</v>
      </c>
      <c r="M756">
        <v>0</v>
      </c>
      <c r="O756">
        <v>78.7</v>
      </c>
      <c r="P756">
        <v>12.79</v>
      </c>
      <c r="Q756">
        <v>5.9240000000000004</v>
      </c>
      <c r="S756">
        <v>5.5789999999999997</v>
      </c>
      <c r="T756">
        <v>0</v>
      </c>
      <c r="U756">
        <v>95.4</v>
      </c>
      <c r="V756">
        <v>939</v>
      </c>
      <c r="W756">
        <v>42.62</v>
      </c>
      <c r="Y756">
        <v>13.7</v>
      </c>
    </row>
    <row r="757" spans="1:25" x14ac:dyDescent="0.25">
      <c r="A757">
        <v>2006</v>
      </c>
      <c r="B757">
        <v>332</v>
      </c>
      <c r="C757">
        <v>1400</v>
      </c>
      <c r="D757">
        <v>57.43</v>
      </c>
      <c r="E757">
        <v>31.93</v>
      </c>
      <c r="F757">
        <v>7.83</v>
      </c>
      <c r="G757">
        <v>8.1999999999999993</v>
      </c>
      <c r="K757">
        <v>3.3889999999999998</v>
      </c>
      <c r="L757">
        <v>232.8</v>
      </c>
      <c r="M757">
        <v>0</v>
      </c>
      <c r="O757">
        <v>58.47</v>
      </c>
      <c r="P757">
        <v>4.0780000000000003</v>
      </c>
      <c r="Q757">
        <v>6</v>
      </c>
      <c r="S757">
        <v>5.5549999999999997</v>
      </c>
      <c r="T757">
        <v>0</v>
      </c>
      <c r="U757">
        <v>95.2</v>
      </c>
      <c r="V757">
        <v>935</v>
      </c>
      <c r="W757">
        <v>42.22</v>
      </c>
      <c r="Y757">
        <v>13.58</v>
      </c>
    </row>
    <row r="758" spans="1:25" x14ac:dyDescent="0.25">
      <c r="A758">
        <v>2006</v>
      </c>
      <c r="B758">
        <v>332</v>
      </c>
      <c r="C758">
        <v>1500</v>
      </c>
      <c r="D758">
        <v>50.84</v>
      </c>
      <c r="E758">
        <v>10.75</v>
      </c>
      <c r="F758">
        <v>7.86</v>
      </c>
      <c r="G758">
        <v>8.1199999999999992</v>
      </c>
      <c r="K758">
        <v>2.2959999999999998</v>
      </c>
      <c r="L758">
        <v>223.8</v>
      </c>
      <c r="M758">
        <v>0</v>
      </c>
      <c r="O758">
        <v>49.83</v>
      </c>
      <c r="P758">
        <v>5.9219999999999997</v>
      </c>
      <c r="Q758">
        <v>6.12</v>
      </c>
      <c r="S758">
        <v>5.5590000000000002</v>
      </c>
      <c r="T758">
        <v>0</v>
      </c>
      <c r="U758">
        <v>96.6</v>
      </c>
      <c r="V758">
        <v>929</v>
      </c>
      <c r="W758">
        <v>41.71</v>
      </c>
      <c r="Y758">
        <v>13.48</v>
      </c>
    </row>
    <row r="759" spans="1:25" x14ac:dyDescent="0.25">
      <c r="A759">
        <v>2006</v>
      </c>
      <c r="B759">
        <v>332</v>
      </c>
      <c r="C759">
        <v>1600</v>
      </c>
      <c r="D759">
        <v>34.729999999999997</v>
      </c>
      <c r="E759">
        <v>-10.92</v>
      </c>
      <c r="F759">
        <v>7.85</v>
      </c>
      <c r="G759">
        <v>8.1</v>
      </c>
      <c r="K759">
        <v>1.895</v>
      </c>
      <c r="L759">
        <v>221.4</v>
      </c>
      <c r="M759">
        <v>0</v>
      </c>
      <c r="O759">
        <v>34.85</v>
      </c>
      <c r="P759">
        <v>10.24</v>
      </c>
      <c r="Q759">
        <v>6.2240000000000002</v>
      </c>
      <c r="S759">
        <v>5.5720000000000001</v>
      </c>
      <c r="T759">
        <v>0</v>
      </c>
      <c r="U759">
        <v>96.8</v>
      </c>
      <c r="V759">
        <v>924</v>
      </c>
      <c r="W759">
        <v>41.31</v>
      </c>
      <c r="Y759">
        <v>13.59</v>
      </c>
    </row>
    <row r="760" spans="1:25" x14ac:dyDescent="0.25">
      <c r="A760">
        <v>2006</v>
      </c>
      <c r="B760">
        <v>332</v>
      </c>
      <c r="C760">
        <v>1700</v>
      </c>
      <c r="D760">
        <v>-0.57799999999999996</v>
      </c>
      <c r="E760">
        <v>-37.75</v>
      </c>
      <c r="F760">
        <v>7.39</v>
      </c>
      <c r="G760">
        <v>7.66</v>
      </c>
      <c r="K760">
        <v>2.4039999999999999</v>
      </c>
      <c r="L760">
        <v>234.4</v>
      </c>
      <c r="M760">
        <v>0</v>
      </c>
      <c r="O760">
        <v>-8.68</v>
      </c>
      <c r="P760">
        <v>-9.9</v>
      </c>
      <c r="Q760">
        <v>6.2640000000000002</v>
      </c>
      <c r="S760">
        <v>5.6050000000000004</v>
      </c>
      <c r="T760">
        <v>0</v>
      </c>
      <c r="U760">
        <v>96.5</v>
      </c>
      <c r="V760">
        <v>920</v>
      </c>
      <c r="W760">
        <v>40.99</v>
      </c>
      <c r="Y760">
        <v>13.44</v>
      </c>
    </row>
    <row r="761" spans="1:25" x14ac:dyDescent="0.25">
      <c r="A761">
        <v>2006</v>
      </c>
      <c r="B761">
        <v>332</v>
      </c>
      <c r="C761">
        <v>1800</v>
      </c>
      <c r="D761">
        <v>-2.1869999999999998</v>
      </c>
      <c r="E761">
        <v>-33.700000000000003</v>
      </c>
      <c r="F761">
        <v>6.75</v>
      </c>
      <c r="G761">
        <v>6.9640000000000004</v>
      </c>
      <c r="K761">
        <v>2.089</v>
      </c>
      <c r="L761">
        <v>227.3</v>
      </c>
      <c r="M761">
        <v>0</v>
      </c>
      <c r="O761">
        <v>-11.5</v>
      </c>
      <c r="P761">
        <v>-10.84</v>
      </c>
      <c r="Q761">
        <v>6.24</v>
      </c>
      <c r="S761">
        <v>5.6440000000000001</v>
      </c>
      <c r="T761">
        <v>0</v>
      </c>
      <c r="U761">
        <v>97.1</v>
      </c>
      <c r="V761">
        <v>915</v>
      </c>
      <c r="W761">
        <v>40.58</v>
      </c>
      <c r="Y761">
        <v>13.34</v>
      </c>
    </row>
    <row r="762" spans="1:25" x14ac:dyDescent="0.25">
      <c r="A762">
        <v>2006</v>
      </c>
      <c r="B762">
        <v>332</v>
      </c>
      <c r="C762">
        <v>1900</v>
      </c>
      <c r="D762">
        <v>-2.871</v>
      </c>
      <c r="E762">
        <v>-44.16</v>
      </c>
      <c r="F762">
        <v>6.0789999999999997</v>
      </c>
      <c r="G762">
        <v>6.2649999999999997</v>
      </c>
      <c r="K762">
        <v>1.62</v>
      </c>
      <c r="L762">
        <v>207.6</v>
      </c>
      <c r="M762">
        <v>0</v>
      </c>
      <c r="O762">
        <v>-11.5</v>
      </c>
      <c r="P762">
        <v>-10.83</v>
      </c>
      <c r="Q762">
        <v>6.1340000000000003</v>
      </c>
      <c r="S762">
        <v>5.6459999999999999</v>
      </c>
      <c r="T762">
        <v>0</v>
      </c>
      <c r="U762">
        <v>97.4</v>
      </c>
      <c r="V762">
        <v>912</v>
      </c>
      <c r="W762">
        <v>40.39</v>
      </c>
      <c r="Y762">
        <v>13.25</v>
      </c>
    </row>
    <row r="763" spans="1:25" x14ac:dyDescent="0.25">
      <c r="A763">
        <v>2006</v>
      </c>
      <c r="B763">
        <v>332</v>
      </c>
      <c r="C763">
        <v>2000</v>
      </c>
      <c r="D763">
        <v>-3.0640000000000001</v>
      </c>
      <c r="E763">
        <v>-38.31</v>
      </c>
      <c r="F763">
        <v>5.5330000000000004</v>
      </c>
      <c r="G763">
        <v>5.7030000000000003</v>
      </c>
      <c r="K763">
        <v>1.5309999999999999</v>
      </c>
      <c r="L763">
        <v>209.9</v>
      </c>
      <c r="M763">
        <v>0</v>
      </c>
      <c r="O763">
        <v>-11.43</v>
      </c>
      <c r="P763">
        <v>-10.71</v>
      </c>
      <c r="Q763">
        <v>5.9989999999999997</v>
      </c>
      <c r="S763">
        <v>5.641</v>
      </c>
      <c r="T763">
        <v>0</v>
      </c>
      <c r="U763">
        <v>97.6</v>
      </c>
      <c r="V763">
        <v>910</v>
      </c>
      <c r="W763">
        <v>40.17</v>
      </c>
      <c r="Y763">
        <v>13.18</v>
      </c>
    </row>
    <row r="764" spans="1:25" x14ac:dyDescent="0.25">
      <c r="A764">
        <v>2006</v>
      </c>
      <c r="B764">
        <v>332</v>
      </c>
      <c r="C764">
        <v>2100</v>
      </c>
      <c r="D764">
        <v>-2.923</v>
      </c>
      <c r="E764">
        <v>-33.64</v>
      </c>
      <c r="F764">
        <v>5.3959999999999999</v>
      </c>
      <c r="G764">
        <v>5.6390000000000002</v>
      </c>
      <c r="K764">
        <v>2.1190000000000002</v>
      </c>
      <c r="L764">
        <v>230.9</v>
      </c>
      <c r="M764">
        <v>0</v>
      </c>
      <c r="O764">
        <v>-11.3</v>
      </c>
      <c r="P764">
        <v>-10.61</v>
      </c>
      <c r="Q764">
        <v>5.875</v>
      </c>
      <c r="S764">
        <v>5.601</v>
      </c>
      <c r="T764">
        <v>0</v>
      </c>
      <c r="U764">
        <v>96.5</v>
      </c>
      <c r="V764">
        <v>908</v>
      </c>
      <c r="W764">
        <v>40.04</v>
      </c>
      <c r="Y764">
        <v>13.11</v>
      </c>
    </row>
    <row r="765" spans="1:25" x14ac:dyDescent="0.25">
      <c r="A765">
        <v>2006</v>
      </c>
      <c r="B765">
        <v>332</v>
      </c>
      <c r="C765">
        <v>2200</v>
      </c>
      <c r="D765">
        <v>-3.0680000000000001</v>
      </c>
      <c r="E765">
        <v>-34.64</v>
      </c>
      <c r="F765">
        <v>5.069</v>
      </c>
      <c r="G765">
        <v>5.4569999999999999</v>
      </c>
      <c r="K765">
        <v>2.0489999999999999</v>
      </c>
      <c r="L765">
        <v>220.6</v>
      </c>
      <c r="M765">
        <v>0</v>
      </c>
      <c r="O765">
        <v>-11.27</v>
      </c>
      <c r="P765">
        <v>-10.52</v>
      </c>
      <c r="Q765">
        <v>5.7240000000000002</v>
      </c>
      <c r="S765">
        <v>5.5940000000000003</v>
      </c>
      <c r="T765">
        <v>0</v>
      </c>
      <c r="U765">
        <v>94.4</v>
      </c>
      <c r="V765">
        <v>907</v>
      </c>
      <c r="W765">
        <v>39.94</v>
      </c>
      <c r="Y765">
        <v>13.05</v>
      </c>
    </row>
    <row r="766" spans="1:25" x14ac:dyDescent="0.25">
      <c r="A766">
        <v>2006</v>
      </c>
      <c r="B766">
        <v>332</v>
      </c>
      <c r="C766">
        <v>2300</v>
      </c>
      <c r="D766">
        <v>-3.0870000000000002</v>
      </c>
      <c r="E766">
        <v>-33.630000000000003</v>
      </c>
      <c r="F766">
        <v>4.7910000000000004</v>
      </c>
      <c r="G766">
        <v>5.17</v>
      </c>
      <c r="K766">
        <v>1.68</v>
      </c>
      <c r="L766">
        <v>196.3</v>
      </c>
      <c r="M766">
        <v>0</v>
      </c>
      <c r="O766">
        <v>-11.17</v>
      </c>
      <c r="P766">
        <v>-10.45</v>
      </c>
      <c r="Q766">
        <v>5.6029999999999998</v>
      </c>
      <c r="S766">
        <v>5.5579999999999998</v>
      </c>
      <c r="T766">
        <v>0</v>
      </c>
      <c r="U766">
        <v>94.5</v>
      </c>
      <c r="V766">
        <v>905</v>
      </c>
      <c r="W766">
        <v>39.840000000000003</v>
      </c>
      <c r="Y766">
        <v>13</v>
      </c>
    </row>
    <row r="767" spans="1:25" x14ac:dyDescent="0.25">
      <c r="A767">
        <v>2006</v>
      </c>
      <c r="B767">
        <v>332</v>
      </c>
      <c r="C767">
        <v>2400</v>
      </c>
      <c r="D767">
        <v>-2.9169999999999998</v>
      </c>
      <c r="E767">
        <v>-31.58</v>
      </c>
      <c r="F767">
        <v>4.9909999999999997</v>
      </c>
      <c r="G767">
        <v>5.444</v>
      </c>
      <c r="K767">
        <v>2.5409999999999999</v>
      </c>
      <c r="L767">
        <v>201.8</v>
      </c>
      <c r="M767">
        <v>0</v>
      </c>
      <c r="O767">
        <v>-11.07</v>
      </c>
      <c r="P767">
        <v>-10.39</v>
      </c>
      <c r="Q767">
        <v>5.4660000000000002</v>
      </c>
      <c r="S767">
        <v>5.5279999999999996</v>
      </c>
      <c r="T767">
        <v>0</v>
      </c>
      <c r="U767">
        <v>93.5</v>
      </c>
      <c r="V767">
        <v>904</v>
      </c>
      <c r="W767">
        <v>39.71</v>
      </c>
      <c r="Y767">
        <v>12.97</v>
      </c>
    </row>
    <row r="768" spans="1:25" x14ac:dyDescent="0.25">
      <c r="A768">
        <v>2006</v>
      </c>
      <c r="B768">
        <v>332</v>
      </c>
      <c r="C768">
        <v>2400</v>
      </c>
      <c r="D768">
        <v>19.07</v>
      </c>
      <c r="E768">
        <v>-15.18</v>
      </c>
      <c r="F768">
        <v>6.8250000000000002</v>
      </c>
      <c r="G768">
        <v>7.14</v>
      </c>
      <c r="K768">
        <v>2.1779999999999999</v>
      </c>
      <c r="L768">
        <v>208.4</v>
      </c>
      <c r="M768">
        <v>1.8</v>
      </c>
      <c r="O768">
        <v>13.27</v>
      </c>
      <c r="P768">
        <v>-2.7149999999999999</v>
      </c>
      <c r="Q768">
        <v>6.0780000000000003</v>
      </c>
      <c r="S768">
        <v>5.6909999999999998</v>
      </c>
      <c r="T768">
        <v>0</v>
      </c>
      <c r="U768">
        <v>95.8</v>
      </c>
      <c r="V768">
        <v>939</v>
      </c>
      <c r="W768">
        <v>42.75</v>
      </c>
      <c r="Y768">
        <v>13.21</v>
      </c>
    </row>
    <row r="769" spans="1:25" x14ac:dyDescent="0.25">
      <c r="A769">
        <v>2006</v>
      </c>
      <c r="B769">
        <v>333</v>
      </c>
      <c r="C769">
        <v>100</v>
      </c>
      <c r="D769">
        <v>-2.64</v>
      </c>
      <c r="E769">
        <v>-20.61</v>
      </c>
      <c r="F769">
        <v>5.4779999999999998</v>
      </c>
      <c r="G769">
        <v>6.0780000000000003</v>
      </c>
      <c r="K769">
        <v>3.173</v>
      </c>
      <c r="L769">
        <v>210.6</v>
      </c>
      <c r="M769">
        <v>0</v>
      </c>
      <c r="O769">
        <v>-11.12</v>
      </c>
      <c r="P769">
        <v>-10.44</v>
      </c>
      <c r="Q769">
        <v>5.351</v>
      </c>
      <c r="S769">
        <v>5.4569999999999999</v>
      </c>
      <c r="T769">
        <v>0</v>
      </c>
      <c r="U769">
        <v>91.6</v>
      </c>
      <c r="V769">
        <v>902</v>
      </c>
      <c r="W769">
        <v>39.6</v>
      </c>
      <c r="Y769">
        <v>12.94</v>
      </c>
    </row>
    <row r="770" spans="1:25" x14ac:dyDescent="0.25">
      <c r="A770">
        <v>2006</v>
      </c>
      <c r="B770">
        <v>333</v>
      </c>
      <c r="C770">
        <v>200</v>
      </c>
      <c r="D770">
        <v>-1.5780000000000001</v>
      </c>
      <c r="E770">
        <v>-9.26</v>
      </c>
      <c r="F770">
        <v>6.375</v>
      </c>
      <c r="G770">
        <v>6.9619999999999997</v>
      </c>
      <c r="K770">
        <v>2.9740000000000002</v>
      </c>
      <c r="L770">
        <v>197.4</v>
      </c>
      <c r="M770">
        <v>0</v>
      </c>
      <c r="O770">
        <v>-11.27</v>
      </c>
      <c r="P770">
        <v>-10.52</v>
      </c>
      <c r="Q770">
        <v>5.2549999999999999</v>
      </c>
      <c r="S770">
        <v>5.3949999999999996</v>
      </c>
      <c r="T770">
        <v>0</v>
      </c>
      <c r="U770">
        <v>92.1</v>
      </c>
      <c r="V770">
        <v>901</v>
      </c>
      <c r="W770">
        <v>39.54</v>
      </c>
      <c r="Y770">
        <v>12.92</v>
      </c>
    </row>
    <row r="771" spans="1:25" x14ac:dyDescent="0.25">
      <c r="A771">
        <v>2006</v>
      </c>
      <c r="B771">
        <v>333</v>
      </c>
      <c r="C771">
        <v>300</v>
      </c>
      <c r="D771">
        <v>-0.69699999999999995</v>
      </c>
      <c r="E771">
        <v>-3.1720000000000002</v>
      </c>
      <c r="F771">
        <v>7.27</v>
      </c>
      <c r="G771">
        <v>7.66</v>
      </c>
      <c r="K771">
        <v>3.5339999999999998</v>
      </c>
      <c r="L771">
        <v>201</v>
      </c>
      <c r="M771">
        <v>0</v>
      </c>
      <c r="O771">
        <v>-11.39</v>
      </c>
      <c r="P771">
        <v>-10.67</v>
      </c>
      <c r="Q771">
        <v>5.2549999999999999</v>
      </c>
      <c r="S771">
        <v>5.343</v>
      </c>
      <c r="T771">
        <v>0</v>
      </c>
      <c r="U771">
        <v>94.8</v>
      </c>
      <c r="V771">
        <v>900</v>
      </c>
      <c r="W771">
        <v>39.450000000000003</v>
      </c>
      <c r="Y771">
        <v>12.91</v>
      </c>
    </row>
    <row r="772" spans="1:25" x14ac:dyDescent="0.25">
      <c r="A772">
        <v>2006</v>
      </c>
      <c r="B772">
        <v>333</v>
      </c>
      <c r="C772">
        <v>400</v>
      </c>
      <c r="D772">
        <v>-1.732</v>
      </c>
      <c r="E772">
        <v>-25.87</v>
      </c>
      <c r="F772">
        <v>7.5</v>
      </c>
      <c r="G772">
        <v>7.72</v>
      </c>
      <c r="K772">
        <v>3.2639999999999998</v>
      </c>
      <c r="L772">
        <v>201.8</v>
      </c>
      <c r="M772">
        <v>0</v>
      </c>
      <c r="O772">
        <v>-11.48</v>
      </c>
      <c r="P772">
        <v>-10.78</v>
      </c>
      <c r="Q772">
        <v>5.3010000000000002</v>
      </c>
      <c r="S772">
        <v>5.3129999999999997</v>
      </c>
      <c r="T772">
        <v>0</v>
      </c>
      <c r="U772">
        <v>97.1</v>
      </c>
      <c r="V772">
        <v>899</v>
      </c>
      <c r="W772">
        <v>39.36</v>
      </c>
      <c r="Y772">
        <v>12.9</v>
      </c>
    </row>
    <row r="773" spans="1:25" x14ac:dyDescent="0.25">
      <c r="A773">
        <v>2006</v>
      </c>
      <c r="B773">
        <v>333</v>
      </c>
      <c r="C773">
        <v>500</v>
      </c>
      <c r="D773">
        <v>-2.3090000000000002</v>
      </c>
      <c r="E773">
        <v>-30.98</v>
      </c>
      <c r="F773">
        <v>7.7</v>
      </c>
      <c r="G773">
        <v>7.96</v>
      </c>
      <c r="K773">
        <v>2.8620000000000001</v>
      </c>
      <c r="L773">
        <v>210.1</v>
      </c>
      <c r="M773">
        <v>0</v>
      </c>
      <c r="O773">
        <v>-11.49</v>
      </c>
      <c r="P773">
        <v>-10.8</v>
      </c>
      <c r="Q773">
        <v>5.3689999999999998</v>
      </c>
      <c r="S773">
        <v>5.2649999999999997</v>
      </c>
      <c r="T773">
        <v>0</v>
      </c>
      <c r="U773">
        <v>96.6</v>
      </c>
      <c r="V773">
        <v>897</v>
      </c>
      <c r="W773">
        <v>39.25</v>
      </c>
      <c r="Y773">
        <v>12.89</v>
      </c>
    </row>
    <row r="774" spans="1:25" x14ac:dyDescent="0.25">
      <c r="A774">
        <v>2006</v>
      </c>
      <c r="B774">
        <v>333</v>
      </c>
      <c r="C774">
        <v>600</v>
      </c>
      <c r="D774">
        <v>-1.7869999999999999</v>
      </c>
      <c r="E774">
        <v>-25.78</v>
      </c>
      <c r="F774">
        <v>8.0500000000000007</v>
      </c>
      <c r="G774">
        <v>8.33</v>
      </c>
      <c r="K774">
        <v>2.7160000000000002</v>
      </c>
      <c r="L774">
        <v>199.1</v>
      </c>
      <c r="M774">
        <v>0</v>
      </c>
      <c r="O774">
        <v>-11.5</v>
      </c>
      <c r="P774">
        <v>-10.82</v>
      </c>
      <c r="Q774">
        <v>5.4020000000000001</v>
      </c>
      <c r="S774">
        <v>5.2619999999999996</v>
      </c>
      <c r="T774">
        <v>0</v>
      </c>
      <c r="U774">
        <v>96.5</v>
      </c>
      <c r="V774">
        <v>897</v>
      </c>
      <c r="W774">
        <v>39.19</v>
      </c>
      <c r="Y774">
        <v>12.88</v>
      </c>
    </row>
    <row r="775" spans="1:25" x14ac:dyDescent="0.25">
      <c r="A775">
        <v>2006</v>
      </c>
      <c r="B775">
        <v>333</v>
      </c>
      <c r="C775">
        <v>700</v>
      </c>
      <c r="D775">
        <v>-2.766</v>
      </c>
      <c r="E775">
        <v>-39.83</v>
      </c>
      <c r="F775">
        <v>8.2100000000000009</v>
      </c>
      <c r="G775">
        <v>8.56</v>
      </c>
      <c r="K775">
        <v>2.9590000000000001</v>
      </c>
      <c r="L775">
        <v>209.8</v>
      </c>
      <c r="M775">
        <v>0</v>
      </c>
      <c r="O775">
        <v>-11.5</v>
      </c>
      <c r="P775">
        <v>-10.82</v>
      </c>
      <c r="Q775">
        <v>5.4530000000000003</v>
      </c>
      <c r="S775">
        <v>5.2530000000000001</v>
      </c>
      <c r="T775">
        <v>0</v>
      </c>
      <c r="U775">
        <v>95.5</v>
      </c>
      <c r="V775">
        <v>896</v>
      </c>
      <c r="W775">
        <v>39.130000000000003</v>
      </c>
      <c r="Y775">
        <v>12.88</v>
      </c>
    </row>
    <row r="776" spans="1:25" x14ac:dyDescent="0.25">
      <c r="A776">
        <v>2006</v>
      </c>
      <c r="B776">
        <v>333</v>
      </c>
      <c r="C776">
        <v>800</v>
      </c>
      <c r="D776">
        <v>-1.859</v>
      </c>
      <c r="E776">
        <v>-26.67</v>
      </c>
      <c r="F776">
        <v>8.77</v>
      </c>
      <c r="G776">
        <v>9.18</v>
      </c>
      <c r="K776">
        <v>3.173</v>
      </c>
      <c r="L776">
        <v>222.7</v>
      </c>
      <c r="M776">
        <v>0</v>
      </c>
      <c r="O776">
        <v>-11.19</v>
      </c>
      <c r="P776">
        <v>-10.7</v>
      </c>
      <c r="Q776">
        <v>5.4909999999999997</v>
      </c>
      <c r="S776">
        <v>5.2859999999999996</v>
      </c>
      <c r="T776">
        <v>0</v>
      </c>
      <c r="U776">
        <v>94.9</v>
      </c>
      <c r="V776">
        <v>895</v>
      </c>
      <c r="W776">
        <v>39.1</v>
      </c>
      <c r="Y776">
        <v>12.88</v>
      </c>
    </row>
    <row r="777" spans="1:25" x14ac:dyDescent="0.25">
      <c r="A777">
        <v>2006</v>
      </c>
      <c r="B777">
        <v>333</v>
      </c>
      <c r="C777">
        <v>900</v>
      </c>
      <c r="D777">
        <v>6.04</v>
      </c>
      <c r="E777">
        <v>-19.34</v>
      </c>
      <c r="F777">
        <v>8.9499999999999993</v>
      </c>
      <c r="G777">
        <v>9.3000000000000007</v>
      </c>
      <c r="H777">
        <f>AVERAGE(G777:G801)</f>
        <v>10.9796</v>
      </c>
      <c r="I777">
        <f>MIN(G777:G801)</f>
        <v>9.3000000000000007</v>
      </c>
      <c r="J777">
        <f>MAX(G777:G801)</f>
        <v>11.69</v>
      </c>
      <c r="K777">
        <v>2.9609999999999999</v>
      </c>
      <c r="L777">
        <v>223.8</v>
      </c>
      <c r="M777">
        <v>0</v>
      </c>
      <c r="N777">
        <f>SUM(M777:M801)</f>
        <v>0</v>
      </c>
      <c r="O777">
        <v>-2.0750000000000002</v>
      </c>
      <c r="P777">
        <v>-8.5500000000000007</v>
      </c>
      <c r="Q777">
        <v>5.5439999999999996</v>
      </c>
      <c r="S777">
        <v>5.3120000000000003</v>
      </c>
      <c r="T777">
        <v>0</v>
      </c>
      <c r="U777">
        <v>95.6</v>
      </c>
      <c r="V777">
        <v>894</v>
      </c>
      <c r="W777">
        <v>39.01</v>
      </c>
      <c r="Y777">
        <v>12.88</v>
      </c>
    </row>
    <row r="778" spans="1:25" x14ac:dyDescent="0.25">
      <c r="A778">
        <v>2006</v>
      </c>
      <c r="B778">
        <v>333</v>
      </c>
      <c r="C778">
        <v>1000</v>
      </c>
      <c r="D778">
        <v>40.14</v>
      </c>
      <c r="E778">
        <v>-2.8039999999999998</v>
      </c>
      <c r="F778">
        <v>9.18</v>
      </c>
      <c r="G778">
        <v>9.5500000000000007</v>
      </c>
      <c r="K778">
        <v>2.9329999999999998</v>
      </c>
      <c r="L778">
        <v>218.4</v>
      </c>
      <c r="M778">
        <v>0</v>
      </c>
      <c r="O778">
        <v>32.25</v>
      </c>
      <c r="P778">
        <v>2.1080000000000001</v>
      </c>
      <c r="Q778">
        <v>5.5810000000000004</v>
      </c>
      <c r="S778">
        <v>5.28</v>
      </c>
      <c r="T778">
        <v>0</v>
      </c>
      <c r="U778">
        <v>95.5</v>
      </c>
      <c r="V778">
        <v>893</v>
      </c>
      <c r="W778">
        <v>38.909999999999997</v>
      </c>
      <c r="Y778">
        <v>13.11</v>
      </c>
    </row>
    <row r="779" spans="1:25" x14ac:dyDescent="0.25">
      <c r="A779">
        <v>2006</v>
      </c>
      <c r="B779">
        <v>333</v>
      </c>
      <c r="C779">
        <v>1100</v>
      </c>
      <c r="D779">
        <v>87.6</v>
      </c>
      <c r="E779">
        <v>26.13</v>
      </c>
      <c r="F779">
        <v>9.58</v>
      </c>
      <c r="G779">
        <v>10.039999999999999</v>
      </c>
      <c r="K779">
        <v>2.9620000000000002</v>
      </c>
      <c r="L779">
        <v>214.2</v>
      </c>
      <c r="M779">
        <v>0</v>
      </c>
      <c r="O779">
        <v>89.7</v>
      </c>
      <c r="P779">
        <v>28.37</v>
      </c>
      <c r="Q779">
        <v>5.6449999999999996</v>
      </c>
      <c r="S779">
        <v>5.2480000000000002</v>
      </c>
      <c r="T779">
        <v>0</v>
      </c>
      <c r="U779">
        <v>94.5</v>
      </c>
      <c r="V779">
        <v>892</v>
      </c>
      <c r="W779">
        <v>38.85</v>
      </c>
      <c r="Y779">
        <v>13.84</v>
      </c>
    </row>
    <row r="780" spans="1:25" x14ac:dyDescent="0.25">
      <c r="A780">
        <v>2006</v>
      </c>
      <c r="B780">
        <v>333</v>
      </c>
      <c r="C780">
        <v>1200</v>
      </c>
      <c r="D780">
        <v>101.8</v>
      </c>
      <c r="E780">
        <v>55.89</v>
      </c>
      <c r="F780">
        <v>10.24</v>
      </c>
      <c r="G780">
        <v>10.68</v>
      </c>
      <c r="K780">
        <v>3.052</v>
      </c>
      <c r="L780">
        <v>219.5</v>
      </c>
      <c r="M780">
        <v>0</v>
      </c>
      <c r="O780">
        <v>108</v>
      </c>
      <c r="P780">
        <v>26.29</v>
      </c>
      <c r="Q780">
        <v>5.7930000000000001</v>
      </c>
      <c r="S780">
        <v>5.3259999999999996</v>
      </c>
      <c r="T780">
        <v>0</v>
      </c>
      <c r="U780">
        <v>94.7</v>
      </c>
      <c r="V780">
        <v>891</v>
      </c>
      <c r="W780">
        <v>38.79</v>
      </c>
    </row>
    <row r="781" spans="1:25" x14ac:dyDescent="0.25">
      <c r="A781">
        <v>2006</v>
      </c>
      <c r="B781">
        <v>333</v>
      </c>
      <c r="C781">
        <v>1300</v>
      </c>
      <c r="D781">
        <v>97.3</v>
      </c>
      <c r="E781">
        <v>46.46</v>
      </c>
      <c r="F781">
        <v>10.59</v>
      </c>
      <c r="G781">
        <v>11.01</v>
      </c>
      <c r="K781">
        <v>3.33</v>
      </c>
      <c r="L781">
        <v>228.2</v>
      </c>
      <c r="M781">
        <v>0</v>
      </c>
      <c r="O781">
        <v>105.9</v>
      </c>
      <c r="P781">
        <v>18.52</v>
      </c>
      <c r="Q781">
        <v>5.9509999999999996</v>
      </c>
      <c r="S781">
        <v>5.3380000000000001</v>
      </c>
      <c r="T781">
        <v>0</v>
      </c>
      <c r="U781">
        <v>95.1</v>
      </c>
      <c r="V781">
        <v>890</v>
      </c>
      <c r="W781">
        <v>38.71</v>
      </c>
    </row>
    <row r="782" spans="1:25" x14ac:dyDescent="0.25">
      <c r="A782">
        <v>2006</v>
      </c>
      <c r="B782">
        <v>333</v>
      </c>
      <c r="C782">
        <v>1400</v>
      </c>
      <c r="D782">
        <v>102</v>
      </c>
      <c r="E782">
        <v>51.05</v>
      </c>
      <c r="F782">
        <v>10.83</v>
      </c>
      <c r="G782">
        <v>11.23</v>
      </c>
      <c r="K782">
        <v>3.1269999999999998</v>
      </c>
      <c r="L782">
        <v>224</v>
      </c>
      <c r="M782">
        <v>0</v>
      </c>
      <c r="O782">
        <v>117.1</v>
      </c>
      <c r="P782">
        <v>21.26</v>
      </c>
      <c r="Q782">
        <v>6.101</v>
      </c>
      <c r="S782">
        <v>5.3440000000000003</v>
      </c>
      <c r="T782">
        <v>0</v>
      </c>
      <c r="U782">
        <v>95.3</v>
      </c>
      <c r="V782">
        <v>889</v>
      </c>
      <c r="W782">
        <v>38.65</v>
      </c>
    </row>
    <row r="783" spans="1:25" x14ac:dyDescent="0.25">
      <c r="A783">
        <v>2006</v>
      </c>
      <c r="B783">
        <v>333</v>
      </c>
      <c r="C783">
        <v>1500</v>
      </c>
      <c r="D783">
        <v>65.17</v>
      </c>
      <c r="E783">
        <v>25.77</v>
      </c>
      <c r="F783">
        <v>10.98</v>
      </c>
      <c r="G783">
        <v>11.32</v>
      </c>
      <c r="K783">
        <v>3.085</v>
      </c>
      <c r="L783">
        <v>214.1</v>
      </c>
      <c r="M783">
        <v>0</v>
      </c>
      <c r="O783">
        <v>70.7</v>
      </c>
      <c r="P783">
        <v>8.82</v>
      </c>
      <c r="Q783">
        <v>6.3150000000000004</v>
      </c>
      <c r="S783">
        <v>5.3959999999999999</v>
      </c>
      <c r="T783">
        <v>0</v>
      </c>
      <c r="U783">
        <v>96.1</v>
      </c>
      <c r="V783">
        <v>888</v>
      </c>
      <c r="W783">
        <v>38.549999999999997</v>
      </c>
    </row>
    <row r="784" spans="1:25" x14ac:dyDescent="0.25">
      <c r="A784">
        <v>2006</v>
      </c>
      <c r="B784">
        <v>333</v>
      </c>
      <c r="C784">
        <v>1600</v>
      </c>
      <c r="D784">
        <v>14.69</v>
      </c>
      <c r="E784">
        <v>-23.22</v>
      </c>
      <c r="F784">
        <v>10.66</v>
      </c>
      <c r="G784">
        <v>10.95</v>
      </c>
      <c r="K784">
        <v>2.9830000000000001</v>
      </c>
      <c r="L784">
        <v>213.8</v>
      </c>
      <c r="M784">
        <v>0</v>
      </c>
      <c r="O784">
        <v>7.62</v>
      </c>
      <c r="P784">
        <v>-6.2320000000000002</v>
      </c>
      <c r="Q784">
        <v>6.4880000000000004</v>
      </c>
      <c r="S784">
        <v>5.4530000000000003</v>
      </c>
      <c r="T784">
        <v>0</v>
      </c>
      <c r="U784">
        <v>96.6</v>
      </c>
      <c r="V784">
        <v>886</v>
      </c>
      <c r="W784">
        <v>38.450000000000003</v>
      </c>
    </row>
    <row r="785" spans="1:23" x14ac:dyDescent="0.25">
      <c r="A785">
        <v>2006</v>
      </c>
      <c r="B785">
        <v>333</v>
      </c>
      <c r="C785">
        <v>1700</v>
      </c>
      <c r="D785">
        <v>-1.494</v>
      </c>
      <c r="E785">
        <v>-26.62</v>
      </c>
      <c r="F785">
        <v>10.54</v>
      </c>
      <c r="G785">
        <v>10.87</v>
      </c>
      <c r="K785">
        <v>2.5459999999999998</v>
      </c>
      <c r="L785">
        <v>206.8</v>
      </c>
      <c r="M785">
        <v>0</v>
      </c>
      <c r="O785">
        <v>-10.81</v>
      </c>
      <c r="P785">
        <v>-10.65</v>
      </c>
      <c r="Q785">
        <v>6.6470000000000002</v>
      </c>
      <c r="S785">
        <v>5.5659999999999998</v>
      </c>
      <c r="T785">
        <v>0</v>
      </c>
      <c r="U785">
        <v>96.1</v>
      </c>
      <c r="V785">
        <v>885</v>
      </c>
      <c r="W785">
        <v>38.35</v>
      </c>
    </row>
    <row r="786" spans="1:23" x14ac:dyDescent="0.25">
      <c r="A786">
        <v>2006</v>
      </c>
      <c r="B786">
        <v>333</v>
      </c>
      <c r="C786">
        <v>1800</v>
      </c>
      <c r="D786">
        <v>-1.6639999999999999</v>
      </c>
      <c r="E786">
        <v>-18.16</v>
      </c>
      <c r="F786">
        <v>10.67</v>
      </c>
      <c r="G786">
        <v>11.01</v>
      </c>
      <c r="K786">
        <v>2.6669999999999998</v>
      </c>
      <c r="L786">
        <v>202.4</v>
      </c>
      <c r="M786">
        <v>0</v>
      </c>
      <c r="O786">
        <v>-11.5</v>
      </c>
      <c r="P786">
        <v>-10.84</v>
      </c>
      <c r="Q786">
        <v>6.7060000000000004</v>
      </c>
      <c r="S786">
        <v>5.6550000000000002</v>
      </c>
      <c r="T786">
        <v>0</v>
      </c>
      <c r="U786">
        <v>95.9</v>
      </c>
      <c r="V786">
        <v>885</v>
      </c>
      <c r="W786">
        <v>38.32</v>
      </c>
    </row>
    <row r="787" spans="1:23" x14ac:dyDescent="0.25">
      <c r="A787">
        <v>2006</v>
      </c>
      <c r="B787">
        <v>333</v>
      </c>
      <c r="C787">
        <v>1900</v>
      </c>
      <c r="D787">
        <v>-1.33</v>
      </c>
      <c r="E787">
        <v>-12.02</v>
      </c>
      <c r="F787">
        <v>11.21</v>
      </c>
      <c r="G787">
        <v>11.63</v>
      </c>
      <c r="K787">
        <v>3.5979999999999999</v>
      </c>
      <c r="L787">
        <v>203</v>
      </c>
      <c r="M787">
        <v>0</v>
      </c>
      <c r="O787">
        <v>-11.5</v>
      </c>
      <c r="P787">
        <v>-10.84</v>
      </c>
      <c r="Q787">
        <v>6.7270000000000003</v>
      </c>
      <c r="S787">
        <v>5.7350000000000003</v>
      </c>
      <c r="T787">
        <v>0</v>
      </c>
      <c r="U787">
        <v>95.1</v>
      </c>
      <c r="V787">
        <v>888</v>
      </c>
      <c r="W787">
        <v>38.58</v>
      </c>
    </row>
    <row r="788" spans="1:23" x14ac:dyDescent="0.25">
      <c r="A788">
        <v>2006</v>
      </c>
      <c r="B788">
        <v>333</v>
      </c>
      <c r="C788">
        <v>2000</v>
      </c>
      <c r="D788">
        <v>-1.222</v>
      </c>
      <c r="E788">
        <v>-12.95</v>
      </c>
      <c r="F788">
        <v>11.33</v>
      </c>
      <c r="G788">
        <v>11.69</v>
      </c>
      <c r="K788">
        <v>3.8809999999999998</v>
      </c>
      <c r="L788">
        <v>204.7</v>
      </c>
      <c r="M788">
        <v>0</v>
      </c>
      <c r="O788">
        <v>-11.5</v>
      </c>
      <c r="P788">
        <v>-10.84</v>
      </c>
      <c r="Q788">
        <v>6.8049999999999997</v>
      </c>
      <c r="S788">
        <v>5.7759999999999998</v>
      </c>
      <c r="T788">
        <v>0</v>
      </c>
      <c r="U788">
        <v>95.9</v>
      </c>
      <c r="V788">
        <v>883</v>
      </c>
      <c r="W788">
        <v>38.229999999999997</v>
      </c>
    </row>
    <row r="789" spans="1:23" x14ac:dyDescent="0.25">
      <c r="A789">
        <v>2006</v>
      </c>
      <c r="B789">
        <v>333</v>
      </c>
      <c r="C789">
        <v>2100</v>
      </c>
      <c r="D789">
        <v>-1.3240000000000001</v>
      </c>
      <c r="E789">
        <v>-17.8</v>
      </c>
      <c r="F789">
        <v>11.16</v>
      </c>
      <c r="G789">
        <v>11.49</v>
      </c>
      <c r="K789">
        <v>3.9049999999999998</v>
      </c>
      <c r="L789">
        <v>208.2</v>
      </c>
      <c r="M789">
        <v>0</v>
      </c>
      <c r="O789">
        <v>-11.5</v>
      </c>
      <c r="P789">
        <v>-10.85</v>
      </c>
      <c r="Q789">
        <v>6.8890000000000002</v>
      </c>
      <c r="S789">
        <v>5.8460000000000001</v>
      </c>
      <c r="T789">
        <v>0</v>
      </c>
      <c r="U789">
        <v>96.2</v>
      </c>
      <c r="V789">
        <v>882</v>
      </c>
      <c r="W789">
        <v>38.17</v>
      </c>
    </row>
    <row r="790" spans="1:23" x14ac:dyDescent="0.25">
      <c r="A790">
        <v>2006</v>
      </c>
      <c r="B790">
        <v>333</v>
      </c>
      <c r="C790">
        <v>2200</v>
      </c>
      <c r="D790">
        <v>-1.8680000000000001</v>
      </c>
      <c r="E790">
        <v>-27.38</v>
      </c>
      <c r="F790">
        <v>10.74</v>
      </c>
      <c r="G790">
        <v>11.19</v>
      </c>
      <c r="K790">
        <v>3.9630000000000001</v>
      </c>
      <c r="L790">
        <v>208.6</v>
      </c>
      <c r="M790">
        <v>0</v>
      </c>
      <c r="O790">
        <v>-11.5</v>
      </c>
      <c r="P790">
        <v>-10.84</v>
      </c>
      <c r="Q790">
        <v>6.9610000000000003</v>
      </c>
      <c r="S790">
        <v>5.867</v>
      </c>
      <c r="T790">
        <v>0</v>
      </c>
      <c r="U790">
        <v>94.7</v>
      </c>
      <c r="V790">
        <v>882</v>
      </c>
      <c r="W790">
        <v>38.130000000000003</v>
      </c>
    </row>
    <row r="791" spans="1:23" x14ac:dyDescent="0.25">
      <c r="A791">
        <v>2006</v>
      </c>
      <c r="B791">
        <v>333</v>
      </c>
      <c r="C791">
        <v>2300</v>
      </c>
      <c r="D791">
        <v>-1.726</v>
      </c>
      <c r="E791">
        <v>-22.15</v>
      </c>
      <c r="F791">
        <v>10.87</v>
      </c>
      <c r="G791">
        <v>11.32</v>
      </c>
      <c r="K791">
        <v>3.5539999999999998</v>
      </c>
      <c r="L791">
        <v>203.9</v>
      </c>
      <c r="M791">
        <v>0</v>
      </c>
      <c r="O791">
        <v>-11.5</v>
      </c>
      <c r="P791">
        <v>-10.85</v>
      </c>
      <c r="Q791">
        <v>7.02</v>
      </c>
      <c r="S791">
        <v>5.9080000000000004</v>
      </c>
      <c r="T791">
        <v>0</v>
      </c>
      <c r="U791">
        <v>94.8</v>
      </c>
      <c r="V791">
        <v>881</v>
      </c>
      <c r="W791">
        <v>38.1</v>
      </c>
    </row>
    <row r="792" spans="1:23" x14ac:dyDescent="0.25">
      <c r="A792">
        <v>2006</v>
      </c>
      <c r="B792">
        <v>333</v>
      </c>
      <c r="C792">
        <v>2400</v>
      </c>
      <c r="D792">
        <v>-1.518</v>
      </c>
      <c r="E792">
        <v>-16.29</v>
      </c>
      <c r="F792">
        <v>10.85</v>
      </c>
      <c r="G792">
        <v>11.22</v>
      </c>
      <c r="K792">
        <v>3.036</v>
      </c>
      <c r="L792">
        <v>199.9</v>
      </c>
      <c r="M792">
        <v>0</v>
      </c>
      <c r="O792">
        <v>-11.5</v>
      </c>
      <c r="P792">
        <v>-10.84</v>
      </c>
      <c r="Q792">
        <v>7.04</v>
      </c>
      <c r="S792">
        <v>5.9770000000000003</v>
      </c>
      <c r="T792">
        <v>0</v>
      </c>
      <c r="U792">
        <v>95.6</v>
      </c>
      <c r="V792">
        <v>881</v>
      </c>
      <c r="W792">
        <v>38.06</v>
      </c>
    </row>
    <row r="793" spans="1:23" x14ac:dyDescent="0.25">
      <c r="A793">
        <v>2006</v>
      </c>
      <c r="B793">
        <v>333</v>
      </c>
      <c r="C793">
        <v>2400</v>
      </c>
      <c r="D793">
        <v>20.3</v>
      </c>
      <c r="E793">
        <v>-7.32</v>
      </c>
      <c r="F793">
        <v>9.49</v>
      </c>
      <c r="G793">
        <v>9.8699999999999992</v>
      </c>
      <c r="K793">
        <v>3.1760000000000002</v>
      </c>
      <c r="L793">
        <v>210.3</v>
      </c>
      <c r="M793">
        <v>0</v>
      </c>
      <c r="O793">
        <v>14.46</v>
      </c>
      <c r="P793">
        <v>-3.3969999999999998</v>
      </c>
      <c r="Q793">
        <v>6.0449999999999999</v>
      </c>
      <c r="S793">
        <v>5.4829999999999997</v>
      </c>
      <c r="T793">
        <v>0</v>
      </c>
      <c r="U793">
        <v>95.3</v>
      </c>
      <c r="V793">
        <v>891</v>
      </c>
      <c r="W793">
        <v>38.770000000000003</v>
      </c>
    </row>
    <row r="794" spans="1:23" x14ac:dyDescent="0.25">
      <c r="A794">
        <v>2006</v>
      </c>
      <c r="B794">
        <v>334</v>
      </c>
      <c r="C794">
        <v>100</v>
      </c>
      <c r="D794">
        <v>-1.23</v>
      </c>
      <c r="E794">
        <v>-12.42</v>
      </c>
      <c r="F794">
        <v>10.94</v>
      </c>
      <c r="G794">
        <v>11.39</v>
      </c>
      <c r="K794">
        <v>3.4020000000000001</v>
      </c>
      <c r="L794">
        <v>188.8</v>
      </c>
      <c r="M794">
        <v>0</v>
      </c>
      <c r="O794">
        <v>-11.5</v>
      </c>
      <c r="P794">
        <v>-10.84</v>
      </c>
      <c r="Q794">
        <v>7.08</v>
      </c>
      <c r="S794">
        <v>5.9870000000000001</v>
      </c>
      <c r="T794">
        <v>0</v>
      </c>
      <c r="U794">
        <v>94.7</v>
      </c>
      <c r="V794">
        <v>880</v>
      </c>
      <c r="W794">
        <v>38.03</v>
      </c>
    </row>
    <row r="795" spans="1:23" x14ac:dyDescent="0.25">
      <c r="A795">
        <v>2006</v>
      </c>
      <c r="B795">
        <v>334</v>
      </c>
      <c r="C795">
        <v>200</v>
      </c>
      <c r="D795">
        <v>-1.1659999999999999</v>
      </c>
      <c r="E795">
        <v>-11.3</v>
      </c>
      <c r="F795">
        <v>11.01</v>
      </c>
      <c r="G795">
        <v>11.47</v>
      </c>
      <c r="K795">
        <v>3.6509999999999998</v>
      </c>
      <c r="L795">
        <v>184.8</v>
      </c>
      <c r="M795">
        <v>0</v>
      </c>
      <c r="O795">
        <v>-11.5</v>
      </c>
      <c r="P795">
        <v>-10.84</v>
      </c>
      <c r="Q795">
        <v>7.12</v>
      </c>
      <c r="S795">
        <v>6.0590000000000002</v>
      </c>
      <c r="T795">
        <v>0</v>
      </c>
      <c r="U795">
        <v>94.7</v>
      </c>
      <c r="V795">
        <v>880</v>
      </c>
      <c r="W795">
        <v>38.01</v>
      </c>
    </row>
    <row r="796" spans="1:23" x14ac:dyDescent="0.25">
      <c r="A796">
        <v>2006</v>
      </c>
      <c r="B796">
        <v>334</v>
      </c>
      <c r="C796">
        <v>300</v>
      </c>
      <c r="D796">
        <v>-1.5529999999999999</v>
      </c>
      <c r="E796">
        <v>-18.95</v>
      </c>
      <c r="F796">
        <v>11.04</v>
      </c>
      <c r="G796">
        <v>11.43</v>
      </c>
      <c r="K796">
        <v>3.968</v>
      </c>
      <c r="L796">
        <v>182.7</v>
      </c>
      <c r="M796">
        <v>0</v>
      </c>
      <c r="O796">
        <v>-11.5</v>
      </c>
      <c r="P796">
        <v>-10.84</v>
      </c>
      <c r="Q796">
        <v>7.16</v>
      </c>
      <c r="S796">
        <v>6.0890000000000004</v>
      </c>
      <c r="T796">
        <v>0</v>
      </c>
      <c r="U796">
        <v>95.5</v>
      </c>
      <c r="V796">
        <v>880</v>
      </c>
      <c r="W796">
        <v>38</v>
      </c>
    </row>
    <row r="797" spans="1:23" x14ac:dyDescent="0.25">
      <c r="A797">
        <v>2006</v>
      </c>
      <c r="B797">
        <v>334</v>
      </c>
      <c r="C797">
        <v>400</v>
      </c>
      <c r="D797">
        <v>-1.2889999999999999</v>
      </c>
      <c r="E797">
        <v>-16.350000000000001</v>
      </c>
      <c r="F797">
        <v>10.87</v>
      </c>
      <c r="G797">
        <v>11.25</v>
      </c>
      <c r="K797">
        <v>4.0049999999999999</v>
      </c>
      <c r="L797">
        <v>182.5</v>
      </c>
      <c r="M797">
        <v>0</v>
      </c>
      <c r="O797">
        <v>-11.5</v>
      </c>
      <c r="P797">
        <v>-10.84</v>
      </c>
      <c r="Q797">
        <v>7.19</v>
      </c>
      <c r="S797">
        <v>6.0960000000000001</v>
      </c>
      <c r="T797">
        <v>0</v>
      </c>
      <c r="U797">
        <v>95.6</v>
      </c>
      <c r="V797">
        <v>879</v>
      </c>
      <c r="W797">
        <v>37.96</v>
      </c>
    </row>
    <row r="798" spans="1:23" x14ac:dyDescent="0.25">
      <c r="A798">
        <v>2006</v>
      </c>
      <c r="B798">
        <v>334</v>
      </c>
      <c r="C798">
        <v>500</v>
      </c>
      <c r="D798">
        <v>-1.399</v>
      </c>
      <c r="E798">
        <v>-18.579999999999998</v>
      </c>
      <c r="F798">
        <v>10.65</v>
      </c>
      <c r="G798">
        <v>11.02</v>
      </c>
      <c r="K798">
        <v>4.0670000000000002</v>
      </c>
      <c r="L798">
        <v>181.5</v>
      </c>
      <c r="M798">
        <v>0</v>
      </c>
      <c r="O798">
        <v>-11.5</v>
      </c>
      <c r="P798">
        <v>-10.85</v>
      </c>
      <c r="Q798">
        <v>7.24</v>
      </c>
      <c r="S798">
        <v>6.1509999999999998</v>
      </c>
      <c r="T798">
        <v>0</v>
      </c>
      <c r="U798">
        <v>95.7</v>
      </c>
      <c r="V798">
        <v>879</v>
      </c>
      <c r="W798">
        <v>37.96</v>
      </c>
    </row>
    <row r="799" spans="1:23" x14ac:dyDescent="0.25">
      <c r="A799">
        <v>2006</v>
      </c>
      <c r="B799">
        <v>334</v>
      </c>
      <c r="C799">
        <v>600</v>
      </c>
      <c r="D799">
        <v>-1.125</v>
      </c>
      <c r="E799">
        <v>-11.09</v>
      </c>
      <c r="F799">
        <v>10.82</v>
      </c>
      <c r="G799">
        <v>11.13</v>
      </c>
      <c r="K799">
        <v>4.9749999999999996</v>
      </c>
      <c r="L799">
        <v>173.5</v>
      </c>
      <c r="M799">
        <v>0</v>
      </c>
      <c r="O799">
        <v>-11.5</v>
      </c>
      <c r="P799">
        <v>-10.84</v>
      </c>
      <c r="Q799">
        <v>7.25</v>
      </c>
      <c r="S799">
        <v>6.1980000000000004</v>
      </c>
      <c r="T799">
        <v>0</v>
      </c>
      <c r="U799">
        <v>96.3</v>
      </c>
      <c r="V799">
        <v>879</v>
      </c>
      <c r="W799">
        <v>37.97</v>
      </c>
    </row>
    <row r="800" spans="1:23" x14ac:dyDescent="0.25">
      <c r="A800">
        <v>2006</v>
      </c>
      <c r="B800">
        <v>334</v>
      </c>
      <c r="C800">
        <v>700</v>
      </c>
      <c r="D800">
        <v>-1.026</v>
      </c>
      <c r="E800">
        <v>-10.33</v>
      </c>
      <c r="F800">
        <v>10.83</v>
      </c>
      <c r="G800">
        <v>11.18</v>
      </c>
      <c r="K800">
        <v>4.665</v>
      </c>
      <c r="L800">
        <v>175.8</v>
      </c>
      <c r="M800">
        <v>0</v>
      </c>
      <c r="O800">
        <v>-11.5</v>
      </c>
      <c r="P800">
        <v>-10.84</v>
      </c>
      <c r="Q800">
        <v>7.28</v>
      </c>
      <c r="S800">
        <v>6.1970000000000001</v>
      </c>
      <c r="T800">
        <v>0</v>
      </c>
      <c r="U800">
        <v>95.9</v>
      </c>
      <c r="V800">
        <v>880</v>
      </c>
      <c r="W800">
        <v>38</v>
      </c>
    </row>
    <row r="801" spans="1:23" x14ac:dyDescent="0.25">
      <c r="A801">
        <v>2006</v>
      </c>
      <c r="B801">
        <v>334</v>
      </c>
      <c r="C801">
        <v>800</v>
      </c>
      <c r="D801">
        <v>-1.1180000000000001</v>
      </c>
      <c r="E801">
        <v>-10.26</v>
      </c>
      <c r="F801">
        <v>10.83</v>
      </c>
      <c r="G801">
        <v>11.25</v>
      </c>
      <c r="K801">
        <v>3.9889999999999999</v>
      </c>
      <c r="L801">
        <v>173.1</v>
      </c>
      <c r="M801">
        <v>0</v>
      </c>
      <c r="O801">
        <v>-11.49</v>
      </c>
      <c r="P801">
        <v>-10.84</v>
      </c>
      <c r="Q801">
        <v>7.33</v>
      </c>
      <c r="S801">
        <v>6.234</v>
      </c>
      <c r="T801">
        <v>0</v>
      </c>
      <c r="U801">
        <v>95.1</v>
      </c>
      <c r="V801">
        <v>878</v>
      </c>
      <c r="W801">
        <v>37.89</v>
      </c>
    </row>
    <row r="802" spans="1:23" x14ac:dyDescent="0.25">
      <c r="A802">
        <v>2006</v>
      </c>
      <c r="B802">
        <v>334</v>
      </c>
      <c r="C802">
        <v>900</v>
      </c>
      <c r="D802">
        <v>1.68</v>
      </c>
      <c r="E802">
        <v>-5.7789999999999999</v>
      </c>
      <c r="F802">
        <v>10.9</v>
      </c>
      <c r="G802">
        <v>11.33</v>
      </c>
      <c r="H802">
        <f>AVERAGE(G802:G826)</f>
        <v>10.484519999999998</v>
      </c>
      <c r="I802">
        <f>MIN(G802:G826)</f>
        <v>4.6059999999999999</v>
      </c>
      <c r="J802">
        <f>MAX(G802:G826)</f>
        <v>12.69</v>
      </c>
      <c r="K802">
        <v>4.0449999999999999</v>
      </c>
      <c r="L802">
        <v>182.2</v>
      </c>
      <c r="M802">
        <v>0</v>
      </c>
      <c r="N802">
        <f>SUM(M802:M826)</f>
        <v>28.4</v>
      </c>
      <c r="O802">
        <v>-8.08</v>
      </c>
      <c r="P802">
        <v>-10.07</v>
      </c>
      <c r="Q802">
        <v>7.36</v>
      </c>
      <c r="S802">
        <v>6.2960000000000003</v>
      </c>
      <c r="T802">
        <v>0</v>
      </c>
      <c r="U802">
        <v>95.1</v>
      </c>
      <c r="V802">
        <v>877</v>
      </c>
      <c r="W802">
        <v>37.840000000000003</v>
      </c>
    </row>
    <row r="803" spans="1:23" x14ac:dyDescent="0.25">
      <c r="A803">
        <v>2006</v>
      </c>
      <c r="B803">
        <v>334</v>
      </c>
      <c r="C803">
        <v>1000</v>
      </c>
      <c r="D803">
        <v>12.48</v>
      </c>
      <c r="E803">
        <v>5.8659999999999997</v>
      </c>
      <c r="F803">
        <v>11.32</v>
      </c>
      <c r="G803">
        <v>11.76</v>
      </c>
      <c r="K803">
        <v>4.6950000000000003</v>
      </c>
      <c r="L803">
        <v>186.7</v>
      </c>
      <c r="M803">
        <v>0</v>
      </c>
      <c r="O803">
        <v>7.08</v>
      </c>
      <c r="P803">
        <v>-6.2880000000000003</v>
      </c>
      <c r="Q803">
        <v>7.41</v>
      </c>
      <c r="S803">
        <v>6.298</v>
      </c>
      <c r="T803">
        <v>0</v>
      </c>
      <c r="U803">
        <v>95</v>
      </c>
      <c r="V803">
        <v>877</v>
      </c>
      <c r="W803">
        <v>37.79</v>
      </c>
    </row>
    <row r="804" spans="1:23" x14ac:dyDescent="0.25">
      <c r="A804">
        <v>2006</v>
      </c>
      <c r="B804">
        <v>334</v>
      </c>
      <c r="C804">
        <v>1100</v>
      </c>
      <c r="D804">
        <v>31.35</v>
      </c>
      <c r="E804">
        <v>8.82</v>
      </c>
      <c r="F804">
        <v>11.3</v>
      </c>
      <c r="G804">
        <v>11.53</v>
      </c>
      <c r="K804">
        <v>4.3070000000000004</v>
      </c>
      <c r="L804">
        <v>183.8</v>
      </c>
      <c r="M804">
        <v>0.2</v>
      </c>
      <c r="O804">
        <v>35.06</v>
      </c>
      <c r="P804">
        <v>-1.4059999999999999</v>
      </c>
      <c r="Q804">
        <v>7.44</v>
      </c>
      <c r="S804">
        <v>6.3049999999999997</v>
      </c>
      <c r="T804">
        <v>0</v>
      </c>
      <c r="U804">
        <v>97.3</v>
      </c>
      <c r="V804">
        <v>878</v>
      </c>
      <c r="W804">
        <v>37.85</v>
      </c>
    </row>
    <row r="805" spans="1:23" x14ac:dyDescent="0.25">
      <c r="A805">
        <v>2006</v>
      </c>
      <c r="B805">
        <v>334</v>
      </c>
      <c r="C805">
        <v>1200</v>
      </c>
      <c r="D805">
        <v>21.63</v>
      </c>
      <c r="E805">
        <v>3.206</v>
      </c>
      <c r="F805">
        <v>10.93</v>
      </c>
      <c r="G805">
        <v>11.15</v>
      </c>
      <c r="K805">
        <v>4.4290000000000003</v>
      </c>
      <c r="L805">
        <v>175.6</v>
      </c>
      <c r="M805">
        <v>0.6</v>
      </c>
      <c r="O805">
        <v>21.76</v>
      </c>
      <c r="P805">
        <v>-3.9609999999999999</v>
      </c>
      <c r="Q805">
        <v>7.52</v>
      </c>
      <c r="S805">
        <v>6.3570000000000002</v>
      </c>
      <c r="T805">
        <v>0</v>
      </c>
      <c r="U805">
        <v>97.4</v>
      </c>
      <c r="V805">
        <v>883</v>
      </c>
      <c r="W805">
        <v>38.229999999999997</v>
      </c>
    </row>
    <row r="806" spans="1:23" x14ac:dyDescent="0.25">
      <c r="A806">
        <v>2006</v>
      </c>
      <c r="B806">
        <v>334</v>
      </c>
      <c r="C806">
        <v>1300</v>
      </c>
      <c r="D806">
        <v>19.010000000000002</v>
      </c>
      <c r="E806">
        <v>4.2069999999999999</v>
      </c>
      <c r="F806">
        <v>10.81</v>
      </c>
      <c r="G806">
        <v>11.04</v>
      </c>
      <c r="K806">
        <v>3.8250000000000002</v>
      </c>
      <c r="L806">
        <v>173.4</v>
      </c>
      <c r="M806">
        <v>0.6</v>
      </c>
      <c r="O806">
        <v>16.82</v>
      </c>
      <c r="P806">
        <v>-5.0590000000000002</v>
      </c>
      <c r="Q806">
        <v>7.62</v>
      </c>
      <c r="S806">
        <v>6.4130000000000003</v>
      </c>
      <c r="T806">
        <v>0</v>
      </c>
      <c r="U806">
        <v>97.3</v>
      </c>
      <c r="V806">
        <v>892</v>
      </c>
      <c r="W806">
        <v>38.86</v>
      </c>
    </row>
    <row r="807" spans="1:23" x14ac:dyDescent="0.25">
      <c r="A807">
        <v>2006</v>
      </c>
      <c r="B807">
        <v>334</v>
      </c>
      <c r="C807">
        <v>1400</v>
      </c>
      <c r="D807">
        <v>21.81</v>
      </c>
      <c r="E807">
        <v>8.08</v>
      </c>
      <c r="F807">
        <v>10.81</v>
      </c>
      <c r="G807">
        <v>11.03</v>
      </c>
      <c r="K807">
        <v>3.9220000000000002</v>
      </c>
      <c r="L807">
        <v>183.2</v>
      </c>
      <c r="M807">
        <v>0.2</v>
      </c>
      <c r="O807">
        <v>20.12</v>
      </c>
      <c r="P807">
        <v>-4.2779999999999996</v>
      </c>
      <c r="Q807">
        <v>7.7</v>
      </c>
      <c r="S807">
        <v>6.4240000000000004</v>
      </c>
      <c r="T807">
        <v>0</v>
      </c>
      <c r="U807">
        <v>97.4</v>
      </c>
      <c r="V807">
        <v>899</v>
      </c>
      <c r="W807">
        <v>39.380000000000003</v>
      </c>
    </row>
    <row r="808" spans="1:23" x14ac:dyDescent="0.25">
      <c r="A808">
        <v>2006</v>
      </c>
      <c r="B808">
        <v>334</v>
      </c>
      <c r="C808">
        <v>1500</v>
      </c>
      <c r="D808">
        <v>13.37</v>
      </c>
      <c r="E808">
        <v>3.4009999999999998</v>
      </c>
      <c r="F808">
        <v>11.02</v>
      </c>
      <c r="G808">
        <v>11.24</v>
      </c>
      <c r="K808">
        <v>4.4630000000000001</v>
      </c>
      <c r="L808">
        <v>189</v>
      </c>
      <c r="M808">
        <v>0.6</v>
      </c>
      <c r="O808">
        <v>8.36</v>
      </c>
      <c r="P808">
        <v>-6.6070000000000002</v>
      </c>
      <c r="Q808">
        <v>7.8</v>
      </c>
      <c r="S808">
        <v>6.5060000000000002</v>
      </c>
      <c r="T808">
        <v>0</v>
      </c>
      <c r="U808">
        <v>97.4</v>
      </c>
      <c r="V808">
        <v>905</v>
      </c>
      <c r="W808">
        <v>39.78</v>
      </c>
    </row>
    <row r="809" spans="1:23" x14ac:dyDescent="0.25">
      <c r="A809">
        <v>2006</v>
      </c>
      <c r="B809">
        <v>334</v>
      </c>
      <c r="C809">
        <v>1600</v>
      </c>
      <c r="D809">
        <v>2.2210000000000001</v>
      </c>
      <c r="E809">
        <v>-3.27</v>
      </c>
      <c r="F809">
        <v>11.07</v>
      </c>
      <c r="G809">
        <v>11.3</v>
      </c>
      <c r="K809">
        <v>3.9159999999999999</v>
      </c>
      <c r="L809">
        <v>187.1</v>
      </c>
      <c r="M809">
        <v>1</v>
      </c>
      <c r="O809">
        <v>-7.08</v>
      </c>
      <c r="P809">
        <v>-9.89</v>
      </c>
      <c r="Q809">
        <v>7.9</v>
      </c>
      <c r="S809">
        <v>6.5279999999999996</v>
      </c>
      <c r="T809">
        <v>0</v>
      </c>
      <c r="U809">
        <v>97.3</v>
      </c>
      <c r="V809">
        <v>932</v>
      </c>
      <c r="W809">
        <v>42.04</v>
      </c>
    </row>
    <row r="810" spans="1:23" x14ac:dyDescent="0.25">
      <c r="A810">
        <v>2006</v>
      </c>
      <c r="B810">
        <v>334</v>
      </c>
      <c r="C810">
        <v>1700</v>
      </c>
      <c r="D810">
        <v>-0.56200000000000006</v>
      </c>
      <c r="E810">
        <v>-5.26</v>
      </c>
      <c r="F810">
        <v>10.9</v>
      </c>
      <c r="G810">
        <v>11.16</v>
      </c>
      <c r="K810">
        <v>3.8650000000000002</v>
      </c>
      <c r="L810">
        <v>179.8</v>
      </c>
      <c r="M810">
        <v>1.8</v>
      </c>
      <c r="O810">
        <v>-11.31</v>
      </c>
      <c r="P810">
        <v>-10.84</v>
      </c>
      <c r="Q810">
        <v>7.98</v>
      </c>
      <c r="S810">
        <v>6.61</v>
      </c>
      <c r="T810">
        <v>0</v>
      </c>
      <c r="U810">
        <v>96.9</v>
      </c>
      <c r="V810">
        <v>972</v>
      </c>
      <c r="W810">
        <v>45.76</v>
      </c>
    </row>
    <row r="811" spans="1:23" x14ac:dyDescent="0.25">
      <c r="A811">
        <v>2006</v>
      </c>
      <c r="B811">
        <v>334</v>
      </c>
      <c r="C811">
        <v>1800</v>
      </c>
      <c r="D811">
        <v>-0.57599999999999996</v>
      </c>
      <c r="E811">
        <v>-4.6779999999999999</v>
      </c>
      <c r="F811">
        <v>11.07</v>
      </c>
      <c r="G811">
        <v>11.34</v>
      </c>
      <c r="K811">
        <v>3.9420000000000002</v>
      </c>
      <c r="L811">
        <v>182.3</v>
      </c>
      <c r="M811">
        <v>2</v>
      </c>
      <c r="O811">
        <v>-11.5</v>
      </c>
      <c r="P811">
        <v>-10.84</v>
      </c>
      <c r="Q811">
        <v>8.07</v>
      </c>
      <c r="S811">
        <v>6.6680000000000001</v>
      </c>
      <c r="T811">
        <v>0</v>
      </c>
      <c r="U811">
        <v>96.8</v>
      </c>
      <c r="V811">
        <v>977</v>
      </c>
      <c r="W811">
        <v>46.29</v>
      </c>
    </row>
    <row r="812" spans="1:23" x14ac:dyDescent="0.25">
      <c r="A812">
        <v>2006</v>
      </c>
      <c r="B812">
        <v>334</v>
      </c>
      <c r="C812">
        <v>1900</v>
      </c>
      <c r="D812">
        <v>-0.57299999999999995</v>
      </c>
      <c r="E812">
        <v>-4.6639999999999997</v>
      </c>
      <c r="F812">
        <v>11.22</v>
      </c>
      <c r="G812">
        <v>11.55</v>
      </c>
      <c r="K812">
        <v>4.2009999999999996</v>
      </c>
      <c r="L812">
        <v>182.2</v>
      </c>
      <c r="M812">
        <v>2</v>
      </c>
      <c r="O812">
        <v>-11.5</v>
      </c>
      <c r="P812">
        <v>-10.84</v>
      </c>
      <c r="Q812">
        <v>8.17</v>
      </c>
      <c r="S812">
        <v>6.7560000000000002</v>
      </c>
      <c r="T812">
        <v>0</v>
      </c>
      <c r="U812">
        <v>96.2</v>
      </c>
      <c r="V812">
        <v>978</v>
      </c>
      <c r="W812">
        <v>46.45</v>
      </c>
    </row>
    <row r="813" spans="1:23" x14ac:dyDescent="0.25">
      <c r="A813">
        <v>2006</v>
      </c>
      <c r="B813">
        <v>334</v>
      </c>
      <c r="C813">
        <v>2000</v>
      </c>
      <c r="D813">
        <v>-0.57299999999999995</v>
      </c>
      <c r="E813">
        <v>-5.1890000000000001</v>
      </c>
      <c r="F813">
        <v>11.23</v>
      </c>
      <c r="G813">
        <v>11.59</v>
      </c>
      <c r="K813">
        <v>4.2510000000000003</v>
      </c>
      <c r="L813">
        <v>180.5</v>
      </c>
      <c r="M813">
        <v>1.2</v>
      </c>
      <c r="O813">
        <v>-11.5</v>
      </c>
      <c r="P813">
        <v>-10.84</v>
      </c>
      <c r="Q813">
        <v>8.26</v>
      </c>
      <c r="S813">
        <v>6.8410000000000002</v>
      </c>
      <c r="T813">
        <v>0</v>
      </c>
      <c r="U813">
        <v>95.9</v>
      </c>
      <c r="V813">
        <v>980</v>
      </c>
      <c r="W813">
        <v>46.63</v>
      </c>
    </row>
    <row r="814" spans="1:23" x14ac:dyDescent="0.25">
      <c r="A814">
        <v>2006</v>
      </c>
      <c r="B814">
        <v>334</v>
      </c>
      <c r="C814">
        <v>2100</v>
      </c>
      <c r="D814">
        <v>-0.498</v>
      </c>
      <c r="E814">
        <v>-5.5819999999999999</v>
      </c>
      <c r="F814">
        <v>11.37</v>
      </c>
      <c r="G814">
        <v>11.73</v>
      </c>
      <c r="K814">
        <v>4.0890000000000004</v>
      </c>
      <c r="L814">
        <v>173.6</v>
      </c>
      <c r="M814">
        <v>1.8</v>
      </c>
      <c r="O814">
        <v>-11.5</v>
      </c>
      <c r="P814">
        <v>-10.84</v>
      </c>
      <c r="Q814">
        <v>8.35</v>
      </c>
      <c r="S814">
        <v>6.9130000000000003</v>
      </c>
      <c r="T814">
        <v>0</v>
      </c>
      <c r="U814">
        <v>95.8</v>
      </c>
      <c r="V814">
        <v>982</v>
      </c>
      <c r="W814">
        <v>46.83</v>
      </c>
    </row>
    <row r="815" spans="1:23" x14ac:dyDescent="0.25">
      <c r="A815">
        <v>2006</v>
      </c>
      <c r="B815">
        <v>334</v>
      </c>
      <c r="C815">
        <v>2200</v>
      </c>
      <c r="D815">
        <v>-0.39900000000000002</v>
      </c>
      <c r="E815">
        <v>-4.266</v>
      </c>
      <c r="F815">
        <v>11.58</v>
      </c>
      <c r="G815">
        <v>11.94</v>
      </c>
      <c r="K815">
        <v>3.9689999999999999</v>
      </c>
      <c r="L815">
        <v>177</v>
      </c>
      <c r="M815">
        <v>0.6</v>
      </c>
      <c r="O815">
        <v>-11.5</v>
      </c>
      <c r="P815">
        <v>-10.84</v>
      </c>
      <c r="Q815">
        <v>8.41</v>
      </c>
      <c r="S815">
        <v>6.9329999999999998</v>
      </c>
      <c r="T815">
        <v>0</v>
      </c>
      <c r="U815">
        <v>95.9</v>
      </c>
      <c r="V815">
        <v>980</v>
      </c>
      <c r="W815">
        <v>46.69</v>
      </c>
    </row>
    <row r="816" spans="1:23" x14ac:dyDescent="0.25">
      <c r="A816">
        <v>2006</v>
      </c>
      <c r="B816">
        <v>334</v>
      </c>
      <c r="C816">
        <v>2300</v>
      </c>
      <c r="D816">
        <v>-0.441</v>
      </c>
      <c r="E816">
        <v>-2.153</v>
      </c>
      <c r="F816">
        <v>11.8</v>
      </c>
      <c r="G816">
        <v>12.05</v>
      </c>
      <c r="K816">
        <v>3.7490000000000001</v>
      </c>
      <c r="L816">
        <v>184.8</v>
      </c>
      <c r="M816">
        <v>0.6</v>
      </c>
      <c r="O816">
        <v>-11.5</v>
      </c>
      <c r="P816">
        <v>-10.84</v>
      </c>
      <c r="Q816">
        <v>8.5</v>
      </c>
      <c r="S816">
        <v>6.9779999999999998</v>
      </c>
      <c r="T816">
        <v>0</v>
      </c>
      <c r="U816">
        <v>97.3</v>
      </c>
      <c r="V816">
        <v>980</v>
      </c>
      <c r="W816">
        <v>46.67</v>
      </c>
    </row>
    <row r="817" spans="1:23" x14ac:dyDescent="0.25">
      <c r="A817">
        <v>2006</v>
      </c>
      <c r="B817">
        <v>334</v>
      </c>
      <c r="C817">
        <v>2400</v>
      </c>
      <c r="D817">
        <v>-0.48199999999999998</v>
      </c>
      <c r="E817">
        <v>-6.4009999999999998</v>
      </c>
      <c r="F817">
        <v>12.11</v>
      </c>
      <c r="G817">
        <v>12.37</v>
      </c>
      <c r="K817">
        <v>3.2879999999999998</v>
      </c>
      <c r="L817">
        <v>205.4</v>
      </c>
      <c r="M817">
        <v>1</v>
      </c>
      <c r="O817">
        <v>-11.5</v>
      </c>
      <c r="P817">
        <v>-10.84</v>
      </c>
      <c r="Q817">
        <v>8.61</v>
      </c>
      <c r="S817">
        <v>7.06</v>
      </c>
      <c r="T817">
        <v>0</v>
      </c>
      <c r="U817">
        <v>97.1</v>
      </c>
      <c r="V817">
        <v>981</v>
      </c>
      <c r="W817">
        <v>46.73</v>
      </c>
    </row>
    <row r="818" spans="1:23" x14ac:dyDescent="0.25">
      <c r="A818">
        <v>2006</v>
      </c>
      <c r="B818">
        <v>334</v>
      </c>
      <c r="C818">
        <v>2400</v>
      </c>
      <c r="D818">
        <v>4.5640000000000001</v>
      </c>
      <c r="E818">
        <v>-5.1230000000000002</v>
      </c>
      <c r="F818">
        <v>11.1</v>
      </c>
      <c r="G818">
        <v>11.43</v>
      </c>
      <c r="K818">
        <v>4.07</v>
      </c>
      <c r="L818">
        <v>182.1</v>
      </c>
      <c r="M818">
        <v>14.2</v>
      </c>
      <c r="O818">
        <v>-3.74</v>
      </c>
      <c r="P818">
        <v>-9.2100000000000009</v>
      </c>
      <c r="Q818">
        <v>7.7</v>
      </c>
      <c r="S818">
        <v>6.4539999999999997</v>
      </c>
      <c r="T818">
        <v>0</v>
      </c>
      <c r="U818">
        <v>96.2</v>
      </c>
      <c r="V818">
        <v>917</v>
      </c>
      <c r="W818">
        <v>41.15</v>
      </c>
    </row>
    <row r="819" spans="1:23" x14ac:dyDescent="0.25">
      <c r="A819">
        <v>2006</v>
      </c>
      <c r="B819">
        <v>335</v>
      </c>
      <c r="C819">
        <v>100</v>
      </c>
      <c r="D819">
        <v>8.4000000000000005E-2</v>
      </c>
      <c r="E819">
        <v>-9.9600000000000009</v>
      </c>
      <c r="F819">
        <v>12.1</v>
      </c>
      <c r="G819">
        <v>12.69</v>
      </c>
      <c r="K819">
        <v>3.0840000000000001</v>
      </c>
      <c r="L819">
        <v>217.8</v>
      </c>
      <c r="M819">
        <v>0</v>
      </c>
      <c r="O819">
        <v>-11.5</v>
      </c>
      <c r="P819">
        <v>-10.84</v>
      </c>
      <c r="Q819">
        <v>8.7200000000000006</v>
      </c>
      <c r="S819">
        <v>7.12</v>
      </c>
      <c r="T819">
        <v>0</v>
      </c>
      <c r="U819">
        <v>93.4</v>
      </c>
      <c r="V819">
        <v>981</v>
      </c>
      <c r="W819">
        <v>46.8</v>
      </c>
    </row>
    <row r="820" spans="1:23" x14ac:dyDescent="0.25">
      <c r="A820">
        <v>2006</v>
      </c>
      <c r="B820">
        <v>335</v>
      </c>
      <c r="C820">
        <v>200</v>
      </c>
      <c r="D820">
        <v>-1.2569999999999999</v>
      </c>
      <c r="E820">
        <v>-26.67</v>
      </c>
      <c r="F820">
        <v>10.74</v>
      </c>
      <c r="G820">
        <v>11.84</v>
      </c>
      <c r="K820">
        <v>4.6360000000000001</v>
      </c>
      <c r="L820">
        <v>234.2</v>
      </c>
      <c r="M820">
        <v>0</v>
      </c>
      <c r="O820">
        <v>-11.5</v>
      </c>
      <c r="P820">
        <v>-10.84</v>
      </c>
      <c r="Q820">
        <v>8.7799999999999994</v>
      </c>
      <c r="S820">
        <v>7.18</v>
      </c>
      <c r="T820">
        <v>0</v>
      </c>
      <c r="U820">
        <v>87.5</v>
      </c>
      <c r="V820">
        <v>984</v>
      </c>
      <c r="W820">
        <v>47.05</v>
      </c>
    </row>
    <row r="821" spans="1:23" x14ac:dyDescent="0.25">
      <c r="A821">
        <v>2006</v>
      </c>
      <c r="B821">
        <v>335</v>
      </c>
      <c r="C821">
        <v>300</v>
      </c>
      <c r="D821">
        <v>-1.2949999999999999</v>
      </c>
      <c r="E821">
        <v>-23.27</v>
      </c>
      <c r="F821">
        <v>9.92</v>
      </c>
      <c r="G821">
        <v>10.73</v>
      </c>
      <c r="K821">
        <v>4.8780000000000001</v>
      </c>
      <c r="L821">
        <v>236.6</v>
      </c>
      <c r="M821">
        <v>0</v>
      </c>
      <c r="O821">
        <v>-11.5</v>
      </c>
      <c r="P821">
        <v>-10.84</v>
      </c>
      <c r="Q821">
        <v>8.7899999999999991</v>
      </c>
      <c r="S821">
        <v>7.2</v>
      </c>
      <c r="T821">
        <v>0</v>
      </c>
      <c r="U821">
        <v>90.5</v>
      </c>
      <c r="V821">
        <v>983</v>
      </c>
      <c r="W821">
        <v>47.02</v>
      </c>
    </row>
    <row r="822" spans="1:23" x14ac:dyDescent="0.25">
      <c r="A822">
        <v>2006</v>
      </c>
      <c r="B822">
        <v>335</v>
      </c>
      <c r="C822">
        <v>400</v>
      </c>
      <c r="D822">
        <v>-1.1299999999999999</v>
      </c>
      <c r="E822">
        <v>-33.9</v>
      </c>
      <c r="F822">
        <v>8.48</v>
      </c>
      <c r="G822">
        <v>8.85</v>
      </c>
      <c r="K822">
        <v>5.4610000000000003</v>
      </c>
      <c r="L822">
        <v>251.6</v>
      </c>
      <c r="M822">
        <v>0</v>
      </c>
      <c r="O822">
        <v>-11.5</v>
      </c>
      <c r="P822">
        <v>-10.84</v>
      </c>
      <c r="Q822">
        <v>8.76</v>
      </c>
      <c r="S822">
        <v>7.28</v>
      </c>
      <c r="T822">
        <v>0</v>
      </c>
      <c r="U822">
        <v>95.4</v>
      </c>
      <c r="V822">
        <v>999</v>
      </c>
      <c r="W822">
        <v>48.81</v>
      </c>
    </row>
    <row r="823" spans="1:23" x14ac:dyDescent="0.25">
      <c r="A823">
        <v>2006</v>
      </c>
      <c r="B823">
        <v>335</v>
      </c>
      <c r="C823">
        <v>500</v>
      </c>
      <c r="D823">
        <v>-2.0049999999999999</v>
      </c>
      <c r="E823">
        <v>-49.09</v>
      </c>
      <c r="F823">
        <v>6.7809999999999997</v>
      </c>
      <c r="G823">
        <v>6.8970000000000002</v>
      </c>
      <c r="K823">
        <v>4.0289999999999999</v>
      </c>
      <c r="L823">
        <v>264</v>
      </c>
      <c r="M823">
        <v>0</v>
      </c>
      <c r="O823">
        <v>-11.5</v>
      </c>
      <c r="P823">
        <v>-10.84</v>
      </c>
      <c r="Q823">
        <v>8.56</v>
      </c>
      <c r="S823">
        <v>7.24</v>
      </c>
      <c r="T823">
        <v>0</v>
      </c>
      <c r="U823">
        <v>98.4</v>
      </c>
      <c r="V823">
        <v>1002</v>
      </c>
      <c r="W823">
        <v>49.21</v>
      </c>
    </row>
    <row r="824" spans="1:23" x14ac:dyDescent="0.25">
      <c r="A824">
        <v>2006</v>
      </c>
      <c r="B824">
        <v>335</v>
      </c>
      <c r="C824">
        <v>600</v>
      </c>
      <c r="D824">
        <v>-2.8519999999999999</v>
      </c>
      <c r="E824">
        <v>-54.58</v>
      </c>
      <c r="F824">
        <v>5.66</v>
      </c>
      <c r="G824">
        <v>5.8550000000000004</v>
      </c>
      <c r="K824">
        <v>2.7109999999999999</v>
      </c>
      <c r="L824">
        <v>242.8</v>
      </c>
      <c r="M824">
        <v>0</v>
      </c>
      <c r="O824">
        <v>-11.5</v>
      </c>
      <c r="P824">
        <v>-10.84</v>
      </c>
      <c r="Q824">
        <v>8.36</v>
      </c>
      <c r="S824">
        <v>7.25</v>
      </c>
      <c r="T824">
        <v>0</v>
      </c>
      <c r="U824">
        <v>97.2</v>
      </c>
      <c r="V824">
        <v>955</v>
      </c>
      <c r="W824">
        <v>44.31</v>
      </c>
    </row>
    <row r="825" spans="1:23" x14ac:dyDescent="0.25">
      <c r="A825">
        <v>2006</v>
      </c>
      <c r="B825">
        <v>335</v>
      </c>
      <c r="C825">
        <v>700</v>
      </c>
      <c r="D825">
        <v>-3.0539999999999998</v>
      </c>
      <c r="E825">
        <v>-54.57</v>
      </c>
      <c r="F825">
        <v>4.9320000000000004</v>
      </c>
      <c r="G825">
        <v>5.1050000000000004</v>
      </c>
      <c r="K825">
        <v>1.9590000000000001</v>
      </c>
      <c r="L825">
        <v>224.1</v>
      </c>
      <c r="M825">
        <v>0</v>
      </c>
      <c r="O825">
        <v>-11.48</v>
      </c>
      <c r="P825">
        <v>-10.81</v>
      </c>
      <c r="Q825">
        <v>8.07</v>
      </c>
      <c r="S825">
        <v>7.18</v>
      </c>
      <c r="T825">
        <v>0</v>
      </c>
      <c r="U825">
        <v>97.5</v>
      </c>
      <c r="V825">
        <v>947</v>
      </c>
      <c r="W825">
        <v>43.65</v>
      </c>
    </row>
    <row r="826" spans="1:23" x14ac:dyDescent="0.25">
      <c r="A826">
        <v>2006</v>
      </c>
      <c r="B826">
        <v>335</v>
      </c>
      <c r="C826">
        <v>800</v>
      </c>
      <c r="D826">
        <v>-3.2360000000000002</v>
      </c>
      <c r="E826">
        <v>-52.06</v>
      </c>
      <c r="F826">
        <v>4.4160000000000004</v>
      </c>
      <c r="G826">
        <v>4.6059999999999999</v>
      </c>
      <c r="K826">
        <v>1.7949999999999999</v>
      </c>
      <c r="L826">
        <v>210</v>
      </c>
      <c r="M826">
        <v>0</v>
      </c>
      <c r="O826">
        <v>-11.3</v>
      </c>
      <c r="P826">
        <v>-10.66</v>
      </c>
      <c r="Q826">
        <v>7.78</v>
      </c>
      <c r="S826">
        <v>7.13</v>
      </c>
      <c r="T826">
        <v>0</v>
      </c>
      <c r="U826">
        <v>97.2</v>
      </c>
      <c r="V826">
        <v>1003</v>
      </c>
      <c r="W826">
        <v>49.29</v>
      </c>
    </row>
    <row r="827" spans="1:23" x14ac:dyDescent="0.25">
      <c r="A827">
        <v>2006</v>
      </c>
      <c r="B827">
        <v>335</v>
      </c>
      <c r="C827">
        <v>900</v>
      </c>
      <c r="D827">
        <v>11.55</v>
      </c>
      <c r="E827">
        <v>-24.76</v>
      </c>
      <c r="F827">
        <v>4.3789999999999996</v>
      </c>
      <c r="G827">
        <v>4.6070000000000002</v>
      </c>
      <c r="H827">
        <f>AVERAGE(G827:G851)</f>
        <v>7.1861199999999972</v>
      </c>
      <c r="I827">
        <f>MIN(G827:G851)</f>
        <v>4.6070000000000002</v>
      </c>
      <c r="J827">
        <f>MAX(G827:G851)</f>
        <v>10.73</v>
      </c>
      <c r="K827">
        <v>1.8939999999999999</v>
      </c>
      <c r="L827">
        <v>198.6</v>
      </c>
      <c r="M827">
        <v>0</v>
      </c>
      <c r="N827">
        <f>SUM(M827:M851)</f>
        <v>3.5999999999999996</v>
      </c>
      <c r="O827">
        <v>8.73</v>
      </c>
      <c r="P827">
        <v>-5.0199999999999996</v>
      </c>
      <c r="Q827">
        <v>7.51</v>
      </c>
      <c r="S827">
        <v>7.06</v>
      </c>
      <c r="T827">
        <v>0</v>
      </c>
      <c r="U827">
        <v>96.6</v>
      </c>
      <c r="V827">
        <v>1007</v>
      </c>
      <c r="W827">
        <v>49.77</v>
      </c>
    </row>
    <row r="828" spans="1:23" x14ac:dyDescent="0.25">
      <c r="A828">
        <v>2006</v>
      </c>
      <c r="B828">
        <v>335</v>
      </c>
      <c r="C828">
        <v>1000</v>
      </c>
      <c r="D828">
        <v>49.6</v>
      </c>
      <c r="E828">
        <v>-1.4419999999999999</v>
      </c>
      <c r="F828">
        <v>5.09</v>
      </c>
      <c r="G828">
        <v>5.42</v>
      </c>
      <c r="K828">
        <v>1.6819999999999999</v>
      </c>
      <c r="L828">
        <v>186.1</v>
      </c>
      <c r="M828">
        <v>0</v>
      </c>
      <c r="O828">
        <v>47.06</v>
      </c>
      <c r="P828">
        <v>3.9279999999999999</v>
      </c>
      <c r="Q828">
        <v>7.26</v>
      </c>
      <c r="S828">
        <v>6.9850000000000003</v>
      </c>
      <c r="T828">
        <v>0</v>
      </c>
      <c r="U828">
        <v>95.3</v>
      </c>
      <c r="V828">
        <v>1004</v>
      </c>
      <c r="W828">
        <v>49.43</v>
      </c>
    </row>
    <row r="829" spans="1:23" x14ac:dyDescent="0.25">
      <c r="A829">
        <v>2006</v>
      </c>
      <c r="B829">
        <v>335</v>
      </c>
      <c r="C829">
        <v>1100</v>
      </c>
      <c r="D829">
        <v>78.099999999999994</v>
      </c>
      <c r="E829">
        <v>26.54</v>
      </c>
      <c r="F829">
        <v>5.7779999999999996</v>
      </c>
      <c r="G829">
        <v>6.3129999999999997</v>
      </c>
      <c r="K829">
        <v>1.635</v>
      </c>
      <c r="L829">
        <v>157.1</v>
      </c>
      <c r="M829">
        <v>0</v>
      </c>
      <c r="O829">
        <v>92.9</v>
      </c>
      <c r="P829">
        <v>18.28</v>
      </c>
      <c r="Q829">
        <v>7.07</v>
      </c>
      <c r="S829">
        <v>6.8929999999999998</v>
      </c>
      <c r="T829">
        <v>0</v>
      </c>
      <c r="U829">
        <v>92.6</v>
      </c>
      <c r="V829">
        <v>997</v>
      </c>
      <c r="W829">
        <v>48.53</v>
      </c>
    </row>
    <row r="830" spans="1:23" x14ac:dyDescent="0.25">
      <c r="A830">
        <v>2006</v>
      </c>
      <c r="B830">
        <v>335</v>
      </c>
      <c r="C830">
        <v>1200</v>
      </c>
      <c r="D830">
        <v>82.3</v>
      </c>
      <c r="E830">
        <v>33.74</v>
      </c>
      <c r="F830">
        <v>6.6360000000000001</v>
      </c>
      <c r="G830">
        <v>7.49</v>
      </c>
      <c r="K830">
        <v>1.7070000000000001</v>
      </c>
      <c r="L830">
        <v>139.19999999999999</v>
      </c>
      <c r="M830">
        <v>0</v>
      </c>
      <c r="O830">
        <v>98.5</v>
      </c>
      <c r="P830">
        <v>15.05</v>
      </c>
      <c r="Q830">
        <v>6.9820000000000002</v>
      </c>
      <c r="S830">
        <v>6.7409999999999997</v>
      </c>
      <c r="T830">
        <v>0</v>
      </c>
      <c r="U830">
        <v>88.8</v>
      </c>
      <c r="V830">
        <v>991</v>
      </c>
      <c r="W830">
        <v>47.9</v>
      </c>
    </row>
    <row r="831" spans="1:23" x14ac:dyDescent="0.25">
      <c r="A831">
        <v>2006</v>
      </c>
      <c r="B831">
        <v>335</v>
      </c>
      <c r="C831">
        <v>1300</v>
      </c>
      <c r="D831">
        <v>113.7</v>
      </c>
      <c r="E831">
        <v>55.8</v>
      </c>
      <c r="F831">
        <v>8.3800000000000008</v>
      </c>
      <c r="G831">
        <v>8.91</v>
      </c>
      <c r="K831">
        <v>2.6629999999999998</v>
      </c>
      <c r="L831">
        <v>138.4</v>
      </c>
      <c r="M831">
        <v>0</v>
      </c>
      <c r="O831">
        <v>127.3</v>
      </c>
      <c r="P831">
        <v>34.99</v>
      </c>
      <c r="Q831">
        <v>6.9960000000000004</v>
      </c>
      <c r="S831">
        <v>6.7290000000000001</v>
      </c>
      <c r="T831">
        <v>0</v>
      </c>
      <c r="U831">
        <v>93.3</v>
      </c>
      <c r="V831">
        <v>990</v>
      </c>
      <c r="W831">
        <v>47.8</v>
      </c>
    </row>
    <row r="832" spans="1:23" x14ac:dyDescent="0.25">
      <c r="A832">
        <v>2006</v>
      </c>
      <c r="B832">
        <v>335</v>
      </c>
      <c r="C832">
        <v>1400</v>
      </c>
      <c r="D832">
        <v>113.2</v>
      </c>
      <c r="E832">
        <v>66.56</v>
      </c>
      <c r="F832">
        <v>9.59</v>
      </c>
      <c r="G832">
        <v>9.8800000000000008</v>
      </c>
      <c r="K832">
        <v>3.032</v>
      </c>
      <c r="L832">
        <v>158.5</v>
      </c>
      <c r="M832">
        <v>0</v>
      </c>
      <c r="O832">
        <v>130</v>
      </c>
      <c r="P832">
        <v>33.299999999999997</v>
      </c>
      <c r="Q832">
        <v>7.02</v>
      </c>
      <c r="S832">
        <v>6.6459999999999999</v>
      </c>
      <c r="T832">
        <v>0</v>
      </c>
      <c r="U832">
        <v>96.4</v>
      </c>
      <c r="V832">
        <v>990</v>
      </c>
      <c r="W832">
        <v>47.75</v>
      </c>
    </row>
    <row r="833" spans="1:23" x14ac:dyDescent="0.25">
      <c r="A833">
        <v>2006</v>
      </c>
      <c r="B833">
        <v>335</v>
      </c>
      <c r="C833">
        <v>1500</v>
      </c>
      <c r="D833">
        <v>31.37</v>
      </c>
      <c r="E833">
        <v>12.34</v>
      </c>
      <c r="F833">
        <v>10.52</v>
      </c>
      <c r="G833">
        <v>10.73</v>
      </c>
      <c r="K833">
        <v>3.6930000000000001</v>
      </c>
      <c r="L833">
        <v>160.5</v>
      </c>
      <c r="M833">
        <v>0.6</v>
      </c>
      <c r="O833">
        <v>31.56</v>
      </c>
      <c r="P833">
        <v>-1.105</v>
      </c>
      <c r="Q833">
        <v>7.14</v>
      </c>
      <c r="S833">
        <v>6.6310000000000002</v>
      </c>
      <c r="T833">
        <v>0</v>
      </c>
      <c r="U833">
        <v>97.6</v>
      </c>
      <c r="V833">
        <v>989</v>
      </c>
      <c r="W833">
        <v>47.62</v>
      </c>
    </row>
    <row r="834" spans="1:23" x14ac:dyDescent="0.25">
      <c r="A834">
        <v>2006</v>
      </c>
      <c r="B834">
        <v>335</v>
      </c>
      <c r="C834">
        <v>1600</v>
      </c>
      <c r="D834">
        <v>5.9160000000000004</v>
      </c>
      <c r="E834">
        <v>-4.9980000000000002</v>
      </c>
      <c r="F834">
        <v>10.3</v>
      </c>
      <c r="G834">
        <v>10.48</v>
      </c>
      <c r="K834">
        <v>3.9420000000000002</v>
      </c>
      <c r="L834">
        <v>175.4</v>
      </c>
      <c r="M834">
        <v>1.2</v>
      </c>
      <c r="O834">
        <v>-1.375</v>
      </c>
      <c r="P834">
        <v>-8.4700000000000006</v>
      </c>
      <c r="Q834">
        <v>7.27</v>
      </c>
      <c r="S834">
        <v>6.6029999999999998</v>
      </c>
      <c r="T834">
        <v>0</v>
      </c>
      <c r="U834">
        <v>97.8</v>
      </c>
      <c r="V834">
        <v>990</v>
      </c>
      <c r="W834">
        <v>47.72</v>
      </c>
    </row>
    <row r="835" spans="1:23" x14ac:dyDescent="0.25">
      <c r="A835">
        <v>2006</v>
      </c>
      <c r="B835">
        <v>335</v>
      </c>
      <c r="C835">
        <v>1700</v>
      </c>
      <c r="D835">
        <v>-4.9000000000000002E-2</v>
      </c>
      <c r="E835">
        <v>-42.16</v>
      </c>
      <c r="F835">
        <v>9.06</v>
      </c>
      <c r="G835">
        <v>9.68</v>
      </c>
      <c r="K835">
        <v>3.6480000000000001</v>
      </c>
      <c r="L835">
        <v>207.2</v>
      </c>
      <c r="M835">
        <v>0</v>
      </c>
      <c r="O835">
        <v>-8.7200000000000006</v>
      </c>
      <c r="P835">
        <v>-10.039999999999999</v>
      </c>
      <c r="Q835">
        <v>7.38</v>
      </c>
      <c r="S835">
        <v>6.5659999999999998</v>
      </c>
      <c r="T835">
        <v>0</v>
      </c>
      <c r="U835">
        <v>92.5</v>
      </c>
      <c r="V835">
        <v>990</v>
      </c>
      <c r="W835">
        <v>47.71</v>
      </c>
    </row>
    <row r="836" spans="1:23" x14ac:dyDescent="0.25">
      <c r="A836">
        <v>2006</v>
      </c>
      <c r="B836">
        <v>335</v>
      </c>
      <c r="C836">
        <v>1800</v>
      </c>
      <c r="D836">
        <v>-2.3769999999999998</v>
      </c>
      <c r="E836">
        <v>-40.04</v>
      </c>
      <c r="F836">
        <v>8.8000000000000007</v>
      </c>
      <c r="G836">
        <v>9.24</v>
      </c>
      <c r="K836">
        <v>4.032</v>
      </c>
      <c r="L836">
        <v>216.2</v>
      </c>
      <c r="M836">
        <v>0</v>
      </c>
      <c r="O836">
        <v>-11.5</v>
      </c>
      <c r="P836">
        <v>-10.84</v>
      </c>
      <c r="Q836">
        <v>7.4</v>
      </c>
      <c r="S836">
        <v>6.5590000000000002</v>
      </c>
      <c r="T836">
        <v>0</v>
      </c>
      <c r="U836">
        <v>94.5</v>
      </c>
      <c r="V836">
        <v>990</v>
      </c>
      <c r="W836">
        <v>47.72</v>
      </c>
    </row>
    <row r="837" spans="1:23" x14ac:dyDescent="0.25">
      <c r="A837">
        <v>2006</v>
      </c>
      <c r="B837">
        <v>335</v>
      </c>
      <c r="C837">
        <v>1900</v>
      </c>
      <c r="D837">
        <v>-2.2469999999999999</v>
      </c>
      <c r="E837">
        <v>-39.53</v>
      </c>
      <c r="F837">
        <v>8.25</v>
      </c>
      <c r="G837">
        <v>8.56</v>
      </c>
      <c r="K837">
        <v>3.4359999999999999</v>
      </c>
      <c r="L837">
        <v>235.6</v>
      </c>
      <c r="M837">
        <v>0</v>
      </c>
      <c r="O837">
        <v>-11.5</v>
      </c>
      <c r="P837">
        <v>-10.84</v>
      </c>
      <c r="Q837">
        <v>7.34</v>
      </c>
      <c r="S837">
        <v>6.5640000000000001</v>
      </c>
      <c r="T837">
        <v>0</v>
      </c>
      <c r="U837">
        <v>96.1</v>
      </c>
      <c r="V837">
        <v>990</v>
      </c>
      <c r="W837">
        <v>47.71</v>
      </c>
    </row>
    <row r="838" spans="1:23" x14ac:dyDescent="0.25">
      <c r="A838">
        <v>2006</v>
      </c>
      <c r="B838">
        <v>335</v>
      </c>
      <c r="C838">
        <v>2000</v>
      </c>
      <c r="D838">
        <v>-2.5640000000000001</v>
      </c>
      <c r="E838">
        <v>-48.83</v>
      </c>
      <c r="F838">
        <v>7.31</v>
      </c>
      <c r="G838">
        <v>7.66</v>
      </c>
      <c r="K838">
        <v>3.484</v>
      </c>
      <c r="L838">
        <v>231.2</v>
      </c>
      <c r="M838">
        <v>0</v>
      </c>
      <c r="O838">
        <v>-11.5</v>
      </c>
      <c r="P838">
        <v>-10.84</v>
      </c>
      <c r="Q838">
        <v>7.29</v>
      </c>
      <c r="S838">
        <v>6.5819999999999999</v>
      </c>
      <c r="T838">
        <v>0</v>
      </c>
      <c r="U838">
        <v>95.4</v>
      </c>
      <c r="V838">
        <v>989</v>
      </c>
      <c r="W838">
        <v>47.62</v>
      </c>
    </row>
    <row r="839" spans="1:23" x14ac:dyDescent="0.25">
      <c r="A839">
        <v>2006</v>
      </c>
      <c r="B839">
        <v>335</v>
      </c>
      <c r="C839">
        <v>2100</v>
      </c>
      <c r="D839">
        <v>-2.4020000000000001</v>
      </c>
      <c r="E839">
        <v>-40.25</v>
      </c>
      <c r="F839">
        <v>6.923</v>
      </c>
      <c r="G839">
        <v>7.15</v>
      </c>
      <c r="K839">
        <v>3.5259999999999998</v>
      </c>
      <c r="L839">
        <v>234.7</v>
      </c>
      <c r="M839">
        <v>0</v>
      </c>
      <c r="O839">
        <v>-11.5</v>
      </c>
      <c r="P839">
        <v>-10.84</v>
      </c>
      <c r="Q839">
        <v>7.18</v>
      </c>
      <c r="S839">
        <v>6.6219999999999999</v>
      </c>
      <c r="T839">
        <v>0</v>
      </c>
      <c r="U839">
        <v>96.9</v>
      </c>
      <c r="V839">
        <v>988</v>
      </c>
      <c r="W839">
        <v>47.54</v>
      </c>
    </row>
    <row r="840" spans="1:23" x14ac:dyDescent="0.25">
      <c r="A840">
        <v>2006</v>
      </c>
      <c r="B840">
        <v>335</v>
      </c>
      <c r="C840">
        <v>2200</v>
      </c>
      <c r="D840">
        <v>-1.9690000000000001</v>
      </c>
      <c r="E840">
        <v>-34.76</v>
      </c>
      <c r="F840">
        <v>6.3019999999999996</v>
      </c>
      <c r="G840">
        <v>6.5730000000000004</v>
      </c>
      <c r="K840">
        <v>4.0620000000000003</v>
      </c>
      <c r="L840">
        <v>235.3</v>
      </c>
      <c r="M840">
        <v>0</v>
      </c>
      <c r="O840">
        <v>-11.49</v>
      </c>
      <c r="P840">
        <v>-10.82</v>
      </c>
      <c r="Q840">
        <v>7.02</v>
      </c>
      <c r="S840">
        <v>6.5549999999999997</v>
      </c>
      <c r="T840">
        <v>0</v>
      </c>
      <c r="U840">
        <v>96.3</v>
      </c>
      <c r="V840">
        <v>989</v>
      </c>
      <c r="W840">
        <v>47.62</v>
      </c>
    </row>
    <row r="841" spans="1:23" x14ac:dyDescent="0.25">
      <c r="A841">
        <v>2006</v>
      </c>
      <c r="B841">
        <v>335</v>
      </c>
      <c r="C841">
        <v>2300</v>
      </c>
      <c r="D841">
        <v>-1.698</v>
      </c>
      <c r="E841">
        <v>-34.869999999999997</v>
      </c>
      <c r="F841">
        <v>5.6280000000000001</v>
      </c>
      <c r="G841">
        <v>6.0209999999999999</v>
      </c>
      <c r="K841">
        <v>3.819</v>
      </c>
      <c r="L841">
        <v>240</v>
      </c>
      <c r="M841">
        <v>0</v>
      </c>
      <c r="O841">
        <v>-11.47</v>
      </c>
      <c r="P841">
        <v>-10.8</v>
      </c>
      <c r="Q841">
        <v>6.8739999999999997</v>
      </c>
      <c r="S841">
        <v>6.5110000000000001</v>
      </c>
      <c r="T841">
        <v>0</v>
      </c>
      <c r="U841">
        <v>94.5</v>
      </c>
      <c r="V841">
        <v>989</v>
      </c>
      <c r="W841">
        <v>47.64</v>
      </c>
    </row>
    <row r="842" spans="1:23" x14ac:dyDescent="0.25">
      <c r="A842">
        <v>2006</v>
      </c>
      <c r="B842">
        <v>335</v>
      </c>
      <c r="C842">
        <v>2400</v>
      </c>
      <c r="D842">
        <v>-2.6909999999999998</v>
      </c>
      <c r="E842">
        <v>-51.06</v>
      </c>
      <c r="F842">
        <v>5.1680000000000001</v>
      </c>
      <c r="G842">
        <v>5.4359999999999999</v>
      </c>
      <c r="K842">
        <v>3.089</v>
      </c>
      <c r="L842">
        <v>225.8</v>
      </c>
      <c r="M842">
        <v>0</v>
      </c>
      <c r="O842">
        <v>-11.44</v>
      </c>
      <c r="P842">
        <v>-10.72</v>
      </c>
      <c r="Q842">
        <v>6.734</v>
      </c>
      <c r="S842">
        <v>6.423</v>
      </c>
      <c r="T842">
        <v>0</v>
      </c>
      <c r="U842">
        <v>96.2</v>
      </c>
      <c r="V842">
        <v>962</v>
      </c>
      <c r="W842">
        <v>44.88</v>
      </c>
    </row>
    <row r="843" spans="1:23" x14ac:dyDescent="0.25">
      <c r="A843">
        <v>2006</v>
      </c>
      <c r="B843">
        <v>335</v>
      </c>
      <c r="C843">
        <v>2400</v>
      </c>
      <c r="D843">
        <v>18.96</v>
      </c>
      <c r="E843">
        <v>-19.66</v>
      </c>
      <c r="F843">
        <v>7.55</v>
      </c>
      <c r="G843">
        <v>7.95</v>
      </c>
      <c r="K843">
        <v>3.246</v>
      </c>
      <c r="L843">
        <v>212.9</v>
      </c>
      <c r="M843">
        <v>1.8</v>
      </c>
      <c r="O843">
        <v>14.74</v>
      </c>
      <c r="P843">
        <v>-3.3879999999999999</v>
      </c>
      <c r="Q843">
        <v>7.6</v>
      </c>
      <c r="S843">
        <v>6.8440000000000003</v>
      </c>
      <c r="T843">
        <v>0</v>
      </c>
      <c r="U843">
        <v>94.9</v>
      </c>
      <c r="V843">
        <v>987</v>
      </c>
      <c r="W843">
        <v>47.54</v>
      </c>
    </row>
    <row r="844" spans="1:23" x14ac:dyDescent="0.25">
      <c r="A844">
        <v>2006</v>
      </c>
      <c r="B844">
        <v>336</v>
      </c>
      <c r="C844">
        <v>100</v>
      </c>
      <c r="D844">
        <v>-2.9990000000000001</v>
      </c>
      <c r="E844">
        <v>-51.57</v>
      </c>
      <c r="F844">
        <v>4.7889999999999997</v>
      </c>
      <c r="G844">
        <v>5.0549999999999997</v>
      </c>
      <c r="K844">
        <v>2.093</v>
      </c>
      <c r="L844">
        <v>212.5</v>
      </c>
      <c r="M844">
        <v>0</v>
      </c>
      <c r="O844">
        <v>-11.29</v>
      </c>
      <c r="P844">
        <v>-10.62</v>
      </c>
      <c r="Q844">
        <v>6.5750000000000002</v>
      </c>
      <c r="S844">
        <v>6.3840000000000003</v>
      </c>
      <c r="T844">
        <v>0</v>
      </c>
      <c r="U844">
        <v>96.1</v>
      </c>
      <c r="V844">
        <v>950</v>
      </c>
      <c r="W844">
        <v>43.58</v>
      </c>
    </row>
    <row r="845" spans="1:23" x14ac:dyDescent="0.25">
      <c r="A845">
        <v>2006</v>
      </c>
      <c r="B845">
        <v>336</v>
      </c>
      <c r="C845">
        <v>200</v>
      </c>
      <c r="D845">
        <v>-2.891</v>
      </c>
      <c r="E845">
        <v>-47.88</v>
      </c>
      <c r="F845">
        <v>5.0620000000000003</v>
      </c>
      <c r="G845">
        <v>5.548</v>
      </c>
      <c r="K845">
        <v>2.609</v>
      </c>
      <c r="L845">
        <v>208.3</v>
      </c>
      <c r="M845">
        <v>0</v>
      </c>
      <c r="O845">
        <v>-11.21</v>
      </c>
      <c r="P845">
        <v>-10.51</v>
      </c>
      <c r="Q845">
        <v>6.4089999999999998</v>
      </c>
      <c r="S845">
        <v>6.3659999999999997</v>
      </c>
      <c r="T845">
        <v>0</v>
      </c>
      <c r="U845">
        <v>93.1</v>
      </c>
      <c r="V845">
        <v>945</v>
      </c>
      <c r="W845">
        <v>43.16</v>
      </c>
    </row>
    <row r="846" spans="1:23" x14ac:dyDescent="0.25">
      <c r="A846">
        <v>2006</v>
      </c>
      <c r="B846">
        <v>336</v>
      </c>
      <c r="C846">
        <v>300</v>
      </c>
      <c r="D846">
        <v>-2.7850000000000001</v>
      </c>
      <c r="E846">
        <v>-46.95</v>
      </c>
      <c r="F846">
        <v>5.3090000000000002</v>
      </c>
      <c r="G846">
        <v>5.7</v>
      </c>
      <c r="K846">
        <v>3.153</v>
      </c>
      <c r="L846">
        <v>207</v>
      </c>
      <c r="M846">
        <v>0</v>
      </c>
      <c r="O846">
        <v>-11.19</v>
      </c>
      <c r="P846">
        <v>-10.51</v>
      </c>
      <c r="Q846">
        <v>6.2480000000000002</v>
      </c>
      <c r="S846">
        <v>6.2889999999999997</v>
      </c>
      <c r="T846">
        <v>0</v>
      </c>
      <c r="U846">
        <v>94.5</v>
      </c>
      <c r="V846">
        <v>939</v>
      </c>
      <c r="W846">
        <v>42.63</v>
      </c>
    </row>
    <row r="847" spans="1:23" x14ac:dyDescent="0.25">
      <c r="A847">
        <v>2006</v>
      </c>
      <c r="B847">
        <v>336</v>
      </c>
      <c r="C847">
        <v>400</v>
      </c>
      <c r="D847">
        <v>-2.74</v>
      </c>
      <c r="E847">
        <v>-46.08</v>
      </c>
      <c r="F847">
        <v>5.4569999999999999</v>
      </c>
      <c r="G847">
        <v>5.8019999999999996</v>
      </c>
      <c r="K847">
        <v>3.0790000000000002</v>
      </c>
      <c r="L847">
        <v>202</v>
      </c>
      <c r="M847">
        <v>0</v>
      </c>
      <c r="O847">
        <v>-11.22</v>
      </c>
      <c r="P847">
        <v>-10.51</v>
      </c>
      <c r="Q847">
        <v>6.0940000000000003</v>
      </c>
      <c r="S847">
        <v>6.2050000000000001</v>
      </c>
      <c r="T847">
        <v>0</v>
      </c>
      <c r="U847">
        <v>95.1</v>
      </c>
      <c r="V847">
        <v>936</v>
      </c>
      <c r="W847">
        <v>42.3</v>
      </c>
    </row>
    <row r="848" spans="1:23" x14ac:dyDescent="0.25">
      <c r="A848">
        <v>2006</v>
      </c>
      <c r="B848">
        <v>336</v>
      </c>
      <c r="C848">
        <v>500</v>
      </c>
      <c r="D848">
        <v>-2.59</v>
      </c>
      <c r="E848">
        <v>-44.8</v>
      </c>
      <c r="F848">
        <v>5.6260000000000003</v>
      </c>
      <c r="G848">
        <v>5.9480000000000004</v>
      </c>
      <c r="K848">
        <v>3.544</v>
      </c>
      <c r="L848">
        <v>203.9</v>
      </c>
      <c r="M848">
        <v>0</v>
      </c>
      <c r="O848">
        <v>-11.21</v>
      </c>
      <c r="P848">
        <v>-10.48</v>
      </c>
      <c r="Q848">
        <v>5.9550000000000001</v>
      </c>
      <c r="S848">
        <v>6.1349999999999998</v>
      </c>
      <c r="T848">
        <v>0</v>
      </c>
      <c r="U848">
        <v>95.5</v>
      </c>
      <c r="V848">
        <v>932</v>
      </c>
      <c r="W848">
        <v>41.97</v>
      </c>
    </row>
    <row r="849" spans="1:23" x14ac:dyDescent="0.25">
      <c r="A849">
        <v>2006</v>
      </c>
      <c r="B849">
        <v>336</v>
      </c>
      <c r="C849">
        <v>600</v>
      </c>
      <c r="D849">
        <v>-2.4289999999999998</v>
      </c>
      <c r="E849">
        <v>-41.25</v>
      </c>
      <c r="F849">
        <v>5.9669999999999996</v>
      </c>
      <c r="G849">
        <v>6.32</v>
      </c>
      <c r="K849">
        <v>3.593</v>
      </c>
      <c r="L849">
        <v>204.6</v>
      </c>
      <c r="M849">
        <v>0</v>
      </c>
      <c r="O849">
        <v>-11.19</v>
      </c>
      <c r="P849">
        <v>-10.47</v>
      </c>
      <c r="Q849">
        <v>5.8259999999999996</v>
      </c>
      <c r="S849">
        <v>6.0410000000000004</v>
      </c>
      <c r="T849">
        <v>0</v>
      </c>
      <c r="U849">
        <v>95.1</v>
      </c>
      <c r="V849">
        <v>928</v>
      </c>
      <c r="W849">
        <v>41.68</v>
      </c>
    </row>
    <row r="850" spans="1:23" x14ac:dyDescent="0.25">
      <c r="A850">
        <v>2006</v>
      </c>
      <c r="B850">
        <v>336</v>
      </c>
      <c r="C850">
        <v>700</v>
      </c>
      <c r="D850">
        <v>-2.3050000000000002</v>
      </c>
      <c r="E850">
        <v>-37.07</v>
      </c>
      <c r="F850">
        <v>6.1769999999999996</v>
      </c>
      <c r="G850">
        <v>6.5220000000000002</v>
      </c>
      <c r="K850">
        <v>3.1739999999999999</v>
      </c>
      <c r="L850">
        <v>204.9</v>
      </c>
      <c r="M850">
        <v>0</v>
      </c>
      <c r="O850">
        <v>-11.31</v>
      </c>
      <c r="P850">
        <v>-10.58</v>
      </c>
      <c r="Q850">
        <v>5.73</v>
      </c>
      <c r="S850">
        <v>5.9379999999999997</v>
      </c>
      <c r="T850">
        <v>0</v>
      </c>
      <c r="U850">
        <v>95.3</v>
      </c>
      <c r="V850">
        <v>926</v>
      </c>
      <c r="W850">
        <v>41.51</v>
      </c>
    </row>
    <row r="851" spans="1:23" x14ac:dyDescent="0.25">
      <c r="A851">
        <v>2006</v>
      </c>
      <c r="B851">
        <v>336</v>
      </c>
      <c r="C851">
        <v>800</v>
      </c>
      <c r="D851">
        <v>-2.6</v>
      </c>
      <c r="E851">
        <v>-44.38</v>
      </c>
      <c r="F851">
        <v>6.3529999999999998</v>
      </c>
      <c r="G851">
        <v>6.6580000000000004</v>
      </c>
      <c r="K851">
        <v>3.4460000000000002</v>
      </c>
      <c r="L851">
        <v>205</v>
      </c>
      <c r="M851">
        <v>0</v>
      </c>
      <c r="O851">
        <v>-11.22</v>
      </c>
      <c r="P851">
        <v>-10.54</v>
      </c>
      <c r="Q851">
        <v>5.6630000000000003</v>
      </c>
      <c r="S851">
        <v>5.8949999999999996</v>
      </c>
      <c r="T851">
        <v>0</v>
      </c>
      <c r="U851">
        <v>95.8</v>
      </c>
      <c r="V851">
        <v>924</v>
      </c>
      <c r="W851">
        <v>41.32</v>
      </c>
    </row>
    <row r="852" spans="1:23" x14ac:dyDescent="0.25">
      <c r="A852">
        <v>2006</v>
      </c>
      <c r="B852">
        <v>336</v>
      </c>
      <c r="C852">
        <v>900</v>
      </c>
      <c r="D852">
        <v>5.2320000000000002</v>
      </c>
      <c r="E852">
        <v>-38.17</v>
      </c>
      <c r="F852">
        <v>6.2389999999999999</v>
      </c>
      <c r="G852">
        <v>6.516</v>
      </c>
      <c r="H852">
        <f>AVERAGE(G852:G876)</f>
        <v>8.4252000000000002</v>
      </c>
      <c r="I852">
        <f>MIN(G852:G876)</f>
        <v>5.468</v>
      </c>
      <c r="J852">
        <f>MAX(G852:G876)</f>
        <v>11.3</v>
      </c>
      <c r="K852">
        <v>3.1560000000000001</v>
      </c>
      <c r="L852">
        <v>205.2</v>
      </c>
      <c r="M852">
        <v>0</v>
      </c>
      <c r="N852">
        <f>SUM(M852:M876)</f>
        <v>19.399999999999995</v>
      </c>
      <c r="O852">
        <v>-2.286</v>
      </c>
      <c r="P852">
        <v>-7.95</v>
      </c>
      <c r="Q852">
        <v>5.61</v>
      </c>
      <c r="S852">
        <v>5.8040000000000003</v>
      </c>
      <c r="T852">
        <v>0</v>
      </c>
      <c r="U852">
        <v>96.2</v>
      </c>
      <c r="V852">
        <v>921</v>
      </c>
      <c r="W852">
        <v>41.07</v>
      </c>
    </row>
    <row r="853" spans="1:23" x14ac:dyDescent="0.25">
      <c r="A853">
        <v>2006</v>
      </c>
      <c r="B853">
        <v>336</v>
      </c>
      <c r="C853">
        <v>1000</v>
      </c>
      <c r="D853">
        <v>61.52</v>
      </c>
      <c r="E853">
        <v>-9.18</v>
      </c>
      <c r="F853">
        <v>6.4649999999999999</v>
      </c>
      <c r="G853">
        <v>6.8650000000000002</v>
      </c>
      <c r="K853">
        <v>3.456</v>
      </c>
      <c r="L853">
        <v>216.9</v>
      </c>
      <c r="M853">
        <v>0</v>
      </c>
      <c r="O853">
        <v>51.44</v>
      </c>
      <c r="P853">
        <v>16.329999999999998</v>
      </c>
      <c r="Q853">
        <v>5.5430000000000001</v>
      </c>
      <c r="S853">
        <v>5.7949999999999999</v>
      </c>
      <c r="T853">
        <v>0</v>
      </c>
      <c r="U853">
        <v>94.6</v>
      </c>
      <c r="V853">
        <v>917</v>
      </c>
      <c r="W853">
        <v>40.78</v>
      </c>
    </row>
    <row r="854" spans="1:23" x14ac:dyDescent="0.25">
      <c r="A854">
        <v>2006</v>
      </c>
      <c r="B854">
        <v>336</v>
      </c>
      <c r="C854">
        <v>1100</v>
      </c>
      <c r="D854">
        <v>108.8</v>
      </c>
      <c r="E854">
        <v>40.479999999999997</v>
      </c>
      <c r="F854">
        <v>7.1</v>
      </c>
      <c r="G854">
        <v>7.53</v>
      </c>
      <c r="K854">
        <v>4.109</v>
      </c>
      <c r="L854">
        <v>227.2</v>
      </c>
      <c r="M854">
        <v>0</v>
      </c>
      <c r="O854">
        <v>118.7</v>
      </c>
      <c r="P854">
        <v>45.16</v>
      </c>
      <c r="Q854">
        <v>5.5359999999999996</v>
      </c>
      <c r="S854">
        <v>5.758</v>
      </c>
      <c r="T854">
        <v>0</v>
      </c>
      <c r="U854">
        <v>94.3</v>
      </c>
      <c r="V854">
        <v>916</v>
      </c>
      <c r="W854">
        <v>40.659999999999997</v>
      </c>
    </row>
    <row r="855" spans="1:23" x14ac:dyDescent="0.25">
      <c r="A855">
        <v>2006</v>
      </c>
      <c r="B855">
        <v>336</v>
      </c>
      <c r="C855">
        <v>1200</v>
      </c>
      <c r="D855">
        <v>170.6</v>
      </c>
      <c r="E855">
        <v>112.1</v>
      </c>
      <c r="F855">
        <v>7.52</v>
      </c>
      <c r="G855">
        <v>7.86</v>
      </c>
      <c r="K855">
        <v>4.3730000000000002</v>
      </c>
      <c r="L855">
        <v>229.2</v>
      </c>
      <c r="M855">
        <v>0</v>
      </c>
      <c r="O855">
        <v>196.8</v>
      </c>
      <c r="P855">
        <v>88.9</v>
      </c>
      <c r="Q855">
        <v>5.5880000000000001</v>
      </c>
      <c r="S855">
        <v>5.6989999999999998</v>
      </c>
      <c r="T855">
        <v>0</v>
      </c>
      <c r="U855">
        <v>95.6</v>
      </c>
      <c r="V855">
        <v>914</v>
      </c>
      <c r="W855">
        <v>40.49</v>
      </c>
    </row>
    <row r="856" spans="1:23" x14ac:dyDescent="0.25">
      <c r="A856">
        <v>2006</v>
      </c>
      <c r="B856">
        <v>336</v>
      </c>
      <c r="C856">
        <v>1300</v>
      </c>
      <c r="D856">
        <v>179</v>
      </c>
      <c r="E856">
        <v>121.5</v>
      </c>
      <c r="F856">
        <v>7.88</v>
      </c>
      <c r="G856">
        <v>8.18</v>
      </c>
      <c r="K856">
        <v>3.9420000000000002</v>
      </c>
      <c r="L856">
        <v>224.2</v>
      </c>
      <c r="M856">
        <v>0</v>
      </c>
      <c r="O856">
        <v>205.8</v>
      </c>
      <c r="P856">
        <v>97.6</v>
      </c>
      <c r="Q856">
        <v>5.694</v>
      </c>
      <c r="S856">
        <v>5.6550000000000002</v>
      </c>
      <c r="T856">
        <v>0</v>
      </c>
      <c r="U856">
        <v>96.1</v>
      </c>
      <c r="V856">
        <v>912</v>
      </c>
      <c r="W856">
        <v>40.33</v>
      </c>
    </row>
    <row r="857" spans="1:23" x14ac:dyDescent="0.25">
      <c r="A857">
        <v>2006</v>
      </c>
      <c r="B857">
        <v>336</v>
      </c>
      <c r="C857">
        <v>1400</v>
      </c>
      <c r="D857">
        <v>113.7</v>
      </c>
      <c r="E857">
        <v>63.9</v>
      </c>
      <c r="F857">
        <v>8</v>
      </c>
      <c r="G857">
        <v>8.25</v>
      </c>
      <c r="K857">
        <v>3.1080000000000001</v>
      </c>
      <c r="L857">
        <v>215.8</v>
      </c>
      <c r="M857">
        <v>0</v>
      </c>
      <c r="O857">
        <v>122.1</v>
      </c>
      <c r="P857">
        <v>50.85</v>
      </c>
      <c r="Q857">
        <v>5.8540000000000001</v>
      </c>
      <c r="S857">
        <v>5.6580000000000004</v>
      </c>
      <c r="T857">
        <v>0</v>
      </c>
      <c r="U857">
        <v>96.8</v>
      </c>
      <c r="V857">
        <v>910</v>
      </c>
      <c r="W857">
        <v>40.200000000000003</v>
      </c>
    </row>
    <row r="858" spans="1:23" x14ac:dyDescent="0.25">
      <c r="A858">
        <v>2006</v>
      </c>
      <c r="B858">
        <v>336</v>
      </c>
      <c r="C858">
        <v>1500</v>
      </c>
      <c r="D858">
        <v>53.46</v>
      </c>
      <c r="E858">
        <v>6.702</v>
      </c>
      <c r="F858">
        <v>7.73</v>
      </c>
      <c r="G858">
        <v>8</v>
      </c>
      <c r="K858">
        <v>3.0310000000000001</v>
      </c>
      <c r="L858">
        <v>206.1</v>
      </c>
      <c r="M858">
        <v>0</v>
      </c>
      <c r="O858">
        <v>52.17</v>
      </c>
      <c r="P858">
        <v>11.46</v>
      </c>
      <c r="Q858">
        <v>5.9539999999999997</v>
      </c>
      <c r="S858">
        <v>5.6539999999999999</v>
      </c>
      <c r="T858">
        <v>0</v>
      </c>
      <c r="U858">
        <v>96.4</v>
      </c>
      <c r="V858">
        <v>909</v>
      </c>
      <c r="W858">
        <v>40.119999999999997</v>
      </c>
    </row>
    <row r="859" spans="1:23" x14ac:dyDescent="0.25">
      <c r="A859">
        <v>2006</v>
      </c>
      <c r="B859">
        <v>336</v>
      </c>
      <c r="C859">
        <v>1600</v>
      </c>
      <c r="D859">
        <v>12.03</v>
      </c>
      <c r="E859">
        <v>-18.07</v>
      </c>
      <c r="F859">
        <v>7.39</v>
      </c>
      <c r="G859">
        <v>7.73</v>
      </c>
      <c r="K859">
        <v>3.089</v>
      </c>
      <c r="L859">
        <v>198.6</v>
      </c>
      <c r="M859">
        <v>0</v>
      </c>
      <c r="O859">
        <v>5.7519999999999998</v>
      </c>
      <c r="P859">
        <v>-6.8129999999999997</v>
      </c>
      <c r="Q859">
        <v>5.9770000000000003</v>
      </c>
      <c r="S859">
        <v>5.6529999999999996</v>
      </c>
      <c r="T859">
        <v>0</v>
      </c>
      <c r="U859">
        <v>95.5</v>
      </c>
      <c r="V859">
        <v>907</v>
      </c>
      <c r="W859">
        <v>39.979999999999997</v>
      </c>
    </row>
    <row r="860" spans="1:23" x14ac:dyDescent="0.25">
      <c r="A860">
        <v>2006</v>
      </c>
      <c r="B860">
        <v>336</v>
      </c>
      <c r="C860">
        <v>1700</v>
      </c>
      <c r="D860">
        <v>-1.0629999999999999</v>
      </c>
      <c r="E860">
        <v>-18.66</v>
      </c>
      <c r="F860">
        <v>7.56</v>
      </c>
      <c r="G860">
        <v>7.97</v>
      </c>
      <c r="K860">
        <v>2.9990000000000001</v>
      </c>
      <c r="L860">
        <v>190.4</v>
      </c>
      <c r="M860">
        <v>0</v>
      </c>
      <c r="O860">
        <v>-10.96</v>
      </c>
      <c r="P860">
        <v>-10.67</v>
      </c>
      <c r="Q860">
        <v>6.0309999999999997</v>
      </c>
      <c r="S860">
        <v>5.7080000000000002</v>
      </c>
      <c r="T860">
        <v>0</v>
      </c>
      <c r="U860">
        <v>94.7</v>
      </c>
      <c r="V860">
        <v>906</v>
      </c>
      <c r="W860">
        <v>39.89</v>
      </c>
    </row>
    <row r="861" spans="1:23" x14ac:dyDescent="0.25">
      <c r="A861">
        <v>2006</v>
      </c>
      <c r="B861">
        <v>336</v>
      </c>
      <c r="C861">
        <v>1800</v>
      </c>
      <c r="D861">
        <v>-1.141</v>
      </c>
      <c r="E861">
        <v>-11.76</v>
      </c>
      <c r="F861">
        <v>8</v>
      </c>
      <c r="G861">
        <v>8.41</v>
      </c>
      <c r="K861">
        <v>2.867</v>
      </c>
      <c r="L861">
        <v>169.2</v>
      </c>
      <c r="M861">
        <v>0</v>
      </c>
      <c r="O861">
        <v>-11.5</v>
      </c>
      <c r="P861">
        <v>-10.84</v>
      </c>
      <c r="Q861">
        <v>6.0549999999999997</v>
      </c>
      <c r="S861">
        <v>5.7359999999999998</v>
      </c>
      <c r="T861">
        <v>0</v>
      </c>
      <c r="U861">
        <v>94.8</v>
      </c>
      <c r="V861">
        <v>905</v>
      </c>
      <c r="W861">
        <v>39.82</v>
      </c>
    </row>
    <row r="862" spans="1:23" x14ac:dyDescent="0.25">
      <c r="A862">
        <v>2006</v>
      </c>
      <c r="B862">
        <v>336</v>
      </c>
      <c r="C862">
        <v>1900</v>
      </c>
      <c r="D862">
        <v>-1.486</v>
      </c>
      <c r="E862">
        <v>-8.32</v>
      </c>
      <c r="F862">
        <v>8.32</v>
      </c>
      <c r="G862">
        <v>8.5399999999999991</v>
      </c>
      <c r="K862">
        <v>3.5289999999999999</v>
      </c>
      <c r="L862">
        <v>172.4</v>
      </c>
      <c r="M862">
        <v>0.4</v>
      </c>
      <c r="O862">
        <v>-11.5</v>
      </c>
      <c r="P862">
        <v>-10.84</v>
      </c>
      <c r="Q862">
        <v>6.0389999999999997</v>
      </c>
      <c r="S862">
        <v>5.7190000000000003</v>
      </c>
      <c r="T862">
        <v>0</v>
      </c>
      <c r="U862">
        <v>97.3</v>
      </c>
      <c r="V862">
        <v>906</v>
      </c>
      <c r="W862">
        <v>39.880000000000003</v>
      </c>
    </row>
    <row r="863" spans="1:23" x14ac:dyDescent="0.25">
      <c r="A863">
        <v>2006</v>
      </c>
      <c r="B863">
        <v>336</v>
      </c>
      <c r="C863">
        <v>2000</v>
      </c>
      <c r="D863">
        <v>-1.45</v>
      </c>
      <c r="E863">
        <v>-8.8800000000000008</v>
      </c>
      <c r="F863">
        <v>8.17</v>
      </c>
      <c r="G863">
        <v>8.34</v>
      </c>
      <c r="K863">
        <v>3.9470000000000001</v>
      </c>
      <c r="L863">
        <v>163.9</v>
      </c>
      <c r="M863">
        <v>1</v>
      </c>
      <c r="O863">
        <v>-11.5</v>
      </c>
      <c r="P863">
        <v>-10.84</v>
      </c>
      <c r="Q863">
        <v>6.069</v>
      </c>
      <c r="S863">
        <v>5.7169999999999996</v>
      </c>
      <c r="T863">
        <v>0</v>
      </c>
      <c r="U863">
        <v>97.9</v>
      </c>
      <c r="V863">
        <v>934</v>
      </c>
      <c r="W863">
        <v>42.21</v>
      </c>
    </row>
    <row r="864" spans="1:23" x14ac:dyDescent="0.25">
      <c r="A864">
        <v>2006</v>
      </c>
      <c r="B864">
        <v>336</v>
      </c>
      <c r="C864">
        <v>2100</v>
      </c>
      <c r="D864">
        <v>-1.216</v>
      </c>
      <c r="E864">
        <v>-7.09</v>
      </c>
      <c r="F864">
        <v>8.64</v>
      </c>
      <c r="G864">
        <v>8.92</v>
      </c>
      <c r="K864">
        <v>4.3879999999999999</v>
      </c>
      <c r="L864">
        <v>165.7</v>
      </c>
      <c r="M864">
        <v>0.4</v>
      </c>
      <c r="O864">
        <v>-11.5</v>
      </c>
      <c r="P864">
        <v>-10.84</v>
      </c>
      <c r="Q864">
        <v>6.1619999999999999</v>
      </c>
      <c r="S864">
        <v>5.7309999999999999</v>
      </c>
      <c r="T864">
        <v>0</v>
      </c>
      <c r="U864">
        <v>96.5</v>
      </c>
      <c r="V864">
        <v>959</v>
      </c>
      <c r="W864">
        <v>44.47</v>
      </c>
    </row>
    <row r="865" spans="1:23" x14ac:dyDescent="0.25">
      <c r="A865">
        <v>2006</v>
      </c>
      <c r="B865">
        <v>336</v>
      </c>
      <c r="C865">
        <v>2200</v>
      </c>
      <c r="D865">
        <v>-1.2010000000000001</v>
      </c>
      <c r="E865">
        <v>-6.5430000000000001</v>
      </c>
      <c r="F865">
        <v>9.34</v>
      </c>
      <c r="G865">
        <v>9.61</v>
      </c>
      <c r="K865">
        <v>5.42</v>
      </c>
      <c r="L865">
        <v>169.9</v>
      </c>
      <c r="M865">
        <v>0.8</v>
      </c>
      <c r="O865">
        <v>-11.5</v>
      </c>
      <c r="P865">
        <v>-10.84</v>
      </c>
      <c r="Q865">
        <v>6.2359999999999998</v>
      </c>
      <c r="S865">
        <v>5.7359999999999998</v>
      </c>
      <c r="T865">
        <v>0</v>
      </c>
      <c r="U865">
        <v>96.7</v>
      </c>
      <c r="V865">
        <v>961</v>
      </c>
      <c r="W865">
        <v>44.71</v>
      </c>
    </row>
    <row r="866" spans="1:23" x14ac:dyDescent="0.25">
      <c r="A866">
        <v>2006</v>
      </c>
      <c r="B866">
        <v>336</v>
      </c>
      <c r="C866">
        <v>2300</v>
      </c>
      <c r="D866">
        <v>-1.0640000000000001</v>
      </c>
      <c r="E866">
        <v>-5.3040000000000003</v>
      </c>
      <c r="F866">
        <v>10.039999999999999</v>
      </c>
      <c r="G866">
        <v>10.4</v>
      </c>
      <c r="K866">
        <v>5.2009999999999996</v>
      </c>
      <c r="L866">
        <v>168.9</v>
      </c>
      <c r="M866">
        <v>0.4</v>
      </c>
      <c r="O866">
        <v>-11.5</v>
      </c>
      <c r="P866">
        <v>-10.84</v>
      </c>
      <c r="Q866">
        <v>6.3470000000000004</v>
      </c>
      <c r="S866">
        <v>5.7649999999999997</v>
      </c>
      <c r="T866">
        <v>0</v>
      </c>
      <c r="U866">
        <v>95.8</v>
      </c>
      <c r="V866">
        <v>964</v>
      </c>
      <c r="W866">
        <v>44.98</v>
      </c>
    </row>
    <row r="867" spans="1:23" x14ac:dyDescent="0.25">
      <c r="A867">
        <v>2006</v>
      </c>
      <c r="B867">
        <v>336</v>
      </c>
      <c r="C867">
        <v>2400</v>
      </c>
      <c r="D867">
        <v>-0.76100000000000001</v>
      </c>
      <c r="E867">
        <v>-4.5030000000000001</v>
      </c>
      <c r="F867">
        <v>10.27</v>
      </c>
      <c r="G867">
        <v>10.5</v>
      </c>
      <c r="K867">
        <v>4.5659999999999998</v>
      </c>
      <c r="L867">
        <v>164.7</v>
      </c>
      <c r="M867">
        <v>2.8</v>
      </c>
      <c r="O867">
        <v>-11.5</v>
      </c>
      <c r="P867">
        <v>-10.84</v>
      </c>
      <c r="Q867">
        <v>6.5259999999999998</v>
      </c>
      <c r="S867">
        <v>5.8070000000000004</v>
      </c>
      <c r="T867">
        <v>0</v>
      </c>
      <c r="U867">
        <v>97.2</v>
      </c>
      <c r="V867">
        <v>966</v>
      </c>
      <c r="W867">
        <v>45.14</v>
      </c>
    </row>
    <row r="868" spans="1:23" x14ac:dyDescent="0.25">
      <c r="A868">
        <v>2006</v>
      </c>
      <c r="B868">
        <v>336</v>
      </c>
      <c r="C868">
        <v>2400</v>
      </c>
      <c r="D868">
        <v>28.07</v>
      </c>
      <c r="E868">
        <v>-6.3230000000000004</v>
      </c>
      <c r="F868">
        <v>7.23</v>
      </c>
      <c r="G868">
        <v>7.55</v>
      </c>
      <c r="K868">
        <v>3.5779999999999998</v>
      </c>
      <c r="L868">
        <v>198.4</v>
      </c>
      <c r="M868">
        <v>5.8</v>
      </c>
      <c r="O868">
        <v>23.72</v>
      </c>
      <c r="P868">
        <v>5.2</v>
      </c>
      <c r="Q868">
        <v>5.9880000000000004</v>
      </c>
      <c r="S868">
        <v>5.8689999999999998</v>
      </c>
      <c r="T868">
        <v>0</v>
      </c>
      <c r="U868">
        <v>95.7</v>
      </c>
      <c r="V868">
        <v>929</v>
      </c>
      <c r="W868">
        <v>41.79</v>
      </c>
    </row>
    <row r="869" spans="1:23" x14ac:dyDescent="0.25">
      <c r="A869">
        <v>2006</v>
      </c>
      <c r="B869">
        <v>337</v>
      </c>
      <c r="C869">
        <v>100</v>
      </c>
      <c r="D869">
        <v>-0.57799999999999996</v>
      </c>
      <c r="E869">
        <v>-4.6379999999999999</v>
      </c>
      <c r="F869">
        <v>10.6</v>
      </c>
      <c r="G869">
        <v>10.93</v>
      </c>
      <c r="K869">
        <v>5.8630000000000004</v>
      </c>
      <c r="L869">
        <v>165.1</v>
      </c>
      <c r="M869">
        <v>2.4</v>
      </c>
      <c r="O869">
        <v>-11.5</v>
      </c>
      <c r="P869">
        <v>-10.84</v>
      </c>
      <c r="Q869">
        <v>6.7210000000000001</v>
      </c>
      <c r="S869">
        <v>5.907</v>
      </c>
      <c r="T869">
        <v>0</v>
      </c>
      <c r="U869">
        <v>96.1</v>
      </c>
      <c r="V869">
        <v>967</v>
      </c>
      <c r="W869">
        <v>45.28</v>
      </c>
    </row>
    <row r="870" spans="1:23" x14ac:dyDescent="0.25">
      <c r="A870">
        <v>2006</v>
      </c>
      <c r="B870">
        <v>337</v>
      </c>
      <c r="C870">
        <v>200</v>
      </c>
      <c r="D870">
        <v>-0.54100000000000004</v>
      </c>
      <c r="E870">
        <v>-3.6749999999999998</v>
      </c>
      <c r="F870">
        <v>10.95</v>
      </c>
      <c r="G870">
        <v>11.29</v>
      </c>
      <c r="K870">
        <v>5.8470000000000004</v>
      </c>
      <c r="L870">
        <v>169.6</v>
      </c>
      <c r="M870">
        <v>2.8</v>
      </c>
      <c r="O870">
        <v>-11.5</v>
      </c>
      <c r="P870">
        <v>-10.84</v>
      </c>
      <c r="Q870">
        <v>6.94</v>
      </c>
      <c r="S870">
        <v>6.0190000000000001</v>
      </c>
      <c r="T870">
        <v>0</v>
      </c>
      <c r="U870">
        <v>96</v>
      </c>
      <c r="V870">
        <v>966</v>
      </c>
      <c r="W870">
        <v>45.18</v>
      </c>
    </row>
    <row r="871" spans="1:23" x14ac:dyDescent="0.25">
      <c r="A871">
        <v>2006</v>
      </c>
      <c r="B871">
        <v>337</v>
      </c>
      <c r="C871">
        <v>300</v>
      </c>
      <c r="D871">
        <v>-5.7000000000000002E-2</v>
      </c>
      <c r="E871">
        <v>-11.01</v>
      </c>
      <c r="F871">
        <v>10.71</v>
      </c>
      <c r="G871">
        <v>11.3</v>
      </c>
      <c r="K871">
        <v>4.8579999999999997</v>
      </c>
      <c r="L871">
        <v>185.4</v>
      </c>
      <c r="M871">
        <v>1.2</v>
      </c>
      <c r="O871">
        <v>-11.5</v>
      </c>
      <c r="P871">
        <v>-10.84</v>
      </c>
      <c r="Q871">
        <v>7.17</v>
      </c>
      <c r="S871">
        <v>6.1150000000000002</v>
      </c>
      <c r="T871">
        <v>0</v>
      </c>
      <c r="U871">
        <v>93.2</v>
      </c>
      <c r="V871">
        <v>967</v>
      </c>
      <c r="W871">
        <v>45.26</v>
      </c>
    </row>
    <row r="872" spans="1:23" x14ac:dyDescent="0.25">
      <c r="A872">
        <v>2006</v>
      </c>
      <c r="B872">
        <v>337</v>
      </c>
      <c r="C872">
        <v>400</v>
      </c>
      <c r="D872">
        <v>-1.357</v>
      </c>
      <c r="E872">
        <v>-14.4</v>
      </c>
      <c r="F872">
        <v>9.31</v>
      </c>
      <c r="G872">
        <v>9.98</v>
      </c>
      <c r="K872">
        <v>4.6150000000000002</v>
      </c>
      <c r="L872">
        <v>216.2</v>
      </c>
      <c r="M872">
        <v>0</v>
      </c>
      <c r="O872">
        <v>-11.5</v>
      </c>
      <c r="P872">
        <v>-10.84</v>
      </c>
      <c r="Q872">
        <v>7.36</v>
      </c>
      <c r="S872">
        <v>6.1970000000000001</v>
      </c>
      <c r="T872">
        <v>0</v>
      </c>
      <c r="U872">
        <v>92</v>
      </c>
      <c r="V872">
        <v>968</v>
      </c>
      <c r="W872">
        <v>45.35</v>
      </c>
    </row>
    <row r="873" spans="1:23" x14ac:dyDescent="0.25">
      <c r="A873">
        <v>2006</v>
      </c>
      <c r="B873">
        <v>337</v>
      </c>
      <c r="C873">
        <v>500</v>
      </c>
      <c r="D873">
        <v>-1.1339999999999999</v>
      </c>
      <c r="E873">
        <v>-14.56</v>
      </c>
      <c r="F873">
        <v>7.82</v>
      </c>
      <c r="G873">
        <v>8.32</v>
      </c>
      <c r="K873">
        <v>4.8760000000000003</v>
      </c>
      <c r="L873">
        <v>217.1</v>
      </c>
      <c r="M873">
        <v>0.2</v>
      </c>
      <c r="O873">
        <v>-11.5</v>
      </c>
      <c r="P873">
        <v>-10.85</v>
      </c>
      <c r="Q873">
        <v>7.41</v>
      </c>
      <c r="S873">
        <v>6.22</v>
      </c>
      <c r="T873">
        <v>0</v>
      </c>
      <c r="U873">
        <v>93.6</v>
      </c>
      <c r="V873">
        <v>967</v>
      </c>
      <c r="W873">
        <v>45.25</v>
      </c>
    </row>
    <row r="874" spans="1:23" x14ac:dyDescent="0.25">
      <c r="A874">
        <v>2006</v>
      </c>
      <c r="B874">
        <v>337</v>
      </c>
      <c r="C874">
        <v>600</v>
      </c>
      <c r="D874">
        <v>-0.68700000000000006</v>
      </c>
      <c r="E874">
        <v>-13.1</v>
      </c>
      <c r="F874">
        <v>6.3179999999999996</v>
      </c>
      <c r="G874">
        <v>6.4989999999999997</v>
      </c>
      <c r="K874">
        <v>5.2110000000000003</v>
      </c>
      <c r="L874">
        <v>233.2</v>
      </c>
      <c r="M874">
        <v>1.2</v>
      </c>
      <c r="O874">
        <v>-11.51</v>
      </c>
      <c r="P874">
        <v>-10.84</v>
      </c>
      <c r="Q874">
        <v>7.36</v>
      </c>
      <c r="S874">
        <v>6.2610000000000001</v>
      </c>
      <c r="T874">
        <v>0</v>
      </c>
      <c r="U874">
        <v>97.6</v>
      </c>
      <c r="V874">
        <v>968</v>
      </c>
      <c r="W874">
        <v>45.38</v>
      </c>
    </row>
    <row r="875" spans="1:23" x14ac:dyDescent="0.25">
      <c r="A875">
        <v>2006</v>
      </c>
      <c r="B875">
        <v>337</v>
      </c>
      <c r="C875">
        <v>700</v>
      </c>
      <c r="D875">
        <v>-1.24</v>
      </c>
      <c r="E875">
        <v>-26.96</v>
      </c>
      <c r="F875">
        <v>5.3570000000000002</v>
      </c>
      <c r="G875">
        <v>5.6719999999999997</v>
      </c>
      <c r="K875">
        <v>4.0359999999999996</v>
      </c>
      <c r="L875">
        <v>235.2</v>
      </c>
      <c r="M875">
        <v>0</v>
      </c>
      <c r="O875">
        <v>-11.5</v>
      </c>
      <c r="P875">
        <v>-10.84</v>
      </c>
      <c r="Q875">
        <v>7.29</v>
      </c>
      <c r="S875">
        <v>6.2910000000000004</v>
      </c>
      <c r="T875">
        <v>0</v>
      </c>
      <c r="U875">
        <v>95.5</v>
      </c>
      <c r="V875">
        <v>990</v>
      </c>
      <c r="W875">
        <v>47.75</v>
      </c>
    </row>
    <row r="876" spans="1:23" x14ac:dyDescent="0.25">
      <c r="A876">
        <v>2006</v>
      </c>
      <c r="B876">
        <v>337</v>
      </c>
      <c r="C876">
        <v>800</v>
      </c>
      <c r="D876">
        <v>-2.262</v>
      </c>
      <c r="E876">
        <v>-49.85</v>
      </c>
      <c r="F876">
        <v>5.0780000000000003</v>
      </c>
      <c r="G876">
        <v>5.468</v>
      </c>
      <c r="K876">
        <v>4.5869999999999997</v>
      </c>
      <c r="L876">
        <v>218.5</v>
      </c>
      <c r="M876">
        <v>0</v>
      </c>
      <c r="O876">
        <v>-11.38</v>
      </c>
      <c r="P876">
        <v>-10.78</v>
      </c>
      <c r="Q876">
        <v>7.11</v>
      </c>
      <c r="S876">
        <v>6.2969999999999997</v>
      </c>
      <c r="T876">
        <v>0</v>
      </c>
      <c r="U876">
        <v>94.4</v>
      </c>
      <c r="V876">
        <v>987</v>
      </c>
      <c r="W876">
        <v>47.42</v>
      </c>
    </row>
    <row r="877" spans="1:23" x14ac:dyDescent="0.25">
      <c r="A877">
        <v>2006</v>
      </c>
      <c r="B877">
        <v>337</v>
      </c>
      <c r="C877">
        <v>900</v>
      </c>
      <c r="D877">
        <v>1.786</v>
      </c>
      <c r="E877">
        <v>-18</v>
      </c>
      <c r="F877">
        <v>4.7359999999999998</v>
      </c>
      <c r="G877">
        <v>4.9950000000000001</v>
      </c>
      <c r="H877">
        <f>AVERAGE(G877:G901)</f>
        <v>6.6653200000000004</v>
      </c>
      <c r="I877">
        <f>MIN(G877:G901)</f>
        <v>4.7640000000000002</v>
      </c>
      <c r="J877">
        <f>MAX(G877:G901)</f>
        <v>8.2100000000000009</v>
      </c>
      <c r="K877">
        <v>5.492</v>
      </c>
      <c r="L877">
        <v>212.7</v>
      </c>
      <c r="M877">
        <v>0.6</v>
      </c>
      <c r="N877">
        <f>SUM(M877:M901)</f>
        <v>30.200000000000003</v>
      </c>
      <c r="O877">
        <v>-6.9909999999999997</v>
      </c>
      <c r="P877">
        <v>-9.6999999999999993</v>
      </c>
      <c r="Q877">
        <v>6.9039999999999999</v>
      </c>
      <c r="S877">
        <v>6.3179999999999996</v>
      </c>
      <c r="T877">
        <v>0</v>
      </c>
      <c r="U877">
        <v>96.3</v>
      </c>
      <c r="V877">
        <v>985</v>
      </c>
      <c r="W877">
        <v>47.18</v>
      </c>
    </row>
    <row r="878" spans="1:23" x14ac:dyDescent="0.25">
      <c r="A878">
        <v>2006</v>
      </c>
      <c r="B878">
        <v>337</v>
      </c>
      <c r="C878">
        <v>1000</v>
      </c>
      <c r="D878">
        <v>31.63</v>
      </c>
      <c r="E878">
        <v>11.97</v>
      </c>
      <c r="F878">
        <v>4.6180000000000003</v>
      </c>
      <c r="G878">
        <v>4.7640000000000002</v>
      </c>
      <c r="K878">
        <v>5.4969999999999999</v>
      </c>
      <c r="L878">
        <v>205.2</v>
      </c>
      <c r="M878">
        <v>0.6</v>
      </c>
      <c r="O878">
        <v>33.72</v>
      </c>
      <c r="P878">
        <v>-1.373</v>
      </c>
      <c r="Q878">
        <v>6.72</v>
      </c>
      <c r="S878">
        <v>6.3179999999999996</v>
      </c>
      <c r="T878">
        <v>0</v>
      </c>
      <c r="U878">
        <v>97.9</v>
      </c>
      <c r="V878">
        <v>986</v>
      </c>
      <c r="W878">
        <v>47.27</v>
      </c>
    </row>
    <row r="879" spans="1:23" x14ac:dyDescent="0.25">
      <c r="A879">
        <v>2006</v>
      </c>
      <c r="B879">
        <v>337</v>
      </c>
      <c r="C879">
        <v>1100</v>
      </c>
      <c r="D879">
        <v>10.89</v>
      </c>
      <c r="E879">
        <v>2.4790000000000001</v>
      </c>
      <c r="F879">
        <v>6.125</v>
      </c>
      <c r="G879">
        <v>6.3620000000000001</v>
      </c>
      <c r="K879">
        <v>5.0469999999999997</v>
      </c>
      <c r="L879">
        <v>225</v>
      </c>
      <c r="M879">
        <v>3.6</v>
      </c>
      <c r="O879">
        <v>6.1429999999999998</v>
      </c>
      <c r="P879">
        <v>-6.87</v>
      </c>
      <c r="Q879">
        <v>6.593</v>
      </c>
      <c r="S879">
        <v>6.258</v>
      </c>
      <c r="T879">
        <v>0</v>
      </c>
      <c r="U879">
        <v>96.7</v>
      </c>
      <c r="V879">
        <v>979</v>
      </c>
      <c r="W879">
        <v>46.52</v>
      </c>
    </row>
    <row r="880" spans="1:23" x14ac:dyDescent="0.25">
      <c r="A880">
        <v>2006</v>
      </c>
      <c r="B880">
        <v>337</v>
      </c>
      <c r="C880">
        <v>1200</v>
      </c>
      <c r="D880">
        <v>16.600000000000001</v>
      </c>
      <c r="E880">
        <v>2.7090000000000001</v>
      </c>
      <c r="F880">
        <v>6.2510000000000003</v>
      </c>
      <c r="G880">
        <v>6.5149999999999997</v>
      </c>
      <c r="K880">
        <v>4.8879999999999999</v>
      </c>
      <c r="L880">
        <v>230.4</v>
      </c>
      <c r="M880">
        <v>3.2</v>
      </c>
      <c r="O880">
        <v>5.9630000000000001</v>
      </c>
      <c r="P880">
        <v>-6.3479999999999999</v>
      </c>
      <c r="Q880">
        <v>6.51</v>
      </c>
      <c r="S880">
        <v>6.202</v>
      </c>
      <c r="T880">
        <v>0</v>
      </c>
      <c r="U880">
        <v>96.4</v>
      </c>
      <c r="V880">
        <v>973</v>
      </c>
      <c r="W880">
        <v>45.93</v>
      </c>
    </row>
    <row r="881" spans="1:23" x14ac:dyDescent="0.25">
      <c r="A881">
        <v>2006</v>
      </c>
      <c r="B881">
        <v>337</v>
      </c>
      <c r="C881">
        <v>1300</v>
      </c>
      <c r="D881">
        <v>32.46</v>
      </c>
      <c r="E881">
        <v>17.190000000000001</v>
      </c>
      <c r="F881">
        <v>6.6829999999999998</v>
      </c>
      <c r="G881">
        <v>7.14</v>
      </c>
      <c r="K881">
        <v>5.7119999999999997</v>
      </c>
      <c r="L881">
        <v>226.5</v>
      </c>
      <c r="M881">
        <v>0</v>
      </c>
      <c r="O881">
        <v>30.61</v>
      </c>
      <c r="P881">
        <v>-1.508</v>
      </c>
      <c r="Q881">
        <v>6.4969999999999999</v>
      </c>
      <c r="S881">
        <v>6.1319999999999997</v>
      </c>
      <c r="T881">
        <v>0</v>
      </c>
      <c r="U881">
        <v>93.9</v>
      </c>
      <c r="V881">
        <v>973</v>
      </c>
      <c r="W881">
        <v>45.9</v>
      </c>
    </row>
    <row r="882" spans="1:23" x14ac:dyDescent="0.25">
      <c r="A882">
        <v>2006</v>
      </c>
      <c r="B882">
        <v>337</v>
      </c>
      <c r="C882">
        <v>1400</v>
      </c>
      <c r="D882">
        <v>53.56</v>
      </c>
      <c r="E882">
        <v>29.12</v>
      </c>
      <c r="F882">
        <v>7.57</v>
      </c>
      <c r="G882">
        <v>8.2100000000000009</v>
      </c>
      <c r="K882">
        <v>6.7750000000000004</v>
      </c>
      <c r="L882">
        <v>241.4</v>
      </c>
      <c r="M882">
        <v>0</v>
      </c>
      <c r="O882">
        <v>58.54</v>
      </c>
      <c r="P882">
        <v>4.2850000000000001</v>
      </c>
      <c r="Q882">
        <v>6.5309999999999997</v>
      </c>
      <c r="S882">
        <v>6.1289999999999996</v>
      </c>
      <c r="T882">
        <v>0</v>
      </c>
      <c r="U882">
        <v>91.7</v>
      </c>
      <c r="V882">
        <v>973</v>
      </c>
      <c r="W882">
        <v>45.88</v>
      </c>
    </row>
    <row r="883" spans="1:23" x14ac:dyDescent="0.25">
      <c r="A883">
        <v>2006</v>
      </c>
      <c r="B883">
        <v>337</v>
      </c>
      <c r="C883">
        <v>1500</v>
      </c>
      <c r="D883">
        <v>32.03</v>
      </c>
      <c r="E883">
        <v>9.67</v>
      </c>
      <c r="F883">
        <v>7.71</v>
      </c>
      <c r="G883">
        <v>8.2100000000000009</v>
      </c>
      <c r="K883">
        <v>6.7409999999999997</v>
      </c>
      <c r="L883">
        <v>261.60000000000002</v>
      </c>
      <c r="M883">
        <v>0.8</v>
      </c>
      <c r="O883">
        <v>33.22</v>
      </c>
      <c r="P883">
        <v>-0.53</v>
      </c>
      <c r="Q883">
        <v>6.6319999999999997</v>
      </c>
      <c r="S883">
        <v>6.1260000000000003</v>
      </c>
      <c r="T883">
        <v>0</v>
      </c>
      <c r="U883">
        <v>93.5</v>
      </c>
      <c r="V883">
        <v>973</v>
      </c>
      <c r="W883">
        <v>45.9</v>
      </c>
    </row>
    <row r="884" spans="1:23" x14ac:dyDescent="0.25">
      <c r="A884">
        <v>2006</v>
      </c>
      <c r="B884">
        <v>337</v>
      </c>
      <c r="C884">
        <v>1600</v>
      </c>
      <c r="D884">
        <v>10.53</v>
      </c>
      <c r="E884">
        <v>-11.45</v>
      </c>
      <c r="F884">
        <v>7.62</v>
      </c>
      <c r="G884">
        <v>8.0500000000000007</v>
      </c>
      <c r="K884">
        <v>5.851</v>
      </c>
      <c r="L884">
        <v>251.5</v>
      </c>
      <c r="M884">
        <v>0</v>
      </c>
      <c r="O884">
        <v>1.2989999999999999</v>
      </c>
      <c r="P884">
        <v>-7.6</v>
      </c>
      <c r="Q884">
        <v>6.7140000000000004</v>
      </c>
      <c r="S884">
        <v>6.1040000000000001</v>
      </c>
      <c r="T884">
        <v>0</v>
      </c>
      <c r="U884">
        <v>94.5</v>
      </c>
      <c r="V884">
        <v>973</v>
      </c>
      <c r="W884">
        <v>45.87</v>
      </c>
    </row>
    <row r="885" spans="1:23" x14ac:dyDescent="0.25">
      <c r="A885">
        <v>2006</v>
      </c>
      <c r="B885">
        <v>337</v>
      </c>
      <c r="C885">
        <v>1700</v>
      </c>
      <c r="D885">
        <v>-0.85299999999999998</v>
      </c>
      <c r="E885">
        <v>-8.44</v>
      </c>
      <c r="F885">
        <v>7.38</v>
      </c>
      <c r="G885">
        <v>7.49</v>
      </c>
      <c r="K885">
        <v>6.1319999999999997</v>
      </c>
      <c r="L885">
        <v>258.5</v>
      </c>
      <c r="M885">
        <v>1.8</v>
      </c>
      <c r="O885">
        <v>-11.13</v>
      </c>
      <c r="P885">
        <v>-10.67</v>
      </c>
      <c r="Q885">
        <v>6.7290000000000001</v>
      </c>
      <c r="S885">
        <v>6.093</v>
      </c>
      <c r="T885">
        <v>0</v>
      </c>
      <c r="U885">
        <v>98.6</v>
      </c>
      <c r="V885">
        <v>973</v>
      </c>
      <c r="W885">
        <v>45.92</v>
      </c>
    </row>
    <row r="886" spans="1:23" x14ac:dyDescent="0.25">
      <c r="A886">
        <v>2006</v>
      </c>
      <c r="B886">
        <v>337</v>
      </c>
      <c r="C886">
        <v>1800</v>
      </c>
      <c r="D886">
        <v>-0.65600000000000003</v>
      </c>
      <c r="E886">
        <v>-11.87</v>
      </c>
      <c r="F886">
        <v>7.21</v>
      </c>
      <c r="G886">
        <v>7.51</v>
      </c>
      <c r="K886">
        <v>5.4720000000000004</v>
      </c>
      <c r="L886">
        <v>254.6</v>
      </c>
      <c r="M886">
        <v>0.4</v>
      </c>
      <c r="O886">
        <v>-11.5</v>
      </c>
      <c r="P886">
        <v>-10.83</v>
      </c>
      <c r="Q886">
        <v>6.7110000000000003</v>
      </c>
      <c r="S886">
        <v>6.0830000000000002</v>
      </c>
      <c r="T886">
        <v>0</v>
      </c>
      <c r="U886">
        <v>96</v>
      </c>
      <c r="V886">
        <v>974</v>
      </c>
      <c r="W886">
        <v>46.02</v>
      </c>
    </row>
    <row r="887" spans="1:23" x14ac:dyDescent="0.25">
      <c r="A887">
        <v>2006</v>
      </c>
      <c r="B887">
        <v>337</v>
      </c>
      <c r="C887">
        <v>1900</v>
      </c>
      <c r="D887">
        <v>-1.988</v>
      </c>
      <c r="E887">
        <v>-39.93</v>
      </c>
      <c r="F887">
        <v>6.7850000000000001</v>
      </c>
      <c r="G887">
        <v>7.38</v>
      </c>
      <c r="K887">
        <v>5.8440000000000003</v>
      </c>
      <c r="L887">
        <v>256.2</v>
      </c>
      <c r="M887">
        <v>0</v>
      </c>
      <c r="O887">
        <v>-11.49</v>
      </c>
      <c r="P887">
        <v>-10.84</v>
      </c>
      <c r="Q887">
        <v>6.7039999999999997</v>
      </c>
      <c r="S887">
        <v>6.0810000000000004</v>
      </c>
      <c r="T887">
        <v>0</v>
      </c>
      <c r="U887">
        <v>92.1</v>
      </c>
      <c r="V887">
        <v>974</v>
      </c>
      <c r="W887">
        <v>46.02</v>
      </c>
    </row>
    <row r="888" spans="1:23" x14ac:dyDescent="0.25">
      <c r="A888">
        <v>2006</v>
      </c>
      <c r="B888">
        <v>337</v>
      </c>
      <c r="C888">
        <v>2000</v>
      </c>
      <c r="D888">
        <v>-2.1709999999999998</v>
      </c>
      <c r="E888">
        <v>-48.8</v>
      </c>
      <c r="F888">
        <v>6.5449999999999999</v>
      </c>
      <c r="G888">
        <v>6.9710000000000001</v>
      </c>
      <c r="K888">
        <v>6.14</v>
      </c>
      <c r="L888">
        <v>256.5</v>
      </c>
      <c r="M888">
        <v>0</v>
      </c>
      <c r="O888">
        <v>-11.5</v>
      </c>
      <c r="P888">
        <v>-10.8</v>
      </c>
      <c r="Q888">
        <v>6.6180000000000003</v>
      </c>
      <c r="S888">
        <v>6.08</v>
      </c>
      <c r="T888">
        <v>0</v>
      </c>
      <c r="U888">
        <v>94.2</v>
      </c>
      <c r="V888">
        <v>975</v>
      </c>
      <c r="W888">
        <v>46.08</v>
      </c>
    </row>
    <row r="889" spans="1:23" x14ac:dyDescent="0.25">
      <c r="A889">
        <v>2006</v>
      </c>
      <c r="B889">
        <v>337</v>
      </c>
      <c r="C889">
        <v>2100</v>
      </c>
      <c r="D889">
        <v>-2.1389999999999998</v>
      </c>
      <c r="E889">
        <v>-45.92</v>
      </c>
      <c r="F889">
        <v>6.3780000000000001</v>
      </c>
      <c r="G889">
        <v>6.7670000000000003</v>
      </c>
      <c r="K889">
        <v>5.883</v>
      </c>
      <c r="L889">
        <v>246.8</v>
      </c>
      <c r="M889">
        <v>0</v>
      </c>
      <c r="O889">
        <v>-11.49</v>
      </c>
      <c r="P889">
        <v>-10.81</v>
      </c>
      <c r="Q889">
        <v>6.4729999999999999</v>
      </c>
      <c r="S889">
        <v>6.08</v>
      </c>
      <c r="T889">
        <v>0</v>
      </c>
      <c r="U889">
        <v>94.7</v>
      </c>
      <c r="V889">
        <v>976</v>
      </c>
      <c r="W889">
        <v>46.16</v>
      </c>
    </row>
    <row r="890" spans="1:23" x14ac:dyDescent="0.25">
      <c r="A890">
        <v>2006</v>
      </c>
      <c r="B890">
        <v>337</v>
      </c>
      <c r="C890">
        <v>2200</v>
      </c>
      <c r="D890">
        <v>-2.165</v>
      </c>
      <c r="E890">
        <v>-45.41</v>
      </c>
      <c r="F890">
        <v>6.2060000000000004</v>
      </c>
      <c r="G890">
        <v>6.51</v>
      </c>
      <c r="K890">
        <v>5.5750000000000002</v>
      </c>
      <c r="L890">
        <v>247</v>
      </c>
      <c r="M890">
        <v>0</v>
      </c>
      <c r="O890">
        <v>-11.47</v>
      </c>
      <c r="P890">
        <v>-10.78</v>
      </c>
      <c r="Q890">
        <v>6.3090000000000002</v>
      </c>
      <c r="S890">
        <v>6.0609999999999999</v>
      </c>
      <c r="T890">
        <v>0</v>
      </c>
      <c r="U890">
        <v>95.8</v>
      </c>
      <c r="V890">
        <v>975</v>
      </c>
      <c r="W890">
        <v>46.14</v>
      </c>
    </row>
    <row r="891" spans="1:23" x14ac:dyDescent="0.25">
      <c r="A891">
        <v>2006</v>
      </c>
      <c r="B891">
        <v>337</v>
      </c>
      <c r="C891">
        <v>2300</v>
      </c>
      <c r="D891">
        <v>-2.0099999999999998</v>
      </c>
      <c r="E891">
        <v>-43.32</v>
      </c>
      <c r="F891">
        <v>6.3170000000000002</v>
      </c>
      <c r="G891">
        <v>6.6710000000000003</v>
      </c>
      <c r="K891">
        <v>6.0960000000000001</v>
      </c>
      <c r="L891">
        <v>252.7</v>
      </c>
      <c r="M891">
        <v>0</v>
      </c>
      <c r="O891">
        <v>-11.46</v>
      </c>
      <c r="P891">
        <v>-10.75</v>
      </c>
      <c r="Q891">
        <v>6.15</v>
      </c>
      <c r="S891">
        <v>5.9749999999999996</v>
      </c>
      <c r="T891">
        <v>0</v>
      </c>
      <c r="U891">
        <v>95.2</v>
      </c>
      <c r="V891">
        <v>976</v>
      </c>
      <c r="W891">
        <v>46.25</v>
      </c>
    </row>
    <row r="892" spans="1:23" x14ac:dyDescent="0.25">
      <c r="A892">
        <v>2006</v>
      </c>
      <c r="B892">
        <v>337</v>
      </c>
      <c r="C892">
        <v>2400</v>
      </c>
      <c r="D892">
        <v>-1.748</v>
      </c>
      <c r="E892">
        <v>-27.39</v>
      </c>
      <c r="F892">
        <v>6.194</v>
      </c>
      <c r="G892">
        <v>6.4279999999999999</v>
      </c>
      <c r="K892">
        <v>5.6950000000000003</v>
      </c>
      <c r="L892">
        <v>254.2</v>
      </c>
      <c r="M892">
        <v>0.2</v>
      </c>
      <c r="O892">
        <v>-11.46</v>
      </c>
      <c r="P892">
        <v>-10.75</v>
      </c>
      <c r="Q892">
        <v>6.0170000000000003</v>
      </c>
      <c r="S892">
        <v>5.9480000000000004</v>
      </c>
      <c r="T892">
        <v>0</v>
      </c>
      <c r="U892">
        <v>96.8</v>
      </c>
      <c r="V892">
        <v>977</v>
      </c>
      <c r="W892">
        <v>46.32</v>
      </c>
    </row>
    <row r="893" spans="1:23" x14ac:dyDescent="0.25">
      <c r="A893">
        <v>2006</v>
      </c>
      <c r="B893">
        <v>337</v>
      </c>
      <c r="C893">
        <v>2400</v>
      </c>
      <c r="D893">
        <v>6.9960000000000004</v>
      </c>
      <c r="E893">
        <v>-15.23</v>
      </c>
      <c r="F893">
        <v>7.1</v>
      </c>
      <c r="G893">
        <v>7.48</v>
      </c>
      <c r="K893">
        <v>5.53</v>
      </c>
      <c r="L893">
        <v>232.4</v>
      </c>
      <c r="M893">
        <v>19</v>
      </c>
      <c r="O893">
        <v>-0.871</v>
      </c>
      <c r="P893">
        <v>-8.44</v>
      </c>
      <c r="Q893">
        <v>6.7569999999999997</v>
      </c>
      <c r="S893">
        <v>6.1379999999999999</v>
      </c>
      <c r="T893">
        <v>0</v>
      </c>
      <c r="U893">
        <v>95.1</v>
      </c>
      <c r="V893">
        <v>975</v>
      </c>
      <c r="W893">
        <v>46.09</v>
      </c>
    </row>
    <row r="894" spans="1:23" x14ac:dyDescent="0.25">
      <c r="A894">
        <v>2006</v>
      </c>
      <c r="B894">
        <v>338</v>
      </c>
      <c r="C894">
        <v>100</v>
      </c>
      <c r="D894">
        <v>-2.4209999999999998</v>
      </c>
      <c r="E894">
        <v>-49.17</v>
      </c>
      <c r="F894">
        <v>5.6109999999999998</v>
      </c>
      <c r="G894">
        <v>5.9269999999999996</v>
      </c>
      <c r="K894">
        <v>5.3239999999999998</v>
      </c>
      <c r="L894">
        <v>253.3</v>
      </c>
      <c r="M894">
        <v>0</v>
      </c>
      <c r="O894">
        <v>-11.42</v>
      </c>
      <c r="P894">
        <v>-10.75</v>
      </c>
      <c r="Q894">
        <v>5.9039999999999999</v>
      </c>
      <c r="S894">
        <v>5.8630000000000004</v>
      </c>
      <c r="T894">
        <v>0</v>
      </c>
      <c r="U894">
        <v>95.5</v>
      </c>
      <c r="V894">
        <v>978</v>
      </c>
      <c r="W894">
        <v>46.4</v>
      </c>
    </row>
    <row r="895" spans="1:23" x14ac:dyDescent="0.25">
      <c r="A895">
        <v>2006</v>
      </c>
      <c r="B895">
        <v>338</v>
      </c>
      <c r="C895">
        <v>200</v>
      </c>
      <c r="D895">
        <v>-2.2639999999999998</v>
      </c>
      <c r="E895">
        <v>-38.159999999999997</v>
      </c>
      <c r="F895">
        <v>5.9909999999999997</v>
      </c>
      <c r="G895">
        <v>6.3949999999999996</v>
      </c>
      <c r="K895">
        <v>5.5670000000000002</v>
      </c>
      <c r="L895">
        <v>252.6</v>
      </c>
      <c r="M895">
        <v>0</v>
      </c>
      <c r="O895">
        <v>-11.36</v>
      </c>
      <c r="P895">
        <v>-10.68</v>
      </c>
      <c r="Q895">
        <v>5.8330000000000002</v>
      </c>
      <c r="S895">
        <v>5.81</v>
      </c>
      <c r="T895">
        <v>0</v>
      </c>
      <c r="U895">
        <v>94.4</v>
      </c>
      <c r="V895">
        <v>978</v>
      </c>
      <c r="W895">
        <v>46.47</v>
      </c>
    </row>
    <row r="896" spans="1:23" x14ac:dyDescent="0.25">
      <c r="A896">
        <v>2006</v>
      </c>
      <c r="B896">
        <v>338</v>
      </c>
      <c r="C896">
        <v>300</v>
      </c>
      <c r="D896">
        <v>-2.0150000000000001</v>
      </c>
      <c r="E896">
        <v>-44.68</v>
      </c>
      <c r="F896">
        <v>5.9669999999999996</v>
      </c>
      <c r="G896">
        <v>6.2789999999999999</v>
      </c>
      <c r="K896">
        <v>5.6859999999999999</v>
      </c>
      <c r="L896">
        <v>256</v>
      </c>
      <c r="M896">
        <v>0</v>
      </c>
      <c r="O896">
        <v>-11.36</v>
      </c>
      <c r="P896">
        <v>-10.62</v>
      </c>
      <c r="Q896">
        <v>5.7140000000000004</v>
      </c>
      <c r="S896">
        <v>5.7709999999999999</v>
      </c>
      <c r="T896">
        <v>0</v>
      </c>
      <c r="U896">
        <v>95.7</v>
      </c>
      <c r="V896">
        <v>979</v>
      </c>
      <c r="W896">
        <v>46.59</v>
      </c>
    </row>
    <row r="897" spans="1:23" x14ac:dyDescent="0.25">
      <c r="A897">
        <v>2006</v>
      </c>
      <c r="B897">
        <v>338</v>
      </c>
      <c r="C897">
        <v>400</v>
      </c>
      <c r="D897">
        <v>-2.0979999999999999</v>
      </c>
      <c r="E897">
        <v>-39.090000000000003</v>
      </c>
      <c r="F897">
        <v>5.82</v>
      </c>
      <c r="G897">
        <v>6.0590000000000002</v>
      </c>
      <c r="K897">
        <v>5.157</v>
      </c>
      <c r="L897">
        <v>250.7</v>
      </c>
      <c r="M897">
        <v>0</v>
      </c>
      <c r="O897">
        <v>-11.39</v>
      </c>
      <c r="P897">
        <v>-10.66</v>
      </c>
      <c r="Q897">
        <v>5.6269999999999998</v>
      </c>
      <c r="S897">
        <v>5.681</v>
      </c>
      <c r="T897">
        <v>0</v>
      </c>
      <c r="U897">
        <v>96.6</v>
      </c>
      <c r="V897">
        <v>981</v>
      </c>
      <c r="W897">
        <v>46.71</v>
      </c>
    </row>
    <row r="898" spans="1:23" x14ac:dyDescent="0.25">
      <c r="A898">
        <v>2006</v>
      </c>
      <c r="B898">
        <v>338</v>
      </c>
      <c r="C898">
        <v>500</v>
      </c>
      <c r="D898">
        <v>-2.1859999999999999</v>
      </c>
      <c r="E898">
        <v>-29.02</v>
      </c>
      <c r="F898">
        <v>5.9180000000000001</v>
      </c>
      <c r="G898">
        <v>6.2309999999999999</v>
      </c>
      <c r="K898">
        <v>4.6900000000000004</v>
      </c>
      <c r="L898">
        <v>251.2</v>
      </c>
      <c r="M898">
        <v>0</v>
      </c>
      <c r="O898">
        <v>-11.37</v>
      </c>
      <c r="P898">
        <v>-10.64</v>
      </c>
      <c r="Q898">
        <v>5.5570000000000004</v>
      </c>
      <c r="S898">
        <v>5.6639999999999997</v>
      </c>
      <c r="T898">
        <v>0</v>
      </c>
      <c r="U898">
        <v>95.6</v>
      </c>
      <c r="V898">
        <v>980</v>
      </c>
      <c r="W898">
        <v>46.7</v>
      </c>
    </row>
    <row r="899" spans="1:23" x14ac:dyDescent="0.25">
      <c r="A899">
        <v>2006</v>
      </c>
      <c r="B899">
        <v>338</v>
      </c>
      <c r="C899">
        <v>600</v>
      </c>
      <c r="D899">
        <v>-1.905</v>
      </c>
      <c r="E899">
        <v>-34.32</v>
      </c>
      <c r="F899">
        <v>5.9610000000000003</v>
      </c>
      <c r="G899">
        <v>6.3150000000000004</v>
      </c>
      <c r="K899">
        <v>4.7030000000000003</v>
      </c>
      <c r="L899">
        <v>249.6</v>
      </c>
      <c r="M899">
        <v>0</v>
      </c>
      <c r="O899">
        <v>-11.36</v>
      </c>
      <c r="P899">
        <v>-10.64</v>
      </c>
      <c r="Q899">
        <v>5.5010000000000003</v>
      </c>
      <c r="S899">
        <v>5.585</v>
      </c>
      <c r="T899">
        <v>0</v>
      </c>
      <c r="U899">
        <v>95.1</v>
      </c>
      <c r="V899">
        <v>980</v>
      </c>
      <c r="W899">
        <v>46.65</v>
      </c>
    </row>
    <row r="900" spans="1:23" x14ac:dyDescent="0.25">
      <c r="A900">
        <v>2006</v>
      </c>
      <c r="B900">
        <v>338</v>
      </c>
      <c r="C900">
        <v>700</v>
      </c>
      <c r="D900">
        <v>-1.9930000000000001</v>
      </c>
      <c r="E900">
        <v>-41.82</v>
      </c>
      <c r="F900">
        <v>5.75</v>
      </c>
      <c r="G900">
        <v>6.0659999999999998</v>
      </c>
      <c r="K900">
        <v>4.5620000000000003</v>
      </c>
      <c r="L900">
        <v>253.9</v>
      </c>
      <c r="M900">
        <v>0</v>
      </c>
      <c r="O900">
        <v>-11.41</v>
      </c>
      <c r="P900">
        <v>-10.67</v>
      </c>
      <c r="Q900">
        <v>5.4320000000000004</v>
      </c>
      <c r="S900">
        <v>5.5309999999999997</v>
      </c>
      <c r="T900">
        <v>0</v>
      </c>
      <c r="U900">
        <v>95.6</v>
      </c>
      <c r="V900">
        <v>980</v>
      </c>
      <c r="W900">
        <v>46.65</v>
      </c>
    </row>
    <row r="901" spans="1:23" x14ac:dyDescent="0.25">
      <c r="A901">
        <v>2006</v>
      </c>
      <c r="B901">
        <v>338</v>
      </c>
      <c r="C901">
        <v>800</v>
      </c>
      <c r="D901">
        <v>-2.157</v>
      </c>
      <c r="E901">
        <v>-42.14</v>
      </c>
      <c r="F901">
        <v>5.6040000000000001</v>
      </c>
      <c r="G901">
        <v>5.9080000000000004</v>
      </c>
      <c r="K901">
        <v>4.0949999999999998</v>
      </c>
      <c r="L901">
        <v>247.8</v>
      </c>
      <c r="M901">
        <v>0</v>
      </c>
      <c r="O901">
        <v>-11.14</v>
      </c>
      <c r="P901">
        <v>-10.55</v>
      </c>
      <c r="Q901">
        <v>5.3789999999999996</v>
      </c>
      <c r="S901">
        <v>5.4779999999999998</v>
      </c>
      <c r="T901">
        <v>0</v>
      </c>
      <c r="U901">
        <v>95.7</v>
      </c>
      <c r="V901">
        <v>979</v>
      </c>
      <c r="W901">
        <v>46.52</v>
      </c>
    </row>
    <row r="902" spans="1:23" x14ac:dyDescent="0.25">
      <c r="A902">
        <v>2006</v>
      </c>
      <c r="B902">
        <v>338</v>
      </c>
      <c r="C902">
        <v>900</v>
      </c>
      <c r="D902">
        <v>6.8449999999999998</v>
      </c>
      <c r="E902">
        <v>-34.97</v>
      </c>
      <c r="F902">
        <v>5.7830000000000004</v>
      </c>
      <c r="G902">
        <v>6.0979999999999999</v>
      </c>
      <c r="H902">
        <f>AVERAGE(G902:G926)</f>
        <v>8.6719599999999986</v>
      </c>
      <c r="I902">
        <f>MIN(G902:G926)</f>
        <v>6.0979999999999999</v>
      </c>
      <c r="J902">
        <f>MAX(G902:G926)</f>
        <v>12.11</v>
      </c>
      <c r="K902">
        <v>4.5110000000000001</v>
      </c>
      <c r="L902">
        <v>248.1</v>
      </c>
      <c r="M902">
        <v>0</v>
      </c>
      <c r="N902">
        <f>SUM(M902:M926)</f>
        <v>18</v>
      </c>
      <c r="O902">
        <v>0.316</v>
      </c>
      <c r="P902">
        <v>-7.22</v>
      </c>
      <c r="Q902">
        <v>5.3079999999999998</v>
      </c>
      <c r="S902">
        <v>5.4349999999999996</v>
      </c>
      <c r="T902">
        <v>0</v>
      </c>
      <c r="U902">
        <v>95.6</v>
      </c>
      <c r="V902">
        <v>979</v>
      </c>
      <c r="W902">
        <v>46.51</v>
      </c>
    </row>
    <row r="903" spans="1:23" x14ac:dyDescent="0.25">
      <c r="A903">
        <v>2006</v>
      </c>
      <c r="B903">
        <v>338</v>
      </c>
      <c r="C903">
        <v>1000</v>
      </c>
      <c r="D903">
        <v>59.72</v>
      </c>
      <c r="E903">
        <v>-21.98</v>
      </c>
      <c r="F903">
        <v>6.0839999999999996</v>
      </c>
      <c r="G903">
        <v>6.4470000000000001</v>
      </c>
      <c r="K903">
        <v>4.59</v>
      </c>
      <c r="L903">
        <v>250.5</v>
      </c>
      <c r="M903">
        <v>0</v>
      </c>
      <c r="O903">
        <v>45.44</v>
      </c>
      <c r="P903">
        <v>19.850000000000001</v>
      </c>
      <c r="Q903">
        <v>5.24</v>
      </c>
      <c r="S903">
        <v>5.37</v>
      </c>
      <c r="T903">
        <v>0</v>
      </c>
      <c r="U903">
        <v>95</v>
      </c>
      <c r="V903">
        <v>978</v>
      </c>
      <c r="W903">
        <v>46.47</v>
      </c>
    </row>
    <row r="904" spans="1:23" x14ac:dyDescent="0.25">
      <c r="A904">
        <v>2006</v>
      </c>
      <c r="B904">
        <v>338</v>
      </c>
      <c r="C904">
        <v>1100</v>
      </c>
      <c r="D904">
        <v>127.6</v>
      </c>
      <c r="E904">
        <v>30.6</v>
      </c>
      <c r="F904">
        <v>6.6589999999999998</v>
      </c>
      <c r="G904">
        <v>7.02</v>
      </c>
      <c r="K904">
        <v>4.0869999999999997</v>
      </c>
      <c r="L904">
        <v>246.7</v>
      </c>
      <c r="M904">
        <v>0</v>
      </c>
      <c r="O904">
        <v>139.19999999999999</v>
      </c>
      <c r="P904">
        <v>67.84</v>
      </c>
      <c r="Q904">
        <v>5.2290000000000001</v>
      </c>
      <c r="S904">
        <v>5.3520000000000003</v>
      </c>
      <c r="T904">
        <v>0</v>
      </c>
      <c r="U904">
        <v>95.1</v>
      </c>
      <c r="V904">
        <v>978</v>
      </c>
      <c r="W904">
        <v>46.46</v>
      </c>
    </row>
    <row r="905" spans="1:23" x14ac:dyDescent="0.25">
      <c r="A905">
        <v>2006</v>
      </c>
      <c r="B905">
        <v>338</v>
      </c>
      <c r="C905">
        <v>1200</v>
      </c>
      <c r="D905">
        <v>98.8</v>
      </c>
      <c r="E905">
        <v>45.91</v>
      </c>
      <c r="F905">
        <v>6.71</v>
      </c>
      <c r="G905">
        <v>6.9870000000000001</v>
      </c>
      <c r="K905">
        <v>3.673</v>
      </c>
      <c r="L905">
        <v>242.3</v>
      </c>
      <c r="M905">
        <v>0</v>
      </c>
      <c r="O905">
        <v>109.7</v>
      </c>
      <c r="P905">
        <v>23.35</v>
      </c>
      <c r="Q905">
        <v>5.2270000000000003</v>
      </c>
      <c r="S905">
        <v>5.3</v>
      </c>
      <c r="T905">
        <v>0</v>
      </c>
      <c r="U905">
        <v>96.3</v>
      </c>
      <c r="V905">
        <v>978</v>
      </c>
      <c r="W905">
        <v>46.43</v>
      </c>
    </row>
    <row r="906" spans="1:23" x14ac:dyDescent="0.25">
      <c r="A906">
        <v>2006</v>
      </c>
      <c r="B906">
        <v>338</v>
      </c>
      <c r="C906">
        <v>1300</v>
      </c>
      <c r="D906">
        <v>83.6</v>
      </c>
      <c r="E906">
        <v>47.19</v>
      </c>
      <c r="F906">
        <v>7.45</v>
      </c>
      <c r="G906">
        <v>7.65</v>
      </c>
      <c r="K906">
        <v>3.3119999999999998</v>
      </c>
      <c r="L906">
        <v>238</v>
      </c>
      <c r="M906">
        <v>0</v>
      </c>
      <c r="O906">
        <v>94.8</v>
      </c>
      <c r="P906">
        <v>15.69</v>
      </c>
      <c r="Q906">
        <v>5.3140000000000001</v>
      </c>
      <c r="S906">
        <v>5.2750000000000004</v>
      </c>
      <c r="T906">
        <v>0</v>
      </c>
      <c r="U906">
        <v>97.4</v>
      </c>
      <c r="V906">
        <v>977</v>
      </c>
      <c r="W906">
        <v>46.36</v>
      </c>
    </row>
    <row r="907" spans="1:23" x14ac:dyDescent="0.25">
      <c r="A907">
        <v>2006</v>
      </c>
      <c r="B907">
        <v>338</v>
      </c>
      <c r="C907">
        <v>1400</v>
      </c>
      <c r="D907">
        <v>38.200000000000003</v>
      </c>
      <c r="E907">
        <v>20.61</v>
      </c>
      <c r="F907">
        <v>7.7</v>
      </c>
      <c r="G907">
        <v>7.8</v>
      </c>
      <c r="K907">
        <v>2.286</v>
      </c>
      <c r="L907">
        <v>219.4</v>
      </c>
      <c r="M907">
        <v>0</v>
      </c>
      <c r="O907">
        <v>40.26</v>
      </c>
      <c r="P907">
        <v>-0.46800000000000003</v>
      </c>
      <c r="Q907">
        <v>5.4530000000000003</v>
      </c>
      <c r="S907">
        <v>5.2770000000000001</v>
      </c>
      <c r="T907">
        <v>0</v>
      </c>
      <c r="U907">
        <v>98.7</v>
      </c>
      <c r="V907">
        <v>954</v>
      </c>
      <c r="W907">
        <v>44.02</v>
      </c>
    </row>
    <row r="908" spans="1:23" x14ac:dyDescent="0.25">
      <c r="A908">
        <v>2006</v>
      </c>
      <c r="B908">
        <v>338</v>
      </c>
      <c r="C908">
        <v>1500</v>
      </c>
      <c r="D908">
        <v>10.91</v>
      </c>
      <c r="E908">
        <v>6.96</v>
      </c>
      <c r="F908">
        <v>8.1300000000000008</v>
      </c>
      <c r="G908">
        <v>8.26</v>
      </c>
      <c r="K908">
        <v>2.331</v>
      </c>
      <c r="L908">
        <v>198.5</v>
      </c>
      <c r="M908">
        <v>0</v>
      </c>
      <c r="O908">
        <v>4.7709999999999999</v>
      </c>
      <c r="P908">
        <v>-7.49</v>
      </c>
      <c r="Q908">
        <v>5.6230000000000002</v>
      </c>
      <c r="S908">
        <v>5.2939999999999996</v>
      </c>
      <c r="T908">
        <v>0</v>
      </c>
      <c r="U908">
        <v>98.3</v>
      </c>
      <c r="V908">
        <v>952</v>
      </c>
      <c r="W908">
        <v>43.77</v>
      </c>
    </row>
    <row r="909" spans="1:23" x14ac:dyDescent="0.25">
      <c r="A909">
        <v>2006</v>
      </c>
      <c r="B909">
        <v>338</v>
      </c>
      <c r="C909">
        <v>1600</v>
      </c>
      <c r="D909">
        <v>2.5670000000000002</v>
      </c>
      <c r="E909">
        <v>-0.5</v>
      </c>
      <c r="F909">
        <v>8.26</v>
      </c>
      <c r="G909">
        <v>8.31</v>
      </c>
      <c r="K909">
        <v>2.6160000000000001</v>
      </c>
      <c r="L909">
        <v>198.6</v>
      </c>
      <c r="M909">
        <v>2.2000000000000002</v>
      </c>
      <c r="O909">
        <v>-6.4850000000000003</v>
      </c>
      <c r="P909">
        <v>-9.76</v>
      </c>
      <c r="Q909">
        <v>5.7709999999999999</v>
      </c>
      <c r="S909">
        <v>5.3010000000000002</v>
      </c>
      <c r="T909">
        <v>0</v>
      </c>
      <c r="U909">
        <v>99.4</v>
      </c>
      <c r="V909">
        <v>959</v>
      </c>
      <c r="W909">
        <v>44.48</v>
      </c>
    </row>
    <row r="910" spans="1:23" x14ac:dyDescent="0.25">
      <c r="A910">
        <v>2006</v>
      </c>
      <c r="B910">
        <v>338</v>
      </c>
      <c r="C910">
        <v>1700</v>
      </c>
      <c r="D910">
        <v>-0.46200000000000002</v>
      </c>
      <c r="E910">
        <v>-1.7450000000000001</v>
      </c>
      <c r="F910">
        <v>8.48</v>
      </c>
      <c r="G910">
        <v>8.56</v>
      </c>
      <c r="K910">
        <v>1.984</v>
      </c>
      <c r="L910">
        <v>178</v>
      </c>
      <c r="M910">
        <v>1.6</v>
      </c>
      <c r="O910">
        <v>-11.24</v>
      </c>
      <c r="P910">
        <v>-10.79</v>
      </c>
      <c r="Q910">
        <v>5.91</v>
      </c>
      <c r="S910">
        <v>5.3890000000000002</v>
      </c>
      <c r="T910">
        <v>0</v>
      </c>
      <c r="U910">
        <v>99</v>
      </c>
      <c r="V910">
        <v>963</v>
      </c>
      <c r="W910">
        <v>44.84</v>
      </c>
    </row>
    <row r="911" spans="1:23" x14ac:dyDescent="0.25">
      <c r="A911">
        <v>2006</v>
      </c>
      <c r="B911">
        <v>338</v>
      </c>
      <c r="C911">
        <v>1800</v>
      </c>
      <c r="D911">
        <v>-0.52400000000000002</v>
      </c>
      <c r="E911">
        <v>0.48199999999999998</v>
      </c>
      <c r="F911">
        <v>8.74</v>
      </c>
      <c r="G911">
        <v>8.86</v>
      </c>
      <c r="K911">
        <v>1.59</v>
      </c>
      <c r="L911">
        <v>152.19999999999999</v>
      </c>
      <c r="M911">
        <v>0.8</v>
      </c>
      <c r="O911">
        <v>-11.5</v>
      </c>
      <c r="P911">
        <v>-10.84</v>
      </c>
      <c r="Q911">
        <v>6.0270000000000001</v>
      </c>
      <c r="S911">
        <v>5.3970000000000002</v>
      </c>
      <c r="T911">
        <v>0</v>
      </c>
      <c r="U911">
        <v>98.5</v>
      </c>
      <c r="V911">
        <v>963</v>
      </c>
      <c r="W911">
        <v>44.88</v>
      </c>
    </row>
    <row r="912" spans="1:23" x14ac:dyDescent="0.25">
      <c r="A912">
        <v>2006</v>
      </c>
      <c r="B912">
        <v>338</v>
      </c>
      <c r="C912">
        <v>1900</v>
      </c>
      <c r="D912">
        <v>-0.625</v>
      </c>
      <c r="E912">
        <v>2.4119999999999999</v>
      </c>
      <c r="F912">
        <v>10.119999999999999</v>
      </c>
      <c r="G912">
        <v>10.33</v>
      </c>
      <c r="K912">
        <v>2.1549999999999998</v>
      </c>
      <c r="L912">
        <v>210.3</v>
      </c>
      <c r="M912">
        <v>0</v>
      </c>
      <c r="O912">
        <v>-11.5</v>
      </c>
      <c r="P912">
        <v>-10.84</v>
      </c>
      <c r="Q912">
        <v>6.1379999999999999</v>
      </c>
      <c r="S912">
        <v>5.4589999999999996</v>
      </c>
      <c r="T912">
        <v>0</v>
      </c>
      <c r="U912">
        <v>97.5</v>
      </c>
      <c r="V912">
        <v>964</v>
      </c>
      <c r="W912">
        <v>44.98</v>
      </c>
    </row>
    <row r="913" spans="1:23" x14ac:dyDescent="0.25">
      <c r="A913">
        <v>2006</v>
      </c>
      <c r="B913">
        <v>338</v>
      </c>
      <c r="C913">
        <v>2000</v>
      </c>
      <c r="D913">
        <v>-0.76100000000000001</v>
      </c>
      <c r="E913">
        <v>-12.07</v>
      </c>
      <c r="F913">
        <v>11.46</v>
      </c>
      <c r="G913">
        <v>12.11</v>
      </c>
      <c r="K913">
        <v>4.3860000000000001</v>
      </c>
      <c r="L913">
        <v>242.5</v>
      </c>
      <c r="M913">
        <v>0.2</v>
      </c>
      <c r="O913">
        <v>-11.5</v>
      </c>
      <c r="P913">
        <v>-10.84</v>
      </c>
      <c r="Q913">
        <v>6.3040000000000003</v>
      </c>
      <c r="S913">
        <v>5.532</v>
      </c>
      <c r="T913">
        <v>0</v>
      </c>
      <c r="U913">
        <v>92.7</v>
      </c>
      <c r="V913">
        <v>965</v>
      </c>
      <c r="W913">
        <v>45.03</v>
      </c>
    </row>
    <row r="914" spans="1:23" x14ac:dyDescent="0.25">
      <c r="A914">
        <v>2006</v>
      </c>
      <c r="B914">
        <v>338</v>
      </c>
      <c r="C914">
        <v>2100</v>
      </c>
      <c r="D914">
        <v>-0.65200000000000002</v>
      </c>
      <c r="E914">
        <v>-3.2629999999999999</v>
      </c>
      <c r="F914">
        <v>11.41</v>
      </c>
      <c r="G914">
        <v>11.95</v>
      </c>
      <c r="K914">
        <v>3.8460000000000001</v>
      </c>
      <c r="L914">
        <v>247.6</v>
      </c>
      <c r="M914">
        <v>1.2</v>
      </c>
      <c r="O914">
        <v>-11.5</v>
      </c>
      <c r="P914">
        <v>-10.84</v>
      </c>
      <c r="Q914">
        <v>6.5259999999999998</v>
      </c>
      <c r="S914">
        <v>5.6260000000000003</v>
      </c>
      <c r="T914">
        <v>0</v>
      </c>
      <c r="U914">
        <v>94</v>
      </c>
      <c r="V914">
        <v>965</v>
      </c>
      <c r="W914">
        <v>45.08</v>
      </c>
    </row>
    <row r="915" spans="1:23" x14ac:dyDescent="0.25">
      <c r="A915">
        <v>2006</v>
      </c>
      <c r="B915">
        <v>338</v>
      </c>
      <c r="C915">
        <v>2200</v>
      </c>
      <c r="D915">
        <v>-0.372</v>
      </c>
      <c r="E915">
        <v>-1.1339999999999999</v>
      </c>
      <c r="F915">
        <v>10.73</v>
      </c>
      <c r="G915">
        <v>10.86</v>
      </c>
      <c r="K915">
        <v>4.0490000000000004</v>
      </c>
      <c r="L915">
        <v>254.5</v>
      </c>
      <c r="M915">
        <v>2.8</v>
      </c>
      <c r="O915">
        <v>-11.5</v>
      </c>
      <c r="P915">
        <v>-10.84</v>
      </c>
      <c r="Q915">
        <v>6.7380000000000004</v>
      </c>
      <c r="S915">
        <v>5.6749999999999998</v>
      </c>
      <c r="T915">
        <v>0</v>
      </c>
      <c r="U915">
        <v>98.4</v>
      </c>
      <c r="V915">
        <v>966</v>
      </c>
      <c r="W915">
        <v>45.13</v>
      </c>
    </row>
    <row r="916" spans="1:23" x14ac:dyDescent="0.25">
      <c r="A916">
        <v>2006</v>
      </c>
      <c r="B916">
        <v>338</v>
      </c>
      <c r="C916">
        <v>2300</v>
      </c>
      <c r="D916">
        <v>-0.42299999999999999</v>
      </c>
      <c r="E916">
        <v>-7.72</v>
      </c>
      <c r="F916">
        <v>10.83</v>
      </c>
      <c r="G916">
        <v>11.24</v>
      </c>
      <c r="K916">
        <v>2.9049999999999998</v>
      </c>
      <c r="L916">
        <v>231.7</v>
      </c>
      <c r="M916">
        <v>0.2</v>
      </c>
      <c r="O916">
        <v>-11.5</v>
      </c>
      <c r="P916">
        <v>-10.84</v>
      </c>
      <c r="Q916">
        <v>6.9450000000000003</v>
      </c>
      <c r="S916">
        <v>5.7649999999999997</v>
      </c>
      <c r="T916">
        <v>0</v>
      </c>
      <c r="U916">
        <v>95.2</v>
      </c>
      <c r="V916">
        <v>966</v>
      </c>
      <c r="W916">
        <v>45.14</v>
      </c>
    </row>
    <row r="917" spans="1:23" x14ac:dyDescent="0.25">
      <c r="A917">
        <v>2006</v>
      </c>
      <c r="B917">
        <v>338</v>
      </c>
      <c r="C917">
        <v>2400</v>
      </c>
      <c r="D917">
        <v>-0.436</v>
      </c>
      <c r="E917">
        <v>-11.33</v>
      </c>
      <c r="F917">
        <v>10.35</v>
      </c>
      <c r="G917">
        <v>11.14</v>
      </c>
      <c r="K917">
        <v>3.3839999999999999</v>
      </c>
      <c r="L917">
        <v>243.2</v>
      </c>
      <c r="M917">
        <v>0</v>
      </c>
      <c r="O917">
        <v>-11.5</v>
      </c>
      <c r="P917">
        <v>-10.84</v>
      </c>
      <c r="Q917">
        <v>7.12</v>
      </c>
      <c r="S917">
        <v>5.8650000000000002</v>
      </c>
      <c r="T917">
        <v>0</v>
      </c>
      <c r="U917">
        <v>90.8</v>
      </c>
      <c r="V917">
        <v>966</v>
      </c>
      <c r="W917">
        <v>45.13</v>
      </c>
    </row>
    <row r="918" spans="1:23" x14ac:dyDescent="0.25">
      <c r="A918">
        <v>2006</v>
      </c>
      <c r="B918">
        <v>338</v>
      </c>
      <c r="C918">
        <v>2400</v>
      </c>
      <c r="D918">
        <v>16.96</v>
      </c>
      <c r="E918">
        <v>-10.79</v>
      </c>
      <c r="F918">
        <v>7.73</v>
      </c>
      <c r="G918">
        <v>8.0299999999999994</v>
      </c>
      <c r="K918">
        <v>3.8119999999999998</v>
      </c>
      <c r="L918">
        <v>236.8</v>
      </c>
      <c r="M918">
        <v>9</v>
      </c>
      <c r="O918">
        <v>10.23</v>
      </c>
      <c r="P918">
        <v>-2.9209999999999998</v>
      </c>
      <c r="Q918">
        <v>5.8259999999999996</v>
      </c>
      <c r="S918">
        <v>5.5289999999999999</v>
      </c>
      <c r="T918">
        <v>0</v>
      </c>
      <c r="U918">
        <v>96.1</v>
      </c>
      <c r="V918">
        <v>971</v>
      </c>
      <c r="W918">
        <v>45.73</v>
      </c>
    </row>
    <row r="919" spans="1:23" x14ac:dyDescent="0.25">
      <c r="A919">
        <v>2006</v>
      </c>
      <c r="B919">
        <v>339</v>
      </c>
      <c r="C919">
        <v>100</v>
      </c>
      <c r="D919">
        <v>-1.0580000000000001</v>
      </c>
      <c r="E919">
        <v>-12.37</v>
      </c>
      <c r="F919">
        <v>9.4700000000000006</v>
      </c>
      <c r="G919">
        <v>10.28</v>
      </c>
      <c r="K919">
        <v>3.395</v>
      </c>
      <c r="L919">
        <v>244.6</v>
      </c>
      <c r="M919">
        <v>0</v>
      </c>
      <c r="O919">
        <v>-11.5</v>
      </c>
      <c r="P919">
        <v>-10.84</v>
      </c>
      <c r="Q919">
        <v>7.23</v>
      </c>
      <c r="S919">
        <v>5.9619999999999997</v>
      </c>
      <c r="T919">
        <v>0</v>
      </c>
      <c r="U919">
        <v>90.3</v>
      </c>
      <c r="V919">
        <v>966</v>
      </c>
      <c r="W919">
        <v>45.19</v>
      </c>
    </row>
    <row r="920" spans="1:23" x14ac:dyDescent="0.25">
      <c r="A920">
        <v>2006</v>
      </c>
      <c r="B920">
        <v>339</v>
      </c>
      <c r="C920">
        <v>200</v>
      </c>
      <c r="D920">
        <v>-2.6349999999999998</v>
      </c>
      <c r="E920">
        <v>-47.1</v>
      </c>
      <c r="F920">
        <v>8.68</v>
      </c>
      <c r="G920">
        <v>9.19</v>
      </c>
      <c r="K920">
        <v>3.3039999999999998</v>
      </c>
      <c r="L920">
        <v>238.9</v>
      </c>
      <c r="M920">
        <v>0</v>
      </c>
      <c r="O920">
        <v>-11.5</v>
      </c>
      <c r="P920">
        <v>-10.84</v>
      </c>
      <c r="Q920">
        <v>7.25</v>
      </c>
      <c r="S920">
        <v>5.98</v>
      </c>
      <c r="T920">
        <v>0</v>
      </c>
      <c r="U920">
        <v>93.7</v>
      </c>
      <c r="V920">
        <v>986</v>
      </c>
      <c r="W920">
        <v>47.34</v>
      </c>
    </row>
    <row r="921" spans="1:23" x14ac:dyDescent="0.25">
      <c r="A921">
        <v>2006</v>
      </c>
      <c r="B921">
        <v>339</v>
      </c>
      <c r="C921">
        <v>300</v>
      </c>
      <c r="D921">
        <v>-2.6949999999999998</v>
      </c>
      <c r="E921">
        <v>-44.84</v>
      </c>
      <c r="F921">
        <v>7.83</v>
      </c>
      <c r="G921">
        <v>8.2899999999999991</v>
      </c>
      <c r="K921">
        <v>2.5569999999999999</v>
      </c>
      <c r="L921">
        <v>235.5</v>
      </c>
      <c r="M921">
        <v>0</v>
      </c>
      <c r="O921">
        <v>-11.5</v>
      </c>
      <c r="P921">
        <v>-10.84</v>
      </c>
      <c r="Q921">
        <v>7.18</v>
      </c>
      <c r="S921">
        <v>5.9930000000000003</v>
      </c>
      <c r="T921">
        <v>0</v>
      </c>
      <c r="U921">
        <v>94</v>
      </c>
      <c r="V921">
        <v>976</v>
      </c>
      <c r="W921">
        <v>46.17</v>
      </c>
    </row>
    <row r="922" spans="1:23" x14ac:dyDescent="0.25">
      <c r="A922">
        <v>2006</v>
      </c>
      <c r="B922">
        <v>339</v>
      </c>
      <c r="C922">
        <v>400</v>
      </c>
      <c r="D922">
        <v>-2.0299999999999998</v>
      </c>
      <c r="E922">
        <v>-30.44</v>
      </c>
      <c r="F922">
        <v>7.75</v>
      </c>
      <c r="G922">
        <v>8.11</v>
      </c>
      <c r="K922">
        <v>2.5390000000000001</v>
      </c>
      <c r="L922">
        <v>223.4</v>
      </c>
      <c r="M922">
        <v>0</v>
      </c>
      <c r="O922">
        <v>-11.5</v>
      </c>
      <c r="P922">
        <v>-10.84</v>
      </c>
      <c r="Q922">
        <v>7.06</v>
      </c>
      <c r="S922">
        <v>6.11</v>
      </c>
      <c r="T922">
        <v>0</v>
      </c>
      <c r="U922">
        <v>95.3</v>
      </c>
      <c r="V922">
        <v>987</v>
      </c>
      <c r="W922">
        <v>47.39</v>
      </c>
    </row>
    <row r="923" spans="1:23" x14ac:dyDescent="0.25">
      <c r="A923">
        <v>2006</v>
      </c>
      <c r="B923">
        <v>339</v>
      </c>
      <c r="C923">
        <v>500</v>
      </c>
      <c r="D923">
        <v>-2.3809999999999998</v>
      </c>
      <c r="E923">
        <v>-36.020000000000003</v>
      </c>
      <c r="F923">
        <v>7.31</v>
      </c>
      <c r="G923">
        <v>7.54</v>
      </c>
      <c r="K923">
        <v>2.0680000000000001</v>
      </c>
      <c r="L923">
        <v>229.3</v>
      </c>
      <c r="M923">
        <v>0</v>
      </c>
      <c r="O923">
        <v>-11.5</v>
      </c>
      <c r="P923">
        <v>-10.84</v>
      </c>
      <c r="Q923">
        <v>6.9509999999999996</v>
      </c>
      <c r="S923">
        <v>6.1509999999999998</v>
      </c>
      <c r="T923">
        <v>0</v>
      </c>
      <c r="U923">
        <v>96.9</v>
      </c>
      <c r="V923">
        <v>983</v>
      </c>
      <c r="W923">
        <v>46.94</v>
      </c>
    </row>
    <row r="924" spans="1:23" x14ac:dyDescent="0.25">
      <c r="A924">
        <v>2006</v>
      </c>
      <c r="B924">
        <v>339</v>
      </c>
      <c r="C924">
        <v>600</v>
      </c>
      <c r="D924">
        <v>-1.8640000000000001</v>
      </c>
      <c r="E924">
        <v>-27.99</v>
      </c>
      <c r="F924">
        <v>7.42</v>
      </c>
      <c r="G924">
        <v>7.74</v>
      </c>
      <c r="K924">
        <v>2.407</v>
      </c>
      <c r="L924">
        <v>233.6</v>
      </c>
      <c r="M924">
        <v>0</v>
      </c>
      <c r="O924">
        <v>-11.5</v>
      </c>
      <c r="P924">
        <v>-10.83</v>
      </c>
      <c r="Q924">
        <v>6.8109999999999999</v>
      </c>
      <c r="S924">
        <v>6.1180000000000003</v>
      </c>
      <c r="T924">
        <v>0</v>
      </c>
      <c r="U924">
        <v>95.8</v>
      </c>
      <c r="V924">
        <v>982</v>
      </c>
      <c r="W924">
        <v>46.85</v>
      </c>
    </row>
    <row r="925" spans="1:23" x14ac:dyDescent="0.25">
      <c r="A925">
        <v>2006</v>
      </c>
      <c r="B925">
        <v>339</v>
      </c>
      <c r="C925">
        <v>700</v>
      </c>
      <c r="D925">
        <v>-2.266</v>
      </c>
      <c r="E925">
        <v>-35.72</v>
      </c>
      <c r="F925">
        <v>7.12</v>
      </c>
      <c r="G925">
        <v>7.38</v>
      </c>
      <c r="K925">
        <v>2.262</v>
      </c>
      <c r="L925">
        <v>228.8</v>
      </c>
      <c r="M925">
        <v>0</v>
      </c>
      <c r="O925">
        <v>-11.49</v>
      </c>
      <c r="P925">
        <v>-10.84</v>
      </c>
      <c r="Q925">
        <v>6.6769999999999996</v>
      </c>
      <c r="S925">
        <v>6.08</v>
      </c>
      <c r="T925">
        <v>0</v>
      </c>
      <c r="U925">
        <v>96.5</v>
      </c>
      <c r="V925">
        <v>980</v>
      </c>
      <c r="W925">
        <v>46.62</v>
      </c>
    </row>
    <row r="926" spans="1:23" x14ac:dyDescent="0.25">
      <c r="A926">
        <v>2006</v>
      </c>
      <c r="B926">
        <v>339</v>
      </c>
      <c r="C926">
        <v>800</v>
      </c>
      <c r="D926">
        <v>-2.8410000000000002</v>
      </c>
      <c r="E926">
        <v>-47.86</v>
      </c>
      <c r="F926">
        <v>6.3120000000000003</v>
      </c>
      <c r="G926">
        <v>6.617</v>
      </c>
      <c r="K926">
        <v>2.4060000000000001</v>
      </c>
      <c r="L926">
        <v>231.3</v>
      </c>
      <c r="M926">
        <v>0</v>
      </c>
      <c r="O926">
        <v>-11.4</v>
      </c>
      <c r="P926">
        <v>-10.8</v>
      </c>
      <c r="Q926">
        <v>6.5469999999999997</v>
      </c>
      <c r="S926">
        <v>6.0519999999999996</v>
      </c>
      <c r="T926">
        <v>0</v>
      </c>
      <c r="U926">
        <v>95.8</v>
      </c>
      <c r="V926">
        <v>980</v>
      </c>
      <c r="W926">
        <v>46.65</v>
      </c>
    </row>
    <row r="927" spans="1:23" x14ac:dyDescent="0.25">
      <c r="A927">
        <v>2006</v>
      </c>
      <c r="B927">
        <v>339</v>
      </c>
      <c r="C927">
        <v>900</v>
      </c>
      <c r="D927">
        <v>4.8</v>
      </c>
      <c r="E927">
        <v>-24.59</v>
      </c>
      <c r="F927">
        <v>5.97</v>
      </c>
      <c r="G927">
        <v>6.3330000000000002</v>
      </c>
      <c r="H927">
        <f>AVERAGE(G927:G951)</f>
        <v>6.2703200000000017</v>
      </c>
      <c r="I927">
        <f>MIN(G927:G951)</f>
        <v>4.9610000000000003</v>
      </c>
      <c r="J927">
        <f>MAX(G927:G951)</f>
        <v>7.74</v>
      </c>
      <c r="K927">
        <v>2.4060000000000001</v>
      </c>
      <c r="L927">
        <v>230.1</v>
      </c>
      <c r="M927">
        <v>0</v>
      </c>
      <c r="N927">
        <f>SUM(M927:M951)</f>
        <v>2</v>
      </c>
      <c r="O927">
        <v>-2.1669999999999998</v>
      </c>
      <c r="P927">
        <v>-8.3699999999999992</v>
      </c>
      <c r="Q927">
        <v>6.3840000000000003</v>
      </c>
      <c r="S927">
        <v>5.9710000000000001</v>
      </c>
      <c r="T927">
        <v>0</v>
      </c>
      <c r="U927">
        <v>95</v>
      </c>
      <c r="V927">
        <v>975</v>
      </c>
      <c r="W927">
        <v>46.13</v>
      </c>
    </row>
    <row r="928" spans="1:23" x14ac:dyDescent="0.25">
      <c r="A928">
        <v>2006</v>
      </c>
      <c r="B928">
        <v>339</v>
      </c>
      <c r="C928">
        <v>1000</v>
      </c>
      <c r="D928">
        <v>44.39</v>
      </c>
      <c r="E928">
        <v>-22.02</v>
      </c>
      <c r="F928">
        <v>5.7690000000000001</v>
      </c>
      <c r="G928">
        <v>6.1219999999999999</v>
      </c>
      <c r="K928">
        <v>2.2570000000000001</v>
      </c>
      <c r="L928">
        <v>223.6</v>
      </c>
      <c r="M928">
        <v>0</v>
      </c>
      <c r="O928">
        <v>37.11</v>
      </c>
      <c r="P928">
        <v>13.81</v>
      </c>
      <c r="Q928">
        <v>6.2359999999999998</v>
      </c>
      <c r="S928">
        <v>5.9489999999999998</v>
      </c>
      <c r="T928">
        <v>0</v>
      </c>
      <c r="U928">
        <v>95.1</v>
      </c>
      <c r="V928">
        <v>973</v>
      </c>
      <c r="W928">
        <v>45.91</v>
      </c>
    </row>
    <row r="929" spans="1:23" x14ac:dyDescent="0.25">
      <c r="A929">
        <v>2006</v>
      </c>
      <c r="B929">
        <v>339</v>
      </c>
      <c r="C929">
        <v>1100</v>
      </c>
      <c r="D929">
        <v>131.69999999999999</v>
      </c>
      <c r="E929">
        <v>25.48</v>
      </c>
      <c r="F929">
        <v>6.1970000000000001</v>
      </c>
      <c r="G929">
        <v>6.673</v>
      </c>
      <c r="K929">
        <v>2.3450000000000002</v>
      </c>
      <c r="L929">
        <v>205.5</v>
      </c>
      <c r="M929">
        <v>0</v>
      </c>
      <c r="O929">
        <v>145.5</v>
      </c>
      <c r="P929">
        <v>75.2</v>
      </c>
      <c r="Q929">
        <v>6.1779999999999999</v>
      </c>
      <c r="S929">
        <v>5.9569999999999999</v>
      </c>
      <c r="T929">
        <v>0</v>
      </c>
      <c r="U929">
        <v>93.5</v>
      </c>
      <c r="V929">
        <v>969</v>
      </c>
      <c r="W929">
        <v>45.52</v>
      </c>
    </row>
    <row r="930" spans="1:23" x14ac:dyDescent="0.25">
      <c r="A930">
        <v>2006</v>
      </c>
      <c r="B930">
        <v>339</v>
      </c>
      <c r="C930">
        <v>1200</v>
      </c>
      <c r="D930">
        <v>113.1</v>
      </c>
      <c r="E930">
        <v>53.9</v>
      </c>
      <c r="F930">
        <v>6.4740000000000002</v>
      </c>
      <c r="G930">
        <v>6.9809999999999999</v>
      </c>
      <c r="K930">
        <v>2.1520000000000001</v>
      </c>
      <c r="L930">
        <v>205.8</v>
      </c>
      <c r="M930">
        <v>0</v>
      </c>
      <c r="O930">
        <v>124.3</v>
      </c>
      <c r="P930">
        <v>42.33</v>
      </c>
      <c r="Q930">
        <v>6.0919999999999996</v>
      </c>
      <c r="S930">
        <v>5.8869999999999996</v>
      </c>
      <c r="T930">
        <v>0</v>
      </c>
      <c r="U930">
        <v>93.2</v>
      </c>
      <c r="V930">
        <v>970</v>
      </c>
      <c r="W930">
        <v>45.54</v>
      </c>
    </row>
    <row r="931" spans="1:23" x14ac:dyDescent="0.25">
      <c r="A931">
        <v>2006</v>
      </c>
      <c r="B931">
        <v>339</v>
      </c>
      <c r="C931">
        <v>1300</v>
      </c>
      <c r="D931">
        <v>99.5</v>
      </c>
      <c r="E931">
        <v>54.89</v>
      </c>
      <c r="F931">
        <v>6.9649999999999999</v>
      </c>
      <c r="G931">
        <v>7.38</v>
      </c>
      <c r="K931">
        <v>2.0760000000000001</v>
      </c>
      <c r="L931">
        <v>200.5</v>
      </c>
      <c r="M931">
        <v>0</v>
      </c>
      <c r="O931">
        <v>116.6</v>
      </c>
      <c r="P931">
        <v>20.78</v>
      </c>
      <c r="Q931">
        <v>6.0289999999999999</v>
      </c>
      <c r="S931">
        <v>5.7750000000000004</v>
      </c>
      <c r="T931">
        <v>0</v>
      </c>
      <c r="U931">
        <v>94.4</v>
      </c>
      <c r="V931">
        <v>969</v>
      </c>
      <c r="W931">
        <v>45.45</v>
      </c>
    </row>
    <row r="932" spans="1:23" x14ac:dyDescent="0.25">
      <c r="A932">
        <v>2006</v>
      </c>
      <c r="B932">
        <v>339</v>
      </c>
      <c r="C932">
        <v>1400</v>
      </c>
      <c r="D932">
        <v>87.2</v>
      </c>
      <c r="E932">
        <v>51.25</v>
      </c>
      <c r="F932">
        <v>7.57</v>
      </c>
      <c r="G932">
        <v>7.74</v>
      </c>
      <c r="K932">
        <v>1.63</v>
      </c>
      <c r="L932">
        <v>224.8</v>
      </c>
      <c r="M932">
        <v>0</v>
      </c>
      <c r="O932">
        <v>105.6</v>
      </c>
      <c r="P932">
        <v>16.84</v>
      </c>
      <c r="Q932">
        <v>6.0830000000000002</v>
      </c>
      <c r="S932">
        <v>5.7629999999999999</v>
      </c>
      <c r="T932">
        <v>0</v>
      </c>
      <c r="U932">
        <v>97.8</v>
      </c>
      <c r="V932">
        <v>968</v>
      </c>
      <c r="W932">
        <v>45.4</v>
      </c>
    </row>
    <row r="933" spans="1:23" x14ac:dyDescent="0.25">
      <c r="A933">
        <v>2006</v>
      </c>
      <c r="B933">
        <v>339</v>
      </c>
      <c r="C933">
        <v>1500</v>
      </c>
      <c r="D933">
        <v>28.74</v>
      </c>
      <c r="E933">
        <v>7.36</v>
      </c>
      <c r="F933">
        <v>7.2</v>
      </c>
      <c r="G933">
        <v>7.38</v>
      </c>
      <c r="K933">
        <v>1.4379999999999999</v>
      </c>
      <c r="L933">
        <v>248.8</v>
      </c>
      <c r="M933">
        <v>0</v>
      </c>
      <c r="O933">
        <v>26.31</v>
      </c>
      <c r="P933">
        <v>-2.3719999999999999</v>
      </c>
      <c r="Q933">
        <v>6.2140000000000004</v>
      </c>
      <c r="S933">
        <v>5.7539999999999996</v>
      </c>
      <c r="T933">
        <v>0</v>
      </c>
      <c r="U933">
        <v>97.5</v>
      </c>
      <c r="V933">
        <v>968</v>
      </c>
      <c r="W933">
        <v>45.35</v>
      </c>
    </row>
    <row r="934" spans="1:23" x14ac:dyDescent="0.25">
      <c r="A934">
        <v>2006</v>
      </c>
      <c r="B934">
        <v>339</v>
      </c>
      <c r="C934">
        <v>1600</v>
      </c>
      <c r="D934">
        <v>28.27</v>
      </c>
      <c r="E934">
        <v>8.65</v>
      </c>
      <c r="F934">
        <v>6.9139999999999997</v>
      </c>
      <c r="G934">
        <v>7.06</v>
      </c>
      <c r="K934">
        <v>1.633</v>
      </c>
      <c r="L934">
        <v>254.6</v>
      </c>
      <c r="M934">
        <v>0.2</v>
      </c>
      <c r="O934">
        <v>33.450000000000003</v>
      </c>
      <c r="P934">
        <v>-1.45</v>
      </c>
      <c r="Q934">
        <v>6.3609999999999998</v>
      </c>
      <c r="S934">
        <v>5.7670000000000003</v>
      </c>
      <c r="T934">
        <v>0</v>
      </c>
      <c r="U934">
        <v>98.1</v>
      </c>
      <c r="V934">
        <v>968</v>
      </c>
      <c r="W934">
        <v>45.34</v>
      </c>
    </row>
    <row r="935" spans="1:23" x14ac:dyDescent="0.25">
      <c r="A935">
        <v>2006</v>
      </c>
      <c r="B935">
        <v>339</v>
      </c>
      <c r="C935">
        <v>1700</v>
      </c>
      <c r="D935">
        <v>-0.77500000000000002</v>
      </c>
      <c r="E935">
        <v>-13.73</v>
      </c>
      <c r="F935">
        <v>6.4859999999999998</v>
      </c>
      <c r="G935">
        <v>6.6139999999999999</v>
      </c>
      <c r="K935">
        <v>1.6479999999999999</v>
      </c>
      <c r="L935">
        <v>258.89999999999998</v>
      </c>
      <c r="M935">
        <v>0</v>
      </c>
      <c r="O935">
        <v>-10.88</v>
      </c>
      <c r="P935">
        <v>-10.56</v>
      </c>
      <c r="Q935">
        <v>6.4420000000000002</v>
      </c>
      <c r="S935">
        <v>5.8010000000000002</v>
      </c>
      <c r="T935">
        <v>0</v>
      </c>
      <c r="U935">
        <v>98.2</v>
      </c>
      <c r="V935">
        <v>967</v>
      </c>
      <c r="W935">
        <v>45.28</v>
      </c>
    </row>
    <row r="936" spans="1:23" x14ac:dyDescent="0.25">
      <c r="A936">
        <v>2006</v>
      </c>
      <c r="B936">
        <v>339</v>
      </c>
      <c r="C936">
        <v>1800</v>
      </c>
      <c r="D936">
        <v>-1.06</v>
      </c>
      <c r="E936">
        <v>-16.82</v>
      </c>
      <c r="F936">
        <v>5.9690000000000003</v>
      </c>
      <c r="G936">
        <v>6.2220000000000004</v>
      </c>
      <c r="K936">
        <v>2.306</v>
      </c>
      <c r="L936">
        <v>261</v>
      </c>
      <c r="M936">
        <v>0</v>
      </c>
      <c r="O936">
        <v>-11.49</v>
      </c>
      <c r="P936">
        <v>-10.82</v>
      </c>
      <c r="Q936">
        <v>6.4450000000000003</v>
      </c>
      <c r="S936">
        <v>5.81</v>
      </c>
      <c r="T936">
        <v>0</v>
      </c>
      <c r="U936">
        <v>96.5</v>
      </c>
      <c r="V936">
        <v>967</v>
      </c>
      <c r="W936">
        <v>45.26</v>
      </c>
    </row>
    <row r="937" spans="1:23" x14ac:dyDescent="0.25">
      <c r="A937">
        <v>2006</v>
      </c>
      <c r="B937">
        <v>339</v>
      </c>
      <c r="C937">
        <v>1900</v>
      </c>
      <c r="D937">
        <v>-1.4319999999999999</v>
      </c>
      <c r="E937">
        <v>-24.88</v>
      </c>
      <c r="F937">
        <v>5.6429999999999998</v>
      </c>
      <c r="G937">
        <v>5.8529999999999998</v>
      </c>
      <c r="K937">
        <v>2.7469999999999999</v>
      </c>
      <c r="L937">
        <v>255.6</v>
      </c>
      <c r="M937">
        <v>0</v>
      </c>
      <c r="O937">
        <v>-11.47</v>
      </c>
      <c r="P937">
        <v>-10.8</v>
      </c>
      <c r="Q937">
        <v>6.4109999999999996</v>
      </c>
      <c r="S937">
        <v>5.8029999999999999</v>
      </c>
      <c r="T937">
        <v>0</v>
      </c>
      <c r="U937">
        <v>97</v>
      </c>
      <c r="V937">
        <v>967</v>
      </c>
      <c r="W937">
        <v>45.28</v>
      </c>
    </row>
    <row r="938" spans="1:23" x14ac:dyDescent="0.25">
      <c r="A938">
        <v>2006</v>
      </c>
      <c r="B938">
        <v>339</v>
      </c>
      <c r="C938">
        <v>2000</v>
      </c>
      <c r="D938">
        <v>-1.2749999999999999</v>
      </c>
      <c r="E938">
        <v>-18.5</v>
      </c>
      <c r="F938">
        <v>5.593</v>
      </c>
      <c r="G938">
        <v>5.8179999999999996</v>
      </c>
      <c r="K938">
        <v>2.294</v>
      </c>
      <c r="L938">
        <v>245.7</v>
      </c>
      <c r="M938">
        <v>0</v>
      </c>
      <c r="O938">
        <v>-11.45</v>
      </c>
      <c r="P938">
        <v>-10.73</v>
      </c>
      <c r="Q938">
        <v>6.3209999999999997</v>
      </c>
      <c r="S938">
        <v>5.7759999999999998</v>
      </c>
      <c r="T938">
        <v>0</v>
      </c>
      <c r="U938">
        <v>96.8</v>
      </c>
      <c r="V938">
        <v>968</v>
      </c>
      <c r="W938">
        <v>45.36</v>
      </c>
    </row>
    <row r="939" spans="1:23" x14ac:dyDescent="0.25">
      <c r="A939">
        <v>2006</v>
      </c>
      <c r="B939">
        <v>339</v>
      </c>
      <c r="C939">
        <v>2100</v>
      </c>
      <c r="D939">
        <v>-0.96599999999999997</v>
      </c>
      <c r="E939">
        <v>-8.6199999999999992</v>
      </c>
      <c r="F939">
        <v>5.8710000000000004</v>
      </c>
      <c r="G939">
        <v>6.0990000000000002</v>
      </c>
      <c r="K939">
        <v>2.3170000000000002</v>
      </c>
      <c r="L939">
        <v>248.9</v>
      </c>
      <c r="M939">
        <v>0</v>
      </c>
      <c r="O939">
        <v>-11.41</v>
      </c>
      <c r="P939">
        <v>-10.72</v>
      </c>
      <c r="Q939">
        <v>6.2480000000000002</v>
      </c>
      <c r="S939">
        <v>5.7629999999999999</v>
      </c>
      <c r="T939">
        <v>0</v>
      </c>
      <c r="U939">
        <v>96.8</v>
      </c>
      <c r="V939">
        <v>954</v>
      </c>
      <c r="W939">
        <v>43.96</v>
      </c>
    </row>
    <row r="940" spans="1:23" x14ac:dyDescent="0.25">
      <c r="A940">
        <v>2006</v>
      </c>
      <c r="B940">
        <v>339</v>
      </c>
      <c r="C940">
        <v>2200</v>
      </c>
      <c r="D940">
        <v>-1.1399999999999999</v>
      </c>
      <c r="E940">
        <v>-9.44</v>
      </c>
      <c r="F940">
        <v>5.8230000000000004</v>
      </c>
      <c r="G940">
        <v>6.0090000000000003</v>
      </c>
      <c r="K940">
        <v>2.448</v>
      </c>
      <c r="L940">
        <v>265</v>
      </c>
      <c r="M940">
        <v>0.4</v>
      </c>
      <c r="O940">
        <v>-11.45</v>
      </c>
      <c r="P940">
        <v>-10.74</v>
      </c>
      <c r="Q940">
        <v>6.19</v>
      </c>
      <c r="S940">
        <v>5.7549999999999999</v>
      </c>
      <c r="T940">
        <v>0</v>
      </c>
      <c r="U940">
        <v>97.4</v>
      </c>
      <c r="V940">
        <v>954</v>
      </c>
      <c r="W940">
        <v>43.99</v>
      </c>
    </row>
    <row r="941" spans="1:23" x14ac:dyDescent="0.25">
      <c r="A941">
        <v>2006</v>
      </c>
      <c r="B941">
        <v>339</v>
      </c>
      <c r="C941">
        <v>2300</v>
      </c>
      <c r="D941">
        <v>-1.5029999999999999</v>
      </c>
      <c r="E941">
        <v>-27.25</v>
      </c>
      <c r="F941">
        <v>5.335</v>
      </c>
      <c r="G941">
        <v>5.6159999999999997</v>
      </c>
      <c r="K941">
        <v>2.726</v>
      </c>
      <c r="L941">
        <v>264.10000000000002</v>
      </c>
      <c r="M941">
        <v>0</v>
      </c>
      <c r="O941">
        <v>-11.43</v>
      </c>
      <c r="P941">
        <v>-10.7</v>
      </c>
      <c r="Q941">
        <v>6.1719999999999997</v>
      </c>
      <c r="S941">
        <v>5.7640000000000002</v>
      </c>
      <c r="T941">
        <v>0</v>
      </c>
      <c r="U941">
        <v>96</v>
      </c>
      <c r="V941">
        <v>961</v>
      </c>
      <c r="W941">
        <v>44.72</v>
      </c>
    </row>
    <row r="942" spans="1:23" x14ac:dyDescent="0.25">
      <c r="A942">
        <v>2006</v>
      </c>
      <c r="B942">
        <v>339</v>
      </c>
      <c r="C942">
        <v>2400</v>
      </c>
      <c r="D942">
        <v>-1.9610000000000001</v>
      </c>
      <c r="E942">
        <v>-39.86</v>
      </c>
      <c r="F942">
        <v>4.7759999999999998</v>
      </c>
      <c r="G942">
        <v>5.09</v>
      </c>
      <c r="K942">
        <v>2.9529999999999998</v>
      </c>
      <c r="L942">
        <v>253.7</v>
      </c>
      <c r="M942">
        <v>0</v>
      </c>
      <c r="O942">
        <v>-11.37</v>
      </c>
      <c r="P942">
        <v>-10.66</v>
      </c>
      <c r="Q942">
        <v>6.1349999999999998</v>
      </c>
      <c r="S942">
        <v>5.7750000000000004</v>
      </c>
      <c r="T942">
        <v>0</v>
      </c>
      <c r="U942">
        <v>95.4</v>
      </c>
      <c r="V942">
        <v>963</v>
      </c>
      <c r="W942">
        <v>44.83</v>
      </c>
    </row>
    <row r="943" spans="1:23" x14ac:dyDescent="0.25">
      <c r="A943">
        <v>2006</v>
      </c>
      <c r="B943">
        <v>339</v>
      </c>
      <c r="C943">
        <v>2400</v>
      </c>
      <c r="D943">
        <v>21.24</v>
      </c>
      <c r="E943">
        <v>-11.94</v>
      </c>
      <c r="F943">
        <v>6.6849999999999996</v>
      </c>
      <c r="G943">
        <v>7.01</v>
      </c>
      <c r="K943">
        <v>2.3460000000000001</v>
      </c>
      <c r="L943">
        <v>238.6</v>
      </c>
      <c r="M943">
        <v>0.6</v>
      </c>
      <c r="O943">
        <v>16.829999999999998</v>
      </c>
      <c r="P943">
        <v>-0.65200000000000002</v>
      </c>
      <c r="Q943">
        <v>6.4859999999999998</v>
      </c>
      <c r="S943">
        <v>5.8959999999999999</v>
      </c>
      <c r="T943">
        <v>0</v>
      </c>
      <c r="U943">
        <v>95.7</v>
      </c>
      <c r="V943">
        <v>971</v>
      </c>
      <c r="W943">
        <v>45.69</v>
      </c>
    </row>
    <row r="944" spans="1:23" x14ac:dyDescent="0.25">
      <c r="A944">
        <v>2006</v>
      </c>
      <c r="B944">
        <v>340</v>
      </c>
      <c r="C944">
        <v>100</v>
      </c>
      <c r="D944">
        <v>-1.5509999999999999</v>
      </c>
      <c r="E944">
        <v>-22.23</v>
      </c>
      <c r="F944">
        <v>5.1139999999999999</v>
      </c>
      <c r="G944">
        <v>5.4779999999999998</v>
      </c>
      <c r="K944">
        <v>3.3780000000000001</v>
      </c>
      <c r="L944">
        <v>258.8</v>
      </c>
      <c r="M944">
        <v>0</v>
      </c>
      <c r="O944">
        <v>-11.3</v>
      </c>
      <c r="P944">
        <v>-10.64</v>
      </c>
      <c r="Q944">
        <v>6.0540000000000003</v>
      </c>
      <c r="S944">
        <v>5.7290000000000001</v>
      </c>
      <c r="T944">
        <v>0</v>
      </c>
      <c r="U944">
        <v>94.8</v>
      </c>
      <c r="V944">
        <v>954</v>
      </c>
      <c r="W944">
        <v>44</v>
      </c>
    </row>
    <row r="945" spans="1:25" x14ac:dyDescent="0.25">
      <c r="A945">
        <v>2006</v>
      </c>
      <c r="B945">
        <v>340</v>
      </c>
      <c r="C945">
        <v>200</v>
      </c>
      <c r="D945">
        <v>-1.081</v>
      </c>
      <c r="E945">
        <v>-9.94</v>
      </c>
      <c r="F945">
        <v>5.7309999999999999</v>
      </c>
      <c r="G945">
        <v>6.1020000000000003</v>
      </c>
      <c r="K945">
        <v>3.702</v>
      </c>
      <c r="L945">
        <v>263.60000000000002</v>
      </c>
      <c r="M945">
        <v>0</v>
      </c>
      <c r="O945">
        <v>-11.3</v>
      </c>
      <c r="P945">
        <v>-10.62</v>
      </c>
      <c r="Q945">
        <v>5.9509999999999996</v>
      </c>
      <c r="S945">
        <v>5.7110000000000003</v>
      </c>
      <c r="T945">
        <v>0</v>
      </c>
      <c r="U945">
        <v>94.8</v>
      </c>
      <c r="V945">
        <v>945</v>
      </c>
      <c r="W945">
        <v>43.16</v>
      </c>
    </row>
    <row r="946" spans="1:25" x14ac:dyDescent="0.25">
      <c r="A946">
        <v>2006</v>
      </c>
      <c r="B946">
        <v>340</v>
      </c>
      <c r="C946">
        <v>300</v>
      </c>
      <c r="D946">
        <v>-1.103</v>
      </c>
      <c r="E946">
        <v>-21.83</v>
      </c>
      <c r="F946">
        <v>6.0590000000000002</v>
      </c>
      <c r="G946">
        <v>6.2889999999999997</v>
      </c>
      <c r="K946">
        <v>3.18</v>
      </c>
      <c r="L946">
        <v>266.7</v>
      </c>
      <c r="M946">
        <v>0</v>
      </c>
      <c r="O946">
        <v>-11.39</v>
      </c>
      <c r="P946">
        <v>-10.69</v>
      </c>
      <c r="Q946">
        <v>5.9039999999999999</v>
      </c>
      <c r="S946">
        <v>5.6890000000000001</v>
      </c>
      <c r="T946">
        <v>0</v>
      </c>
      <c r="U946">
        <v>96.8</v>
      </c>
      <c r="V946">
        <v>938</v>
      </c>
      <c r="W946">
        <v>42.48</v>
      </c>
    </row>
    <row r="947" spans="1:25" x14ac:dyDescent="0.25">
      <c r="A947">
        <v>2006</v>
      </c>
      <c r="B947">
        <v>340</v>
      </c>
      <c r="C947">
        <v>400</v>
      </c>
      <c r="D947">
        <v>-1.361</v>
      </c>
      <c r="E947">
        <v>-16.95</v>
      </c>
      <c r="F947">
        <v>5.9240000000000004</v>
      </c>
      <c r="G947">
        <v>6.069</v>
      </c>
      <c r="K947">
        <v>2.851</v>
      </c>
      <c r="L947">
        <v>265.39999999999998</v>
      </c>
      <c r="M947">
        <v>0</v>
      </c>
      <c r="O947">
        <v>-11.44</v>
      </c>
      <c r="P947">
        <v>-10.73</v>
      </c>
      <c r="Q947">
        <v>5.8769999999999998</v>
      </c>
      <c r="S947">
        <v>5.6779999999999999</v>
      </c>
      <c r="T947">
        <v>0</v>
      </c>
      <c r="U947">
        <v>98</v>
      </c>
      <c r="V947">
        <v>932</v>
      </c>
      <c r="W947">
        <v>41.98</v>
      </c>
    </row>
    <row r="948" spans="1:25" x14ac:dyDescent="0.25">
      <c r="A948">
        <v>2006</v>
      </c>
      <c r="B948">
        <v>340</v>
      </c>
      <c r="C948">
        <v>500</v>
      </c>
      <c r="D948">
        <v>-0.85299999999999998</v>
      </c>
      <c r="E948">
        <v>-10.11</v>
      </c>
      <c r="F948">
        <v>5.9340000000000002</v>
      </c>
      <c r="G948">
        <v>6.2030000000000003</v>
      </c>
      <c r="K948">
        <v>3.085</v>
      </c>
      <c r="L948">
        <v>268.89999999999998</v>
      </c>
      <c r="M948">
        <v>0.4</v>
      </c>
      <c r="O948">
        <v>-11.43</v>
      </c>
      <c r="P948">
        <v>-10.71</v>
      </c>
      <c r="Q948">
        <v>5.8380000000000001</v>
      </c>
      <c r="S948">
        <v>5.6180000000000003</v>
      </c>
      <c r="T948">
        <v>0</v>
      </c>
      <c r="U948">
        <v>96.2</v>
      </c>
      <c r="V948">
        <v>938</v>
      </c>
      <c r="W948">
        <v>42.57</v>
      </c>
    </row>
    <row r="949" spans="1:25" x14ac:dyDescent="0.25">
      <c r="A949">
        <v>2006</v>
      </c>
      <c r="B949">
        <v>340</v>
      </c>
      <c r="C949">
        <v>600</v>
      </c>
      <c r="D949">
        <v>-1.659</v>
      </c>
      <c r="E949">
        <v>-27.18</v>
      </c>
      <c r="F949">
        <v>5.8609999999999998</v>
      </c>
      <c r="G949">
        <v>6.0410000000000004</v>
      </c>
      <c r="K949">
        <v>2.4790000000000001</v>
      </c>
      <c r="L949">
        <v>257.5</v>
      </c>
      <c r="M949">
        <v>0</v>
      </c>
      <c r="O949">
        <v>-11.4</v>
      </c>
      <c r="P949">
        <v>-10.71</v>
      </c>
      <c r="Q949">
        <v>5.8289999999999997</v>
      </c>
      <c r="S949">
        <v>5.5570000000000004</v>
      </c>
      <c r="T949">
        <v>0</v>
      </c>
      <c r="U949">
        <v>97.5</v>
      </c>
      <c r="V949">
        <v>947</v>
      </c>
      <c r="W949">
        <v>43.35</v>
      </c>
    </row>
    <row r="950" spans="1:25" x14ac:dyDescent="0.25">
      <c r="A950">
        <v>2006</v>
      </c>
      <c r="B950">
        <v>340</v>
      </c>
      <c r="C950">
        <v>700</v>
      </c>
      <c r="D950">
        <v>-1.821</v>
      </c>
      <c r="E950">
        <v>-26.42</v>
      </c>
      <c r="F950">
        <v>5.3769999999999998</v>
      </c>
      <c r="G950">
        <v>5.6150000000000002</v>
      </c>
      <c r="K950">
        <v>2.4790000000000001</v>
      </c>
      <c r="L950">
        <v>262.3</v>
      </c>
      <c r="M950">
        <v>0.4</v>
      </c>
      <c r="O950">
        <v>-11.37</v>
      </c>
      <c r="P950">
        <v>-10.67</v>
      </c>
      <c r="Q950">
        <v>5.8259999999999996</v>
      </c>
      <c r="S950">
        <v>5.585</v>
      </c>
      <c r="T950">
        <v>0</v>
      </c>
      <c r="U950">
        <v>96.6</v>
      </c>
      <c r="V950">
        <v>942</v>
      </c>
      <c r="W950">
        <v>42.87</v>
      </c>
    </row>
    <row r="951" spans="1:25" x14ac:dyDescent="0.25">
      <c r="A951">
        <v>2006</v>
      </c>
      <c r="B951">
        <v>340</v>
      </c>
      <c r="C951">
        <v>800</v>
      </c>
      <c r="D951">
        <v>-2.1520000000000001</v>
      </c>
      <c r="E951">
        <v>-39.71</v>
      </c>
      <c r="F951">
        <v>4.633</v>
      </c>
      <c r="G951">
        <v>4.9610000000000003</v>
      </c>
      <c r="K951">
        <v>2.3319999999999999</v>
      </c>
      <c r="L951">
        <v>262</v>
      </c>
      <c r="M951">
        <v>0</v>
      </c>
      <c r="O951">
        <v>-11.21</v>
      </c>
      <c r="P951">
        <v>-10.57</v>
      </c>
      <c r="Q951">
        <v>5.7389999999999999</v>
      </c>
      <c r="S951">
        <v>5.5389999999999997</v>
      </c>
      <c r="T951">
        <v>0</v>
      </c>
      <c r="U951">
        <v>95.2</v>
      </c>
      <c r="V951">
        <v>945</v>
      </c>
      <c r="W951">
        <v>43.11</v>
      </c>
    </row>
    <row r="952" spans="1:25" x14ac:dyDescent="0.25">
      <c r="A952">
        <v>2006</v>
      </c>
      <c r="B952">
        <v>340</v>
      </c>
      <c r="C952">
        <v>900</v>
      </c>
      <c r="D952">
        <v>3.5870000000000002</v>
      </c>
      <c r="E952">
        <v>-34.799999999999997</v>
      </c>
      <c r="F952">
        <v>4.282</v>
      </c>
      <c r="G952">
        <v>4.5780000000000003</v>
      </c>
      <c r="H952">
        <f>AVERAGE(G952:G976)</f>
        <v>6.5026799999999989</v>
      </c>
      <c r="I952">
        <f>MIN(G952:G976)</f>
        <v>4.5780000000000003</v>
      </c>
      <c r="J952">
        <f>MAX(G952:G976)</f>
        <v>8.42</v>
      </c>
      <c r="K952">
        <v>2.3029999999999999</v>
      </c>
      <c r="L952">
        <v>249.2</v>
      </c>
      <c r="M952">
        <v>0</v>
      </c>
      <c r="N952">
        <f>SUM(M952:M976)</f>
        <v>20.8</v>
      </c>
      <c r="O952">
        <v>-4.3730000000000002</v>
      </c>
      <c r="P952">
        <v>-8.0399999999999991</v>
      </c>
      <c r="Q952">
        <v>5.6379999999999999</v>
      </c>
      <c r="S952">
        <v>5.5270000000000001</v>
      </c>
      <c r="T952">
        <v>0</v>
      </c>
      <c r="U952">
        <v>95.6</v>
      </c>
      <c r="V952">
        <v>940</v>
      </c>
      <c r="W952">
        <v>42.66</v>
      </c>
    </row>
    <row r="953" spans="1:25" x14ac:dyDescent="0.25">
      <c r="A953">
        <v>2006</v>
      </c>
      <c r="B953">
        <v>340</v>
      </c>
      <c r="C953">
        <v>1000</v>
      </c>
      <c r="D953">
        <v>58.89</v>
      </c>
      <c r="E953">
        <v>-16.07</v>
      </c>
      <c r="F953">
        <v>4.593</v>
      </c>
      <c r="G953">
        <v>4.875</v>
      </c>
      <c r="K953">
        <v>2.198</v>
      </c>
      <c r="L953">
        <v>250</v>
      </c>
      <c r="M953">
        <v>0</v>
      </c>
      <c r="O953">
        <v>37.35</v>
      </c>
      <c r="P953">
        <v>41.25</v>
      </c>
      <c r="Q953">
        <v>5.4880000000000004</v>
      </c>
      <c r="S953">
        <v>5.5170000000000003</v>
      </c>
      <c r="T953">
        <v>0</v>
      </c>
      <c r="U953">
        <v>95.9</v>
      </c>
      <c r="V953">
        <v>934</v>
      </c>
      <c r="W953">
        <v>42.21</v>
      </c>
    </row>
    <row r="954" spans="1:25" x14ac:dyDescent="0.25">
      <c r="A954">
        <v>2006</v>
      </c>
      <c r="B954">
        <v>340</v>
      </c>
      <c r="C954">
        <v>1100</v>
      </c>
      <c r="D954">
        <v>130.80000000000001</v>
      </c>
      <c r="E954">
        <v>29.81</v>
      </c>
      <c r="F954">
        <v>5.391</v>
      </c>
      <c r="G954">
        <v>5.7679999999999998</v>
      </c>
      <c r="K954">
        <v>2.2160000000000002</v>
      </c>
      <c r="L954">
        <v>241</v>
      </c>
      <c r="M954">
        <v>0</v>
      </c>
      <c r="O954">
        <v>143.30000000000001</v>
      </c>
      <c r="P954">
        <v>113.2</v>
      </c>
      <c r="Q954">
        <v>5.3920000000000003</v>
      </c>
      <c r="S954">
        <v>5.4889999999999999</v>
      </c>
      <c r="T954">
        <v>0</v>
      </c>
      <c r="U954">
        <v>94.7</v>
      </c>
      <c r="V954">
        <v>931</v>
      </c>
      <c r="W954">
        <v>41.87</v>
      </c>
      <c r="Y954">
        <v>14.39</v>
      </c>
    </row>
    <row r="955" spans="1:25" x14ac:dyDescent="0.25">
      <c r="A955">
        <v>2006</v>
      </c>
      <c r="B955">
        <v>340</v>
      </c>
      <c r="C955">
        <v>1200</v>
      </c>
      <c r="D955">
        <v>181.8</v>
      </c>
      <c r="E955">
        <v>124.9</v>
      </c>
      <c r="F955">
        <v>6.1639999999999997</v>
      </c>
      <c r="G955">
        <v>6.8150000000000004</v>
      </c>
      <c r="K955">
        <v>2.3439999999999999</v>
      </c>
      <c r="L955">
        <v>244</v>
      </c>
      <c r="M955">
        <v>0</v>
      </c>
      <c r="O955">
        <v>206.1</v>
      </c>
      <c r="P955">
        <v>103.2</v>
      </c>
      <c r="Q955">
        <v>5.3460000000000001</v>
      </c>
      <c r="S955">
        <v>5.4370000000000003</v>
      </c>
      <c r="T955">
        <v>0</v>
      </c>
      <c r="U955">
        <v>91.2</v>
      </c>
      <c r="V955">
        <v>928</v>
      </c>
      <c r="W955">
        <v>41.65</v>
      </c>
      <c r="Y955">
        <v>14.45</v>
      </c>
    </row>
    <row r="956" spans="1:25" x14ac:dyDescent="0.25">
      <c r="A956">
        <v>2006</v>
      </c>
      <c r="B956">
        <v>340</v>
      </c>
      <c r="C956">
        <v>1300</v>
      </c>
      <c r="D956">
        <v>141.5</v>
      </c>
      <c r="E956">
        <v>90.9</v>
      </c>
      <c r="F956">
        <v>6.556</v>
      </c>
      <c r="G956">
        <v>7.27</v>
      </c>
      <c r="K956">
        <v>2.8919999999999999</v>
      </c>
      <c r="L956">
        <v>247.6</v>
      </c>
      <c r="M956">
        <v>0</v>
      </c>
      <c r="O956">
        <v>159</v>
      </c>
      <c r="P956">
        <v>61.35</v>
      </c>
      <c r="Q956">
        <v>5.3230000000000004</v>
      </c>
      <c r="S956">
        <v>5.3630000000000004</v>
      </c>
      <c r="T956">
        <v>0</v>
      </c>
      <c r="U956">
        <v>90.6</v>
      </c>
      <c r="V956">
        <v>925</v>
      </c>
      <c r="W956">
        <v>41.37</v>
      </c>
      <c r="Y956">
        <v>14.08</v>
      </c>
    </row>
    <row r="957" spans="1:25" x14ac:dyDescent="0.25">
      <c r="A957">
        <v>2006</v>
      </c>
      <c r="B957">
        <v>340</v>
      </c>
      <c r="C957">
        <v>1400</v>
      </c>
      <c r="D957">
        <v>118</v>
      </c>
      <c r="E957">
        <v>67.59</v>
      </c>
      <c r="F957">
        <v>6.9169999999999998</v>
      </c>
      <c r="G957">
        <v>7.36</v>
      </c>
      <c r="K957">
        <v>2.3039999999999998</v>
      </c>
      <c r="L957">
        <v>241.2</v>
      </c>
      <c r="M957">
        <v>0</v>
      </c>
      <c r="O957">
        <v>126.9</v>
      </c>
      <c r="P957">
        <v>49.42</v>
      </c>
      <c r="Q957">
        <v>5.4210000000000003</v>
      </c>
      <c r="S957">
        <v>5.3289999999999997</v>
      </c>
      <c r="T957">
        <v>0</v>
      </c>
      <c r="U957">
        <v>94.1</v>
      </c>
      <c r="V957">
        <v>920</v>
      </c>
      <c r="W957">
        <v>40.99</v>
      </c>
      <c r="Y957">
        <v>13.95</v>
      </c>
    </row>
    <row r="958" spans="1:25" x14ac:dyDescent="0.25">
      <c r="A958">
        <v>2006</v>
      </c>
      <c r="B958">
        <v>340</v>
      </c>
      <c r="C958">
        <v>1500</v>
      </c>
      <c r="D958">
        <v>44.88</v>
      </c>
      <c r="E958">
        <v>17.989999999999998</v>
      </c>
      <c r="F958">
        <v>7.07</v>
      </c>
      <c r="G958">
        <v>7.47</v>
      </c>
      <c r="K958">
        <v>2.0499999999999998</v>
      </c>
      <c r="L958">
        <v>239.7</v>
      </c>
      <c r="M958">
        <v>0</v>
      </c>
      <c r="O958">
        <v>44</v>
      </c>
      <c r="P958">
        <v>3.383</v>
      </c>
      <c r="Q958">
        <v>5.5419999999999998</v>
      </c>
      <c r="S958">
        <v>5.3289999999999997</v>
      </c>
      <c r="T958">
        <v>0</v>
      </c>
      <c r="U958">
        <v>94.7</v>
      </c>
      <c r="V958">
        <v>917</v>
      </c>
      <c r="W958">
        <v>40.75</v>
      </c>
      <c r="Y958">
        <v>13.61</v>
      </c>
    </row>
    <row r="959" spans="1:25" x14ac:dyDescent="0.25">
      <c r="A959">
        <v>2006</v>
      </c>
      <c r="B959">
        <v>340</v>
      </c>
      <c r="C959">
        <v>1600</v>
      </c>
      <c r="D959">
        <v>7.03</v>
      </c>
      <c r="E959">
        <v>-2.3650000000000002</v>
      </c>
      <c r="F959">
        <v>6.7320000000000002</v>
      </c>
      <c r="G959">
        <v>6.9320000000000004</v>
      </c>
      <c r="K959">
        <v>2.0950000000000002</v>
      </c>
      <c r="L959">
        <v>231.6</v>
      </c>
      <c r="M959">
        <v>0</v>
      </c>
      <c r="O959">
        <v>-1.776</v>
      </c>
      <c r="P959">
        <v>-8.91</v>
      </c>
      <c r="Q959">
        <v>5.6669999999999998</v>
      </c>
      <c r="S959">
        <v>5.3520000000000003</v>
      </c>
      <c r="T959">
        <v>0</v>
      </c>
      <c r="U959">
        <v>97.3</v>
      </c>
      <c r="V959">
        <v>915</v>
      </c>
      <c r="W959">
        <v>40.630000000000003</v>
      </c>
      <c r="Y959">
        <v>13.47</v>
      </c>
    </row>
    <row r="960" spans="1:25" x14ac:dyDescent="0.25">
      <c r="A960">
        <v>2006</v>
      </c>
      <c r="B960">
        <v>340</v>
      </c>
      <c r="C960">
        <v>1700</v>
      </c>
      <c r="D960">
        <v>-1.407</v>
      </c>
      <c r="E960">
        <v>-23.49</v>
      </c>
      <c r="F960">
        <v>6.077</v>
      </c>
      <c r="G960">
        <v>6.3659999999999997</v>
      </c>
      <c r="K960">
        <v>1.5069999999999999</v>
      </c>
      <c r="L960">
        <v>204.8</v>
      </c>
      <c r="M960">
        <v>0</v>
      </c>
      <c r="O960">
        <v>-10.8</v>
      </c>
      <c r="P960">
        <v>-10.61</v>
      </c>
      <c r="Q960">
        <v>5.7859999999999996</v>
      </c>
      <c r="S960">
        <v>5.3879999999999999</v>
      </c>
      <c r="T960">
        <v>0</v>
      </c>
      <c r="U960">
        <v>96</v>
      </c>
      <c r="V960">
        <v>915</v>
      </c>
      <c r="W960">
        <v>40.549999999999997</v>
      </c>
      <c r="Y960">
        <v>13.35</v>
      </c>
    </row>
    <row r="961" spans="1:25" x14ac:dyDescent="0.25">
      <c r="A961">
        <v>2006</v>
      </c>
      <c r="B961">
        <v>340</v>
      </c>
      <c r="C961">
        <v>1800</v>
      </c>
      <c r="D961">
        <v>-1.4179999999999999</v>
      </c>
      <c r="E961">
        <v>-16.809999999999999</v>
      </c>
      <c r="F961">
        <v>5.62</v>
      </c>
      <c r="G961">
        <v>6.14</v>
      </c>
      <c r="K961">
        <v>1.95</v>
      </c>
      <c r="L961">
        <v>183.5</v>
      </c>
      <c r="M961">
        <v>0</v>
      </c>
      <c r="O961">
        <v>-11.5</v>
      </c>
      <c r="P961">
        <v>-10.84</v>
      </c>
      <c r="Q961">
        <v>5.7670000000000003</v>
      </c>
      <c r="S961">
        <v>5.41</v>
      </c>
      <c r="T961">
        <v>0</v>
      </c>
      <c r="U961">
        <v>92.8</v>
      </c>
      <c r="V961">
        <v>913</v>
      </c>
      <c r="W961">
        <v>40.42</v>
      </c>
      <c r="Y961">
        <v>13.26</v>
      </c>
    </row>
    <row r="962" spans="1:25" x14ac:dyDescent="0.25">
      <c r="A962">
        <v>2006</v>
      </c>
      <c r="B962">
        <v>340</v>
      </c>
      <c r="C962">
        <v>1900</v>
      </c>
      <c r="D962">
        <v>-1.117</v>
      </c>
      <c r="E962">
        <v>-10.28</v>
      </c>
      <c r="F962">
        <v>5.07</v>
      </c>
      <c r="G962">
        <v>5.4930000000000003</v>
      </c>
      <c r="K962">
        <v>2.5190000000000001</v>
      </c>
      <c r="L962">
        <v>171.4</v>
      </c>
      <c r="M962">
        <v>1.2</v>
      </c>
      <c r="O962">
        <v>-11.5</v>
      </c>
      <c r="P962">
        <v>-10.84</v>
      </c>
      <c r="Q962">
        <v>5.718</v>
      </c>
      <c r="S962">
        <v>5.4139999999999997</v>
      </c>
      <c r="T962">
        <v>0</v>
      </c>
      <c r="U962">
        <v>94</v>
      </c>
      <c r="V962">
        <v>924</v>
      </c>
      <c r="W962">
        <v>41.31</v>
      </c>
      <c r="Y962">
        <v>13.19</v>
      </c>
    </row>
    <row r="963" spans="1:25" x14ac:dyDescent="0.25">
      <c r="A963">
        <v>2006</v>
      </c>
      <c r="B963">
        <v>340</v>
      </c>
      <c r="C963">
        <v>2000</v>
      </c>
      <c r="D963">
        <v>-0.68899999999999995</v>
      </c>
      <c r="E963">
        <v>-7.08</v>
      </c>
      <c r="F963">
        <v>4.6070000000000002</v>
      </c>
      <c r="G963">
        <v>4.7699999999999996</v>
      </c>
      <c r="K963">
        <v>2.7709999999999999</v>
      </c>
      <c r="L963">
        <v>136.19999999999999</v>
      </c>
      <c r="M963">
        <v>1.8</v>
      </c>
      <c r="O963">
        <v>-11.49</v>
      </c>
      <c r="P963">
        <v>-10.81</v>
      </c>
      <c r="Q963">
        <v>5.7009999999999996</v>
      </c>
      <c r="S963">
        <v>5.3970000000000002</v>
      </c>
      <c r="T963">
        <v>0</v>
      </c>
      <c r="U963">
        <v>97.6</v>
      </c>
      <c r="V963">
        <v>963</v>
      </c>
      <c r="W963">
        <v>44.87</v>
      </c>
      <c r="Y963">
        <v>13.12</v>
      </c>
    </row>
    <row r="964" spans="1:25" x14ac:dyDescent="0.25">
      <c r="A964">
        <v>2006</v>
      </c>
      <c r="B964">
        <v>340</v>
      </c>
      <c r="C964">
        <v>2100</v>
      </c>
      <c r="D964">
        <v>-0.83099999999999996</v>
      </c>
      <c r="E964">
        <v>-4.9610000000000003</v>
      </c>
      <c r="F964">
        <v>6.8029999999999999</v>
      </c>
      <c r="G964">
        <v>7.12</v>
      </c>
      <c r="K964">
        <v>3.6030000000000002</v>
      </c>
      <c r="L964">
        <v>173.4</v>
      </c>
      <c r="M964">
        <v>0.6</v>
      </c>
      <c r="O964">
        <v>-11.46</v>
      </c>
      <c r="P964">
        <v>-10.73</v>
      </c>
      <c r="Q964">
        <v>5.6959999999999997</v>
      </c>
      <c r="S964">
        <v>5.4489999999999998</v>
      </c>
      <c r="T964">
        <v>0</v>
      </c>
      <c r="U964">
        <v>95.8</v>
      </c>
      <c r="V964">
        <v>966</v>
      </c>
      <c r="W964">
        <v>45.18</v>
      </c>
      <c r="Y964">
        <v>13.07</v>
      </c>
    </row>
    <row r="965" spans="1:25" x14ac:dyDescent="0.25">
      <c r="A965">
        <v>2006</v>
      </c>
      <c r="B965">
        <v>340</v>
      </c>
      <c r="C965">
        <v>2200</v>
      </c>
      <c r="D965">
        <v>-0.379</v>
      </c>
      <c r="E965">
        <v>-5.1100000000000003</v>
      </c>
      <c r="F965">
        <v>7.89</v>
      </c>
      <c r="G965">
        <v>8.2100000000000009</v>
      </c>
      <c r="K965">
        <v>3.54</v>
      </c>
      <c r="L965">
        <v>192.1</v>
      </c>
      <c r="M965">
        <v>0.2</v>
      </c>
      <c r="O965">
        <v>-11.5</v>
      </c>
      <c r="P965">
        <v>-10.81</v>
      </c>
      <c r="Q965">
        <v>5.6929999999999996</v>
      </c>
      <c r="S965">
        <v>5.4320000000000004</v>
      </c>
      <c r="T965">
        <v>0</v>
      </c>
      <c r="U965">
        <v>96</v>
      </c>
      <c r="V965">
        <v>968</v>
      </c>
      <c r="W965">
        <v>45.34</v>
      </c>
      <c r="Y965">
        <v>13.02</v>
      </c>
    </row>
    <row r="966" spans="1:25" x14ac:dyDescent="0.25">
      <c r="A966">
        <v>2006</v>
      </c>
      <c r="B966">
        <v>340</v>
      </c>
      <c r="C966">
        <v>2300</v>
      </c>
      <c r="D966">
        <v>-1.0249999999999999</v>
      </c>
      <c r="E966">
        <v>-12.84</v>
      </c>
      <c r="F966">
        <v>7.92</v>
      </c>
      <c r="G966">
        <v>8.42</v>
      </c>
      <c r="K966">
        <v>2.7469999999999999</v>
      </c>
      <c r="L966">
        <v>214.3</v>
      </c>
      <c r="M966">
        <v>0</v>
      </c>
      <c r="O966">
        <v>-11.5</v>
      </c>
      <c r="P966">
        <v>-10.84</v>
      </c>
      <c r="Q966">
        <v>5.7930000000000001</v>
      </c>
      <c r="S966">
        <v>5.4290000000000003</v>
      </c>
      <c r="T966">
        <v>0</v>
      </c>
      <c r="U966">
        <v>93.7</v>
      </c>
      <c r="V966">
        <v>967</v>
      </c>
      <c r="W966">
        <v>45.26</v>
      </c>
      <c r="Y966">
        <v>12.99</v>
      </c>
    </row>
    <row r="967" spans="1:25" x14ac:dyDescent="0.25">
      <c r="A967">
        <v>2006</v>
      </c>
      <c r="B967">
        <v>340</v>
      </c>
      <c r="C967">
        <v>2400</v>
      </c>
      <c r="D967">
        <v>-0.377</v>
      </c>
      <c r="E967">
        <v>-5.0170000000000003</v>
      </c>
      <c r="F967">
        <v>7.33</v>
      </c>
      <c r="G967">
        <v>7.58</v>
      </c>
      <c r="K967">
        <v>3.1070000000000002</v>
      </c>
      <c r="L967">
        <v>249.2</v>
      </c>
      <c r="M967">
        <v>4.5999999999999996</v>
      </c>
      <c r="O967">
        <v>-11.5</v>
      </c>
      <c r="P967">
        <v>-10.84</v>
      </c>
      <c r="Q967">
        <v>5.8869999999999996</v>
      </c>
      <c r="S967">
        <v>5.4290000000000003</v>
      </c>
      <c r="T967">
        <v>0</v>
      </c>
      <c r="U967">
        <v>96.7</v>
      </c>
      <c r="V967">
        <v>968</v>
      </c>
      <c r="W967">
        <v>45.36</v>
      </c>
      <c r="Y967">
        <v>12.97</v>
      </c>
    </row>
    <row r="968" spans="1:25" x14ac:dyDescent="0.25">
      <c r="A968">
        <v>2006</v>
      </c>
      <c r="B968">
        <v>340</v>
      </c>
      <c r="C968">
        <v>2400</v>
      </c>
      <c r="D968">
        <v>27.82</v>
      </c>
      <c r="E968">
        <v>0.752</v>
      </c>
      <c r="F968">
        <v>5.9859999999999998</v>
      </c>
      <c r="G968">
        <v>6.3289999999999997</v>
      </c>
      <c r="K968">
        <v>2.6509999999999998</v>
      </c>
      <c r="L968">
        <v>237.2</v>
      </c>
      <c r="M968">
        <v>9.1999999999999993</v>
      </c>
      <c r="O968">
        <v>22.02</v>
      </c>
      <c r="P968">
        <v>7.63</v>
      </c>
      <c r="Q968">
        <v>5.7030000000000003</v>
      </c>
      <c r="S968">
        <v>5.492</v>
      </c>
      <c r="T968">
        <v>0</v>
      </c>
      <c r="U968">
        <v>95.3</v>
      </c>
      <c r="V968">
        <v>939</v>
      </c>
      <c r="W968">
        <v>42.66</v>
      </c>
      <c r="Y968">
        <v>13.27</v>
      </c>
    </row>
    <row r="969" spans="1:25" x14ac:dyDescent="0.25">
      <c r="A969">
        <v>2006</v>
      </c>
      <c r="B969">
        <v>341</v>
      </c>
      <c r="C969">
        <v>100</v>
      </c>
      <c r="D969">
        <v>-1.534</v>
      </c>
      <c r="E969">
        <v>-22.38</v>
      </c>
      <c r="F969">
        <v>7.09</v>
      </c>
      <c r="G969">
        <v>7.56</v>
      </c>
      <c r="K969">
        <v>2.3029999999999999</v>
      </c>
      <c r="L969">
        <v>228.2</v>
      </c>
      <c r="M969">
        <v>1</v>
      </c>
      <c r="O969">
        <v>-11.5</v>
      </c>
      <c r="P969">
        <v>-10.84</v>
      </c>
      <c r="Q969">
        <v>5.9390000000000001</v>
      </c>
      <c r="S969">
        <v>5.4290000000000003</v>
      </c>
      <c r="T969">
        <v>0</v>
      </c>
      <c r="U969">
        <v>93.9</v>
      </c>
      <c r="V969">
        <v>969</v>
      </c>
      <c r="W969">
        <v>45.5</v>
      </c>
      <c r="Y969">
        <v>12.95</v>
      </c>
    </row>
    <row r="970" spans="1:25" x14ac:dyDescent="0.25">
      <c r="A970">
        <v>2006</v>
      </c>
      <c r="B970">
        <v>341</v>
      </c>
      <c r="C970">
        <v>200</v>
      </c>
      <c r="D970">
        <v>-0.78</v>
      </c>
      <c r="E970">
        <v>-9.92</v>
      </c>
      <c r="F970">
        <v>6.7809999999999997</v>
      </c>
      <c r="G970">
        <v>7.3</v>
      </c>
      <c r="K970">
        <v>4.3099999999999996</v>
      </c>
      <c r="L970">
        <v>241</v>
      </c>
      <c r="M970">
        <v>1.8</v>
      </c>
      <c r="O970">
        <v>-11.5</v>
      </c>
      <c r="P970">
        <v>-10.84</v>
      </c>
      <c r="Q970">
        <v>5.968</v>
      </c>
      <c r="S970">
        <v>5.44</v>
      </c>
      <c r="T970">
        <v>0</v>
      </c>
      <c r="U970">
        <v>93.1</v>
      </c>
      <c r="V970">
        <v>970</v>
      </c>
      <c r="W970">
        <v>45.61</v>
      </c>
      <c r="Y970">
        <v>12.94</v>
      </c>
    </row>
    <row r="971" spans="1:25" x14ac:dyDescent="0.25">
      <c r="A971">
        <v>2006</v>
      </c>
      <c r="B971">
        <v>341</v>
      </c>
      <c r="C971">
        <v>300</v>
      </c>
      <c r="D971">
        <v>-1.125</v>
      </c>
      <c r="E971">
        <v>-19.47</v>
      </c>
      <c r="F971">
        <v>6.2610000000000001</v>
      </c>
      <c r="G971">
        <v>6.8150000000000004</v>
      </c>
      <c r="K971">
        <v>3.202</v>
      </c>
      <c r="L971">
        <v>227.2</v>
      </c>
      <c r="M971">
        <v>0.2</v>
      </c>
      <c r="O971">
        <v>-11.5</v>
      </c>
      <c r="P971">
        <v>-10.85</v>
      </c>
      <c r="Q971">
        <v>5.968</v>
      </c>
      <c r="S971">
        <v>5.4720000000000004</v>
      </c>
      <c r="T971">
        <v>0</v>
      </c>
      <c r="U971">
        <v>92.5</v>
      </c>
      <c r="V971">
        <v>971</v>
      </c>
      <c r="W971">
        <v>45.69</v>
      </c>
      <c r="Y971">
        <v>12.92</v>
      </c>
    </row>
    <row r="972" spans="1:25" x14ac:dyDescent="0.25">
      <c r="A972">
        <v>2006</v>
      </c>
      <c r="B972">
        <v>341</v>
      </c>
      <c r="C972">
        <v>400</v>
      </c>
      <c r="D972">
        <v>-1.5609999999999999</v>
      </c>
      <c r="E972">
        <v>-18.399999999999999</v>
      </c>
      <c r="F972">
        <v>5.91</v>
      </c>
      <c r="G972">
        <v>6.4139999999999997</v>
      </c>
      <c r="K972">
        <v>4.5449999999999999</v>
      </c>
      <c r="L972">
        <v>234.6</v>
      </c>
      <c r="M972">
        <v>0</v>
      </c>
      <c r="O972">
        <v>-11.5</v>
      </c>
      <c r="P972">
        <v>-10.84</v>
      </c>
      <c r="Q972">
        <v>5.9539999999999997</v>
      </c>
      <c r="S972">
        <v>5.4790000000000001</v>
      </c>
      <c r="T972">
        <v>0</v>
      </c>
      <c r="U972">
        <v>93.1</v>
      </c>
      <c r="V972">
        <v>972</v>
      </c>
      <c r="W972">
        <v>45.81</v>
      </c>
      <c r="Y972">
        <v>12.92</v>
      </c>
    </row>
    <row r="973" spans="1:25" x14ac:dyDescent="0.25">
      <c r="A973">
        <v>2006</v>
      </c>
      <c r="B973">
        <v>341</v>
      </c>
      <c r="C973">
        <v>500</v>
      </c>
      <c r="D973">
        <v>-1.5649999999999999</v>
      </c>
      <c r="E973">
        <v>-28.98</v>
      </c>
      <c r="F973">
        <v>5.2549999999999999</v>
      </c>
      <c r="G973">
        <v>5.6719999999999997</v>
      </c>
      <c r="K973">
        <v>4.2629999999999999</v>
      </c>
      <c r="L973">
        <v>232.7</v>
      </c>
      <c r="M973">
        <v>0.2</v>
      </c>
      <c r="O973">
        <v>-11.49</v>
      </c>
      <c r="P973">
        <v>-10.83</v>
      </c>
      <c r="Q973">
        <v>5.8940000000000001</v>
      </c>
      <c r="S973">
        <v>5.4480000000000004</v>
      </c>
      <c r="T973">
        <v>0</v>
      </c>
      <c r="U973">
        <v>94.1</v>
      </c>
      <c r="V973">
        <v>972</v>
      </c>
      <c r="W973">
        <v>45.84</v>
      </c>
      <c r="Y973">
        <v>12.91</v>
      </c>
    </row>
    <row r="974" spans="1:25" x14ac:dyDescent="0.25">
      <c r="A974">
        <v>2006</v>
      </c>
      <c r="B974">
        <v>341</v>
      </c>
      <c r="C974">
        <v>600</v>
      </c>
      <c r="D974">
        <v>-2.456</v>
      </c>
      <c r="E974">
        <v>-29.92</v>
      </c>
      <c r="F974">
        <v>5.4249999999999998</v>
      </c>
      <c r="G974">
        <v>5.7460000000000004</v>
      </c>
      <c r="K974">
        <v>3.96</v>
      </c>
      <c r="L974">
        <v>223.6</v>
      </c>
      <c r="M974">
        <v>0</v>
      </c>
      <c r="O974">
        <v>-11.47</v>
      </c>
      <c r="P974">
        <v>-10.8</v>
      </c>
      <c r="Q974">
        <v>5.84</v>
      </c>
      <c r="S974">
        <v>5.4610000000000003</v>
      </c>
      <c r="T974">
        <v>0</v>
      </c>
      <c r="U974">
        <v>95.4</v>
      </c>
      <c r="V974">
        <v>973</v>
      </c>
      <c r="W974">
        <v>45.89</v>
      </c>
      <c r="Y974">
        <v>12.9</v>
      </c>
    </row>
    <row r="975" spans="1:25" x14ac:dyDescent="0.25">
      <c r="A975">
        <v>2006</v>
      </c>
      <c r="B975">
        <v>341</v>
      </c>
      <c r="C975">
        <v>700</v>
      </c>
      <c r="D975">
        <v>-2.089</v>
      </c>
      <c r="E975">
        <v>-27.16</v>
      </c>
      <c r="F975">
        <v>5.4390000000000001</v>
      </c>
      <c r="G975">
        <v>5.7859999999999996</v>
      </c>
      <c r="K975">
        <v>4.5629999999999997</v>
      </c>
      <c r="L975">
        <v>222.4</v>
      </c>
      <c r="M975">
        <v>0</v>
      </c>
      <c r="O975">
        <v>-11.47</v>
      </c>
      <c r="P975">
        <v>-10.74</v>
      </c>
      <c r="Q975">
        <v>5.7469999999999999</v>
      </c>
      <c r="S975">
        <v>5.4779999999999998</v>
      </c>
      <c r="T975">
        <v>0</v>
      </c>
      <c r="U975">
        <v>95.1</v>
      </c>
      <c r="V975">
        <v>976</v>
      </c>
      <c r="W975">
        <v>46.19</v>
      </c>
      <c r="Y975">
        <v>12.89</v>
      </c>
    </row>
    <row r="976" spans="1:25" x14ac:dyDescent="0.25">
      <c r="A976">
        <v>2006</v>
      </c>
      <c r="B976">
        <v>341</v>
      </c>
      <c r="C976">
        <v>800</v>
      </c>
      <c r="D976">
        <v>-1.151</v>
      </c>
      <c r="E976">
        <v>-14.41</v>
      </c>
      <c r="F976">
        <v>5.4989999999999997</v>
      </c>
      <c r="G976">
        <v>5.7779999999999996</v>
      </c>
      <c r="K976">
        <v>4.423</v>
      </c>
      <c r="L976">
        <v>220.3</v>
      </c>
      <c r="M976">
        <v>0</v>
      </c>
      <c r="O976">
        <v>-11.39</v>
      </c>
      <c r="P976">
        <v>-10.74</v>
      </c>
      <c r="Q976">
        <v>5.6589999999999998</v>
      </c>
      <c r="S976">
        <v>5.4790000000000001</v>
      </c>
      <c r="T976">
        <v>0</v>
      </c>
      <c r="U976">
        <v>96</v>
      </c>
      <c r="V976">
        <v>973</v>
      </c>
      <c r="W976">
        <v>45.93</v>
      </c>
      <c r="Y976">
        <v>12.88</v>
      </c>
    </row>
    <row r="977" spans="1:25" x14ac:dyDescent="0.25">
      <c r="A977">
        <v>2006</v>
      </c>
      <c r="B977">
        <v>341</v>
      </c>
      <c r="C977">
        <v>900</v>
      </c>
      <c r="D977">
        <v>2.6970000000000001</v>
      </c>
      <c r="E977">
        <v>-16.059999999999999</v>
      </c>
      <c r="F977">
        <v>5.58</v>
      </c>
      <c r="G977">
        <v>5.9089999999999998</v>
      </c>
      <c r="H977">
        <f>AVERAGE(G977:G1001)</f>
        <v>5.8111999999999986</v>
      </c>
      <c r="I977">
        <f>MIN(G977:G1001)</f>
        <v>2.528</v>
      </c>
      <c r="J977">
        <f>MAX(G977:G1001)</f>
        <v>7.49</v>
      </c>
      <c r="K977">
        <v>4.133</v>
      </c>
      <c r="L977">
        <v>220.1</v>
      </c>
      <c r="M977">
        <v>0</v>
      </c>
      <c r="N977">
        <f>SUM(M977:M1001)</f>
        <v>15.600000000000001</v>
      </c>
      <c r="O977">
        <v>-6.883</v>
      </c>
      <c r="P977">
        <v>-9.6300000000000008</v>
      </c>
      <c r="Q977">
        <v>5.593</v>
      </c>
      <c r="S977">
        <v>5.4779999999999998</v>
      </c>
      <c r="T977">
        <v>0</v>
      </c>
      <c r="U977">
        <v>95.4</v>
      </c>
      <c r="V977">
        <v>974</v>
      </c>
      <c r="W977">
        <v>45.95</v>
      </c>
      <c r="Y977">
        <v>12.88</v>
      </c>
    </row>
    <row r="978" spans="1:25" x14ac:dyDescent="0.25">
      <c r="A978">
        <v>2006</v>
      </c>
      <c r="B978">
        <v>341</v>
      </c>
      <c r="C978">
        <v>1000</v>
      </c>
      <c r="D978">
        <v>36.17</v>
      </c>
      <c r="E978">
        <v>1.714</v>
      </c>
      <c r="F978">
        <v>5.63</v>
      </c>
      <c r="G978">
        <v>5.9370000000000003</v>
      </c>
      <c r="K978">
        <v>4.1820000000000004</v>
      </c>
      <c r="L978">
        <v>230</v>
      </c>
      <c r="M978">
        <v>0</v>
      </c>
      <c r="O978">
        <v>31.26</v>
      </c>
      <c r="P978">
        <v>1.379</v>
      </c>
      <c r="Q978">
        <v>5.5389999999999997</v>
      </c>
      <c r="S978">
        <v>5.42</v>
      </c>
      <c r="T978">
        <v>0</v>
      </c>
      <c r="U978">
        <v>95.7</v>
      </c>
      <c r="V978">
        <v>974</v>
      </c>
      <c r="W978">
        <v>45.96</v>
      </c>
      <c r="Y978">
        <v>13.06</v>
      </c>
    </row>
    <row r="979" spans="1:25" x14ac:dyDescent="0.25">
      <c r="A979">
        <v>2006</v>
      </c>
      <c r="B979">
        <v>341</v>
      </c>
      <c r="C979">
        <v>1100</v>
      </c>
      <c r="D979">
        <v>75.2</v>
      </c>
      <c r="E979">
        <v>32</v>
      </c>
      <c r="F979">
        <v>5.9450000000000003</v>
      </c>
      <c r="G979">
        <v>6.1959999999999997</v>
      </c>
      <c r="K979">
        <v>3.8690000000000002</v>
      </c>
      <c r="L979">
        <v>232.6</v>
      </c>
      <c r="M979">
        <v>0</v>
      </c>
      <c r="O979">
        <v>82.5</v>
      </c>
      <c r="P979">
        <v>14.19</v>
      </c>
      <c r="Q979">
        <v>5.5119999999999996</v>
      </c>
      <c r="S979">
        <v>5.343</v>
      </c>
      <c r="T979">
        <v>0</v>
      </c>
      <c r="U979">
        <v>96.5</v>
      </c>
      <c r="V979">
        <v>974</v>
      </c>
      <c r="W979">
        <v>46.02</v>
      </c>
      <c r="Y979">
        <v>13.57</v>
      </c>
    </row>
    <row r="980" spans="1:25" x14ac:dyDescent="0.25">
      <c r="A980">
        <v>2006</v>
      </c>
      <c r="B980">
        <v>341</v>
      </c>
      <c r="C980">
        <v>1200</v>
      </c>
      <c r="D980">
        <v>101</v>
      </c>
      <c r="E980">
        <v>59.45</v>
      </c>
      <c r="F980">
        <v>6.5350000000000001</v>
      </c>
      <c r="G980">
        <v>6.835</v>
      </c>
      <c r="K980">
        <v>3.4950000000000001</v>
      </c>
      <c r="L980">
        <v>235.6</v>
      </c>
      <c r="M980">
        <v>0</v>
      </c>
      <c r="O980">
        <v>111.2</v>
      </c>
      <c r="P980">
        <v>28.01</v>
      </c>
      <c r="Q980">
        <v>5.5590000000000002</v>
      </c>
      <c r="S980">
        <v>5.3609999999999998</v>
      </c>
      <c r="T980">
        <v>0</v>
      </c>
      <c r="U980">
        <v>95.9</v>
      </c>
      <c r="V980">
        <v>974</v>
      </c>
      <c r="W980">
        <v>46.03</v>
      </c>
      <c r="Y980">
        <v>13.79</v>
      </c>
    </row>
    <row r="981" spans="1:25" x14ac:dyDescent="0.25">
      <c r="A981">
        <v>2006</v>
      </c>
      <c r="B981">
        <v>341</v>
      </c>
      <c r="C981">
        <v>1300</v>
      </c>
      <c r="D981">
        <v>83.6</v>
      </c>
      <c r="E981">
        <v>46.05</v>
      </c>
      <c r="F981">
        <v>6.8949999999999996</v>
      </c>
      <c r="G981">
        <v>7.21</v>
      </c>
      <c r="K981">
        <v>3.5369999999999999</v>
      </c>
      <c r="L981">
        <v>232.4</v>
      </c>
      <c r="M981">
        <v>0</v>
      </c>
      <c r="O981">
        <v>89.2</v>
      </c>
      <c r="P981">
        <v>16</v>
      </c>
      <c r="Q981">
        <v>5.6959999999999997</v>
      </c>
      <c r="S981">
        <v>5.4039999999999999</v>
      </c>
      <c r="T981">
        <v>0</v>
      </c>
      <c r="U981">
        <v>95.8</v>
      </c>
      <c r="V981">
        <v>974</v>
      </c>
      <c r="W981">
        <v>45.98</v>
      </c>
      <c r="Y981">
        <v>13.68</v>
      </c>
    </row>
    <row r="982" spans="1:25" x14ac:dyDescent="0.25">
      <c r="A982">
        <v>2006</v>
      </c>
      <c r="B982">
        <v>341</v>
      </c>
      <c r="C982">
        <v>1400</v>
      </c>
      <c r="D982">
        <v>25.24</v>
      </c>
      <c r="E982">
        <v>9.2899999999999991</v>
      </c>
      <c r="F982">
        <v>6.9610000000000003</v>
      </c>
      <c r="G982">
        <v>7.2</v>
      </c>
      <c r="K982">
        <v>3.3530000000000002</v>
      </c>
      <c r="L982">
        <v>244.3</v>
      </c>
      <c r="M982">
        <v>0</v>
      </c>
      <c r="O982">
        <v>15.03</v>
      </c>
      <c r="P982">
        <v>-5.1509999999999998</v>
      </c>
      <c r="Q982">
        <v>5.8239999999999998</v>
      </c>
      <c r="S982">
        <v>5.3780000000000001</v>
      </c>
      <c r="T982">
        <v>0</v>
      </c>
      <c r="U982">
        <v>96.8</v>
      </c>
      <c r="V982">
        <v>974</v>
      </c>
      <c r="W982">
        <v>45.97</v>
      </c>
      <c r="Y982">
        <v>13.45</v>
      </c>
    </row>
    <row r="983" spans="1:25" x14ac:dyDescent="0.25">
      <c r="A983">
        <v>2006</v>
      </c>
      <c r="B983">
        <v>341</v>
      </c>
      <c r="C983">
        <v>1500</v>
      </c>
      <c r="D983">
        <v>23.21</v>
      </c>
      <c r="E983">
        <v>5.1980000000000004</v>
      </c>
      <c r="F983">
        <v>7.06</v>
      </c>
      <c r="G983">
        <v>7.34</v>
      </c>
      <c r="K983">
        <v>3.8340000000000001</v>
      </c>
      <c r="L983">
        <v>250.6</v>
      </c>
      <c r="M983">
        <v>0</v>
      </c>
      <c r="O983">
        <v>12.81</v>
      </c>
      <c r="P983">
        <v>-5.2770000000000001</v>
      </c>
      <c r="Q983">
        <v>5.9189999999999996</v>
      </c>
      <c r="S983">
        <v>5.4109999999999996</v>
      </c>
      <c r="T983">
        <v>0</v>
      </c>
      <c r="U983">
        <v>96.3</v>
      </c>
      <c r="V983">
        <v>973</v>
      </c>
      <c r="W983">
        <v>45.91</v>
      </c>
      <c r="Y983">
        <v>13.33</v>
      </c>
    </row>
    <row r="984" spans="1:25" x14ac:dyDescent="0.25">
      <c r="A984">
        <v>2006</v>
      </c>
      <c r="B984">
        <v>341</v>
      </c>
      <c r="C984">
        <v>1600</v>
      </c>
      <c r="D984">
        <v>10.46</v>
      </c>
      <c r="E984">
        <v>-4.5910000000000002</v>
      </c>
      <c r="F984">
        <v>7.23</v>
      </c>
      <c r="G984">
        <v>7.49</v>
      </c>
      <c r="K984">
        <v>3.8919999999999999</v>
      </c>
      <c r="L984">
        <v>249.9</v>
      </c>
      <c r="M984">
        <v>0.4</v>
      </c>
      <c r="O984">
        <v>1.9770000000000001</v>
      </c>
      <c r="P984">
        <v>-7.35</v>
      </c>
      <c r="Q984">
        <v>5.9909999999999997</v>
      </c>
      <c r="S984">
        <v>5.4290000000000003</v>
      </c>
      <c r="T984">
        <v>0</v>
      </c>
      <c r="U984">
        <v>96.6</v>
      </c>
      <c r="V984">
        <v>973</v>
      </c>
      <c r="W984">
        <v>45.88</v>
      </c>
      <c r="Y984">
        <v>13.23</v>
      </c>
    </row>
    <row r="985" spans="1:25" x14ac:dyDescent="0.25">
      <c r="A985">
        <v>2006</v>
      </c>
      <c r="B985">
        <v>341</v>
      </c>
      <c r="C985">
        <v>1700</v>
      </c>
      <c r="D985">
        <v>-0.78300000000000003</v>
      </c>
      <c r="E985">
        <v>-7.63</v>
      </c>
      <c r="F985">
        <v>7.15</v>
      </c>
      <c r="G985">
        <v>7.28</v>
      </c>
      <c r="K985">
        <v>3.6709999999999998</v>
      </c>
      <c r="L985">
        <v>251</v>
      </c>
      <c r="M985">
        <v>1.6</v>
      </c>
      <c r="O985">
        <v>-11.17</v>
      </c>
      <c r="P985">
        <v>-10.8</v>
      </c>
      <c r="Q985">
        <v>6.0279999999999996</v>
      </c>
      <c r="S985">
        <v>5.4290000000000003</v>
      </c>
      <c r="T985">
        <v>0</v>
      </c>
      <c r="U985">
        <v>98.3</v>
      </c>
      <c r="V985">
        <v>974</v>
      </c>
      <c r="W985">
        <v>45.98</v>
      </c>
      <c r="Y985">
        <v>13.16</v>
      </c>
    </row>
    <row r="986" spans="1:25" x14ac:dyDescent="0.25">
      <c r="A986">
        <v>2006</v>
      </c>
      <c r="B986">
        <v>341</v>
      </c>
      <c r="C986">
        <v>1800</v>
      </c>
      <c r="D986">
        <v>-0.68300000000000005</v>
      </c>
      <c r="E986">
        <v>-7.27</v>
      </c>
      <c r="F986">
        <v>6.976</v>
      </c>
      <c r="G986">
        <v>7.18</v>
      </c>
      <c r="K986">
        <v>3.593</v>
      </c>
      <c r="L986">
        <v>251.9</v>
      </c>
      <c r="M986">
        <v>3.8</v>
      </c>
      <c r="O986">
        <v>-11.5</v>
      </c>
      <c r="P986">
        <v>-10.85</v>
      </c>
      <c r="Q986">
        <v>6.0739999999999998</v>
      </c>
      <c r="S986">
        <v>5.4359999999999999</v>
      </c>
      <c r="T986">
        <v>0</v>
      </c>
      <c r="U986">
        <v>97.2</v>
      </c>
      <c r="V986">
        <v>974</v>
      </c>
      <c r="W986">
        <v>46.04</v>
      </c>
      <c r="Y986">
        <v>13.09</v>
      </c>
    </row>
    <row r="987" spans="1:25" x14ac:dyDescent="0.25">
      <c r="A987">
        <v>2006</v>
      </c>
      <c r="B987">
        <v>341</v>
      </c>
      <c r="C987">
        <v>1900</v>
      </c>
      <c r="D987">
        <v>-0.95299999999999996</v>
      </c>
      <c r="E987">
        <v>-13.26</v>
      </c>
      <c r="F987">
        <v>6.7830000000000004</v>
      </c>
      <c r="G987">
        <v>6.9889999999999999</v>
      </c>
      <c r="K987">
        <v>3.3050000000000002</v>
      </c>
      <c r="L987">
        <v>256.2</v>
      </c>
      <c r="M987">
        <v>0.2</v>
      </c>
      <c r="O987">
        <v>-11.5</v>
      </c>
      <c r="P987">
        <v>-10.84</v>
      </c>
      <c r="Q987">
        <v>6.0910000000000002</v>
      </c>
      <c r="S987">
        <v>5.484</v>
      </c>
      <c r="T987">
        <v>0</v>
      </c>
      <c r="U987">
        <v>97.2</v>
      </c>
      <c r="V987">
        <v>975</v>
      </c>
      <c r="W987">
        <v>46.09</v>
      </c>
      <c r="Y987">
        <v>13.04</v>
      </c>
    </row>
    <row r="988" spans="1:25" x14ac:dyDescent="0.25">
      <c r="A988">
        <v>2006</v>
      </c>
      <c r="B988">
        <v>341</v>
      </c>
      <c r="C988">
        <v>2000</v>
      </c>
      <c r="D988">
        <v>-0.63500000000000001</v>
      </c>
      <c r="E988">
        <v>-7.48</v>
      </c>
      <c r="F988">
        <v>6.9119999999999999</v>
      </c>
      <c r="G988">
        <v>7.2</v>
      </c>
      <c r="K988">
        <v>3.81</v>
      </c>
      <c r="L988">
        <v>260.60000000000002</v>
      </c>
      <c r="M988">
        <v>0</v>
      </c>
      <c r="O988">
        <v>-11.51</v>
      </c>
      <c r="P988">
        <v>-10.84</v>
      </c>
      <c r="Q988">
        <v>6.1260000000000003</v>
      </c>
      <c r="S988">
        <v>5.5330000000000004</v>
      </c>
      <c r="T988">
        <v>0</v>
      </c>
      <c r="U988">
        <v>96.1</v>
      </c>
      <c r="V988">
        <v>975</v>
      </c>
      <c r="W988">
        <v>46.09</v>
      </c>
      <c r="Y988">
        <v>13</v>
      </c>
    </row>
    <row r="989" spans="1:25" x14ac:dyDescent="0.25">
      <c r="A989">
        <v>2006</v>
      </c>
      <c r="B989">
        <v>341</v>
      </c>
      <c r="C989">
        <v>2100</v>
      </c>
      <c r="D989">
        <v>-1.571</v>
      </c>
      <c r="E989">
        <v>-24.55</v>
      </c>
      <c r="F989">
        <v>6.3220000000000001</v>
      </c>
      <c r="G989">
        <v>6.5759999999999996</v>
      </c>
      <c r="K989">
        <v>3.1040000000000001</v>
      </c>
      <c r="L989">
        <v>264.2</v>
      </c>
      <c r="M989">
        <v>0</v>
      </c>
      <c r="O989">
        <v>-11.5</v>
      </c>
      <c r="P989">
        <v>-10.85</v>
      </c>
      <c r="Q989">
        <v>6.1269999999999998</v>
      </c>
      <c r="S989">
        <v>5.5380000000000003</v>
      </c>
      <c r="T989">
        <v>0</v>
      </c>
      <c r="U989">
        <v>96.5</v>
      </c>
      <c r="V989">
        <v>975</v>
      </c>
      <c r="W989">
        <v>46.09</v>
      </c>
      <c r="Y989">
        <v>12.97</v>
      </c>
    </row>
    <row r="990" spans="1:25" x14ac:dyDescent="0.25">
      <c r="A990">
        <v>2006</v>
      </c>
      <c r="B990">
        <v>341</v>
      </c>
      <c r="C990">
        <v>2200</v>
      </c>
      <c r="D990">
        <v>-1.0580000000000001</v>
      </c>
      <c r="E990">
        <v>-14.99</v>
      </c>
      <c r="F990">
        <v>6.1040000000000001</v>
      </c>
      <c r="G990">
        <v>6.4279999999999999</v>
      </c>
      <c r="K990">
        <v>3.57</v>
      </c>
      <c r="L990">
        <v>269.7</v>
      </c>
      <c r="M990">
        <v>0</v>
      </c>
      <c r="O990">
        <v>-11.5</v>
      </c>
      <c r="P990">
        <v>-10.83</v>
      </c>
      <c r="Q990">
        <v>6.0789999999999997</v>
      </c>
      <c r="S990">
        <v>5.5369999999999999</v>
      </c>
      <c r="T990">
        <v>0</v>
      </c>
      <c r="U990">
        <v>95.5</v>
      </c>
      <c r="V990">
        <v>975</v>
      </c>
      <c r="W990">
        <v>46.14</v>
      </c>
      <c r="Y990">
        <v>12.94</v>
      </c>
    </row>
    <row r="991" spans="1:25" x14ac:dyDescent="0.25">
      <c r="A991">
        <v>2006</v>
      </c>
      <c r="B991">
        <v>341</v>
      </c>
      <c r="C991">
        <v>2300</v>
      </c>
      <c r="D991">
        <v>-1.389</v>
      </c>
      <c r="E991">
        <v>-17.25</v>
      </c>
      <c r="F991">
        <v>5.7919999999999998</v>
      </c>
      <c r="G991">
        <v>6.306</v>
      </c>
      <c r="K991">
        <v>4.1429999999999998</v>
      </c>
      <c r="L991">
        <v>271.89999999999998</v>
      </c>
      <c r="M991">
        <v>0</v>
      </c>
      <c r="O991">
        <v>-11.5</v>
      </c>
      <c r="P991">
        <v>-10.84</v>
      </c>
      <c r="Q991">
        <v>6.0129999999999999</v>
      </c>
      <c r="S991">
        <v>5.5369999999999999</v>
      </c>
      <c r="T991">
        <v>0</v>
      </c>
      <c r="U991">
        <v>92.9</v>
      </c>
      <c r="V991">
        <v>975</v>
      </c>
      <c r="W991">
        <v>46.12</v>
      </c>
      <c r="Y991">
        <v>12.92</v>
      </c>
    </row>
    <row r="992" spans="1:25" x14ac:dyDescent="0.25">
      <c r="A992">
        <v>2006</v>
      </c>
      <c r="B992">
        <v>341</v>
      </c>
      <c r="C992">
        <v>2400</v>
      </c>
      <c r="D992">
        <v>-1.173</v>
      </c>
      <c r="E992">
        <v>-10.3</v>
      </c>
      <c r="F992">
        <v>5.6829999999999998</v>
      </c>
      <c r="G992">
        <v>6.2009999999999996</v>
      </c>
      <c r="K992">
        <v>4.234</v>
      </c>
      <c r="L992">
        <v>272.2</v>
      </c>
      <c r="M992">
        <v>0.2</v>
      </c>
      <c r="O992">
        <v>-11.5</v>
      </c>
      <c r="P992">
        <v>-10.83</v>
      </c>
      <c r="Q992">
        <v>5.9649999999999999</v>
      </c>
      <c r="S992">
        <v>5.5369999999999999</v>
      </c>
      <c r="T992">
        <v>0</v>
      </c>
      <c r="U992">
        <v>92.8</v>
      </c>
      <c r="V992">
        <v>979</v>
      </c>
      <c r="W992">
        <v>46.56</v>
      </c>
      <c r="Y992">
        <v>12.91</v>
      </c>
    </row>
    <row r="993" spans="1:25" x14ac:dyDescent="0.25">
      <c r="A993">
        <v>2006</v>
      </c>
      <c r="B993">
        <v>341</v>
      </c>
      <c r="C993">
        <v>2400</v>
      </c>
      <c r="D993">
        <v>14.04</v>
      </c>
      <c r="E993">
        <v>-5.8470000000000004</v>
      </c>
      <c r="F993">
        <v>6.3010000000000002</v>
      </c>
      <c r="G993">
        <v>6.6390000000000002</v>
      </c>
      <c r="K993">
        <v>3.8039999999999998</v>
      </c>
      <c r="L993">
        <v>243</v>
      </c>
      <c r="M993">
        <v>9.4</v>
      </c>
      <c r="O993">
        <v>6.399</v>
      </c>
      <c r="P993">
        <v>-5.8730000000000002</v>
      </c>
      <c r="Q993">
        <v>5.8789999999999996</v>
      </c>
      <c r="S993">
        <v>5.4560000000000004</v>
      </c>
      <c r="T993">
        <v>0</v>
      </c>
      <c r="U993">
        <v>95.4</v>
      </c>
      <c r="V993">
        <v>974</v>
      </c>
      <c r="W993">
        <v>45.97</v>
      </c>
      <c r="Y993">
        <v>13.1</v>
      </c>
    </row>
    <row r="994" spans="1:25" x14ac:dyDescent="0.25">
      <c r="A994">
        <v>2006</v>
      </c>
      <c r="B994">
        <v>342</v>
      </c>
      <c r="C994">
        <v>100</v>
      </c>
      <c r="D994">
        <v>-1.03</v>
      </c>
      <c r="E994">
        <v>-9</v>
      </c>
      <c r="F994">
        <v>5.55</v>
      </c>
      <c r="G994">
        <v>6.0460000000000003</v>
      </c>
      <c r="K994">
        <v>3.9169999999999998</v>
      </c>
      <c r="L994">
        <v>272.7</v>
      </c>
      <c r="M994">
        <v>0</v>
      </c>
      <c r="O994">
        <v>-11.49</v>
      </c>
      <c r="P994">
        <v>-10.81</v>
      </c>
      <c r="Q994">
        <v>5.9160000000000004</v>
      </c>
      <c r="S994">
        <v>5.5279999999999996</v>
      </c>
      <c r="T994">
        <v>0</v>
      </c>
      <c r="U994">
        <v>93.1</v>
      </c>
      <c r="V994">
        <v>976</v>
      </c>
      <c r="W994">
        <v>46.2</v>
      </c>
      <c r="Y994">
        <v>12.9</v>
      </c>
    </row>
    <row r="995" spans="1:25" x14ac:dyDescent="0.25">
      <c r="A995">
        <v>2006</v>
      </c>
      <c r="B995">
        <v>342</v>
      </c>
      <c r="C995">
        <v>200</v>
      </c>
      <c r="D995">
        <v>-1.962</v>
      </c>
      <c r="E995">
        <v>-40.270000000000003</v>
      </c>
      <c r="F995">
        <v>4.9039999999999999</v>
      </c>
      <c r="G995">
        <v>5.2750000000000004</v>
      </c>
      <c r="K995">
        <v>3.0259999999999998</v>
      </c>
      <c r="L995">
        <v>273</v>
      </c>
      <c r="M995">
        <v>0</v>
      </c>
      <c r="O995">
        <v>-11.49</v>
      </c>
      <c r="P995">
        <v>-10.8</v>
      </c>
      <c r="Q995">
        <v>5.9029999999999996</v>
      </c>
      <c r="S995">
        <v>5.4560000000000004</v>
      </c>
      <c r="T995">
        <v>0</v>
      </c>
      <c r="U995">
        <v>94.6</v>
      </c>
      <c r="V995">
        <v>976</v>
      </c>
      <c r="W995">
        <v>46.17</v>
      </c>
      <c r="Y995">
        <v>12.88</v>
      </c>
    </row>
    <row r="996" spans="1:25" x14ac:dyDescent="0.25">
      <c r="A996">
        <v>2006</v>
      </c>
      <c r="B996">
        <v>342</v>
      </c>
      <c r="C996">
        <v>300</v>
      </c>
      <c r="D996">
        <v>-2.5819999999999999</v>
      </c>
      <c r="E996">
        <v>-49.98</v>
      </c>
      <c r="F996">
        <v>3.9390000000000001</v>
      </c>
      <c r="G996">
        <v>4.3520000000000003</v>
      </c>
      <c r="K996">
        <v>2.7559999999999998</v>
      </c>
      <c r="L996">
        <v>269.3</v>
      </c>
      <c r="M996">
        <v>0</v>
      </c>
      <c r="O996">
        <v>-11.45</v>
      </c>
      <c r="P996">
        <v>-10.73</v>
      </c>
      <c r="Q996">
        <v>5.8559999999999999</v>
      </c>
      <c r="S996">
        <v>5.4939999999999998</v>
      </c>
      <c r="T996">
        <v>0</v>
      </c>
      <c r="U996">
        <v>93.8</v>
      </c>
      <c r="V996">
        <v>976</v>
      </c>
      <c r="W996">
        <v>46.2</v>
      </c>
      <c r="Y996">
        <v>12.87</v>
      </c>
    </row>
    <row r="997" spans="1:25" x14ac:dyDescent="0.25">
      <c r="A997">
        <v>2006</v>
      </c>
      <c r="B997">
        <v>342</v>
      </c>
      <c r="C997">
        <v>400</v>
      </c>
      <c r="D997">
        <v>-2.6320000000000001</v>
      </c>
      <c r="E997">
        <v>-45.24</v>
      </c>
      <c r="F997">
        <v>3.1619999999999999</v>
      </c>
      <c r="G997">
        <v>3.5539999999999998</v>
      </c>
      <c r="K997">
        <v>2.3740000000000001</v>
      </c>
      <c r="L997">
        <v>260.60000000000002</v>
      </c>
      <c r="M997">
        <v>0</v>
      </c>
      <c r="O997">
        <v>-11.24</v>
      </c>
      <c r="P997">
        <v>-10.52</v>
      </c>
      <c r="Q997">
        <v>5.6929999999999996</v>
      </c>
      <c r="S997">
        <v>5.4409999999999998</v>
      </c>
      <c r="T997">
        <v>0</v>
      </c>
      <c r="U997">
        <v>93.9</v>
      </c>
      <c r="V997">
        <v>978</v>
      </c>
      <c r="W997">
        <v>46.48</v>
      </c>
      <c r="Y997">
        <v>12.86</v>
      </c>
    </row>
    <row r="998" spans="1:25" x14ac:dyDescent="0.25">
      <c r="A998">
        <v>2006</v>
      </c>
      <c r="B998">
        <v>342</v>
      </c>
      <c r="C998">
        <v>500</v>
      </c>
      <c r="D998">
        <v>-2.3370000000000002</v>
      </c>
      <c r="E998">
        <v>-39.96</v>
      </c>
      <c r="F998">
        <v>2.7650000000000001</v>
      </c>
      <c r="G998">
        <v>3.1709999999999998</v>
      </c>
      <c r="K998">
        <v>2.016</v>
      </c>
      <c r="L998">
        <v>258.5</v>
      </c>
      <c r="M998">
        <v>0</v>
      </c>
      <c r="O998">
        <v>-11.09</v>
      </c>
      <c r="P998">
        <v>-10.4</v>
      </c>
      <c r="Q998">
        <v>5.4660000000000002</v>
      </c>
      <c r="S998">
        <v>5.4089999999999998</v>
      </c>
      <c r="T998">
        <v>0</v>
      </c>
      <c r="U998">
        <v>93.6</v>
      </c>
      <c r="V998">
        <v>978</v>
      </c>
      <c r="W998">
        <v>46.41</v>
      </c>
      <c r="Y998">
        <v>12.85</v>
      </c>
    </row>
    <row r="999" spans="1:25" x14ac:dyDescent="0.25">
      <c r="A999">
        <v>2006</v>
      </c>
      <c r="B999">
        <v>342</v>
      </c>
      <c r="C999">
        <v>600</v>
      </c>
      <c r="D999">
        <v>-2.8439999999999999</v>
      </c>
      <c r="E999">
        <v>-49.89</v>
      </c>
      <c r="F999">
        <v>2.3479999999999999</v>
      </c>
      <c r="G999">
        <v>2.766</v>
      </c>
      <c r="K999">
        <v>2.3690000000000002</v>
      </c>
      <c r="L999">
        <v>267.7</v>
      </c>
      <c r="M999">
        <v>0</v>
      </c>
      <c r="O999">
        <v>-10.94</v>
      </c>
      <c r="P999">
        <v>-10.32</v>
      </c>
      <c r="Q999">
        <v>5.2619999999999996</v>
      </c>
      <c r="S999">
        <v>5.3280000000000003</v>
      </c>
      <c r="T999">
        <v>0</v>
      </c>
      <c r="U999">
        <v>93.3</v>
      </c>
      <c r="V999">
        <v>978</v>
      </c>
      <c r="W999">
        <v>46.42</v>
      </c>
      <c r="Y999">
        <v>12.85</v>
      </c>
    </row>
    <row r="1000" spans="1:25" x14ac:dyDescent="0.25">
      <c r="A1000">
        <v>2006</v>
      </c>
      <c r="B1000">
        <v>342</v>
      </c>
      <c r="C1000">
        <v>700</v>
      </c>
      <c r="D1000">
        <v>-2.5960000000000001</v>
      </c>
      <c r="E1000">
        <v>-48.6</v>
      </c>
      <c r="F1000">
        <v>2.2530000000000001</v>
      </c>
      <c r="G1000">
        <v>2.528</v>
      </c>
      <c r="K1000">
        <v>2.5030000000000001</v>
      </c>
      <c r="L1000">
        <v>266.39999999999998</v>
      </c>
      <c r="M1000">
        <v>0</v>
      </c>
      <c r="O1000">
        <v>-10.88</v>
      </c>
      <c r="P1000">
        <v>-10.26</v>
      </c>
      <c r="Q1000">
        <v>5.0570000000000004</v>
      </c>
      <c r="S1000">
        <v>5.2619999999999996</v>
      </c>
      <c r="T1000">
        <v>0</v>
      </c>
      <c r="U1000">
        <v>95.5</v>
      </c>
      <c r="V1000">
        <v>978</v>
      </c>
      <c r="W1000">
        <v>46.47</v>
      </c>
      <c r="Y1000">
        <v>12.84</v>
      </c>
    </row>
    <row r="1001" spans="1:25" x14ac:dyDescent="0.25">
      <c r="A1001">
        <v>2006</v>
      </c>
      <c r="B1001">
        <v>342</v>
      </c>
      <c r="C1001">
        <v>800</v>
      </c>
      <c r="D1001">
        <v>-2.698</v>
      </c>
      <c r="E1001">
        <v>-46.59</v>
      </c>
      <c r="F1001">
        <v>2.3330000000000002</v>
      </c>
      <c r="G1001">
        <v>2.6720000000000002</v>
      </c>
      <c r="K1001">
        <v>2.7349999999999999</v>
      </c>
      <c r="L1001">
        <v>270.10000000000002</v>
      </c>
      <c r="M1001">
        <v>0</v>
      </c>
      <c r="O1001">
        <v>-10.85</v>
      </c>
      <c r="P1001">
        <v>-10.23</v>
      </c>
      <c r="Q1001">
        <v>4.8380000000000001</v>
      </c>
      <c r="S1001">
        <v>5.1790000000000003</v>
      </c>
      <c r="T1001">
        <v>0</v>
      </c>
      <c r="U1001">
        <v>94.6</v>
      </c>
      <c r="V1001">
        <v>979</v>
      </c>
      <c r="W1001">
        <v>46.5</v>
      </c>
      <c r="Y1001">
        <v>12.84</v>
      </c>
    </row>
    <row r="1002" spans="1:25" x14ac:dyDescent="0.25">
      <c r="A1002">
        <v>2006</v>
      </c>
      <c r="B1002">
        <v>342</v>
      </c>
      <c r="C1002">
        <v>900</v>
      </c>
      <c r="D1002">
        <v>2.633</v>
      </c>
      <c r="E1002">
        <v>-41.33</v>
      </c>
      <c r="F1002">
        <v>2.258</v>
      </c>
      <c r="G1002">
        <v>2.5550000000000002</v>
      </c>
      <c r="H1002">
        <f>AVERAGE(G1002:G1026)</f>
        <v>4.3328800000000003</v>
      </c>
      <c r="I1002">
        <f>MIN(G1002:G1026)</f>
        <v>2.5550000000000002</v>
      </c>
      <c r="J1002">
        <f>MAX(G1002:G1026)</f>
        <v>6.5590000000000002</v>
      </c>
      <c r="K1002">
        <v>2.62</v>
      </c>
      <c r="L1002">
        <v>267.2</v>
      </c>
      <c r="M1002">
        <v>0</v>
      </c>
      <c r="N1002">
        <f>SUM(M1002:M1026)</f>
        <v>1.6</v>
      </c>
      <c r="O1002">
        <v>-5.0369999999999999</v>
      </c>
      <c r="P1002">
        <v>-8.74</v>
      </c>
      <c r="Q1002">
        <v>4.6440000000000001</v>
      </c>
      <c r="S1002">
        <v>5.0979999999999999</v>
      </c>
      <c r="T1002">
        <v>0</v>
      </c>
      <c r="U1002">
        <v>95.2</v>
      </c>
      <c r="V1002">
        <v>979</v>
      </c>
      <c r="W1002">
        <v>46.49</v>
      </c>
      <c r="Y1002">
        <v>12.83</v>
      </c>
    </row>
    <row r="1003" spans="1:25" x14ac:dyDescent="0.25">
      <c r="A1003">
        <v>2006</v>
      </c>
      <c r="B1003">
        <v>342</v>
      </c>
      <c r="C1003">
        <v>1000</v>
      </c>
      <c r="D1003">
        <v>54.07</v>
      </c>
      <c r="E1003">
        <v>-24.92</v>
      </c>
      <c r="F1003">
        <v>2.8540000000000001</v>
      </c>
      <c r="G1003">
        <v>3.194</v>
      </c>
      <c r="K1003">
        <v>3.0339999999999998</v>
      </c>
      <c r="L1003">
        <v>269.8</v>
      </c>
      <c r="M1003">
        <v>0</v>
      </c>
      <c r="O1003">
        <v>34.65</v>
      </c>
      <c r="P1003">
        <v>17.11</v>
      </c>
      <c r="Q1003">
        <v>4.4660000000000002</v>
      </c>
      <c r="S1003">
        <v>5.0110000000000001</v>
      </c>
      <c r="T1003">
        <v>0</v>
      </c>
      <c r="U1003">
        <v>94.7</v>
      </c>
      <c r="V1003">
        <v>978</v>
      </c>
      <c r="W1003">
        <v>46.45</v>
      </c>
      <c r="Y1003">
        <v>13.19</v>
      </c>
    </row>
    <row r="1004" spans="1:25" x14ac:dyDescent="0.25">
      <c r="A1004">
        <v>2006</v>
      </c>
      <c r="B1004">
        <v>342</v>
      </c>
      <c r="C1004">
        <v>1100</v>
      </c>
      <c r="D1004">
        <v>130.19999999999999</v>
      </c>
      <c r="E1004">
        <v>23.15</v>
      </c>
      <c r="F1004">
        <v>3.9569999999999999</v>
      </c>
      <c r="G1004">
        <v>4.3769999999999998</v>
      </c>
      <c r="K1004">
        <v>3.4580000000000002</v>
      </c>
      <c r="L1004">
        <v>272.3</v>
      </c>
      <c r="M1004">
        <v>0</v>
      </c>
      <c r="O1004">
        <v>142.80000000000001</v>
      </c>
      <c r="P1004">
        <v>76.7</v>
      </c>
      <c r="Q1004">
        <v>4.34</v>
      </c>
      <c r="S1004">
        <v>4.9009999999999998</v>
      </c>
      <c r="T1004">
        <v>0</v>
      </c>
      <c r="U1004">
        <v>93.7</v>
      </c>
      <c r="V1004">
        <v>979</v>
      </c>
      <c r="W1004">
        <v>46.52</v>
      </c>
      <c r="Y1004">
        <v>14.29</v>
      </c>
    </row>
    <row r="1005" spans="1:25" x14ac:dyDescent="0.25">
      <c r="A1005">
        <v>2006</v>
      </c>
      <c r="B1005">
        <v>342</v>
      </c>
      <c r="C1005">
        <v>1200</v>
      </c>
      <c r="D1005">
        <v>180.2</v>
      </c>
      <c r="E1005">
        <v>119.2</v>
      </c>
      <c r="F1005">
        <v>4.8860000000000001</v>
      </c>
      <c r="G1005">
        <v>5.327</v>
      </c>
      <c r="K1005">
        <v>3.5459999999999998</v>
      </c>
      <c r="L1005">
        <v>271.39999999999998</v>
      </c>
      <c r="M1005">
        <v>0</v>
      </c>
      <c r="O1005">
        <v>206</v>
      </c>
      <c r="P1005">
        <v>102.8</v>
      </c>
      <c r="Q1005">
        <v>4.3109999999999999</v>
      </c>
      <c r="S1005">
        <v>4.8179999999999996</v>
      </c>
      <c r="T1005">
        <v>0</v>
      </c>
      <c r="U1005">
        <v>93.6</v>
      </c>
      <c r="V1005">
        <v>979</v>
      </c>
      <c r="W1005">
        <v>46.54</v>
      </c>
      <c r="Y1005">
        <v>14.46</v>
      </c>
    </row>
    <row r="1006" spans="1:25" x14ac:dyDescent="0.25">
      <c r="A1006">
        <v>2006</v>
      </c>
      <c r="B1006">
        <v>342</v>
      </c>
      <c r="C1006">
        <v>1300</v>
      </c>
      <c r="D1006">
        <v>197.7</v>
      </c>
      <c r="E1006">
        <v>137.9</v>
      </c>
      <c r="F1006">
        <v>5.6950000000000003</v>
      </c>
      <c r="G1006">
        <v>6.085</v>
      </c>
      <c r="K1006">
        <v>3.5819999999999999</v>
      </c>
      <c r="L1006">
        <v>272.39999999999998</v>
      </c>
      <c r="M1006">
        <v>0</v>
      </c>
      <c r="O1006">
        <v>228</v>
      </c>
      <c r="P1006">
        <v>112</v>
      </c>
      <c r="Q1006">
        <v>4.351</v>
      </c>
      <c r="S1006">
        <v>4.7670000000000003</v>
      </c>
      <c r="T1006">
        <v>0</v>
      </c>
      <c r="U1006">
        <v>94.5</v>
      </c>
      <c r="V1006">
        <v>974</v>
      </c>
      <c r="W1006">
        <v>46</v>
      </c>
      <c r="Y1006">
        <v>14.42</v>
      </c>
    </row>
    <row r="1007" spans="1:25" x14ac:dyDescent="0.25">
      <c r="A1007">
        <v>2006</v>
      </c>
      <c r="B1007">
        <v>342</v>
      </c>
      <c r="C1007">
        <v>1400</v>
      </c>
      <c r="D1007">
        <v>178</v>
      </c>
      <c r="E1007">
        <v>117.8</v>
      </c>
      <c r="F1007">
        <v>6.2370000000000001</v>
      </c>
      <c r="G1007">
        <v>6.5590000000000002</v>
      </c>
      <c r="K1007">
        <v>3.2810000000000001</v>
      </c>
      <c r="L1007">
        <v>272.39999999999998</v>
      </c>
      <c r="M1007">
        <v>0</v>
      </c>
      <c r="O1007">
        <v>195.2</v>
      </c>
      <c r="P1007">
        <v>112.9</v>
      </c>
      <c r="Q1007">
        <v>4.415</v>
      </c>
      <c r="S1007">
        <v>4.6840000000000002</v>
      </c>
      <c r="T1007">
        <v>0</v>
      </c>
      <c r="U1007">
        <v>95.6</v>
      </c>
      <c r="V1007">
        <v>956</v>
      </c>
      <c r="W1007">
        <v>44.2</v>
      </c>
      <c r="Y1007">
        <v>14.38</v>
      </c>
    </row>
    <row r="1008" spans="1:25" x14ac:dyDescent="0.25">
      <c r="A1008">
        <v>2006</v>
      </c>
      <c r="B1008">
        <v>342</v>
      </c>
      <c r="C1008">
        <v>1500</v>
      </c>
      <c r="D1008">
        <v>102.8</v>
      </c>
      <c r="E1008">
        <v>43.91</v>
      </c>
      <c r="F1008">
        <v>6.3220000000000001</v>
      </c>
      <c r="G1008">
        <v>6.5490000000000004</v>
      </c>
      <c r="K1008">
        <v>3.0920000000000001</v>
      </c>
      <c r="L1008">
        <v>272.39999999999998</v>
      </c>
      <c r="M1008">
        <v>0</v>
      </c>
      <c r="O1008">
        <v>104.9</v>
      </c>
      <c r="P1008">
        <v>67.7</v>
      </c>
      <c r="Q1008">
        <v>4.5579999999999998</v>
      </c>
      <c r="S1008">
        <v>4.6769999999999996</v>
      </c>
      <c r="T1008">
        <v>0</v>
      </c>
      <c r="U1008">
        <v>96.9</v>
      </c>
      <c r="V1008">
        <v>951</v>
      </c>
      <c r="W1008">
        <v>43.69</v>
      </c>
      <c r="Y1008">
        <v>14.13</v>
      </c>
    </row>
    <row r="1009" spans="1:25" x14ac:dyDescent="0.25">
      <c r="A1009">
        <v>2006</v>
      </c>
      <c r="B1009">
        <v>342</v>
      </c>
      <c r="C1009">
        <v>1600</v>
      </c>
      <c r="D1009">
        <v>11.24</v>
      </c>
      <c r="E1009">
        <v>-13.28</v>
      </c>
      <c r="F1009">
        <v>5.6239999999999997</v>
      </c>
      <c r="G1009">
        <v>5.7720000000000002</v>
      </c>
      <c r="K1009">
        <v>2.9169999999999998</v>
      </c>
      <c r="L1009">
        <v>272.5</v>
      </c>
      <c r="M1009">
        <v>0</v>
      </c>
      <c r="O1009">
        <v>4.6890000000000001</v>
      </c>
      <c r="P1009">
        <v>-6.4269999999999996</v>
      </c>
      <c r="Q1009">
        <v>4.6230000000000002</v>
      </c>
      <c r="S1009">
        <v>4.6840000000000002</v>
      </c>
      <c r="T1009">
        <v>0</v>
      </c>
      <c r="U1009">
        <v>97.9</v>
      </c>
      <c r="V1009">
        <v>945</v>
      </c>
      <c r="W1009">
        <v>43.13</v>
      </c>
      <c r="Y1009">
        <v>13.63</v>
      </c>
    </row>
    <row r="1010" spans="1:25" x14ac:dyDescent="0.25">
      <c r="A1010">
        <v>2006</v>
      </c>
      <c r="B1010">
        <v>342</v>
      </c>
      <c r="C1010">
        <v>1700</v>
      </c>
      <c r="D1010">
        <v>-1.208</v>
      </c>
      <c r="E1010">
        <v>-31.67</v>
      </c>
      <c r="F1010">
        <v>5.2370000000000001</v>
      </c>
      <c r="G1010">
        <v>5.3330000000000002</v>
      </c>
      <c r="K1010">
        <v>2.4470000000000001</v>
      </c>
      <c r="L1010">
        <v>272.3</v>
      </c>
      <c r="M1010">
        <v>0.2</v>
      </c>
      <c r="O1010">
        <v>-10.7</v>
      </c>
      <c r="P1010">
        <v>-10.63</v>
      </c>
      <c r="Q1010">
        <v>4.6929999999999996</v>
      </c>
      <c r="S1010">
        <v>4.6740000000000004</v>
      </c>
      <c r="T1010">
        <v>0</v>
      </c>
      <c r="U1010">
        <v>98.6</v>
      </c>
      <c r="V1010">
        <v>947</v>
      </c>
      <c r="W1010">
        <v>43.37</v>
      </c>
      <c r="Y1010">
        <v>13.48</v>
      </c>
    </row>
    <row r="1011" spans="1:25" x14ac:dyDescent="0.25">
      <c r="A1011">
        <v>2006</v>
      </c>
      <c r="B1011">
        <v>342</v>
      </c>
      <c r="C1011">
        <v>1800</v>
      </c>
      <c r="D1011">
        <v>-1.83</v>
      </c>
      <c r="E1011">
        <v>-24.97</v>
      </c>
      <c r="F1011">
        <v>4.7910000000000004</v>
      </c>
      <c r="G1011">
        <v>5.0259999999999998</v>
      </c>
      <c r="K1011">
        <v>2.5369999999999999</v>
      </c>
      <c r="L1011">
        <v>271.3</v>
      </c>
      <c r="M1011">
        <v>0.2</v>
      </c>
      <c r="O1011">
        <v>-11.5</v>
      </c>
      <c r="P1011">
        <v>-10.82</v>
      </c>
      <c r="Q1011">
        <v>4.6829999999999998</v>
      </c>
      <c r="S1011">
        <v>4.6760000000000002</v>
      </c>
      <c r="T1011">
        <v>0</v>
      </c>
      <c r="U1011">
        <v>96.6</v>
      </c>
      <c r="V1011">
        <v>945</v>
      </c>
      <c r="W1011">
        <v>43.12</v>
      </c>
      <c r="Y1011">
        <v>13.37</v>
      </c>
    </row>
    <row r="1012" spans="1:25" x14ac:dyDescent="0.25">
      <c r="A1012">
        <v>2006</v>
      </c>
      <c r="B1012">
        <v>342</v>
      </c>
      <c r="C1012">
        <v>1900</v>
      </c>
      <c r="D1012">
        <v>-1.4790000000000001</v>
      </c>
      <c r="E1012">
        <v>-20.329999999999998</v>
      </c>
      <c r="F1012">
        <v>4.6639999999999997</v>
      </c>
      <c r="G1012">
        <v>5.0060000000000002</v>
      </c>
      <c r="K1012">
        <v>2.5859999999999999</v>
      </c>
      <c r="L1012">
        <v>272</v>
      </c>
      <c r="M1012">
        <v>0</v>
      </c>
      <c r="O1012">
        <v>-11.47</v>
      </c>
      <c r="P1012">
        <v>-10.78</v>
      </c>
      <c r="Q1012">
        <v>4.6749999999999998</v>
      </c>
      <c r="S1012">
        <v>4.7140000000000004</v>
      </c>
      <c r="T1012">
        <v>0</v>
      </c>
      <c r="U1012">
        <v>95</v>
      </c>
      <c r="V1012">
        <v>949</v>
      </c>
      <c r="W1012">
        <v>43.54</v>
      </c>
      <c r="Y1012">
        <v>13.28</v>
      </c>
    </row>
    <row r="1013" spans="1:25" x14ac:dyDescent="0.25">
      <c r="A1013">
        <v>2006</v>
      </c>
      <c r="B1013">
        <v>342</v>
      </c>
      <c r="C1013">
        <v>2000</v>
      </c>
      <c r="D1013">
        <v>-1.5660000000000001</v>
      </c>
      <c r="E1013">
        <v>-23.28</v>
      </c>
      <c r="F1013">
        <v>4.274</v>
      </c>
      <c r="G1013">
        <v>4.6260000000000003</v>
      </c>
      <c r="K1013">
        <v>2.2930000000000001</v>
      </c>
      <c r="L1013">
        <v>271.2</v>
      </c>
      <c r="M1013">
        <v>0</v>
      </c>
      <c r="O1013">
        <v>-11.43</v>
      </c>
      <c r="P1013">
        <v>-10.7</v>
      </c>
      <c r="Q1013">
        <v>4.6559999999999997</v>
      </c>
      <c r="S1013">
        <v>4.7389999999999999</v>
      </c>
      <c r="T1013">
        <v>0</v>
      </c>
      <c r="U1013">
        <v>94.8</v>
      </c>
      <c r="V1013">
        <v>945</v>
      </c>
      <c r="W1013">
        <v>43.13</v>
      </c>
      <c r="Y1013">
        <v>13.2</v>
      </c>
    </row>
    <row r="1014" spans="1:25" x14ac:dyDescent="0.25">
      <c r="A1014">
        <v>2006</v>
      </c>
      <c r="B1014">
        <v>342</v>
      </c>
      <c r="C1014">
        <v>2100</v>
      </c>
      <c r="D1014">
        <v>-1.8819999999999999</v>
      </c>
      <c r="E1014">
        <v>-34.61</v>
      </c>
      <c r="F1014">
        <v>4.056</v>
      </c>
      <c r="G1014">
        <v>4.3920000000000003</v>
      </c>
      <c r="K1014">
        <v>2.5790000000000002</v>
      </c>
      <c r="L1014">
        <v>271.8</v>
      </c>
      <c r="M1014">
        <v>0</v>
      </c>
      <c r="O1014">
        <v>-11.35</v>
      </c>
      <c r="P1014">
        <v>-10.65</v>
      </c>
      <c r="Q1014">
        <v>4.6340000000000003</v>
      </c>
      <c r="S1014">
        <v>4.7679999999999998</v>
      </c>
      <c r="T1014">
        <v>0</v>
      </c>
      <c r="U1014">
        <v>95</v>
      </c>
      <c r="V1014">
        <v>939</v>
      </c>
      <c r="W1014">
        <v>42.64</v>
      </c>
      <c r="Y1014">
        <v>13.13</v>
      </c>
    </row>
    <row r="1015" spans="1:25" x14ac:dyDescent="0.25">
      <c r="A1015">
        <v>2006</v>
      </c>
      <c r="B1015">
        <v>342</v>
      </c>
      <c r="C1015">
        <v>2200</v>
      </c>
      <c r="D1015">
        <v>-2.468</v>
      </c>
      <c r="E1015">
        <v>-43.54</v>
      </c>
      <c r="F1015">
        <v>3.605</v>
      </c>
      <c r="G1015">
        <v>3.9830000000000001</v>
      </c>
      <c r="K1015">
        <v>2.6920000000000002</v>
      </c>
      <c r="L1015">
        <v>272.8</v>
      </c>
      <c r="M1015">
        <v>0</v>
      </c>
      <c r="O1015">
        <v>-11.21</v>
      </c>
      <c r="P1015">
        <v>-10.5</v>
      </c>
      <c r="Q1015">
        <v>4.5640000000000001</v>
      </c>
      <c r="S1015">
        <v>4.7119999999999997</v>
      </c>
      <c r="T1015">
        <v>0</v>
      </c>
      <c r="U1015">
        <v>94.2</v>
      </c>
      <c r="V1015">
        <v>934</v>
      </c>
      <c r="W1015">
        <v>42.15</v>
      </c>
      <c r="Y1015">
        <v>13.08</v>
      </c>
    </row>
    <row r="1016" spans="1:25" x14ac:dyDescent="0.25">
      <c r="A1016">
        <v>2006</v>
      </c>
      <c r="B1016">
        <v>342</v>
      </c>
      <c r="C1016">
        <v>2300</v>
      </c>
      <c r="D1016">
        <v>-2.8069999999999999</v>
      </c>
      <c r="E1016">
        <v>-44.26</v>
      </c>
      <c r="F1016">
        <v>3.4649999999999999</v>
      </c>
      <c r="G1016">
        <v>3.9340000000000002</v>
      </c>
      <c r="K1016">
        <v>2.915</v>
      </c>
      <c r="L1016">
        <v>272.3</v>
      </c>
      <c r="M1016">
        <v>0</v>
      </c>
      <c r="O1016">
        <v>-11.17</v>
      </c>
      <c r="P1016">
        <v>-10.48</v>
      </c>
      <c r="Q1016">
        <v>4.4470000000000001</v>
      </c>
      <c r="S1016">
        <v>4.6589999999999998</v>
      </c>
      <c r="T1016">
        <v>0</v>
      </c>
      <c r="U1016">
        <v>92.8</v>
      </c>
      <c r="V1016">
        <v>931</v>
      </c>
      <c r="W1016">
        <v>41.9</v>
      </c>
      <c r="Y1016">
        <v>13.03</v>
      </c>
    </row>
    <row r="1017" spans="1:25" x14ac:dyDescent="0.25">
      <c r="A1017">
        <v>2006</v>
      </c>
      <c r="B1017">
        <v>342</v>
      </c>
      <c r="C1017">
        <v>2400</v>
      </c>
      <c r="D1017">
        <v>-2.137</v>
      </c>
      <c r="E1017">
        <v>-28.56</v>
      </c>
      <c r="F1017">
        <v>3.7080000000000002</v>
      </c>
      <c r="G1017">
        <v>4.2149999999999999</v>
      </c>
      <c r="K1017">
        <v>3.109</v>
      </c>
      <c r="L1017">
        <v>272.7</v>
      </c>
      <c r="M1017">
        <v>0</v>
      </c>
      <c r="O1017">
        <v>-11.05</v>
      </c>
      <c r="P1017">
        <v>-10.41</v>
      </c>
      <c r="Q1017">
        <v>4.3170000000000002</v>
      </c>
      <c r="S1017">
        <v>4.6589999999999998</v>
      </c>
      <c r="T1017">
        <v>0</v>
      </c>
      <c r="U1017">
        <v>92.4</v>
      </c>
      <c r="V1017">
        <v>926</v>
      </c>
      <c r="W1017">
        <v>41.46</v>
      </c>
      <c r="Y1017">
        <v>12.99</v>
      </c>
    </row>
    <row r="1018" spans="1:25" x14ac:dyDescent="0.25">
      <c r="A1018">
        <v>2006</v>
      </c>
      <c r="B1018">
        <v>342</v>
      </c>
      <c r="C1018">
        <v>2400</v>
      </c>
      <c r="D1018">
        <v>34.28</v>
      </c>
      <c r="E1018">
        <v>-9.1</v>
      </c>
      <c r="F1018">
        <v>4.12</v>
      </c>
      <c r="G1018">
        <v>4.4710000000000001</v>
      </c>
      <c r="K1018">
        <v>2.8490000000000002</v>
      </c>
      <c r="L1018">
        <v>270.3</v>
      </c>
      <c r="M1018">
        <v>0.4</v>
      </c>
      <c r="O1018">
        <v>30.5</v>
      </c>
      <c r="P1018">
        <v>12.71</v>
      </c>
      <c r="Q1018">
        <v>4.8490000000000002</v>
      </c>
      <c r="S1018">
        <v>4.9729999999999999</v>
      </c>
      <c r="T1018">
        <v>0</v>
      </c>
      <c r="U1018">
        <v>94.8</v>
      </c>
      <c r="V1018">
        <v>961</v>
      </c>
      <c r="W1018">
        <v>44.8</v>
      </c>
      <c r="Y1018">
        <v>13.32</v>
      </c>
    </row>
    <row r="1019" spans="1:25" x14ac:dyDescent="0.25">
      <c r="A1019">
        <v>2006</v>
      </c>
      <c r="B1019">
        <v>343</v>
      </c>
      <c r="C1019">
        <v>100</v>
      </c>
      <c r="D1019">
        <v>-2.3279999999999998</v>
      </c>
      <c r="E1019">
        <v>-37.65</v>
      </c>
      <c r="F1019">
        <v>3.4540000000000002</v>
      </c>
      <c r="G1019">
        <v>3.823</v>
      </c>
      <c r="K1019">
        <v>2.21</v>
      </c>
      <c r="L1019">
        <v>273.2</v>
      </c>
      <c r="M1019">
        <v>0</v>
      </c>
      <c r="O1019">
        <v>-11.11</v>
      </c>
      <c r="P1019">
        <v>-10.41</v>
      </c>
      <c r="Q1019">
        <v>4.2210000000000001</v>
      </c>
      <c r="S1019">
        <v>4.6180000000000003</v>
      </c>
      <c r="T1019">
        <v>0</v>
      </c>
      <c r="U1019">
        <v>94.4</v>
      </c>
      <c r="V1019">
        <v>921</v>
      </c>
      <c r="W1019">
        <v>41.04</v>
      </c>
      <c r="Y1019">
        <v>12.96</v>
      </c>
    </row>
    <row r="1020" spans="1:25" x14ac:dyDescent="0.25">
      <c r="A1020">
        <v>2006</v>
      </c>
      <c r="B1020">
        <v>343</v>
      </c>
      <c r="C1020">
        <v>200</v>
      </c>
      <c r="D1020">
        <v>-2.7829999999999999</v>
      </c>
      <c r="E1020">
        <v>-41.75</v>
      </c>
      <c r="F1020">
        <v>2.83</v>
      </c>
      <c r="G1020">
        <v>3.0859999999999999</v>
      </c>
      <c r="K1020">
        <v>2.0259999999999998</v>
      </c>
      <c r="L1020">
        <v>272.39999999999998</v>
      </c>
      <c r="M1020">
        <v>0</v>
      </c>
      <c r="O1020">
        <v>-11</v>
      </c>
      <c r="P1020">
        <v>-10.36</v>
      </c>
      <c r="Q1020">
        <v>4.1239999999999997</v>
      </c>
      <c r="S1020">
        <v>4.5529999999999999</v>
      </c>
      <c r="T1020">
        <v>0</v>
      </c>
      <c r="U1020">
        <v>96</v>
      </c>
      <c r="V1020">
        <v>917</v>
      </c>
      <c r="W1020">
        <v>40.770000000000003</v>
      </c>
      <c r="Y1020">
        <v>12.94</v>
      </c>
    </row>
    <row r="1021" spans="1:25" x14ac:dyDescent="0.25">
      <c r="A1021">
        <v>2006</v>
      </c>
      <c r="B1021">
        <v>343</v>
      </c>
      <c r="C1021">
        <v>300</v>
      </c>
      <c r="D1021">
        <v>-2.105</v>
      </c>
      <c r="E1021">
        <v>-23.91</v>
      </c>
      <c r="F1021">
        <v>3.09</v>
      </c>
      <c r="G1021">
        <v>3.3740000000000001</v>
      </c>
      <c r="K1021">
        <v>2.4020000000000001</v>
      </c>
      <c r="L1021">
        <v>271.8</v>
      </c>
      <c r="M1021">
        <v>0</v>
      </c>
      <c r="O1021">
        <v>-10.92</v>
      </c>
      <c r="P1021">
        <v>-10.3</v>
      </c>
      <c r="Q1021">
        <v>4.04</v>
      </c>
      <c r="S1021">
        <v>4.5289999999999999</v>
      </c>
      <c r="T1021">
        <v>0</v>
      </c>
      <c r="U1021">
        <v>95.6</v>
      </c>
      <c r="V1021">
        <v>915</v>
      </c>
      <c r="W1021">
        <v>40.58</v>
      </c>
      <c r="Y1021">
        <v>12.92</v>
      </c>
    </row>
    <row r="1022" spans="1:25" x14ac:dyDescent="0.25">
      <c r="A1022">
        <v>2006</v>
      </c>
      <c r="B1022">
        <v>343</v>
      </c>
      <c r="C1022">
        <v>400</v>
      </c>
      <c r="D1022">
        <v>-1.1779999999999999</v>
      </c>
      <c r="E1022">
        <v>-10.6</v>
      </c>
      <c r="F1022">
        <v>3.488</v>
      </c>
      <c r="G1022">
        <v>3.7170000000000001</v>
      </c>
      <c r="K1022">
        <v>3.0750000000000002</v>
      </c>
      <c r="L1022">
        <v>270.8</v>
      </c>
      <c r="M1022">
        <v>0.8</v>
      </c>
      <c r="O1022">
        <v>-10.95</v>
      </c>
      <c r="P1022">
        <v>-10.31</v>
      </c>
      <c r="Q1022">
        <v>3.9369999999999998</v>
      </c>
      <c r="S1022">
        <v>4.4770000000000003</v>
      </c>
      <c r="T1022">
        <v>0</v>
      </c>
      <c r="U1022">
        <v>96.5</v>
      </c>
      <c r="V1022">
        <v>925</v>
      </c>
      <c r="W1022">
        <v>41.42</v>
      </c>
      <c r="Y1022">
        <v>12.91</v>
      </c>
    </row>
    <row r="1023" spans="1:25" x14ac:dyDescent="0.25">
      <c r="A1023">
        <v>2006</v>
      </c>
      <c r="B1023">
        <v>343</v>
      </c>
      <c r="C1023">
        <v>500</v>
      </c>
      <c r="D1023">
        <v>-1.7929999999999999</v>
      </c>
      <c r="E1023">
        <v>-30.98</v>
      </c>
      <c r="F1023">
        <v>3.0609999999999999</v>
      </c>
      <c r="G1023">
        <v>3.28</v>
      </c>
      <c r="K1023">
        <v>2.371</v>
      </c>
      <c r="L1023">
        <v>270</v>
      </c>
      <c r="M1023">
        <v>0</v>
      </c>
      <c r="O1023">
        <v>-10.99</v>
      </c>
      <c r="P1023">
        <v>-10.32</v>
      </c>
      <c r="Q1023">
        <v>3.903</v>
      </c>
      <c r="S1023">
        <v>4.3789999999999996</v>
      </c>
      <c r="T1023">
        <v>0</v>
      </c>
      <c r="U1023">
        <v>96.6</v>
      </c>
      <c r="V1023">
        <v>938</v>
      </c>
      <c r="W1023">
        <v>42.49</v>
      </c>
      <c r="Y1023">
        <v>12.9</v>
      </c>
    </row>
    <row r="1024" spans="1:25" x14ac:dyDescent="0.25">
      <c r="A1024">
        <v>2006</v>
      </c>
      <c r="B1024">
        <v>343</v>
      </c>
      <c r="C1024">
        <v>600</v>
      </c>
      <c r="D1024">
        <v>-1.6020000000000001</v>
      </c>
      <c r="E1024">
        <v>-20.25</v>
      </c>
      <c r="F1024">
        <v>3.0489999999999999</v>
      </c>
      <c r="G1024">
        <v>3.52</v>
      </c>
      <c r="K1024">
        <v>2.5750000000000002</v>
      </c>
      <c r="L1024">
        <v>272</v>
      </c>
      <c r="M1024">
        <v>0</v>
      </c>
      <c r="O1024">
        <v>-10.95</v>
      </c>
      <c r="P1024">
        <v>-10.33</v>
      </c>
      <c r="Q1024">
        <v>3.9020000000000001</v>
      </c>
      <c r="S1024">
        <v>4.3730000000000002</v>
      </c>
      <c r="T1024">
        <v>0</v>
      </c>
      <c r="U1024">
        <v>92.7</v>
      </c>
      <c r="V1024">
        <v>933</v>
      </c>
      <c r="W1024">
        <v>42.1</v>
      </c>
      <c r="Y1024">
        <v>12.89</v>
      </c>
    </row>
    <row r="1025" spans="1:25" x14ac:dyDescent="0.25">
      <c r="A1025">
        <v>2006</v>
      </c>
      <c r="B1025">
        <v>343</v>
      </c>
      <c r="C1025">
        <v>700</v>
      </c>
      <c r="D1025">
        <v>-1.903</v>
      </c>
      <c r="E1025">
        <v>-38.72</v>
      </c>
      <c r="F1025">
        <v>2.9769999999999999</v>
      </c>
      <c r="G1025">
        <v>3.3730000000000002</v>
      </c>
      <c r="K1025">
        <v>3.302</v>
      </c>
      <c r="L1025">
        <v>272.60000000000002</v>
      </c>
      <c r="M1025">
        <v>0</v>
      </c>
      <c r="O1025">
        <v>-10.99</v>
      </c>
      <c r="P1025">
        <v>-10.3</v>
      </c>
      <c r="Q1025">
        <v>3.839</v>
      </c>
      <c r="S1025">
        <v>4.3049999999999997</v>
      </c>
      <c r="T1025">
        <v>0</v>
      </c>
      <c r="U1025">
        <v>93.8</v>
      </c>
      <c r="V1025">
        <v>928</v>
      </c>
      <c r="W1025">
        <v>41.7</v>
      </c>
      <c r="Y1025">
        <v>12.88</v>
      </c>
    </row>
    <row r="1026" spans="1:25" x14ac:dyDescent="0.25">
      <c r="A1026">
        <v>2006</v>
      </c>
      <c r="B1026">
        <v>343</v>
      </c>
      <c r="C1026">
        <v>800</v>
      </c>
      <c r="D1026">
        <v>-1.9710000000000001</v>
      </c>
      <c r="E1026">
        <v>-42.84</v>
      </c>
      <c r="F1026">
        <v>2.4540000000000002</v>
      </c>
      <c r="G1026">
        <v>2.7450000000000001</v>
      </c>
      <c r="K1026">
        <v>2.8540000000000001</v>
      </c>
      <c r="L1026">
        <v>267.60000000000002</v>
      </c>
      <c r="M1026">
        <v>0</v>
      </c>
      <c r="O1026">
        <v>-10.9</v>
      </c>
      <c r="P1026">
        <v>-10.31</v>
      </c>
      <c r="Q1026">
        <v>3.802</v>
      </c>
      <c r="S1026">
        <v>4.274</v>
      </c>
      <c r="T1026">
        <v>0</v>
      </c>
      <c r="U1026">
        <v>95.3</v>
      </c>
      <c r="V1026">
        <v>924</v>
      </c>
      <c r="W1026">
        <v>41.33</v>
      </c>
      <c r="Y1026">
        <v>12.88</v>
      </c>
    </row>
    <row r="1027" spans="1:25" x14ac:dyDescent="0.25">
      <c r="A1027">
        <v>2006</v>
      </c>
      <c r="B1027">
        <v>343</v>
      </c>
      <c r="C1027">
        <v>900</v>
      </c>
      <c r="D1027">
        <v>2.9750000000000001</v>
      </c>
      <c r="E1027">
        <v>-43.98</v>
      </c>
      <c r="F1027">
        <v>2.17</v>
      </c>
      <c r="G1027">
        <v>2.5939999999999999</v>
      </c>
      <c r="H1027">
        <f>AVERAGE(G1027:G1051)</f>
        <v>4.452840000000001</v>
      </c>
      <c r="I1027">
        <f>MIN(G1027:G1051)</f>
        <v>2.5489999999999999</v>
      </c>
      <c r="J1027">
        <f>MAX(G1027:G1051)</f>
        <v>8.65</v>
      </c>
      <c r="K1027">
        <v>3.4289999999999998</v>
      </c>
      <c r="L1027">
        <v>269.5</v>
      </c>
      <c r="M1027">
        <v>0</v>
      </c>
      <c r="N1027">
        <f>SUM(M1027:M1051)</f>
        <v>5.2</v>
      </c>
      <c r="O1027">
        <v>-4.7610000000000001</v>
      </c>
      <c r="P1027">
        <v>-8.65</v>
      </c>
      <c r="Q1027">
        <v>3.698</v>
      </c>
      <c r="S1027">
        <v>4.2039999999999997</v>
      </c>
      <c r="T1027">
        <v>0</v>
      </c>
      <c r="U1027">
        <v>93.2</v>
      </c>
      <c r="V1027">
        <v>919</v>
      </c>
      <c r="W1027">
        <v>40.9</v>
      </c>
      <c r="Y1027">
        <v>12.87</v>
      </c>
    </row>
    <row r="1028" spans="1:25" x14ac:dyDescent="0.25">
      <c r="A1028">
        <v>2006</v>
      </c>
      <c r="B1028">
        <v>343</v>
      </c>
      <c r="C1028">
        <v>1000</v>
      </c>
      <c r="D1028">
        <v>36.1</v>
      </c>
      <c r="E1028">
        <v>-24.91</v>
      </c>
      <c r="F1028">
        <v>2.2210000000000001</v>
      </c>
      <c r="G1028">
        <v>2.6579999999999999</v>
      </c>
      <c r="K1028">
        <v>3.25</v>
      </c>
      <c r="L1028">
        <v>270.2</v>
      </c>
      <c r="M1028">
        <v>0</v>
      </c>
      <c r="O1028">
        <v>29.81</v>
      </c>
      <c r="P1028">
        <v>8.4600000000000009</v>
      </c>
      <c r="Q1028">
        <v>3.6059999999999999</v>
      </c>
      <c r="S1028">
        <v>4.1849999999999996</v>
      </c>
      <c r="T1028">
        <v>0</v>
      </c>
      <c r="U1028">
        <v>93</v>
      </c>
      <c r="V1028">
        <v>916</v>
      </c>
      <c r="W1028">
        <v>40.64</v>
      </c>
      <c r="Y1028">
        <v>13.14</v>
      </c>
    </row>
    <row r="1029" spans="1:25" x14ac:dyDescent="0.25">
      <c r="A1029">
        <v>2006</v>
      </c>
      <c r="B1029">
        <v>343</v>
      </c>
      <c r="C1029">
        <v>1100</v>
      </c>
      <c r="D1029">
        <v>116.8</v>
      </c>
      <c r="E1029">
        <v>17</v>
      </c>
      <c r="F1029">
        <v>2.8239999999999998</v>
      </c>
      <c r="G1029">
        <v>3.2410000000000001</v>
      </c>
      <c r="K1029">
        <v>3.0169999999999999</v>
      </c>
      <c r="L1029">
        <v>269.2</v>
      </c>
      <c r="M1029">
        <v>0</v>
      </c>
      <c r="O1029">
        <v>127.2</v>
      </c>
      <c r="P1029">
        <v>62.99</v>
      </c>
      <c r="Q1029">
        <v>3.5059999999999998</v>
      </c>
      <c r="S1029">
        <v>4.1539999999999999</v>
      </c>
      <c r="T1029">
        <v>0</v>
      </c>
      <c r="U1029">
        <v>93.5</v>
      </c>
      <c r="V1029">
        <v>914</v>
      </c>
      <c r="W1029">
        <v>40.520000000000003</v>
      </c>
      <c r="Y1029">
        <v>14.16</v>
      </c>
    </row>
    <row r="1030" spans="1:25" x14ac:dyDescent="0.25">
      <c r="A1030">
        <v>2006</v>
      </c>
      <c r="B1030">
        <v>343</v>
      </c>
      <c r="C1030">
        <v>1200</v>
      </c>
      <c r="D1030">
        <v>150.9</v>
      </c>
      <c r="E1030">
        <v>89.1</v>
      </c>
      <c r="F1030">
        <v>3.544</v>
      </c>
      <c r="G1030">
        <v>3.8969999999999998</v>
      </c>
      <c r="K1030">
        <v>3.6829999999999998</v>
      </c>
      <c r="L1030">
        <v>270.60000000000002</v>
      </c>
      <c r="M1030">
        <v>0</v>
      </c>
      <c r="O1030">
        <v>170.8</v>
      </c>
      <c r="P1030">
        <v>66.28</v>
      </c>
      <c r="Q1030">
        <v>3.5059999999999998</v>
      </c>
      <c r="S1030">
        <v>4.1319999999999997</v>
      </c>
      <c r="T1030">
        <v>0</v>
      </c>
      <c r="U1030">
        <v>94.6</v>
      </c>
      <c r="V1030">
        <v>912</v>
      </c>
      <c r="W1030">
        <v>40.39</v>
      </c>
      <c r="Y1030">
        <v>14.21</v>
      </c>
    </row>
    <row r="1031" spans="1:25" x14ac:dyDescent="0.25">
      <c r="A1031">
        <v>2006</v>
      </c>
      <c r="B1031">
        <v>343</v>
      </c>
      <c r="C1031">
        <v>1300</v>
      </c>
      <c r="D1031">
        <v>221</v>
      </c>
      <c r="E1031">
        <v>159.69999999999999</v>
      </c>
      <c r="F1031">
        <v>4.3019999999999996</v>
      </c>
      <c r="G1031">
        <v>4.6139999999999999</v>
      </c>
      <c r="K1031">
        <v>2.653</v>
      </c>
      <c r="L1031">
        <v>267.10000000000002</v>
      </c>
      <c r="M1031">
        <v>0</v>
      </c>
      <c r="O1031">
        <v>265</v>
      </c>
      <c r="P1031">
        <v>108.5</v>
      </c>
      <c r="Q1031">
        <v>3.5390000000000001</v>
      </c>
      <c r="S1031">
        <v>4.0970000000000004</v>
      </c>
      <c r="T1031">
        <v>0</v>
      </c>
      <c r="U1031">
        <v>95.4</v>
      </c>
      <c r="V1031">
        <v>911</v>
      </c>
      <c r="W1031">
        <v>40.24</v>
      </c>
      <c r="Y1031">
        <v>14.39</v>
      </c>
    </row>
    <row r="1032" spans="1:25" x14ac:dyDescent="0.25">
      <c r="A1032">
        <v>2006</v>
      </c>
      <c r="B1032">
        <v>343</v>
      </c>
      <c r="C1032">
        <v>1400</v>
      </c>
      <c r="D1032">
        <v>161.30000000000001</v>
      </c>
      <c r="E1032">
        <v>95.5</v>
      </c>
      <c r="F1032">
        <v>4.4720000000000004</v>
      </c>
      <c r="G1032">
        <v>4.718</v>
      </c>
      <c r="K1032">
        <v>3.4180000000000001</v>
      </c>
      <c r="L1032">
        <v>269.60000000000002</v>
      </c>
      <c r="M1032">
        <v>0</v>
      </c>
      <c r="O1032">
        <v>176.6</v>
      </c>
      <c r="P1032">
        <v>92</v>
      </c>
      <c r="Q1032">
        <v>3.7269999999999999</v>
      </c>
      <c r="S1032">
        <v>4.0890000000000004</v>
      </c>
      <c r="T1032">
        <v>0</v>
      </c>
      <c r="U1032">
        <v>96.4</v>
      </c>
      <c r="V1032">
        <v>909</v>
      </c>
      <c r="W1032">
        <v>40.090000000000003</v>
      </c>
      <c r="Y1032">
        <v>14.26</v>
      </c>
    </row>
    <row r="1033" spans="1:25" x14ac:dyDescent="0.25">
      <c r="A1033">
        <v>2006</v>
      </c>
      <c r="B1033">
        <v>343</v>
      </c>
      <c r="C1033">
        <v>1500</v>
      </c>
      <c r="D1033">
        <v>94</v>
      </c>
      <c r="E1033">
        <v>19.89</v>
      </c>
      <c r="F1033">
        <v>4.1760000000000002</v>
      </c>
      <c r="G1033">
        <v>4.4089999999999998</v>
      </c>
      <c r="K1033">
        <v>2.6829999999999998</v>
      </c>
      <c r="L1033">
        <v>272.60000000000002</v>
      </c>
      <c r="M1033">
        <v>0</v>
      </c>
      <c r="O1033">
        <v>90.9</v>
      </c>
      <c r="P1033">
        <v>67.75</v>
      </c>
      <c r="Q1033">
        <v>3.8620000000000001</v>
      </c>
      <c r="S1033">
        <v>4.0579999999999998</v>
      </c>
      <c r="T1033">
        <v>0</v>
      </c>
      <c r="U1033">
        <v>96.5</v>
      </c>
      <c r="V1033">
        <v>906</v>
      </c>
      <c r="W1033">
        <v>39.92</v>
      </c>
      <c r="Y1033">
        <v>14.05</v>
      </c>
    </row>
    <row r="1034" spans="1:25" x14ac:dyDescent="0.25">
      <c r="A1034">
        <v>2006</v>
      </c>
      <c r="B1034">
        <v>343</v>
      </c>
      <c r="C1034">
        <v>1600</v>
      </c>
      <c r="D1034">
        <v>15.92</v>
      </c>
      <c r="E1034">
        <v>-28.05</v>
      </c>
      <c r="F1034">
        <v>3.831</v>
      </c>
      <c r="G1034">
        <v>4.0970000000000004</v>
      </c>
      <c r="K1034">
        <v>1.9259999999999999</v>
      </c>
      <c r="L1034">
        <v>261.2</v>
      </c>
      <c r="M1034">
        <v>0</v>
      </c>
      <c r="O1034">
        <v>8.7899999999999991</v>
      </c>
      <c r="P1034">
        <v>-1.593</v>
      </c>
      <c r="Q1034">
        <v>3.859</v>
      </c>
      <c r="S1034">
        <v>4.0170000000000003</v>
      </c>
      <c r="T1034">
        <v>0</v>
      </c>
      <c r="U1034">
        <v>96</v>
      </c>
      <c r="V1034">
        <v>905</v>
      </c>
      <c r="W1034">
        <v>39.840000000000003</v>
      </c>
      <c r="Y1034">
        <v>13.68</v>
      </c>
    </row>
    <row r="1035" spans="1:25" x14ac:dyDescent="0.25">
      <c r="A1035">
        <v>2006</v>
      </c>
      <c r="B1035">
        <v>343</v>
      </c>
      <c r="C1035">
        <v>1700</v>
      </c>
      <c r="D1035">
        <v>-2.3660000000000001</v>
      </c>
      <c r="E1035">
        <v>-48.38</v>
      </c>
      <c r="F1035">
        <v>2.9350000000000001</v>
      </c>
      <c r="G1035">
        <v>3.113</v>
      </c>
      <c r="K1035">
        <v>1.5429999999999999</v>
      </c>
      <c r="L1035">
        <v>250.2</v>
      </c>
      <c r="M1035">
        <v>0</v>
      </c>
      <c r="O1035">
        <v>-10.58</v>
      </c>
      <c r="P1035">
        <v>-10.41</v>
      </c>
      <c r="Q1035">
        <v>3.8159999999999998</v>
      </c>
      <c r="S1035">
        <v>4.0540000000000003</v>
      </c>
      <c r="T1035">
        <v>0</v>
      </c>
      <c r="U1035">
        <v>97.2</v>
      </c>
      <c r="V1035">
        <v>904</v>
      </c>
      <c r="W1035">
        <v>39.75</v>
      </c>
      <c r="Y1035">
        <v>13.53</v>
      </c>
    </row>
    <row r="1036" spans="1:25" x14ac:dyDescent="0.25">
      <c r="A1036">
        <v>2006</v>
      </c>
      <c r="B1036">
        <v>343</v>
      </c>
      <c r="C1036">
        <v>1800</v>
      </c>
      <c r="D1036">
        <v>-2.9169999999999998</v>
      </c>
      <c r="E1036">
        <v>-46.65</v>
      </c>
      <c r="F1036">
        <v>2.6469999999999998</v>
      </c>
      <c r="G1036">
        <v>2.87</v>
      </c>
      <c r="K1036">
        <v>1.548</v>
      </c>
      <c r="L1036">
        <v>259.2</v>
      </c>
      <c r="M1036">
        <v>0</v>
      </c>
      <c r="O1036">
        <v>-11.13</v>
      </c>
      <c r="P1036">
        <v>-10.5</v>
      </c>
      <c r="Q1036">
        <v>3.7040000000000002</v>
      </c>
      <c r="S1036">
        <v>4.008</v>
      </c>
      <c r="T1036">
        <v>0</v>
      </c>
      <c r="U1036">
        <v>96.4</v>
      </c>
      <c r="V1036">
        <v>903</v>
      </c>
      <c r="W1036">
        <v>39.65</v>
      </c>
      <c r="Y1036">
        <v>13.42</v>
      </c>
    </row>
    <row r="1037" spans="1:25" x14ac:dyDescent="0.25">
      <c r="A1037">
        <v>2006</v>
      </c>
      <c r="B1037">
        <v>343</v>
      </c>
      <c r="C1037">
        <v>1900</v>
      </c>
      <c r="D1037">
        <v>-2.8119999999999998</v>
      </c>
      <c r="E1037">
        <v>-45.95</v>
      </c>
      <c r="F1037">
        <v>2.6669999999999998</v>
      </c>
      <c r="G1037">
        <v>2.9529999999999998</v>
      </c>
      <c r="K1037">
        <v>1.966</v>
      </c>
      <c r="L1037">
        <v>247.9</v>
      </c>
      <c r="M1037">
        <v>0</v>
      </c>
      <c r="O1037">
        <v>-10.95</v>
      </c>
      <c r="P1037">
        <v>-10.3</v>
      </c>
      <c r="Q1037">
        <v>3.5779999999999998</v>
      </c>
      <c r="S1037">
        <v>4.0289999999999999</v>
      </c>
      <c r="T1037">
        <v>0</v>
      </c>
      <c r="U1037">
        <v>95.5</v>
      </c>
      <c r="V1037">
        <v>902</v>
      </c>
      <c r="W1037">
        <v>39.56</v>
      </c>
      <c r="Y1037">
        <v>13.33</v>
      </c>
    </row>
    <row r="1038" spans="1:25" x14ac:dyDescent="0.25">
      <c r="A1038">
        <v>2006</v>
      </c>
      <c r="B1038">
        <v>343</v>
      </c>
      <c r="C1038">
        <v>2000</v>
      </c>
      <c r="D1038">
        <v>-2.653</v>
      </c>
      <c r="E1038">
        <v>-45.11</v>
      </c>
      <c r="F1038">
        <v>2.3119999999999998</v>
      </c>
      <c r="G1038">
        <v>2.5489999999999999</v>
      </c>
      <c r="K1038">
        <v>2.2200000000000002</v>
      </c>
      <c r="L1038">
        <v>219.4</v>
      </c>
      <c r="M1038">
        <v>0</v>
      </c>
      <c r="O1038">
        <v>-10.89</v>
      </c>
      <c r="P1038">
        <v>-10.27</v>
      </c>
      <c r="Q1038">
        <v>3.4689999999999999</v>
      </c>
      <c r="S1038">
        <v>4.0149999999999997</v>
      </c>
      <c r="T1038">
        <v>0</v>
      </c>
      <c r="U1038">
        <v>96.2</v>
      </c>
      <c r="V1038">
        <v>900</v>
      </c>
      <c r="W1038">
        <v>39.409999999999997</v>
      </c>
      <c r="Y1038">
        <v>13.25</v>
      </c>
    </row>
    <row r="1039" spans="1:25" x14ac:dyDescent="0.25">
      <c r="A1039">
        <v>2006</v>
      </c>
      <c r="B1039">
        <v>343</v>
      </c>
      <c r="C1039">
        <v>2100</v>
      </c>
      <c r="D1039">
        <v>-1.798</v>
      </c>
      <c r="E1039">
        <v>-26.94</v>
      </c>
      <c r="F1039">
        <v>2.649</v>
      </c>
      <c r="G1039">
        <v>2.8980000000000001</v>
      </c>
      <c r="K1039">
        <v>2.2080000000000002</v>
      </c>
      <c r="L1039">
        <v>204.6</v>
      </c>
      <c r="M1039">
        <v>0</v>
      </c>
      <c r="O1039">
        <v>-10.86</v>
      </c>
      <c r="P1039">
        <v>-10.25</v>
      </c>
      <c r="Q1039">
        <v>3.363</v>
      </c>
      <c r="S1039">
        <v>3.9590000000000001</v>
      </c>
      <c r="T1039">
        <v>0</v>
      </c>
      <c r="U1039">
        <v>96</v>
      </c>
      <c r="V1039">
        <v>899</v>
      </c>
      <c r="W1039">
        <v>39.369999999999997</v>
      </c>
      <c r="Y1039">
        <v>13.17</v>
      </c>
    </row>
    <row r="1040" spans="1:25" x14ac:dyDescent="0.25">
      <c r="A1040">
        <v>2006</v>
      </c>
      <c r="B1040">
        <v>343</v>
      </c>
      <c r="C1040">
        <v>2200</v>
      </c>
      <c r="D1040">
        <v>-1.3839999999999999</v>
      </c>
      <c r="E1040">
        <v>-20.96</v>
      </c>
      <c r="F1040">
        <v>3.0110000000000001</v>
      </c>
      <c r="G1040">
        <v>3.3650000000000002</v>
      </c>
      <c r="K1040">
        <v>1.7210000000000001</v>
      </c>
      <c r="L1040">
        <v>202.6</v>
      </c>
      <c r="M1040">
        <v>0</v>
      </c>
      <c r="O1040">
        <v>-10.86</v>
      </c>
      <c r="P1040">
        <v>-10.24</v>
      </c>
      <c r="Q1040">
        <v>3.2850000000000001</v>
      </c>
      <c r="S1040">
        <v>3.9510000000000001</v>
      </c>
      <c r="T1040">
        <v>0</v>
      </c>
      <c r="U1040">
        <v>94.5</v>
      </c>
      <c r="V1040">
        <v>900</v>
      </c>
      <c r="W1040">
        <v>39.43</v>
      </c>
      <c r="Y1040">
        <v>13.11</v>
      </c>
    </row>
    <row r="1041" spans="1:25" x14ac:dyDescent="0.25">
      <c r="A1041">
        <v>2006</v>
      </c>
      <c r="B1041">
        <v>343</v>
      </c>
      <c r="C1041">
        <v>2300</v>
      </c>
      <c r="D1041">
        <v>-2.1509999999999998</v>
      </c>
      <c r="E1041">
        <v>-31.54</v>
      </c>
      <c r="F1041">
        <v>3.1680000000000001</v>
      </c>
      <c r="G1041">
        <v>3.649</v>
      </c>
      <c r="K1041">
        <v>1.776</v>
      </c>
      <c r="L1041">
        <v>197.9</v>
      </c>
      <c r="M1041">
        <v>0</v>
      </c>
      <c r="O1041">
        <v>-10.87</v>
      </c>
      <c r="P1041">
        <v>-10.26</v>
      </c>
      <c r="Q1041">
        <v>3.22</v>
      </c>
      <c r="S1041">
        <v>3.863</v>
      </c>
      <c r="T1041">
        <v>0</v>
      </c>
      <c r="U1041">
        <v>92.6</v>
      </c>
      <c r="V1041">
        <v>900</v>
      </c>
      <c r="W1041">
        <v>39.42</v>
      </c>
      <c r="Y1041">
        <v>13.06</v>
      </c>
    </row>
    <row r="1042" spans="1:25" x14ac:dyDescent="0.25">
      <c r="A1042">
        <v>2006</v>
      </c>
      <c r="B1042">
        <v>343</v>
      </c>
      <c r="C1042">
        <v>2400</v>
      </c>
      <c r="D1042">
        <v>-1.46</v>
      </c>
      <c r="E1042">
        <v>-19.579999999999998</v>
      </c>
      <c r="F1042">
        <v>3.681</v>
      </c>
      <c r="G1042">
        <v>4.0659999999999998</v>
      </c>
      <c r="K1042">
        <v>2.5070000000000001</v>
      </c>
      <c r="L1042">
        <v>206.2</v>
      </c>
      <c r="M1042">
        <v>0</v>
      </c>
      <c r="O1042">
        <v>-10.88</v>
      </c>
      <c r="P1042">
        <v>-10.25</v>
      </c>
      <c r="Q1042">
        <v>3.1970000000000001</v>
      </c>
      <c r="S1042">
        <v>3.84</v>
      </c>
      <c r="T1042">
        <v>0</v>
      </c>
      <c r="U1042">
        <v>94.2</v>
      </c>
      <c r="V1042">
        <v>900</v>
      </c>
      <c r="W1042">
        <v>39.409999999999997</v>
      </c>
      <c r="Y1042">
        <v>13.01</v>
      </c>
    </row>
    <row r="1043" spans="1:25" x14ac:dyDescent="0.25">
      <c r="A1043">
        <v>2006</v>
      </c>
      <c r="B1043">
        <v>343</v>
      </c>
      <c r="C1043">
        <v>2400</v>
      </c>
      <c r="D1043">
        <v>31.91</v>
      </c>
      <c r="E1043">
        <v>-10.31</v>
      </c>
      <c r="F1043">
        <v>3.1259999999999999</v>
      </c>
      <c r="G1043">
        <v>3.4420000000000002</v>
      </c>
      <c r="K1043">
        <v>2.5150000000000001</v>
      </c>
      <c r="L1043">
        <v>256.39999999999998</v>
      </c>
      <c r="M1043">
        <v>0.8</v>
      </c>
      <c r="O1043">
        <v>28.73</v>
      </c>
      <c r="P1043">
        <v>9.61</v>
      </c>
      <c r="Q1043">
        <v>3.6960000000000002</v>
      </c>
      <c r="S1043">
        <v>4.173</v>
      </c>
      <c r="T1043">
        <v>0</v>
      </c>
      <c r="U1043">
        <v>95.1</v>
      </c>
      <c r="V1043">
        <v>912</v>
      </c>
      <c r="W1043">
        <v>40.409999999999997</v>
      </c>
      <c r="Y1043">
        <v>13.33</v>
      </c>
    </row>
    <row r="1044" spans="1:25" x14ac:dyDescent="0.25">
      <c r="A1044">
        <v>2006</v>
      </c>
      <c r="B1044">
        <v>344</v>
      </c>
      <c r="C1044">
        <v>100</v>
      </c>
      <c r="D1044">
        <v>-1.0780000000000001</v>
      </c>
      <c r="E1044">
        <v>-9.18</v>
      </c>
      <c r="F1044">
        <v>4.4420000000000002</v>
      </c>
      <c r="G1044">
        <v>4.8760000000000003</v>
      </c>
      <c r="K1044">
        <v>2.8250000000000002</v>
      </c>
      <c r="L1044">
        <v>208</v>
      </c>
      <c r="M1044">
        <v>0</v>
      </c>
      <c r="O1044">
        <v>-10.91</v>
      </c>
      <c r="P1044">
        <v>-10.3</v>
      </c>
      <c r="Q1044">
        <v>3.1669999999999998</v>
      </c>
      <c r="S1044">
        <v>3.8130000000000002</v>
      </c>
      <c r="T1044">
        <v>0</v>
      </c>
      <c r="U1044">
        <v>93.6</v>
      </c>
      <c r="V1044">
        <v>900</v>
      </c>
      <c r="W1044">
        <v>39.46</v>
      </c>
      <c r="Y1044">
        <v>12.97</v>
      </c>
    </row>
    <row r="1045" spans="1:25" x14ac:dyDescent="0.25">
      <c r="A1045">
        <v>2006</v>
      </c>
      <c r="B1045">
        <v>344</v>
      </c>
      <c r="C1045">
        <v>200</v>
      </c>
      <c r="D1045">
        <v>-1.0589999999999999</v>
      </c>
      <c r="E1045">
        <v>-5.7590000000000003</v>
      </c>
      <c r="F1045">
        <v>5.0780000000000003</v>
      </c>
      <c r="G1045">
        <v>5.4560000000000004</v>
      </c>
      <c r="K1045">
        <v>2.972</v>
      </c>
      <c r="L1045">
        <v>202.8</v>
      </c>
      <c r="M1045">
        <v>0</v>
      </c>
      <c r="O1045">
        <v>-11.09</v>
      </c>
      <c r="P1045">
        <v>-10.41</v>
      </c>
      <c r="Q1045">
        <v>3.18</v>
      </c>
      <c r="S1045">
        <v>3.7909999999999999</v>
      </c>
      <c r="T1045">
        <v>0</v>
      </c>
      <c r="U1045">
        <v>94.6</v>
      </c>
      <c r="V1045">
        <v>900</v>
      </c>
      <c r="W1045">
        <v>39.46</v>
      </c>
      <c r="Y1045">
        <v>12.95</v>
      </c>
    </row>
    <row r="1046" spans="1:25" x14ac:dyDescent="0.25">
      <c r="A1046">
        <v>2006</v>
      </c>
      <c r="B1046">
        <v>344</v>
      </c>
      <c r="C1046">
        <v>300</v>
      </c>
      <c r="D1046">
        <v>-1.637</v>
      </c>
      <c r="E1046">
        <v>-8.61</v>
      </c>
      <c r="F1046">
        <v>5.0060000000000002</v>
      </c>
      <c r="G1046">
        <v>5.2569999999999997</v>
      </c>
      <c r="K1046">
        <v>3.4620000000000002</v>
      </c>
      <c r="L1046">
        <v>203.2</v>
      </c>
      <c r="M1046">
        <v>0.2</v>
      </c>
      <c r="O1046">
        <v>-11.22</v>
      </c>
      <c r="P1046">
        <v>-10.5</v>
      </c>
      <c r="Q1046">
        <v>3.2829999999999999</v>
      </c>
      <c r="S1046">
        <v>3.7559999999999998</v>
      </c>
      <c r="T1046">
        <v>0</v>
      </c>
      <c r="U1046">
        <v>96.4</v>
      </c>
      <c r="V1046">
        <v>902</v>
      </c>
      <c r="W1046">
        <v>39.56</v>
      </c>
      <c r="Y1046">
        <v>12.93</v>
      </c>
    </row>
    <row r="1047" spans="1:25" x14ac:dyDescent="0.25">
      <c r="A1047">
        <v>2006</v>
      </c>
      <c r="B1047">
        <v>344</v>
      </c>
      <c r="C1047">
        <v>400</v>
      </c>
      <c r="D1047">
        <v>-1.1459999999999999</v>
      </c>
      <c r="E1047">
        <v>-3.694</v>
      </c>
      <c r="F1047">
        <v>5.6980000000000004</v>
      </c>
      <c r="G1047">
        <v>5.9870000000000001</v>
      </c>
      <c r="K1047">
        <v>3.9420000000000002</v>
      </c>
      <c r="L1047">
        <v>199.8</v>
      </c>
      <c r="M1047">
        <v>0</v>
      </c>
      <c r="O1047">
        <v>-11.23</v>
      </c>
      <c r="P1047">
        <v>-10.54</v>
      </c>
      <c r="Q1047">
        <v>3.4049999999999998</v>
      </c>
      <c r="S1047">
        <v>3.7530000000000001</v>
      </c>
      <c r="T1047">
        <v>0</v>
      </c>
      <c r="U1047">
        <v>95.9</v>
      </c>
      <c r="V1047">
        <v>903</v>
      </c>
      <c r="W1047">
        <v>39.630000000000003</v>
      </c>
      <c r="Y1047">
        <v>12.92</v>
      </c>
    </row>
    <row r="1048" spans="1:25" x14ac:dyDescent="0.25">
      <c r="A1048">
        <v>2006</v>
      </c>
      <c r="B1048">
        <v>344</v>
      </c>
      <c r="C1048">
        <v>500</v>
      </c>
      <c r="D1048">
        <v>-0.61099999999999999</v>
      </c>
      <c r="E1048">
        <v>-0.122</v>
      </c>
      <c r="F1048">
        <v>6.4960000000000004</v>
      </c>
      <c r="G1048">
        <v>6.7919999999999998</v>
      </c>
      <c r="K1048">
        <v>3.7010000000000001</v>
      </c>
      <c r="L1048">
        <v>198.6</v>
      </c>
      <c r="M1048">
        <v>0</v>
      </c>
      <c r="O1048">
        <v>-11.42</v>
      </c>
      <c r="P1048">
        <v>-10.68</v>
      </c>
      <c r="Q1048">
        <v>3.5379999999999998</v>
      </c>
      <c r="S1048">
        <v>3.774</v>
      </c>
      <c r="T1048">
        <v>0</v>
      </c>
      <c r="U1048">
        <v>96</v>
      </c>
      <c r="V1048">
        <v>902</v>
      </c>
      <c r="W1048">
        <v>39.56</v>
      </c>
      <c r="Y1048">
        <v>12.91</v>
      </c>
    </row>
    <row r="1049" spans="1:25" x14ac:dyDescent="0.25">
      <c r="A1049">
        <v>2006</v>
      </c>
      <c r="B1049">
        <v>344</v>
      </c>
      <c r="C1049">
        <v>600</v>
      </c>
      <c r="D1049">
        <v>-0.93799999999999994</v>
      </c>
      <c r="E1049">
        <v>-1.835</v>
      </c>
      <c r="F1049">
        <v>7.17</v>
      </c>
      <c r="G1049">
        <v>7.3</v>
      </c>
      <c r="K1049">
        <v>4.0730000000000004</v>
      </c>
      <c r="L1049">
        <v>202.8</v>
      </c>
      <c r="M1049">
        <v>2</v>
      </c>
      <c r="O1049">
        <v>-11.48</v>
      </c>
      <c r="P1049">
        <v>-10.77</v>
      </c>
      <c r="Q1049">
        <v>3.6619999999999999</v>
      </c>
      <c r="S1049">
        <v>3.7170000000000001</v>
      </c>
      <c r="T1049">
        <v>0</v>
      </c>
      <c r="U1049">
        <v>98.2</v>
      </c>
      <c r="V1049">
        <v>912</v>
      </c>
      <c r="W1049">
        <v>40.36</v>
      </c>
      <c r="Y1049">
        <v>12.9</v>
      </c>
    </row>
    <row r="1050" spans="1:25" x14ac:dyDescent="0.25">
      <c r="A1050">
        <v>2006</v>
      </c>
      <c r="B1050">
        <v>344</v>
      </c>
      <c r="C1050">
        <v>700</v>
      </c>
      <c r="D1050">
        <v>-0.71899999999999997</v>
      </c>
      <c r="E1050">
        <v>-2.5289999999999999</v>
      </c>
      <c r="F1050">
        <v>7.67</v>
      </c>
      <c r="G1050">
        <v>7.87</v>
      </c>
      <c r="K1050">
        <v>4.024</v>
      </c>
      <c r="L1050">
        <v>194.8</v>
      </c>
      <c r="M1050">
        <v>1.8</v>
      </c>
      <c r="O1050">
        <v>-11.5</v>
      </c>
      <c r="P1050">
        <v>-10.82</v>
      </c>
      <c r="Q1050">
        <v>3.8479999999999999</v>
      </c>
      <c r="S1050">
        <v>3.7349999999999999</v>
      </c>
      <c r="T1050">
        <v>0</v>
      </c>
      <c r="U1050">
        <v>97.3</v>
      </c>
      <c r="V1050">
        <v>960</v>
      </c>
      <c r="W1050">
        <v>44.53</v>
      </c>
      <c r="Y1050">
        <v>12.89</v>
      </c>
    </row>
    <row r="1051" spans="1:25" x14ac:dyDescent="0.25">
      <c r="A1051">
        <v>2006</v>
      </c>
      <c r="B1051">
        <v>344</v>
      </c>
      <c r="C1051">
        <v>800</v>
      </c>
      <c r="D1051">
        <v>-0.58699999999999997</v>
      </c>
      <c r="E1051">
        <v>-2.9470000000000001</v>
      </c>
      <c r="F1051">
        <v>8.35</v>
      </c>
      <c r="G1051">
        <v>8.65</v>
      </c>
      <c r="K1051">
        <v>4.6260000000000003</v>
      </c>
      <c r="L1051">
        <v>200.8</v>
      </c>
      <c r="M1051">
        <v>0.4</v>
      </c>
      <c r="O1051">
        <v>-11.5</v>
      </c>
      <c r="P1051">
        <v>-10.84</v>
      </c>
      <c r="Q1051">
        <v>4.0789999999999997</v>
      </c>
      <c r="S1051">
        <v>3.8119999999999998</v>
      </c>
      <c r="T1051">
        <v>0</v>
      </c>
      <c r="U1051">
        <v>96.2</v>
      </c>
      <c r="V1051">
        <v>961</v>
      </c>
      <c r="W1051">
        <v>44.71</v>
      </c>
      <c r="Y1051">
        <v>12.88</v>
      </c>
    </row>
    <row r="1052" spans="1:25" x14ac:dyDescent="0.25">
      <c r="A1052">
        <v>2006</v>
      </c>
      <c r="B1052">
        <v>344</v>
      </c>
      <c r="C1052">
        <v>900</v>
      </c>
      <c r="D1052">
        <v>0.45200000000000001</v>
      </c>
      <c r="E1052">
        <v>-1.1399999999999999</v>
      </c>
      <c r="F1052">
        <v>8.73</v>
      </c>
      <c r="G1052">
        <v>8.9600000000000009</v>
      </c>
      <c r="H1052">
        <f>AVERAGE(G1052:G1076)</f>
        <v>10.07888</v>
      </c>
      <c r="I1052">
        <f>MIN(G1052:G1076)</f>
        <v>5.2969999999999997</v>
      </c>
      <c r="J1052">
        <f>MAX(G1052:G1076)</f>
        <v>12.23</v>
      </c>
      <c r="K1052">
        <v>4.681</v>
      </c>
      <c r="L1052">
        <v>198.8</v>
      </c>
      <c r="M1052">
        <v>0.4</v>
      </c>
      <c r="N1052">
        <f>SUM(M1052:M1076)</f>
        <v>18.399999999999999</v>
      </c>
      <c r="O1052">
        <v>-10.24</v>
      </c>
      <c r="P1052">
        <v>-10.53</v>
      </c>
      <c r="Q1052">
        <v>4.3239999999999998</v>
      </c>
      <c r="S1052">
        <v>3.8940000000000001</v>
      </c>
      <c r="T1052">
        <v>0</v>
      </c>
      <c r="U1052">
        <v>97.1</v>
      </c>
      <c r="V1052">
        <v>962</v>
      </c>
      <c r="W1052">
        <v>44.81</v>
      </c>
      <c r="Y1052">
        <v>12.88</v>
      </c>
    </row>
    <row r="1053" spans="1:25" x14ac:dyDescent="0.25">
      <c r="A1053">
        <v>2006</v>
      </c>
      <c r="B1053">
        <v>344</v>
      </c>
      <c r="C1053">
        <v>1000</v>
      </c>
      <c r="D1053">
        <v>8.57</v>
      </c>
      <c r="E1053">
        <v>5.2229999999999999</v>
      </c>
      <c r="F1053">
        <v>9.0399999999999991</v>
      </c>
      <c r="G1053">
        <v>9.25</v>
      </c>
      <c r="K1053">
        <v>4.7720000000000002</v>
      </c>
      <c r="L1053">
        <v>203.8</v>
      </c>
      <c r="M1053">
        <v>0</v>
      </c>
      <c r="O1053">
        <v>1.327</v>
      </c>
      <c r="P1053">
        <v>-8.06</v>
      </c>
      <c r="Q1053">
        <v>4.5650000000000004</v>
      </c>
      <c r="S1053">
        <v>3.964</v>
      </c>
      <c r="T1053">
        <v>0</v>
      </c>
      <c r="U1053">
        <v>97.3</v>
      </c>
      <c r="V1053">
        <v>962</v>
      </c>
      <c r="W1053">
        <v>44.81</v>
      </c>
      <c r="Y1053">
        <v>12.88</v>
      </c>
    </row>
    <row r="1054" spans="1:25" x14ac:dyDescent="0.25">
      <c r="A1054">
        <v>2006</v>
      </c>
      <c r="B1054">
        <v>344</v>
      </c>
      <c r="C1054">
        <v>1100</v>
      </c>
      <c r="D1054">
        <v>21.13</v>
      </c>
      <c r="E1054">
        <v>13.56</v>
      </c>
      <c r="F1054">
        <v>9.34</v>
      </c>
      <c r="G1054">
        <v>9.61</v>
      </c>
      <c r="K1054">
        <v>4.6280000000000001</v>
      </c>
      <c r="L1054">
        <v>210.6</v>
      </c>
      <c r="M1054">
        <v>0.2</v>
      </c>
      <c r="O1054">
        <v>18.149999999999999</v>
      </c>
      <c r="P1054">
        <v>-4.5279999999999996</v>
      </c>
      <c r="Q1054">
        <v>4.7670000000000003</v>
      </c>
      <c r="S1054">
        <v>4.0069999999999997</v>
      </c>
      <c r="T1054">
        <v>0</v>
      </c>
      <c r="U1054">
        <v>96.7</v>
      </c>
      <c r="V1054">
        <v>963</v>
      </c>
      <c r="W1054">
        <v>44.9</v>
      </c>
      <c r="Y1054">
        <v>12.88</v>
      </c>
    </row>
    <row r="1055" spans="1:25" x14ac:dyDescent="0.25">
      <c r="A1055">
        <v>2006</v>
      </c>
      <c r="B1055">
        <v>344</v>
      </c>
      <c r="C1055">
        <v>1200</v>
      </c>
      <c r="D1055">
        <v>40.1</v>
      </c>
      <c r="E1055">
        <v>26.69</v>
      </c>
      <c r="F1055">
        <v>9.7799999999999994</v>
      </c>
      <c r="G1055">
        <v>10.06</v>
      </c>
      <c r="K1055">
        <v>4.4249999999999998</v>
      </c>
      <c r="L1055">
        <v>220.2</v>
      </c>
      <c r="M1055">
        <v>0.2</v>
      </c>
      <c r="O1055">
        <v>43.43</v>
      </c>
      <c r="P1055">
        <v>0.80400000000000005</v>
      </c>
      <c r="Q1055">
        <v>5.0030000000000001</v>
      </c>
      <c r="S1055">
        <v>4.0940000000000003</v>
      </c>
      <c r="T1055">
        <v>0</v>
      </c>
      <c r="U1055">
        <v>96.6</v>
      </c>
      <c r="V1055">
        <v>963</v>
      </c>
      <c r="W1055">
        <v>44.9</v>
      </c>
      <c r="Y1055">
        <v>12.92</v>
      </c>
    </row>
    <row r="1056" spans="1:25" x14ac:dyDescent="0.25">
      <c r="A1056">
        <v>2006</v>
      </c>
      <c r="B1056">
        <v>344</v>
      </c>
      <c r="C1056">
        <v>1300</v>
      </c>
      <c r="D1056">
        <v>47.62</v>
      </c>
      <c r="E1056">
        <v>31.12</v>
      </c>
      <c r="F1056">
        <v>10.23</v>
      </c>
      <c r="G1056">
        <v>10.54</v>
      </c>
      <c r="K1056">
        <v>4.5919999999999996</v>
      </c>
      <c r="L1056">
        <v>222.3</v>
      </c>
      <c r="M1056">
        <v>0.4</v>
      </c>
      <c r="O1056">
        <v>52.29</v>
      </c>
      <c r="P1056">
        <v>2.5579999999999998</v>
      </c>
      <c r="Q1056">
        <v>5.2869999999999999</v>
      </c>
      <c r="S1056">
        <v>4.2249999999999996</v>
      </c>
      <c r="T1056">
        <v>0</v>
      </c>
      <c r="U1056">
        <v>96.3</v>
      </c>
      <c r="V1056">
        <v>963</v>
      </c>
      <c r="W1056">
        <v>44.9</v>
      </c>
      <c r="Y1056">
        <v>13.05</v>
      </c>
    </row>
    <row r="1057" spans="1:25" x14ac:dyDescent="0.25">
      <c r="A1057">
        <v>2006</v>
      </c>
      <c r="B1057">
        <v>344</v>
      </c>
      <c r="C1057">
        <v>1400</v>
      </c>
      <c r="D1057">
        <v>38.29</v>
      </c>
      <c r="E1057">
        <v>25.85</v>
      </c>
      <c r="F1057">
        <v>10.64</v>
      </c>
      <c r="G1057">
        <v>10.96</v>
      </c>
      <c r="K1057">
        <v>4.4580000000000002</v>
      </c>
      <c r="L1057">
        <v>228.5</v>
      </c>
      <c r="M1057">
        <v>0</v>
      </c>
      <c r="O1057">
        <v>38.229999999999997</v>
      </c>
      <c r="P1057">
        <v>-0.64500000000000002</v>
      </c>
      <c r="Q1057">
        <v>5.5839999999999996</v>
      </c>
      <c r="S1057">
        <v>4.3680000000000003</v>
      </c>
      <c r="T1057">
        <v>0</v>
      </c>
      <c r="U1057">
        <v>96.2</v>
      </c>
      <c r="V1057">
        <v>963</v>
      </c>
      <c r="W1057">
        <v>44.9</v>
      </c>
      <c r="Y1057">
        <v>13.08</v>
      </c>
    </row>
    <row r="1058" spans="1:25" x14ac:dyDescent="0.25">
      <c r="A1058">
        <v>2006</v>
      </c>
      <c r="B1058">
        <v>344</v>
      </c>
      <c r="C1058">
        <v>1500</v>
      </c>
      <c r="D1058">
        <v>13.36</v>
      </c>
      <c r="E1058">
        <v>8.57</v>
      </c>
      <c r="F1058">
        <v>10.95</v>
      </c>
      <c r="G1058">
        <v>11.34</v>
      </c>
      <c r="K1058">
        <v>4.4960000000000004</v>
      </c>
      <c r="L1058">
        <v>227.1</v>
      </c>
      <c r="M1058">
        <v>0</v>
      </c>
      <c r="O1058">
        <v>7.58</v>
      </c>
      <c r="P1058">
        <v>-6.8979999999999997</v>
      </c>
      <c r="Q1058">
        <v>5.8760000000000003</v>
      </c>
      <c r="S1058">
        <v>4.5129999999999999</v>
      </c>
      <c r="T1058">
        <v>0</v>
      </c>
      <c r="U1058">
        <v>95.5</v>
      </c>
      <c r="V1058">
        <v>963</v>
      </c>
      <c r="W1058">
        <v>44.91</v>
      </c>
      <c r="Y1058">
        <v>13.01</v>
      </c>
    </row>
    <row r="1059" spans="1:25" x14ac:dyDescent="0.25">
      <c r="A1059">
        <v>2006</v>
      </c>
      <c r="B1059">
        <v>344</v>
      </c>
      <c r="C1059">
        <v>1600</v>
      </c>
      <c r="D1059">
        <v>4.0839999999999996</v>
      </c>
      <c r="E1059">
        <v>2.5449999999999999</v>
      </c>
      <c r="F1059">
        <v>11.27</v>
      </c>
      <c r="G1059">
        <v>11.61</v>
      </c>
      <c r="K1059">
        <v>4.0430000000000001</v>
      </c>
      <c r="L1059">
        <v>228.4</v>
      </c>
      <c r="M1059">
        <v>0</v>
      </c>
      <c r="O1059">
        <v>-4.6349999999999998</v>
      </c>
      <c r="P1059">
        <v>-9.44</v>
      </c>
      <c r="Q1059">
        <v>6.133</v>
      </c>
      <c r="S1059">
        <v>4.6580000000000004</v>
      </c>
      <c r="T1059">
        <v>0</v>
      </c>
      <c r="U1059">
        <v>96</v>
      </c>
      <c r="V1059">
        <v>964</v>
      </c>
      <c r="W1059">
        <v>44.97</v>
      </c>
      <c r="Y1059">
        <v>12.95</v>
      </c>
    </row>
    <row r="1060" spans="1:25" x14ac:dyDescent="0.25">
      <c r="A1060">
        <v>2006</v>
      </c>
      <c r="B1060">
        <v>344</v>
      </c>
      <c r="C1060">
        <v>1700</v>
      </c>
      <c r="D1060">
        <v>-0.57599999999999996</v>
      </c>
      <c r="E1060">
        <v>-0.52300000000000002</v>
      </c>
      <c r="F1060">
        <v>11.62</v>
      </c>
      <c r="G1060">
        <v>11.93</v>
      </c>
      <c r="K1060">
        <v>3.9319999999999999</v>
      </c>
      <c r="L1060">
        <v>231.1</v>
      </c>
      <c r="M1060">
        <v>0</v>
      </c>
      <c r="O1060">
        <v>-11.36</v>
      </c>
      <c r="P1060">
        <v>-10.84</v>
      </c>
      <c r="Q1060">
        <v>6.3490000000000002</v>
      </c>
      <c r="S1060">
        <v>4.8079999999999998</v>
      </c>
      <c r="T1060">
        <v>0</v>
      </c>
      <c r="U1060">
        <v>96.5</v>
      </c>
      <c r="V1060">
        <v>964</v>
      </c>
      <c r="W1060">
        <v>45.01</v>
      </c>
      <c r="Y1060">
        <v>12.92</v>
      </c>
    </row>
    <row r="1061" spans="1:25" x14ac:dyDescent="0.25">
      <c r="A1061">
        <v>2006</v>
      </c>
      <c r="B1061">
        <v>344</v>
      </c>
      <c r="C1061">
        <v>1800</v>
      </c>
      <c r="D1061">
        <v>-0.58399999999999996</v>
      </c>
      <c r="E1061">
        <v>-1.008</v>
      </c>
      <c r="F1061">
        <v>11.78</v>
      </c>
      <c r="G1061">
        <v>12.13</v>
      </c>
      <c r="K1061">
        <v>3.97</v>
      </c>
      <c r="L1061">
        <v>230.9</v>
      </c>
      <c r="M1061">
        <v>0</v>
      </c>
      <c r="O1061">
        <v>-11.5</v>
      </c>
      <c r="P1061">
        <v>-10.84</v>
      </c>
      <c r="Q1061">
        <v>6.4950000000000001</v>
      </c>
      <c r="S1061">
        <v>4.8940000000000001</v>
      </c>
      <c r="T1061">
        <v>0</v>
      </c>
      <c r="U1061">
        <v>96.1</v>
      </c>
      <c r="V1061">
        <v>965</v>
      </c>
      <c r="W1061">
        <v>45.06</v>
      </c>
      <c r="Y1061">
        <v>12.9</v>
      </c>
    </row>
    <row r="1062" spans="1:25" x14ac:dyDescent="0.25">
      <c r="A1062">
        <v>2006</v>
      </c>
      <c r="B1062">
        <v>344</v>
      </c>
      <c r="C1062">
        <v>1900</v>
      </c>
      <c r="D1062">
        <v>-0.57299999999999995</v>
      </c>
      <c r="E1062">
        <v>-1.4159999999999999</v>
      </c>
      <c r="F1062">
        <v>11.84</v>
      </c>
      <c r="G1062">
        <v>12.18</v>
      </c>
      <c r="K1062">
        <v>4.0129999999999999</v>
      </c>
      <c r="L1062">
        <v>232.2</v>
      </c>
      <c r="M1062">
        <v>0</v>
      </c>
      <c r="O1062">
        <v>-11.5</v>
      </c>
      <c r="P1062">
        <v>-10.84</v>
      </c>
      <c r="Q1062">
        <v>6.6559999999999997</v>
      </c>
      <c r="S1062">
        <v>4.9980000000000002</v>
      </c>
      <c r="T1062">
        <v>0</v>
      </c>
      <c r="U1062">
        <v>96.2</v>
      </c>
      <c r="V1062">
        <v>966</v>
      </c>
      <c r="W1062">
        <v>45.14</v>
      </c>
      <c r="Y1062">
        <v>12.89</v>
      </c>
    </row>
    <row r="1063" spans="1:25" x14ac:dyDescent="0.25">
      <c r="A1063">
        <v>2006</v>
      </c>
      <c r="B1063">
        <v>344</v>
      </c>
      <c r="C1063">
        <v>2000</v>
      </c>
      <c r="D1063">
        <v>-0.57399999999999995</v>
      </c>
      <c r="E1063">
        <v>-1.2050000000000001</v>
      </c>
      <c r="F1063">
        <v>11.88</v>
      </c>
      <c r="G1063">
        <v>12.23</v>
      </c>
      <c r="K1063">
        <v>3.73</v>
      </c>
      <c r="L1063">
        <v>232.9</v>
      </c>
      <c r="M1063">
        <v>0.2</v>
      </c>
      <c r="O1063">
        <v>-11.49</v>
      </c>
      <c r="P1063">
        <v>-10.84</v>
      </c>
      <c r="Q1063">
        <v>6.8319999999999999</v>
      </c>
      <c r="S1063">
        <v>5.13</v>
      </c>
      <c r="T1063">
        <v>0</v>
      </c>
      <c r="U1063">
        <v>96.1</v>
      </c>
      <c r="V1063">
        <v>964</v>
      </c>
      <c r="W1063">
        <v>44.96</v>
      </c>
      <c r="Y1063">
        <v>12.89</v>
      </c>
    </row>
    <row r="1064" spans="1:25" x14ac:dyDescent="0.25">
      <c r="A1064">
        <v>2006</v>
      </c>
      <c r="B1064">
        <v>344</v>
      </c>
      <c r="C1064">
        <v>2100</v>
      </c>
      <c r="D1064">
        <v>-0.56000000000000005</v>
      </c>
      <c r="E1064">
        <v>-2.1000000000000001E-2</v>
      </c>
      <c r="F1064">
        <v>11.87</v>
      </c>
      <c r="G1064">
        <v>12.12</v>
      </c>
      <c r="K1064">
        <v>3.6960000000000002</v>
      </c>
      <c r="L1064">
        <v>228.8</v>
      </c>
      <c r="M1064">
        <v>0.4</v>
      </c>
      <c r="O1064">
        <v>-11.5</v>
      </c>
      <c r="P1064">
        <v>-10.84</v>
      </c>
      <c r="Q1064">
        <v>7</v>
      </c>
      <c r="S1064">
        <v>5.2569999999999997</v>
      </c>
      <c r="T1064">
        <v>0</v>
      </c>
      <c r="U1064">
        <v>97.2</v>
      </c>
      <c r="V1064">
        <v>964</v>
      </c>
      <c r="W1064">
        <v>44.97</v>
      </c>
      <c r="Y1064">
        <v>12.89</v>
      </c>
    </row>
    <row r="1065" spans="1:25" x14ac:dyDescent="0.25">
      <c r="A1065">
        <v>2006</v>
      </c>
      <c r="B1065">
        <v>344</v>
      </c>
      <c r="C1065">
        <v>2200</v>
      </c>
      <c r="D1065">
        <v>-0.46800000000000003</v>
      </c>
      <c r="E1065">
        <v>0.129</v>
      </c>
      <c r="F1065">
        <v>11.82</v>
      </c>
      <c r="G1065">
        <v>12.06</v>
      </c>
      <c r="K1065">
        <v>3.1309999999999998</v>
      </c>
      <c r="L1065">
        <v>231.6</v>
      </c>
      <c r="M1065">
        <v>0.6</v>
      </c>
      <c r="O1065">
        <v>-11.5</v>
      </c>
      <c r="P1065">
        <v>-10.84</v>
      </c>
      <c r="Q1065">
        <v>7.16</v>
      </c>
      <c r="S1065">
        <v>5.3760000000000003</v>
      </c>
      <c r="T1065">
        <v>0</v>
      </c>
      <c r="U1065">
        <v>97.3</v>
      </c>
      <c r="V1065">
        <v>964</v>
      </c>
      <c r="W1065">
        <v>45.01</v>
      </c>
      <c r="Y1065">
        <v>12.89</v>
      </c>
    </row>
    <row r="1066" spans="1:25" x14ac:dyDescent="0.25">
      <c r="A1066">
        <v>2006</v>
      </c>
      <c r="B1066">
        <v>344</v>
      </c>
      <c r="C1066">
        <v>2300</v>
      </c>
      <c r="D1066">
        <v>-0.51200000000000001</v>
      </c>
      <c r="E1066">
        <v>-0.38800000000000001</v>
      </c>
      <c r="F1066">
        <v>11.79</v>
      </c>
      <c r="G1066">
        <v>12.07</v>
      </c>
      <c r="K1066">
        <v>3.2370000000000001</v>
      </c>
      <c r="L1066">
        <v>233.6</v>
      </c>
      <c r="M1066">
        <v>1.4</v>
      </c>
      <c r="O1066">
        <v>-11.49</v>
      </c>
      <c r="P1066">
        <v>-10.84</v>
      </c>
      <c r="Q1066">
        <v>7.31</v>
      </c>
      <c r="S1066">
        <v>5.4950000000000001</v>
      </c>
      <c r="T1066">
        <v>0</v>
      </c>
      <c r="U1066">
        <v>96.8</v>
      </c>
      <c r="V1066">
        <v>965</v>
      </c>
      <c r="W1066">
        <v>45.06</v>
      </c>
      <c r="Y1066">
        <v>12.89</v>
      </c>
    </row>
    <row r="1067" spans="1:25" x14ac:dyDescent="0.25">
      <c r="A1067">
        <v>2006</v>
      </c>
      <c r="B1067">
        <v>344</v>
      </c>
      <c r="C1067">
        <v>2400</v>
      </c>
      <c r="D1067">
        <v>-0.375</v>
      </c>
      <c r="E1067">
        <v>-3.415</v>
      </c>
      <c r="F1067">
        <v>11.47</v>
      </c>
      <c r="G1067">
        <v>11.89</v>
      </c>
      <c r="K1067">
        <v>3.879</v>
      </c>
      <c r="L1067">
        <v>250.3</v>
      </c>
      <c r="M1067">
        <v>2.8</v>
      </c>
      <c r="O1067">
        <v>-11.5</v>
      </c>
      <c r="P1067">
        <v>-10.85</v>
      </c>
      <c r="Q1067">
        <v>7.45</v>
      </c>
      <c r="S1067">
        <v>5.6139999999999999</v>
      </c>
      <c r="T1067">
        <v>0</v>
      </c>
      <c r="U1067">
        <v>95.1</v>
      </c>
      <c r="V1067">
        <v>965</v>
      </c>
      <c r="W1067">
        <v>45.07</v>
      </c>
      <c r="Y1067">
        <v>12.89</v>
      </c>
    </row>
    <row r="1068" spans="1:25" x14ac:dyDescent="0.25">
      <c r="A1068">
        <v>2006</v>
      </c>
      <c r="B1068">
        <v>344</v>
      </c>
      <c r="C1068">
        <v>2400</v>
      </c>
      <c r="D1068">
        <v>6.7329999999999997</v>
      </c>
      <c r="E1068">
        <v>2.9119999999999999</v>
      </c>
      <c r="F1068">
        <v>9.33</v>
      </c>
      <c r="G1068">
        <v>9.6300000000000008</v>
      </c>
      <c r="K1068">
        <v>3.9710000000000001</v>
      </c>
      <c r="L1068">
        <v>217.8</v>
      </c>
      <c r="M1068">
        <v>11</v>
      </c>
      <c r="O1068">
        <v>-1.502</v>
      </c>
      <c r="P1068">
        <v>-8.68</v>
      </c>
      <c r="Q1068">
        <v>5.2060000000000004</v>
      </c>
      <c r="S1068">
        <v>4.3929999999999998</v>
      </c>
      <c r="T1068">
        <v>0</v>
      </c>
      <c r="U1068">
        <v>96.3</v>
      </c>
      <c r="V1068">
        <v>948</v>
      </c>
      <c r="W1068">
        <v>43.61</v>
      </c>
      <c r="Y1068">
        <v>12.92</v>
      </c>
    </row>
    <row r="1069" spans="1:25" x14ac:dyDescent="0.25">
      <c r="A1069">
        <v>2006</v>
      </c>
      <c r="B1069">
        <v>345</v>
      </c>
      <c r="C1069">
        <v>100</v>
      </c>
      <c r="D1069">
        <v>-0.371</v>
      </c>
      <c r="E1069">
        <v>-6.1669999999999998</v>
      </c>
      <c r="F1069">
        <v>10.57</v>
      </c>
      <c r="G1069">
        <v>11.15</v>
      </c>
      <c r="K1069">
        <v>3.98</v>
      </c>
      <c r="L1069">
        <v>252.7</v>
      </c>
      <c r="M1069">
        <v>0.4</v>
      </c>
      <c r="O1069">
        <v>-11.5</v>
      </c>
      <c r="P1069">
        <v>-10.84</v>
      </c>
      <c r="Q1069">
        <v>7.57</v>
      </c>
      <c r="S1069">
        <v>5.7619999999999996</v>
      </c>
      <c r="T1069">
        <v>0</v>
      </c>
      <c r="U1069">
        <v>93.2</v>
      </c>
      <c r="V1069">
        <v>966</v>
      </c>
      <c r="W1069">
        <v>45.16</v>
      </c>
      <c r="Y1069">
        <v>12.89</v>
      </c>
    </row>
    <row r="1070" spans="1:25" x14ac:dyDescent="0.25">
      <c r="A1070">
        <v>2006</v>
      </c>
      <c r="B1070">
        <v>345</v>
      </c>
      <c r="C1070">
        <v>200</v>
      </c>
      <c r="D1070">
        <v>-0.58199999999999996</v>
      </c>
      <c r="E1070">
        <v>-15.03</v>
      </c>
      <c r="F1070">
        <v>9.09</v>
      </c>
      <c r="G1070">
        <v>9.93</v>
      </c>
      <c r="K1070">
        <v>4.2359999999999998</v>
      </c>
      <c r="L1070">
        <v>254.3</v>
      </c>
      <c r="M1070">
        <v>0.2</v>
      </c>
      <c r="O1070">
        <v>-11.5</v>
      </c>
      <c r="P1070">
        <v>-10.84</v>
      </c>
      <c r="Q1070">
        <v>7.72</v>
      </c>
      <c r="S1070">
        <v>5.907</v>
      </c>
      <c r="T1070">
        <v>0</v>
      </c>
      <c r="U1070">
        <v>89.9</v>
      </c>
      <c r="V1070">
        <v>964</v>
      </c>
      <c r="W1070">
        <v>45.02</v>
      </c>
      <c r="Y1070">
        <v>12.88</v>
      </c>
    </row>
    <row r="1071" spans="1:25" x14ac:dyDescent="0.25">
      <c r="A1071">
        <v>2006</v>
      </c>
      <c r="B1071">
        <v>345</v>
      </c>
      <c r="C1071">
        <v>300</v>
      </c>
      <c r="D1071">
        <v>-1.155</v>
      </c>
      <c r="E1071">
        <v>-14.43</v>
      </c>
      <c r="F1071">
        <v>8.42</v>
      </c>
      <c r="G1071">
        <v>9.11</v>
      </c>
      <c r="K1071">
        <v>4.266</v>
      </c>
      <c r="L1071">
        <v>256.10000000000002</v>
      </c>
      <c r="M1071">
        <v>0.2</v>
      </c>
      <c r="O1071">
        <v>-11.5</v>
      </c>
      <c r="P1071">
        <v>-10.85</v>
      </c>
      <c r="Q1071">
        <v>7.73</v>
      </c>
      <c r="S1071">
        <v>5.9790000000000001</v>
      </c>
      <c r="T1071">
        <v>0</v>
      </c>
      <c r="U1071">
        <v>91.5</v>
      </c>
      <c r="V1071">
        <v>964</v>
      </c>
      <c r="W1071">
        <v>45.01</v>
      </c>
      <c r="Y1071">
        <v>12.88</v>
      </c>
    </row>
    <row r="1072" spans="1:25" x14ac:dyDescent="0.25">
      <c r="A1072">
        <v>2006</v>
      </c>
      <c r="B1072">
        <v>345</v>
      </c>
      <c r="C1072">
        <v>400</v>
      </c>
      <c r="D1072">
        <v>-1.504</v>
      </c>
      <c r="E1072">
        <v>-27.54</v>
      </c>
      <c r="F1072">
        <v>7.13</v>
      </c>
      <c r="G1072">
        <v>7.93</v>
      </c>
      <c r="K1072">
        <v>4.41</v>
      </c>
      <c r="L1072">
        <v>264.39999999999998</v>
      </c>
      <c r="M1072">
        <v>0</v>
      </c>
      <c r="O1072">
        <v>-11.5</v>
      </c>
      <c r="P1072">
        <v>-10.84</v>
      </c>
      <c r="Q1072">
        <v>7.64</v>
      </c>
      <c r="S1072">
        <v>5.9850000000000003</v>
      </c>
      <c r="T1072">
        <v>0</v>
      </c>
      <c r="U1072">
        <v>89.6</v>
      </c>
      <c r="V1072">
        <v>965</v>
      </c>
      <c r="W1072">
        <v>45.02</v>
      </c>
      <c r="Y1072">
        <v>12.88</v>
      </c>
    </row>
    <row r="1073" spans="1:25" x14ac:dyDescent="0.25">
      <c r="A1073">
        <v>2006</v>
      </c>
      <c r="B1073">
        <v>345</v>
      </c>
      <c r="C1073">
        <v>500</v>
      </c>
      <c r="D1073">
        <v>-2.6219999999999999</v>
      </c>
      <c r="E1073">
        <v>-50.05</v>
      </c>
      <c r="F1073">
        <v>6.5069999999999997</v>
      </c>
      <c r="G1073">
        <v>7.3</v>
      </c>
      <c r="K1073">
        <v>4.4480000000000004</v>
      </c>
      <c r="L1073">
        <v>263.2</v>
      </c>
      <c r="M1073">
        <v>0</v>
      </c>
      <c r="O1073">
        <v>-11.5</v>
      </c>
      <c r="P1073">
        <v>-10.84</v>
      </c>
      <c r="Q1073">
        <v>7.52</v>
      </c>
      <c r="S1073">
        <v>6.0179999999999998</v>
      </c>
      <c r="T1073">
        <v>0</v>
      </c>
      <c r="U1073">
        <v>89.5</v>
      </c>
      <c r="V1073">
        <v>965</v>
      </c>
      <c r="W1073">
        <v>45.06</v>
      </c>
      <c r="Y1073">
        <v>12.87</v>
      </c>
    </row>
    <row r="1074" spans="1:25" x14ac:dyDescent="0.25">
      <c r="A1074">
        <v>2006</v>
      </c>
      <c r="B1074">
        <v>345</v>
      </c>
      <c r="C1074">
        <v>600</v>
      </c>
      <c r="D1074">
        <v>-2.524</v>
      </c>
      <c r="E1074">
        <v>-53.31</v>
      </c>
      <c r="F1074">
        <v>6.1840000000000002</v>
      </c>
      <c r="G1074">
        <v>6.7510000000000003</v>
      </c>
      <c r="K1074">
        <v>4.4749999999999996</v>
      </c>
      <c r="L1074">
        <v>260.2</v>
      </c>
      <c r="M1074">
        <v>0</v>
      </c>
      <c r="O1074">
        <v>-11.51</v>
      </c>
      <c r="P1074">
        <v>-10.85</v>
      </c>
      <c r="Q1074">
        <v>7.33</v>
      </c>
      <c r="S1074">
        <v>6.077</v>
      </c>
      <c r="T1074">
        <v>0</v>
      </c>
      <c r="U1074">
        <v>92.3</v>
      </c>
      <c r="V1074">
        <v>969</v>
      </c>
      <c r="W1074">
        <v>45.44</v>
      </c>
      <c r="Y1074">
        <v>12.87</v>
      </c>
    </row>
    <row r="1075" spans="1:25" x14ac:dyDescent="0.25">
      <c r="A1075">
        <v>2006</v>
      </c>
      <c r="B1075">
        <v>345</v>
      </c>
      <c r="C1075">
        <v>700</v>
      </c>
      <c r="D1075">
        <v>-2.4860000000000002</v>
      </c>
      <c r="E1075">
        <v>-52.17</v>
      </c>
      <c r="F1075">
        <v>5.5860000000000003</v>
      </c>
      <c r="G1075">
        <v>5.9340000000000002</v>
      </c>
      <c r="K1075">
        <v>3.83</v>
      </c>
      <c r="L1075">
        <v>261.3</v>
      </c>
      <c r="M1075">
        <v>0</v>
      </c>
      <c r="O1075">
        <v>-11.5</v>
      </c>
      <c r="P1075">
        <v>-10.84</v>
      </c>
      <c r="Q1075">
        <v>7.02</v>
      </c>
      <c r="S1075">
        <v>6.0739999999999998</v>
      </c>
      <c r="T1075">
        <v>0</v>
      </c>
      <c r="U1075">
        <v>95.1</v>
      </c>
      <c r="V1075">
        <v>916</v>
      </c>
      <c r="W1075">
        <v>41.05</v>
      </c>
      <c r="Y1075">
        <v>12.86</v>
      </c>
    </row>
    <row r="1076" spans="1:25" x14ac:dyDescent="0.25">
      <c r="A1076">
        <v>2006</v>
      </c>
      <c r="B1076">
        <v>345</v>
      </c>
      <c r="C1076">
        <v>800</v>
      </c>
      <c r="D1076">
        <v>-2.3159999999999998</v>
      </c>
      <c r="E1076">
        <v>-51.65</v>
      </c>
      <c r="F1076">
        <v>4.8780000000000001</v>
      </c>
      <c r="G1076">
        <v>5.2969999999999997</v>
      </c>
      <c r="K1076">
        <v>4.407</v>
      </c>
      <c r="L1076">
        <v>261.3</v>
      </c>
      <c r="M1076">
        <v>0</v>
      </c>
      <c r="O1076">
        <v>-11.48</v>
      </c>
      <c r="P1076">
        <v>-10.81</v>
      </c>
      <c r="Q1076">
        <v>6.7039999999999997</v>
      </c>
      <c r="S1076">
        <v>5.99</v>
      </c>
      <c r="T1076">
        <v>0</v>
      </c>
      <c r="U1076">
        <v>94</v>
      </c>
      <c r="V1076">
        <v>947</v>
      </c>
      <c r="W1076">
        <v>43.62</v>
      </c>
      <c r="Y1076">
        <v>12.86</v>
      </c>
    </row>
    <row r="1077" spans="1:25" x14ac:dyDescent="0.25">
      <c r="A1077">
        <v>2006</v>
      </c>
      <c r="B1077">
        <v>345</v>
      </c>
      <c r="C1077">
        <v>900</v>
      </c>
      <c r="D1077">
        <v>3.28</v>
      </c>
      <c r="E1077">
        <v>-40.98</v>
      </c>
      <c r="F1077">
        <v>4.351</v>
      </c>
      <c r="G1077">
        <v>4.5759999999999996</v>
      </c>
      <c r="H1077">
        <f>AVERAGE(G1077:G1101)</f>
        <v>4.9218399999999995</v>
      </c>
      <c r="I1077">
        <f>MIN(G1077:G1101)</f>
        <v>3.9420000000000002</v>
      </c>
      <c r="J1077">
        <f>MAX(G1077:G1101)</f>
        <v>6.28</v>
      </c>
      <c r="K1077">
        <v>3.6739999999999999</v>
      </c>
      <c r="L1077">
        <v>257</v>
      </c>
      <c r="M1077">
        <v>0</v>
      </c>
      <c r="N1077">
        <f>SUM(M1077:M1101)</f>
        <v>1.2000000000000002</v>
      </c>
      <c r="O1077">
        <v>-3.915</v>
      </c>
      <c r="P1077">
        <v>-8.57</v>
      </c>
      <c r="Q1077">
        <v>6.4340000000000002</v>
      </c>
      <c r="S1077">
        <v>5.9560000000000004</v>
      </c>
      <c r="T1077">
        <v>0</v>
      </c>
      <c r="U1077">
        <v>96.7</v>
      </c>
      <c r="V1077">
        <v>974</v>
      </c>
      <c r="W1077">
        <v>46.04</v>
      </c>
      <c r="Y1077">
        <v>12.85</v>
      </c>
    </row>
    <row r="1078" spans="1:25" x14ac:dyDescent="0.25">
      <c r="A1078">
        <v>2006</v>
      </c>
      <c r="B1078">
        <v>345</v>
      </c>
      <c r="C1078">
        <v>1000</v>
      </c>
      <c r="D1078">
        <v>44.31</v>
      </c>
      <c r="E1078">
        <v>-23.46</v>
      </c>
      <c r="F1078">
        <v>4.0759999999999996</v>
      </c>
      <c r="G1078">
        <v>4.335</v>
      </c>
      <c r="K1078">
        <v>3.7170000000000001</v>
      </c>
      <c r="L1078">
        <v>252.4</v>
      </c>
      <c r="M1078">
        <v>0</v>
      </c>
      <c r="O1078">
        <v>35.04</v>
      </c>
      <c r="P1078">
        <v>11.37</v>
      </c>
      <c r="Q1078">
        <v>6.1550000000000002</v>
      </c>
      <c r="S1078">
        <v>5.8810000000000002</v>
      </c>
      <c r="T1078">
        <v>0</v>
      </c>
      <c r="U1078">
        <v>96.1</v>
      </c>
      <c r="V1078">
        <v>975</v>
      </c>
      <c r="W1078">
        <v>46.11</v>
      </c>
      <c r="Y1078">
        <v>13.16</v>
      </c>
    </row>
    <row r="1079" spans="1:25" x14ac:dyDescent="0.25">
      <c r="A1079">
        <v>2006</v>
      </c>
      <c r="B1079">
        <v>345</v>
      </c>
      <c r="C1079">
        <v>1100</v>
      </c>
      <c r="D1079">
        <v>113.2</v>
      </c>
      <c r="E1079">
        <v>8.06</v>
      </c>
      <c r="F1079">
        <v>4.45</v>
      </c>
      <c r="G1079">
        <v>4.83</v>
      </c>
      <c r="K1079">
        <v>4.0350000000000001</v>
      </c>
      <c r="L1079">
        <v>246.5</v>
      </c>
      <c r="M1079">
        <v>0</v>
      </c>
      <c r="O1079">
        <v>120.8</v>
      </c>
      <c r="P1079">
        <v>61.1</v>
      </c>
      <c r="Q1079">
        <v>5.915</v>
      </c>
      <c r="S1079">
        <v>5.79</v>
      </c>
      <c r="T1079">
        <v>0</v>
      </c>
      <c r="U1079">
        <v>94.4</v>
      </c>
      <c r="V1079">
        <v>975</v>
      </c>
      <c r="W1079">
        <v>46.11</v>
      </c>
      <c r="Y1079">
        <v>14.07</v>
      </c>
    </row>
    <row r="1080" spans="1:25" x14ac:dyDescent="0.25">
      <c r="A1080">
        <v>2006</v>
      </c>
      <c r="B1080">
        <v>345</v>
      </c>
      <c r="C1080">
        <v>1200</v>
      </c>
      <c r="D1080">
        <v>165.1</v>
      </c>
      <c r="E1080">
        <v>93.5</v>
      </c>
      <c r="F1080">
        <v>5.03</v>
      </c>
      <c r="G1080">
        <v>5.3849999999999998</v>
      </c>
      <c r="K1080">
        <v>4.4950000000000001</v>
      </c>
      <c r="L1080">
        <v>247.9</v>
      </c>
      <c r="M1080">
        <v>0</v>
      </c>
      <c r="O1080">
        <v>183.9</v>
      </c>
      <c r="P1080">
        <v>90.7</v>
      </c>
      <c r="Q1080">
        <v>5.7240000000000002</v>
      </c>
      <c r="S1080">
        <v>5.6509999999999998</v>
      </c>
      <c r="T1080">
        <v>0</v>
      </c>
      <c r="U1080">
        <v>94.9</v>
      </c>
      <c r="V1080">
        <v>973</v>
      </c>
      <c r="W1080">
        <v>45.89</v>
      </c>
      <c r="Y1080">
        <v>14.35</v>
      </c>
    </row>
    <row r="1081" spans="1:25" x14ac:dyDescent="0.25">
      <c r="A1081">
        <v>2006</v>
      </c>
      <c r="B1081">
        <v>345</v>
      </c>
      <c r="C1081">
        <v>1300</v>
      </c>
      <c r="D1081">
        <v>176.7</v>
      </c>
      <c r="E1081">
        <v>104.1</v>
      </c>
      <c r="F1081">
        <v>5.5659999999999998</v>
      </c>
      <c r="G1081">
        <v>5.8609999999999998</v>
      </c>
      <c r="K1081">
        <v>4.5250000000000004</v>
      </c>
      <c r="L1081">
        <v>249.3</v>
      </c>
      <c r="M1081">
        <v>0</v>
      </c>
      <c r="O1081">
        <v>196.2</v>
      </c>
      <c r="P1081">
        <v>102.4</v>
      </c>
      <c r="Q1081">
        <v>5.6310000000000002</v>
      </c>
      <c r="S1081">
        <v>5.609</v>
      </c>
      <c r="T1081">
        <v>0</v>
      </c>
      <c r="U1081">
        <v>95.8</v>
      </c>
      <c r="V1081">
        <v>971</v>
      </c>
      <c r="W1081">
        <v>45.73</v>
      </c>
      <c r="Y1081">
        <v>14.35</v>
      </c>
    </row>
    <row r="1082" spans="1:25" x14ac:dyDescent="0.25">
      <c r="A1082">
        <v>2006</v>
      </c>
      <c r="B1082">
        <v>345</v>
      </c>
      <c r="C1082">
        <v>1400</v>
      </c>
      <c r="D1082">
        <v>149.69999999999999</v>
      </c>
      <c r="E1082">
        <v>75.7</v>
      </c>
      <c r="F1082">
        <v>5.7169999999999996</v>
      </c>
      <c r="G1082">
        <v>5.9930000000000003</v>
      </c>
      <c r="K1082">
        <v>4.5199999999999996</v>
      </c>
      <c r="L1082">
        <v>245.4</v>
      </c>
      <c r="M1082">
        <v>0</v>
      </c>
      <c r="O1082">
        <v>156.19999999999999</v>
      </c>
      <c r="P1082">
        <v>90.8</v>
      </c>
      <c r="Q1082">
        <v>5.4939999999999998</v>
      </c>
      <c r="S1082">
        <v>5.45</v>
      </c>
      <c r="T1082">
        <v>0</v>
      </c>
      <c r="U1082">
        <v>96.1</v>
      </c>
      <c r="V1082">
        <v>971</v>
      </c>
      <c r="W1082">
        <v>45.66</v>
      </c>
      <c r="Y1082">
        <v>14.23</v>
      </c>
    </row>
    <row r="1083" spans="1:25" x14ac:dyDescent="0.25">
      <c r="A1083">
        <v>2006</v>
      </c>
      <c r="B1083">
        <v>345</v>
      </c>
      <c r="C1083">
        <v>1500</v>
      </c>
      <c r="D1083">
        <v>59.05</v>
      </c>
      <c r="E1083">
        <v>-0.75600000000000001</v>
      </c>
      <c r="F1083">
        <v>5.7270000000000003</v>
      </c>
      <c r="G1083">
        <v>6</v>
      </c>
      <c r="K1083">
        <v>4.3390000000000004</v>
      </c>
      <c r="L1083">
        <v>248.9</v>
      </c>
      <c r="M1083">
        <v>0</v>
      </c>
      <c r="O1083">
        <v>51.63</v>
      </c>
      <c r="P1083">
        <v>24.92</v>
      </c>
      <c r="Q1083">
        <v>5.4320000000000004</v>
      </c>
      <c r="S1083">
        <v>5.36</v>
      </c>
      <c r="T1083">
        <v>0</v>
      </c>
      <c r="U1083">
        <v>96.2</v>
      </c>
      <c r="V1083">
        <v>970</v>
      </c>
      <c r="W1083">
        <v>45.63</v>
      </c>
      <c r="Y1083">
        <v>13.83</v>
      </c>
    </row>
    <row r="1084" spans="1:25" x14ac:dyDescent="0.25">
      <c r="A1084">
        <v>2006</v>
      </c>
      <c r="B1084">
        <v>345</v>
      </c>
      <c r="C1084">
        <v>1600</v>
      </c>
      <c r="D1084">
        <v>14.72</v>
      </c>
      <c r="E1084">
        <v>-34.75</v>
      </c>
      <c r="F1084">
        <v>5.2679999999999998</v>
      </c>
      <c r="G1084">
        <v>5.508</v>
      </c>
      <c r="K1084">
        <v>4.0190000000000001</v>
      </c>
      <c r="L1084">
        <v>249.1</v>
      </c>
      <c r="M1084">
        <v>0</v>
      </c>
      <c r="O1084">
        <v>6.91</v>
      </c>
      <c r="P1084">
        <v>-3.0739999999999998</v>
      </c>
      <c r="Q1084">
        <v>5.3920000000000003</v>
      </c>
      <c r="S1084">
        <v>5.33</v>
      </c>
      <c r="T1084">
        <v>0</v>
      </c>
      <c r="U1084">
        <v>96.6</v>
      </c>
      <c r="V1084">
        <v>970</v>
      </c>
      <c r="W1084">
        <v>45.61</v>
      </c>
      <c r="Y1084">
        <v>13.59</v>
      </c>
    </row>
    <row r="1085" spans="1:25" x14ac:dyDescent="0.25">
      <c r="A1085">
        <v>2006</v>
      </c>
      <c r="B1085">
        <v>345</v>
      </c>
      <c r="C1085">
        <v>1700</v>
      </c>
      <c r="D1085">
        <v>-1.278</v>
      </c>
      <c r="E1085">
        <v>-38.53</v>
      </c>
      <c r="F1085">
        <v>4.7830000000000004</v>
      </c>
      <c r="G1085">
        <v>4.9790000000000001</v>
      </c>
      <c r="K1085">
        <v>3.573</v>
      </c>
      <c r="L1085">
        <v>239</v>
      </c>
      <c r="M1085">
        <v>0</v>
      </c>
      <c r="O1085">
        <v>-10.25</v>
      </c>
      <c r="P1085">
        <v>-10.36</v>
      </c>
      <c r="Q1085">
        <v>5.2519999999999998</v>
      </c>
      <c r="S1085">
        <v>5.2450000000000001</v>
      </c>
      <c r="T1085">
        <v>0</v>
      </c>
      <c r="U1085">
        <v>97.1</v>
      </c>
      <c r="V1085">
        <v>953</v>
      </c>
      <c r="W1085">
        <v>43.85</v>
      </c>
      <c r="Y1085">
        <v>13.45</v>
      </c>
    </row>
    <row r="1086" spans="1:25" x14ac:dyDescent="0.25">
      <c r="A1086">
        <v>2006</v>
      </c>
      <c r="B1086">
        <v>345</v>
      </c>
      <c r="C1086">
        <v>1800</v>
      </c>
      <c r="D1086">
        <v>-2.4870000000000001</v>
      </c>
      <c r="E1086">
        <v>-48.1</v>
      </c>
      <c r="F1086">
        <v>4.5469999999999997</v>
      </c>
      <c r="G1086">
        <v>4.8209999999999997</v>
      </c>
      <c r="K1086">
        <v>3.4860000000000002</v>
      </c>
      <c r="L1086">
        <v>238.2</v>
      </c>
      <c r="M1086">
        <v>0</v>
      </c>
      <c r="O1086">
        <v>-11.47</v>
      </c>
      <c r="P1086">
        <v>-10.77</v>
      </c>
      <c r="Q1086">
        <v>5.1509999999999998</v>
      </c>
      <c r="S1086">
        <v>5.2249999999999996</v>
      </c>
      <c r="T1086">
        <v>0</v>
      </c>
      <c r="U1086">
        <v>96</v>
      </c>
      <c r="V1086">
        <v>948</v>
      </c>
      <c r="W1086">
        <v>43.4</v>
      </c>
      <c r="Y1086">
        <v>13.34</v>
      </c>
    </row>
    <row r="1087" spans="1:25" x14ac:dyDescent="0.25">
      <c r="A1087">
        <v>2006</v>
      </c>
      <c r="B1087">
        <v>345</v>
      </c>
      <c r="C1087">
        <v>1900</v>
      </c>
      <c r="D1087">
        <v>-1.915</v>
      </c>
      <c r="E1087">
        <v>-34.93</v>
      </c>
      <c r="F1087">
        <v>4.25</v>
      </c>
      <c r="G1087">
        <v>4.4619999999999997</v>
      </c>
      <c r="K1087">
        <v>3.46</v>
      </c>
      <c r="L1087">
        <v>235.9</v>
      </c>
      <c r="M1087">
        <v>0</v>
      </c>
      <c r="O1087">
        <v>-11.41</v>
      </c>
      <c r="P1087">
        <v>-10.74</v>
      </c>
      <c r="Q1087">
        <v>5.0250000000000004</v>
      </c>
      <c r="S1087">
        <v>5.1980000000000004</v>
      </c>
      <c r="T1087">
        <v>0</v>
      </c>
      <c r="U1087">
        <v>96.8</v>
      </c>
      <c r="V1087">
        <v>942</v>
      </c>
      <c r="W1087">
        <v>42.91</v>
      </c>
      <c r="Y1087">
        <v>13.26</v>
      </c>
    </row>
    <row r="1088" spans="1:25" x14ac:dyDescent="0.25">
      <c r="A1088">
        <v>2006</v>
      </c>
      <c r="B1088">
        <v>345</v>
      </c>
      <c r="C1088">
        <v>2000</v>
      </c>
      <c r="D1088">
        <v>-2.2749999999999999</v>
      </c>
      <c r="E1088">
        <v>-44.86</v>
      </c>
      <c r="F1088">
        <v>4.069</v>
      </c>
      <c r="G1088">
        <v>4.33</v>
      </c>
      <c r="K1088">
        <v>3.464</v>
      </c>
      <c r="L1088">
        <v>234.1</v>
      </c>
      <c r="M1088">
        <v>0</v>
      </c>
      <c r="O1088">
        <v>-11.31</v>
      </c>
      <c r="P1088">
        <v>-10.58</v>
      </c>
      <c r="Q1088">
        <v>4.883</v>
      </c>
      <c r="S1088">
        <v>5.1100000000000003</v>
      </c>
      <c r="T1088">
        <v>0</v>
      </c>
      <c r="U1088">
        <v>96.1</v>
      </c>
      <c r="V1088">
        <v>939</v>
      </c>
      <c r="W1088">
        <v>42.59</v>
      </c>
      <c r="Y1088">
        <v>13.19</v>
      </c>
    </row>
    <row r="1089" spans="1:25" x14ac:dyDescent="0.25">
      <c r="A1089">
        <v>2006</v>
      </c>
      <c r="B1089">
        <v>345</v>
      </c>
      <c r="C1089">
        <v>2100</v>
      </c>
      <c r="D1089">
        <v>-2.339</v>
      </c>
      <c r="E1089">
        <v>-44.86</v>
      </c>
      <c r="F1089">
        <v>3.8959999999999999</v>
      </c>
      <c r="G1089">
        <v>4.1150000000000002</v>
      </c>
      <c r="K1089">
        <v>3.2360000000000002</v>
      </c>
      <c r="L1089">
        <v>232.9</v>
      </c>
      <c r="M1089">
        <v>0</v>
      </c>
      <c r="O1089">
        <v>-11.18</v>
      </c>
      <c r="P1089">
        <v>-10.5</v>
      </c>
      <c r="Q1089">
        <v>4.7460000000000004</v>
      </c>
      <c r="S1089">
        <v>5.0279999999999996</v>
      </c>
      <c r="T1089">
        <v>0</v>
      </c>
      <c r="U1089">
        <v>96.7</v>
      </c>
      <c r="V1089">
        <v>935</v>
      </c>
      <c r="W1089">
        <v>42.29</v>
      </c>
      <c r="Y1089">
        <v>13.12</v>
      </c>
    </row>
    <row r="1090" spans="1:25" x14ac:dyDescent="0.25">
      <c r="A1090">
        <v>2006</v>
      </c>
      <c r="B1090">
        <v>345</v>
      </c>
      <c r="C1090">
        <v>2200</v>
      </c>
      <c r="D1090">
        <v>-2.3879999999999999</v>
      </c>
      <c r="E1090">
        <v>-44.83</v>
      </c>
      <c r="F1090">
        <v>3.694</v>
      </c>
      <c r="G1090">
        <v>3.9420000000000002</v>
      </c>
      <c r="K1090">
        <v>3.3730000000000002</v>
      </c>
      <c r="L1090">
        <v>236.2</v>
      </c>
      <c r="M1090">
        <v>0</v>
      </c>
      <c r="O1090">
        <v>-11.09</v>
      </c>
      <c r="P1090">
        <v>-10.41</v>
      </c>
      <c r="Q1090">
        <v>4.5990000000000002</v>
      </c>
      <c r="S1090">
        <v>4.9509999999999996</v>
      </c>
      <c r="T1090">
        <v>0</v>
      </c>
      <c r="U1090">
        <v>96.2</v>
      </c>
      <c r="V1090">
        <v>932</v>
      </c>
      <c r="W1090">
        <v>42.03</v>
      </c>
      <c r="Y1090">
        <v>13.07</v>
      </c>
    </row>
    <row r="1091" spans="1:25" x14ac:dyDescent="0.25">
      <c r="A1091">
        <v>2006</v>
      </c>
      <c r="B1091">
        <v>345</v>
      </c>
      <c r="C1091">
        <v>2300</v>
      </c>
      <c r="D1091">
        <v>-2.242</v>
      </c>
      <c r="E1091">
        <v>-40.56</v>
      </c>
      <c r="F1091">
        <v>3.8130000000000002</v>
      </c>
      <c r="G1091">
        <v>4.1660000000000004</v>
      </c>
      <c r="K1091">
        <v>3.5169999999999999</v>
      </c>
      <c r="L1091">
        <v>233.7</v>
      </c>
      <c r="M1091">
        <v>0</v>
      </c>
      <c r="O1091">
        <v>-11.13</v>
      </c>
      <c r="P1091">
        <v>-10.45</v>
      </c>
      <c r="Q1091">
        <v>4.47</v>
      </c>
      <c r="S1091">
        <v>4.875</v>
      </c>
      <c r="T1091">
        <v>0</v>
      </c>
      <c r="U1091">
        <v>94.7</v>
      </c>
      <c r="V1091">
        <v>930</v>
      </c>
      <c r="W1091">
        <v>41.79</v>
      </c>
      <c r="Y1091">
        <v>13.03</v>
      </c>
    </row>
    <row r="1092" spans="1:25" x14ac:dyDescent="0.25">
      <c r="A1092">
        <v>2006</v>
      </c>
      <c r="B1092">
        <v>345</v>
      </c>
      <c r="C1092">
        <v>2400</v>
      </c>
      <c r="D1092">
        <v>-2.17</v>
      </c>
      <c r="E1092">
        <v>-38.729999999999997</v>
      </c>
      <c r="F1092">
        <v>3.7810000000000001</v>
      </c>
      <c r="G1092">
        <v>4.0880000000000001</v>
      </c>
      <c r="K1092">
        <v>3.0529999999999999</v>
      </c>
      <c r="L1092">
        <v>232.2</v>
      </c>
      <c r="M1092">
        <v>0</v>
      </c>
      <c r="O1092">
        <v>-11.07</v>
      </c>
      <c r="P1092">
        <v>-10.39</v>
      </c>
      <c r="Q1092">
        <v>4.3559999999999999</v>
      </c>
      <c r="S1092">
        <v>4.7809999999999997</v>
      </c>
      <c r="T1092">
        <v>0</v>
      </c>
      <c r="U1092">
        <v>95.3</v>
      </c>
      <c r="V1092">
        <v>926</v>
      </c>
      <c r="W1092">
        <v>41.51</v>
      </c>
      <c r="Y1092">
        <v>13</v>
      </c>
    </row>
    <row r="1093" spans="1:25" x14ac:dyDescent="0.25">
      <c r="A1093">
        <v>2006</v>
      </c>
      <c r="B1093">
        <v>345</v>
      </c>
      <c r="C1093">
        <v>2400</v>
      </c>
      <c r="D1093">
        <v>28.97</v>
      </c>
      <c r="E1093">
        <v>-17.68</v>
      </c>
      <c r="F1093">
        <v>5.4740000000000002</v>
      </c>
      <c r="G1093">
        <v>5.8659999999999997</v>
      </c>
      <c r="K1093">
        <v>3.9390000000000001</v>
      </c>
      <c r="L1093">
        <v>248.1</v>
      </c>
      <c r="M1093">
        <v>0.8</v>
      </c>
      <c r="O1093">
        <v>23.58</v>
      </c>
      <c r="P1093">
        <v>8.2799999999999994</v>
      </c>
      <c r="Q1093">
        <v>5.9950000000000001</v>
      </c>
      <c r="S1093">
        <v>5.5510000000000002</v>
      </c>
      <c r="T1093">
        <v>0</v>
      </c>
      <c r="U1093">
        <v>94.6</v>
      </c>
      <c r="V1093">
        <v>956</v>
      </c>
      <c r="W1093">
        <v>44.27</v>
      </c>
      <c r="Y1093">
        <v>13.29</v>
      </c>
    </row>
    <row r="1094" spans="1:25" x14ac:dyDescent="0.25">
      <c r="A1094">
        <v>2006</v>
      </c>
      <c r="B1094">
        <v>346</v>
      </c>
      <c r="C1094">
        <v>100</v>
      </c>
      <c r="D1094">
        <v>-2.234</v>
      </c>
      <c r="E1094">
        <v>-39.78</v>
      </c>
      <c r="F1094">
        <v>3.7890000000000001</v>
      </c>
      <c r="G1094">
        <v>4.0570000000000004</v>
      </c>
      <c r="K1094">
        <v>3.0409999999999999</v>
      </c>
      <c r="L1094">
        <v>229.7</v>
      </c>
      <c r="M1094">
        <v>0</v>
      </c>
      <c r="O1094">
        <v>-11.12</v>
      </c>
      <c r="P1094">
        <v>-10.46</v>
      </c>
      <c r="Q1094">
        <v>4.2569999999999997</v>
      </c>
      <c r="S1094">
        <v>4.7140000000000004</v>
      </c>
      <c r="T1094">
        <v>0</v>
      </c>
      <c r="U1094">
        <v>95.9</v>
      </c>
      <c r="V1094">
        <v>924</v>
      </c>
      <c r="W1094">
        <v>41.29</v>
      </c>
      <c r="Y1094">
        <v>12.97</v>
      </c>
    </row>
    <row r="1095" spans="1:25" x14ac:dyDescent="0.25">
      <c r="A1095">
        <v>2006</v>
      </c>
      <c r="B1095">
        <v>346</v>
      </c>
      <c r="C1095">
        <v>200</v>
      </c>
      <c r="D1095">
        <v>-2.141</v>
      </c>
      <c r="E1095">
        <v>-36.340000000000003</v>
      </c>
      <c r="F1095">
        <v>3.8319999999999999</v>
      </c>
      <c r="G1095">
        <v>4.0919999999999996</v>
      </c>
      <c r="K1095">
        <v>3.0049999999999999</v>
      </c>
      <c r="L1095">
        <v>226.9</v>
      </c>
      <c r="M1095">
        <v>0</v>
      </c>
      <c r="O1095">
        <v>-11.05</v>
      </c>
      <c r="P1095">
        <v>-10.35</v>
      </c>
      <c r="Q1095">
        <v>4.1680000000000001</v>
      </c>
      <c r="S1095">
        <v>4.6520000000000001</v>
      </c>
      <c r="T1095">
        <v>0</v>
      </c>
      <c r="U1095">
        <v>96.1</v>
      </c>
      <c r="V1095">
        <v>921</v>
      </c>
      <c r="W1095">
        <v>41.11</v>
      </c>
      <c r="Y1095">
        <v>12.95</v>
      </c>
    </row>
    <row r="1096" spans="1:25" x14ac:dyDescent="0.25">
      <c r="A1096">
        <v>2006</v>
      </c>
      <c r="B1096">
        <v>346</v>
      </c>
      <c r="C1096">
        <v>300</v>
      </c>
      <c r="D1096">
        <v>-1.804</v>
      </c>
      <c r="E1096">
        <v>-28.67</v>
      </c>
      <c r="F1096">
        <v>4.2850000000000001</v>
      </c>
      <c r="G1096">
        <v>4.5739999999999998</v>
      </c>
      <c r="K1096">
        <v>3.1549999999999998</v>
      </c>
      <c r="L1096">
        <v>227.1</v>
      </c>
      <c r="M1096">
        <v>0</v>
      </c>
      <c r="O1096">
        <v>-11.06</v>
      </c>
      <c r="P1096">
        <v>-10.37</v>
      </c>
      <c r="Q1096">
        <v>4.0970000000000004</v>
      </c>
      <c r="S1096">
        <v>4.5650000000000004</v>
      </c>
      <c r="T1096">
        <v>0</v>
      </c>
      <c r="U1096">
        <v>95.7</v>
      </c>
      <c r="V1096">
        <v>919</v>
      </c>
      <c r="W1096">
        <v>40.93</v>
      </c>
      <c r="Y1096">
        <v>12.94</v>
      </c>
    </row>
    <row r="1097" spans="1:25" x14ac:dyDescent="0.25">
      <c r="A1097">
        <v>2006</v>
      </c>
      <c r="B1097">
        <v>346</v>
      </c>
      <c r="C1097">
        <v>400</v>
      </c>
      <c r="D1097">
        <v>-1.893</v>
      </c>
      <c r="E1097">
        <v>-31.71</v>
      </c>
      <c r="F1097">
        <v>4.2569999999999997</v>
      </c>
      <c r="G1097">
        <v>4.5549999999999997</v>
      </c>
      <c r="K1097">
        <v>3.427</v>
      </c>
      <c r="L1097">
        <v>224.7</v>
      </c>
      <c r="M1097">
        <v>0</v>
      </c>
      <c r="O1097">
        <v>-11.09</v>
      </c>
      <c r="P1097">
        <v>-10.42</v>
      </c>
      <c r="Q1097">
        <v>4.0529999999999999</v>
      </c>
      <c r="S1097">
        <v>4.5430000000000001</v>
      </c>
      <c r="T1097">
        <v>0</v>
      </c>
      <c r="U1097">
        <v>95.6</v>
      </c>
      <c r="V1097">
        <v>918</v>
      </c>
      <c r="W1097">
        <v>40.840000000000003</v>
      </c>
      <c r="Y1097">
        <v>12.92</v>
      </c>
    </row>
    <row r="1098" spans="1:25" x14ac:dyDescent="0.25">
      <c r="A1098">
        <v>2006</v>
      </c>
      <c r="B1098">
        <v>346</v>
      </c>
      <c r="C1098">
        <v>500</v>
      </c>
      <c r="D1098">
        <v>-1.974</v>
      </c>
      <c r="E1098">
        <v>-36.01</v>
      </c>
      <c r="F1098">
        <v>4.3609999999999998</v>
      </c>
      <c r="G1098">
        <v>4.7220000000000004</v>
      </c>
      <c r="K1098">
        <v>3.5369999999999999</v>
      </c>
      <c r="L1098">
        <v>214.9</v>
      </c>
      <c r="M1098">
        <v>0</v>
      </c>
      <c r="O1098">
        <v>-11.17</v>
      </c>
      <c r="P1098">
        <v>-10.45</v>
      </c>
      <c r="Q1098">
        <v>4.0110000000000001</v>
      </c>
      <c r="S1098">
        <v>4.4569999999999999</v>
      </c>
      <c r="T1098">
        <v>0</v>
      </c>
      <c r="U1098">
        <v>94.7</v>
      </c>
      <c r="V1098">
        <v>917</v>
      </c>
      <c r="W1098">
        <v>40.74</v>
      </c>
      <c r="Y1098">
        <v>12.92</v>
      </c>
    </row>
    <row r="1099" spans="1:25" x14ac:dyDescent="0.25">
      <c r="A1099">
        <v>2006</v>
      </c>
      <c r="B1099">
        <v>346</v>
      </c>
      <c r="C1099">
        <v>600</v>
      </c>
      <c r="D1099">
        <v>-1.79</v>
      </c>
      <c r="E1099">
        <v>-21.48</v>
      </c>
      <c r="F1099">
        <v>4.93</v>
      </c>
      <c r="G1099">
        <v>5.3970000000000002</v>
      </c>
      <c r="K1099">
        <v>4.0140000000000002</v>
      </c>
      <c r="L1099">
        <v>214.8</v>
      </c>
      <c r="M1099">
        <v>0</v>
      </c>
      <c r="O1099">
        <v>-11.14</v>
      </c>
      <c r="P1099">
        <v>-10.48</v>
      </c>
      <c r="Q1099">
        <v>3.9980000000000002</v>
      </c>
      <c r="S1099">
        <v>4.4420000000000002</v>
      </c>
      <c r="T1099">
        <v>0</v>
      </c>
      <c r="U1099">
        <v>93.3</v>
      </c>
      <c r="V1099">
        <v>916</v>
      </c>
      <c r="W1099">
        <v>40.700000000000003</v>
      </c>
      <c r="Y1099">
        <v>12.91</v>
      </c>
    </row>
    <row r="1100" spans="1:25" x14ac:dyDescent="0.25">
      <c r="A1100">
        <v>2006</v>
      </c>
      <c r="B1100">
        <v>346</v>
      </c>
      <c r="C1100">
        <v>700</v>
      </c>
      <c r="D1100">
        <v>-0.69299999999999995</v>
      </c>
      <c r="E1100">
        <v>-5.181</v>
      </c>
      <c r="F1100">
        <v>5.665</v>
      </c>
      <c r="G1100">
        <v>6.1120000000000001</v>
      </c>
      <c r="K1100">
        <v>4.641</v>
      </c>
      <c r="L1100">
        <v>216.8</v>
      </c>
      <c r="M1100">
        <v>0</v>
      </c>
      <c r="O1100">
        <v>-11.35</v>
      </c>
      <c r="P1100">
        <v>-10.61</v>
      </c>
      <c r="Q1100">
        <v>4.0339999999999998</v>
      </c>
      <c r="S1100">
        <v>4.4429999999999996</v>
      </c>
      <c r="T1100">
        <v>0</v>
      </c>
      <c r="U1100">
        <v>93.8</v>
      </c>
      <c r="V1100">
        <v>916</v>
      </c>
      <c r="W1100">
        <v>40.67</v>
      </c>
      <c r="Y1100">
        <v>12.91</v>
      </c>
    </row>
    <row r="1101" spans="1:25" x14ac:dyDescent="0.25">
      <c r="A1101">
        <v>2006</v>
      </c>
      <c r="B1101">
        <v>346</v>
      </c>
      <c r="C1101">
        <v>800</v>
      </c>
      <c r="D1101">
        <v>-1.1100000000000001</v>
      </c>
      <c r="E1101">
        <v>-6.6660000000000004</v>
      </c>
      <c r="F1101">
        <v>6.0039999999999996</v>
      </c>
      <c r="G1101">
        <v>6.28</v>
      </c>
      <c r="K1101">
        <v>4.6849999999999996</v>
      </c>
      <c r="L1101">
        <v>218.2</v>
      </c>
      <c r="M1101">
        <v>0.4</v>
      </c>
      <c r="O1101">
        <v>-11.46</v>
      </c>
      <c r="P1101">
        <v>-10.73</v>
      </c>
      <c r="Q1101">
        <v>4.1079999999999997</v>
      </c>
      <c r="S1101">
        <v>4.3860000000000001</v>
      </c>
      <c r="T1101">
        <v>0</v>
      </c>
      <c r="U1101">
        <v>96.2</v>
      </c>
      <c r="V1101">
        <v>917</v>
      </c>
      <c r="W1101">
        <v>40.76</v>
      </c>
      <c r="Y1101">
        <v>12.91</v>
      </c>
    </row>
    <row r="1102" spans="1:25" x14ac:dyDescent="0.25">
      <c r="A1102">
        <v>2006</v>
      </c>
      <c r="B1102">
        <v>346</v>
      </c>
      <c r="C1102">
        <v>900</v>
      </c>
      <c r="D1102">
        <v>-0.11899999999999999</v>
      </c>
      <c r="E1102">
        <v>-5.7320000000000002</v>
      </c>
      <c r="F1102">
        <v>6.508</v>
      </c>
      <c r="G1102">
        <v>6.8140000000000001</v>
      </c>
      <c r="H1102">
        <f>AVERAGE(G1102:G1126)</f>
        <v>7.3699600000000025</v>
      </c>
      <c r="I1102">
        <f>MIN(G1102:G1126)</f>
        <v>5.6189999999999998</v>
      </c>
      <c r="J1102">
        <f>MAX(G1102:G1126)</f>
        <v>9.77</v>
      </c>
      <c r="K1102">
        <v>4.899</v>
      </c>
      <c r="L1102">
        <v>220.7</v>
      </c>
      <c r="M1102">
        <v>2</v>
      </c>
      <c r="N1102">
        <f>SUM(M1102:M1126)</f>
        <v>16.8</v>
      </c>
      <c r="O1102">
        <v>-10.08</v>
      </c>
      <c r="P1102">
        <v>-10.36</v>
      </c>
      <c r="Q1102">
        <v>4.2009999999999996</v>
      </c>
      <c r="S1102">
        <v>4.3250000000000002</v>
      </c>
      <c r="T1102">
        <v>0</v>
      </c>
      <c r="U1102">
        <v>95.8</v>
      </c>
      <c r="V1102">
        <v>922</v>
      </c>
      <c r="W1102">
        <v>41.15</v>
      </c>
      <c r="Y1102">
        <v>12.91</v>
      </c>
    </row>
    <row r="1103" spans="1:25" x14ac:dyDescent="0.25">
      <c r="A1103">
        <v>2006</v>
      </c>
      <c r="B1103">
        <v>346</v>
      </c>
      <c r="C1103">
        <v>1000</v>
      </c>
      <c r="D1103">
        <v>15.48</v>
      </c>
      <c r="E1103">
        <v>-0.89</v>
      </c>
      <c r="F1103">
        <v>6.5830000000000002</v>
      </c>
      <c r="G1103">
        <v>6.734</v>
      </c>
      <c r="K1103">
        <v>4.0010000000000003</v>
      </c>
      <c r="L1103">
        <v>246.3</v>
      </c>
      <c r="M1103">
        <v>4.2</v>
      </c>
      <c r="O1103">
        <v>7.72</v>
      </c>
      <c r="P1103">
        <v>-5.6760000000000002</v>
      </c>
      <c r="Q1103">
        <v>4.2990000000000004</v>
      </c>
      <c r="S1103">
        <v>4.2770000000000001</v>
      </c>
      <c r="T1103">
        <v>0</v>
      </c>
      <c r="U1103">
        <v>98</v>
      </c>
      <c r="V1103">
        <v>960</v>
      </c>
      <c r="W1103">
        <v>44.62</v>
      </c>
      <c r="Y1103">
        <v>12.91</v>
      </c>
    </row>
    <row r="1104" spans="1:25" x14ac:dyDescent="0.25">
      <c r="A1104">
        <v>2006</v>
      </c>
      <c r="B1104">
        <v>346</v>
      </c>
      <c r="C1104">
        <v>1100</v>
      </c>
      <c r="D1104">
        <v>69.83</v>
      </c>
      <c r="E1104">
        <v>-0.68200000000000005</v>
      </c>
      <c r="F1104">
        <v>7.25</v>
      </c>
      <c r="G1104">
        <v>8.06</v>
      </c>
      <c r="K1104">
        <v>5.016</v>
      </c>
      <c r="L1104">
        <v>253.1</v>
      </c>
      <c r="M1104">
        <v>0</v>
      </c>
      <c r="O1104">
        <v>68.64</v>
      </c>
      <c r="P1104">
        <v>22.11</v>
      </c>
      <c r="Q1104">
        <v>4.4630000000000001</v>
      </c>
      <c r="S1104">
        <v>4.3010000000000002</v>
      </c>
      <c r="T1104">
        <v>0</v>
      </c>
      <c r="U1104">
        <v>89.6</v>
      </c>
      <c r="V1104">
        <v>964</v>
      </c>
      <c r="W1104">
        <v>44.98</v>
      </c>
      <c r="Y1104">
        <v>13.45</v>
      </c>
    </row>
    <row r="1105" spans="1:25" x14ac:dyDescent="0.25">
      <c r="A1105">
        <v>2006</v>
      </c>
      <c r="B1105">
        <v>346</v>
      </c>
      <c r="C1105">
        <v>1200</v>
      </c>
      <c r="D1105">
        <v>148.69999999999999</v>
      </c>
      <c r="E1105">
        <v>77.900000000000006</v>
      </c>
      <c r="F1105">
        <v>8.1300000000000008</v>
      </c>
      <c r="G1105">
        <v>8.57</v>
      </c>
      <c r="K1105">
        <v>4.9530000000000003</v>
      </c>
      <c r="L1105">
        <v>259.3</v>
      </c>
      <c r="M1105">
        <v>0</v>
      </c>
      <c r="O1105">
        <v>165</v>
      </c>
      <c r="P1105">
        <v>69.37</v>
      </c>
      <c r="Q1105">
        <v>4.6449999999999996</v>
      </c>
      <c r="S1105">
        <v>4.3620000000000001</v>
      </c>
      <c r="T1105">
        <v>0</v>
      </c>
      <c r="U1105">
        <v>94.3</v>
      </c>
      <c r="V1105">
        <v>965</v>
      </c>
      <c r="W1105">
        <v>45.09</v>
      </c>
      <c r="Y1105">
        <v>14.22</v>
      </c>
    </row>
    <row r="1106" spans="1:25" x14ac:dyDescent="0.25">
      <c r="A1106">
        <v>2006</v>
      </c>
      <c r="B1106">
        <v>346</v>
      </c>
      <c r="C1106">
        <v>1300</v>
      </c>
      <c r="D1106">
        <v>166.7</v>
      </c>
      <c r="E1106">
        <v>115.5</v>
      </c>
      <c r="F1106">
        <v>8.59</v>
      </c>
      <c r="G1106">
        <v>8.9700000000000006</v>
      </c>
      <c r="K1106">
        <v>4.7329999999999997</v>
      </c>
      <c r="L1106">
        <v>258.7</v>
      </c>
      <c r="M1106">
        <v>0</v>
      </c>
      <c r="O1106">
        <v>207.8</v>
      </c>
      <c r="P1106">
        <v>62.44</v>
      </c>
      <c r="Q1106">
        <v>4.766</v>
      </c>
      <c r="S1106">
        <v>4.3869999999999996</v>
      </c>
      <c r="T1106">
        <v>0</v>
      </c>
      <c r="U1106">
        <v>95.1</v>
      </c>
      <c r="V1106">
        <v>966</v>
      </c>
      <c r="W1106">
        <v>45.21</v>
      </c>
      <c r="Y1106">
        <v>14.09</v>
      </c>
    </row>
    <row r="1107" spans="1:25" x14ac:dyDescent="0.25">
      <c r="A1107">
        <v>2006</v>
      </c>
      <c r="B1107">
        <v>346</v>
      </c>
      <c r="C1107">
        <v>1400</v>
      </c>
      <c r="D1107">
        <v>104.5</v>
      </c>
      <c r="E1107">
        <v>56.71</v>
      </c>
      <c r="F1107">
        <v>8.18</v>
      </c>
      <c r="G1107">
        <v>8.5</v>
      </c>
      <c r="K1107">
        <v>4.4109999999999996</v>
      </c>
      <c r="L1107">
        <v>256.5</v>
      </c>
      <c r="M1107">
        <v>0</v>
      </c>
      <c r="O1107">
        <v>116.9</v>
      </c>
      <c r="P1107">
        <v>34.97</v>
      </c>
      <c r="Q1107">
        <v>4.984</v>
      </c>
      <c r="S1107">
        <v>4.4240000000000004</v>
      </c>
      <c r="T1107">
        <v>0</v>
      </c>
      <c r="U1107">
        <v>95.9</v>
      </c>
      <c r="V1107">
        <v>967</v>
      </c>
      <c r="W1107">
        <v>45.28</v>
      </c>
      <c r="Y1107">
        <v>13.87</v>
      </c>
    </row>
    <row r="1108" spans="1:25" x14ac:dyDescent="0.25">
      <c r="A1108">
        <v>2006</v>
      </c>
      <c r="B1108">
        <v>346</v>
      </c>
      <c r="C1108">
        <v>1500</v>
      </c>
      <c r="D1108">
        <v>47.95</v>
      </c>
      <c r="E1108">
        <v>17.72</v>
      </c>
      <c r="F1108">
        <v>8.07</v>
      </c>
      <c r="G1108">
        <v>8.33</v>
      </c>
      <c r="K1108">
        <v>4.1959999999999997</v>
      </c>
      <c r="L1108">
        <v>256.39999999999998</v>
      </c>
      <c r="M1108">
        <v>0</v>
      </c>
      <c r="O1108">
        <v>47.83</v>
      </c>
      <c r="P1108">
        <v>11.63</v>
      </c>
      <c r="Q1108">
        <v>5.1790000000000003</v>
      </c>
      <c r="S1108">
        <v>4.46</v>
      </c>
      <c r="T1108">
        <v>0</v>
      </c>
      <c r="U1108">
        <v>96.7</v>
      </c>
      <c r="V1108">
        <v>968</v>
      </c>
      <c r="W1108">
        <v>45.35</v>
      </c>
      <c r="Y1108">
        <v>13.73</v>
      </c>
    </row>
    <row r="1109" spans="1:25" x14ac:dyDescent="0.25">
      <c r="A1109">
        <v>2006</v>
      </c>
      <c r="B1109">
        <v>346</v>
      </c>
      <c r="C1109">
        <v>1600</v>
      </c>
      <c r="D1109">
        <v>9.48</v>
      </c>
      <c r="E1109">
        <v>-14.84</v>
      </c>
      <c r="F1109">
        <v>7.02</v>
      </c>
      <c r="G1109">
        <v>7.11</v>
      </c>
      <c r="K1109">
        <v>3.3740000000000001</v>
      </c>
      <c r="L1109">
        <v>265.3</v>
      </c>
      <c r="M1109">
        <v>0.4</v>
      </c>
      <c r="O1109">
        <v>2.0979999999999999</v>
      </c>
      <c r="P1109">
        <v>-6.3209999999999997</v>
      </c>
      <c r="Q1109">
        <v>5.2679999999999998</v>
      </c>
      <c r="S1109">
        <v>4.4770000000000003</v>
      </c>
      <c r="T1109">
        <v>0</v>
      </c>
      <c r="U1109">
        <v>98.8</v>
      </c>
      <c r="V1109">
        <v>968</v>
      </c>
      <c r="W1109">
        <v>45.42</v>
      </c>
      <c r="Y1109">
        <v>13.51</v>
      </c>
    </row>
    <row r="1110" spans="1:25" x14ac:dyDescent="0.25">
      <c r="A1110">
        <v>2006</v>
      </c>
      <c r="B1110">
        <v>346</v>
      </c>
      <c r="C1110">
        <v>1700</v>
      </c>
      <c r="D1110">
        <v>-1.6779999999999999</v>
      </c>
      <c r="E1110">
        <v>-30.38</v>
      </c>
      <c r="F1110">
        <v>6.6929999999999996</v>
      </c>
      <c r="G1110">
        <v>7.19</v>
      </c>
      <c r="K1110">
        <v>2.9929999999999999</v>
      </c>
      <c r="L1110">
        <v>253.3</v>
      </c>
      <c r="M1110">
        <v>0</v>
      </c>
      <c r="O1110">
        <v>-10.95</v>
      </c>
      <c r="P1110">
        <v>-10.69</v>
      </c>
      <c r="Q1110">
        <v>5.3760000000000003</v>
      </c>
      <c r="S1110">
        <v>4.6260000000000003</v>
      </c>
      <c r="T1110">
        <v>0</v>
      </c>
      <c r="U1110">
        <v>93.4</v>
      </c>
      <c r="V1110">
        <v>969</v>
      </c>
      <c r="W1110">
        <v>45.51</v>
      </c>
      <c r="Y1110">
        <v>13.38</v>
      </c>
    </row>
    <row r="1111" spans="1:25" x14ac:dyDescent="0.25">
      <c r="A1111">
        <v>2006</v>
      </c>
      <c r="B1111">
        <v>346</v>
      </c>
      <c r="C1111">
        <v>1800</v>
      </c>
      <c r="D1111">
        <v>-2.0750000000000002</v>
      </c>
      <c r="E1111">
        <v>-29.97</v>
      </c>
      <c r="F1111">
        <v>6.4790000000000001</v>
      </c>
      <c r="G1111">
        <v>6.87</v>
      </c>
      <c r="K1111">
        <v>2.8719999999999999</v>
      </c>
      <c r="L1111">
        <v>241.5</v>
      </c>
      <c r="M1111">
        <v>0</v>
      </c>
      <c r="O1111">
        <v>-11.5</v>
      </c>
      <c r="P1111">
        <v>-10.84</v>
      </c>
      <c r="Q1111">
        <v>5.3319999999999999</v>
      </c>
      <c r="S1111">
        <v>4.6680000000000001</v>
      </c>
      <c r="T1111">
        <v>0</v>
      </c>
      <c r="U1111">
        <v>94.7</v>
      </c>
      <c r="V1111">
        <v>971</v>
      </c>
      <c r="W1111">
        <v>45.65</v>
      </c>
      <c r="Y1111">
        <v>13.29</v>
      </c>
    </row>
    <row r="1112" spans="1:25" x14ac:dyDescent="0.25">
      <c r="A1112">
        <v>2006</v>
      </c>
      <c r="B1112">
        <v>346</v>
      </c>
      <c r="C1112">
        <v>1900</v>
      </c>
      <c r="D1112">
        <v>-1.4870000000000001</v>
      </c>
      <c r="E1112">
        <v>-18.239999999999998</v>
      </c>
      <c r="F1112">
        <v>6.56</v>
      </c>
      <c r="G1112">
        <v>7</v>
      </c>
      <c r="K1112">
        <v>3.012</v>
      </c>
      <c r="L1112">
        <v>246.1</v>
      </c>
      <c r="M1112">
        <v>0</v>
      </c>
      <c r="O1112">
        <v>-11.5</v>
      </c>
      <c r="P1112">
        <v>-10.84</v>
      </c>
      <c r="Q1112">
        <v>5.2469999999999999</v>
      </c>
      <c r="S1112">
        <v>4.6760000000000002</v>
      </c>
      <c r="T1112">
        <v>0</v>
      </c>
      <c r="U1112">
        <v>94</v>
      </c>
      <c r="V1112">
        <v>972</v>
      </c>
      <c r="W1112">
        <v>45.77</v>
      </c>
      <c r="Y1112">
        <v>13.21</v>
      </c>
    </row>
    <row r="1113" spans="1:25" x14ac:dyDescent="0.25">
      <c r="A1113">
        <v>2006</v>
      </c>
      <c r="B1113">
        <v>346</v>
      </c>
      <c r="C1113">
        <v>2000</v>
      </c>
      <c r="D1113">
        <v>-2.4510000000000001</v>
      </c>
      <c r="E1113">
        <v>-46.31</v>
      </c>
      <c r="F1113">
        <v>6.1929999999999996</v>
      </c>
      <c r="G1113">
        <v>6.5460000000000003</v>
      </c>
      <c r="K1113">
        <v>3.0670000000000002</v>
      </c>
      <c r="L1113">
        <v>246</v>
      </c>
      <c r="M1113">
        <v>0</v>
      </c>
      <c r="O1113">
        <v>-11.5</v>
      </c>
      <c r="P1113">
        <v>-10.84</v>
      </c>
      <c r="Q1113">
        <v>5.1580000000000004</v>
      </c>
      <c r="S1113">
        <v>4.6749999999999998</v>
      </c>
      <c r="T1113">
        <v>0</v>
      </c>
      <c r="U1113">
        <v>95.2</v>
      </c>
      <c r="V1113">
        <v>973</v>
      </c>
      <c r="W1113">
        <v>45.87</v>
      </c>
      <c r="Y1113">
        <v>13.14</v>
      </c>
    </row>
    <row r="1114" spans="1:25" x14ac:dyDescent="0.25">
      <c r="A1114">
        <v>2006</v>
      </c>
      <c r="B1114">
        <v>346</v>
      </c>
      <c r="C1114">
        <v>2100</v>
      </c>
      <c r="D1114">
        <v>-2.617</v>
      </c>
      <c r="E1114">
        <v>-46.28</v>
      </c>
      <c r="F1114">
        <v>5.7619999999999996</v>
      </c>
      <c r="G1114">
        <v>5.9930000000000003</v>
      </c>
      <c r="K1114">
        <v>3.0030000000000001</v>
      </c>
      <c r="L1114">
        <v>245.2</v>
      </c>
      <c r="M1114">
        <v>0</v>
      </c>
      <c r="O1114">
        <v>-11.49</v>
      </c>
      <c r="P1114">
        <v>-10.81</v>
      </c>
      <c r="Q1114">
        <v>5.0449999999999999</v>
      </c>
      <c r="S1114">
        <v>4.6689999999999996</v>
      </c>
      <c r="T1114">
        <v>0</v>
      </c>
      <c r="U1114">
        <v>96.8</v>
      </c>
      <c r="V1114">
        <v>973</v>
      </c>
      <c r="W1114">
        <v>45.95</v>
      </c>
      <c r="Y1114">
        <v>13.08</v>
      </c>
    </row>
    <row r="1115" spans="1:25" x14ac:dyDescent="0.25">
      <c r="A1115">
        <v>2006</v>
      </c>
      <c r="B1115">
        <v>346</v>
      </c>
      <c r="C1115">
        <v>2200</v>
      </c>
      <c r="D1115">
        <v>-2.3839999999999999</v>
      </c>
      <c r="E1115">
        <v>-41.95</v>
      </c>
      <c r="F1115">
        <v>5.4009999999999998</v>
      </c>
      <c r="G1115">
        <v>5.6189999999999998</v>
      </c>
      <c r="K1115">
        <v>2.7109999999999999</v>
      </c>
      <c r="L1115">
        <v>253.6</v>
      </c>
      <c r="M1115">
        <v>0</v>
      </c>
      <c r="O1115">
        <v>-11.45</v>
      </c>
      <c r="P1115">
        <v>-10.79</v>
      </c>
      <c r="Q1115">
        <v>4.9189999999999996</v>
      </c>
      <c r="S1115">
        <v>4.7009999999999996</v>
      </c>
      <c r="T1115">
        <v>0</v>
      </c>
      <c r="U1115">
        <v>96.9</v>
      </c>
      <c r="V1115">
        <v>974</v>
      </c>
      <c r="W1115">
        <v>46</v>
      </c>
      <c r="Y1115">
        <v>13.03</v>
      </c>
    </row>
    <row r="1116" spans="1:25" x14ac:dyDescent="0.25">
      <c r="A1116">
        <v>2006</v>
      </c>
      <c r="B1116">
        <v>346</v>
      </c>
      <c r="C1116">
        <v>2300</v>
      </c>
      <c r="D1116">
        <v>-1.9830000000000001</v>
      </c>
      <c r="E1116">
        <v>-31.16</v>
      </c>
      <c r="F1116">
        <v>5.42</v>
      </c>
      <c r="G1116">
        <v>5.7549999999999999</v>
      </c>
      <c r="K1116">
        <v>2.6970000000000001</v>
      </c>
      <c r="L1116">
        <v>259.7</v>
      </c>
      <c r="M1116">
        <v>0</v>
      </c>
      <c r="O1116">
        <v>-11.45</v>
      </c>
      <c r="P1116">
        <v>-10.78</v>
      </c>
      <c r="Q1116">
        <v>4.7869999999999999</v>
      </c>
      <c r="S1116">
        <v>4.665</v>
      </c>
      <c r="T1116">
        <v>0</v>
      </c>
      <c r="U1116">
        <v>95.2</v>
      </c>
      <c r="V1116">
        <v>974</v>
      </c>
      <c r="W1116">
        <v>46.04</v>
      </c>
      <c r="Y1116">
        <v>13</v>
      </c>
    </row>
    <row r="1117" spans="1:25" x14ac:dyDescent="0.25">
      <c r="A1117">
        <v>2006</v>
      </c>
      <c r="B1117">
        <v>346</v>
      </c>
      <c r="C1117">
        <v>2400</v>
      </c>
      <c r="D1117">
        <v>-2.2210000000000001</v>
      </c>
      <c r="E1117">
        <v>-36</v>
      </c>
      <c r="F1117">
        <v>5.718</v>
      </c>
      <c r="G1117">
        <v>6</v>
      </c>
      <c r="K1117">
        <v>3.1949999999999998</v>
      </c>
      <c r="L1117">
        <v>247.5</v>
      </c>
      <c r="M1117">
        <v>0</v>
      </c>
      <c r="O1117">
        <v>-11.46</v>
      </c>
      <c r="P1117">
        <v>-10.75</v>
      </c>
      <c r="Q1117">
        <v>4.6870000000000003</v>
      </c>
      <c r="S1117">
        <v>4.6239999999999997</v>
      </c>
      <c r="T1117">
        <v>0</v>
      </c>
      <c r="U1117">
        <v>96</v>
      </c>
      <c r="V1117">
        <v>974</v>
      </c>
      <c r="W1117">
        <v>46.05</v>
      </c>
      <c r="Y1117">
        <v>12.97</v>
      </c>
    </row>
    <row r="1118" spans="1:25" x14ac:dyDescent="0.25">
      <c r="A1118">
        <v>2006</v>
      </c>
      <c r="B1118">
        <v>346</v>
      </c>
      <c r="C1118">
        <v>2400</v>
      </c>
      <c r="D1118">
        <v>22.17</v>
      </c>
      <c r="E1118">
        <v>-10.02</v>
      </c>
      <c r="F1118">
        <v>6.07</v>
      </c>
      <c r="G1118">
        <v>6.4109999999999996</v>
      </c>
      <c r="K1118">
        <v>3.6930000000000001</v>
      </c>
      <c r="L1118">
        <v>241.4</v>
      </c>
      <c r="M1118">
        <v>7</v>
      </c>
      <c r="O1118">
        <v>17.72</v>
      </c>
      <c r="P1118">
        <v>0.33100000000000002</v>
      </c>
      <c r="Q1118">
        <v>4.6280000000000001</v>
      </c>
      <c r="S1118">
        <v>4.5220000000000002</v>
      </c>
      <c r="T1118">
        <v>0</v>
      </c>
      <c r="U1118">
        <v>95.3</v>
      </c>
      <c r="V1118">
        <v>950</v>
      </c>
      <c r="W1118">
        <v>43.79</v>
      </c>
      <c r="Y1118">
        <v>13.22</v>
      </c>
    </row>
    <row r="1119" spans="1:25" x14ac:dyDescent="0.25">
      <c r="A1119">
        <v>2006</v>
      </c>
      <c r="B1119">
        <v>347</v>
      </c>
      <c r="C1119">
        <v>100</v>
      </c>
      <c r="D1119">
        <v>-1.7190000000000001</v>
      </c>
      <c r="E1119">
        <v>-22.89</v>
      </c>
      <c r="F1119">
        <v>6.016</v>
      </c>
      <c r="G1119">
        <v>6.2030000000000003</v>
      </c>
      <c r="K1119">
        <v>2.5339999999999998</v>
      </c>
      <c r="L1119">
        <v>237.4</v>
      </c>
      <c r="M1119">
        <v>0</v>
      </c>
      <c r="O1119">
        <v>-11.45</v>
      </c>
      <c r="P1119">
        <v>-10.78</v>
      </c>
      <c r="Q1119">
        <v>4.5979999999999999</v>
      </c>
      <c r="S1119">
        <v>4.6159999999999997</v>
      </c>
      <c r="T1119">
        <v>0</v>
      </c>
      <c r="U1119">
        <v>97.4</v>
      </c>
      <c r="V1119">
        <v>975</v>
      </c>
      <c r="W1119">
        <v>46.13</v>
      </c>
      <c r="Y1119">
        <v>12.95</v>
      </c>
    </row>
    <row r="1120" spans="1:25" x14ac:dyDescent="0.25">
      <c r="A1120">
        <v>2006</v>
      </c>
      <c r="B1120">
        <v>347</v>
      </c>
      <c r="C1120">
        <v>200</v>
      </c>
      <c r="D1120">
        <v>-1.0189999999999999</v>
      </c>
      <c r="E1120">
        <v>-8.64</v>
      </c>
      <c r="F1120">
        <v>6.476</v>
      </c>
      <c r="G1120">
        <v>6.6040000000000001</v>
      </c>
      <c r="K1120">
        <v>2.149</v>
      </c>
      <c r="L1120">
        <v>217.6</v>
      </c>
      <c r="M1120">
        <v>0</v>
      </c>
      <c r="O1120">
        <v>-11.45</v>
      </c>
      <c r="P1120">
        <v>-10.75</v>
      </c>
      <c r="Q1120">
        <v>4.5369999999999999</v>
      </c>
      <c r="S1120">
        <v>4.5599999999999996</v>
      </c>
      <c r="T1120">
        <v>0</v>
      </c>
      <c r="U1120">
        <v>98.2</v>
      </c>
      <c r="V1120">
        <v>961</v>
      </c>
      <c r="W1120">
        <v>44.66</v>
      </c>
      <c r="Y1120">
        <v>12.93</v>
      </c>
    </row>
    <row r="1121" spans="1:25" x14ac:dyDescent="0.25">
      <c r="A1121">
        <v>2006</v>
      </c>
      <c r="B1121">
        <v>347</v>
      </c>
      <c r="C1121">
        <v>300</v>
      </c>
      <c r="D1121">
        <v>-0.93799999999999994</v>
      </c>
      <c r="E1121">
        <v>-1.8129999999999999</v>
      </c>
      <c r="F1121">
        <v>6.92</v>
      </c>
      <c r="G1121">
        <v>7.02</v>
      </c>
      <c r="K1121">
        <v>2.355</v>
      </c>
      <c r="L1121">
        <v>206.1</v>
      </c>
      <c r="M1121">
        <v>0.4</v>
      </c>
      <c r="O1121">
        <v>-11.49</v>
      </c>
      <c r="P1121">
        <v>-10.8</v>
      </c>
      <c r="Q1121">
        <v>4.55</v>
      </c>
      <c r="S1121">
        <v>4.4770000000000003</v>
      </c>
      <c r="T1121">
        <v>0</v>
      </c>
      <c r="U1121">
        <v>98.7</v>
      </c>
      <c r="V1121">
        <v>956</v>
      </c>
      <c r="W1121">
        <v>44.21</v>
      </c>
      <c r="Y1121">
        <v>12.92</v>
      </c>
    </row>
    <row r="1122" spans="1:25" x14ac:dyDescent="0.25">
      <c r="A1122">
        <v>2006</v>
      </c>
      <c r="B1122">
        <v>347</v>
      </c>
      <c r="C1122">
        <v>400</v>
      </c>
      <c r="D1122">
        <v>-0.65600000000000003</v>
      </c>
      <c r="E1122">
        <v>-7.6999999999999999E-2</v>
      </c>
      <c r="F1122">
        <v>7.62</v>
      </c>
      <c r="G1122">
        <v>7.74</v>
      </c>
      <c r="K1122">
        <v>2.8519999999999999</v>
      </c>
      <c r="L1122">
        <v>199</v>
      </c>
      <c r="M1122">
        <v>0.2</v>
      </c>
      <c r="O1122">
        <v>-11.49</v>
      </c>
      <c r="P1122">
        <v>-10.82</v>
      </c>
      <c r="Q1122">
        <v>4.6349999999999998</v>
      </c>
      <c r="S1122">
        <v>4.452</v>
      </c>
      <c r="T1122">
        <v>0</v>
      </c>
      <c r="U1122">
        <v>98.4</v>
      </c>
      <c r="V1122">
        <v>962</v>
      </c>
      <c r="W1122">
        <v>44.73</v>
      </c>
      <c r="Y1122">
        <v>12.91</v>
      </c>
    </row>
    <row r="1123" spans="1:25" x14ac:dyDescent="0.25">
      <c r="A1123">
        <v>2006</v>
      </c>
      <c r="B1123">
        <v>347</v>
      </c>
      <c r="C1123">
        <v>500</v>
      </c>
      <c r="D1123">
        <v>-0.61</v>
      </c>
      <c r="E1123">
        <v>-1.65</v>
      </c>
      <c r="F1123">
        <v>8.23</v>
      </c>
      <c r="G1123">
        <v>8.4499999999999993</v>
      </c>
      <c r="K1123">
        <v>3.5470000000000002</v>
      </c>
      <c r="L1123">
        <v>218</v>
      </c>
      <c r="M1123">
        <v>0</v>
      </c>
      <c r="O1123">
        <v>-11.5</v>
      </c>
      <c r="P1123">
        <v>-10.83</v>
      </c>
      <c r="Q1123">
        <v>4.7839999999999998</v>
      </c>
      <c r="S1123">
        <v>4.4870000000000001</v>
      </c>
      <c r="T1123">
        <v>0</v>
      </c>
      <c r="U1123">
        <v>97.2</v>
      </c>
      <c r="V1123">
        <v>963</v>
      </c>
      <c r="W1123">
        <v>44.84</v>
      </c>
      <c r="Y1123">
        <v>12.9</v>
      </c>
    </row>
    <row r="1124" spans="1:25" x14ac:dyDescent="0.25">
      <c r="A1124">
        <v>2006</v>
      </c>
      <c r="B1124">
        <v>347</v>
      </c>
      <c r="C1124">
        <v>600</v>
      </c>
      <c r="D1124">
        <v>-1.117</v>
      </c>
      <c r="E1124">
        <v>-4.8369999999999997</v>
      </c>
      <c r="F1124">
        <v>8.5299999999999994</v>
      </c>
      <c r="G1124">
        <v>8.85</v>
      </c>
      <c r="K1124">
        <v>3.359</v>
      </c>
      <c r="L1124">
        <v>216.3</v>
      </c>
      <c r="M1124">
        <v>1</v>
      </c>
      <c r="O1124">
        <v>-11.5</v>
      </c>
      <c r="P1124">
        <v>-10.84</v>
      </c>
      <c r="Q1124">
        <v>4.9710000000000001</v>
      </c>
      <c r="S1124">
        <v>4.53</v>
      </c>
      <c r="T1124">
        <v>0</v>
      </c>
      <c r="U1124">
        <v>96</v>
      </c>
      <c r="V1124">
        <v>964</v>
      </c>
      <c r="W1124">
        <v>44.95</v>
      </c>
      <c r="Y1124">
        <v>12.9</v>
      </c>
    </row>
    <row r="1125" spans="1:25" x14ac:dyDescent="0.25">
      <c r="A1125">
        <v>2006</v>
      </c>
      <c r="B1125">
        <v>347</v>
      </c>
      <c r="C1125">
        <v>700</v>
      </c>
      <c r="D1125">
        <v>-1.0620000000000001</v>
      </c>
      <c r="E1125">
        <v>-4.12</v>
      </c>
      <c r="F1125">
        <v>8.76</v>
      </c>
      <c r="G1125">
        <v>9.14</v>
      </c>
      <c r="K1125">
        <v>3.0350000000000001</v>
      </c>
      <c r="L1125">
        <v>198.4</v>
      </c>
      <c r="M1125">
        <v>0.8</v>
      </c>
      <c r="O1125">
        <v>-11.5</v>
      </c>
      <c r="P1125">
        <v>-10.84</v>
      </c>
      <c r="Q1125">
        <v>5.1449999999999996</v>
      </c>
      <c r="S1125">
        <v>4.556</v>
      </c>
      <c r="T1125">
        <v>0</v>
      </c>
      <c r="U1125">
        <v>95.3</v>
      </c>
      <c r="V1125">
        <v>965</v>
      </c>
      <c r="W1125">
        <v>45.07</v>
      </c>
      <c r="Y1125">
        <v>12.89</v>
      </c>
    </row>
    <row r="1126" spans="1:25" x14ac:dyDescent="0.25">
      <c r="A1126">
        <v>2006</v>
      </c>
      <c r="B1126">
        <v>347</v>
      </c>
      <c r="C1126">
        <v>800</v>
      </c>
      <c r="D1126">
        <v>-1.1319999999999999</v>
      </c>
      <c r="E1126">
        <v>-4.6449999999999996</v>
      </c>
      <c r="F1126">
        <v>9.1999999999999993</v>
      </c>
      <c r="G1126">
        <v>9.77</v>
      </c>
      <c r="K1126">
        <v>4.7320000000000002</v>
      </c>
      <c r="L1126">
        <v>209.4</v>
      </c>
      <c r="M1126">
        <v>0.8</v>
      </c>
      <c r="O1126">
        <v>-11.5</v>
      </c>
      <c r="P1126">
        <v>-10.85</v>
      </c>
      <c r="Q1126">
        <v>5.3</v>
      </c>
      <c r="S1126">
        <v>4.5949999999999998</v>
      </c>
      <c r="T1126">
        <v>0</v>
      </c>
      <c r="U1126">
        <v>93.1</v>
      </c>
      <c r="V1126">
        <v>966</v>
      </c>
      <c r="W1126">
        <v>45.12</v>
      </c>
      <c r="Y1126">
        <v>12.89</v>
      </c>
    </row>
    <row r="1127" spans="1:25" x14ac:dyDescent="0.25">
      <c r="A1127">
        <v>2006</v>
      </c>
      <c r="B1127">
        <v>347</v>
      </c>
      <c r="C1127">
        <v>900</v>
      </c>
      <c r="D1127">
        <v>-0.11899999999999999</v>
      </c>
      <c r="E1127">
        <v>-2.0840000000000001</v>
      </c>
      <c r="F1127">
        <v>9.69</v>
      </c>
      <c r="G1127">
        <v>10.18</v>
      </c>
      <c r="H1127">
        <f>AVERAGE(G1127:G1151)</f>
        <v>11.357599999999998</v>
      </c>
      <c r="I1127">
        <f>MIN(G1127:G1151)</f>
        <v>8.7899999999999991</v>
      </c>
      <c r="J1127">
        <f>MAX(G1127:G1151)</f>
        <v>12.48</v>
      </c>
      <c r="K1127">
        <v>4.883</v>
      </c>
      <c r="L1127">
        <v>228.1</v>
      </c>
      <c r="M1127">
        <v>0.2</v>
      </c>
      <c r="N1127">
        <f>SUM(M1127:M1151)</f>
        <v>9.7999999999999989</v>
      </c>
      <c r="O1127">
        <v>-10.65</v>
      </c>
      <c r="P1127">
        <v>-10.67</v>
      </c>
      <c r="Q1127">
        <v>5.4359999999999999</v>
      </c>
      <c r="S1127">
        <v>4.5940000000000003</v>
      </c>
      <c r="T1127">
        <v>0</v>
      </c>
      <c r="U1127">
        <v>94.1</v>
      </c>
      <c r="V1127">
        <v>966</v>
      </c>
      <c r="W1127">
        <v>45.17</v>
      </c>
      <c r="Y1127">
        <v>12.89</v>
      </c>
    </row>
    <row r="1128" spans="1:25" x14ac:dyDescent="0.25">
      <c r="A1128">
        <v>2006</v>
      </c>
      <c r="B1128">
        <v>347</v>
      </c>
      <c r="C1128">
        <v>1000</v>
      </c>
      <c r="D1128">
        <v>10.79</v>
      </c>
      <c r="E1128">
        <v>5.7960000000000003</v>
      </c>
      <c r="F1128">
        <v>10.42</v>
      </c>
      <c r="G1128">
        <v>10.89</v>
      </c>
      <c r="K1128">
        <v>5.4379999999999997</v>
      </c>
      <c r="L1128">
        <v>237.4</v>
      </c>
      <c r="M1128">
        <v>0</v>
      </c>
      <c r="O1128">
        <v>4.133</v>
      </c>
      <c r="P1128">
        <v>-7.61</v>
      </c>
      <c r="Q1128">
        <v>5.6520000000000001</v>
      </c>
      <c r="S1128">
        <v>4.6879999999999997</v>
      </c>
      <c r="T1128">
        <v>0</v>
      </c>
      <c r="U1128">
        <v>94.5</v>
      </c>
      <c r="V1128">
        <v>967</v>
      </c>
      <c r="W1128">
        <v>45.23</v>
      </c>
      <c r="Y1128">
        <v>12.89</v>
      </c>
    </row>
    <row r="1129" spans="1:25" x14ac:dyDescent="0.25">
      <c r="A1129">
        <v>2006</v>
      </c>
      <c r="B1129">
        <v>347</v>
      </c>
      <c r="C1129">
        <v>1100</v>
      </c>
      <c r="D1129">
        <v>27.72</v>
      </c>
      <c r="E1129">
        <v>16.989999999999998</v>
      </c>
      <c r="F1129">
        <v>10.78</v>
      </c>
      <c r="G1129">
        <v>11.14</v>
      </c>
      <c r="K1129">
        <v>5.5330000000000004</v>
      </c>
      <c r="L1129">
        <v>237.1</v>
      </c>
      <c r="M1129">
        <v>0</v>
      </c>
      <c r="O1129">
        <v>26.78</v>
      </c>
      <c r="P1129">
        <v>-2.875</v>
      </c>
      <c r="Q1129">
        <v>5.8920000000000003</v>
      </c>
      <c r="S1129">
        <v>4.7889999999999997</v>
      </c>
      <c r="T1129">
        <v>0</v>
      </c>
      <c r="U1129">
        <v>95.8</v>
      </c>
      <c r="V1129">
        <v>967</v>
      </c>
      <c r="W1129">
        <v>45.24</v>
      </c>
      <c r="Y1129">
        <v>12.9</v>
      </c>
    </row>
    <row r="1130" spans="1:25" x14ac:dyDescent="0.25">
      <c r="A1130">
        <v>2006</v>
      </c>
      <c r="B1130">
        <v>347</v>
      </c>
      <c r="C1130">
        <v>1200</v>
      </c>
      <c r="D1130">
        <v>44.43</v>
      </c>
      <c r="E1130">
        <v>27.27</v>
      </c>
      <c r="F1130">
        <v>10.92</v>
      </c>
      <c r="G1130">
        <v>11.37</v>
      </c>
      <c r="K1130">
        <v>5.7290000000000001</v>
      </c>
      <c r="L1130">
        <v>238.8</v>
      </c>
      <c r="M1130">
        <v>0</v>
      </c>
      <c r="O1130">
        <v>46.72</v>
      </c>
      <c r="P1130">
        <v>1.173</v>
      </c>
      <c r="Q1130">
        <v>6.1520000000000001</v>
      </c>
      <c r="S1130">
        <v>4.8920000000000003</v>
      </c>
      <c r="T1130">
        <v>0</v>
      </c>
      <c r="U1130">
        <v>94.9</v>
      </c>
      <c r="V1130">
        <v>966</v>
      </c>
      <c r="W1130">
        <v>45.22</v>
      </c>
      <c r="Y1130">
        <v>13</v>
      </c>
    </row>
    <row r="1131" spans="1:25" x14ac:dyDescent="0.25">
      <c r="A1131">
        <v>2006</v>
      </c>
      <c r="B1131">
        <v>347</v>
      </c>
      <c r="C1131">
        <v>1300</v>
      </c>
      <c r="D1131">
        <v>40.98</v>
      </c>
      <c r="E1131">
        <v>24.8</v>
      </c>
      <c r="F1131">
        <v>11.12</v>
      </c>
      <c r="G1131">
        <v>11.52</v>
      </c>
      <c r="K1131">
        <v>5.8769999999999998</v>
      </c>
      <c r="L1131">
        <v>236.4</v>
      </c>
      <c r="M1131">
        <v>0</v>
      </c>
      <c r="O1131">
        <v>42.33</v>
      </c>
      <c r="P1131">
        <v>0.22</v>
      </c>
      <c r="Q1131">
        <v>6.4169999999999998</v>
      </c>
      <c r="S1131">
        <v>5.0069999999999997</v>
      </c>
      <c r="T1131">
        <v>0</v>
      </c>
      <c r="U1131">
        <v>95.5</v>
      </c>
      <c r="V1131">
        <v>967</v>
      </c>
      <c r="W1131">
        <v>45.23</v>
      </c>
      <c r="Y1131">
        <v>13.07</v>
      </c>
    </row>
    <row r="1132" spans="1:25" x14ac:dyDescent="0.25">
      <c r="A1132">
        <v>2006</v>
      </c>
      <c r="B1132">
        <v>347</v>
      </c>
      <c r="C1132">
        <v>1400</v>
      </c>
      <c r="D1132">
        <v>28.82</v>
      </c>
      <c r="E1132">
        <v>15.68</v>
      </c>
      <c r="F1132">
        <v>11.4</v>
      </c>
      <c r="G1132">
        <v>11.82</v>
      </c>
      <c r="K1132">
        <v>5.5570000000000004</v>
      </c>
      <c r="L1132">
        <v>237.4</v>
      </c>
      <c r="M1132">
        <v>0</v>
      </c>
      <c r="O1132">
        <v>26.42</v>
      </c>
      <c r="P1132">
        <v>-3.0870000000000002</v>
      </c>
      <c r="Q1132">
        <v>6.6680000000000001</v>
      </c>
      <c r="S1132">
        <v>5.1289999999999996</v>
      </c>
      <c r="T1132">
        <v>0</v>
      </c>
      <c r="U1132">
        <v>95.2</v>
      </c>
      <c r="V1132">
        <v>966</v>
      </c>
      <c r="W1132">
        <v>45.21</v>
      </c>
      <c r="Y1132">
        <v>13.04</v>
      </c>
    </row>
    <row r="1133" spans="1:25" x14ac:dyDescent="0.25">
      <c r="A1133">
        <v>2006</v>
      </c>
      <c r="B1133">
        <v>347</v>
      </c>
      <c r="C1133">
        <v>1500</v>
      </c>
      <c r="D1133">
        <v>14.97</v>
      </c>
      <c r="E1133">
        <v>7.41</v>
      </c>
      <c r="F1133">
        <v>11.42</v>
      </c>
      <c r="G1133">
        <v>11.65</v>
      </c>
      <c r="K1133">
        <v>5.0780000000000003</v>
      </c>
      <c r="L1133">
        <v>234.2</v>
      </c>
      <c r="M1133">
        <v>0.2</v>
      </c>
      <c r="O1133">
        <v>8.98</v>
      </c>
      <c r="P1133">
        <v>-6.4039999999999999</v>
      </c>
      <c r="Q1133">
        <v>6.8520000000000003</v>
      </c>
      <c r="S1133">
        <v>5.2069999999999999</v>
      </c>
      <c r="T1133">
        <v>0</v>
      </c>
      <c r="U1133">
        <v>97.4</v>
      </c>
      <c r="V1133">
        <v>967</v>
      </c>
      <c r="W1133">
        <v>45.23</v>
      </c>
      <c r="Y1133">
        <v>12.98</v>
      </c>
    </row>
    <row r="1134" spans="1:25" x14ac:dyDescent="0.25">
      <c r="A1134">
        <v>2006</v>
      </c>
      <c r="B1134">
        <v>347</v>
      </c>
      <c r="C1134">
        <v>1600</v>
      </c>
      <c r="D1134">
        <v>4.782</v>
      </c>
      <c r="E1134">
        <v>0.88200000000000001</v>
      </c>
      <c r="F1134">
        <v>11.44</v>
      </c>
      <c r="G1134">
        <v>11.74</v>
      </c>
      <c r="K1134">
        <v>5.3109999999999999</v>
      </c>
      <c r="L1134">
        <v>237.3</v>
      </c>
      <c r="M1134">
        <v>0</v>
      </c>
      <c r="O1134">
        <v>-4.117</v>
      </c>
      <c r="P1134">
        <v>-9.32</v>
      </c>
      <c r="Q1134">
        <v>7.03</v>
      </c>
      <c r="S1134">
        <v>5.3179999999999996</v>
      </c>
      <c r="T1134">
        <v>0</v>
      </c>
      <c r="U1134">
        <v>96.6</v>
      </c>
      <c r="V1134">
        <v>967</v>
      </c>
      <c r="W1134">
        <v>45.26</v>
      </c>
      <c r="Y1134">
        <v>12.94</v>
      </c>
    </row>
    <row r="1135" spans="1:25" x14ac:dyDescent="0.25">
      <c r="A1135">
        <v>2006</v>
      </c>
      <c r="B1135">
        <v>347</v>
      </c>
      <c r="C1135">
        <v>1700</v>
      </c>
      <c r="D1135">
        <v>-0.374</v>
      </c>
      <c r="E1135">
        <v>-2.9580000000000002</v>
      </c>
      <c r="F1135">
        <v>11.52</v>
      </c>
      <c r="G1135">
        <v>11.8</v>
      </c>
      <c r="K1135">
        <v>5.0010000000000003</v>
      </c>
      <c r="L1135">
        <v>236.8</v>
      </c>
      <c r="M1135">
        <v>0.2</v>
      </c>
      <c r="O1135">
        <v>-11.32</v>
      </c>
      <c r="P1135">
        <v>-10.84</v>
      </c>
      <c r="Q1135">
        <v>7.17</v>
      </c>
      <c r="S1135">
        <v>5.4139999999999997</v>
      </c>
      <c r="T1135">
        <v>0</v>
      </c>
      <c r="U1135">
        <v>96.8</v>
      </c>
      <c r="V1135">
        <v>967</v>
      </c>
      <c r="W1135">
        <v>45.28</v>
      </c>
      <c r="Y1135">
        <v>12.92</v>
      </c>
    </row>
    <row r="1136" spans="1:25" x14ac:dyDescent="0.25">
      <c r="A1136">
        <v>2006</v>
      </c>
      <c r="B1136">
        <v>347</v>
      </c>
      <c r="C1136">
        <v>1800</v>
      </c>
      <c r="D1136">
        <v>-0.57299999999999995</v>
      </c>
      <c r="E1136">
        <v>-2.72</v>
      </c>
      <c r="F1136">
        <v>11.48</v>
      </c>
      <c r="G1136">
        <v>11.74</v>
      </c>
      <c r="K1136">
        <v>4.4160000000000004</v>
      </c>
      <c r="L1136">
        <v>232.1</v>
      </c>
      <c r="M1136">
        <v>0</v>
      </c>
      <c r="O1136">
        <v>-11.5</v>
      </c>
      <c r="P1136">
        <v>-10.84</v>
      </c>
      <c r="Q1136">
        <v>7.31</v>
      </c>
      <c r="S1136">
        <v>5.5259999999999998</v>
      </c>
      <c r="T1136">
        <v>0</v>
      </c>
      <c r="U1136">
        <v>97</v>
      </c>
      <c r="V1136">
        <v>967</v>
      </c>
      <c r="W1136">
        <v>45.31</v>
      </c>
      <c r="Y1136">
        <v>12.9</v>
      </c>
    </row>
    <row r="1137" spans="1:25" x14ac:dyDescent="0.25">
      <c r="A1137">
        <v>2006</v>
      </c>
      <c r="B1137">
        <v>347</v>
      </c>
      <c r="C1137">
        <v>1900</v>
      </c>
      <c r="D1137">
        <v>-0.86199999999999999</v>
      </c>
      <c r="E1137">
        <v>-4.0490000000000004</v>
      </c>
      <c r="F1137">
        <v>11.59</v>
      </c>
      <c r="G1137">
        <v>11.99</v>
      </c>
      <c r="K1137">
        <v>4.7370000000000001</v>
      </c>
      <c r="L1137">
        <v>235.4</v>
      </c>
      <c r="M1137">
        <v>0</v>
      </c>
      <c r="O1137">
        <v>-11.5</v>
      </c>
      <c r="P1137">
        <v>-10.84</v>
      </c>
      <c r="Q1137">
        <v>7.44</v>
      </c>
      <c r="S1137">
        <v>5.6349999999999998</v>
      </c>
      <c r="T1137">
        <v>0</v>
      </c>
      <c r="U1137">
        <v>95.4</v>
      </c>
      <c r="V1137">
        <v>967</v>
      </c>
      <c r="W1137">
        <v>45.28</v>
      </c>
      <c r="Y1137">
        <v>12.9</v>
      </c>
    </row>
    <row r="1138" spans="1:25" x14ac:dyDescent="0.25">
      <c r="A1138">
        <v>2006</v>
      </c>
      <c r="B1138">
        <v>347</v>
      </c>
      <c r="C1138">
        <v>2000</v>
      </c>
      <c r="D1138">
        <v>-0.88900000000000001</v>
      </c>
      <c r="E1138">
        <v>-3.7210000000000001</v>
      </c>
      <c r="F1138">
        <v>11.78</v>
      </c>
      <c r="G1138">
        <v>12.19</v>
      </c>
      <c r="K1138">
        <v>5.0039999999999996</v>
      </c>
      <c r="L1138">
        <v>236.3</v>
      </c>
      <c r="M1138">
        <v>0.2</v>
      </c>
      <c r="O1138">
        <v>-11.5</v>
      </c>
      <c r="P1138">
        <v>-10.84</v>
      </c>
      <c r="Q1138">
        <v>7.55</v>
      </c>
      <c r="S1138">
        <v>5.7380000000000004</v>
      </c>
      <c r="T1138">
        <v>0</v>
      </c>
      <c r="U1138">
        <v>95.4</v>
      </c>
      <c r="V1138">
        <v>967</v>
      </c>
      <c r="W1138">
        <v>45.28</v>
      </c>
      <c r="Y1138">
        <v>12.9</v>
      </c>
    </row>
    <row r="1139" spans="1:25" x14ac:dyDescent="0.25">
      <c r="A1139">
        <v>2006</v>
      </c>
      <c r="B1139">
        <v>347</v>
      </c>
      <c r="C1139">
        <v>2100</v>
      </c>
      <c r="D1139">
        <v>-0.95599999999999996</v>
      </c>
      <c r="E1139">
        <v>-4.3609999999999998</v>
      </c>
      <c r="F1139">
        <v>11.91</v>
      </c>
      <c r="G1139">
        <v>12.33</v>
      </c>
      <c r="K1139">
        <v>5.3819999999999997</v>
      </c>
      <c r="L1139">
        <v>237.5</v>
      </c>
      <c r="M1139">
        <v>0</v>
      </c>
      <c r="O1139">
        <v>-11.5</v>
      </c>
      <c r="P1139">
        <v>-10.84</v>
      </c>
      <c r="Q1139">
        <v>7.67</v>
      </c>
      <c r="S1139">
        <v>5.8419999999999996</v>
      </c>
      <c r="T1139">
        <v>0</v>
      </c>
      <c r="U1139">
        <v>95.3</v>
      </c>
      <c r="V1139">
        <v>966</v>
      </c>
      <c r="W1139">
        <v>45.14</v>
      </c>
      <c r="Y1139">
        <v>12.89</v>
      </c>
    </row>
    <row r="1140" spans="1:25" x14ac:dyDescent="0.25">
      <c r="A1140">
        <v>2006</v>
      </c>
      <c r="B1140">
        <v>347</v>
      </c>
      <c r="C1140">
        <v>2200</v>
      </c>
      <c r="D1140">
        <v>-0.74</v>
      </c>
      <c r="E1140">
        <v>-4.0369999999999999</v>
      </c>
      <c r="F1140">
        <v>11.89</v>
      </c>
      <c r="G1140">
        <v>12.21</v>
      </c>
      <c r="K1140">
        <v>4.9649999999999999</v>
      </c>
      <c r="L1140">
        <v>235.3</v>
      </c>
      <c r="M1140">
        <v>0</v>
      </c>
      <c r="O1140">
        <v>-11.5</v>
      </c>
      <c r="P1140">
        <v>-10.84</v>
      </c>
      <c r="Q1140">
        <v>7.79</v>
      </c>
      <c r="S1140">
        <v>5.9379999999999997</v>
      </c>
      <c r="T1140">
        <v>0</v>
      </c>
      <c r="U1140">
        <v>96.3</v>
      </c>
      <c r="V1140">
        <v>965</v>
      </c>
      <c r="W1140">
        <v>45.11</v>
      </c>
      <c r="Y1140">
        <v>12.89</v>
      </c>
    </row>
    <row r="1141" spans="1:25" x14ac:dyDescent="0.25">
      <c r="A1141">
        <v>2006</v>
      </c>
      <c r="B1141">
        <v>347</v>
      </c>
      <c r="C1141">
        <v>2300</v>
      </c>
      <c r="D1141">
        <v>-0.79800000000000004</v>
      </c>
      <c r="E1141">
        <v>-3.5609999999999999</v>
      </c>
      <c r="F1141">
        <v>11.87</v>
      </c>
      <c r="G1141">
        <v>12.2</v>
      </c>
      <c r="K1141">
        <v>4.5439999999999996</v>
      </c>
      <c r="L1141">
        <v>231.8</v>
      </c>
      <c r="M1141">
        <v>0</v>
      </c>
      <c r="O1141">
        <v>-11.5</v>
      </c>
      <c r="P1141">
        <v>-10.84</v>
      </c>
      <c r="Q1141">
        <v>7.9</v>
      </c>
      <c r="S1141">
        <v>6.0270000000000001</v>
      </c>
      <c r="T1141">
        <v>0</v>
      </c>
      <c r="U1141">
        <v>96.3</v>
      </c>
      <c r="V1141">
        <v>965</v>
      </c>
      <c r="W1141">
        <v>45.06</v>
      </c>
      <c r="Y1141">
        <v>12.89</v>
      </c>
    </row>
    <row r="1142" spans="1:25" x14ac:dyDescent="0.25">
      <c r="A1142">
        <v>2006</v>
      </c>
      <c r="B1142">
        <v>347</v>
      </c>
      <c r="C1142">
        <v>2400</v>
      </c>
      <c r="D1142">
        <v>-1.069</v>
      </c>
      <c r="E1142">
        <v>-3.5950000000000002</v>
      </c>
      <c r="F1142">
        <v>11.96</v>
      </c>
      <c r="G1142">
        <v>12.38</v>
      </c>
      <c r="K1142">
        <v>4.6260000000000003</v>
      </c>
      <c r="L1142">
        <v>233.7</v>
      </c>
      <c r="M1142">
        <v>0</v>
      </c>
      <c r="O1142">
        <v>-11.5</v>
      </c>
      <c r="P1142">
        <v>-10.84</v>
      </c>
      <c r="Q1142">
        <v>8</v>
      </c>
      <c r="S1142">
        <v>6.1130000000000004</v>
      </c>
      <c r="T1142">
        <v>0</v>
      </c>
      <c r="U1142">
        <v>95.2</v>
      </c>
      <c r="V1142">
        <v>965</v>
      </c>
      <c r="W1142">
        <v>45.05</v>
      </c>
      <c r="Y1142">
        <v>12.89</v>
      </c>
    </row>
    <row r="1143" spans="1:25" x14ac:dyDescent="0.25">
      <c r="A1143">
        <v>2006</v>
      </c>
      <c r="B1143">
        <v>347</v>
      </c>
      <c r="C1143">
        <v>2400</v>
      </c>
      <c r="D1143">
        <v>6.577</v>
      </c>
      <c r="E1143">
        <v>0.79500000000000004</v>
      </c>
      <c r="F1143">
        <v>10.119999999999999</v>
      </c>
      <c r="G1143">
        <v>10.45</v>
      </c>
      <c r="K1143">
        <v>4.4429999999999996</v>
      </c>
      <c r="L1143">
        <v>228.2</v>
      </c>
      <c r="M1143">
        <v>4</v>
      </c>
      <c r="O1143">
        <v>-1.7969999999999999</v>
      </c>
      <c r="P1143">
        <v>-8.83</v>
      </c>
      <c r="Q1143">
        <v>6.2279999999999998</v>
      </c>
      <c r="S1143">
        <v>5.0890000000000004</v>
      </c>
      <c r="T1143">
        <v>0</v>
      </c>
      <c r="U1143">
        <v>96.1</v>
      </c>
      <c r="V1143">
        <v>965</v>
      </c>
      <c r="W1143">
        <v>45.12</v>
      </c>
      <c r="Y1143">
        <v>12.92</v>
      </c>
    </row>
    <row r="1144" spans="1:25" x14ac:dyDescent="0.25">
      <c r="A1144">
        <v>2006</v>
      </c>
      <c r="B1144">
        <v>348</v>
      </c>
      <c r="C1144">
        <v>100</v>
      </c>
      <c r="D1144">
        <v>-1.077</v>
      </c>
      <c r="E1144">
        <v>-3.2109999999999999</v>
      </c>
      <c r="F1144">
        <v>11.99</v>
      </c>
      <c r="G1144">
        <v>12.31</v>
      </c>
      <c r="K1144">
        <v>4.1479999999999997</v>
      </c>
      <c r="L1144">
        <v>231.7</v>
      </c>
      <c r="M1144">
        <v>0</v>
      </c>
      <c r="O1144">
        <v>-11.5</v>
      </c>
      <c r="P1144">
        <v>-10.84</v>
      </c>
      <c r="Q1144">
        <v>8.1</v>
      </c>
      <c r="S1144">
        <v>6.2050000000000001</v>
      </c>
      <c r="T1144">
        <v>0</v>
      </c>
      <c r="U1144">
        <v>96.4</v>
      </c>
      <c r="V1144">
        <v>964</v>
      </c>
      <c r="W1144">
        <v>45</v>
      </c>
      <c r="Y1144">
        <v>12.88</v>
      </c>
    </row>
    <row r="1145" spans="1:25" x14ac:dyDescent="0.25">
      <c r="A1145">
        <v>2006</v>
      </c>
      <c r="B1145">
        <v>348</v>
      </c>
      <c r="C1145">
        <v>200</v>
      </c>
      <c r="D1145">
        <v>-1.1479999999999999</v>
      </c>
      <c r="E1145">
        <v>-3.7069999999999999</v>
      </c>
      <c r="F1145">
        <v>12.05</v>
      </c>
      <c r="G1145">
        <v>12.45</v>
      </c>
      <c r="K1145">
        <v>4.5359999999999996</v>
      </c>
      <c r="L1145">
        <v>235.1</v>
      </c>
      <c r="M1145">
        <v>0</v>
      </c>
      <c r="O1145">
        <v>-11.5</v>
      </c>
      <c r="P1145">
        <v>-10.84</v>
      </c>
      <c r="Q1145">
        <v>8.19</v>
      </c>
      <c r="S1145">
        <v>6.2949999999999999</v>
      </c>
      <c r="T1145">
        <v>0</v>
      </c>
      <c r="U1145">
        <v>95.5</v>
      </c>
      <c r="V1145">
        <v>964</v>
      </c>
      <c r="W1145">
        <v>44.96</v>
      </c>
      <c r="Y1145">
        <v>12.88</v>
      </c>
    </row>
    <row r="1146" spans="1:25" x14ac:dyDescent="0.25">
      <c r="A1146">
        <v>2006</v>
      </c>
      <c r="B1146">
        <v>348</v>
      </c>
      <c r="C1146">
        <v>300</v>
      </c>
      <c r="D1146">
        <v>-0.96899999999999997</v>
      </c>
      <c r="E1146">
        <v>-3.4260000000000002</v>
      </c>
      <c r="F1146">
        <v>12.12</v>
      </c>
      <c r="G1146">
        <v>12.48</v>
      </c>
      <c r="K1146">
        <v>4.524</v>
      </c>
      <c r="L1146">
        <v>236.9</v>
      </c>
      <c r="M1146">
        <v>0</v>
      </c>
      <c r="O1146">
        <v>-11.5</v>
      </c>
      <c r="P1146">
        <v>-10.84</v>
      </c>
      <c r="Q1146">
        <v>8.2799999999999994</v>
      </c>
      <c r="S1146">
        <v>6.3710000000000004</v>
      </c>
      <c r="T1146">
        <v>0</v>
      </c>
      <c r="U1146">
        <v>95.9</v>
      </c>
      <c r="V1146">
        <v>964</v>
      </c>
      <c r="W1146">
        <v>44.94</v>
      </c>
      <c r="Y1146">
        <v>12.88</v>
      </c>
    </row>
    <row r="1147" spans="1:25" x14ac:dyDescent="0.25">
      <c r="A1147">
        <v>2006</v>
      </c>
      <c r="B1147">
        <v>348</v>
      </c>
      <c r="C1147">
        <v>400</v>
      </c>
      <c r="D1147">
        <v>-0.60099999999999998</v>
      </c>
      <c r="E1147">
        <v>-2.956</v>
      </c>
      <c r="F1147">
        <v>12.09</v>
      </c>
      <c r="G1147">
        <v>12.38</v>
      </c>
      <c r="K1147">
        <v>4.4219999999999997</v>
      </c>
      <c r="L1147">
        <v>232.5</v>
      </c>
      <c r="M1147">
        <v>0.4</v>
      </c>
      <c r="O1147">
        <v>-11.5</v>
      </c>
      <c r="P1147">
        <v>-10.84</v>
      </c>
      <c r="Q1147">
        <v>8.36</v>
      </c>
      <c r="S1147">
        <v>6.4329999999999998</v>
      </c>
      <c r="T1147">
        <v>0</v>
      </c>
      <c r="U1147">
        <v>96.7</v>
      </c>
      <c r="V1147">
        <v>964</v>
      </c>
      <c r="W1147">
        <v>45</v>
      </c>
      <c r="Y1147">
        <v>12.88</v>
      </c>
    </row>
    <row r="1148" spans="1:25" x14ac:dyDescent="0.25">
      <c r="A1148">
        <v>2006</v>
      </c>
      <c r="B1148">
        <v>348</v>
      </c>
      <c r="C1148">
        <v>500</v>
      </c>
      <c r="D1148">
        <v>0.39900000000000002</v>
      </c>
      <c r="E1148">
        <v>-3.331</v>
      </c>
      <c r="F1148">
        <v>10.07</v>
      </c>
      <c r="G1148">
        <v>10.220000000000001</v>
      </c>
      <c r="K1148">
        <v>4.2629999999999999</v>
      </c>
      <c r="L1148">
        <v>261.10000000000002</v>
      </c>
      <c r="M1148">
        <v>4</v>
      </c>
      <c r="O1148">
        <v>-11.5</v>
      </c>
      <c r="P1148">
        <v>-10.84</v>
      </c>
      <c r="Q1148">
        <v>8.42</v>
      </c>
      <c r="S1148">
        <v>6.516</v>
      </c>
      <c r="T1148">
        <v>0</v>
      </c>
      <c r="U1148">
        <v>98.2</v>
      </c>
      <c r="V1148">
        <v>965</v>
      </c>
      <c r="W1148">
        <v>45.1</v>
      </c>
      <c r="Y1148">
        <v>12.88</v>
      </c>
    </row>
    <row r="1149" spans="1:25" x14ac:dyDescent="0.25">
      <c r="A1149">
        <v>2006</v>
      </c>
      <c r="B1149">
        <v>348</v>
      </c>
      <c r="C1149">
        <v>600</v>
      </c>
      <c r="D1149">
        <v>-0.45800000000000002</v>
      </c>
      <c r="E1149">
        <v>-6.2309999999999999</v>
      </c>
      <c r="F1149">
        <v>8.6199999999999992</v>
      </c>
      <c r="G1149">
        <v>8.84</v>
      </c>
      <c r="K1149">
        <v>2.8620000000000001</v>
      </c>
      <c r="L1149">
        <v>266.89999999999998</v>
      </c>
      <c r="M1149">
        <v>0.4</v>
      </c>
      <c r="O1149">
        <v>-11.5</v>
      </c>
      <c r="P1149">
        <v>-10.84</v>
      </c>
      <c r="Q1149">
        <v>8.5</v>
      </c>
      <c r="S1149">
        <v>6.6139999999999999</v>
      </c>
      <c r="T1149">
        <v>0</v>
      </c>
      <c r="U1149">
        <v>97.1</v>
      </c>
      <c r="V1149">
        <v>966</v>
      </c>
      <c r="W1149">
        <v>45.16</v>
      </c>
      <c r="Y1149">
        <v>12.88</v>
      </c>
    </row>
    <row r="1150" spans="1:25" x14ac:dyDescent="0.25">
      <c r="A1150">
        <v>2006</v>
      </c>
      <c r="B1150">
        <v>348</v>
      </c>
      <c r="C1150">
        <v>700</v>
      </c>
      <c r="D1150">
        <v>-0.38300000000000001</v>
      </c>
      <c r="E1150">
        <v>-9.4</v>
      </c>
      <c r="F1150">
        <v>8.39</v>
      </c>
      <c r="G1150">
        <v>8.8699999999999992</v>
      </c>
      <c r="K1150">
        <v>2.484</v>
      </c>
      <c r="L1150">
        <v>247.7</v>
      </c>
      <c r="M1150">
        <v>0.2</v>
      </c>
      <c r="O1150">
        <v>-11.5</v>
      </c>
      <c r="P1150">
        <v>-10.84</v>
      </c>
      <c r="Q1150">
        <v>8.43</v>
      </c>
      <c r="S1150">
        <v>6.6719999999999997</v>
      </c>
      <c r="T1150">
        <v>0</v>
      </c>
      <c r="U1150">
        <v>93.9</v>
      </c>
      <c r="V1150">
        <v>967</v>
      </c>
      <c r="W1150">
        <v>45.28</v>
      </c>
      <c r="Y1150">
        <v>12.87</v>
      </c>
    </row>
    <row r="1151" spans="1:25" x14ac:dyDescent="0.25">
      <c r="A1151">
        <v>2006</v>
      </c>
      <c r="B1151">
        <v>348</v>
      </c>
      <c r="C1151">
        <v>800</v>
      </c>
      <c r="D1151">
        <v>-0.55200000000000005</v>
      </c>
      <c r="E1151">
        <v>-11.26</v>
      </c>
      <c r="F1151">
        <v>8.08</v>
      </c>
      <c r="G1151">
        <v>8.7899999999999991</v>
      </c>
      <c r="K1151">
        <v>2.9990000000000001</v>
      </c>
      <c r="L1151">
        <v>235.1</v>
      </c>
      <c r="M1151">
        <v>0</v>
      </c>
      <c r="O1151">
        <v>-11.5</v>
      </c>
      <c r="P1151">
        <v>-10.85</v>
      </c>
      <c r="Q1151">
        <v>8.33</v>
      </c>
      <c r="S1151">
        <v>6.73</v>
      </c>
      <c r="T1151">
        <v>0</v>
      </c>
      <c r="U1151">
        <v>91.1</v>
      </c>
      <c r="V1151">
        <v>968</v>
      </c>
      <c r="W1151">
        <v>45.37</v>
      </c>
      <c r="Y1151">
        <v>12.87</v>
      </c>
    </row>
    <row r="1152" spans="1:25" x14ac:dyDescent="0.25">
      <c r="A1152">
        <v>2006</v>
      </c>
      <c r="B1152">
        <v>348</v>
      </c>
      <c r="C1152">
        <v>900</v>
      </c>
      <c r="D1152">
        <v>0.441</v>
      </c>
      <c r="E1152">
        <v>-12.97</v>
      </c>
      <c r="F1152">
        <v>7.83</v>
      </c>
      <c r="G1152">
        <v>8.68</v>
      </c>
      <c r="H1152">
        <f>AVERAGE(G1152:G1176)</f>
        <v>6.6679199999999987</v>
      </c>
      <c r="I1152">
        <f>MIN(G1152:G1176)</f>
        <v>5.52</v>
      </c>
      <c r="J1152">
        <f>MAX(G1152:G1176)</f>
        <v>8.69</v>
      </c>
      <c r="K1152">
        <v>3.6040000000000001</v>
      </c>
      <c r="L1152">
        <v>240.8</v>
      </c>
      <c r="M1152">
        <v>0</v>
      </c>
      <c r="N1152">
        <f>SUM(M1152:M1176)</f>
        <v>19</v>
      </c>
      <c r="O1152">
        <v>-9.74</v>
      </c>
      <c r="P1152">
        <v>-10.46</v>
      </c>
      <c r="Q1152">
        <v>8.2100000000000009</v>
      </c>
      <c r="S1152">
        <v>6.7389999999999999</v>
      </c>
      <c r="T1152">
        <v>0</v>
      </c>
      <c r="U1152">
        <v>89.3</v>
      </c>
      <c r="V1152">
        <v>968</v>
      </c>
      <c r="W1152">
        <v>45.39</v>
      </c>
      <c r="Y1152">
        <v>12.87</v>
      </c>
    </row>
    <row r="1153" spans="1:25" x14ac:dyDescent="0.25">
      <c r="A1153">
        <v>2006</v>
      </c>
      <c r="B1153">
        <v>348</v>
      </c>
      <c r="C1153">
        <v>1000</v>
      </c>
      <c r="D1153">
        <v>28.87</v>
      </c>
      <c r="E1153">
        <v>8.6199999999999992</v>
      </c>
      <c r="F1153">
        <v>8.0299999999999994</v>
      </c>
      <c r="G1153">
        <v>8.69</v>
      </c>
      <c r="K1153">
        <v>3.5510000000000002</v>
      </c>
      <c r="L1153">
        <v>243.2</v>
      </c>
      <c r="M1153">
        <v>0</v>
      </c>
      <c r="O1153">
        <v>27.43</v>
      </c>
      <c r="P1153">
        <v>-2.8079999999999998</v>
      </c>
      <c r="Q1153">
        <v>8.1</v>
      </c>
      <c r="S1153">
        <v>6.7389999999999999</v>
      </c>
      <c r="T1153">
        <v>0</v>
      </c>
      <c r="U1153">
        <v>91.7</v>
      </c>
      <c r="V1153">
        <v>967</v>
      </c>
      <c r="W1153">
        <v>45.31</v>
      </c>
      <c r="Y1153">
        <v>12.91</v>
      </c>
    </row>
    <row r="1154" spans="1:25" x14ac:dyDescent="0.25">
      <c r="A1154">
        <v>2006</v>
      </c>
      <c r="B1154">
        <v>348</v>
      </c>
      <c r="C1154">
        <v>1100</v>
      </c>
      <c r="D1154">
        <v>44.62</v>
      </c>
      <c r="E1154">
        <v>21.47</v>
      </c>
      <c r="F1154">
        <v>8</v>
      </c>
      <c r="G1154">
        <v>8.4499999999999993</v>
      </c>
      <c r="K1154">
        <v>3.5550000000000002</v>
      </c>
      <c r="L1154">
        <v>250</v>
      </c>
      <c r="M1154">
        <v>0.2</v>
      </c>
      <c r="O1154">
        <v>48.81</v>
      </c>
      <c r="P1154">
        <v>0.67300000000000004</v>
      </c>
      <c r="Q1154">
        <v>8.01</v>
      </c>
      <c r="S1154">
        <v>6.74</v>
      </c>
      <c r="T1154">
        <v>0</v>
      </c>
      <c r="U1154">
        <v>94.3</v>
      </c>
      <c r="V1154">
        <v>968</v>
      </c>
      <c r="W1154">
        <v>45.36</v>
      </c>
      <c r="Y1154">
        <v>13.01</v>
      </c>
    </row>
    <row r="1155" spans="1:25" x14ac:dyDescent="0.25">
      <c r="A1155">
        <v>2006</v>
      </c>
      <c r="B1155">
        <v>348</v>
      </c>
      <c r="C1155">
        <v>1200</v>
      </c>
      <c r="D1155">
        <v>63.18</v>
      </c>
      <c r="E1155">
        <v>31.15</v>
      </c>
      <c r="F1155">
        <v>7.71</v>
      </c>
      <c r="G1155">
        <v>8.32</v>
      </c>
      <c r="K1155">
        <v>3.15</v>
      </c>
      <c r="L1155">
        <v>248.6</v>
      </c>
      <c r="M1155">
        <v>0</v>
      </c>
      <c r="O1155">
        <v>72.3</v>
      </c>
      <c r="P1155">
        <v>5.16</v>
      </c>
      <c r="Q1155">
        <v>7.99</v>
      </c>
      <c r="S1155">
        <v>6.7240000000000002</v>
      </c>
      <c r="T1155">
        <v>0</v>
      </c>
      <c r="U1155">
        <v>92.1</v>
      </c>
      <c r="V1155">
        <v>969</v>
      </c>
      <c r="W1155">
        <v>45.45</v>
      </c>
      <c r="Y1155">
        <v>13.35</v>
      </c>
    </row>
    <row r="1156" spans="1:25" x14ac:dyDescent="0.25">
      <c r="A1156">
        <v>2006</v>
      </c>
      <c r="B1156">
        <v>348</v>
      </c>
      <c r="C1156">
        <v>1300</v>
      </c>
      <c r="D1156">
        <v>40.19</v>
      </c>
      <c r="E1156">
        <v>16</v>
      </c>
      <c r="F1156">
        <v>7.3</v>
      </c>
      <c r="G1156">
        <v>7.71</v>
      </c>
      <c r="K1156">
        <v>2.6</v>
      </c>
      <c r="L1156">
        <v>255.3</v>
      </c>
      <c r="M1156">
        <v>0.8</v>
      </c>
      <c r="O1156">
        <v>44.41</v>
      </c>
      <c r="P1156">
        <v>0.30499999999999999</v>
      </c>
      <c r="Q1156">
        <v>8</v>
      </c>
      <c r="S1156">
        <v>6.6719999999999997</v>
      </c>
      <c r="T1156">
        <v>0</v>
      </c>
      <c r="U1156">
        <v>94.7</v>
      </c>
      <c r="V1156">
        <v>968</v>
      </c>
      <c r="W1156">
        <v>45.41</v>
      </c>
      <c r="Y1156">
        <v>13.28</v>
      </c>
    </row>
    <row r="1157" spans="1:25" x14ac:dyDescent="0.25">
      <c r="A1157">
        <v>2006</v>
      </c>
      <c r="B1157">
        <v>348</v>
      </c>
      <c r="C1157">
        <v>1400</v>
      </c>
      <c r="D1157">
        <v>30.12</v>
      </c>
      <c r="E1157">
        <v>13.72</v>
      </c>
      <c r="F1157">
        <v>7.03</v>
      </c>
      <c r="G1157">
        <v>6.9269999999999996</v>
      </c>
      <c r="K1157">
        <v>2.0070000000000001</v>
      </c>
      <c r="L1157">
        <v>262.8</v>
      </c>
      <c r="M1157">
        <v>1.2</v>
      </c>
      <c r="O1157">
        <v>30.81</v>
      </c>
      <c r="P1157">
        <v>-1.841</v>
      </c>
      <c r="Q1157">
        <v>8.01</v>
      </c>
      <c r="S1157">
        <v>6.6959999999999997</v>
      </c>
      <c r="T1157">
        <v>0</v>
      </c>
      <c r="U1157">
        <v>101.5</v>
      </c>
      <c r="V1157">
        <v>969</v>
      </c>
      <c r="W1157">
        <v>45.44</v>
      </c>
      <c r="Y1157">
        <v>13.21</v>
      </c>
    </row>
    <row r="1158" spans="1:25" x14ac:dyDescent="0.25">
      <c r="A1158">
        <v>2006</v>
      </c>
      <c r="B1158">
        <v>348</v>
      </c>
      <c r="C1158">
        <v>1500</v>
      </c>
      <c r="D1158">
        <v>19.989999999999998</v>
      </c>
      <c r="E1158">
        <v>7.28</v>
      </c>
      <c r="F1158">
        <v>6.3879999999999999</v>
      </c>
      <c r="G1158">
        <v>6.3019999999999996</v>
      </c>
      <c r="K1158">
        <v>1.845</v>
      </c>
      <c r="L1158">
        <v>271.7</v>
      </c>
      <c r="M1158">
        <v>1.6</v>
      </c>
      <c r="O1158">
        <v>17.7</v>
      </c>
      <c r="P1158">
        <v>-4.5430000000000001</v>
      </c>
      <c r="Q1158">
        <v>7.99</v>
      </c>
      <c r="S1158">
        <v>6.7309999999999999</v>
      </c>
      <c r="T1158">
        <v>0</v>
      </c>
      <c r="U1158">
        <v>101.2</v>
      </c>
      <c r="V1158">
        <v>971</v>
      </c>
      <c r="W1158">
        <v>45.73</v>
      </c>
      <c r="Y1158">
        <v>13.11</v>
      </c>
    </row>
    <row r="1159" spans="1:25" x14ac:dyDescent="0.25">
      <c r="A1159">
        <v>2006</v>
      </c>
      <c r="B1159">
        <v>348</v>
      </c>
      <c r="C1159">
        <v>1600</v>
      </c>
      <c r="D1159">
        <v>3.9980000000000002</v>
      </c>
      <c r="E1159">
        <v>-3.3159999999999998</v>
      </c>
      <c r="F1159">
        <v>6.0910000000000002</v>
      </c>
      <c r="G1159">
        <v>6.0940000000000003</v>
      </c>
      <c r="K1159">
        <v>1.0740000000000001</v>
      </c>
      <c r="L1159">
        <v>264.60000000000002</v>
      </c>
      <c r="M1159">
        <v>2</v>
      </c>
      <c r="O1159">
        <v>-5.0179999999999998</v>
      </c>
      <c r="P1159">
        <v>-9.25</v>
      </c>
      <c r="Q1159">
        <v>7.9</v>
      </c>
      <c r="S1159">
        <v>6.7309999999999999</v>
      </c>
      <c r="T1159">
        <v>0</v>
      </c>
      <c r="U1159">
        <v>99.9</v>
      </c>
      <c r="V1159">
        <v>979</v>
      </c>
      <c r="W1159">
        <v>46.52</v>
      </c>
      <c r="Y1159">
        <v>13.05</v>
      </c>
    </row>
    <row r="1160" spans="1:25" x14ac:dyDescent="0.25">
      <c r="A1160">
        <v>2006</v>
      </c>
      <c r="B1160">
        <v>348</v>
      </c>
      <c r="C1160">
        <v>1700</v>
      </c>
      <c r="D1160">
        <v>-0.20699999999999999</v>
      </c>
      <c r="E1160">
        <v>-5.766</v>
      </c>
      <c r="F1160">
        <v>6.2030000000000003</v>
      </c>
      <c r="G1160">
        <v>6.218</v>
      </c>
      <c r="K1160">
        <v>1.802</v>
      </c>
      <c r="L1160">
        <v>245.5</v>
      </c>
      <c r="M1160">
        <v>0.8</v>
      </c>
      <c r="O1160">
        <v>-11.25</v>
      </c>
      <c r="P1160">
        <v>-10.74</v>
      </c>
      <c r="Q1160">
        <v>7.81</v>
      </c>
      <c r="S1160">
        <v>6.7089999999999996</v>
      </c>
      <c r="T1160">
        <v>0</v>
      </c>
      <c r="U1160">
        <v>99.8</v>
      </c>
      <c r="V1160">
        <v>987</v>
      </c>
      <c r="W1160">
        <v>47.4</v>
      </c>
      <c r="Y1160">
        <v>13</v>
      </c>
    </row>
    <row r="1161" spans="1:25" x14ac:dyDescent="0.25">
      <c r="A1161">
        <v>2006</v>
      </c>
      <c r="B1161">
        <v>348</v>
      </c>
      <c r="C1161">
        <v>1800</v>
      </c>
      <c r="D1161">
        <v>-0.56200000000000006</v>
      </c>
      <c r="E1161">
        <v>-8.65</v>
      </c>
      <c r="F1161">
        <v>5.9390000000000001</v>
      </c>
      <c r="G1161">
        <v>6.0339999999999998</v>
      </c>
      <c r="K1161">
        <v>1.798</v>
      </c>
      <c r="L1161">
        <v>238.5</v>
      </c>
      <c r="M1161">
        <v>0.4</v>
      </c>
      <c r="O1161">
        <v>-11.5</v>
      </c>
      <c r="P1161">
        <v>-10.83</v>
      </c>
      <c r="Q1161">
        <v>7.69</v>
      </c>
      <c r="S1161">
        <v>6.6360000000000001</v>
      </c>
      <c r="T1161">
        <v>0</v>
      </c>
      <c r="U1161">
        <v>98.7</v>
      </c>
      <c r="V1161">
        <v>987</v>
      </c>
      <c r="W1161">
        <v>47.42</v>
      </c>
      <c r="Y1161">
        <v>12.96</v>
      </c>
    </row>
    <row r="1162" spans="1:25" x14ac:dyDescent="0.25">
      <c r="A1162">
        <v>2006</v>
      </c>
      <c r="B1162">
        <v>348</v>
      </c>
      <c r="C1162">
        <v>1900</v>
      </c>
      <c r="D1162">
        <v>-0.57299999999999995</v>
      </c>
      <c r="E1162">
        <v>-11</v>
      </c>
      <c r="F1162">
        <v>5.89</v>
      </c>
      <c r="G1162">
        <v>6.0960000000000001</v>
      </c>
      <c r="K1162">
        <v>2.36</v>
      </c>
      <c r="L1162">
        <v>239.6</v>
      </c>
      <c r="M1162">
        <v>0</v>
      </c>
      <c r="O1162">
        <v>-11.5</v>
      </c>
      <c r="P1162">
        <v>-10.83</v>
      </c>
      <c r="Q1162">
        <v>7.56</v>
      </c>
      <c r="S1162">
        <v>6.6230000000000002</v>
      </c>
      <c r="T1162">
        <v>0</v>
      </c>
      <c r="U1162">
        <v>97.1</v>
      </c>
      <c r="V1162">
        <v>981</v>
      </c>
      <c r="W1162">
        <v>46.77</v>
      </c>
      <c r="Y1162">
        <v>12.93</v>
      </c>
    </row>
    <row r="1163" spans="1:25" x14ac:dyDescent="0.25">
      <c r="A1163">
        <v>2006</v>
      </c>
      <c r="B1163">
        <v>348</v>
      </c>
      <c r="C1163">
        <v>2000</v>
      </c>
      <c r="D1163">
        <v>-0.56799999999999995</v>
      </c>
      <c r="E1163">
        <v>-12.16</v>
      </c>
      <c r="F1163">
        <v>5.8109999999999999</v>
      </c>
      <c r="G1163">
        <v>6.2</v>
      </c>
      <c r="K1163">
        <v>2.9870000000000001</v>
      </c>
      <c r="L1163">
        <v>245.4</v>
      </c>
      <c r="M1163">
        <v>0</v>
      </c>
      <c r="O1163">
        <v>-11.5</v>
      </c>
      <c r="P1163">
        <v>-10.83</v>
      </c>
      <c r="Q1163">
        <v>7.44</v>
      </c>
      <c r="S1163">
        <v>6.6230000000000002</v>
      </c>
      <c r="T1163">
        <v>0</v>
      </c>
      <c r="U1163">
        <v>94.6</v>
      </c>
      <c r="V1163">
        <v>988</v>
      </c>
      <c r="W1163">
        <v>47.53</v>
      </c>
      <c r="Y1163">
        <v>12.9</v>
      </c>
    </row>
    <row r="1164" spans="1:25" x14ac:dyDescent="0.25">
      <c r="A1164">
        <v>2006</v>
      </c>
      <c r="B1164">
        <v>348</v>
      </c>
      <c r="C1164">
        <v>2100</v>
      </c>
      <c r="D1164">
        <v>-0.57299999999999995</v>
      </c>
      <c r="E1164">
        <v>-9.3800000000000008</v>
      </c>
      <c r="F1164">
        <v>5.8310000000000004</v>
      </c>
      <c r="G1164">
        <v>6.2560000000000002</v>
      </c>
      <c r="K1164">
        <v>2.891</v>
      </c>
      <c r="L1164">
        <v>250</v>
      </c>
      <c r="M1164">
        <v>0</v>
      </c>
      <c r="O1164">
        <v>-11.5</v>
      </c>
      <c r="P1164">
        <v>-10.84</v>
      </c>
      <c r="Q1164">
        <v>7.33</v>
      </c>
      <c r="S1164">
        <v>6.5430000000000001</v>
      </c>
      <c r="T1164">
        <v>0</v>
      </c>
      <c r="U1164">
        <v>94.1</v>
      </c>
      <c r="V1164">
        <v>986</v>
      </c>
      <c r="W1164">
        <v>47.36</v>
      </c>
      <c r="Y1164">
        <v>12.89</v>
      </c>
    </row>
    <row r="1165" spans="1:25" x14ac:dyDescent="0.25">
      <c r="A1165">
        <v>2006</v>
      </c>
      <c r="B1165">
        <v>348</v>
      </c>
      <c r="C1165">
        <v>2200</v>
      </c>
      <c r="D1165">
        <v>-0.86099999999999999</v>
      </c>
      <c r="E1165">
        <v>-9.11</v>
      </c>
      <c r="F1165">
        <v>5.9740000000000002</v>
      </c>
      <c r="G1165">
        <v>6.3949999999999996</v>
      </c>
      <c r="K1165">
        <v>2.6269999999999998</v>
      </c>
      <c r="L1165">
        <v>250.3</v>
      </c>
      <c r="M1165">
        <v>0</v>
      </c>
      <c r="O1165">
        <v>-11.5</v>
      </c>
      <c r="P1165">
        <v>-10.83</v>
      </c>
      <c r="Q1165">
        <v>7.23</v>
      </c>
      <c r="S1165">
        <v>6.5149999999999997</v>
      </c>
      <c r="T1165">
        <v>0</v>
      </c>
      <c r="U1165">
        <v>94.2</v>
      </c>
      <c r="V1165">
        <v>984</v>
      </c>
      <c r="W1165">
        <v>47.06</v>
      </c>
      <c r="Y1165">
        <v>12.87</v>
      </c>
    </row>
    <row r="1166" spans="1:25" x14ac:dyDescent="0.25">
      <c r="A1166">
        <v>2006</v>
      </c>
      <c r="B1166">
        <v>348</v>
      </c>
      <c r="C1166">
        <v>2300</v>
      </c>
      <c r="D1166">
        <v>-1.1359999999999999</v>
      </c>
      <c r="E1166">
        <v>-15.78</v>
      </c>
      <c r="F1166">
        <v>5.8879999999999999</v>
      </c>
      <c r="G1166">
        <v>6.2960000000000003</v>
      </c>
      <c r="K1166">
        <v>2.5009999999999999</v>
      </c>
      <c r="L1166">
        <v>242</v>
      </c>
      <c r="M1166">
        <v>0</v>
      </c>
      <c r="O1166">
        <v>-11.5</v>
      </c>
      <c r="P1166">
        <v>-10.82</v>
      </c>
      <c r="Q1166">
        <v>7.15</v>
      </c>
      <c r="S1166">
        <v>6.4720000000000004</v>
      </c>
      <c r="T1166">
        <v>0</v>
      </c>
      <c r="U1166">
        <v>94.3</v>
      </c>
      <c r="V1166">
        <v>984</v>
      </c>
      <c r="W1166">
        <v>47.08</v>
      </c>
      <c r="Y1166">
        <v>12.86</v>
      </c>
    </row>
    <row r="1167" spans="1:25" x14ac:dyDescent="0.25">
      <c r="A1167">
        <v>2006</v>
      </c>
      <c r="B1167">
        <v>348</v>
      </c>
      <c r="C1167">
        <v>2400</v>
      </c>
      <c r="D1167">
        <v>-1.1459999999999999</v>
      </c>
      <c r="E1167">
        <v>-17.54</v>
      </c>
      <c r="F1167">
        <v>5.7320000000000002</v>
      </c>
      <c r="G1167">
        <v>6.2220000000000004</v>
      </c>
      <c r="K1167">
        <v>2.6019999999999999</v>
      </c>
      <c r="L1167">
        <v>236</v>
      </c>
      <c r="M1167">
        <v>0</v>
      </c>
      <c r="O1167">
        <v>-11.49</v>
      </c>
      <c r="P1167">
        <v>-10.82</v>
      </c>
      <c r="Q1167">
        <v>7.06</v>
      </c>
      <c r="S1167">
        <v>6.4059999999999997</v>
      </c>
      <c r="T1167">
        <v>0</v>
      </c>
      <c r="U1167">
        <v>93.2</v>
      </c>
      <c r="V1167">
        <v>988</v>
      </c>
      <c r="W1167">
        <v>47.5</v>
      </c>
      <c r="Y1167">
        <v>12.86</v>
      </c>
    </row>
    <row r="1168" spans="1:25" x14ac:dyDescent="0.25">
      <c r="A1168">
        <v>2006</v>
      </c>
      <c r="B1168">
        <v>348</v>
      </c>
      <c r="C1168">
        <v>2400</v>
      </c>
      <c r="D1168">
        <v>9.2100000000000009</v>
      </c>
      <c r="E1168">
        <v>-2.1230000000000002</v>
      </c>
      <c r="F1168">
        <v>7.88</v>
      </c>
      <c r="G1168">
        <v>8.2200000000000006</v>
      </c>
      <c r="K1168">
        <v>2.9660000000000002</v>
      </c>
      <c r="L1168">
        <v>247.2</v>
      </c>
      <c r="M1168">
        <v>12</v>
      </c>
      <c r="O1168">
        <v>1.792</v>
      </c>
      <c r="P1168">
        <v>-8.17</v>
      </c>
      <c r="Q1168">
        <v>7.92</v>
      </c>
      <c r="S1168">
        <v>6.5890000000000004</v>
      </c>
      <c r="T1168">
        <v>0</v>
      </c>
      <c r="U1168">
        <v>95.6</v>
      </c>
      <c r="V1168">
        <v>974</v>
      </c>
      <c r="W1168">
        <v>45.98</v>
      </c>
      <c r="Y1168">
        <v>12.96</v>
      </c>
    </row>
    <row r="1169" spans="1:25" x14ac:dyDescent="0.25">
      <c r="A1169">
        <v>2006</v>
      </c>
      <c r="B1169">
        <v>349</v>
      </c>
      <c r="C1169">
        <v>100</v>
      </c>
      <c r="D1169">
        <v>-1.1459999999999999</v>
      </c>
      <c r="E1169">
        <v>-14.76</v>
      </c>
      <c r="F1169">
        <v>5.532</v>
      </c>
      <c r="G1169">
        <v>6.2519999999999998</v>
      </c>
      <c r="K1169">
        <v>2.14</v>
      </c>
      <c r="L1169">
        <v>241.4</v>
      </c>
      <c r="M1169">
        <v>0</v>
      </c>
      <c r="O1169">
        <v>-11.5</v>
      </c>
      <c r="P1169">
        <v>-10.81</v>
      </c>
      <c r="Q1169">
        <v>6.9619999999999997</v>
      </c>
      <c r="S1169">
        <v>6.3780000000000001</v>
      </c>
      <c r="T1169">
        <v>0</v>
      </c>
      <c r="U1169">
        <v>90</v>
      </c>
      <c r="V1169">
        <v>980</v>
      </c>
      <c r="W1169">
        <v>46.64</v>
      </c>
      <c r="Y1169">
        <v>12.85</v>
      </c>
    </row>
    <row r="1170" spans="1:25" x14ac:dyDescent="0.25">
      <c r="A1170">
        <v>2006</v>
      </c>
      <c r="B1170">
        <v>349</v>
      </c>
      <c r="C1170">
        <v>200</v>
      </c>
      <c r="D1170">
        <v>-1.0389999999999999</v>
      </c>
      <c r="E1170">
        <v>-12.36</v>
      </c>
      <c r="F1170">
        <v>5.532</v>
      </c>
      <c r="G1170">
        <v>6.3289999999999997</v>
      </c>
      <c r="K1170">
        <v>2.5529999999999999</v>
      </c>
      <c r="L1170">
        <v>236.9</v>
      </c>
      <c r="M1170">
        <v>0</v>
      </c>
      <c r="O1170">
        <v>-11.49</v>
      </c>
      <c r="P1170">
        <v>-10.81</v>
      </c>
      <c r="Q1170">
        <v>6.8630000000000004</v>
      </c>
      <c r="S1170">
        <v>6.2969999999999997</v>
      </c>
      <c r="T1170">
        <v>0</v>
      </c>
      <c r="U1170">
        <v>89</v>
      </c>
      <c r="V1170">
        <v>971</v>
      </c>
      <c r="W1170">
        <v>45.72</v>
      </c>
      <c r="Y1170">
        <v>12.85</v>
      </c>
    </row>
    <row r="1171" spans="1:25" x14ac:dyDescent="0.25">
      <c r="A1171">
        <v>2006</v>
      </c>
      <c r="B1171">
        <v>349</v>
      </c>
      <c r="C1171">
        <v>300</v>
      </c>
      <c r="D1171">
        <v>-1.1359999999999999</v>
      </c>
      <c r="E1171">
        <v>-15.18</v>
      </c>
      <c r="F1171">
        <v>5.45</v>
      </c>
      <c r="G1171">
        <v>6.2439999999999998</v>
      </c>
      <c r="K1171">
        <v>2.468</v>
      </c>
      <c r="L1171">
        <v>233.1</v>
      </c>
      <c r="M1171">
        <v>0</v>
      </c>
      <c r="O1171">
        <v>-11.49</v>
      </c>
      <c r="P1171">
        <v>-10.77</v>
      </c>
      <c r="Q1171">
        <v>6.7789999999999999</v>
      </c>
      <c r="S1171">
        <v>6.2880000000000003</v>
      </c>
      <c r="T1171">
        <v>0</v>
      </c>
      <c r="U1171">
        <v>89</v>
      </c>
      <c r="V1171">
        <v>972</v>
      </c>
      <c r="W1171">
        <v>45.76</v>
      </c>
      <c r="Y1171">
        <v>12.85</v>
      </c>
    </row>
    <row r="1172" spans="1:25" x14ac:dyDescent="0.25">
      <c r="A1172">
        <v>2006</v>
      </c>
      <c r="B1172">
        <v>349</v>
      </c>
      <c r="C1172">
        <v>400</v>
      </c>
      <c r="D1172">
        <v>-1.0649999999999999</v>
      </c>
      <c r="E1172">
        <v>-14.9</v>
      </c>
      <c r="F1172">
        <v>5.63</v>
      </c>
      <c r="G1172">
        <v>5.9980000000000002</v>
      </c>
      <c r="K1172">
        <v>2.41</v>
      </c>
      <c r="L1172">
        <v>230.9</v>
      </c>
      <c r="M1172">
        <v>0</v>
      </c>
      <c r="O1172">
        <v>-11.49</v>
      </c>
      <c r="P1172">
        <v>-10.79</v>
      </c>
      <c r="Q1172">
        <v>6.681</v>
      </c>
      <c r="S1172">
        <v>6.194</v>
      </c>
      <c r="T1172">
        <v>0</v>
      </c>
      <c r="U1172">
        <v>94.8</v>
      </c>
      <c r="V1172">
        <v>972</v>
      </c>
      <c r="W1172">
        <v>45.76</v>
      </c>
      <c r="Y1172">
        <v>12.85</v>
      </c>
    </row>
    <row r="1173" spans="1:25" x14ac:dyDescent="0.25">
      <c r="A1173">
        <v>2006</v>
      </c>
      <c r="B1173">
        <v>349</v>
      </c>
      <c r="C1173">
        <v>500</v>
      </c>
      <c r="D1173">
        <v>-0.871</v>
      </c>
      <c r="E1173">
        <v>-13.39</v>
      </c>
      <c r="F1173">
        <v>5.4279999999999999</v>
      </c>
      <c r="G1173">
        <v>5.9560000000000004</v>
      </c>
      <c r="K1173">
        <v>1.9830000000000001</v>
      </c>
      <c r="L1173">
        <v>227.9</v>
      </c>
      <c r="M1173">
        <v>0</v>
      </c>
      <c r="O1173">
        <v>-11.47</v>
      </c>
      <c r="P1173">
        <v>-10.76</v>
      </c>
      <c r="Q1173">
        <v>6.5940000000000003</v>
      </c>
      <c r="S1173">
        <v>6.1879999999999997</v>
      </c>
      <c r="T1173">
        <v>0</v>
      </c>
      <c r="U1173">
        <v>92.6</v>
      </c>
      <c r="V1173">
        <v>971</v>
      </c>
      <c r="W1173">
        <v>45.67</v>
      </c>
      <c r="Y1173">
        <v>12.85</v>
      </c>
    </row>
    <row r="1174" spans="1:25" x14ac:dyDescent="0.25">
      <c r="A1174">
        <v>2006</v>
      </c>
      <c r="B1174">
        <v>349</v>
      </c>
      <c r="C1174">
        <v>600</v>
      </c>
      <c r="D1174">
        <v>-1.02</v>
      </c>
      <c r="E1174">
        <v>-13.76</v>
      </c>
      <c r="F1174">
        <v>5.15</v>
      </c>
      <c r="G1174">
        <v>5.7469999999999999</v>
      </c>
      <c r="K1174">
        <v>1.859</v>
      </c>
      <c r="L1174">
        <v>224.3</v>
      </c>
      <c r="M1174">
        <v>0</v>
      </c>
      <c r="O1174">
        <v>-11.47</v>
      </c>
      <c r="P1174">
        <v>-10.78</v>
      </c>
      <c r="Q1174">
        <v>6.5279999999999996</v>
      </c>
      <c r="S1174">
        <v>6.1079999999999997</v>
      </c>
      <c r="T1174">
        <v>0</v>
      </c>
      <c r="U1174">
        <v>91.6</v>
      </c>
      <c r="V1174">
        <v>971</v>
      </c>
      <c r="W1174">
        <v>45.68</v>
      </c>
      <c r="Y1174">
        <v>12.85</v>
      </c>
    </row>
    <row r="1175" spans="1:25" x14ac:dyDescent="0.25">
      <c r="A1175">
        <v>2006</v>
      </c>
      <c r="B1175">
        <v>349</v>
      </c>
      <c r="C1175">
        <v>700</v>
      </c>
      <c r="D1175">
        <v>-0.72099999999999997</v>
      </c>
      <c r="E1175">
        <v>-12.08</v>
      </c>
      <c r="F1175">
        <v>5.1890000000000001</v>
      </c>
      <c r="G1175">
        <v>5.5419999999999998</v>
      </c>
      <c r="K1175">
        <v>1.87</v>
      </c>
      <c r="L1175">
        <v>221.2</v>
      </c>
      <c r="M1175">
        <v>0</v>
      </c>
      <c r="O1175">
        <v>-11.45</v>
      </c>
      <c r="P1175">
        <v>-10.76</v>
      </c>
      <c r="Q1175">
        <v>6.4619999999999997</v>
      </c>
      <c r="S1175">
        <v>6.1070000000000002</v>
      </c>
      <c r="T1175">
        <v>0</v>
      </c>
      <c r="U1175">
        <v>95</v>
      </c>
      <c r="V1175">
        <v>971</v>
      </c>
      <c r="W1175">
        <v>45.68</v>
      </c>
      <c r="Y1175">
        <v>12.85</v>
      </c>
    </row>
    <row r="1176" spans="1:25" x14ac:dyDescent="0.25">
      <c r="A1176">
        <v>2006</v>
      </c>
      <c r="B1176">
        <v>349</v>
      </c>
      <c r="C1176">
        <v>800</v>
      </c>
      <c r="D1176">
        <v>-0.61299999999999999</v>
      </c>
      <c r="E1176">
        <v>-11.82</v>
      </c>
      <c r="F1176">
        <v>5.2460000000000004</v>
      </c>
      <c r="G1176">
        <v>5.52</v>
      </c>
      <c r="K1176">
        <v>1.859</v>
      </c>
      <c r="L1176">
        <v>227.1</v>
      </c>
      <c r="M1176">
        <v>0</v>
      </c>
      <c r="O1176">
        <v>-11.45</v>
      </c>
      <c r="P1176">
        <v>-10.71</v>
      </c>
      <c r="Q1176">
        <v>6.3760000000000003</v>
      </c>
      <c r="S1176">
        <v>6.0229999999999997</v>
      </c>
      <c r="T1176">
        <v>0</v>
      </c>
      <c r="U1176">
        <v>96.1</v>
      </c>
      <c r="V1176">
        <v>970</v>
      </c>
      <c r="W1176">
        <v>45.63</v>
      </c>
      <c r="Y1176">
        <v>12.85</v>
      </c>
    </row>
    <row r="1177" spans="1:25" x14ac:dyDescent="0.25">
      <c r="A1177">
        <v>2006</v>
      </c>
      <c r="B1177">
        <v>349</v>
      </c>
      <c r="C1177">
        <v>900</v>
      </c>
      <c r="D1177">
        <v>5.6000000000000001E-2</v>
      </c>
      <c r="E1177">
        <v>-12.67</v>
      </c>
      <c r="F1177">
        <v>5.2409999999999997</v>
      </c>
      <c r="G1177">
        <v>5.49</v>
      </c>
      <c r="H1177">
        <f>AVERAGE(G1177:G1201)</f>
        <v>3.7260400000000002</v>
      </c>
      <c r="I1177">
        <f>MIN(G1177:G1201)</f>
        <v>1.95</v>
      </c>
      <c r="J1177">
        <f>MAX(G1177:G1201)</f>
        <v>5.4939999999999998</v>
      </c>
      <c r="K1177">
        <v>1.534</v>
      </c>
      <c r="L1177">
        <v>212.6</v>
      </c>
      <c r="M1177">
        <v>0</v>
      </c>
      <c r="N1177">
        <f>SUM(M1177:M1201)</f>
        <v>0</v>
      </c>
      <c r="O1177">
        <v>-10.18</v>
      </c>
      <c r="P1177">
        <v>-10.33</v>
      </c>
      <c r="Q1177">
        <v>6.3049999999999997</v>
      </c>
      <c r="S1177">
        <v>6.01</v>
      </c>
      <c r="T1177">
        <v>0</v>
      </c>
      <c r="U1177">
        <v>96.4</v>
      </c>
      <c r="V1177">
        <v>962</v>
      </c>
      <c r="W1177">
        <v>44.84</v>
      </c>
      <c r="Y1177">
        <v>12.84</v>
      </c>
    </row>
    <row r="1178" spans="1:25" x14ac:dyDescent="0.25">
      <c r="A1178">
        <v>2006</v>
      </c>
      <c r="B1178">
        <v>349</v>
      </c>
      <c r="C1178">
        <v>1000</v>
      </c>
      <c r="D1178">
        <v>9.11</v>
      </c>
      <c r="E1178">
        <v>-6.6340000000000003</v>
      </c>
      <c r="F1178">
        <v>5.24</v>
      </c>
      <c r="G1178">
        <v>5.4450000000000003</v>
      </c>
      <c r="K1178">
        <v>1.679</v>
      </c>
      <c r="L1178">
        <v>199.9</v>
      </c>
      <c r="M1178">
        <v>0</v>
      </c>
      <c r="O1178">
        <v>2.8679999999999999</v>
      </c>
      <c r="P1178">
        <v>-7.39</v>
      </c>
      <c r="Q1178">
        <v>6.2510000000000003</v>
      </c>
      <c r="S1178">
        <v>5.93</v>
      </c>
      <c r="T1178">
        <v>0</v>
      </c>
      <c r="U1178">
        <v>97.1</v>
      </c>
      <c r="V1178">
        <v>951</v>
      </c>
      <c r="W1178">
        <v>43.73</v>
      </c>
      <c r="Y1178">
        <v>12.84</v>
      </c>
    </row>
    <row r="1179" spans="1:25" x14ac:dyDescent="0.25">
      <c r="A1179">
        <v>2006</v>
      </c>
      <c r="B1179">
        <v>349</v>
      </c>
      <c r="C1179">
        <v>1100</v>
      </c>
      <c r="D1179">
        <v>20.3</v>
      </c>
      <c r="E1179">
        <v>1.2170000000000001</v>
      </c>
      <c r="F1179">
        <v>5.2489999999999997</v>
      </c>
      <c r="G1179">
        <v>5.4829999999999997</v>
      </c>
      <c r="K1179">
        <v>2.2629999999999999</v>
      </c>
      <c r="L1179">
        <v>213.8</v>
      </c>
      <c r="M1179">
        <v>0</v>
      </c>
      <c r="O1179">
        <v>17.600000000000001</v>
      </c>
      <c r="P1179">
        <v>-3.8759999999999999</v>
      </c>
      <c r="Q1179">
        <v>6.1879999999999997</v>
      </c>
      <c r="S1179">
        <v>5.9240000000000004</v>
      </c>
      <c r="T1179">
        <v>0</v>
      </c>
      <c r="U1179">
        <v>96.6</v>
      </c>
      <c r="V1179">
        <v>946</v>
      </c>
      <c r="W1179">
        <v>43.22</v>
      </c>
      <c r="Y1179">
        <v>12.84</v>
      </c>
    </row>
    <row r="1180" spans="1:25" x14ac:dyDescent="0.25">
      <c r="A1180">
        <v>2006</v>
      </c>
      <c r="B1180">
        <v>349</v>
      </c>
      <c r="C1180">
        <v>1200</v>
      </c>
      <c r="D1180">
        <v>27.2</v>
      </c>
      <c r="E1180">
        <v>6.0830000000000002</v>
      </c>
      <c r="F1180">
        <v>5.242</v>
      </c>
      <c r="G1180">
        <v>5.4939999999999998</v>
      </c>
      <c r="K1180">
        <v>2.141</v>
      </c>
      <c r="L1180">
        <v>223.4</v>
      </c>
      <c r="M1180">
        <v>0</v>
      </c>
      <c r="O1180">
        <v>27.52</v>
      </c>
      <c r="P1180">
        <v>-1.4910000000000001</v>
      </c>
      <c r="Q1180">
        <v>6.1719999999999997</v>
      </c>
      <c r="S1180">
        <v>5.88</v>
      </c>
      <c r="T1180">
        <v>0</v>
      </c>
      <c r="U1180">
        <v>96.4</v>
      </c>
      <c r="V1180">
        <v>941</v>
      </c>
      <c r="W1180">
        <v>42.75</v>
      </c>
      <c r="Y1180">
        <v>12.85</v>
      </c>
    </row>
    <row r="1181" spans="1:25" x14ac:dyDescent="0.25">
      <c r="A1181">
        <v>2006</v>
      </c>
      <c r="B1181">
        <v>349</v>
      </c>
      <c r="C1181">
        <v>1300</v>
      </c>
      <c r="D1181">
        <v>31.64</v>
      </c>
      <c r="E1181">
        <v>7.26</v>
      </c>
      <c r="F1181">
        <v>5.2160000000000002</v>
      </c>
      <c r="G1181">
        <v>5.4359999999999999</v>
      </c>
      <c r="K1181">
        <v>2.198</v>
      </c>
      <c r="L1181">
        <v>226.1</v>
      </c>
      <c r="M1181">
        <v>0</v>
      </c>
      <c r="O1181">
        <v>33.01</v>
      </c>
      <c r="P1181">
        <v>-5.2999999999999999E-2</v>
      </c>
      <c r="Q1181">
        <v>6.1609999999999996</v>
      </c>
      <c r="S1181">
        <v>5.8049999999999997</v>
      </c>
      <c r="T1181">
        <v>0</v>
      </c>
      <c r="U1181">
        <v>96.8</v>
      </c>
      <c r="V1181">
        <v>936</v>
      </c>
      <c r="W1181">
        <v>42.34</v>
      </c>
      <c r="Y1181">
        <v>12.86</v>
      </c>
    </row>
    <row r="1182" spans="1:25" x14ac:dyDescent="0.25">
      <c r="A1182">
        <v>2006</v>
      </c>
      <c r="B1182">
        <v>349</v>
      </c>
      <c r="C1182">
        <v>1400</v>
      </c>
      <c r="D1182">
        <v>32.99</v>
      </c>
      <c r="E1182">
        <v>6.3970000000000002</v>
      </c>
      <c r="F1182">
        <v>5.2130000000000001</v>
      </c>
      <c r="G1182">
        <v>5.4219999999999997</v>
      </c>
      <c r="K1182">
        <v>2.16</v>
      </c>
      <c r="L1182">
        <v>231</v>
      </c>
      <c r="M1182">
        <v>0</v>
      </c>
      <c r="O1182">
        <v>34.76</v>
      </c>
      <c r="P1182">
        <v>0.54800000000000004</v>
      </c>
      <c r="Q1182">
        <v>6.1740000000000004</v>
      </c>
      <c r="S1182">
        <v>5.8040000000000003</v>
      </c>
      <c r="T1182">
        <v>0</v>
      </c>
      <c r="U1182">
        <v>97</v>
      </c>
      <c r="V1182">
        <v>933</v>
      </c>
      <c r="W1182">
        <v>42.11</v>
      </c>
      <c r="Y1182">
        <v>12.88</v>
      </c>
    </row>
    <row r="1183" spans="1:25" x14ac:dyDescent="0.25">
      <c r="A1183">
        <v>2006</v>
      </c>
      <c r="B1183">
        <v>349</v>
      </c>
      <c r="C1183">
        <v>1500</v>
      </c>
      <c r="D1183">
        <v>18.829999999999998</v>
      </c>
      <c r="E1183">
        <v>-1.369</v>
      </c>
      <c r="F1183">
        <v>5.0819999999999999</v>
      </c>
      <c r="G1183">
        <v>5.2809999999999997</v>
      </c>
      <c r="K1183">
        <v>1.7529999999999999</v>
      </c>
      <c r="L1183">
        <v>231.4</v>
      </c>
      <c r="M1183">
        <v>0</v>
      </c>
      <c r="O1183">
        <v>15.51</v>
      </c>
      <c r="P1183">
        <v>-4.0780000000000003</v>
      </c>
      <c r="Q1183">
        <v>6.1760000000000002</v>
      </c>
      <c r="S1183">
        <v>5.8040000000000003</v>
      </c>
      <c r="T1183">
        <v>0</v>
      </c>
      <c r="U1183">
        <v>97.1</v>
      </c>
      <c r="V1183">
        <v>929</v>
      </c>
      <c r="W1183">
        <v>41.78</v>
      </c>
      <c r="Y1183">
        <v>12.86</v>
      </c>
    </row>
    <row r="1184" spans="1:25" x14ac:dyDescent="0.25">
      <c r="A1184">
        <v>2006</v>
      </c>
      <c r="B1184">
        <v>349</v>
      </c>
      <c r="C1184">
        <v>1600</v>
      </c>
      <c r="D1184">
        <v>6.3719999999999999</v>
      </c>
      <c r="E1184">
        <v>-12.61</v>
      </c>
      <c r="F1184">
        <v>4.8860000000000001</v>
      </c>
      <c r="G1184">
        <v>5.0549999999999997</v>
      </c>
      <c r="K1184">
        <v>1.1299999999999999</v>
      </c>
      <c r="L1184">
        <v>240</v>
      </c>
      <c r="M1184">
        <v>0</v>
      </c>
      <c r="O1184">
        <v>5.2999999999999999E-2</v>
      </c>
      <c r="P1184">
        <v>-7.56</v>
      </c>
      <c r="Q1184">
        <v>6.1719999999999997</v>
      </c>
      <c r="S1184">
        <v>5.7489999999999997</v>
      </c>
      <c r="T1184">
        <v>0</v>
      </c>
      <c r="U1184">
        <v>97.5</v>
      </c>
      <c r="V1184">
        <v>924</v>
      </c>
      <c r="W1184">
        <v>41.3</v>
      </c>
      <c r="Y1184">
        <v>12.85</v>
      </c>
    </row>
    <row r="1185" spans="1:25" x14ac:dyDescent="0.25">
      <c r="A1185">
        <v>2006</v>
      </c>
      <c r="B1185">
        <v>349</v>
      </c>
      <c r="C1185">
        <v>1700</v>
      </c>
      <c r="D1185">
        <v>-0.872</v>
      </c>
      <c r="E1185">
        <v>-37.9</v>
      </c>
      <c r="F1185">
        <v>4.383</v>
      </c>
      <c r="G1185">
        <v>4.601</v>
      </c>
      <c r="K1185">
        <v>1.397</v>
      </c>
      <c r="L1185">
        <v>246.6</v>
      </c>
      <c r="M1185">
        <v>0</v>
      </c>
      <c r="O1185">
        <v>-9.1</v>
      </c>
      <c r="P1185">
        <v>-9.9499999999999993</v>
      </c>
      <c r="Q1185">
        <v>6.1459999999999999</v>
      </c>
      <c r="S1185">
        <v>5.7350000000000003</v>
      </c>
      <c r="T1185">
        <v>0</v>
      </c>
      <c r="U1185">
        <v>96.8</v>
      </c>
      <c r="V1185">
        <v>920</v>
      </c>
      <c r="W1185">
        <v>41.02</v>
      </c>
      <c r="Y1185">
        <v>12.85</v>
      </c>
    </row>
    <row r="1186" spans="1:25" x14ac:dyDescent="0.25">
      <c r="A1186">
        <v>2006</v>
      </c>
      <c r="B1186">
        <v>349</v>
      </c>
      <c r="C1186">
        <v>1800</v>
      </c>
      <c r="D1186">
        <v>-2.891</v>
      </c>
      <c r="E1186">
        <v>-42.13</v>
      </c>
      <c r="F1186">
        <v>3.5539999999999998</v>
      </c>
      <c r="G1186">
        <v>3.718</v>
      </c>
      <c r="K1186">
        <v>1.2170000000000001</v>
      </c>
      <c r="L1186">
        <v>239.9</v>
      </c>
      <c r="M1186">
        <v>0</v>
      </c>
      <c r="O1186">
        <v>-11.3</v>
      </c>
      <c r="P1186">
        <v>-10.56</v>
      </c>
      <c r="Q1186">
        <v>6.0289999999999999</v>
      </c>
      <c r="S1186">
        <v>5.7220000000000004</v>
      </c>
      <c r="T1186">
        <v>0</v>
      </c>
      <c r="U1186">
        <v>97.5</v>
      </c>
      <c r="V1186">
        <v>918</v>
      </c>
      <c r="W1186">
        <v>40.83</v>
      </c>
      <c r="Y1186">
        <v>12.84</v>
      </c>
    </row>
    <row r="1187" spans="1:25" x14ac:dyDescent="0.25">
      <c r="A1187">
        <v>2006</v>
      </c>
      <c r="B1187">
        <v>349</v>
      </c>
      <c r="C1187">
        <v>1900</v>
      </c>
      <c r="D1187">
        <v>-2.4089999999999998</v>
      </c>
      <c r="E1187">
        <v>-28.56</v>
      </c>
      <c r="F1187">
        <v>3.141</v>
      </c>
      <c r="G1187">
        <v>3.2610000000000001</v>
      </c>
      <c r="K1187">
        <v>1.8540000000000001</v>
      </c>
      <c r="L1187">
        <v>218.7</v>
      </c>
      <c r="M1187">
        <v>0</v>
      </c>
      <c r="O1187">
        <v>-11.07</v>
      </c>
      <c r="P1187">
        <v>-10.44</v>
      </c>
      <c r="Q1187">
        <v>5.8</v>
      </c>
      <c r="S1187">
        <v>5.6369999999999996</v>
      </c>
      <c r="T1187">
        <v>0</v>
      </c>
      <c r="U1187">
        <v>98.1</v>
      </c>
      <c r="V1187">
        <v>917</v>
      </c>
      <c r="W1187">
        <v>40.74</v>
      </c>
      <c r="Y1187">
        <v>12.84</v>
      </c>
    </row>
    <row r="1188" spans="1:25" x14ac:dyDescent="0.25">
      <c r="A1188">
        <v>2006</v>
      </c>
      <c r="B1188">
        <v>349</v>
      </c>
      <c r="C1188">
        <v>2000</v>
      </c>
      <c r="D1188">
        <v>-2.105</v>
      </c>
      <c r="E1188">
        <v>-23.64</v>
      </c>
      <c r="F1188">
        <v>3.0179999999999998</v>
      </c>
      <c r="G1188">
        <v>3.1659999999999999</v>
      </c>
      <c r="K1188">
        <v>1.903</v>
      </c>
      <c r="L1188">
        <v>219.3</v>
      </c>
      <c r="M1188">
        <v>0</v>
      </c>
      <c r="O1188">
        <v>-10.94</v>
      </c>
      <c r="P1188">
        <v>-10.33</v>
      </c>
      <c r="Q1188">
        <v>5.577</v>
      </c>
      <c r="S1188">
        <v>5.61</v>
      </c>
      <c r="T1188">
        <v>0</v>
      </c>
      <c r="U1188">
        <v>97.7</v>
      </c>
      <c r="V1188">
        <v>915</v>
      </c>
      <c r="W1188">
        <v>40.619999999999997</v>
      </c>
      <c r="Y1188">
        <v>12.84</v>
      </c>
    </row>
    <row r="1189" spans="1:25" x14ac:dyDescent="0.25">
      <c r="A1189">
        <v>2006</v>
      </c>
      <c r="B1189">
        <v>349</v>
      </c>
      <c r="C1189">
        <v>2100</v>
      </c>
      <c r="D1189">
        <v>-1.917</v>
      </c>
      <c r="E1189">
        <v>-19.989999999999998</v>
      </c>
      <c r="F1189">
        <v>3.2869999999999999</v>
      </c>
      <c r="G1189">
        <v>3.4670000000000001</v>
      </c>
      <c r="K1189">
        <v>1.994</v>
      </c>
      <c r="L1189">
        <v>221.9</v>
      </c>
      <c r="M1189">
        <v>0</v>
      </c>
      <c r="O1189">
        <v>-10.93</v>
      </c>
      <c r="P1189">
        <v>-10.25</v>
      </c>
      <c r="Q1189">
        <v>5.41</v>
      </c>
      <c r="S1189">
        <v>5.5709999999999997</v>
      </c>
      <c r="T1189">
        <v>0</v>
      </c>
      <c r="U1189">
        <v>97.2</v>
      </c>
      <c r="V1189">
        <v>914</v>
      </c>
      <c r="W1189">
        <v>40.479999999999997</v>
      </c>
      <c r="Y1189">
        <v>12.83</v>
      </c>
    </row>
    <row r="1190" spans="1:25" x14ac:dyDescent="0.25">
      <c r="A1190">
        <v>2006</v>
      </c>
      <c r="B1190">
        <v>349</v>
      </c>
      <c r="C1190">
        <v>2200</v>
      </c>
      <c r="D1190">
        <v>-2.411</v>
      </c>
      <c r="E1190">
        <v>-28.29</v>
      </c>
      <c r="F1190">
        <v>3.0019999999999998</v>
      </c>
      <c r="G1190">
        <v>3.2309999999999999</v>
      </c>
      <c r="K1190">
        <v>2.077</v>
      </c>
      <c r="L1190">
        <v>222.1</v>
      </c>
      <c r="M1190">
        <v>0</v>
      </c>
      <c r="O1190">
        <v>-10.96</v>
      </c>
      <c r="P1190">
        <v>-10.33</v>
      </c>
      <c r="Q1190">
        <v>5.2450000000000001</v>
      </c>
      <c r="S1190">
        <v>5.4809999999999999</v>
      </c>
      <c r="T1190">
        <v>0</v>
      </c>
      <c r="U1190">
        <v>96.4</v>
      </c>
      <c r="V1190">
        <v>911</v>
      </c>
      <c r="W1190">
        <v>40.31</v>
      </c>
      <c r="Y1190">
        <v>12.83</v>
      </c>
    </row>
    <row r="1191" spans="1:25" x14ac:dyDescent="0.25">
      <c r="A1191">
        <v>2006</v>
      </c>
      <c r="B1191">
        <v>349</v>
      </c>
      <c r="C1191">
        <v>2300</v>
      </c>
      <c r="D1191">
        <v>-2.3730000000000002</v>
      </c>
      <c r="E1191">
        <v>-28.2</v>
      </c>
      <c r="F1191">
        <v>2.6070000000000002</v>
      </c>
      <c r="G1191">
        <v>2.8210000000000002</v>
      </c>
      <c r="K1191">
        <v>2.0379999999999998</v>
      </c>
      <c r="L1191">
        <v>224</v>
      </c>
      <c r="M1191">
        <v>0</v>
      </c>
      <c r="O1191">
        <v>-10.91</v>
      </c>
      <c r="P1191">
        <v>-10.28</v>
      </c>
      <c r="Q1191">
        <v>5.0780000000000003</v>
      </c>
      <c r="S1191">
        <v>5.391</v>
      </c>
      <c r="T1191">
        <v>0</v>
      </c>
      <c r="U1191">
        <v>96.6</v>
      </c>
      <c r="V1191">
        <v>911</v>
      </c>
      <c r="W1191">
        <v>40.24</v>
      </c>
      <c r="Y1191">
        <v>12.83</v>
      </c>
    </row>
    <row r="1192" spans="1:25" x14ac:dyDescent="0.25">
      <c r="A1192">
        <v>2006</v>
      </c>
      <c r="B1192">
        <v>349</v>
      </c>
      <c r="C1192">
        <v>2400</v>
      </c>
      <c r="D1192">
        <v>-2.3380000000000001</v>
      </c>
      <c r="E1192">
        <v>-25.51</v>
      </c>
      <c r="F1192">
        <v>2.3420000000000001</v>
      </c>
      <c r="G1192">
        <v>2.5329999999999999</v>
      </c>
      <c r="K1192">
        <v>1.772</v>
      </c>
      <c r="L1192">
        <v>224.8</v>
      </c>
      <c r="M1192">
        <v>0</v>
      </c>
      <c r="O1192">
        <v>-10.86</v>
      </c>
      <c r="P1192">
        <v>-10.26</v>
      </c>
      <c r="Q1192">
        <v>4.8949999999999996</v>
      </c>
      <c r="S1192">
        <v>5.2969999999999997</v>
      </c>
      <c r="T1192">
        <v>0</v>
      </c>
      <c r="U1192">
        <v>96.9</v>
      </c>
      <c r="V1192">
        <v>909</v>
      </c>
      <c r="W1192">
        <v>40.15</v>
      </c>
      <c r="Y1192">
        <v>12.83</v>
      </c>
    </row>
    <row r="1193" spans="1:25" x14ac:dyDescent="0.25">
      <c r="A1193">
        <v>2006</v>
      </c>
      <c r="B1193">
        <v>349</v>
      </c>
      <c r="C1193">
        <v>2400</v>
      </c>
      <c r="D1193">
        <v>5.0650000000000004</v>
      </c>
      <c r="E1193">
        <v>-14.78</v>
      </c>
      <c r="F1193">
        <v>4.5780000000000003</v>
      </c>
      <c r="G1193">
        <v>4.8949999999999996</v>
      </c>
      <c r="K1193">
        <v>1.927</v>
      </c>
      <c r="L1193">
        <v>226.6</v>
      </c>
      <c r="M1193">
        <v>0</v>
      </c>
      <c r="O1193">
        <v>-2.3639999999999999</v>
      </c>
      <c r="P1193">
        <v>-8.4499999999999993</v>
      </c>
      <c r="Q1193">
        <v>6.1260000000000003</v>
      </c>
      <c r="S1193">
        <v>5.8719999999999999</v>
      </c>
      <c r="T1193">
        <v>0</v>
      </c>
      <c r="U1193">
        <v>95.4</v>
      </c>
      <c r="V1193">
        <v>942</v>
      </c>
      <c r="W1193">
        <v>43.04</v>
      </c>
      <c r="Y1193">
        <v>12.85</v>
      </c>
    </row>
    <row r="1194" spans="1:25" x14ac:dyDescent="0.25">
      <c r="A1194">
        <v>2006</v>
      </c>
      <c r="B1194">
        <v>350</v>
      </c>
      <c r="C1194">
        <v>100</v>
      </c>
      <c r="D1194">
        <v>-2.4430000000000001</v>
      </c>
      <c r="E1194">
        <v>-24.06</v>
      </c>
      <c r="F1194">
        <v>2.2349999999999999</v>
      </c>
      <c r="G1194">
        <v>2.504</v>
      </c>
      <c r="K1194">
        <v>1.458</v>
      </c>
      <c r="L1194">
        <v>226.3</v>
      </c>
      <c r="M1194">
        <v>0</v>
      </c>
      <c r="O1194">
        <v>-10.85</v>
      </c>
      <c r="P1194">
        <v>-10.23</v>
      </c>
      <c r="Q1194">
        <v>4.7329999999999997</v>
      </c>
      <c r="S1194">
        <v>5.2240000000000002</v>
      </c>
      <c r="T1194">
        <v>0</v>
      </c>
      <c r="U1194">
        <v>95.6</v>
      </c>
      <c r="V1194">
        <v>908</v>
      </c>
      <c r="W1194">
        <v>40.07</v>
      </c>
      <c r="Y1194">
        <v>12.83</v>
      </c>
    </row>
    <row r="1195" spans="1:25" x14ac:dyDescent="0.25">
      <c r="A1195">
        <v>2006</v>
      </c>
      <c r="B1195">
        <v>350</v>
      </c>
      <c r="C1195">
        <v>200</v>
      </c>
      <c r="D1195">
        <v>-2.7919999999999998</v>
      </c>
      <c r="E1195">
        <v>-27.02</v>
      </c>
      <c r="F1195">
        <v>2.0649999999999999</v>
      </c>
      <c r="G1195">
        <v>2.448</v>
      </c>
      <c r="K1195">
        <v>1.5489999999999999</v>
      </c>
      <c r="L1195">
        <v>222.2</v>
      </c>
      <c r="M1195">
        <v>0</v>
      </c>
      <c r="O1195">
        <v>-10.84</v>
      </c>
      <c r="P1195">
        <v>-10.24</v>
      </c>
      <c r="Q1195">
        <v>4.569</v>
      </c>
      <c r="S1195">
        <v>5.1379999999999999</v>
      </c>
      <c r="T1195">
        <v>0</v>
      </c>
      <c r="U1195">
        <v>93.8</v>
      </c>
      <c r="V1195">
        <v>907</v>
      </c>
      <c r="W1195">
        <v>39.99</v>
      </c>
      <c r="Y1195">
        <v>12.83</v>
      </c>
    </row>
    <row r="1196" spans="1:25" x14ac:dyDescent="0.25">
      <c r="A1196">
        <v>2006</v>
      </c>
      <c r="B1196">
        <v>350</v>
      </c>
      <c r="C1196">
        <v>300</v>
      </c>
      <c r="D1196">
        <v>-2.5230000000000001</v>
      </c>
      <c r="E1196">
        <v>-23.29</v>
      </c>
      <c r="F1196">
        <v>1.75</v>
      </c>
      <c r="G1196">
        <v>2.1320000000000001</v>
      </c>
      <c r="K1196">
        <v>1.5449999999999999</v>
      </c>
      <c r="L1196">
        <v>220.5</v>
      </c>
      <c r="M1196">
        <v>0</v>
      </c>
      <c r="O1196">
        <v>-10.84</v>
      </c>
      <c r="P1196">
        <v>-10.220000000000001</v>
      </c>
      <c r="Q1196">
        <v>4.4009999999999998</v>
      </c>
      <c r="S1196">
        <v>5.03</v>
      </c>
      <c r="T1196">
        <v>0</v>
      </c>
      <c r="U1196">
        <v>93.7</v>
      </c>
      <c r="V1196">
        <v>906</v>
      </c>
      <c r="W1196">
        <v>39.86</v>
      </c>
      <c r="Y1196">
        <v>12.83</v>
      </c>
    </row>
    <row r="1197" spans="1:25" x14ac:dyDescent="0.25">
      <c r="A1197">
        <v>2006</v>
      </c>
      <c r="B1197">
        <v>350</v>
      </c>
      <c r="C1197">
        <v>400</v>
      </c>
      <c r="D1197">
        <v>-2.3109999999999999</v>
      </c>
      <c r="E1197">
        <v>-23.8</v>
      </c>
      <c r="F1197">
        <v>1.994</v>
      </c>
      <c r="G1197">
        <v>2.37</v>
      </c>
      <c r="K1197">
        <v>1.857</v>
      </c>
      <c r="L1197">
        <v>219.3</v>
      </c>
      <c r="M1197">
        <v>0</v>
      </c>
      <c r="O1197">
        <v>-10.84</v>
      </c>
      <c r="P1197">
        <v>-10.220000000000001</v>
      </c>
      <c r="Q1197">
        <v>4.2560000000000002</v>
      </c>
      <c r="S1197">
        <v>4.9320000000000004</v>
      </c>
      <c r="T1197">
        <v>0</v>
      </c>
      <c r="U1197">
        <v>93.9</v>
      </c>
      <c r="V1197">
        <v>904</v>
      </c>
      <c r="W1197">
        <v>39.75</v>
      </c>
      <c r="Y1197">
        <v>12.82</v>
      </c>
    </row>
    <row r="1198" spans="1:25" x14ac:dyDescent="0.25">
      <c r="A1198">
        <v>2006</v>
      </c>
      <c r="B1198">
        <v>350</v>
      </c>
      <c r="C1198">
        <v>500</v>
      </c>
      <c r="D1198">
        <v>-2.4750000000000001</v>
      </c>
      <c r="E1198">
        <v>-24.33</v>
      </c>
      <c r="F1198">
        <v>1.629</v>
      </c>
      <c r="G1198">
        <v>1.95</v>
      </c>
      <c r="K1198">
        <v>1.2929999999999999</v>
      </c>
      <c r="L1198">
        <v>230.4</v>
      </c>
      <c r="M1198">
        <v>0</v>
      </c>
      <c r="O1198">
        <v>-10.83</v>
      </c>
      <c r="P1198">
        <v>-10.220000000000001</v>
      </c>
      <c r="Q1198">
        <v>4.1379999999999999</v>
      </c>
      <c r="S1198">
        <v>4.83</v>
      </c>
      <c r="T1198">
        <v>0</v>
      </c>
      <c r="U1198">
        <v>94.7</v>
      </c>
      <c r="V1198">
        <v>903</v>
      </c>
      <c r="W1198">
        <v>39.65</v>
      </c>
      <c r="Y1198">
        <v>12.82</v>
      </c>
    </row>
    <row r="1199" spans="1:25" x14ac:dyDescent="0.25">
      <c r="A1199">
        <v>2006</v>
      </c>
      <c r="B1199">
        <v>350</v>
      </c>
      <c r="C1199">
        <v>600</v>
      </c>
      <c r="D1199">
        <v>-2.6869999999999998</v>
      </c>
      <c r="E1199">
        <v>-27.66</v>
      </c>
      <c r="F1199">
        <v>1.869</v>
      </c>
      <c r="G1199">
        <v>2.238</v>
      </c>
      <c r="K1199">
        <v>1.946</v>
      </c>
      <c r="L1199">
        <v>226.7</v>
      </c>
      <c r="M1199">
        <v>0</v>
      </c>
      <c r="O1199">
        <v>-10.84</v>
      </c>
      <c r="P1199">
        <v>-10.220000000000001</v>
      </c>
      <c r="Q1199">
        <v>4.0199999999999996</v>
      </c>
      <c r="S1199">
        <v>4.742</v>
      </c>
      <c r="T1199">
        <v>0</v>
      </c>
      <c r="U1199">
        <v>94</v>
      </c>
      <c r="V1199">
        <v>901</v>
      </c>
      <c r="W1199">
        <v>39.479999999999997</v>
      </c>
      <c r="Y1199">
        <v>12.82</v>
      </c>
    </row>
    <row r="1200" spans="1:25" x14ac:dyDescent="0.25">
      <c r="A1200">
        <v>2006</v>
      </c>
      <c r="B1200">
        <v>350</v>
      </c>
      <c r="C1200">
        <v>700</v>
      </c>
      <c r="D1200">
        <v>-2.6440000000000001</v>
      </c>
      <c r="E1200">
        <v>-28.37</v>
      </c>
      <c r="F1200">
        <v>1.8879999999999999</v>
      </c>
      <c r="G1200">
        <v>2.2360000000000002</v>
      </c>
      <c r="K1200">
        <v>1.9279999999999999</v>
      </c>
      <c r="L1200">
        <v>226.5</v>
      </c>
      <c r="M1200">
        <v>0</v>
      </c>
      <c r="O1200">
        <v>-10.84</v>
      </c>
      <c r="P1200">
        <v>-10.220000000000001</v>
      </c>
      <c r="Q1200">
        <v>3.907</v>
      </c>
      <c r="S1200">
        <v>4.6479999999999997</v>
      </c>
      <c r="T1200">
        <v>0</v>
      </c>
      <c r="U1200">
        <v>94.3</v>
      </c>
      <c r="V1200">
        <v>898</v>
      </c>
      <c r="W1200">
        <v>39.32</v>
      </c>
      <c r="Y1200">
        <v>12.82</v>
      </c>
    </row>
    <row r="1201" spans="1:25" x14ac:dyDescent="0.25">
      <c r="A1201">
        <v>2006</v>
      </c>
      <c r="B1201">
        <v>350</v>
      </c>
      <c r="C1201">
        <v>800</v>
      </c>
      <c r="D1201">
        <v>-2.617</v>
      </c>
      <c r="E1201">
        <v>-28.89</v>
      </c>
      <c r="F1201">
        <v>2.0830000000000002</v>
      </c>
      <c r="G1201">
        <v>2.4740000000000002</v>
      </c>
      <c r="K1201">
        <v>2.363</v>
      </c>
      <c r="L1201">
        <v>226.5</v>
      </c>
      <c r="M1201">
        <v>0</v>
      </c>
      <c r="O1201">
        <v>-10.84</v>
      </c>
      <c r="P1201">
        <v>-10.220000000000001</v>
      </c>
      <c r="Q1201">
        <v>3.7970000000000002</v>
      </c>
      <c r="S1201">
        <v>4.5540000000000003</v>
      </c>
      <c r="T1201">
        <v>0</v>
      </c>
      <c r="U1201">
        <v>93.7</v>
      </c>
      <c r="V1201">
        <v>897</v>
      </c>
      <c r="W1201">
        <v>39.21</v>
      </c>
      <c r="Y1201">
        <v>12.82</v>
      </c>
    </row>
    <row r="1202" spans="1:25" x14ac:dyDescent="0.25">
      <c r="A1202">
        <v>2006</v>
      </c>
      <c r="B1202">
        <v>350</v>
      </c>
      <c r="C1202">
        <v>900</v>
      </c>
      <c r="D1202">
        <v>1.373</v>
      </c>
      <c r="E1202">
        <v>-27.41</v>
      </c>
      <c r="F1202">
        <v>2.1240000000000001</v>
      </c>
      <c r="G1202">
        <v>2.532</v>
      </c>
      <c r="H1202">
        <f>AVERAGE(G1202:G1226)</f>
        <v>4.1708800000000004</v>
      </c>
      <c r="I1202">
        <f>MIN(G1202:G1226)</f>
        <v>2.532</v>
      </c>
      <c r="J1202">
        <f>MAX(G1202:G1226)</f>
        <v>5.9870000000000001</v>
      </c>
      <c r="K1202">
        <v>2.4129999999999998</v>
      </c>
      <c r="L1202">
        <v>226.5</v>
      </c>
      <c r="M1202">
        <v>0</v>
      </c>
      <c r="N1202">
        <f>SUM(M1202:M1226)</f>
        <v>0.4</v>
      </c>
      <c r="O1202">
        <v>-5.8029999999999999</v>
      </c>
      <c r="P1202">
        <v>-8.9</v>
      </c>
      <c r="Q1202">
        <v>3.6989999999999998</v>
      </c>
      <c r="S1202">
        <v>4.4889999999999999</v>
      </c>
      <c r="T1202">
        <v>0</v>
      </c>
      <c r="U1202">
        <v>93.4</v>
      </c>
      <c r="V1202">
        <v>896</v>
      </c>
      <c r="W1202">
        <v>39.15</v>
      </c>
      <c r="Y1202">
        <v>12.82</v>
      </c>
    </row>
    <row r="1203" spans="1:25" x14ac:dyDescent="0.25">
      <c r="A1203">
        <v>2006</v>
      </c>
      <c r="B1203">
        <v>350</v>
      </c>
      <c r="C1203">
        <v>1000</v>
      </c>
      <c r="D1203">
        <v>41.66</v>
      </c>
      <c r="E1203">
        <v>-13.53</v>
      </c>
      <c r="F1203">
        <v>2.2509999999999999</v>
      </c>
      <c r="G1203">
        <v>2.66</v>
      </c>
      <c r="K1203">
        <v>2.3050000000000002</v>
      </c>
      <c r="L1203">
        <v>223</v>
      </c>
      <c r="M1203">
        <v>0</v>
      </c>
      <c r="O1203">
        <v>27.53</v>
      </c>
      <c r="P1203">
        <v>7.94</v>
      </c>
      <c r="Q1203">
        <v>3.6150000000000002</v>
      </c>
      <c r="S1203">
        <v>4.4279999999999999</v>
      </c>
      <c r="T1203">
        <v>0</v>
      </c>
      <c r="U1203">
        <v>93.4</v>
      </c>
      <c r="V1203">
        <v>896</v>
      </c>
      <c r="W1203">
        <v>39.119999999999997</v>
      </c>
      <c r="Y1203">
        <v>13</v>
      </c>
    </row>
    <row r="1204" spans="1:25" x14ac:dyDescent="0.25">
      <c r="A1204">
        <v>2006</v>
      </c>
      <c r="B1204">
        <v>350</v>
      </c>
      <c r="C1204">
        <v>1100</v>
      </c>
      <c r="D1204">
        <v>115.3</v>
      </c>
      <c r="E1204">
        <v>9.7100000000000009</v>
      </c>
      <c r="F1204">
        <v>2.8079999999999998</v>
      </c>
      <c r="G1204">
        <v>3.25</v>
      </c>
      <c r="K1204">
        <v>2.4590000000000001</v>
      </c>
      <c r="L1204">
        <v>221.8</v>
      </c>
      <c r="M1204">
        <v>0</v>
      </c>
      <c r="O1204">
        <v>125.1</v>
      </c>
      <c r="P1204">
        <v>71.599999999999994</v>
      </c>
      <c r="Q1204">
        <v>3.5409999999999999</v>
      </c>
      <c r="S1204">
        <v>4.38</v>
      </c>
      <c r="T1204">
        <v>0</v>
      </c>
      <c r="U1204">
        <v>93.1</v>
      </c>
      <c r="V1204">
        <v>895</v>
      </c>
      <c r="W1204">
        <v>39.11</v>
      </c>
      <c r="Y1204">
        <v>14</v>
      </c>
    </row>
    <row r="1205" spans="1:25" x14ac:dyDescent="0.25">
      <c r="A1205">
        <v>2006</v>
      </c>
      <c r="B1205">
        <v>350</v>
      </c>
      <c r="C1205">
        <v>1200</v>
      </c>
      <c r="D1205">
        <v>172.3</v>
      </c>
      <c r="E1205">
        <v>108</v>
      </c>
      <c r="F1205">
        <v>3.976</v>
      </c>
      <c r="G1205">
        <v>4.5309999999999997</v>
      </c>
      <c r="K1205">
        <v>2.0939999999999999</v>
      </c>
      <c r="L1205">
        <v>221</v>
      </c>
      <c r="M1205">
        <v>0</v>
      </c>
      <c r="O1205">
        <v>195.2</v>
      </c>
      <c r="P1205">
        <v>97.2</v>
      </c>
      <c r="Q1205">
        <v>3.51</v>
      </c>
      <c r="S1205">
        <v>4.3250000000000002</v>
      </c>
      <c r="T1205">
        <v>0</v>
      </c>
      <c r="U1205">
        <v>91.8</v>
      </c>
      <c r="V1205">
        <v>898</v>
      </c>
      <c r="W1205">
        <v>39.26</v>
      </c>
      <c r="Y1205">
        <v>14.35</v>
      </c>
    </row>
    <row r="1206" spans="1:25" x14ac:dyDescent="0.25">
      <c r="A1206">
        <v>2006</v>
      </c>
      <c r="B1206">
        <v>350</v>
      </c>
      <c r="C1206">
        <v>1300</v>
      </c>
      <c r="D1206">
        <v>170.9</v>
      </c>
      <c r="E1206">
        <v>110.9</v>
      </c>
      <c r="F1206">
        <v>4.8849999999999998</v>
      </c>
      <c r="G1206">
        <v>5.548</v>
      </c>
      <c r="K1206">
        <v>2.613</v>
      </c>
      <c r="L1206">
        <v>225.2</v>
      </c>
      <c r="M1206">
        <v>0</v>
      </c>
      <c r="O1206">
        <v>194.4</v>
      </c>
      <c r="P1206">
        <v>90.8</v>
      </c>
      <c r="Q1206">
        <v>3.512</v>
      </c>
      <c r="S1206">
        <v>4.2460000000000004</v>
      </c>
      <c r="T1206">
        <v>0</v>
      </c>
      <c r="U1206">
        <v>90.6</v>
      </c>
      <c r="V1206">
        <v>899</v>
      </c>
      <c r="W1206">
        <v>39.33</v>
      </c>
      <c r="Y1206">
        <v>14.23</v>
      </c>
    </row>
    <row r="1207" spans="1:25" x14ac:dyDescent="0.25">
      <c r="A1207">
        <v>2006</v>
      </c>
      <c r="B1207">
        <v>350</v>
      </c>
      <c r="C1207">
        <v>1400</v>
      </c>
      <c r="D1207">
        <v>151.69999999999999</v>
      </c>
      <c r="E1207">
        <v>91.9</v>
      </c>
      <c r="F1207">
        <v>5.52</v>
      </c>
      <c r="G1207">
        <v>5.9870000000000001</v>
      </c>
      <c r="K1207">
        <v>2.6150000000000002</v>
      </c>
      <c r="L1207">
        <v>225.3</v>
      </c>
      <c r="M1207">
        <v>0.2</v>
      </c>
      <c r="O1207">
        <v>159.69999999999999</v>
      </c>
      <c r="P1207">
        <v>97.1</v>
      </c>
      <c r="Q1207">
        <v>3.613</v>
      </c>
      <c r="S1207">
        <v>4.2309999999999999</v>
      </c>
      <c r="T1207">
        <v>0</v>
      </c>
      <c r="U1207">
        <v>93.5</v>
      </c>
      <c r="V1207">
        <v>898</v>
      </c>
      <c r="W1207">
        <v>39.28</v>
      </c>
      <c r="Y1207">
        <v>14.24</v>
      </c>
    </row>
    <row r="1208" spans="1:25" x14ac:dyDescent="0.25">
      <c r="A1208">
        <v>2006</v>
      </c>
      <c r="B1208">
        <v>350</v>
      </c>
      <c r="C1208">
        <v>1500</v>
      </c>
      <c r="D1208">
        <v>86.4</v>
      </c>
      <c r="E1208">
        <v>12.35</v>
      </c>
      <c r="F1208">
        <v>5.4989999999999997</v>
      </c>
      <c r="G1208">
        <v>5.8120000000000003</v>
      </c>
      <c r="K1208">
        <v>3.008</v>
      </c>
      <c r="L1208">
        <v>225.9</v>
      </c>
      <c r="M1208">
        <v>0</v>
      </c>
      <c r="O1208">
        <v>81.599999999999994</v>
      </c>
      <c r="P1208">
        <v>60.81</v>
      </c>
      <c r="Q1208">
        <v>3.6930000000000001</v>
      </c>
      <c r="S1208">
        <v>4.1769999999999996</v>
      </c>
      <c r="T1208">
        <v>0</v>
      </c>
      <c r="U1208">
        <v>95.6</v>
      </c>
      <c r="V1208">
        <v>897</v>
      </c>
      <c r="W1208">
        <v>39.19</v>
      </c>
      <c r="Y1208">
        <v>14</v>
      </c>
    </row>
    <row r="1209" spans="1:25" x14ac:dyDescent="0.25">
      <c r="A1209">
        <v>2006</v>
      </c>
      <c r="B1209">
        <v>350</v>
      </c>
      <c r="C1209">
        <v>1600</v>
      </c>
      <c r="D1209">
        <v>19.350000000000001</v>
      </c>
      <c r="E1209">
        <v>-17.420000000000002</v>
      </c>
      <c r="F1209">
        <v>5.1639999999999997</v>
      </c>
      <c r="G1209">
        <v>5.383</v>
      </c>
      <c r="K1209">
        <v>2.2410000000000001</v>
      </c>
      <c r="L1209">
        <v>227</v>
      </c>
      <c r="M1209">
        <v>0</v>
      </c>
      <c r="O1209">
        <v>13.52</v>
      </c>
      <c r="P1209">
        <v>-1.8460000000000001</v>
      </c>
      <c r="Q1209">
        <v>3.7789999999999999</v>
      </c>
      <c r="S1209">
        <v>4.1260000000000003</v>
      </c>
      <c r="T1209">
        <v>0</v>
      </c>
      <c r="U1209">
        <v>96.8</v>
      </c>
      <c r="V1209">
        <v>895</v>
      </c>
      <c r="W1209">
        <v>39.090000000000003</v>
      </c>
      <c r="Y1209">
        <v>13.63</v>
      </c>
    </row>
    <row r="1210" spans="1:25" x14ac:dyDescent="0.25">
      <c r="A1210">
        <v>2006</v>
      </c>
      <c r="B1210">
        <v>350</v>
      </c>
      <c r="C1210">
        <v>1700</v>
      </c>
      <c r="D1210">
        <v>-1.819</v>
      </c>
      <c r="E1210">
        <v>-38.49</v>
      </c>
      <c r="F1210">
        <v>4.53</v>
      </c>
      <c r="G1210">
        <v>4.7409999999999997</v>
      </c>
      <c r="K1210">
        <v>2.0859999999999999</v>
      </c>
      <c r="L1210">
        <v>225.4</v>
      </c>
      <c r="M1210">
        <v>0</v>
      </c>
      <c r="O1210">
        <v>-10.58</v>
      </c>
      <c r="P1210">
        <v>-10.49</v>
      </c>
      <c r="Q1210">
        <v>3.8</v>
      </c>
      <c r="S1210">
        <v>4.13</v>
      </c>
      <c r="T1210">
        <v>0</v>
      </c>
      <c r="U1210">
        <v>96.9</v>
      </c>
      <c r="V1210">
        <v>895</v>
      </c>
      <c r="W1210">
        <v>39.04</v>
      </c>
      <c r="Y1210">
        <v>13.43</v>
      </c>
    </row>
    <row r="1211" spans="1:25" x14ac:dyDescent="0.25">
      <c r="A1211">
        <v>2006</v>
      </c>
      <c r="B1211">
        <v>350</v>
      </c>
      <c r="C1211">
        <v>1800</v>
      </c>
      <c r="D1211">
        <v>-2.1789999999999998</v>
      </c>
      <c r="E1211">
        <v>-35.58</v>
      </c>
      <c r="F1211">
        <v>4.5129999999999999</v>
      </c>
      <c r="G1211">
        <v>4.7359999999999998</v>
      </c>
      <c r="K1211">
        <v>2.153</v>
      </c>
      <c r="L1211">
        <v>226.2</v>
      </c>
      <c r="M1211">
        <v>0</v>
      </c>
      <c r="O1211">
        <v>-11.47</v>
      </c>
      <c r="P1211">
        <v>-10.8</v>
      </c>
      <c r="Q1211">
        <v>3.8090000000000002</v>
      </c>
      <c r="S1211">
        <v>4.1529999999999996</v>
      </c>
      <c r="T1211">
        <v>0</v>
      </c>
      <c r="U1211">
        <v>96.7</v>
      </c>
      <c r="V1211">
        <v>894</v>
      </c>
      <c r="W1211">
        <v>38.979999999999997</v>
      </c>
      <c r="Y1211">
        <v>13.32</v>
      </c>
    </row>
    <row r="1212" spans="1:25" x14ac:dyDescent="0.25">
      <c r="A1212">
        <v>2006</v>
      </c>
      <c r="B1212">
        <v>350</v>
      </c>
      <c r="C1212">
        <v>1900</v>
      </c>
      <c r="D1212">
        <v>-2.3069999999999999</v>
      </c>
      <c r="E1212">
        <v>-39.76</v>
      </c>
      <c r="F1212">
        <v>4.2370000000000001</v>
      </c>
      <c r="G1212">
        <v>4.4820000000000002</v>
      </c>
      <c r="K1212">
        <v>2.5859999999999999</v>
      </c>
      <c r="L1212">
        <v>225.4</v>
      </c>
      <c r="M1212">
        <v>0</v>
      </c>
      <c r="O1212">
        <v>-11.39</v>
      </c>
      <c r="P1212">
        <v>-10.67</v>
      </c>
      <c r="Q1212">
        <v>3.7869999999999999</v>
      </c>
      <c r="S1212">
        <v>4.1379999999999999</v>
      </c>
      <c r="T1212">
        <v>0</v>
      </c>
      <c r="U1212">
        <v>96.3</v>
      </c>
      <c r="V1212">
        <v>893</v>
      </c>
      <c r="W1212">
        <v>38.94</v>
      </c>
      <c r="Y1212">
        <v>13.24</v>
      </c>
    </row>
    <row r="1213" spans="1:25" x14ac:dyDescent="0.25">
      <c r="A1213">
        <v>2006</v>
      </c>
      <c r="B1213">
        <v>350</v>
      </c>
      <c r="C1213">
        <v>2000</v>
      </c>
      <c r="D1213">
        <v>-2.3039999999999998</v>
      </c>
      <c r="E1213">
        <v>-42.39</v>
      </c>
      <c r="F1213">
        <v>4.2119999999999997</v>
      </c>
      <c r="G1213">
        <v>4.4809999999999999</v>
      </c>
      <c r="K1213">
        <v>3.0510000000000002</v>
      </c>
      <c r="L1213">
        <v>226.6</v>
      </c>
      <c r="M1213">
        <v>0</v>
      </c>
      <c r="O1213">
        <v>-11.25</v>
      </c>
      <c r="P1213">
        <v>-10.54</v>
      </c>
      <c r="Q1213">
        <v>3.7269999999999999</v>
      </c>
      <c r="S1213">
        <v>4.117</v>
      </c>
      <c r="T1213">
        <v>0</v>
      </c>
      <c r="U1213">
        <v>96</v>
      </c>
      <c r="V1213">
        <v>893</v>
      </c>
      <c r="W1213">
        <v>38.93</v>
      </c>
      <c r="Y1213">
        <v>13.18</v>
      </c>
    </row>
    <row r="1214" spans="1:25" x14ac:dyDescent="0.25">
      <c r="A1214">
        <v>2006</v>
      </c>
      <c r="B1214">
        <v>350</v>
      </c>
      <c r="C1214">
        <v>2100</v>
      </c>
      <c r="D1214">
        <v>-2.1560000000000001</v>
      </c>
      <c r="E1214">
        <v>-38.46</v>
      </c>
      <c r="F1214">
        <v>4.2640000000000002</v>
      </c>
      <c r="G1214">
        <v>4.5469999999999997</v>
      </c>
      <c r="K1214">
        <v>2.831</v>
      </c>
      <c r="L1214">
        <v>227.1</v>
      </c>
      <c r="M1214">
        <v>0</v>
      </c>
      <c r="O1214">
        <v>-11.22</v>
      </c>
      <c r="P1214">
        <v>-10.5</v>
      </c>
      <c r="Q1214">
        <v>3.6779999999999999</v>
      </c>
      <c r="S1214">
        <v>4.117</v>
      </c>
      <c r="T1214">
        <v>0</v>
      </c>
      <c r="U1214">
        <v>95.8</v>
      </c>
      <c r="V1214">
        <v>893</v>
      </c>
      <c r="W1214">
        <v>38.909999999999997</v>
      </c>
      <c r="Y1214">
        <v>13.13</v>
      </c>
    </row>
    <row r="1215" spans="1:25" x14ac:dyDescent="0.25">
      <c r="A1215">
        <v>2006</v>
      </c>
      <c r="B1215">
        <v>350</v>
      </c>
      <c r="C1215">
        <v>2200</v>
      </c>
      <c r="D1215">
        <v>-2.363</v>
      </c>
      <c r="E1215">
        <v>-43.35</v>
      </c>
      <c r="F1215">
        <v>3.7949999999999999</v>
      </c>
      <c r="G1215">
        <v>4.0359999999999996</v>
      </c>
      <c r="K1215">
        <v>2.3809999999999998</v>
      </c>
      <c r="L1215">
        <v>227.1</v>
      </c>
      <c r="M1215">
        <v>0</v>
      </c>
      <c r="O1215">
        <v>-11.19</v>
      </c>
      <c r="P1215">
        <v>-10.46</v>
      </c>
      <c r="Q1215">
        <v>3.6179999999999999</v>
      </c>
      <c r="S1215">
        <v>4.1050000000000004</v>
      </c>
      <c r="T1215">
        <v>0</v>
      </c>
      <c r="U1215">
        <v>96.3</v>
      </c>
      <c r="V1215">
        <v>892</v>
      </c>
      <c r="W1215">
        <v>38.880000000000003</v>
      </c>
      <c r="Y1215">
        <v>13.09</v>
      </c>
    </row>
    <row r="1216" spans="1:25" x14ac:dyDescent="0.25">
      <c r="A1216">
        <v>2006</v>
      </c>
      <c r="B1216">
        <v>350</v>
      </c>
      <c r="C1216">
        <v>2300</v>
      </c>
      <c r="D1216">
        <v>-1.4119999999999999</v>
      </c>
      <c r="E1216">
        <v>-13.41</v>
      </c>
      <c r="F1216">
        <v>3.93</v>
      </c>
      <c r="G1216">
        <v>4.1559999999999997</v>
      </c>
      <c r="K1216">
        <v>2.7589999999999999</v>
      </c>
      <c r="L1216">
        <v>226.8</v>
      </c>
      <c r="M1216">
        <v>0</v>
      </c>
      <c r="O1216">
        <v>-11.1</v>
      </c>
      <c r="P1216">
        <v>-10.42</v>
      </c>
      <c r="Q1216">
        <v>3.5590000000000002</v>
      </c>
      <c r="S1216">
        <v>4.0190000000000001</v>
      </c>
      <c r="T1216">
        <v>0</v>
      </c>
      <c r="U1216">
        <v>96.6</v>
      </c>
      <c r="V1216">
        <v>892</v>
      </c>
      <c r="W1216">
        <v>38.869999999999997</v>
      </c>
      <c r="Y1216">
        <v>13.06</v>
      </c>
    </row>
    <row r="1217" spans="1:25" x14ac:dyDescent="0.25">
      <c r="A1217">
        <v>2006</v>
      </c>
      <c r="B1217">
        <v>350</v>
      </c>
      <c r="C1217">
        <v>2400</v>
      </c>
      <c r="D1217">
        <v>-2.2389999999999999</v>
      </c>
      <c r="E1217">
        <v>-28.53</v>
      </c>
      <c r="F1217">
        <v>3.653</v>
      </c>
      <c r="G1217">
        <v>3.8519999999999999</v>
      </c>
      <c r="K1217">
        <v>2.64</v>
      </c>
      <c r="L1217">
        <v>226.8</v>
      </c>
      <c r="M1217">
        <v>0</v>
      </c>
      <c r="O1217">
        <v>-11.07</v>
      </c>
      <c r="P1217">
        <v>-10.4</v>
      </c>
      <c r="Q1217">
        <v>3.524</v>
      </c>
      <c r="S1217">
        <v>4.008</v>
      </c>
      <c r="T1217">
        <v>0</v>
      </c>
      <c r="U1217">
        <v>97</v>
      </c>
      <c r="V1217">
        <v>892</v>
      </c>
      <c r="W1217">
        <v>38.869999999999997</v>
      </c>
      <c r="Y1217">
        <v>13.04</v>
      </c>
    </row>
    <row r="1218" spans="1:25" x14ac:dyDescent="0.25">
      <c r="A1218">
        <v>2006</v>
      </c>
      <c r="B1218">
        <v>350</v>
      </c>
      <c r="C1218">
        <v>2400</v>
      </c>
      <c r="D1218">
        <v>30.07</v>
      </c>
      <c r="E1218">
        <v>-8.8699999999999992</v>
      </c>
      <c r="F1218">
        <v>3.37</v>
      </c>
      <c r="G1218">
        <v>3.7120000000000002</v>
      </c>
      <c r="K1218">
        <v>2.2570000000000001</v>
      </c>
      <c r="L1218">
        <v>225.2</v>
      </c>
      <c r="M1218">
        <v>0.2</v>
      </c>
      <c r="O1218">
        <v>25.64</v>
      </c>
      <c r="P1218">
        <v>10.36</v>
      </c>
      <c r="Q1218">
        <v>3.8450000000000002</v>
      </c>
      <c r="S1218">
        <v>4.4290000000000003</v>
      </c>
      <c r="T1218">
        <v>0</v>
      </c>
      <c r="U1218">
        <v>94.7</v>
      </c>
      <c r="V1218">
        <v>898</v>
      </c>
      <c r="W1218">
        <v>39.26</v>
      </c>
      <c r="Y1218">
        <v>13.26</v>
      </c>
    </row>
    <row r="1219" spans="1:25" x14ac:dyDescent="0.25">
      <c r="A1219">
        <v>2006</v>
      </c>
      <c r="B1219">
        <v>351</v>
      </c>
      <c r="C1219">
        <v>100</v>
      </c>
      <c r="D1219">
        <v>-2.254</v>
      </c>
      <c r="E1219">
        <v>-23.38</v>
      </c>
      <c r="F1219">
        <v>3.4380000000000002</v>
      </c>
      <c r="G1219">
        <v>3.7</v>
      </c>
      <c r="K1219">
        <v>2.8719999999999999</v>
      </c>
      <c r="L1219">
        <v>226.8</v>
      </c>
      <c r="M1219">
        <v>0</v>
      </c>
      <c r="O1219">
        <v>-11</v>
      </c>
      <c r="P1219">
        <v>-10.33</v>
      </c>
      <c r="Q1219">
        <v>3.508</v>
      </c>
      <c r="S1219">
        <v>3.9849999999999999</v>
      </c>
      <c r="T1219">
        <v>0</v>
      </c>
      <c r="U1219">
        <v>96</v>
      </c>
      <c r="V1219">
        <v>892</v>
      </c>
      <c r="W1219">
        <v>38.83</v>
      </c>
      <c r="Y1219">
        <v>13.02</v>
      </c>
    </row>
    <row r="1220" spans="1:25" x14ac:dyDescent="0.25">
      <c r="A1220">
        <v>2006</v>
      </c>
      <c r="B1220">
        <v>351</v>
      </c>
      <c r="C1220">
        <v>200</v>
      </c>
      <c r="D1220">
        <v>-1.9219999999999999</v>
      </c>
      <c r="E1220">
        <v>-19.920000000000002</v>
      </c>
      <c r="F1220">
        <v>3.4830000000000001</v>
      </c>
      <c r="G1220">
        <v>3.7549999999999999</v>
      </c>
      <c r="K1220">
        <v>2.4670000000000001</v>
      </c>
      <c r="L1220">
        <v>227.1</v>
      </c>
      <c r="M1220">
        <v>0</v>
      </c>
      <c r="O1220">
        <v>-11.03</v>
      </c>
      <c r="P1220">
        <v>-10.37</v>
      </c>
      <c r="Q1220">
        <v>3.4609999999999999</v>
      </c>
      <c r="S1220">
        <v>3.9079999999999999</v>
      </c>
      <c r="T1220">
        <v>0</v>
      </c>
      <c r="U1220">
        <v>95.8</v>
      </c>
      <c r="V1220">
        <v>892</v>
      </c>
      <c r="W1220">
        <v>38.82</v>
      </c>
      <c r="Y1220">
        <v>13</v>
      </c>
    </row>
    <row r="1221" spans="1:25" x14ac:dyDescent="0.25">
      <c r="A1221">
        <v>2006</v>
      </c>
      <c r="B1221">
        <v>351</v>
      </c>
      <c r="C1221">
        <v>300</v>
      </c>
      <c r="D1221">
        <v>-1.915</v>
      </c>
      <c r="E1221">
        <v>-17.86</v>
      </c>
      <c r="F1221">
        <v>3.2559999999999998</v>
      </c>
      <c r="G1221">
        <v>3.504</v>
      </c>
      <c r="K1221">
        <v>2.375</v>
      </c>
      <c r="L1221">
        <v>227</v>
      </c>
      <c r="M1221">
        <v>0</v>
      </c>
      <c r="O1221">
        <v>-11.01</v>
      </c>
      <c r="P1221">
        <v>-10.37</v>
      </c>
      <c r="Q1221">
        <v>3.419</v>
      </c>
      <c r="S1221">
        <v>3.903</v>
      </c>
      <c r="T1221">
        <v>0</v>
      </c>
      <c r="U1221">
        <v>96.1</v>
      </c>
      <c r="V1221">
        <v>891</v>
      </c>
      <c r="W1221">
        <v>38.770000000000003</v>
      </c>
      <c r="Y1221">
        <v>12.99</v>
      </c>
    </row>
    <row r="1222" spans="1:25" x14ac:dyDescent="0.25">
      <c r="A1222">
        <v>2006</v>
      </c>
      <c r="B1222">
        <v>351</v>
      </c>
      <c r="C1222">
        <v>400</v>
      </c>
      <c r="D1222">
        <v>-1.444</v>
      </c>
      <c r="E1222">
        <v>-10.64</v>
      </c>
      <c r="F1222">
        <v>3.7890000000000001</v>
      </c>
      <c r="G1222">
        <v>4.0830000000000002</v>
      </c>
      <c r="K1222">
        <v>2.83</v>
      </c>
      <c r="L1222">
        <v>226.7</v>
      </c>
      <c r="M1222">
        <v>0</v>
      </c>
      <c r="O1222">
        <v>-10.94</v>
      </c>
      <c r="P1222">
        <v>-10.3</v>
      </c>
      <c r="Q1222">
        <v>3.3719999999999999</v>
      </c>
      <c r="S1222">
        <v>3.9060000000000001</v>
      </c>
      <c r="T1222">
        <v>0</v>
      </c>
      <c r="U1222">
        <v>95.5</v>
      </c>
      <c r="V1222">
        <v>891</v>
      </c>
      <c r="W1222">
        <v>38.76</v>
      </c>
      <c r="Y1222">
        <v>12.98</v>
      </c>
    </row>
    <row r="1223" spans="1:25" x14ac:dyDescent="0.25">
      <c r="A1223">
        <v>2006</v>
      </c>
      <c r="B1223">
        <v>351</v>
      </c>
      <c r="C1223">
        <v>500</v>
      </c>
      <c r="D1223">
        <v>-1.7749999999999999</v>
      </c>
      <c r="E1223">
        <v>-20.49</v>
      </c>
      <c r="F1223">
        <v>3.702</v>
      </c>
      <c r="G1223">
        <v>3.9830000000000001</v>
      </c>
      <c r="K1223">
        <v>2.4020000000000001</v>
      </c>
      <c r="L1223">
        <v>226.6</v>
      </c>
      <c r="M1223">
        <v>0</v>
      </c>
      <c r="O1223">
        <v>-10.98</v>
      </c>
      <c r="P1223">
        <v>-10.32</v>
      </c>
      <c r="Q1223">
        <v>3.4009999999999998</v>
      </c>
      <c r="S1223">
        <v>3.85</v>
      </c>
      <c r="T1223">
        <v>0</v>
      </c>
      <c r="U1223">
        <v>95.7</v>
      </c>
      <c r="V1223">
        <v>890</v>
      </c>
      <c r="W1223">
        <v>38.71</v>
      </c>
      <c r="Y1223">
        <v>12.97</v>
      </c>
    </row>
    <row r="1224" spans="1:25" x14ac:dyDescent="0.25">
      <c r="A1224">
        <v>2006</v>
      </c>
      <c r="B1224">
        <v>351</v>
      </c>
      <c r="C1224">
        <v>600</v>
      </c>
      <c r="D1224">
        <v>-1.444</v>
      </c>
      <c r="E1224">
        <v>-14.79</v>
      </c>
      <c r="F1224">
        <v>3.427</v>
      </c>
      <c r="G1224">
        <v>3.6539999999999999</v>
      </c>
      <c r="K1224">
        <v>2.218</v>
      </c>
      <c r="L1224">
        <v>227.3</v>
      </c>
      <c r="M1224">
        <v>0</v>
      </c>
      <c r="O1224">
        <v>-11.01</v>
      </c>
      <c r="P1224">
        <v>-10.34</v>
      </c>
      <c r="Q1224">
        <v>3.415</v>
      </c>
      <c r="S1224">
        <v>3.79</v>
      </c>
      <c r="T1224">
        <v>0</v>
      </c>
      <c r="U1224">
        <v>96.5</v>
      </c>
      <c r="V1224">
        <v>890</v>
      </c>
      <c r="W1224">
        <v>38.68</v>
      </c>
      <c r="Y1224">
        <v>12.96</v>
      </c>
    </row>
    <row r="1225" spans="1:25" x14ac:dyDescent="0.25">
      <c r="A1225">
        <v>2006</v>
      </c>
      <c r="B1225">
        <v>351</v>
      </c>
      <c r="C1225">
        <v>700</v>
      </c>
      <c r="D1225">
        <v>-1.21</v>
      </c>
      <c r="E1225">
        <v>-12.77</v>
      </c>
      <c r="F1225">
        <v>3.4609999999999999</v>
      </c>
      <c r="G1225">
        <v>3.6890000000000001</v>
      </c>
      <c r="K1225">
        <v>1.82</v>
      </c>
      <c r="L1225">
        <v>226.2</v>
      </c>
      <c r="M1225">
        <v>0</v>
      </c>
      <c r="O1225">
        <v>-11.01</v>
      </c>
      <c r="P1225">
        <v>-10.36</v>
      </c>
      <c r="Q1225">
        <v>3.4119999999999999</v>
      </c>
      <c r="S1225">
        <v>3.79</v>
      </c>
      <c r="T1225">
        <v>0</v>
      </c>
      <c r="U1225">
        <v>96.5</v>
      </c>
      <c r="V1225">
        <v>889</v>
      </c>
      <c r="W1225">
        <v>38.630000000000003</v>
      </c>
      <c r="Y1225">
        <v>12.95</v>
      </c>
    </row>
    <row r="1226" spans="1:25" x14ac:dyDescent="0.25">
      <c r="A1226">
        <v>2006</v>
      </c>
      <c r="B1226">
        <v>351</v>
      </c>
      <c r="C1226">
        <v>800</v>
      </c>
      <c r="D1226">
        <v>-2.278</v>
      </c>
      <c r="E1226">
        <v>-25.63</v>
      </c>
      <c r="F1226">
        <v>3.2080000000000002</v>
      </c>
      <c r="G1226">
        <v>3.4580000000000002</v>
      </c>
      <c r="K1226">
        <v>1.635</v>
      </c>
      <c r="L1226">
        <v>226.7</v>
      </c>
      <c r="M1226">
        <v>0</v>
      </c>
      <c r="O1226">
        <v>-10.98</v>
      </c>
      <c r="P1226">
        <v>-10.36</v>
      </c>
      <c r="Q1226">
        <v>3.4159999999999999</v>
      </c>
      <c r="S1226">
        <v>3.794</v>
      </c>
      <c r="T1226">
        <v>0</v>
      </c>
      <c r="U1226">
        <v>96.1</v>
      </c>
      <c r="V1226">
        <v>888</v>
      </c>
      <c r="W1226">
        <v>38.590000000000003</v>
      </c>
      <c r="Y1226">
        <v>12.95</v>
      </c>
    </row>
    <row r="1227" spans="1:25" x14ac:dyDescent="0.25">
      <c r="A1227">
        <v>2006</v>
      </c>
      <c r="B1227">
        <v>351</v>
      </c>
      <c r="C1227">
        <v>900</v>
      </c>
      <c r="D1227">
        <v>3.218</v>
      </c>
      <c r="E1227">
        <v>-18.690000000000001</v>
      </c>
      <c r="F1227">
        <v>2.786</v>
      </c>
      <c r="G1227">
        <v>3.03</v>
      </c>
      <c r="H1227">
        <f>AVERAGE(G1227:G1251)</f>
        <v>5.3720000000000008</v>
      </c>
      <c r="I1227">
        <f>MIN(G1227:G1251)</f>
        <v>3.03</v>
      </c>
      <c r="J1227">
        <f>MAX(G1227:G1251)</f>
        <v>6.1020000000000003</v>
      </c>
      <c r="K1227">
        <v>1.099</v>
      </c>
      <c r="L1227">
        <v>225.8</v>
      </c>
      <c r="M1227">
        <v>0</v>
      </c>
      <c r="N1227">
        <f>SUM(M1227:M1251)</f>
        <v>2</v>
      </c>
      <c r="O1227">
        <v>-2.8410000000000002</v>
      </c>
      <c r="P1227">
        <v>-8.2100000000000009</v>
      </c>
      <c r="Q1227">
        <v>3.3849999999999998</v>
      </c>
      <c r="S1227">
        <v>3.7480000000000002</v>
      </c>
      <c r="T1227">
        <v>0</v>
      </c>
      <c r="U1227">
        <v>96.1</v>
      </c>
      <c r="V1227">
        <v>888</v>
      </c>
      <c r="W1227">
        <v>38.58</v>
      </c>
      <c r="Y1227">
        <v>12.94</v>
      </c>
    </row>
    <row r="1228" spans="1:25" x14ac:dyDescent="0.25">
      <c r="A1228">
        <v>2006</v>
      </c>
      <c r="B1228">
        <v>351</v>
      </c>
      <c r="C1228">
        <v>1000</v>
      </c>
      <c r="D1228">
        <v>41.45</v>
      </c>
      <c r="E1228">
        <v>13.54</v>
      </c>
      <c r="F1228">
        <v>3.0739999999999998</v>
      </c>
      <c r="G1228">
        <v>3.323</v>
      </c>
      <c r="K1228">
        <v>1.1839999999999999</v>
      </c>
      <c r="L1228">
        <v>223.4</v>
      </c>
      <c r="M1228">
        <v>0</v>
      </c>
      <c r="O1228">
        <v>40.43</v>
      </c>
      <c r="P1228">
        <v>4.7809999999999997</v>
      </c>
      <c r="Q1228">
        <v>3.3050000000000002</v>
      </c>
      <c r="S1228">
        <v>3.7309999999999999</v>
      </c>
      <c r="T1228">
        <v>0</v>
      </c>
      <c r="U1228">
        <v>96.1</v>
      </c>
      <c r="V1228">
        <v>888</v>
      </c>
      <c r="W1228">
        <v>38.57</v>
      </c>
      <c r="Y1228">
        <v>13.13</v>
      </c>
    </row>
    <row r="1229" spans="1:25" x14ac:dyDescent="0.25">
      <c r="A1229">
        <v>2006</v>
      </c>
      <c r="B1229">
        <v>351</v>
      </c>
      <c r="C1229">
        <v>1100</v>
      </c>
      <c r="D1229">
        <v>58.88</v>
      </c>
      <c r="E1229">
        <v>40.130000000000003</v>
      </c>
      <c r="F1229">
        <v>4.1609999999999996</v>
      </c>
      <c r="G1229">
        <v>4.5110000000000001</v>
      </c>
      <c r="K1229">
        <v>1.234</v>
      </c>
      <c r="L1229">
        <v>226.7</v>
      </c>
      <c r="M1229">
        <v>0</v>
      </c>
      <c r="O1229">
        <v>66.28</v>
      </c>
      <c r="P1229">
        <v>4.7119999999999997</v>
      </c>
      <c r="Q1229">
        <v>3.2610000000000001</v>
      </c>
      <c r="S1229">
        <v>3.72</v>
      </c>
      <c r="T1229">
        <v>0</v>
      </c>
      <c r="U1229">
        <v>94.8</v>
      </c>
      <c r="V1229">
        <v>888</v>
      </c>
      <c r="W1229">
        <v>38.53</v>
      </c>
      <c r="Y1229">
        <v>13.4</v>
      </c>
    </row>
    <row r="1230" spans="1:25" x14ac:dyDescent="0.25">
      <c r="A1230">
        <v>2006</v>
      </c>
      <c r="B1230">
        <v>351</v>
      </c>
      <c r="C1230">
        <v>1200</v>
      </c>
      <c r="D1230">
        <v>72</v>
      </c>
      <c r="E1230">
        <v>47.27</v>
      </c>
      <c r="F1230">
        <v>4.7229999999999999</v>
      </c>
      <c r="G1230">
        <v>5.13</v>
      </c>
      <c r="K1230">
        <v>1.1499999999999999</v>
      </c>
      <c r="L1230">
        <v>224.9</v>
      </c>
      <c r="M1230">
        <v>0</v>
      </c>
      <c r="O1230">
        <v>81.5</v>
      </c>
      <c r="P1230">
        <v>7.79</v>
      </c>
      <c r="Q1230">
        <v>3.371</v>
      </c>
      <c r="S1230">
        <v>3.7389999999999999</v>
      </c>
      <c r="T1230">
        <v>0</v>
      </c>
      <c r="U1230">
        <v>94.1</v>
      </c>
      <c r="V1230">
        <v>887</v>
      </c>
      <c r="W1230">
        <v>38.479999999999997</v>
      </c>
      <c r="Y1230">
        <v>13.43</v>
      </c>
    </row>
    <row r="1231" spans="1:25" x14ac:dyDescent="0.25">
      <c r="A1231">
        <v>2006</v>
      </c>
      <c r="B1231">
        <v>351</v>
      </c>
      <c r="C1231">
        <v>1300</v>
      </c>
      <c r="D1231">
        <v>70.8</v>
      </c>
      <c r="E1231">
        <v>44.63</v>
      </c>
      <c r="F1231">
        <v>5.2430000000000003</v>
      </c>
      <c r="G1231">
        <v>5.6680000000000001</v>
      </c>
      <c r="K1231">
        <v>0.80200000000000005</v>
      </c>
      <c r="L1231">
        <v>219.5</v>
      </c>
      <c r="M1231">
        <v>0</v>
      </c>
      <c r="O1231">
        <v>78.8</v>
      </c>
      <c r="P1231">
        <v>7.64</v>
      </c>
      <c r="Q1231">
        <v>3.6150000000000002</v>
      </c>
      <c r="S1231">
        <v>3.7810000000000001</v>
      </c>
      <c r="T1231">
        <v>0</v>
      </c>
      <c r="U1231">
        <v>94</v>
      </c>
      <c r="V1231">
        <v>886</v>
      </c>
      <c r="W1231">
        <v>38.43</v>
      </c>
      <c r="Y1231">
        <v>13.43</v>
      </c>
    </row>
    <row r="1232" spans="1:25" x14ac:dyDescent="0.25">
      <c r="A1232">
        <v>2006</v>
      </c>
      <c r="B1232">
        <v>351</v>
      </c>
      <c r="C1232">
        <v>1400</v>
      </c>
      <c r="D1232">
        <v>83.1</v>
      </c>
      <c r="E1232">
        <v>45</v>
      </c>
      <c r="F1232">
        <v>5.5439999999999996</v>
      </c>
      <c r="G1232">
        <v>6.01</v>
      </c>
      <c r="K1232">
        <v>0.77800000000000002</v>
      </c>
      <c r="L1232">
        <v>205</v>
      </c>
      <c r="M1232">
        <v>0</v>
      </c>
      <c r="O1232">
        <v>98.9</v>
      </c>
      <c r="P1232">
        <v>12.98</v>
      </c>
      <c r="Q1232">
        <v>3.839</v>
      </c>
      <c r="S1232">
        <v>3.734</v>
      </c>
      <c r="T1232">
        <v>0</v>
      </c>
      <c r="U1232">
        <v>93.5</v>
      </c>
      <c r="V1232">
        <v>885</v>
      </c>
      <c r="W1232">
        <v>38.369999999999997</v>
      </c>
      <c r="Y1232">
        <v>13.52</v>
      </c>
    </row>
    <row r="1233" spans="1:25" x14ac:dyDescent="0.25">
      <c r="A1233">
        <v>2006</v>
      </c>
      <c r="B1233">
        <v>351</v>
      </c>
      <c r="C1233">
        <v>1500</v>
      </c>
      <c r="D1233">
        <v>57.34</v>
      </c>
      <c r="E1233">
        <v>14.52</v>
      </c>
      <c r="F1233">
        <v>5.4950000000000001</v>
      </c>
      <c r="G1233">
        <v>5.9690000000000003</v>
      </c>
      <c r="K1233">
        <v>0.98299999999999998</v>
      </c>
      <c r="L1233">
        <v>184.1</v>
      </c>
      <c r="M1233">
        <v>0</v>
      </c>
      <c r="O1233">
        <v>64.52</v>
      </c>
      <c r="P1233">
        <v>12.91</v>
      </c>
      <c r="Q1233">
        <v>4.0629999999999997</v>
      </c>
      <c r="S1233">
        <v>3.742</v>
      </c>
      <c r="T1233">
        <v>0</v>
      </c>
      <c r="U1233">
        <v>93.3</v>
      </c>
      <c r="V1233">
        <v>885</v>
      </c>
      <c r="W1233">
        <v>38.340000000000003</v>
      </c>
      <c r="Y1233">
        <v>13.52</v>
      </c>
    </row>
    <row r="1234" spans="1:25" x14ac:dyDescent="0.25">
      <c r="A1234">
        <v>2006</v>
      </c>
      <c r="B1234">
        <v>351</v>
      </c>
      <c r="C1234">
        <v>1600</v>
      </c>
      <c r="D1234">
        <v>13.43</v>
      </c>
      <c r="E1234">
        <v>-1.6519999999999999</v>
      </c>
      <c r="F1234">
        <v>5.4459999999999997</v>
      </c>
      <c r="G1234">
        <v>5.8609999999999998</v>
      </c>
      <c r="K1234">
        <v>1.385</v>
      </c>
      <c r="L1234">
        <v>198.2</v>
      </c>
      <c r="M1234">
        <v>0</v>
      </c>
      <c r="O1234">
        <v>7.6</v>
      </c>
      <c r="P1234">
        <v>-6.8470000000000004</v>
      </c>
      <c r="Q1234">
        <v>4.2240000000000002</v>
      </c>
      <c r="S1234">
        <v>3.8010000000000002</v>
      </c>
      <c r="T1234">
        <v>0</v>
      </c>
      <c r="U1234">
        <v>94.1</v>
      </c>
      <c r="V1234">
        <v>885</v>
      </c>
      <c r="W1234">
        <v>38.36</v>
      </c>
      <c r="Y1234">
        <v>13.41</v>
      </c>
    </row>
    <row r="1235" spans="1:25" x14ac:dyDescent="0.25">
      <c r="A1235">
        <v>2006</v>
      </c>
      <c r="B1235">
        <v>351</v>
      </c>
      <c r="C1235">
        <v>1700</v>
      </c>
      <c r="D1235">
        <v>-1.113</v>
      </c>
      <c r="E1235">
        <v>-20.16</v>
      </c>
      <c r="F1235">
        <v>5.28</v>
      </c>
      <c r="G1235">
        <v>5.6890000000000001</v>
      </c>
      <c r="K1235">
        <v>1.0389999999999999</v>
      </c>
      <c r="L1235">
        <v>199</v>
      </c>
      <c r="M1235">
        <v>0</v>
      </c>
      <c r="O1235">
        <v>-10.75</v>
      </c>
      <c r="P1235">
        <v>-10.57</v>
      </c>
      <c r="Q1235">
        <v>4.3029999999999999</v>
      </c>
      <c r="S1235">
        <v>3.8279999999999998</v>
      </c>
      <c r="T1235">
        <v>0</v>
      </c>
      <c r="U1235">
        <v>94.2</v>
      </c>
      <c r="V1235">
        <v>884</v>
      </c>
      <c r="W1235">
        <v>38.270000000000003</v>
      </c>
      <c r="Y1235">
        <v>13.28</v>
      </c>
    </row>
    <row r="1236" spans="1:25" x14ac:dyDescent="0.25">
      <c r="A1236">
        <v>2006</v>
      </c>
      <c r="B1236">
        <v>351</v>
      </c>
      <c r="C1236">
        <v>1800</v>
      </c>
      <c r="D1236">
        <v>-2.202</v>
      </c>
      <c r="E1236">
        <v>-27.27</v>
      </c>
      <c r="F1236">
        <v>4.6509999999999998</v>
      </c>
      <c r="G1236">
        <v>4.9989999999999997</v>
      </c>
      <c r="K1236">
        <v>0.92400000000000004</v>
      </c>
      <c r="L1236">
        <v>150.4</v>
      </c>
      <c r="M1236">
        <v>0</v>
      </c>
      <c r="O1236">
        <v>-11.47</v>
      </c>
      <c r="P1236">
        <v>-10.79</v>
      </c>
      <c r="Q1236">
        <v>4.3579999999999997</v>
      </c>
      <c r="S1236">
        <v>3.95</v>
      </c>
      <c r="T1236">
        <v>0</v>
      </c>
      <c r="U1236">
        <v>94.9</v>
      </c>
      <c r="V1236">
        <v>883</v>
      </c>
      <c r="W1236">
        <v>38.22</v>
      </c>
      <c r="Y1236">
        <v>13.19</v>
      </c>
    </row>
    <row r="1237" spans="1:25" x14ac:dyDescent="0.25">
      <c r="A1237">
        <v>2006</v>
      </c>
      <c r="B1237">
        <v>351</v>
      </c>
      <c r="C1237">
        <v>1900</v>
      </c>
      <c r="D1237">
        <v>-1.385</v>
      </c>
      <c r="E1237">
        <v>-16.66</v>
      </c>
      <c r="F1237">
        <v>4.7309999999999999</v>
      </c>
      <c r="G1237">
        <v>5.1260000000000003</v>
      </c>
      <c r="K1237">
        <v>1.083</v>
      </c>
      <c r="L1237">
        <v>141.1</v>
      </c>
      <c r="M1237">
        <v>0</v>
      </c>
      <c r="O1237">
        <v>-11.41</v>
      </c>
      <c r="P1237">
        <v>-10.7</v>
      </c>
      <c r="Q1237">
        <v>4.3369999999999997</v>
      </c>
      <c r="S1237">
        <v>4.0030000000000001</v>
      </c>
      <c r="T1237">
        <v>0</v>
      </c>
      <c r="U1237">
        <v>94.3</v>
      </c>
      <c r="V1237">
        <v>881</v>
      </c>
      <c r="W1237">
        <v>38.07</v>
      </c>
      <c r="Y1237">
        <v>13.13</v>
      </c>
    </row>
    <row r="1238" spans="1:25" x14ac:dyDescent="0.25">
      <c r="A1238">
        <v>2006</v>
      </c>
      <c r="B1238">
        <v>351</v>
      </c>
      <c r="C1238">
        <v>2000</v>
      </c>
      <c r="D1238">
        <v>-1.4770000000000001</v>
      </c>
      <c r="E1238">
        <v>-15.18</v>
      </c>
      <c r="F1238">
        <v>4.8330000000000002</v>
      </c>
      <c r="G1238">
        <v>5.4450000000000003</v>
      </c>
      <c r="K1238">
        <v>0.92200000000000004</v>
      </c>
      <c r="L1238">
        <v>138.4</v>
      </c>
      <c r="M1238">
        <v>0</v>
      </c>
      <c r="O1238">
        <v>-11.44</v>
      </c>
      <c r="P1238">
        <v>-10.7</v>
      </c>
      <c r="Q1238">
        <v>4.3170000000000002</v>
      </c>
      <c r="S1238">
        <v>4.0229999999999997</v>
      </c>
      <c r="T1238">
        <v>0</v>
      </c>
      <c r="U1238">
        <v>91.3</v>
      </c>
      <c r="V1238">
        <v>882</v>
      </c>
      <c r="W1238">
        <v>38.159999999999997</v>
      </c>
      <c r="Y1238">
        <v>13.07</v>
      </c>
    </row>
    <row r="1239" spans="1:25" x14ac:dyDescent="0.25">
      <c r="A1239">
        <v>2006</v>
      </c>
      <c r="B1239">
        <v>351</v>
      </c>
      <c r="C1239">
        <v>2100</v>
      </c>
      <c r="D1239">
        <v>-1.095</v>
      </c>
      <c r="E1239">
        <v>-5.83</v>
      </c>
      <c r="F1239">
        <v>5.3769999999999998</v>
      </c>
      <c r="G1239">
        <v>5.8280000000000003</v>
      </c>
      <c r="K1239">
        <v>0.93600000000000005</v>
      </c>
      <c r="L1239">
        <v>156.69999999999999</v>
      </c>
      <c r="M1239">
        <v>0.4</v>
      </c>
      <c r="O1239">
        <v>-11.4</v>
      </c>
      <c r="P1239">
        <v>-10.67</v>
      </c>
      <c r="Q1239">
        <v>4.3170000000000002</v>
      </c>
      <c r="S1239">
        <v>4.1020000000000003</v>
      </c>
      <c r="T1239">
        <v>0</v>
      </c>
      <c r="U1239">
        <v>93.6</v>
      </c>
      <c r="V1239">
        <v>882</v>
      </c>
      <c r="W1239">
        <v>38.17</v>
      </c>
      <c r="Y1239">
        <v>13.03</v>
      </c>
    </row>
    <row r="1240" spans="1:25" x14ac:dyDescent="0.25">
      <c r="A1240">
        <v>2006</v>
      </c>
      <c r="B1240">
        <v>351</v>
      </c>
      <c r="C1240">
        <v>2200</v>
      </c>
      <c r="D1240">
        <v>-0.68500000000000005</v>
      </c>
      <c r="E1240">
        <v>-4.6429999999999998</v>
      </c>
      <c r="F1240">
        <v>5.718</v>
      </c>
      <c r="G1240">
        <v>5.9889999999999999</v>
      </c>
      <c r="K1240">
        <v>0.85299999999999998</v>
      </c>
      <c r="L1240">
        <v>138.30000000000001</v>
      </c>
      <c r="M1240">
        <v>0.2</v>
      </c>
      <c r="O1240">
        <v>-11.43</v>
      </c>
      <c r="P1240">
        <v>-10.69</v>
      </c>
      <c r="Q1240">
        <v>4.3</v>
      </c>
      <c r="S1240">
        <v>4.0940000000000003</v>
      </c>
      <c r="T1240">
        <v>0</v>
      </c>
      <c r="U1240">
        <v>96.2</v>
      </c>
      <c r="V1240">
        <v>887</v>
      </c>
      <c r="W1240">
        <v>38.51</v>
      </c>
      <c r="Y1240">
        <v>13</v>
      </c>
    </row>
    <row r="1241" spans="1:25" x14ac:dyDescent="0.25">
      <c r="A1241">
        <v>2006</v>
      </c>
      <c r="B1241">
        <v>351</v>
      </c>
      <c r="C1241">
        <v>2300</v>
      </c>
      <c r="D1241">
        <v>-0.57499999999999996</v>
      </c>
      <c r="E1241">
        <v>-3.2440000000000002</v>
      </c>
      <c r="F1241">
        <v>5.85</v>
      </c>
      <c r="G1241">
        <v>6.0990000000000002</v>
      </c>
      <c r="K1241">
        <v>0.94599999999999995</v>
      </c>
      <c r="L1241">
        <v>133.30000000000001</v>
      </c>
      <c r="M1241">
        <v>0</v>
      </c>
      <c r="O1241">
        <v>-11.44</v>
      </c>
      <c r="P1241">
        <v>-10.69</v>
      </c>
      <c r="Q1241">
        <v>4.3380000000000001</v>
      </c>
      <c r="S1241">
        <v>4.07</v>
      </c>
      <c r="T1241">
        <v>0</v>
      </c>
      <c r="U1241">
        <v>96.5</v>
      </c>
      <c r="V1241">
        <v>887</v>
      </c>
      <c r="W1241">
        <v>38.520000000000003</v>
      </c>
      <c r="Y1241">
        <v>12.98</v>
      </c>
    </row>
    <row r="1242" spans="1:25" x14ac:dyDescent="0.25">
      <c r="A1242">
        <v>2006</v>
      </c>
      <c r="B1242">
        <v>351</v>
      </c>
      <c r="C1242">
        <v>2400</v>
      </c>
      <c r="D1242">
        <v>-0.56499999999999995</v>
      </c>
      <c r="E1242">
        <v>-0.317</v>
      </c>
      <c r="F1242">
        <v>5.85</v>
      </c>
      <c r="G1242">
        <v>6.0129999999999999</v>
      </c>
      <c r="K1242">
        <v>0.68700000000000006</v>
      </c>
      <c r="L1242">
        <v>138.4</v>
      </c>
      <c r="M1242">
        <v>0.4</v>
      </c>
      <c r="O1242">
        <v>-11.47</v>
      </c>
      <c r="P1242">
        <v>-10.77</v>
      </c>
      <c r="Q1242">
        <v>4.4009999999999998</v>
      </c>
      <c r="S1242">
        <v>4.0650000000000004</v>
      </c>
      <c r="T1242">
        <v>0</v>
      </c>
      <c r="U1242">
        <v>97.7</v>
      </c>
      <c r="V1242">
        <v>887</v>
      </c>
      <c r="W1242">
        <v>38.51</v>
      </c>
      <c r="Y1242">
        <v>12.96</v>
      </c>
    </row>
    <row r="1243" spans="1:25" x14ac:dyDescent="0.25">
      <c r="A1243">
        <v>2006</v>
      </c>
      <c r="B1243">
        <v>351</v>
      </c>
      <c r="C1243">
        <v>2400</v>
      </c>
      <c r="D1243">
        <v>15.71</v>
      </c>
      <c r="E1243">
        <v>-2.2519999999999998</v>
      </c>
      <c r="F1243">
        <v>4.4390000000000001</v>
      </c>
      <c r="G1243">
        <v>4.7720000000000002</v>
      </c>
      <c r="K1243">
        <v>1.4430000000000001</v>
      </c>
      <c r="L1243">
        <v>200.5</v>
      </c>
      <c r="M1243">
        <v>1</v>
      </c>
      <c r="O1243">
        <v>10.69</v>
      </c>
      <c r="P1243">
        <v>-5.524</v>
      </c>
      <c r="Q1243">
        <v>3.798</v>
      </c>
      <c r="S1243">
        <v>3.8769999999999998</v>
      </c>
      <c r="T1243">
        <v>0</v>
      </c>
      <c r="U1243">
        <v>95.1</v>
      </c>
      <c r="V1243">
        <v>887</v>
      </c>
      <c r="W1243">
        <v>38.49</v>
      </c>
      <c r="Y1243">
        <v>13.14</v>
      </c>
    </row>
    <row r="1244" spans="1:25" x14ac:dyDescent="0.25">
      <c r="A1244">
        <v>2006</v>
      </c>
      <c r="B1244">
        <v>352</v>
      </c>
      <c r="C1244">
        <v>100</v>
      </c>
      <c r="D1244">
        <v>-0.51900000000000002</v>
      </c>
      <c r="E1244">
        <v>-1.5109999999999999</v>
      </c>
      <c r="F1244">
        <v>5.8840000000000003</v>
      </c>
      <c r="G1244">
        <v>6.0609999999999999</v>
      </c>
      <c r="K1244">
        <v>0.44800000000000001</v>
      </c>
      <c r="L1244">
        <v>164.8</v>
      </c>
      <c r="M1244">
        <v>0</v>
      </c>
      <c r="O1244">
        <v>-11.47</v>
      </c>
      <c r="P1244">
        <v>-10.78</v>
      </c>
      <c r="Q1244">
        <v>4.4710000000000001</v>
      </c>
      <c r="S1244">
        <v>4.0629999999999997</v>
      </c>
      <c r="T1244">
        <v>0</v>
      </c>
      <c r="U1244">
        <v>97.5</v>
      </c>
      <c r="V1244">
        <v>887</v>
      </c>
      <c r="W1244">
        <v>38.49</v>
      </c>
      <c r="Y1244">
        <v>12.95</v>
      </c>
    </row>
    <row r="1245" spans="1:25" x14ac:dyDescent="0.25">
      <c r="A1245">
        <v>2006</v>
      </c>
      <c r="B1245">
        <v>352</v>
      </c>
      <c r="C1245">
        <v>200</v>
      </c>
      <c r="D1245">
        <v>-0.26900000000000002</v>
      </c>
      <c r="E1245">
        <v>-0.79100000000000004</v>
      </c>
      <c r="F1245">
        <v>5.9619999999999997</v>
      </c>
      <c r="G1245">
        <v>6.1020000000000003</v>
      </c>
      <c r="K1245">
        <v>0.77900000000000003</v>
      </c>
      <c r="L1245">
        <v>211.7</v>
      </c>
      <c r="M1245">
        <v>0</v>
      </c>
      <c r="O1245">
        <v>-11.49</v>
      </c>
      <c r="P1245">
        <v>-10.78</v>
      </c>
      <c r="Q1245">
        <v>4.5389999999999997</v>
      </c>
      <c r="S1245">
        <v>4.125</v>
      </c>
      <c r="T1245">
        <v>0</v>
      </c>
      <c r="U1245">
        <v>98</v>
      </c>
      <c r="V1245">
        <v>885</v>
      </c>
      <c r="W1245">
        <v>38.380000000000003</v>
      </c>
      <c r="Y1245">
        <v>12.94</v>
      </c>
    </row>
    <row r="1246" spans="1:25" x14ac:dyDescent="0.25">
      <c r="A1246">
        <v>2006</v>
      </c>
      <c r="B1246">
        <v>352</v>
      </c>
      <c r="C1246">
        <v>300</v>
      </c>
      <c r="D1246">
        <v>-0.224</v>
      </c>
      <c r="E1246">
        <v>-1.732</v>
      </c>
      <c r="F1246">
        <v>5.8630000000000004</v>
      </c>
      <c r="G1246">
        <v>5.9930000000000003</v>
      </c>
      <c r="K1246">
        <v>0.99299999999999999</v>
      </c>
      <c r="L1246">
        <v>221.7</v>
      </c>
      <c r="M1246">
        <v>0</v>
      </c>
      <c r="O1246">
        <v>-11.48</v>
      </c>
      <c r="P1246">
        <v>-10.79</v>
      </c>
      <c r="Q1246">
        <v>4.601</v>
      </c>
      <c r="S1246">
        <v>4.1529999999999996</v>
      </c>
      <c r="T1246">
        <v>0</v>
      </c>
      <c r="U1246">
        <v>98.2</v>
      </c>
      <c r="V1246">
        <v>886</v>
      </c>
      <c r="W1246">
        <v>38.409999999999997</v>
      </c>
      <c r="Y1246">
        <v>12.93</v>
      </c>
    </row>
    <row r="1247" spans="1:25" x14ac:dyDescent="0.25">
      <c r="A1247">
        <v>2006</v>
      </c>
      <c r="B1247">
        <v>352</v>
      </c>
      <c r="C1247">
        <v>400</v>
      </c>
      <c r="D1247">
        <v>-2E-3</v>
      </c>
      <c r="E1247">
        <v>-0.91700000000000004</v>
      </c>
      <c r="F1247">
        <v>5.7670000000000003</v>
      </c>
      <c r="G1247">
        <v>5.92</v>
      </c>
      <c r="K1247">
        <v>0.874</v>
      </c>
      <c r="L1247">
        <v>227.7</v>
      </c>
      <c r="M1247">
        <v>0</v>
      </c>
      <c r="O1247">
        <v>-11.5</v>
      </c>
      <c r="P1247">
        <v>-10.82</v>
      </c>
      <c r="Q1247">
        <v>4.6559999999999997</v>
      </c>
      <c r="S1247">
        <v>4.1459999999999999</v>
      </c>
      <c r="T1247">
        <v>0</v>
      </c>
      <c r="U1247">
        <v>97.8</v>
      </c>
      <c r="V1247">
        <v>884</v>
      </c>
      <c r="W1247">
        <v>38.26</v>
      </c>
      <c r="Y1247">
        <v>12.93</v>
      </c>
    </row>
    <row r="1248" spans="1:25" x14ac:dyDescent="0.25">
      <c r="A1248">
        <v>2006</v>
      </c>
      <c r="B1248">
        <v>352</v>
      </c>
      <c r="C1248">
        <v>500</v>
      </c>
      <c r="D1248">
        <v>0</v>
      </c>
      <c r="E1248">
        <v>-0.9</v>
      </c>
      <c r="F1248">
        <v>5.5380000000000003</v>
      </c>
      <c r="G1248">
        <v>5.7110000000000003</v>
      </c>
      <c r="K1248">
        <v>0.77700000000000002</v>
      </c>
      <c r="L1248">
        <v>228.5</v>
      </c>
      <c r="M1248">
        <v>0</v>
      </c>
      <c r="O1248">
        <v>-11.49</v>
      </c>
      <c r="P1248">
        <v>-10.8</v>
      </c>
      <c r="Q1248">
        <v>4.72</v>
      </c>
      <c r="S1248">
        <v>4.1710000000000003</v>
      </c>
      <c r="T1248">
        <v>0</v>
      </c>
      <c r="U1248">
        <v>97.5</v>
      </c>
      <c r="V1248">
        <v>884</v>
      </c>
      <c r="W1248">
        <v>38.28</v>
      </c>
      <c r="Y1248">
        <v>12.93</v>
      </c>
    </row>
    <row r="1249" spans="1:25" x14ac:dyDescent="0.25">
      <c r="A1249">
        <v>2006</v>
      </c>
      <c r="B1249">
        <v>352</v>
      </c>
      <c r="C1249">
        <v>600</v>
      </c>
      <c r="D1249">
        <v>-0.98699999999999999</v>
      </c>
      <c r="E1249">
        <v>-13.93</v>
      </c>
      <c r="F1249">
        <v>4.8869999999999996</v>
      </c>
      <c r="G1249">
        <v>5.0449999999999999</v>
      </c>
      <c r="K1249">
        <v>0.66200000000000003</v>
      </c>
      <c r="L1249">
        <v>226.5</v>
      </c>
      <c r="M1249">
        <v>0</v>
      </c>
      <c r="O1249">
        <v>-11.47</v>
      </c>
      <c r="P1249">
        <v>-10.77</v>
      </c>
      <c r="Q1249">
        <v>4.7910000000000004</v>
      </c>
      <c r="S1249">
        <v>4.2430000000000003</v>
      </c>
      <c r="T1249">
        <v>0</v>
      </c>
      <c r="U1249">
        <v>97.7</v>
      </c>
      <c r="V1249">
        <v>882</v>
      </c>
      <c r="W1249">
        <v>38.17</v>
      </c>
      <c r="Y1249">
        <v>12.92</v>
      </c>
    </row>
    <row r="1250" spans="1:25" x14ac:dyDescent="0.25">
      <c r="A1250">
        <v>2006</v>
      </c>
      <c r="B1250">
        <v>352</v>
      </c>
      <c r="C1250">
        <v>700</v>
      </c>
      <c r="D1250">
        <v>-6.0000000000000001E-3</v>
      </c>
      <c r="E1250">
        <v>-0.63400000000000001</v>
      </c>
      <c r="F1250">
        <v>4.915</v>
      </c>
      <c r="G1250">
        <v>5.0419999999999998</v>
      </c>
      <c r="K1250">
        <v>1.103</v>
      </c>
      <c r="L1250">
        <v>237.4</v>
      </c>
      <c r="M1250">
        <v>0</v>
      </c>
      <c r="O1250">
        <v>-11.43</v>
      </c>
      <c r="P1250">
        <v>-10.72</v>
      </c>
      <c r="Q1250">
        <v>4.82</v>
      </c>
      <c r="S1250">
        <v>4.3099999999999996</v>
      </c>
      <c r="T1250">
        <v>0</v>
      </c>
      <c r="U1250">
        <v>98.1</v>
      </c>
      <c r="V1250">
        <v>882</v>
      </c>
      <c r="W1250">
        <v>38.15</v>
      </c>
      <c r="Y1250">
        <v>12.92</v>
      </c>
    </row>
    <row r="1251" spans="1:25" x14ac:dyDescent="0.25">
      <c r="A1251">
        <v>2006</v>
      </c>
      <c r="B1251">
        <v>352</v>
      </c>
      <c r="C1251">
        <v>800</v>
      </c>
      <c r="D1251">
        <v>0</v>
      </c>
      <c r="E1251">
        <v>-0.67500000000000004</v>
      </c>
      <c r="F1251">
        <v>4.8920000000000003</v>
      </c>
      <c r="G1251">
        <v>4.9640000000000004</v>
      </c>
      <c r="K1251">
        <v>1.2729999999999999</v>
      </c>
      <c r="L1251">
        <v>249.7</v>
      </c>
      <c r="M1251">
        <v>0</v>
      </c>
      <c r="O1251">
        <v>-11.41</v>
      </c>
      <c r="P1251">
        <v>-10.71</v>
      </c>
      <c r="Q1251">
        <v>4.843</v>
      </c>
      <c r="S1251">
        <v>4.3310000000000004</v>
      </c>
      <c r="T1251">
        <v>0</v>
      </c>
      <c r="U1251">
        <v>98.9</v>
      </c>
      <c r="V1251">
        <v>881</v>
      </c>
      <c r="W1251">
        <v>38.049999999999997</v>
      </c>
      <c r="Y1251">
        <v>12.92</v>
      </c>
    </row>
    <row r="1252" spans="1:25" x14ac:dyDescent="0.25">
      <c r="A1252">
        <v>2006</v>
      </c>
      <c r="B1252">
        <v>352</v>
      </c>
      <c r="C1252">
        <v>900</v>
      </c>
      <c r="D1252">
        <v>1.3340000000000001</v>
      </c>
      <c r="E1252">
        <v>-3.137</v>
      </c>
      <c r="F1252">
        <v>4.8079999999999998</v>
      </c>
      <c r="G1252">
        <v>4.9050000000000002</v>
      </c>
      <c r="H1252">
        <f>AVERAGE(G1252:G1276)</f>
        <v>1.8912</v>
      </c>
      <c r="I1252">
        <f>MIN(G1252:G1276)</f>
        <v>-1.645</v>
      </c>
      <c r="J1252">
        <f>MAX(G1252:G1276)</f>
        <v>5.4539999999999997</v>
      </c>
      <c r="K1252">
        <v>0.86099999999999999</v>
      </c>
      <c r="L1252">
        <v>259.89999999999998</v>
      </c>
      <c r="M1252">
        <v>0</v>
      </c>
      <c r="N1252">
        <f>SUM(M1252:M1276)</f>
        <v>0</v>
      </c>
      <c r="O1252">
        <v>-9.1199999999999992</v>
      </c>
      <c r="P1252">
        <v>-10.18</v>
      </c>
      <c r="Q1252">
        <v>4.8449999999999998</v>
      </c>
      <c r="S1252">
        <v>4.3289999999999997</v>
      </c>
      <c r="T1252">
        <v>0</v>
      </c>
      <c r="U1252">
        <v>98.6</v>
      </c>
      <c r="V1252">
        <v>881</v>
      </c>
      <c r="W1252">
        <v>38.08</v>
      </c>
      <c r="Y1252">
        <v>12.92</v>
      </c>
    </row>
    <row r="1253" spans="1:25" x14ac:dyDescent="0.25">
      <c r="A1253">
        <v>2006</v>
      </c>
      <c r="B1253">
        <v>352</v>
      </c>
      <c r="C1253">
        <v>1000</v>
      </c>
      <c r="D1253">
        <v>19</v>
      </c>
      <c r="E1253">
        <v>8.01</v>
      </c>
      <c r="F1253">
        <v>4.4539999999999997</v>
      </c>
      <c r="G1253">
        <v>4.548</v>
      </c>
      <c r="K1253">
        <v>0.97499999999999998</v>
      </c>
      <c r="L1253">
        <v>229.2</v>
      </c>
      <c r="M1253">
        <v>0</v>
      </c>
      <c r="O1253">
        <v>11.75</v>
      </c>
      <c r="P1253">
        <v>-6.0209999999999999</v>
      </c>
      <c r="Q1253">
        <v>4.8899999999999997</v>
      </c>
      <c r="S1253">
        <v>4.3319999999999999</v>
      </c>
      <c r="T1253">
        <v>0</v>
      </c>
      <c r="U1253">
        <v>98.6</v>
      </c>
      <c r="V1253">
        <v>881</v>
      </c>
      <c r="W1253">
        <v>38.08</v>
      </c>
      <c r="Y1253">
        <v>12.92</v>
      </c>
    </row>
    <row r="1254" spans="1:25" x14ac:dyDescent="0.25">
      <c r="A1254">
        <v>2006</v>
      </c>
      <c r="B1254">
        <v>352</v>
      </c>
      <c r="C1254">
        <v>1100</v>
      </c>
      <c r="D1254">
        <v>32.020000000000003</v>
      </c>
      <c r="E1254">
        <v>20.8</v>
      </c>
      <c r="F1254">
        <v>4.4610000000000003</v>
      </c>
      <c r="G1254">
        <v>4.5529999999999999</v>
      </c>
      <c r="K1254">
        <v>0.75600000000000001</v>
      </c>
      <c r="L1254">
        <v>229.5</v>
      </c>
      <c r="M1254">
        <v>0</v>
      </c>
      <c r="O1254">
        <v>27.97</v>
      </c>
      <c r="P1254">
        <v>-2.7480000000000002</v>
      </c>
      <c r="Q1254">
        <v>4.9009999999999998</v>
      </c>
      <c r="S1254">
        <v>4.3630000000000004</v>
      </c>
      <c r="T1254">
        <v>0</v>
      </c>
      <c r="U1254">
        <v>98.6</v>
      </c>
      <c r="V1254">
        <v>879</v>
      </c>
      <c r="W1254">
        <v>37.94</v>
      </c>
      <c r="Y1254">
        <v>12.94</v>
      </c>
    </row>
    <row r="1255" spans="1:25" x14ac:dyDescent="0.25">
      <c r="A1255">
        <v>2006</v>
      </c>
      <c r="B1255">
        <v>352</v>
      </c>
      <c r="C1255">
        <v>1200</v>
      </c>
      <c r="D1255">
        <v>41.27</v>
      </c>
      <c r="E1255">
        <v>27.54</v>
      </c>
      <c r="F1255">
        <v>4.6429999999999998</v>
      </c>
      <c r="G1255">
        <v>4.7270000000000003</v>
      </c>
      <c r="K1255">
        <v>1.08</v>
      </c>
      <c r="L1255">
        <v>229.6</v>
      </c>
      <c r="M1255">
        <v>0</v>
      </c>
      <c r="O1255">
        <v>40.950000000000003</v>
      </c>
      <c r="P1255">
        <v>-0.106</v>
      </c>
      <c r="Q1255">
        <v>4.9720000000000004</v>
      </c>
      <c r="S1255">
        <v>4.4370000000000003</v>
      </c>
      <c r="T1255">
        <v>0</v>
      </c>
      <c r="U1255">
        <v>98.8</v>
      </c>
      <c r="V1255">
        <v>878</v>
      </c>
      <c r="W1255">
        <v>37.880000000000003</v>
      </c>
      <c r="Y1255">
        <v>13.01</v>
      </c>
    </row>
    <row r="1256" spans="1:25" x14ac:dyDescent="0.25">
      <c r="A1256">
        <v>2006</v>
      </c>
      <c r="B1256">
        <v>352</v>
      </c>
      <c r="C1256">
        <v>1300</v>
      </c>
      <c r="D1256">
        <v>48.01</v>
      </c>
      <c r="E1256">
        <v>32.229999999999997</v>
      </c>
      <c r="F1256">
        <v>5.03</v>
      </c>
      <c r="G1256">
        <v>5.1150000000000002</v>
      </c>
      <c r="K1256">
        <v>0.95299999999999996</v>
      </c>
      <c r="L1256">
        <v>232.8</v>
      </c>
      <c r="M1256">
        <v>0</v>
      </c>
      <c r="O1256">
        <v>48.69</v>
      </c>
      <c r="P1256">
        <v>1.3049999999999999</v>
      </c>
      <c r="Q1256">
        <v>5.0670000000000002</v>
      </c>
      <c r="S1256">
        <v>4.4290000000000003</v>
      </c>
      <c r="T1256">
        <v>0</v>
      </c>
      <c r="U1256">
        <v>98.8</v>
      </c>
      <c r="V1256">
        <v>877</v>
      </c>
      <c r="W1256">
        <v>37.82</v>
      </c>
      <c r="Y1256">
        <v>13.11</v>
      </c>
    </row>
    <row r="1257" spans="1:25" x14ac:dyDescent="0.25">
      <c r="A1257">
        <v>2006</v>
      </c>
      <c r="B1257">
        <v>352</v>
      </c>
      <c r="C1257">
        <v>1400</v>
      </c>
      <c r="D1257">
        <v>56.78</v>
      </c>
      <c r="E1257">
        <v>36.83</v>
      </c>
      <c r="F1257">
        <v>5.3559999999999999</v>
      </c>
      <c r="G1257">
        <v>5.4539999999999997</v>
      </c>
      <c r="K1257">
        <v>0.19500000000000001</v>
      </c>
      <c r="L1257">
        <v>239.6</v>
      </c>
      <c r="M1257">
        <v>0</v>
      </c>
      <c r="O1257">
        <v>58.82</v>
      </c>
      <c r="P1257">
        <v>3.327</v>
      </c>
      <c r="Q1257">
        <v>5.1790000000000003</v>
      </c>
      <c r="S1257">
        <v>4.4359999999999999</v>
      </c>
      <c r="T1257">
        <v>0</v>
      </c>
      <c r="U1257">
        <v>98.6</v>
      </c>
      <c r="V1257">
        <v>877</v>
      </c>
      <c r="W1257">
        <v>37.770000000000003</v>
      </c>
      <c r="Y1257">
        <v>13.25</v>
      </c>
    </row>
    <row r="1258" spans="1:25" x14ac:dyDescent="0.25">
      <c r="A1258">
        <v>2006</v>
      </c>
      <c r="B1258">
        <v>352</v>
      </c>
      <c r="C1258">
        <v>1500</v>
      </c>
      <c r="D1258">
        <v>23.78</v>
      </c>
      <c r="E1258">
        <v>12.33</v>
      </c>
      <c r="F1258">
        <v>4.8810000000000002</v>
      </c>
      <c r="G1258">
        <v>4.9690000000000003</v>
      </c>
      <c r="K1258">
        <v>0.72899999999999998</v>
      </c>
      <c r="L1258">
        <v>236.4</v>
      </c>
      <c r="M1258">
        <v>0</v>
      </c>
      <c r="O1258">
        <v>18.43</v>
      </c>
      <c r="P1258">
        <v>-4.6219999999999999</v>
      </c>
      <c r="Q1258">
        <v>5.2880000000000003</v>
      </c>
      <c r="S1258">
        <v>4.4649999999999999</v>
      </c>
      <c r="T1258">
        <v>0</v>
      </c>
      <c r="U1258">
        <v>98.7</v>
      </c>
      <c r="V1258">
        <v>876</v>
      </c>
      <c r="W1258">
        <v>37.74</v>
      </c>
      <c r="Y1258">
        <v>13.21</v>
      </c>
    </row>
    <row r="1259" spans="1:25" x14ac:dyDescent="0.25">
      <c r="A1259">
        <v>2006</v>
      </c>
      <c r="B1259">
        <v>352</v>
      </c>
      <c r="C1259">
        <v>1600</v>
      </c>
      <c r="D1259">
        <v>7.13</v>
      </c>
      <c r="E1259">
        <v>0.67700000000000005</v>
      </c>
      <c r="F1259">
        <v>4.4390000000000001</v>
      </c>
      <c r="G1259">
        <v>4.5469999999999997</v>
      </c>
      <c r="K1259">
        <v>0.94599999999999995</v>
      </c>
      <c r="L1259">
        <v>231.4</v>
      </c>
      <c r="M1259">
        <v>0</v>
      </c>
      <c r="O1259">
        <v>-1.9910000000000001</v>
      </c>
      <c r="P1259">
        <v>-8.74</v>
      </c>
      <c r="Q1259">
        <v>5.4039999999999999</v>
      </c>
      <c r="S1259">
        <v>4.4889999999999999</v>
      </c>
      <c r="T1259">
        <v>0</v>
      </c>
      <c r="U1259">
        <v>98.4</v>
      </c>
      <c r="V1259">
        <v>876</v>
      </c>
      <c r="W1259">
        <v>37.71</v>
      </c>
      <c r="Y1259">
        <v>13.1</v>
      </c>
    </row>
    <row r="1260" spans="1:25" x14ac:dyDescent="0.25">
      <c r="A1260">
        <v>2006</v>
      </c>
      <c r="B1260">
        <v>352</v>
      </c>
      <c r="C1260">
        <v>1700</v>
      </c>
      <c r="D1260">
        <v>-1.6E-2</v>
      </c>
      <c r="E1260">
        <v>-8.57</v>
      </c>
      <c r="F1260">
        <v>4.1669999999999998</v>
      </c>
      <c r="G1260">
        <v>4.2939999999999996</v>
      </c>
      <c r="K1260">
        <v>0.19500000000000001</v>
      </c>
      <c r="L1260">
        <v>236.3</v>
      </c>
      <c r="M1260">
        <v>0</v>
      </c>
      <c r="O1260">
        <v>-10.29</v>
      </c>
      <c r="P1260">
        <v>-10.4</v>
      </c>
      <c r="Q1260">
        <v>5.4649999999999999</v>
      </c>
      <c r="S1260">
        <v>4.5519999999999996</v>
      </c>
      <c r="T1260">
        <v>0</v>
      </c>
      <c r="U1260">
        <v>98.1</v>
      </c>
      <c r="V1260">
        <v>874</v>
      </c>
      <c r="W1260">
        <v>37.6</v>
      </c>
      <c r="Y1260">
        <v>13.04</v>
      </c>
    </row>
    <row r="1261" spans="1:25" x14ac:dyDescent="0.25">
      <c r="A1261">
        <v>2006</v>
      </c>
      <c r="B1261">
        <v>352</v>
      </c>
      <c r="C1261">
        <v>1800</v>
      </c>
      <c r="D1261">
        <v>-0.81799999999999995</v>
      </c>
      <c r="E1261">
        <v>-12.02</v>
      </c>
      <c r="F1261">
        <v>3.7210000000000001</v>
      </c>
      <c r="G1261">
        <v>3.871</v>
      </c>
      <c r="K1261">
        <v>0.105</v>
      </c>
      <c r="L1261">
        <v>3.6030000000000002</v>
      </c>
      <c r="M1261">
        <v>0</v>
      </c>
      <c r="O1261">
        <v>-11.38</v>
      </c>
      <c r="P1261">
        <v>-10.64</v>
      </c>
      <c r="Q1261">
        <v>5.4489999999999998</v>
      </c>
      <c r="S1261">
        <v>4.6349999999999998</v>
      </c>
      <c r="T1261">
        <v>0</v>
      </c>
      <c r="U1261">
        <v>97.7</v>
      </c>
      <c r="V1261">
        <v>876</v>
      </c>
      <c r="W1261">
        <v>37.71</v>
      </c>
      <c r="Y1261">
        <v>12.99</v>
      </c>
    </row>
    <row r="1262" spans="1:25" x14ac:dyDescent="0.25">
      <c r="A1262">
        <v>2006</v>
      </c>
      <c r="B1262">
        <v>352</v>
      </c>
      <c r="C1262">
        <v>1900</v>
      </c>
      <c r="D1262">
        <v>-0.67300000000000004</v>
      </c>
      <c r="E1262">
        <v>-9.81</v>
      </c>
      <c r="F1262">
        <v>3.7210000000000001</v>
      </c>
      <c r="G1262">
        <v>3.8759999999999999</v>
      </c>
      <c r="K1262">
        <v>0.36899999999999999</v>
      </c>
      <c r="L1262">
        <v>229.4</v>
      </c>
      <c r="M1262">
        <v>0</v>
      </c>
      <c r="O1262">
        <v>-11.24</v>
      </c>
      <c r="P1262">
        <v>-10.55</v>
      </c>
      <c r="Q1262">
        <v>5.3739999999999997</v>
      </c>
      <c r="S1262">
        <v>4.66</v>
      </c>
      <c r="T1262">
        <v>0</v>
      </c>
      <c r="U1262">
        <v>97.6</v>
      </c>
      <c r="V1262">
        <v>875</v>
      </c>
      <c r="W1262">
        <v>37.700000000000003</v>
      </c>
      <c r="Y1262">
        <v>12.95</v>
      </c>
    </row>
    <row r="1263" spans="1:25" x14ac:dyDescent="0.25">
      <c r="A1263">
        <v>2006</v>
      </c>
      <c r="B1263">
        <v>352</v>
      </c>
      <c r="C1263">
        <v>2000</v>
      </c>
      <c r="D1263">
        <v>-1.9339999999999999</v>
      </c>
      <c r="E1263">
        <v>-22.67</v>
      </c>
      <c r="F1263">
        <v>1.8149999999999999</v>
      </c>
      <c r="G1263">
        <v>1.9079999999999999</v>
      </c>
      <c r="K1263">
        <v>0.29199999999999998</v>
      </c>
      <c r="L1263">
        <v>218.1</v>
      </c>
      <c r="M1263">
        <v>0</v>
      </c>
      <c r="O1263">
        <v>-11.17</v>
      </c>
      <c r="P1263">
        <v>-10.52</v>
      </c>
      <c r="Q1263">
        <v>5.28</v>
      </c>
      <c r="S1263">
        <v>4.6459999999999999</v>
      </c>
      <c r="T1263">
        <v>0</v>
      </c>
      <c r="U1263">
        <v>98.5</v>
      </c>
      <c r="V1263">
        <v>873</v>
      </c>
      <c r="W1263">
        <v>37.549999999999997</v>
      </c>
      <c r="Y1263">
        <v>12.93</v>
      </c>
    </row>
    <row r="1264" spans="1:25" x14ac:dyDescent="0.25">
      <c r="A1264">
        <v>2006</v>
      </c>
      <c r="B1264">
        <v>352</v>
      </c>
      <c r="C1264">
        <v>2100</v>
      </c>
      <c r="D1264">
        <v>-1.244</v>
      </c>
      <c r="E1264">
        <v>-16.47</v>
      </c>
      <c r="F1264">
        <v>1.4430000000000001</v>
      </c>
      <c r="G1264">
        <v>1.5620000000000001</v>
      </c>
      <c r="K1264">
        <v>0.27300000000000002</v>
      </c>
      <c r="L1264">
        <v>198.2</v>
      </c>
      <c r="M1264">
        <v>0</v>
      </c>
      <c r="O1264">
        <v>-10.97</v>
      </c>
      <c r="P1264">
        <v>-10.34</v>
      </c>
      <c r="Q1264">
        <v>5.1349999999999998</v>
      </c>
      <c r="S1264">
        <v>4.5999999999999996</v>
      </c>
      <c r="T1264">
        <v>0</v>
      </c>
      <c r="U1264">
        <v>98</v>
      </c>
      <c r="V1264">
        <v>800</v>
      </c>
      <c r="W1264">
        <v>33.340000000000003</v>
      </c>
      <c r="Y1264">
        <v>12.91</v>
      </c>
    </row>
    <row r="1265" spans="1:25" x14ac:dyDescent="0.25">
      <c r="A1265">
        <v>2006</v>
      </c>
      <c r="B1265">
        <v>352</v>
      </c>
      <c r="C1265">
        <v>2200</v>
      </c>
      <c r="D1265">
        <v>-2.726</v>
      </c>
      <c r="E1265">
        <v>-32.33</v>
      </c>
      <c r="F1265">
        <v>-0.54700000000000004</v>
      </c>
      <c r="G1265">
        <v>-0.40600000000000003</v>
      </c>
      <c r="K1265">
        <v>4.3999999999999997E-2</v>
      </c>
      <c r="L1265">
        <v>227</v>
      </c>
      <c r="M1265">
        <v>0</v>
      </c>
      <c r="O1265">
        <v>-10.86</v>
      </c>
      <c r="P1265">
        <v>-10.25</v>
      </c>
      <c r="Q1265">
        <v>4.9870000000000001</v>
      </c>
      <c r="S1265">
        <v>4.6189999999999998</v>
      </c>
      <c r="T1265">
        <v>0</v>
      </c>
      <c r="U1265">
        <v>97.4</v>
      </c>
      <c r="V1265">
        <v>877</v>
      </c>
      <c r="W1265">
        <v>37.78</v>
      </c>
      <c r="Y1265">
        <v>12.9</v>
      </c>
    </row>
    <row r="1266" spans="1:25" x14ac:dyDescent="0.25">
      <c r="A1266">
        <v>2006</v>
      </c>
      <c r="B1266">
        <v>352</v>
      </c>
      <c r="C1266">
        <v>2300</v>
      </c>
      <c r="D1266">
        <v>-1.746</v>
      </c>
      <c r="E1266">
        <v>-19.12</v>
      </c>
      <c r="F1266">
        <v>-1.3220000000000001</v>
      </c>
      <c r="G1266">
        <v>-1.123</v>
      </c>
      <c r="K1266">
        <v>0.41699999999999998</v>
      </c>
      <c r="L1266">
        <v>229.7</v>
      </c>
      <c r="M1266">
        <v>0</v>
      </c>
      <c r="O1266">
        <v>-10.83</v>
      </c>
      <c r="P1266">
        <v>-10.210000000000001</v>
      </c>
      <c r="Q1266">
        <v>4.7619999999999996</v>
      </c>
      <c r="S1266">
        <v>4.55</v>
      </c>
      <c r="T1266">
        <v>0</v>
      </c>
      <c r="U1266">
        <v>96.2</v>
      </c>
      <c r="V1266">
        <v>877</v>
      </c>
      <c r="W1266">
        <v>37.81</v>
      </c>
      <c r="Y1266">
        <v>12.89</v>
      </c>
    </row>
    <row r="1267" spans="1:25" x14ac:dyDescent="0.25">
      <c r="A1267">
        <v>2006</v>
      </c>
      <c r="B1267">
        <v>352</v>
      </c>
      <c r="C1267">
        <v>2400</v>
      </c>
      <c r="D1267">
        <v>-1.3560000000000001</v>
      </c>
      <c r="E1267">
        <v>-11.78</v>
      </c>
      <c r="F1267">
        <v>-0.78100000000000003</v>
      </c>
      <c r="G1267">
        <v>-0.63100000000000001</v>
      </c>
      <c r="K1267">
        <v>0.38200000000000001</v>
      </c>
      <c r="L1267">
        <v>212.5</v>
      </c>
      <c r="M1267">
        <v>0</v>
      </c>
      <c r="O1267">
        <v>-10.84</v>
      </c>
      <c r="P1267">
        <v>-10.220000000000001</v>
      </c>
      <c r="Q1267">
        <v>4.5579999999999998</v>
      </c>
      <c r="S1267">
        <v>4.5469999999999997</v>
      </c>
      <c r="T1267">
        <v>0</v>
      </c>
      <c r="U1267">
        <v>97.2</v>
      </c>
      <c r="V1267">
        <v>875</v>
      </c>
      <c r="W1267">
        <v>37.69</v>
      </c>
      <c r="Y1267">
        <v>12.88</v>
      </c>
    </row>
    <row r="1268" spans="1:25" x14ac:dyDescent="0.25">
      <c r="A1268">
        <v>2006</v>
      </c>
      <c r="B1268">
        <v>352</v>
      </c>
      <c r="C1268">
        <v>2400</v>
      </c>
      <c r="D1268">
        <v>9.0299999999999994</v>
      </c>
      <c r="E1268">
        <v>-0.77400000000000002</v>
      </c>
      <c r="F1268">
        <v>3.9159999999999999</v>
      </c>
      <c r="G1268">
        <v>4.0419999999999998</v>
      </c>
      <c r="K1268">
        <v>0.64500000000000002</v>
      </c>
      <c r="L1268">
        <v>227.1</v>
      </c>
      <c r="M1268">
        <v>0</v>
      </c>
      <c r="O1268">
        <v>0.67400000000000004</v>
      </c>
      <c r="P1268">
        <v>-8.2100000000000009</v>
      </c>
      <c r="Q1268">
        <v>4.9580000000000002</v>
      </c>
      <c r="S1268">
        <v>4.4009999999999998</v>
      </c>
      <c r="T1268">
        <v>0</v>
      </c>
      <c r="U1268">
        <v>98.1</v>
      </c>
      <c r="V1268">
        <v>876</v>
      </c>
      <c r="W1268">
        <v>37.770000000000003</v>
      </c>
      <c r="Y1268">
        <v>12.97</v>
      </c>
    </row>
    <row r="1269" spans="1:25" x14ac:dyDescent="0.25">
      <c r="A1269">
        <v>2006</v>
      </c>
      <c r="B1269">
        <v>353</v>
      </c>
      <c r="C1269">
        <v>100</v>
      </c>
      <c r="D1269">
        <v>-1.7170000000000001</v>
      </c>
      <c r="E1269">
        <v>-15.26</v>
      </c>
      <c r="F1269">
        <v>-1.7450000000000001</v>
      </c>
      <c r="G1269">
        <v>-1.645</v>
      </c>
      <c r="K1269">
        <v>0.26700000000000002</v>
      </c>
      <c r="L1269">
        <v>228.2</v>
      </c>
      <c r="M1269">
        <v>0</v>
      </c>
      <c r="O1269">
        <v>-10.83</v>
      </c>
      <c r="P1269">
        <v>-10.220000000000001</v>
      </c>
      <c r="Q1269">
        <v>4.3550000000000004</v>
      </c>
      <c r="S1269">
        <v>4.468</v>
      </c>
      <c r="T1269">
        <v>0</v>
      </c>
      <c r="U1269">
        <v>98.1</v>
      </c>
      <c r="V1269">
        <v>873</v>
      </c>
      <c r="W1269">
        <v>37.56</v>
      </c>
      <c r="Y1269">
        <v>12.87</v>
      </c>
    </row>
    <row r="1270" spans="1:25" x14ac:dyDescent="0.25">
      <c r="A1270">
        <v>2006</v>
      </c>
      <c r="B1270">
        <v>353</v>
      </c>
      <c r="C1270">
        <v>200</v>
      </c>
      <c r="D1270">
        <v>-1.623</v>
      </c>
      <c r="E1270">
        <v>-12.03</v>
      </c>
      <c r="F1270">
        <v>-1.821</v>
      </c>
      <c r="G1270">
        <v>-1.595</v>
      </c>
      <c r="K1270">
        <v>0.88500000000000001</v>
      </c>
      <c r="L1270">
        <v>231.6</v>
      </c>
      <c r="M1270">
        <v>0</v>
      </c>
      <c r="O1270">
        <v>-10.84</v>
      </c>
      <c r="P1270">
        <v>-10.220000000000001</v>
      </c>
      <c r="Q1270">
        <v>4.1890000000000001</v>
      </c>
      <c r="S1270">
        <v>4.4180000000000001</v>
      </c>
      <c r="T1270">
        <v>0</v>
      </c>
      <c r="U1270">
        <v>95.6</v>
      </c>
      <c r="V1270">
        <v>873</v>
      </c>
      <c r="W1270">
        <v>37.520000000000003</v>
      </c>
      <c r="Y1270">
        <v>12.87</v>
      </c>
    </row>
    <row r="1271" spans="1:25" x14ac:dyDescent="0.25">
      <c r="A1271">
        <v>2006</v>
      </c>
      <c r="B1271">
        <v>353</v>
      </c>
      <c r="C1271">
        <v>300</v>
      </c>
      <c r="D1271">
        <v>-0.311</v>
      </c>
      <c r="E1271">
        <v>-4.28</v>
      </c>
      <c r="F1271">
        <v>-1.454</v>
      </c>
      <c r="G1271">
        <v>-1.2350000000000001</v>
      </c>
      <c r="K1271">
        <v>0.91400000000000003</v>
      </c>
      <c r="L1271">
        <v>228.6</v>
      </c>
      <c r="M1271">
        <v>0</v>
      </c>
      <c r="O1271">
        <v>-10.84</v>
      </c>
      <c r="P1271">
        <v>-10.220000000000001</v>
      </c>
      <c r="Q1271">
        <v>4.016</v>
      </c>
      <c r="S1271">
        <v>4.3250000000000002</v>
      </c>
      <c r="T1271">
        <v>0</v>
      </c>
      <c r="U1271">
        <v>95.8</v>
      </c>
      <c r="V1271">
        <v>873</v>
      </c>
      <c r="W1271">
        <v>37.520000000000003</v>
      </c>
      <c r="Y1271">
        <v>12.86</v>
      </c>
    </row>
    <row r="1272" spans="1:25" x14ac:dyDescent="0.25">
      <c r="A1272">
        <v>2006</v>
      </c>
      <c r="B1272">
        <v>353</v>
      </c>
      <c r="C1272">
        <v>400</v>
      </c>
      <c r="D1272">
        <v>-0.48</v>
      </c>
      <c r="E1272">
        <v>-4.577</v>
      </c>
      <c r="F1272">
        <v>-1.302</v>
      </c>
      <c r="G1272">
        <v>-1.0860000000000001</v>
      </c>
      <c r="K1272">
        <v>0.94799999999999995</v>
      </c>
      <c r="L1272">
        <v>228.3</v>
      </c>
      <c r="M1272">
        <v>0</v>
      </c>
      <c r="O1272">
        <v>-10.84</v>
      </c>
      <c r="P1272">
        <v>-10.220000000000001</v>
      </c>
      <c r="Q1272">
        <v>3.8740000000000001</v>
      </c>
      <c r="S1272">
        <v>4.2729999999999997</v>
      </c>
      <c r="T1272">
        <v>0</v>
      </c>
      <c r="U1272">
        <v>95.9</v>
      </c>
      <c r="V1272">
        <v>873</v>
      </c>
      <c r="W1272">
        <v>37.54</v>
      </c>
      <c r="Y1272">
        <v>12.86</v>
      </c>
    </row>
    <row r="1273" spans="1:25" x14ac:dyDescent="0.25">
      <c r="A1273">
        <v>2006</v>
      </c>
      <c r="B1273">
        <v>353</v>
      </c>
      <c r="C1273">
        <v>500</v>
      </c>
      <c r="D1273">
        <v>-2.5000000000000001E-2</v>
      </c>
      <c r="E1273">
        <v>-3.9449999999999998</v>
      </c>
      <c r="F1273">
        <v>-1.1100000000000001</v>
      </c>
      <c r="G1273">
        <v>-0.88800000000000001</v>
      </c>
      <c r="K1273">
        <v>1.016</v>
      </c>
      <c r="L1273">
        <v>222.3</v>
      </c>
      <c r="M1273">
        <v>0</v>
      </c>
      <c r="O1273">
        <v>-10.84</v>
      </c>
      <c r="P1273">
        <v>-10.220000000000001</v>
      </c>
      <c r="Q1273">
        <v>3.7639999999999998</v>
      </c>
      <c r="S1273">
        <v>4.2039999999999997</v>
      </c>
      <c r="T1273">
        <v>0</v>
      </c>
      <c r="U1273">
        <v>95.8</v>
      </c>
      <c r="V1273">
        <v>873</v>
      </c>
      <c r="W1273">
        <v>37.51</v>
      </c>
      <c r="Y1273">
        <v>12.86</v>
      </c>
    </row>
    <row r="1274" spans="1:25" x14ac:dyDescent="0.25">
      <c r="A1274">
        <v>2006</v>
      </c>
      <c r="B1274">
        <v>353</v>
      </c>
      <c r="C1274">
        <v>600</v>
      </c>
      <c r="D1274">
        <v>-1.643</v>
      </c>
      <c r="E1274">
        <v>-11.49</v>
      </c>
      <c r="F1274">
        <v>-1.6779999999999999</v>
      </c>
      <c r="G1274">
        <v>-1.4950000000000001</v>
      </c>
      <c r="K1274">
        <v>0.96699999999999997</v>
      </c>
      <c r="L1274">
        <v>245.3</v>
      </c>
      <c r="M1274">
        <v>0</v>
      </c>
      <c r="O1274">
        <v>-10.84</v>
      </c>
      <c r="P1274">
        <v>-10.220000000000001</v>
      </c>
      <c r="Q1274">
        <v>3.6640000000000001</v>
      </c>
      <c r="S1274">
        <v>4.0990000000000002</v>
      </c>
      <c r="T1274">
        <v>0</v>
      </c>
      <c r="U1274">
        <v>96.5</v>
      </c>
      <c r="V1274">
        <v>872</v>
      </c>
      <c r="W1274">
        <v>37.5</v>
      </c>
      <c r="Y1274">
        <v>12.85</v>
      </c>
    </row>
    <row r="1275" spans="1:25" x14ac:dyDescent="0.25">
      <c r="A1275">
        <v>2006</v>
      </c>
      <c r="B1275">
        <v>353</v>
      </c>
      <c r="C1275">
        <v>700</v>
      </c>
      <c r="D1275">
        <v>-4.4999999999999998E-2</v>
      </c>
      <c r="E1275">
        <v>-2.3740000000000001</v>
      </c>
      <c r="F1275">
        <v>-0.97399999999999998</v>
      </c>
      <c r="G1275">
        <v>-0.72799999999999998</v>
      </c>
      <c r="K1275">
        <v>1</v>
      </c>
      <c r="L1275">
        <v>227.4</v>
      </c>
      <c r="M1275">
        <v>0</v>
      </c>
      <c r="O1275">
        <v>-10.84</v>
      </c>
      <c r="P1275">
        <v>-10.220000000000001</v>
      </c>
      <c r="Q1275">
        <v>3.5590000000000002</v>
      </c>
      <c r="S1275">
        <v>4.0179999999999998</v>
      </c>
      <c r="T1275">
        <v>0</v>
      </c>
      <c r="U1275">
        <v>95.4</v>
      </c>
      <c r="V1275">
        <v>873</v>
      </c>
      <c r="W1275">
        <v>37.51</v>
      </c>
      <c r="Y1275">
        <v>12.85</v>
      </c>
    </row>
    <row r="1276" spans="1:25" x14ac:dyDescent="0.25">
      <c r="A1276">
        <v>2006</v>
      </c>
      <c r="B1276">
        <v>353</v>
      </c>
      <c r="C1276">
        <v>800</v>
      </c>
      <c r="D1276">
        <v>-8.1000000000000003E-2</v>
      </c>
      <c r="E1276">
        <v>-2.8039999999999998</v>
      </c>
      <c r="F1276">
        <v>-0.49</v>
      </c>
      <c r="G1276">
        <v>-0.25900000000000001</v>
      </c>
      <c r="K1276">
        <v>0.76500000000000001</v>
      </c>
      <c r="L1276">
        <v>228</v>
      </c>
      <c r="M1276">
        <v>0</v>
      </c>
      <c r="O1276">
        <v>-10.84</v>
      </c>
      <c r="P1276">
        <v>-10.220000000000001</v>
      </c>
      <c r="Q1276">
        <v>3.48</v>
      </c>
      <c r="S1276">
        <v>3.988</v>
      </c>
      <c r="T1276">
        <v>0</v>
      </c>
      <c r="U1276">
        <v>95.8</v>
      </c>
      <c r="V1276">
        <v>872</v>
      </c>
      <c r="W1276">
        <v>37.5</v>
      </c>
      <c r="Y1276">
        <v>12.85</v>
      </c>
    </row>
    <row r="1277" spans="1:25" x14ac:dyDescent="0.25">
      <c r="A1277">
        <v>2006</v>
      </c>
      <c r="B1277">
        <v>353</v>
      </c>
      <c r="C1277">
        <v>900</v>
      </c>
      <c r="D1277">
        <v>1.3380000000000001</v>
      </c>
      <c r="E1277">
        <v>-2.0470000000000002</v>
      </c>
      <c r="F1277">
        <v>-0.105</v>
      </c>
      <c r="G1277">
        <v>0.108</v>
      </c>
      <c r="H1277">
        <f>AVERAGE(G1277:G1301)</f>
        <v>0.58344000000000018</v>
      </c>
      <c r="I1277">
        <f>MIN(G1277:G1301)</f>
        <v>-1.4370000000000001</v>
      </c>
      <c r="J1277">
        <f>MAX(G1277:G1301)</f>
        <v>2.129</v>
      </c>
      <c r="K1277">
        <v>0.95199999999999996</v>
      </c>
      <c r="L1277">
        <v>227.5</v>
      </c>
      <c r="M1277">
        <v>0</v>
      </c>
      <c r="N1277">
        <f>SUM(M1277:M1301)</f>
        <v>0.8</v>
      </c>
      <c r="O1277">
        <v>-9.3699999999999992</v>
      </c>
      <c r="P1277">
        <v>-9.98</v>
      </c>
      <c r="Q1277">
        <v>3.4140000000000001</v>
      </c>
      <c r="S1277">
        <v>3.8929999999999998</v>
      </c>
      <c r="T1277">
        <v>0</v>
      </c>
      <c r="U1277">
        <v>96.1</v>
      </c>
      <c r="V1277">
        <v>872</v>
      </c>
      <c r="W1277">
        <v>37.5</v>
      </c>
      <c r="Y1277">
        <v>12.85</v>
      </c>
    </row>
    <row r="1278" spans="1:25" x14ac:dyDescent="0.25">
      <c r="A1278">
        <v>2006</v>
      </c>
      <c r="B1278">
        <v>353</v>
      </c>
      <c r="C1278">
        <v>1000</v>
      </c>
      <c r="D1278">
        <v>21.7</v>
      </c>
      <c r="E1278">
        <v>13.79</v>
      </c>
      <c r="F1278">
        <v>-0.314</v>
      </c>
      <c r="G1278">
        <v>-0.109</v>
      </c>
      <c r="K1278">
        <v>1.1140000000000001</v>
      </c>
      <c r="L1278">
        <v>227.4</v>
      </c>
      <c r="M1278">
        <v>0</v>
      </c>
      <c r="O1278">
        <v>16.91</v>
      </c>
      <c r="P1278">
        <v>-3.331</v>
      </c>
      <c r="Q1278">
        <v>3.355</v>
      </c>
      <c r="S1278">
        <v>3.83</v>
      </c>
      <c r="T1278">
        <v>0</v>
      </c>
      <c r="U1278">
        <v>96.3</v>
      </c>
      <c r="V1278">
        <v>872</v>
      </c>
      <c r="W1278">
        <v>37.5</v>
      </c>
      <c r="Y1278">
        <v>12.87</v>
      </c>
    </row>
    <row r="1279" spans="1:25" x14ac:dyDescent="0.25">
      <c r="A1279">
        <v>2006</v>
      </c>
      <c r="B1279">
        <v>353</v>
      </c>
      <c r="C1279">
        <v>1100</v>
      </c>
      <c r="D1279">
        <v>55.14</v>
      </c>
      <c r="E1279">
        <v>35.909999999999997</v>
      </c>
      <c r="F1279">
        <v>-0.253</v>
      </c>
      <c r="G1279">
        <v>-9.5000000000000001E-2</v>
      </c>
      <c r="K1279">
        <v>1.2170000000000001</v>
      </c>
      <c r="L1279">
        <v>228</v>
      </c>
      <c r="M1279">
        <v>0</v>
      </c>
      <c r="O1279">
        <v>61.7</v>
      </c>
      <c r="P1279">
        <v>6.9880000000000004</v>
      </c>
      <c r="Q1279">
        <v>3.3479999999999999</v>
      </c>
      <c r="S1279">
        <v>3.8279999999999998</v>
      </c>
      <c r="T1279">
        <v>0</v>
      </c>
      <c r="U1279">
        <v>97.1</v>
      </c>
      <c r="V1279">
        <v>872</v>
      </c>
      <c r="W1279">
        <v>37.46</v>
      </c>
      <c r="Y1279">
        <v>13.16</v>
      </c>
    </row>
    <row r="1280" spans="1:25" x14ac:dyDescent="0.25">
      <c r="A1280">
        <v>2006</v>
      </c>
      <c r="B1280">
        <v>353</v>
      </c>
      <c r="C1280">
        <v>1200</v>
      </c>
      <c r="D1280">
        <v>89.3</v>
      </c>
      <c r="E1280">
        <v>57.81</v>
      </c>
      <c r="F1280">
        <v>0.37</v>
      </c>
      <c r="G1280">
        <v>0.54400000000000004</v>
      </c>
      <c r="K1280">
        <v>1.0509999999999999</v>
      </c>
      <c r="L1280">
        <v>227.3</v>
      </c>
      <c r="M1280">
        <v>0.2</v>
      </c>
      <c r="O1280">
        <v>103.9</v>
      </c>
      <c r="P1280">
        <v>19.13</v>
      </c>
      <c r="Q1280">
        <v>3.379</v>
      </c>
      <c r="S1280">
        <v>3.7690000000000001</v>
      </c>
      <c r="T1280">
        <v>0</v>
      </c>
      <c r="U1280">
        <v>96.9</v>
      </c>
      <c r="V1280">
        <v>872</v>
      </c>
      <c r="W1280">
        <v>37.450000000000003</v>
      </c>
      <c r="Y1280">
        <v>13.47</v>
      </c>
    </row>
    <row r="1281" spans="1:25" x14ac:dyDescent="0.25">
      <c r="A1281">
        <v>2006</v>
      </c>
      <c r="B1281">
        <v>353</v>
      </c>
      <c r="C1281">
        <v>1300</v>
      </c>
      <c r="D1281">
        <v>91.6</v>
      </c>
      <c r="E1281">
        <v>60.57</v>
      </c>
      <c r="F1281">
        <v>1.0920000000000001</v>
      </c>
      <c r="G1281">
        <v>1.272</v>
      </c>
      <c r="K1281">
        <v>1.379</v>
      </c>
      <c r="L1281">
        <v>227.6</v>
      </c>
      <c r="M1281">
        <v>0</v>
      </c>
      <c r="O1281">
        <v>102.9</v>
      </c>
      <c r="P1281">
        <v>18.649999999999999</v>
      </c>
      <c r="Q1281">
        <v>3.5139999999999998</v>
      </c>
      <c r="S1281">
        <v>3.778</v>
      </c>
      <c r="T1281">
        <v>0</v>
      </c>
      <c r="U1281">
        <v>96.9</v>
      </c>
      <c r="V1281">
        <v>871</v>
      </c>
      <c r="W1281">
        <v>37.43</v>
      </c>
      <c r="Y1281">
        <v>13.53</v>
      </c>
    </row>
    <row r="1282" spans="1:25" x14ac:dyDescent="0.25">
      <c r="A1282">
        <v>2006</v>
      </c>
      <c r="B1282">
        <v>353</v>
      </c>
      <c r="C1282">
        <v>1400</v>
      </c>
      <c r="D1282">
        <v>63.04</v>
      </c>
      <c r="E1282">
        <v>40</v>
      </c>
      <c r="F1282">
        <v>1.601</v>
      </c>
      <c r="G1282">
        <v>1.786</v>
      </c>
      <c r="K1282">
        <v>1.4650000000000001</v>
      </c>
      <c r="L1282">
        <v>228.7</v>
      </c>
      <c r="M1282">
        <v>0</v>
      </c>
      <c r="O1282">
        <v>66.48</v>
      </c>
      <c r="P1282">
        <v>7.74</v>
      </c>
      <c r="Q1282">
        <v>3.714</v>
      </c>
      <c r="S1282">
        <v>3.78</v>
      </c>
      <c r="T1282">
        <v>0</v>
      </c>
      <c r="U1282">
        <v>96.9</v>
      </c>
      <c r="V1282">
        <v>871</v>
      </c>
      <c r="W1282">
        <v>37.4</v>
      </c>
      <c r="Y1282">
        <v>13.41</v>
      </c>
    </row>
    <row r="1283" spans="1:25" x14ac:dyDescent="0.25">
      <c r="A1283">
        <v>2006</v>
      </c>
      <c r="B1283">
        <v>353</v>
      </c>
      <c r="C1283">
        <v>1500</v>
      </c>
      <c r="D1283">
        <v>35.4</v>
      </c>
      <c r="E1283">
        <v>20.45</v>
      </c>
      <c r="F1283">
        <v>1.589</v>
      </c>
      <c r="G1283">
        <v>1.774</v>
      </c>
      <c r="K1283">
        <v>1.427</v>
      </c>
      <c r="L1283">
        <v>228.3</v>
      </c>
      <c r="M1283">
        <v>0</v>
      </c>
      <c r="O1283">
        <v>32.270000000000003</v>
      </c>
      <c r="P1283">
        <v>-5.0000000000000001E-3</v>
      </c>
      <c r="Q1283">
        <v>3.8759999999999999</v>
      </c>
      <c r="S1283">
        <v>3.7690000000000001</v>
      </c>
      <c r="T1283">
        <v>0</v>
      </c>
      <c r="U1283">
        <v>96.9</v>
      </c>
      <c r="V1283">
        <v>871</v>
      </c>
      <c r="W1283">
        <v>37.380000000000003</v>
      </c>
      <c r="Y1283">
        <v>13.3</v>
      </c>
    </row>
    <row r="1284" spans="1:25" x14ac:dyDescent="0.25">
      <c r="A1284">
        <v>2006</v>
      </c>
      <c r="B1284">
        <v>353</v>
      </c>
      <c r="C1284">
        <v>1600</v>
      </c>
      <c r="D1284">
        <v>10.15</v>
      </c>
      <c r="E1284">
        <v>3.3839999999999999</v>
      </c>
      <c r="F1284">
        <v>1.8069999999999999</v>
      </c>
      <c r="G1284">
        <v>2.0089999999999999</v>
      </c>
      <c r="K1284">
        <v>1.399</v>
      </c>
      <c r="L1284">
        <v>227.7</v>
      </c>
      <c r="M1284">
        <v>0</v>
      </c>
      <c r="O1284">
        <v>1.35</v>
      </c>
      <c r="P1284">
        <v>-7.61</v>
      </c>
      <c r="Q1284">
        <v>3.9980000000000002</v>
      </c>
      <c r="S1284">
        <v>3.774</v>
      </c>
      <c r="T1284">
        <v>0</v>
      </c>
      <c r="U1284">
        <v>96.6</v>
      </c>
      <c r="V1284">
        <v>870</v>
      </c>
      <c r="W1284">
        <v>37.35</v>
      </c>
      <c r="Y1284">
        <v>13.19</v>
      </c>
    </row>
    <row r="1285" spans="1:25" x14ac:dyDescent="0.25">
      <c r="A1285">
        <v>2006</v>
      </c>
      <c r="B1285">
        <v>353</v>
      </c>
      <c r="C1285">
        <v>1700</v>
      </c>
      <c r="D1285">
        <v>0.51600000000000001</v>
      </c>
      <c r="E1285">
        <v>-2.54</v>
      </c>
      <c r="F1285">
        <v>1.911</v>
      </c>
      <c r="G1285">
        <v>2.129</v>
      </c>
      <c r="K1285">
        <v>1.0720000000000001</v>
      </c>
      <c r="L1285">
        <v>227.6</v>
      </c>
      <c r="M1285">
        <v>0</v>
      </c>
      <c r="O1285">
        <v>-10.08</v>
      </c>
      <c r="P1285">
        <v>-10.130000000000001</v>
      </c>
      <c r="Q1285">
        <v>4.0570000000000004</v>
      </c>
      <c r="S1285">
        <v>3.7759999999999998</v>
      </c>
      <c r="T1285">
        <v>0</v>
      </c>
      <c r="U1285">
        <v>96.4</v>
      </c>
      <c r="V1285">
        <v>869</v>
      </c>
      <c r="W1285">
        <v>37.299999999999997</v>
      </c>
      <c r="Y1285">
        <v>13.12</v>
      </c>
    </row>
    <row r="1286" spans="1:25" x14ac:dyDescent="0.25">
      <c r="A1286">
        <v>2006</v>
      </c>
      <c r="B1286">
        <v>353</v>
      </c>
      <c r="C1286">
        <v>1800</v>
      </c>
      <c r="D1286">
        <v>0</v>
      </c>
      <c r="E1286">
        <v>-3.4369999999999998</v>
      </c>
      <c r="F1286">
        <v>1.837</v>
      </c>
      <c r="G1286">
        <v>2.0350000000000001</v>
      </c>
      <c r="K1286">
        <v>0.88200000000000001</v>
      </c>
      <c r="L1286">
        <v>227.2</v>
      </c>
      <c r="M1286">
        <v>0</v>
      </c>
      <c r="O1286">
        <v>-10.86</v>
      </c>
      <c r="P1286">
        <v>-10.25</v>
      </c>
      <c r="Q1286">
        <v>4.085</v>
      </c>
      <c r="S1286">
        <v>3.8639999999999999</v>
      </c>
      <c r="T1286">
        <v>0</v>
      </c>
      <c r="U1286">
        <v>96.7</v>
      </c>
      <c r="V1286">
        <v>869</v>
      </c>
      <c r="W1286">
        <v>37.29</v>
      </c>
      <c r="Y1286">
        <v>13.06</v>
      </c>
    </row>
    <row r="1287" spans="1:25" x14ac:dyDescent="0.25">
      <c r="A1287">
        <v>2006</v>
      </c>
      <c r="B1287">
        <v>353</v>
      </c>
      <c r="C1287">
        <v>1900</v>
      </c>
      <c r="D1287">
        <v>0</v>
      </c>
      <c r="E1287">
        <v>-4.5149999999999997</v>
      </c>
      <c r="F1287">
        <v>1.4350000000000001</v>
      </c>
      <c r="G1287">
        <v>1.629</v>
      </c>
      <c r="K1287">
        <v>0.97699999999999998</v>
      </c>
      <c r="L1287">
        <v>227.5</v>
      </c>
      <c r="M1287">
        <v>0</v>
      </c>
      <c r="O1287">
        <v>-10.86</v>
      </c>
      <c r="P1287">
        <v>-10.26</v>
      </c>
      <c r="Q1287">
        <v>4.0910000000000002</v>
      </c>
      <c r="S1287">
        <v>3.8849999999999998</v>
      </c>
      <c r="T1287">
        <v>0</v>
      </c>
      <c r="U1287">
        <v>96.7</v>
      </c>
      <c r="V1287">
        <v>869</v>
      </c>
      <c r="W1287">
        <v>37.26</v>
      </c>
      <c r="Y1287">
        <v>13.02</v>
      </c>
    </row>
    <row r="1288" spans="1:25" x14ac:dyDescent="0.25">
      <c r="A1288">
        <v>2006</v>
      </c>
      <c r="B1288">
        <v>353</v>
      </c>
      <c r="C1288">
        <v>2000</v>
      </c>
      <c r="D1288">
        <v>0</v>
      </c>
      <c r="E1288">
        <v>-4.024</v>
      </c>
      <c r="F1288">
        <v>1.2050000000000001</v>
      </c>
      <c r="G1288">
        <v>1.407</v>
      </c>
      <c r="K1288">
        <v>1.048</v>
      </c>
      <c r="L1288">
        <v>228.3</v>
      </c>
      <c r="M1288">
        <v>0</v>
      </c>
      <c r="O1288">
        <v>-10.85</v>
      </c>
      <c r="P1288">
        <v>-10.23</v>
      </c>
      <c r="Q1288">
        <v>4.069</v>
      </c>
      <c r="S1288">
        <v>3.8879999999999999</v>
      </c>
      <c r="T1288">
        <v>0</v>
      </c>
      <c r="U1288">
        <v>96.6</v>
      </c>
      <c r="V1288">
        <v>869</v>
      </c>
      <c r="W1288">
        <v>37.26</v>
      </c>
      <c r="Y1288">
        <v>12.99</v>
      </c>
    </row>
    <row r="1289" spans="1:25" x14ac:dyDescent="0.25">
      <c r="A1289">
        <v>2006</v>
      </c>
      <c r="B1289">
        <v>353</v>
      </c>
      <c r="C1289">
        <v>2100</v>
      </c>
      <c r="D1289">
        <v>0</v>
      </c>
      <c r="E1289">
        <v>-4.3970000000000002</v>
      </c>
      <c r="F1289">
        <v>0.81899999999999995</v>
      </c>
      <c r="G1289">
        <v>1.0149999999999999</v>
      </c>
      <c r="K1289">
        <v>1.206</v>
      </c>
      <c r="L1289">
        <v>229.6</v>
      </c>
      <c r="M1289">
        <v>0</v>
      </c>
      <c r="O1289">
        <v>-10.84</v>
      </c>
      <c r="P1289">
        <v>-10.23</v>
      </c>
      <c r="Q1289">
        <v>4.0389999999999997</v>
      </c>
      <c r="S1289">
        <v>3.8889999999999998</v>
      </c>
      <c r="T1289">
        <v>0</v>
      </c>
      <c r="U1289">
        <v>96.6</v>
      </c>
      <c r="V1289">
        <v>869</v>
      </c>
      <c r="W1289">
        <v>37.270000000000003</v>
      </c>
      <c r="Y1289">
        <v>12.96</v>
      </c>
    </row>
    <row r="1290" spans="1:25" x14ac:dyDescent="0.25">
      <c r="A1290">
        <v>2006</v>
      </c>
      <c r="B1290">
        <v>353</v>
      </c>
      <c r="C1290">
        <v>2200</v>
      </c>
      <c r="D1290">
        <v>0</v>
      </c>
      <c r="E1290">
        <v>-3.9380000000000002</v>
      </c>
      <c r="F1290">
        <v>0.54600000000000004</v>
      </c>
      <c r="G1290">
        <v>0.749</v>
      </c>
      <c r="K1290">
        <v>1.327</v>
      </c>
      <c r="L1290">
        <v>227.5</v>
      </c>
      <c r="M1290">
        <v>0.2</v>
      </c>
      <c r="O1290">
        <v>-10.84</v>
      </c>
      <c r="P1290">
        <v>-10.220000000000001</v>
      </c>
      <c r="Q1290">
        <v>3.99</v>
      </c>
      <c r="S1290">
        <v>3.8889999999999998</v>
      </c>
      <c r="T1290">
        <v>0</v>
      </c>
      <c r="U1290">
        <v>96.4</v>
      </c>
      <c r="V1290">
        <v>868</v>
      </c>
      <c r="W1290">
        <v>37.22</v>
      </c>
      <c r="Y1290">
        <v>12.93</v>
      </c>
    </row>
    <row r="1291" spans="1:25" x14ac:dyDescent="0.25">
      <c r="A1291">
        <v>2006</v>
      </c>
      <c r="B1291">
        <v>353</v>
      </c>
      <c r="C1291">
        <v>2300</v>
      </c>
      <c r="D1291">
        <v>8.0000000000000002E-3</v>
      </c>
      <c r="E1291">
        <v>-4.0540000000000003</v>
      </c>
      <c r="F1291">
        <v>0.23799999999999999</v>
      </c>
      <c r="G1291">
        <v>0.44400000000000001</v>
      </c>
      <c r="K1291">
        <v>1.407</v>
      </c>
      <c r="L1291">
        <v>227.7</v>
      </c>
      <c r="M1291">
        <v>0</v>
      </c>
      <c r="O1291">
        <v>-10.84</v>
      </c>
      <c r="P1291">
        <v>-10.220000000000001</v>
      </c>
      <c r="Q1291">
        <v>3.9609999999999999</v>
      </c>
      <c r="S1291">
        <v>3.8889999999999998</v>
      </c>
      <c r="T1291">
        <v>0</v>
      </c>
      <c r="U1291">
        <v>96.3</v>
      </c>
      <c r="V1291">
        <v>869</v>
      </c>
      <c r="W1291">
        <v>37.24</v>
      </c>
      <c r="Y1291">
        <v>12.91</v>
      </c>
    </row>
    <row r="1292" spans="1:25" x14ac:dyDescent="0.25">
      <c r="A1292">
        <v>2006</v>
      </c>
      <c r="B1292">
        <v>353</v>
      </c>
      <c r="C1292">
        <v>2400</v>
      </c>
      <c r="D1292">
        <v>0</v>
      </c>
      <c r="E1292">
        <v>-3.165</v>
      </c>
      <c r="F1292">
        <v>0.56899999999999995</v>
      </c>
      <c r="G1292">
        <v>0.77</v>
      </c>
      <c r="K1292">
        <v>1.4319999999999999</v>
      </c>
      <c r="L1292">
        <v>227.9</v>
      </c>
      <c r="M1292">
        <v>0</v>
      </c>
      <c r="O1292">
        <v>-10.83</v>
      </c>
      <c r="P1292">
        <v>-10.220000000000001</v>
      </c>
      <c r="Q1292">
        <v>3.899</v>
      </c>
      <c r="S1292">
        <v>3.8839999999999999</v>
      </c>
      <c r="T1292">
        <v>0</v>
      </c>
      <c r="U1292">
        <v>96.5</v>
      </c>
      <c r="V1292">
        <v>868</v>
      </c>
      <c r="W1292">
        <v>37.229999999999997</v>
      </c>
      <c r="Y1292">
        <v>12.9</v>
      </c>
    </row>
    <row r="1293" spans="1:25" x14ac:dyDescent="0.25">
      <c r="A1293">
        <v>2006</v>
      </c>
      <c r="B1293">
        <v>353</v>
      </c>
      <c r="C1293">
        <v>2400</v>
      </c>
      <c r="D1293">
        <v>15.09</v>
      </c>
      <c r="E1293">
        <v>5.9610000000000003</v>
      </c>
      <c r="F1293">
        <v>0.157</v>
      </c>
      <c r="G1293">
        <v>0.35599999999999998</v>
      </c>
      <c r="K1293">
        <v>1.0880000000000001</v>
      </c>
      <c r="L1293">
        <v>228.2</v>
      </c>
      <c r="M1293">
        <v>0.4</v>
      </c>
      <c r="O1293">
        <v>8.48</v>
      </c>
      <c r="P1293">
        <v>-5.4969999999999999</v>
      </c>
      <c r="Q1293">
        <v>3.82</v>
      </c>
      <c r="S1293">
        <v>3.9660000000000002</v>
      </c>
      <c r="T1293">
        <v>0</v>
      </c>
      <c r="U1293">
        <v>96.5</v>
      </c>
      <c r="V1293">
        <v>871</v>
      </c>
      <c r="W1293">
        <v>37.4</v>
      </c>
      <c r="Y1293">
        <v>13.02</v>
      </c>
    </row>
    <row r="1294" spans="1:25" x14ac:dyDescent="0.25">
      <c r="A1294">
        <v>2006</v>
      </c>
      <c r="B1294">
        <v>354</v>
      </c>
      <c r="C1294">
        <v>100</v>
      </c>
      <c r="D1294">
        <v>0</v>
      </c>
      <c r="E1294">
        <v>-2.9430000000000001</v>
      </c>
      <c r="F1294">
        <v>0.65800000000000003</v>
      </c>
      <c r="G1294">
        <v>0.87</v>
      </c>
      <c r="K1294">
        <v>1.2749999999999999</v>
      </c>
      <c r="L1294">
        <v>227.5</v>
      </c>
      <c r="M1294">
        <v>0</v>
      </c>
      <c r="O1294">
        <v>-10.84</v>
      </c>
      <c r="P1294">
        <v>-10.220000000000001</v>
      </c>
      <c r="Q1294">
        <v>3.8820000000000001</v>
      </c>
      <c r="S1294">
        <v>3.8519999999999999</v>
      </c>
      <c r="T1294">
        <v>0</v>
      </c>
      <c r="U1294">
        <v>96.3</v>
      </c>
      <c r="V1294">
        <v>868</v>
      </c>
      <c r="W1294">
        <v>37.22</v>
      </c>
      <c r="Y1294">
        <v>12.88</v>
      </c>
    </row>
    <row r="1295" spans="1:25" x14ac:dyDescent="0.25">
      <c r="A1295">
        <v>2006</v>
      </c>
      <c r="B1295">
        <v>354</v>
      </c>
      <c r="C1295">
        <v>200</v>
      </c>
      <c r="D1295">
        <v>2.1000000000000001E-2</v>
      </c>
      <c r="E1295">
        <v>-3.8759999999999999</v>
      </c>
      <c r="F1295">
        <v>0.17599999999999999</v>
      </c>
      <c r="G1295">
        <v>0.375</v>
      </c>
      <c r="K1295">
        <v>1.4119999999999999</v>
      </c>
      <c r="L1295">
        <v>225.4</v>
      </c>
      <c r="M1295">
        <v>0</v>
      </c>
      <c r="O1295">
        <v>-10.83</v>
      </c>
      <c r="P1295">
        <v>-10.220000000000001</v>
      </c>
      <c r="Q1295">
        <v>3.847</v>
      </c>
      <c r="S1295">
        <v>3.7850000000000001</v>
      </c>
      <c r="T1295">
        <v>0</v>
      </c>
      <c r="U1295">
        <v>96.5</v>
      </c>
      <c r="V1295">
        <v>868</v>
      </c>
      <c r="W1295">
        <v>37.22</v>
      </c>
      <c r="Y1295">
        <v>12.87</v>
      </c>
    </row>
    <row r="1296" spans="1:25" x14ac:dyDescent="0.25">
      <c r="A1296">
        <v>2006</v>
      </c>
      <c r="B1296">
        <v>354</v>
      </c>
      <c r="C1296">
        <v>300</v>
      </c>
      <c r="D1296">
        <v>3.0000000000000001E-3</v>
      </c>
      <c r="E1296">
        <v>-4.0330000000000004</v>
      </c>
      <c r="F1296">
        <v>-0.14899999999999999</v>
      </c>
      <c r="G1296">
        <v>5.2999999999999999E-2</v>
      </c>
      <c r="K1296">
        <v>1.6830000000000001</v>
      </c>
      <c r="L1296">
        <v>228.3</v>
      </c>
      <c r="M1296">
        <v>0</v>
      </c>
      <c r="O1296">
        <v>-10.83</v>
      </c>
      <c r="P1296">
        <v>-10.220000000000001</v>
      </c>
      <c r="Q1296">
        <v>3.798</v>
      </c>
      <c r="S1296">
        <v>3.78</v>
      </c>
      <c r="T1296">
        <v>0</v>
      </c>
      <c r="U1296">
        <v>96.3</v>
      </c>
      <c r="V1296">
        <v>868</v>
      </c>
      <c r="W1296">
        <v>37.22</v>
      </c>
      <c r="Y1296">
        <v>12.87</v>
      </c>
    </row>
    <row r="1297" spans="1:25" x14ac:dyDescent="0.25">
      <c r="A1297">
        <v>2006</v>
      </c>
      <c r="B1297">
        <v>354</v>
      </c>
      <c r="C1297">
        <v>400</v>
      </c>
      <c r="D1297">
        <v>-0.14699999999999999</v>
      </c>
      <c r="E1297">
        <v>-4.2750000000000004</v>
      </c>
      <c r="F1297">
        <v>-0.627</v>
      </c>
      <c r="G1297">
        <v>-0.435</v>
      </c>
      <c r="K1297">
        <v>1.593</v>
      </c>
      <c r="L1297">
        <v>227.5</v>
      </c>
      <c r="M1297">
        <v>0</v>
      </c>
      <c r="O1297">
        <v>-10.83</v>
      </c>
      <c r="P1297">
        <v>-10.210000000000001</v>
      </c>
      <c r="Q1297">
        <v>3.7650000000000001</v>
      </c>
      <c r="S1297">
        <v>3.7879999999999998</v>
      </c>
      <c r="T1297">
        <v>0</v>
      </c>
      <c r="U1297">
        <v>96.4</v>
      </c>
      <c r="V1297">
        <v>868</v>
      </c>
      <c r="W1297">
        <v>37.200000000000003</v>
      </c>
      <c r="Y1297">
        <v>12.86</v>
      </c>
    </row>
    <row r="1298" spans="1:25" x14ac:dyDescent="0.25">
      <c r="A1298">
        <v>2006</v>
      </c>
      <c r="B1298">
        <v>354</v>
      </c>
      <c r="C1298">
        <v>500</v>
      </c>
      <c r="D1298">
        <v>-1.4E-2</v>
      </c>
      <c r="E1298">
        <v>-3.7770000000000001</v>
      </c>
      <c r="F1298">
        <v>-0.78700000000000003</v>
      </c>
      <c r="G1298">
        <v>-0.66500000000000004</v>
      </c>
      <c r="K1298">
        <v>1.456</v>
      </c>
      <c r="L1298">
        <v>226.9</v>
      </c>
      <c r="M1298">
        <v>0</v>
      </c>
      <c r="O1298">
        <v>-10.84</v>
      </c>
      <c r="P1298">
        <v>-10.220000000000001</v>
      </c>
      <c r="Q1298">
        <v>3.7269999999999999</v>
      </c>
      <c r="S1298">
        <v>3.7850000000000001</v>
      </c>
      <c r="T1298">
        <v>0</v>
      </c>
      <c r="U1298">
        <v>97.7</v>
      </c>
      <c r="V1298">
        <v>868</v>
      </c>
      <c r="W1298">
        <v>37.19</v>
      </c>
      <c r="Y1298">
        <v>12.85</v>
      </c>
    </row>
    <row r="1299" spans="1:25" x14ac:dyDescent="0.25">
      <c r="A1299">
        <v>2006</v>
      </c>
      <c r="B1299">
        <v>354</v>
      </c>
      <c r="C1299">
        <v>600</v>
      </c>
      <c r="D1299">
        <v>0</v>
      </c>
      <c r="E1299">
        <v>-4.2220000000000004</v>
      </c>
      <c r="F1299">
        <v>-1.0880000000000001</v>
      </c>
      <c r="G1299">
        <v>-0.89900000000000002</v>
      </c>
      <c r="K1299">
        <v>1.81</v>
      </c>
      <c r="L1299">
        <v>227.4</v>
      </c>
      <c r="M1299">
        <v>0</v>
      </c>
      <c r="O1299">
        <v>-10.83</v>
      </c>
      <c r="P1299">
        <v>-10.220000000000001</v>
      </c>
      <c r="Q1299">
        <v>3.6669999999999998</v>
      </c>
      <c r="S1299">
        <v>3.7210000000000001</v>
      </c>
      <c r="T1299">
        <v>0</v>
      </c>
      <c r="U1299">
        <v>96.4</v>
      </c>
      <c r="V1299">
        <v>868</v>
      </c>
      <c r="W1299">
        <v>37.19</v>
      </c>
      <c r="Y1299">
        <v>12.85</v>
      </c>
    </row>
    <row r="1300" spans="1:25" x14ac:dyDescent="0.25">
      <c r="A1300">
        <v>2006</v>
      </c>
      <c r="B1300">
        <v>354</v>
      </c>
      <c r="C1300">
        <v>700</v>
      </c>
      <c r="D1300">
        <v>0</v>
      </c>
      <c r="E1300">
        <v>-4.0679999999999996</v>
      </c>
      <c r="F1300">
        <v>-1.298</v>
      </c>
      <c r="G1300">
        <v>-1.099</v>
      </c>
      <c r="K1300">
        <v>1.528</v>
      </c>
      <c r="L1300">
        <v>227.2</v>
      </c>
      <c r="M1300">
        <v>0</v>
      </c>
      <c r="O1300">
        <v>-10.84</v>
      </c>
      <c r="P1300">
        <v>-10.220000000000001</v>
      </c>
      <c r="Q1300">
        <v>3.5990000000000002</v>
      </c>
      <c r="S1300">
        <v>3.7240000000000002</v>
      </c>
      <c r="T1300">
        <v>0</v>
      </c>
      <c r="U1300">
        <v>96.2</v>
      </c>
      <c r="V1300">
        <v>867</v>
      </c>
      <c r="W1300">
        <v>37.159999999999997</v>
      </c>
      <c r="Y1300">
        <v>12.85</v>
      </c>
    </row>
    <row r="1301" spans="1:25" x14ac:dyDescent="0.25">
      <c r="A1301">
        <v>2006</v>
      </c>
      <c r="B1301">
        <v>354</v>
      </c>
      <c r="C1301">
        <v>800</v>
      </c>
      <c r="D1301">
        <v>2E-3</v>
      </c>
      <c r="E1301">
        <v>-5.1059999999999999</v>
      </c>
      <c r="F1301">
        <v>-1.62</v>
      </c>
      <c r="G1301">
        <v>-1.4370000000000001</v>
      </c>
      <c r="K1301">
        <v>1.468</v>
      </c>
      <c r="L1301">
        <v>227.6</v>
      </c>
      <c r="M1301">
        <v>0</v>
      </c>
      <c r="O1301">
        <v>-10.83</v>
      </c>
      <c r="P1301">
        <v>-10.220000000000001</v>
      </c>
      <c r="Q1301">
        <v>3.5419999999999998</v>
      </c>
      <c r="S1301">
        <v>3.7080000000000002</v>
      </c>
      <c r="T1301">
        <v>0</v>
      </c>
      <c r="U1301">
        <v>96.4</v>
      </c>
      <c r="V1301">
        <v>867</v>
      </c>
      <c r="W1301">
        <v>37.159999999999997</v>
      </c>
      <c r="Y1301">
        <v>12.84</v>
      </c>
    </row>
    <row r="1302" spans="1:25" x14ac:dyDescent="0.25">
      <c r="A1302">
        <v>2006</v>
      </c>
      <c r="B1302">
        <v>354</v>
      </c>
      <c r="C1302">
        <v>900</v>
      </c>
      <c r="D1302">
        <v>2.0680000000000001</v>
      </c>
      <c r="E1302">
        <v>-6.0709999999999997</v>
      </c>
      <c r="F1302">
        <v>-1.849</v>
      </c>
      <c r="G1302">
        <v>-1.718</v>
      </c>
      <c r="H1302">
        <f>AVERAGE(G1302:G1326)</f>
        <v>1.06088</v>
      </c>
      <c r="I1302">
        <f>MIN(G1302:G1326)</f>
        <v>-1.7470000000000001</v>
      </c>
      <c r="J1302">
        <f>MAX(G1302:G1326)</f>
        <v>3.923</v>
      </c>
      <c r="K1302">
        <v>0.627</v>
      </c>
      <c r="L1302">
        <v>224.8</v>
      </c>
      <c r="M1302">
        <v>0</v>
      </c>
      <c r="N1302">
        <f>SUM(M1302:M1326)</f>
        <v>0.60000000000000009</v>
      </c>
      <c r="O1302">
        <v>-7.31</v>
      </c>
      <c r="P1302">
        <v>-9.44</v>
      </c>
      <c r="Q1302">
        <v>3.4740000000000002</v>
      </c>
      <c r="S1302">
        <v>3.6589999999999998</v>
      </c>
      <c r="T1302">
        <v>0</v>
      </c>
      <c r="U1302">
        <v>97.4</v>
      </c>
      <c r="V1302">
        <v>867</v>
      </c>
      <c r="W1302">
        <v>37.15</v>
      </c>
      <c r="Y1302">
        <v>12.84</v>
      </c>
    </row>
    <row r="1303" spans="1:25" x14ac:dyDescent="0.25">
      <c r="A1303">
        <v>2006</v>
      </c>
      <c r="B1303">
        <v>354</v>
      </c>
      <c r="C1303">
        <v>1000</v>
      </c>
      <c r="D1303">
        <v>31.81</v>
      </c>
      <c r="E1303">
        <v>12.6</v>
      </c>
      <c r="F1303">
        <v>-1.9570000000000001</v>
      </c>
      <c r="G1303">
        <v>-1.7470000000000001</v>
      </c>
      <c r="K1303">
        <v>0.88800000000000001</v>
      </c>
      <c r="L1303">
        <v>228.1</v>
      </c>
      <c r="M1303">
        <v>0</v>
      </c>
      <c r="O1303">
        <v>29.83</v>
      </c>
      <c r="P1303">
        <v>2.774</v>
      </c>
      <c r="Q1303">
        <v>3.3929999999999998</v>
      </c>
      <c r="S1303">
        <v>3.6619999999999999</v>
      </c>
      <c r="T1303">
        <v>0</v>
      </c>
      <c r="U1303">
        <v>95.9</v>
      </c>
      <c r="V1303">
        <v>867</v>
      </c>
      <c r="W1303">
        <v>37.15</v>
      </c>
      <c r="Y1303">
        <v>13.02</v>
      </c>
    </row>
    <row r="1304" spans="1:25" x14ac:dyDescent="0.25">
      <c r="A1304">
        <v>2006</v>
      </c>
      <c r="B1304">
        <v>354</v>
      </c>
      <c r="C1304">
        <v>1100</v>
      </c>
      <c r="D1304">
        <v>55.57</v>
      </c>
      <c r="E1304">
        <v>35.799999999999997</v>
      </c>
      <c r="F1304">
        <v>-1.6339999999999999</v>
      </c>
      <c r="G1304">
        <v>-1.2809999999999999</v>
      </c>
      <c r="K1304">
        <v>1.3240000000000001</v>
      </c>
      <c r="L1304">
        <v>227.8</v>
      </c>
      <c r="M1304">
        <v>0</v>
      </c>
      <c r="O1304">
        <v>65.84</v>
      </c>
      <c r="P1304">
        <v>8.9</v>
      </c>
      <c r="Q1304">
        <v>3.331</v>
      </c>
      <c r="S1304">
        <v>3.6619999999999999</v>
      </c>
      <c r="T1304">
        <v>0</v>
      </c>
      <c r="U1304">
        <v>93.2</v>
      </c>
      <c r="V1304">
        <v>867</v>
      </c>
      <c r="W1304">
        <v>37.15</v>
      </c>
      <c r="Y1304">
        <v>13.36</v>
      </c>
    </row>
    <row r="1305" spans="1:25" x14ac:dyDescent="0.25">
      <c r="A1305">
        <v>2006</v>
      </c>
      <c r="B1305">
        <v>354</v>
      </c>
      <c r="C1305">
        <v>1200</v>
      </c>
      <c r="D1305">
        <v>77.5</v>
      </c>
      <c r="E1305">
        <v>53.15</v>
      </c>
      <c r="F1305">
        <v>-1.0580000000000001</v>
      </c>
      <c r="G1305">
        <v>-0.745</v>
      </c>
      <c r="K1305">
        <v>1.137</v>
      </c>
      <c r="L1305">
        <v>227.8</v>
      </c>
      <c r="M1305">
        <v>0</v>
      </c>
      <c r="O1305">
        <v>95</v>
      </c>
      <c r="P1305">
        <v>16.53</v>
      </c>
      <c r="Q1305">
        <v>3.3069999999999999</v>
      </c>
      <c r="S1305">
        <v>3.629</v>
      </c>
      <c r="T1305">
        <v>0</v>
      </c>
      <c r="U1305">
        <v>94.1</v>
      </c>
      <c r="V1305">
        <v>867</v>
      </c>
      <c r="W1305">
        <v>37.15</v>
      </c>
      <c r="Y1305">
        <v>13.47</v>
      </c>
    </row>
    <row r="1306" spans="1:25" x14ac:dyDescent="0.25">
      <c r="A1306">
        <v>2006</v>
      </c>
      <c r="B1306">
        <v>354</v>
      </c>
      <c r="C1306">
        <v>1300</v>
      </c>
      <c r="D1306">
        <v>121.2</v>
      </c>
      <c r="E1306">
        <v>82.9</v>
      </c>
      <c r="F1306">
        <v>-0.39700000000000002</v>
      </c>
      <c r="G1306">
        <v>-0.155</v>
      </c>
      <c r="K1306">
        <v>0.90700000000000003</v>
      </c>
      <c r="L1306">
        <v>227.3</v>
      </c>
      <c r="M1306">
        <v>0.2</v>
      </c>
      <c r="O1306">
        <v>146.6</v>
      </c>
      <c r="P1306">
        <v>42.57</v>
      </c>
      <c r="Q1306">
        <v>3.359</v>
      </c>
      <c r="S1306">
        <v>3.6</v>
      </c>
      <c r="T1306">
        <v>0</v>
      </c>
      <c r="U1306">
        <v>95.6</v>
      </c>
      <c r="V1306">
        <v>866</v>
      </c>
      <c r="W1306">
        <v>37.1</v>
      </c>
      <c r="Y1306">
        <v>13.67</v>
      </c>
    </row>
    <row r="1307" spans="1:25" x14ac:dyDescent="0.25">
      <c r="A1307">
        <v>2006</v>
      </c>
      <c r="B1307">
        <v>354</v>
      </c>
      <c r="C1307">
        <v>1400</v>
      </c>
      <c r="D1307">
        <v>162.19999999999999</v>
      </c>
      <c r="E1307">
        <v>89.5</v>
      </c>
      <c r="F1307">
        <v>0.83199999999999996</v>
      </c>
      <c r="G1307">
        <v>0.78500000000000003</v>
      </c>
      <c r="K1307">
        <v>0.88400000000000001</v>
      </c>
      <c r="L1307">
        <v>229.4</v>
      </c>
      <c r="M1307">
        <v>0</v>
      </c>
      <c r="O1307">
        <v>160.80000000000001</v>
      </c>
      <c r="P1307">
        <v>126.9</v>
      </c>
      <c r="Q1307">
        <v>3.5139999999999998</v>
      </c>
      <c r="S1307">
        <v>3.5529999999999999</v>
      </c>
      <c r="T1307">
        <v>0</v>
      </c>
      <c r="U1307">
        <v>100.9</v>
      </c>
      <c r="V1307">
        <v>866</v>
      </c>
      <c r="W1307">
        <v>37.08</v>
      </c>
      <c r="Y1307">
        <v>14.12</v>
      </c>
    </row>
    <row r="1308" spans="1:25" x14ac:dyDescent="0.25">
      <c r="A1308">
        <v>2006</v>
      </c>
      <c r="B1308">
        <v>354</v>
      </c>
      <c r="C1308">
        <v>1500</v>
      </c>
      <c r="D1308">
        <v>84.9</v>
      </c>
      <c r="E1308">
        <v>40.65</v>
      </c>
      <c r="F1308">
        <v>1.2290000000000001</v>
      </c>
      <c r="G1308">
        <v>1.0209999999999999</v>
      </c>
      <c r="K1308">
        <v>0.46600000000000003</v>
      </c>
      <c r="L1308">
        <v>265.3</v>
      </c>
      <c r="M1308">
        <v>0</v>
      </c>
      <c r="O1308">
        <v>85</v>
      </c>
      <c r="P1308">
        <v>71.599999999999994</v>
      </c>
      <c r="Q1308">
        <v>3.581</v>
      </c>
      <c r="S1308">
        <v>3.5449999999999999</v>
      </c>
      <c r="T1308">
        <v>0</v>
      </c>
      <c r="U1308">
        <v>103.6</v>
      </c>
      <c r="V1308">
        <v>865</v>
      </c>
      <c r="W1308">
        <v>37.04</v>
      </c>
      <c r="Y1308">
        <v>13.9</v>
      </c>
    </row>
    <row r="1309" spans="1:25" x14ac:dyDescent="0.25">
      <c r="A1309">
        <v>2006</v>
      </c>
      <c r="B1309">
        <v>354</v>
      </c>
      <c r="C1309">
        <v>1600</v>
      </c>
      <c r="D1309">
        <v>15.89</v>
      </c>
      <c r="E1309">
        <v>-10.17</v>
      </c>
      <c r="F1309">
        <v>-0.38500000000000001</v>
      </c>
      <c r="G1309">
        <v>-0.39800000000000002</v>
      </c>
      <c r="K1309">
        <v>0.20499999999999999</v>
      </c>
      <c r="L1309">
        <v>231</v>
      </c>
      <c r="M1309">
        <v>0</v>
      </c>
      <c r="O1309">
        <v>10.43</v>
      </c>
      <c r="P1309">
        <v>-3.62</v>
      </c>
      <c r="Q1309">
        <v>3.5680000000000001</v>
      </c>
      <c r="S1309">
        <v>3.488</v>
      </c>
      <c r="T1309">
        <v>0</v>
      </c>
      <c r="U1309">
        <v>100.3</v>
      </c>
      <c r="V1309">
        <v>865</v>
      </c>
      <c r="W1309">
        <v>37.03</v>
      </c>
      <c r="Y1309">
        <v>13.46</v>
      </c>
    </row>
    <row r="1310" spans="1:25" x14ac:dyDescent="0.25">
      <c r="A1310">
        <v>2006</v>
      </c>
      <c r="B1310">
        <v>354</v>
      </c>
      <c r="C1310">
        <v>1700</v>
      </c>
      <c r="D1310">
        <v>-1.397</v>
      </c>
      <c r="E1310">
        <v>-21.6</v>
      </c>
      <c r="F1310">
        <v>-0.88600000000000001</v>
      </c>
      <c r="G1310">
        <v>-0.95099999999999996</v>
      </c>
      <c r="K1310">
        <v>0.20699999999999999</v>
      </c>
      <c r="L1310">
        <v>215.2</v>
      </c>
      <c r="M1310">
        <v>0</v>
      </c>
      <c r="O1310">
        <v>-9.5500000000000007</v>
      </c>
      <c r="P1310">
        <v>-9.86</v>
      </c>
      <c r="Q1310">
        <v>3.5310000000000001</v>
      </c>
      <c r="S1310">
        <v>3.528</v>
      </c>
      <c r="T1310">
        <v>0</v>
      </c>
      <c r="U1310">
        <v>101.3</v>
      </c>
      <c r="V1310">
        <v>865</v>
      </c>
      <c r="W1310">
        <v>37</v>
      </c>
      <c r="Y1310">
        <v>13.32</v>
      </c>
    </row>
    <row r="1311" spans="1:25" x14ac:dyDescent="0.25">
      <c r="A1311">
        <v>2006</v>
      </c>
      <c r="B1311">
        <v>354</v>
      </c>
      <c r="C1311">
        <v>1800</v>
      </c>
      <c r="D1311">
        <v>-1.891</v>
      </c>
      <c r="E1311">
        <v>-16.32</v>
      </c>
      <c r="F1311">
        <v>-0.60099999999999998</v>
      </c>
      <c r="G1311">
        <v>6.4000000000000001E-2</v>
      </c>
      <c r="K1311">
        <v>0.625</v>
      </c>
      <c r="L1311">
        <v>199.5</v>
      </c>
      <c r="M1311">
        <v>0</v>
      </c>
      <c r="O1311">
        <v>-10.83</v>
      </c>
      <c r="P1311">
        <v>-10.220000000000001</v>
      </c>
      <c r="Q1311">
        <v>3.4129999999999998</v>
      </c>
      <c r="S1311">
        <v>3.4809999999999999</v>
      </c>
      <c r="T1311">
        <v>0</v>
      </c>
      <c r="U1311">
        <v>88.1</v>
      </c>
      <c r="V1311">
        <v>865</v>
      </c>
      <c r="W1311">
        <v>37</v>
      </c>
      <c r="Y1311">
        <v>13.23</v>
      </c>
    </row>
    <row r="1312" spans="1:25" x14ac:dyDescent="0.25">
      <c r="A1312">
        <v>2006</v>
      </c>
      <c r="B1312">
        <v>354</v>
      </c>
      <c r="C1312">
        <v>1900</v>
      </c>
      <c r="D1312">
        <v>-2.464</v>
      </c>
      <c r="E1312">
        <v>-14.49</v>
      </c>
      <c r="F1312">
        <v>-0.23200000000000001</v>
      </c>
      <c r="G1312">
        <v>0.224</v>
      </c>
      <c r="K1312">
        <v>0.71599999999999997</v>
      </c>
      <c r="L1312">
        <v>198.7</v>
      </c>
      <c r="M1312">
        <v>0</v>
      </c>
      <c r="O1312">
        <v>-10.83</v>
      </c>
      <c r="P1312">
        <v>-10.220000000000001</v>
      </c>
      <c r="Q1312">
        <v>3.278</v>
      </c>
      <c r="S1312">
        <v>3.5049999999999999</v>
      </c>
      <c r="T1312">
        <v>0</v>
      </c>
      <c r="U1312">
        <v>92</v>
      </c>
      <c r="V1312">
        <v>864</v>
      </c>
      <c r="W1312">
        <v>36.950000000000003</v>
      </c>
      <c r="Y1312">
        <v>13.16</v>
      </c>
    </row>
    <row r="1313" spans="1:25" x14ac:dyDescent="0.25">
      <c r="A1313">
        <v>2006</v>
      </c>
      <c r="B1313">
        <v>354</v>
      </c>
      <c r="C1313">
        <v>2000</v>
      </c>
      <c r="D1313">
        <v>-2.5739999999999998</v>
      </c>
      <c r="E1313">
        <v>-16.98</v>
      </c>
      <c r="F1313">
        <v>1.294</v>
      </c>
      <c r="G1313">
        <v>1.704</v>
      </c>
      <c r="K1313">
        <v>1.0089999999999999</v>
      </c>
      <c r="L1313">
        <v>193</v>
      </c>
      <c r="M1313">
        <v>0</v>
      </c>
      <c r="O1313">
        <v>-10.84</v>
      </c>
      <c r="P1313">
        <v>-10.220000000000001</v>
      </c>
      <c r="Q1313">
        <v>3.1429999999999998</v>
      </c>
      <c r="S1313">
        <v>3.504</v>
      </c>
      <c r="T1313">
        <v>0</v>
      </c>
      <c r="U1313">
        <v>93.2</v>
      </c>
      <c r="V1313">
        <v>864</v>
      </c>
      <c r="W1313">
        <v>36.92</v>
      </c>
      <c r="Y1313">
        <v>13.11</v>
      </c>
    </row>
    <row r="1314" spans="1:25" x14ac:dyDescent="0.25">
      <c r="A1314">
        <v>2006</v>
      </c>
      <c r="B1314">
        <v>354</v>
      </c>
      <c r="C1314">
        <v>2100</v>
      </c>
      <c r="D1314">
        <v>-2.343</v>
      </c>
      <c r="E1314">
        <v>-19.18</v>
      </c>
      <c r="F1314">
        <v>0.65300000000000002</v>
      </c>
      <c r="G1314">
        <v>0.98199999999999998</v>
      </c>
      <c r="K1314">
        <v>0.63500000000000001</v>
      </c>
      <c r="L1314">
        <v>189.3</v>
      </c>
      <c r="M1314">
        <v>0</v>
      </c>
      <c r="O1314">
        <v>-10.84</v>
      </c>
      <c r="P1314">
        <v>-10.220000000000001</v>
      </c>
      <c r="Q1314">
        <v>3.0270000000000001</v>
      </c>
      <c r="S1314">
        <v>3.4660000000000002</v>
      </c>
      <c r="T1314">
        <v>0</v>
      </c>
      <c r="U1314">
        <v>94.4</v>
      </c>
      <c r="V1314">
        <v>863</v>
      </c>
      <c r="W1314">
        <v>36.9</v>
      </c>
      <c r="Y1314">
        <v>13.07</v>
      </c>
    </row>
    <row r="1315" spans="1:25" x14ac:dyDescent="0.25">
      <c r="A1315">
        <v>2006</v>
      </c>
      <c r="B1315">
        <v>354</v>
      </c>
      <c r="C1315">
        <v>2200</v>
      </c>
      <c r="D1315">
        <v>-2.4129999999999998</v>
      </c>
      <c r="E1315">
        <v>-19.760000000000002</v>
      </c>
      <c r="F1315">
        <v>1.4119999999999999</v>
      </c>
      <c r="G1315">
        <v>1.845</v>
      </c>
      <c r="K1315">
        <v>0.72799999999999998</v>
      </c>
      <c r="L1315">
        <v>181.6</v>
      </c>
      <c r="M1315">
        <v>0</v>
      </c>
      <c r="O1315">
        <v>-10.83</v>
      </c>
      <c r="P1315">
        <v>-10.220000000000001</v>
      </c>
      <c r="Q1315">
        <v>2.9009999999999998</v>
      </c>
      <c r="S1315">
        <v>3.395</v>
      </c>
      <c r="T1315">
        <v>0</v>
      </c>
      <c r="U1315">
        <v>92.8</v>
      </c>
      <c r="V1315">
        <v>863</v>
      </c>
      <c r="W1315">
        <v>36.869999999999997</v>
      </c>
      <c r="Y1315">
        <v>13.04</v>
      </c>
    </row>
    <row r="1316" spans="1:25" x14ac:dyDescent="0.25">
      <c r="A1316">
        <v>2006</v>
      </c>
      <c r="B1316">
        <v>354</v>
      </c>
      <c r="C1316">
        <v>2300</v>
      </c>
      <c r="D1316">
        <v>-2.37</v>
      </c>
      <c r="E1316">
        <v>-20.53</v>
      </c>
      <c r="F1316">
        <v>1.4750000000000001</v>
      </c>
      <c r="G1316">
        <v>2.1179999999999999</v>
      </c>
      <c r="K1316">
        <v>0.69199999999999995</v>
      </c>
      <c r="L1316">
        <v>182.6</v>
      </c>
      <c r="M1316">
        <v>0</v>
      </c>
      <c r="O1316">
        <v>-10.83</v>
      </c>
      <c r="P1316">
        <v>-10.210000000000001</v>
      </c>
      <c r="Q1316">
        <v>2.7949999999999999</v>
      </c>
      <c r="S1316">
        <v>3.3780000000000001</v>
      </c>
      <c r="T1316">
        <v>0</v>
      </c>
      <c r="U1316">
        <v>89.5</v>
      </c>
      <c r="V1316">
        <v>862</v>
      </c>
      <c r="W1316">
        <v>36.799999999999997</v>
      </c>
      <c r="Y1316">
        <v>13.02</v>
      </c>
    </row>
    <row r="1317" spans="1:25" x14ac:dyDescent="0.25">
      <c r="A1317">
        <v>2006</v>
      </c>
      <c r="B1317">
        <v>354</v>
      </c>
      <c r="C1317">
        <v>2400</v>
      </c>
      <c r="D1317">
        <v>-2.4180000000000001</v>
      </c>
      <c r="E1317">
        <v>-17.850000000000001</v>
      </c>
      <c r="F1317">
        <v>1.2470000000000001</v>
      </c>
      <c r="G1317">
        <v>1.821</v>
      </c>
      <c r="K1317">
        <v>0.874</v>
      </c>
      <c r="L1317">
        <v>197.4</v>
      </c>
      <c r="M1317">
        <v>0</v>
      </c>
      <c r="O1317">
        <v>-10.83</v>
      </c>
      <c r="P1317">
        <v>-10.220000000000001</v>
      </c>
      <c r="Q1317">
        <v>2.6850000000000001</v>
      </c>
      <c r="S1317">
        <v>3.2679999999999998</v>
      </c>
      <c r="T1317">
        <v>0</v>
      </c>
      <c r="U1317">
        <v>90.5</v>
      </c>
      <c r="V1317">
        <v>861</v>
      </c>
      <c r="W1317">
        <v>36.770000000000003</v>
      </c>
      <c r="Y1317">
        <v>13</v>
      </c>
    </row>
    <row r="1318" spans="1:25" x14ac:dyDescent="0.25">
      <c r="A1318">
        <v>2006</v>
      </c>
      <c r="B1318">
        <v>354</v>
      </c>
      <c r="C1318">
        <v>2400</v>
      </c>
      <c r="D1318">
        <v>22.21</v>
      </c>
      <c r="E1318">
        <v>4.9729999999999999</v>
      </c>
      <c r="F1318">
        <v>-0.23300000000000001</v>
      </c>
      <c r="G1318">
        <v>1.4E-2</v>
      </c>
      <c r="K1318">
        <v>1.006</v>
      </c>
      <c r="L1318">
        <v>217.4</v>
      </c>
      <c r="M1318">
        <v>0.2</v>
      </c>
      <c r="O1318">
        <v>17.260000000000002</v>
      </c>
      <c r="P1318">
        <v>3.8769999999999998</v>
      </c>
      <c r="Q1318">
        <v>3.4220000000000002</v>
      </c>
      <c r="S1318">
        <v>3.6030000000000002</v>
      </c>
      <c r="T1318">
        <v>0</v>
      </c>
      <c r="U1318">
        <v>95.6</v>
      </c>
      <c r="V1318">
        <v>866</v>
      </c>
      <c r="W1318">
        <v>37.07</v>
      </c>
      <c r="Y1318">
        <v>13.15</v>
      </c>
    </row>
    <row r="1319" spans="1:25" x14ac:dyDescent="0.25">
      <c r="A1319">
        <v>2006</v>
      </c>
      <c r="B1319">
        <v>355</v>
      </c>
      <c r="C1319">
        <v>100</v>
      </c>
      <c r="D1319">
        <v>-2.351</v>
      </c>
      <c r="E1319">
        <v>-20.440000000000001</v>
      </c>
      <c r="F1319">
        <v>1.804</v>
      </c>
      <c r="G1319">
        <v>2.294</v>
      </c>
      <c r="K1319">
        <v>0.88500000000000001</v>
      </c>
      <c r="L1319">
        <v>202.3</v>
      </c>
      <c r="M1319">
        <v>0</v>
      </c>
      <c r="O1319">
        <v>-10.83</v>
      </c>
      <c r="P1319">
        <v>-10.220000000000001</v>
      </c>
      <c r="Q1319">
        <v>2.6040000000000001</v>
      </c>
      <c r="S1319">
        <v>3.2559999999999998</v>
      </c>
      <c r="T1319">
        <v>0</v>
      </c>
      <c r="U1319">
        <v>92</v>
      </c>
      <c r="V1319">
        <v>861</v>
      </c>
      <c r="W1319">
        <v>36.74</v>
      </c>
      <c r="Y1319">
        <v>12.98</v>
      </c>
    </row>
    <row r="1320" spans="1:25" x14ac:dyDescent="0.25">
      <c r="A1320">
        <v>2006</v>
      </c>
      <c r="B1320">
        <v>355</v>
      </c>
      <c r="C1320">
        <v>200</v>
      </c>
      <c r="D1320">
        <v>-2.6280000000000001</v>
      </c>
      <c r="E1320">
        <v>-16.47</v>
      </c>
      <c r="F1320">
        <v>0.50600000000000001</v>
      </c>
      <c r="G1320">
        <v>1.0389999999999999</v>
      </c>
      <c r="K1320">
        <v>0.39700000000000002</v>
      </c>
      <c r="L1320">
        <v>154</v>
      </c>
      <c r="M1320">
        <v>0</v>
      </c>
      <c r="O1320">
        <v>-10.83</v>
      </c>
      <c r="P1320">
        <v>-10.220000000000001</v>
      </c>
      <c r="Q1320">
        <v>2.496</v>
      </c>
      <c r="S1320">
        <v>3.1440000000000001</v>
      </c>
      <c r="T1320">
        <v>0</v>
      </c>
      <c r="U1320">
        <v>90.9</v>
      </c>
      <c r="V1320">
        <v>860</v>
      </c>
      <c r="W1320">
        <v>36.69</v>
      </c>
      <c r="Y1320">
        <v>12.96</v>
      </c>
    </row>
    <row r="1321" spans="1:25" x14ac:dyDescent="0.25">
      <c r="A1321">
        <v>2006</v>
      </c>
      <c r="B1321">
        <v>355</v>
      </c>
      <c r="C1321">
        <v>300</v>
      </c>
      <c r="D1321">
        <v>-2.4430000000000001</v>
      </c>
      <c r="E1321">
        <v>-22.45</v>
      </c>
      <c r="F1321">
        <v>1.5549999999999999</v>
      </c>
      <c r="G1321">
        <v>2.379</v>
      </c>
      <c r="K1321">
        <v>0.57999999999999996</v>
      </c>
      <c r="L1321">
        <v>150.19999999999999</v>
      </c>
      <c r="M1321">
        <v>0</v>
      </c>
      <c r="O1321">
        <v>-10.83</v>
      </c>
      <c r="P1321">
        <v>-10.220000000000001</v>
      </c>
      <c r="Q1321">
        <v>2.4369999999999998</v>
      </c>
      <c r="S1321">
        <v>3.157</v>
      </c>
      <c r="T1321">
        <v>0</v>
      </c>
      <c r="U1321">
        <v>86.7</v>
      </c>
      <c r="V1321">
        <v>859</v>
      </c>
      <c r="W1321">
        <v>36.65</v>
      </c>
      <c r="Y1321">
        <v>12.95</v>
      </c>
    </row>
    <row r="1322" spans="1:25" x14ac:dyDescent="0.25">
      <c r="A1322">
        <v>2006</v>
      </c>
      <c r="B1322">
        <v>355</v>
      </c>
      <c r="C1322">
        <v>400</v>
      </c>
      <c r="D1322">
        <v>-1.1990000000000001</v>
      </c>
      <c r="E1322">
        <v>-19.89</v>
      </c>
      <c r="F1322">
        <v>2.202</v>
      </c>
      <c r="G1322">
        <v>3.1459999999999999</v>
      </c>
      <c r="K1322">
        <v>0.755</v>
      </c>
      <c r="L1322">
        <v>184.4</v>
      </c>
      <c r="M1322">
        <v>0</v>
      </c>
      <c r="O1322">
        <v>-10.83</v>
      </c>
      <c r="P1322">
        <v>-10.210000000000001</v>
      </c>
      <c r="Q1322">
        <v>2.3679999999999999</v>
      </c>
      <c r="S1322">
        <v>3.0680000000000001</v>
      </c>
      <c r="T1322">
        <v>0</v>
      </c>
      <c r="U1322">
        <v>85.3</v>
      </c>
      <c r="V1322">
        <v>859</v>
      </c>
      <c r="W1322">
        <v>36.65</v>
      </c>
      <c r="Y1322">
        <v>12.94</v>
      </c>
    </row>
    <row r="1323" spans="1:25" x14ac:dyDescent="0.25">
      <c r="A1323">
        <v>2006</v>
      </c>
      <c r="B1323">
        <v>355</v>
      </c>
      <c r="C1323">
        <v>500</v>
      </c>
      <c r="D1323">
        <v>-2.3380000000000001</v>
      </c>
      <c r="E1323">
        <v>-40.01</v>
      </c>
      <c r="F1323">
        <v>2.1070000000000002</v>
      </c>
      <c r="G1323">
        <v>3.1360000000000001</v>
      </c>
      <c r="K1323">
        <v>0.98299999999999998</v>
      </c>
      <c r="L1323">
        <v>156.9</v>
      </c>
      <c r="M1323">
        <v>0</v>
      </c>
      <c r="O1323">
        <v>-10.84</v>
      </c>
      <c r="P1323">
        <v>-10.220000000000001</v>
      </c>
      <c r="Q1323">
        <v>2.3090000000000002</v>
      </c>
      <c r="S1323">
        <v>3.02</v>
      </c>
      <c r="T1323">
        <v>0</v>
      </c>
      <c r="U1323">
        <v>83.9</v>
      </c>
      <c r="V1323">
        <v>860</v>
      </c>
      <c r="W1323">
        <v>36.659999999999997</v>
      </c>
      <c r="Y1323">
        <v>12.93</v>
      </c>
    </row>
    <row r="1324" spans="1:25" x14ac:dyDescent="0.25">
      <c r="A1324">
        <v>2006</v>
      </c>
      <c r="B1324">
        <v>355</v>
      </c>
      <c r="C1324">
        <v>600</v>
      </c>
      <c r="D1324">
        <v>-2.0179999999999998</v>
      </c>
      <c r="E1324">
        <v>-29.98</v>
      </c>
      <c r="F1324">
        <v>2.2240000000000002</v>
      </c>
      <c r="G1324">
        <v>3.4180000000000001</v>
      </c>
      <c r="K1324">
        <v>0.85</v>
      </c>
      <c r="L1324">
        <v>190.8</v>
      </c>
      <c r="M1324">
        <v>0</v>
      </c>
      <c r="O1324">
        <v>-10.84</v>
      </c>
      <c r="P1324">
        <v>-10.220000000000001</v>
      </c>
      <c r="Q1324">
        <v>2.286</v>
      </c>
      <c r="S1324">
        <v>3.02</v>
      </c>
      <c r="T1324">
        <v>0</v>
      </c>
      <c r="U1324">
        <v>81.599999999999994</v>
      </c>
      <c r="V1324">
        <v>859</v>
      </c>
      <c r="W1324">
        <v>36.619999999999997</v>
      </c>
      <c r="Y1324">
        <v>12.92</v>
      </c>
    </row>
    <row r="1325" spans="1:25" x14ac:dyDescent="0.25">
      <c r="A1325">
        <v>2006</v>
      </c>
      <c r="B1325">
        <v>355</v>
      </c>
      <c r="C1325">
        <v>700</v>
      </c>
      <c r="D1325">
        <v>-0.71399999999999997</v>
      </c>
      <c r="E1325">
        <v>-13.8</v>
      </c>
      <c r="F1325">
        <v>2.7669999999999999</v>
      </c>
      <c r="G1325">
        <v>3.923</v>
      </c>
      <c r="K1325">
        <v>1.3009999999999999</v>
      </c>
      <c r="L1325">
        <v>206.4</v>
      </c>
      <c r="M1325">
        <v>0.2</v>
      </c>
      <c r="O1325">
        <v>-10.84</v>
      </c>
      <c r="P1325">
        <v>-10.23</v>
      </c>
      <c r="Q1325">
        <v>2.242</v>
      </c>
      <c r="S1325">
        <v>2.99</v>
      </c>
      <c r="T1325">
        <v>0</v>
      </c>
      <c r="U1325">
        <v>82.6</v>
      </c>
      <c r="V1325">
        <v>859</v>
      </c>
      <c r="W1325">
        <v>36.64</v>
      </c>
      <c r="Y1325">
        <v>12.91</v>
      </c>
    </row>
    <row r="1326" spans="1:25" x14ac:dyDescent="0.25">
      <c r="A1326">
        <v>2006</v>
      </c>
      <c r="B1326">
        <v>355</v>
      </c>
      <c r="C1326">
        <v>800</v>
      </c>
      <c r="D1326">
        <v>-1.9379999999999999</v>
      </c>
      <c r="E1326">
        <v>-29.13</v>
      </c>
      <c r="F1326">
        <v>2.4940000000000002</v>
      </c>
      <c r="G1326">
        <v>3.6040000000000001</v>
      </c>
      <c r="K1326">
        <v>0.66900000000000004</v>
      </c>
      <c r="L1326">
        <v>144</v>
      </c>
      <c r="M1326">
        <v>0</v>
      </c>
      <c r="O1326">
        <v>-10.9</v>
      </c>
      <c r="P1326">
        <v>-10.3</v>
      </c>
      <c r="Q1326">
        <v>2.2069999999999999</v>
      </c>
      <c r="S1326">
        <v>2.9169999999999998</v>
      </c>
      <c r="T1326">
        <v>0</v>
      </c>
      <c r="U1326">
        <v>83.1</v>
      </c>
      <c r="V1326">
        <v>860</v>
      </c>
      <c r="W1326">
        <v>36.69</v>
      </c>
      <c r="Y1326">
        <v>12.91</v>
      </c>
    </row>
    <row r="1327" spans="1:25" x14ac:dyDescent="0.25">
      <c r="A1327">
        <v>2006</v>
      </c>
      <c r="B1327">
        <v>355</v>
      </c>
      <c r="C1327">
        <v>900</v>
      </c>
      <c r="D1327">
        <v>1.0940000000000001</v>
      </c>
      <c r="E1327">
        <v>-12.59</v>
      </c>
      <c r="F1327">
        <v>3.0249999999999999</v>
      </c>
      <c r="G1327">
        <v>4.3129999999999997</v>
      </c>
      <c r="H1327">
        <f>AVERAGE(G1327:G1351)</f>
        <v>6.4433999999999996</v>
      </c>
      <c r="I1327">
        <f>MIN(G1327:G1351)</f>
        <v>4.3129999999999997</v>
      </c>
      <c r="J1327">
        <f>MAX(G1327:G1351)</f>
        <v>7.35</v>
      </c>
      <c r="K1327">
        <v>1.389</v>
      </c>
      <c r="L1327">
        <v>213.1</v>
      </c>
      <c r="M1327">
        <v>0</v>
      </c>
      <c r="N1327">
        <f>SUM(M1327:M1351)</f>
        <v>0.2</v>
      </c>
      <c r="O1327">
        <v>-7.91</v>
      </c>
      <c r="P1327">
        <v>-9.77</v>
      </c>
      <c r="Q1327">
        <v>2.177</v>
      </c>
      <c r="S1327">
        <v>2.9</v>
      </c>
      <c r="T1327">
        <v>0</v>
      </c>
      <c r="U1327">
        <v>80.900000000000006</v>
      </c>
      <c r="V1327">
        <v>860</v>
      </c>
      <c r="W1327">
        <v>36.69</v>
      </c>
      <c r="Y1327">
        <v>12.9</v>
      </c>
    </row>
    <row r="1328" spans="1:25" x14ac:dyDescent="0.25">
      <c r="A1328">
        <v>2006</v>
      </c>
      <c r="B1328">
        <v>355</v>
      </c>
      <c r="C1328">
        <v>1000</v>
      </c>
      <c r="D1328">
        <v>36.56</v>
      </c>
      <c r="E1328">
        <v>-15.68</v>
      </c>
      <c r="F1328">
        <v>3.4649999999999999</v>
      </c>
      <c r="G1328">
        <v>4.851</v>
      </c>
      <c r="K1328">
        <v>1.7070000000000001</v>
      </c>
      <c r="L1328">
        <v>208.2</v>
      </c>
      <c r="M1328">
        <v>0</v>
      </c>
      <c r="O1328">
        <v>24.72</v>
      </c>
      <c r="P1328">
        <v>4.2050000000000001</v>
      </c>
      <c r="Q1328">
        <v>2.145</v>
      </c>
      <c r="S1328">
        <v>2.8679999999999999</v>
      </c>
      <c r="T1328">
        <v>0</v>
      </c>
      <c r="U1328">
        <v>80</v>
      </c>
      <c r="V1328">
        <v>860</v>
      </c>
      <c r="W1328">
        <v>36.72</v>
      </c>
      <c r="Y1328">
        <v>13.02</v>
      </c>
    </row>
    <row r="1329" spans="1:25" x14ac:dyDescent="0.25">
      <c r="A1329">
        <v>2006</v>
      </c>
      <c r="B1329">
        <v>355</v>
      </c>
      <c r="C1329">
        <v>1100</v>
      </c>
      <c r="D1329">
        <v>86.7</v>
      </c>
      <c r="E1329">
        <v>8.2100000000000009</v>
      </c>
      <c r="F1329">
        <v>4.093</v>
      </c>
      <c r="G1329">
        <v>5.468</v>
      </c>
      <c r="K1329">
        <v>2.306</v>
      </c>
      <c r="L1329">
        <v>213.9</v>
      </c>
      <c r="M1329">
        <v>0</v>
      </c>
      <c r="O1329">
        <v>89.1</v>
      </c>
      <c r="P1329">
        <v>42.42</v>
      </c>
      <c r="Q1329">
        <v>2.133</v>
      </c>
      <c r="S1329">
        <v>2.8330000000000002</v>
      </c>
      <c r="T1329">
        <v>0</v>
      </c>
      <c r="U1329">
        <v>80.599999999999994</v>
      </c>
      <c r="V1329">
        <v>861</v>
      </c>
      <c r="W1329">
        <v>36.770000000000003</v>
      </c>
      <c r="Y1329">
        <v>13.8</v>
      </c>
    </row>
    <row r="1330" spans="1:25" x14ac:dyDescent="0.25">
      <c r="A1330">
        <v>2006</v>
      </c>
      <c r="B1330">
        <v>355</v>
      </c>
      <c r="C1330">
        <v>1200</v>
      </c>
      <c r="D1330">
        <v>157.30000000000001</v>
      </c>
      <c r="E1330">
        <v>100.6</v>
      </c>
      <c r="F1330">
        <v>4.5830000000000002</v>
      </c>
      <c r="G1330">
        <v>6.0839999999999996</v>
      </c>
      <c r="K1330">
        <v>2.2690000000000001</v>
      </c>
      <c r="L1330">
        <v>213.5</v>
      </c>
      <c r="M1330">
        <v>0</v>
      </c>
      <c r="O1330">
        <v>175.9</v>
      </c>
      <c r="P1330">
        <v>89.2</v>
      </c>
      <c r="Q1330">
        <v>2.157</v>
      </c>
      <c r="S1330">
        <v>2.831</v>
      </c>
      <c r="T1330">
        <v>0</v>
      </c>
      <c r="U1330">
        <v>79.400000000000006</v>
      </c>
      <c r="V1330">
        <v>863</v>
      </c>
      <c r="W1330">
        <v>36.869999999999997</v>
      </c>
      <c r="Y1330">
        <v>14.38</v>
      </c>
    </row>
    <row r="1331" spans="1:25" x14ac:dyDescent="0.25">
      <c r="A1331">
        <v>2006</v>
      </c>
      <c r="B1331">
        <v>355</v>
      </c>
      <c r="C1331">
        <v>1300</v>
      </c>
      <c r="D1331">
        <v>174.7</v>
      </c>
      <c r="E1331">
        <v>116.9</v>
      </c>
      <c r="F1331">
        <v>5.0570000000000004</v>
      </c>
      <c r="G1331">
        <v>6.5910000000000002</v>
      </c>
      <c r="K1331">
        <v>2.2919999999999998</v>
      </c>
      <c r="L1331">
        <v>213.9</v>
      </c>
      <c r="M1331">
        <v>0</v>
      </c>
      <c r="O1331">
        <v>196.9</v>
      </c>
      <c r="P1331">
        <v>101.3</v>
      </c>
      <c r="Q1331">
        <v>2.1760000000000002</v>
      </c>
      <c r="S1331">
        <v>2.8239999999999998</v>
      </c>
      <c r="T1331">
        <v>0</v>
      </c>
      <c r="U1331">
        <v>79.3</v>
      </c>
      <c r="V1331">
        <v>865</v>
      </c>
      <c r="W1331">
        <v>37.03</v>
      </c>
      <c r="Y1331">
        <v>14.32</v>
      </c>
    </row>
    <row r="1332" spans="1:25" x14ac:dyDescent="0.25">
      <c r="A1332">
        <v>2006</v>
      </c>
      <c r="B1332">
        <v>355</v>
      </c>
      <c r="C1332">
        <v>1400</v>
      </c>
      <c r="D1332">
        <v>176.6</v>
      </c>
      <c r="E1332">
        <v>114.2</v>
      </c>
      <c r="F1332">
        <v>5.3860000000000001</v>
      </c>
      <c r="G1332">
        <v>6.875</v>
      </c>
      <c r="K1332">
        <v>2.6469999999999998</v>
      </c>
      <c r="L1332">
        <v>213.5</v>
      </c>
      <c r="M1332">
        <v>0</v>
      </c>
      <c r="O1332">
        <v>196.6</v>
      </c>
      <c r="P1332">
        <v>103.9</v>
      </c>
      <c r="Q1332">
        <v>2.181</v>
      </c>
      <c r="S1332">
        <v>2.7410000000000001</v>
      </c>
      <c r="T1332">
        <v>0</v>
      </c>
      <c r="U1332">
        <v>80.099999999999994</v>
      </c>
      <c r="V1332">
        <v>868</v>
      </c>
      <c r="W1332">
        <v>37.22</v>
      </c>
      <c r="Y1332">
        <v>14.28</v>
      </c>
    </row>
    <row r="1333" spans="1:25" x14ac:dyDescent="0.25">
      <c r="A1333">
        <v>2006</v>
      </c>
      <c r="B1333">
        <v>355</v>
      </c>
      <c r="C1333">
        <v>1500</v>
      </c>
      <c r="D1333">
        <v>62.07</v>
      </c>
      <c r="E1333">
        <v>15.98</v>
      </c>
      <c r="F1333">
        <v>5.1520000000000001</v>
      </c>
      <c r="G1333">
        <v>6.4960000000000004</v>
      </c>
      <c r="K1333">
        <v>2.1909999999999998</v>
      </c>
      <c r="L1333">
        <v>221.3</v>
      </c>
      <c r="M1333">
        <v>0</v>
      </c>
      <c r="O1333">
        <v>61.47</v>
      </c>
      <c r="P1333">
        <v>20.18</v>
      </c>
      <c r="Q1333">
        <v>2.2810000000000001</v>
      </c>
      <c r="S1333">
        <v>2.7240000000000002</v>
      </c>
      <c r="T1333">
        <v>0</v>
      </c>
      <c r="U1333">
        <v>81.8</v>
      </c>
      <c r="V1333">
        <v>871</v>
      </c>
      <c r="W1333">
        <v>37.39</v>
      </c>
      <c r="Y1333">
        <v>13.73</v>
      </c>
    </row>
    <row r="1334" spans="1:25" x14ac:dyDescent="0.25">
      <c r="A1334">
        <v>2006</v>
      </c>
      <c r="B1334">
        <v>355</v>
      </c>
      <c r="C1334">
        <v>1600</v>
      </c>
      <c r="D1334">
        <v>13.53</v>
      </c>
      <c r="E1334">
        <v>12.43</v>
      </c>
      <c r="F1334">
        <v>5.2450000000000001</v>
      </c>
      <c r="G1334">
        <v>6.431</v>
      </c>
      <c r="K1334">
        <v>1.107</v>
      </c>
      <c r="L1334">
        <v>218.3</v>
      </c>
      <c r="M1334">
        <v>0</v>
      </c>
      <c r="O1334">
        <v>5.8220000000000001</v>
      </c>
      <c r="P1334">
        <v>-6.2640000000000002</v>
      </c>
      <c r="Q1334">
        <v>2.4460000000000002</v>
      </c>
      <c r="S1334">
        <v>2.7559999999999998</v>
      </c>
      <c r="T1334">
        <v>0</v>
      </c>
      <c r="U1334">
        <v>83.8</v>
      </c>
      <c r="V1334">
        <v>870</v>
      </c>
      <c r="W1334">
        <v>37.36</v>
      </c>
      <c r="Y1334">
        <v>13.5</v>
      </c>
    </row>
    <row r="1335" spans="1:25" x14ac:dyDescent="0.25">
      <c r="A1335">
        <v>2006</v>
      </c>
      <c r="B1335">
        <v>355</v>
      </c>
      <c r="C1335">
        <v>1700</v>
      </c>
      <c r="D1335">
        <v>0.20200000000000001</v>
      </c>
      <c r="E1335">
        <v>5.0469999999999997</v>
      </c>
      <c r="F1335">
        <v>5.1950000000000003</v>
      </c>
      <c r="G1335">
        <v>6.4059999999999997</v>
      </c>
      <c r="K1335">
        <v>1.3919999999999999</v>
      </c>
      <c r="L1335">
        <v>206.3</v>
      </c>
      <c r="M1335">
        <v>0</v>
      </c>
      <c r="O1335">
        <v>-11.13</v>
      </c>
      <c r="P1335">
        <v>-10.76</v>
      </c>
      <c r="Q1335">
        <v>2.601</v>
      </c>
      <c r="S1335">
        <v>2.7749999999999999</v>
      </c>
      <c r="T1335">
        <v>0</v>
      </c>
      <c r="U1335">
        <v>83.5</v>
      </c>
      <c r="V1335">
        <v>869</v>
      </c>
      <c r="W1335">
        <v>37.25</v>
      </c>
      <c r="Y1335">
        <v>13.35</v>
      </c>
    </row>
    <row r="1336" spans="1:25" x14ac:dyDescent="0.25">
      <c r="A1336">
        <v>2006</v>
      </c>
      <c r="B1336">
        <v>355</v>
      </c>
      <c r="C1336">
        <v>1800</v>
      </c>
      <c r="D1336">
        <v>0</v>
      </c>
      <c r="E1336">
        <v>3.9649999999999999</v>
      </c>
      <c r="F1336">
        <v>5.194</v>
      </c>
      <c r="G1336">
        <v>6.4740000000000002</v>
      </c>
      <c r="K1336">
        <v>2.0529999999999999</v>
      </c>
      <c r="L1336">
        <v>212.1</v>
      </c>
      <c r="M1336">
        <v>0</v>
      </c>
      <c r="O1336">
        <v>-11.5</v>
      </c>
      <c r="P1336">
        <v>-10.84</v>
      </c>
      <c r="Q1336">
        <v>2.742</v>
      </c>
      <c r="S1336">
        <v>2.8210000000000002</v>
      </c>
      <c r="T1336">
        <v>0</v>
      </c>
      <c r="U1336">
        <v>82.6</v>
      </c>
      <c r="V1336">
        <v>867</v>
      </c>
      <c r="W1336">
        <v>37.130000000000003</v>
      </c>
      <c r="Y1336">
        <v>13.25</v>
      </c>
    </row>
    <row r="1337" spans="1:25" x14ac:dyDescent="0.25">
      <c r="A1337">
        <v>2006</v>
      </c>
      <c r="B1337">
        <v>355</v>
      </c>
      <c r="C1337">
        <v>1900</v>
      </c>
      <c r="D1337">
        <v>-0.312</v>
      </c>
      <c r="E1337">
        <v>-1.2</v>
      </c>
      <c r="F1337">
        <v>5.1840000000000002</v>
      </c>
      <c r="G1337">
        <v>6.37</v>
      </c>
      <c r="K1337">
        <v>2.3029999999999999</v>
      </c>
      <c r="L1337">
        <v>222.1</v>
      </c>
      <c r="M1337">
        <v>0</v>
      </c>
      <c r="O1337">
        <v>-11.5</v>
      </c>
      <c r="P1337">
        <v>-10.84</v>
      </c>
      <c r="Q1337">
        <v>2.891</v>
      </c>
      <c r="S1337">
        <v>2.823</v>
      </c>
      <c r="T1337">
        <v>0</v>
      </c>
      <c r="U1337">
        <v>83.8</v>
      </c>
      <c r="V1337">
        <v>866</v>
      </c>
      <c r="W1337">
        <v>37.049999999999997</v>
      </c>
      <c r="Y1337">
        <v>13.18</v>
      </c>
    </row>
    <row r="1338" spans="1:25" x14ac:dyDescent="0.25">
      <c r="A1338">
        <v>2006</v>
      </c>
      <c r="B1338">
        <v>355</v>
      </c>
      <c r="C1338">
        <v>2000</v>
      </c>
      <c r="D1338">
        <v>-0.129</v>
      </c>
      <c r="E1338">
        <v>2.6850000000000001</v>
      </c>
      <c r="F1338">
        <v>5.3959999999999999</v>
      </c>
      <c r="G1338">
        <v>6.649</v>
      </c>
      <c r="K1338">
        <v>2.5990000000000002</v>
      </c>
      <c r="L1338">
        <v>219.6</v>
      </c>
      <c r="M1338">
        <v>0</v>
      </c>
      <c r="O1338">
        <v>-11.5</v>
      </c>
      <c r="P1338">
        <v>-10.84</v>
      </c>
      <c r="Q1338">
        <v>3.0230000000000001</v>
      </c>
      <c r="S1338">
        <v>2.8860000000000001</v>
      </c>
      <c r="T1338">
        <v>0</v>
      </c>
      <c r="U1338">
        <v>83.1</v>
      </c>
      <c r="V1338">
        <v>865</v>
      </c>
      <c r="W1338">
        <v>37</v>
      </c>
      <c r="Y1338">
        <v>13.13</v>
      </c>
    </row>
    <row r="1339" spans="1:25" x14ac:dyDescent="0.25">
      <c r="A1339">
        <v>2006</v>
      </c>
      <c r="B1339">
        <v>355</v>
      </c>
      <c r="C1339">
        <v>2100</v>
      </c>
      <c r="D1339">
        <v>-0.20699999999999999</v>
      </c>
      <c r="E1339">
        <v>1.468</v>
      </c>
      <c r="F1339">
        <v>5.5949999999999998</v>
      </c>
      <c r="G1339">
        <v>6.8209999999999997</v>
      </c>
      <c r="K1339">
        <v>2.1419999999999999</v>
      </c>
      <c r="L1339">
        <v>218.1</v>
      </c>
      <c r="M1339">
        <v>0</v>
      </c>
      <c r="O1339">
        <v>-11.5</v>
      </c>
      <c r="P1339">
        <v>-10.85</v>
      </c>
      <c r="Q1339">
        <v>3.1619999999999999</v>
      </c>
      <c r="S1339">
        <v>2.9319999999999999</v>
      </c>
      <c r="T1339">
        <v>0</v>
      </c>
      <c r="U1339">
        <v>83.5</v>
      </c>
      <c r="V1339">
        <v>864</v>
      </c>
      <c r="W1339">
        <v>36.94</v>
      </c>
      <c r="Y1339">
        <v>13.08</v>
      </c>
    </row>
    <row r="1340" spans="1:25" x14ac:dyDescent="0.25">
      <c r="A1340">
        <v>2006</v>
      </c>
      <c r="B1340">
        <v>355</v>
      </c>
      <c r="C1340">
        <v>2200</v>
      </c>
      <c r="D1340">
        <v>-0.13400000000000001</v>
      </c>
      <c r="E1340">
        <v>0.96</v>
      </c>
      <c r="F1340">
        <v>5.7050000000000001</v>
      </c>
      <c r="G1340">
        <v>6.8390000000000004</v>
      </c>
      <c r="K1340">
        <v>1.9159999999999999</v>
      </c>
      <c r="L1340">
        <v>213.9</v>
      </c>
      <c r="M1340">
        <v>0</v>
      </c>
      <c r="O1340">
        <v>-11.5</v>
      </c>
      <c r="P1340">
        <v>-10.84</v>
      </c>
      <c r="Q1340">
        <v>3.3010000000000002</v>
      </c>
      <c r="S1340">
        <v>3.004</v>
      </c>
      <c r="T1340">
        <v>0</v>
      </c>
      <c r="U1340">
        <v>84.8</v>
      </c>
      <c r="V1340">
        <v>863</v>
      </c>
      <c r="W1340">
        <v>36.880000000000003</v>
      </c>
      <c r="Y1340">
        <v>13.05</v>
      </c>
    </row>
    <row r="1341" spans="1:25" x14ac:dyDescent="0.25">
      <c r="A1341">
        <v>2006</v>
      </c>
      <c r="B1341">
        <v>355</v>
      </c>
      <c r="C1341">
        <v>2300</v>
      </c>
      <c r="D1341">
        <v>-0.21199999999999999</v>
      </c>
      <c r="E1341">
        <v>0.41799999999999998</v>
      </c>
      <c r="F1341">
        <v>5.7789999999999999</v>
      </c>
      <c r="G1341">
        <v>6.7919999999999998</v>
      </c>
      <c r="K1341">
        <v>1.276</v>
      </c>
      <c r="L1341">
        <v>217</v>
      </c>
      <c r="M1341">
        <v>0</v>
      </c>
      <c r="O1341">
        <v>-11.5</v>
      </c>
      <c r="P1341">
        <v>-10.84</v>
      </c>
      <c r="Q1341">
        <v>3.4279999999999999</v>
      </c>
      <c r="S1341">
        <v>3.0409999999999999</v>
      </c>
      <c r="T1341">
        <v>0</v>
      </c>
      <c r="U1341">
        <v>86.3</v>
      </c>
      <c r="V1341">
        <v>862</v>
      </c>
      <c r="W1341">
        <v>36.82</v>
      </c>
      <c r="Y1341">
        <v>13.03</v>
      </c>
    </row>
    <row r="1342" spans="1:25" x14ac:dyDescent="0.25">
      <c r="A1342">
        <v>2006</v>
      </c>
      <c r="B1342">
        <v>355</v>
      </c>
      <c r="C1342">
        <v>2400</v>
      </c>
      <c r="D1342">
        <v>-0.23699999999999999</v>
      </c>
      <c r="E1342">
        <v>-2.3980000000000001</v>
      </c>
      <c r="F1342">
        <v>5.6820000000000004</v>
      </c>
      <c r="G1342">
        <v>6.6509999999999998</v>
      </c>
      <c r="K1342">
        <v>1.907</v>
      </c>
      <c r="L1342">
        <v>214.5</v>
      </c>
      <c r="M1342">
        <v>0</v>
      </c>
      <c r="O1342">
        <v>-11.5</v>
      </c>
      <c r="P1342">
        <v>-10.84</v>
      </c>
      <c r="Q1342">
        <v>3.5390000000000001</v>
      </c>
      <c r="S1342">
        <v>3.1240000000000001</v>
      </c>
      <c r="T1342">
        <v>0</v>
      </c>
      <c r="U1342">
        <v>86.9</v>
      </c>
      <c r="V1342">
        <v>861</v>
      </c>
      <c r="W1342">
        <v>36.770000000000003</v>
      </c>
      <c r="Y1342">
        <v>13</v>
      </c>
    </row>
    <row r="1343" spans="1:25" x14ac:dyDescent="0.25">
      <c r="A1343">
        <v>2006</v>
      </c>
      <c r="B1343">
        <v>355</v>
      </c>
      <c r="C1343">
        <v>2400</v>
      </c>
      <c r="D1343">
        <v>28.83</v>
      </c>
      <c r="E1343">
        <v>6.6180000000000003</v>
      </c>
      <c r="F1343">
        <v>3.9750000000000001</v>
      </c>
      <c r="G1343">
        <v>5.1269999999999998</v>
      </c>
      <c r="K1343">
        <v>1.58</v>
      </c>
      <c r="L1343">
        <v>205.4</v>
      </c>
      <c r="M1343">
        <v>0.2</v>
      </c>
      <c r="O1343">
        <v>23.51</v>
      </c>
      <c r="P1343">
        <v>7.36</v>
      </c>
      <c r="Q1343">
        <v>2.5550000000000002</v>
      </c>
      <c r="S1343">
        <v>2.9359999999999999</v>
      </c>
      <c r="T1343">
        <v>0</v>
      </c>
      <c r="U1343">
        <v>83.6</v>
      </c>
      <c r="V1343">
        <v>863</v>
      </c>
      <c r="W1343">
        <v>36.880000000000003</v>
      </c>
      <c r="Y1343">
        <v>13.27</v>
      </c>
    </row>
    <row r="1344" spans="1:25" x14ac:dyDescent="0.25">
      <c r="A1344">
        <v>2006</v>
      </c>
      <c r="B1344">
        <v>356</v>
      </c>
      <c r="C1344">
        <v>100</v>
      </c>
      <c r="D1344">
        <v>-0.89100000000000001</v>
      </c>
      <c r="E1344">
        <v>-11.62</v>
      </c>
      <c r="F1344">
        <v>5.601</v>
      </c>
      <c r="G1344">
        <v>6.5309999999999997</v>
      </c>
      <c r="K1344">
        <v>2.1850000000000001</v>
      </c>
      <c r="L1344">
        <v>219.6</v>
      </c>
      <c r="M1344">
        <v>0</v>
      </c>
      <c r="O1344">
        <v>-11.5</v>
      </c>
      <c r="P1344">
        <v>-10.84</v>
      </c>
      <c r="Q1344">
        <v>3.637</v>
      </c>
      <c r="S1344">
        <v>3.149</v>
      </c>
      <c r="T1344">
        <v>0</v>
      </c>
      <c r="U1344">
        <v>87.3</v>
      </c>
      <c r="V1344">
        <v>860</v>
      </c>
      <c r="W1344">
        <v>36.72</v>
      </c>
      <c r="Y1344">
        <v>12.99</v>
      </c>
    </row>
    <row r="1345" spans="1:25" x14ac:dyDescent="0.25">
      <c r="A1345">
        <v>2006</v>
      </c>
      <c r="B1345">
        <v>356</v>
      </c>
      <c r="C1345">
        <v>200</v>
      </c>
      <c r="D1345">
        <v>-0.71299999999999997</v>
      </c>
      <c r="E1345">
        <v>-7.04</v>
      </c>
      <c r="F1345">
        <v>5.609</v>
      </c>
      <c r="G1345">
        <v>6.5720000000000001</v>
      </c>
      <c r="K1345">
        <v>2.2480000000000002</v>
      </c>
      <c r="L1345">
        <v>223.3</v>
      </c>
      <c r="M1345">
        <v>0</v>
      </c>
      <c r="O1345">
        <v>-11.5</v>
      </c>
      <c r="P1345">
        <v>-10.84</v>
      </c>
      <c r="Q1345">
        <v>3.706</v>
      </c>
      <c r="S1345">
        <v>3.2149999999999999</v>
      </c>
      <c r="T1345">
        <v>0</v>
      </c>
      <c r="U1345">
        <v>86.9</v>
      </c>
      <c r="V1345">
        <v>860</v>
      </c>
      <c r="W1345">
        <v>36.71</v>
      </c>
      <c r="Y1345">
        <v>12.97</v>
      </c>
    </row>
    <row r="1346" spans="1:25" x14ac:dyDescent="0.25">
      <c r="A1346">
        <v>2006</v>
      </c>
      <c r="B1346">
        <v>356</v>
      </c>
      <c r="C1346">
        <v>300</v>
      </c>
      <c r="D1346">
        <v>-0.20399999999999999</v>
      </c>
      <c r="E1346">
        <v>0.09</v>
      </c>
      <c r="F1346">
        <v>5.8410000000000002</v>
      </c>
      <c r="G1346">
        <v>6.8140000000000001</v>
      </c>
      <c r="K1346">
        <v>1.837</v>
      </c>
      <c r="L1346">
        <v>216.1</v>
      </c>
      <c r="M1346">
        <v>0</v>
      </c>
      <c r="O1346">
        <v>-11.5</v>
      </c>
      <c r="P1346">
        <v>-10.84</v>
      </c>
      <c r="Q1346">
        <v>3.7709999999999999</v>
      </c>
      <c r="S1346">
        <v>3.258</v>
      </c>
      <c r="T1346">
        <v>0</v>
      </c>
      <c r="U1346">
        <v>86.9</v>
      </c>
      <c r="V1346">
        <v>860</v>
      </c>
      <c r="W1346">
        <v>36.69</v>
      </c>
      <c r="Y1346">
        <v>12.96</v>
      </c>
    </row>
    <row r="1347" spans="1:25" x14ac:dyDescent="0.25">
      <c r="A1347">
        <v>2006</v>
      </c>
      <c r="B1347">
        <v>356</v>
      </c>
      <c r="C1347">
        <v>400</v>
      </c>
      <c r="D1347">
        <v>-0.29899999999999999</v>
      </c>
      <c r="E1347">
        <v>-0.32600000000000001</v>
      </c>
      <c r="F1347">
        <v>6.0170000000000003</v>
      </c>
      <c r="G1347">
        <v>7.07</v>
      </c>
      <c r="K1347">
        <v>1.9059999999999999</v>
      </c>
      <c r="L1347">
        <v>218.7</v>
      </c>
      <c r="M1347">
        <v>0</v>
      </c>
      <c r="O1347">
        <v>-11.5</v>
      </c>
      <c r="P1347">
        <v>-10.84</v>
      </c>
      <c r="Q1347">
        <v>3.859</v>
      </c>
      <c r="S1347">
        <v>3.3330000000000002</v>
      </c>
      <c r="T1347">
        <v>0</v>
      </c>
      <c r="U1347">
        <v>86</v>
      </c>
      <c r="V1347">
        <v>860</v>
      </c>
      <c r="W1347">
        <v>36.67</v>
      </c>
      <c r="Y1347">
        <v>12.95</v>
      </c>
    </row>
    <row r="1348" spans="1:25" x14ac:dyDescent="0.25">
      <c r="A1348">
        <v>2006</v>
      </c>
      <c r="B1348">
        <v>356</v>
      </c>
      <c r="C1348">
        <v>500</v>
      </c>
      <c r="D1348">
        <v>0</v>
      </c>
      <c r="E1348">
        <v>2.351</v>
      </c>
      <c r="F1348">
        <v>6.0170000000000003</v>
      </c>
      <c r="G1348">
        <v>7.03</v>
      </c>
      <c r="K1348">
        <v>1.633</v>
      </c>
      <c r="L1348">
        <v>211.6</v>
      </c>
      <c r="M1348">
        <v>0</v>
      </c>
      <c r="O1348">
        <v>-11.5</v>
      </c>
      <c r="P1348">
        <v>-10.85</v>
      </c>
      <c r="Q1348">
        <v>3.952</v>
      </c>
      <c r="S1348">
        <v>3.3660000000000001</v>
      </c>
      <c r="T1348">
        <v>0</v>
      </c>
      <c r="U1348">
        <v>86.5</v>
      </c>
      <c r="V1348">
        <v>865</v>
      </c>
      <c r="W1348">
        <v>37.04</v>
      </c>
      <c r="Y1348">
        <v>12.94</v>
      </c>
    </row>
    <row r="1349" spans="1:25" x14ac:dyDescent="0.25">
      <c r="A1349">
        <v>2006</v>
      </c>
      <c r="B1349">
        <v>356</v>
      </c>
      <c r="C1349">
        <v>600</v>
      </c>
      <c r="D1349">
        <v>-9.7000000000000003E-2</v>
      </c>
      <c r="E1349">
        <v>1.4079999999999999</v>
      </c>
      <c r="F1349">
        <v>6.0170000000000003</v>
      </c>
      <c r="G1349">
        <v>7.16</v>
      </c>
      <c r="K1349">
        <v>2.117</v>
      </c>
      <c r="L1349">
        <v>214.2</v>
      </c>
      <c r="M1349">
        <v>0</v>
      </c>
      <c r="O1349">
        <v>-11.5</v>
      </c>
      <c r="P1349">
        <v>-10.84</v>
      </c>
      <c r="Q1349">
        <v>4.0469999999999997</v>
      </c>
      <c r="S1349">
        <v>3.4279999999999999</v>
      </c>
      <c r="T1349">
        <v>0</v>
      </c>
      <c r="U1349">
        <v>84.9</v>
      </c>
      <c r="V1349">
        <v>860</v>
      </c>
      <c r="W1349">
        <v>36.69</v>
      </c>
      <c r="Y1349">
        <v>12.94</v>
      </c>
    </row>
    <row r="1350" spans="1:25" x14ac:dyDescent="0.25">
      <c r="A1350">
        <v>2006</v>
      </c>
      <c r="B1350">
        <v>356</v>
      </c>
      <c r="C1350">
        <v>700</v>
      </c>
      <c r="D1350">
        <v>-1.6E-2</v>
      </c>
      <c r="E1350">
        <v>2.5329999999999999</v>
      </c>
      <c r="F1350">
        <v>6.173</v>
      </c>
      <c r="G1350">
        <v>7.32</v>
      </c>
      <c r="K1350">
        <v>1.9359999999999999</v>
      </c>
      <c r="L1350">
        <v>215.5</v>
      </c>
      <c r="M1350">
        <v>0</v>
      </c>
      <c r="O1350">
        <v>-11.5</v>
      </c>
      <c r="P1350">
        <v>-10.84</v>
      </c>
      <c r="Q1350">
        <v>4.1440000000000001</v>
      </c>
      <c r="S1350">
        <v>3.4740000000000002</v>
      </c>
      <c r="T1350">
        <v>0</v>
      </c>
      <c r="U1350">
        <v>84.9</v>
      </c>
      <c r="V1350">
        <v>860</v>
      </c>
      <c r="W1350">
        <v>36.659999999999997</v>
      </c>
      <c r="Y1350">
        <v>12.93</v>
      </c>
    </row>
    <row r="1351" spans="1:25" x14ac:dyDescent="0.25">
      <c r="A1351">
        <v>2006</v>
      </c>
      <c r="B1351">
        <v>356</v>
      </c>
      <c r="C1351">
        <v>800</v>
      </c>
      <c r="D1351">
        <v>-2E-3</v>
      </c>
      <c r="E1351">
        <v>1.762</v>
      </c>
      <c r="F1351">
        <v>6.2679999999999998</v>
      </c>
      <c r="G1351">
        <v>7.35</v>
      </c>
      <c r="K1351">
        <v>1.4179999999999999</v>
      </c>
      <c r="L1351">
        <v>222.6</v>
      </c>
      <c r="M1351">
        <v>0</v>
      </c>
      <c r="O1351">
        <v>-11.5</v>
      </c>
      <c r="P1351">
        <v>-10.84</v>
      </c>
      <c r="Q1351">
        <v>4.2439999999999998</v>
      </c>
      <c r="S1351">
        <v>3.5350000000000001</v>
      </c>
      <c r="T1351">
        <v>0</v>
      </c>
      <c r="U1351">
        <v>85.7</v>
      </c>
      <c r="V1351">
        <v>859</v>
      </c>
      <c r="W1351">
        <v>36.64</v>
      </c>
      <c r="Y1351">
        <v>12.93</v>
      </c>
    </row>
    <row r="1352" spans="1:25" x14ac:dyDescent="0.25">
      <c r="A1352">
        <v>2006</v>
      </c>
      <c r="B1352">
        <v>356</v>
      </c>
      <c r="C1352">
        <v>900</v>
      </c>
      <c r="D1352">
        <v>2.8119999999999998</v>
      </c>
      <c r="E1352">
        <v>-6.6310000000000002</v>
      </c>
      <c r="F1352">
        <v>5.8079999999999998</v>
      </c>
      <c r="G1352">
        <v>6.8230000000000004</v>
      </c>
      <c r="H1352">
        <f>AVERAGE(G1352:G1376)</f>
        <v>3.4242000000000008</v>
      </c>
      <c r="I1352">
        <f>MIN(G1352:G1376)</f>
        <v>-2.4470000000000001</v>
      </c>
      <c r="J1352">
        <f>MAX(G1352:G1376)</f>
        <v>8.2899999999999991</v>
      </c>
      <c r="K1352">
        <v>1.3129999999999999</v>
      </c>
      <c r="L1352">
        <v>219.8</v>
      </c>
      <c r="M1352">
        <v>0</v>
      </c>
      <c r="N1352">
        <f>SUM(M1352:M1376)</f>
        <v>0</v>
      </c>
      <c r="O1352">
        <v>-6.0590000000000002</v>
      </c>
      <c r="P1352">
        <v>-9.57</v>
      </c>
      <c r="Q1352">
        <v>4.3259999999999996</v>
      </c>
      <c r="S1352">
        <v>3.5830000000000002</v>
      </c>
      <c r="T1352">
        <v>0</v>
      </c>
      <c r="U1352">
        <v>86.3</v>
      </c>
      <c r="V1352">
        <v>858</v>
      </c>
      <c r="W1352">
        <v>36.58</v>
      </c>
      <c r="Y1352">
        <v>12.92</v>
      </c>
    </row>
    <row r="1353" spans="1:25" x14ac:dyDescent="0.25">
      <c r="A1353">
        <v>2006</v>
      </c>
      <c r="B1353">
        <v>356</v>
      </c>
      <c r="C1353">
        <v>1000</v>
      </c>
      <c r="D1353">
        <v>21.69</v>
      </c>
      <c r="E1353">
        <v>14.96</v>
      </c>
      <c r="F1353">
        <v>5.702</v>
      </c>
      <c r="G1353">
        <v>6.6879999999999997</v>
      </c>
      <c r="K1353">
        <v>1.379</v>
      </c>
      <c r="L1353">
        <v>217.6</v>
      </c>
      <c r="M1353">
        <v>0</v>
      </c>
      <c r="O1353">
        <v>15.91</v>
      </c>
      <c r="P1353">
        <v>-4.8</v>
      </c>
      <c r="Q1353">
        <v>4.3789999999999996</v>
      </c>
      <c r="S1353">
        <v>3.6070000000000002</v>
      </c>
      <c r="T1353">
        <v>0</v>
      </c>
      <c r="U1353">
        <v>86.6</v>
      </c>
      <c r="V1353">
        <v>858</v>
      </c>
      <c r="W1353">
        <v>36.56</v>
      </c>
      <c r="Y1353">
        <v>12.92</v>
      </c>
    </row>
    <row r="1354" spans="1:25" x14ac:dyDescent="0.25">
      <c r="A1354">
        <v>2006</v>
      </c>
      <c r="B1354">
        <v>356</v>
      </c>
      <c r="C1354">
        <v>1100</v>
      </c>
      <c r="D1354">
        <v>47.3</v>
      </c>
      <c r="E1354">
        <v>36.6</v>
      </c>
      <c r="F1354">
        <v>6.1820000000000004</v>
      </c>
      <c r="G1354">
        <v>7.29</v>
      </c>
      <c r="K1354">
        <v>1.302</v>
      </c>
      <c r="L1354">
        <v>215.3</v>
      </c>
      <c r="M1354">
        <v>0</v>
      </c>
      <c r="O1354">
        <v>48.06</v>
      </c>
      <c r="P1354">
        <v>1.4139999999999999</v>
      </c>
      <c r="Q1354">
        <v>4.4489999999999998</v>
      </c>
      <c r="S1354">
        <v>3.6880000000000002</v>
      </c>
      <c r="T1354">
        <v>0</v>
      </c>
      <c r="U1354">
        <v>85.3</v>
      </c>
      <c r="V1354">
        <v>858</v>
      </c>
      <c r="W1354">
        <v>36.54</v>
      </c>
      <c r="Y1354">
        <v>13.08</v>
      </c>
    </row>
    <row r="1355" spans="1:25" x14ac:dyDescent="0.25">
      <c r="A1355">
        <v>2006</v>
      </c>
      <c r="B1355">
        <v>356</v>
      </c>
      <c r="C1355">
        <v>1200</v>
      </c>
      <c r="D1355">
        <v>63.8</v>
      </c>
      <c r="E1355">
        <v>46.97</v>
      </c>
      <c r="F1355">
        <v>6.6680000000000001</v>
      </c>
      <c r="G1355">
        <v>7.83</v>
      </c>
      <c r="K1355">
        <v>1.1779999999999999</v>
      </c>
      <c r="L1355">
        <v>216.2</v>
      </c>
      <c r="M1355">
        <v>0</v>
      </c>
      <c r="O1355">
        <v>67.989999999999995</v>
      </c>
      <c r="P1355">
        <v>5.1740000000000004</v>
      </c>
      <c r="Q1355">
        <v>4.5960000000000001</v>
      </c>
      <c r="S1355">
        <v>3.758</v>
      </c>
      <c r="T1355">
        <v>0</v>
      </c>
      <c r="U1355">
        <v>85</v>
      </c>
      <c r="V1355">
        <v>858</v>
      </c>
      <c r="W1355">
        <v>36.549999999999997</v>
      </c>
      <c r="Y1355">
        <v>13.36</v>
      </c>
    </row>
    <row r="1356" spans="1:25" x14ac:dyDescent="0.25">
      <c r="A1356">
        <v>2006</v>
      </c>
      <c r="B1356">
        <v>356</v>
      </c>
      <c r="C1356">
        <v>1300</v>
      </c>
      <c r="D1356">
        <v>54.45</v>
      </c>
      <c r="E1356">
        <v>38.64</v>
      </c>
      <c r="F1356">
        <v>7.15</v>
      </c>
      <c r="G1356">
        <v>8.2899999999999991</v>
      </c>
      <c r="K1356">
        <v>0.95799999999999996</v>
      </c>
      <c r="L1356">
        <v>221.8</v>
      </c>
      <c r="M1356">
        <v>0</v>
      </c>
      <c r="O1356">
        <v>56.58</v>
      </c>
      <c r="P1356">
        <v>3.0270000000000001</v>
      </c>
      <c r="Q1356">
        <v>4.7960000000000003</v>
      </c>
      <c r="S1356">
        <v>3.819</v>
      </c>
      <c r="T1356">
        <v>0</v>
      </c>
      <c r="U1356">
        <v>85.6</v>
      </c>
      <c r="V1356">
        <v>859</v>
      </c>
      <c r="W1356">
        <v>36.619999999999997</v>
      </c>
      <c r="Y1356">
        <v>13.36</v>
      </c>
    </row>
    <row r="1357" spans="1:25" x14ac:dyDescent="0.25">
      <c r="A1357">
        <v>2006</v>
      </c>
      <c r="B1357">
        <v>356</v>
      </c>
      <c r="C1357">
        <v>1400</v>
      </c>
      <c r="D1357">
        <v>59.32</v>
      </c>
      <c r="E1357">
        <v>40.43</v>
      </c>
      <c r="F1357">
        <v>7.04</v>
      </c>
      <c r="G1357">
        <v>8.18</v>
      </c>
      <c r="K1357">
        <v>1.0840000000000001</v>
      </c>
      <c r="L1357">
        <v>217.7</v>
      </c>
      <c r="M1357">
        <v>0</v>
      </c>
      <c r="O1357">
        <v>62.43</v>
      </c>
      <c r="P1357">
        <v>4.952</v>
      </c>
      <c r="Q1357">
        <v>4.984</v>
      </c>
      <c r="S1357">
        <v>3.883</v>
      </c>
      <c r="T1357">
        <v>0</v>
      </c>
      <c r="U1357">
        <v>85.5</v>
      </c>
      <c r="V1357">
        <v>860</v>
      </c>
      <c r="W1357">
        <v>36.69</v>
      </c>
      <c r="Y1357">
        <v>13.4</v>
      </c>
    </row>
    <row r="1358" spans="1:25" x14ac:dyDescent="0.25">
      <c r="A1358">
        <v>2006</v>
      </c>
      <c r="B1358">
        <v>356</v>
      </c>
      <c r="C1358">
        <v>1500</v>
      </c>
      <c r="D1358">
        <v>42.54</v>
      </c>
      <c r="E1358">
        <v>26.22</v>
      </c>
      <c r="F1358">
        <v>6.6740000000000004</v>
      </c>
      <c r="G1358">
        <v>7.85</v>
      </c>
      <c r="K1358">
        <v>1.149</v>
      </c>
      <c r="L1358">
        <v>219.4</v>
      </c>
      <c r="M1358">
        <v>0</v>
      </c>
      <c r="O1358">
        <v>41.59</v>
      </c>
      <c r="P1358">
        <v>0.95</v>
      </c>
      <c r="Q1358">
        <v>5.1369999999999996</v>
      </c>
      <c r="S1358">
        <v>3.9260000000000002</v>
      </c>
      <c r="T1358">
        <v>0</v>
      </c>
      <c r="U1358">
        <v>84.8</v>
      </c>
      <c r="V1358">
        <v>857</v>
      </c>
      <c r="W1358">
        <v>36.479999999999997</v>
      </c>
      <c r="Y1358">
        <v>13.36</v>
      </c>
    </row>
    <row r="1359" spans="1:25" x14ac:dyDescent="0.25">
      <c r="A1359">
        <v>2006</v>
      </c>
      <c r="B1359">
        <v>356</v>
      </c>
      <c r="C1359">
        <v>1600</v>
      </c>
      <c r="D1359">
        <v>9.07</v>
      </c>
      <c r="E1359">
        <v>3.194</v>
      </c>
      <c r="F1359">
        <v>6.3940000000000001</v>
      </c>
      <c r="G1359">
        <v>7.4</v>
      </c>
      <c r="K1359">
        <v>1.0389999999999999</v>
      </c>
      <c r="L1359">
        <v>224.1</v>
      </c>
      <c r="M1359">
        <v>0</v>
      </c>
      <c r="O1359">
        <v>0.84299999999999997</v>
      </c>
      <c r="P1359">
        <v>-8.08</v>
      </c>
      <c r="Q1359">
        <v>5.2969999999999997</v>
      </c>
      <c r="S1359">
        <v>3.9929999999999999</v>
      </c>
      <c r="T1359">
        <v>0</v>
      </c>
      <c r="U1359">
        <v>86.7</v>
      </c>
      <c r="V1359">
        <v>856</v>
      </c>
      <c r="W1359">
        <v>36.42</v>
      </c>
      <c r="Y1359">
        <v>13.23</v>
      </c>
    </row>
    <row r="1360" spans="1:25" x14ac:dyDescent="0.25">
      <c r="A1360">
        <v>2006</v>
      </c>
      <c r="B1360">
        <v>356</v>
      </c>
      <c r="C1360">
        <v>1700</v>
      </c>
      <c r="D1360">
        <v>-2.7E-2</v>
      </c>
      <c r="E1360">
        <v>-2.9790000000000001</v>
      </c>
      <c r="F1360">
        <v>6.2370000000000001</v>
      </c>
      <c r="G1360">
        <v>7.03</v>
      </c>
      <c r="K1360">
        <v>0.63</v>
      </c>
      <c r="L1360">
        <v>208.4</v>
      </c>
      <c r="M1360">
        <v>0</v>
      </c>
      <c r="O1360">
        <v>-10.78</v>
      </c>
      <c r="P1360">
        <v>-10.65</v>
      </c>
      <c r="Q1360">
        <v>5.383</v>
      </c>
      <c r="S1360">
        <v>4.1029999999999998</v>
      </c>
      <c r="T1360">
        <v>0</v>
      </c>
      <c r="U1360">
        <v>89.3</v>
      </c>
      <c r="V1360">
        <v>855</v>
      </c>
      <c r="W1360">
        <v>36.35</v>
      </c>
      <c r="Y1360">
        <v>13.14</v>
      </c>
    </row>
    <row r="1361" spans="1:25" x14ac:dyDescent="0.25">
      <c r="A1361">
        <v>2006</v>
      </c>
      <c r="B1361">
        <v>356</v>
      </c>
      <c r="C1361">
        <v>1800</v>
      </c>
      <c r="D1361">
        <v>-0.56000000000000005</v>
      </c>
      <c r="E1361">
        <v>-3.0739999999999998</v>
      </c>
      <c r="F1361">
        <v>6.2160000000000002</v>
      </c>
      <c r="G1361">
        <v>6.7880000000000003</v>
      </c>
      <c r="K1361">
        <v>0.72599999999999998</v>
      </c>
      <c r="L1361">
        <v>197.7</v>
      </c>
      <c r="M1361">
        <v>0</v>
      </c>
      <c r="O1361">
        <v>-11.5</v>
      </c>
      <c r="P1361">
        <v>-10.84</v>
      </c>
      <c r="Q1361">
        <v>5.3849999999999998</v>
      </c>
      <c r="S1361">
        <v>4.1319999999999997</v>
      </c>
      <c r="T1361">
        <v>0</v>
      </c>
      <c r="U1361">
        <v>92.2</v>
      </c>
      <c r="V1361">
        <v>854</v>
      </c>
      <c r="W1361">
        <v>36.340000000000003</v>
      </c>
      <c r="Y1361">
        <v>13.08</v>
      </c>
    </row>
    <row r="1362" spans="1:25" x14ac:dyDescent="0.25">
      <c r="A1362">
        <v>2006</v>
      </c>
      <c r="B1362">
        <v>356</v>
      </c>
      <c r="C1362">
        <v>1900</v>
      </c>
      <c r="D1362">
        <v>-0.70699999999999996</v>
      </c>
      <c r="E1362">
        <v>-8.7200000000000006</v>
      </c>
      <c r="F1362">
        <v>5.8769999999999998</v>
      </c>
      <c r="G1362">
        <v>6.4169999999999998</v>
      </c>
      <c r="K1362">
        <v>1.008</v>
      </c>
      <c r="L1362">
        <v>182.1</v>
      </c>
      <c r="M1362">
        <v>0</v>
      </c>
      <c r="O1362">
        <v>-11.5</v>
      </c>
      <c r="P1362">
        <v>-10.84</v>
      </c>
      <c r="Q1362">
        <v>5.3540000000000001</v>
      </c>
      <c r="S1362">
        <v>4.2160000000000002</v>
      </c>
      <c r="T1362">
        <v>0</v>
      </c>
      <c r="U1362">
        <v>92.5</v>
      </c>
      <c r="V1362">
        <v>862</v>
      </c>
      <c r="W1362">
        <v>36.869999999999997</v>
      </c>
      <c r="Y1362">
        <v>13.03</v>
      </c>
    </row>
    <row r="1363" spans="1:25" x14ac:dyDescent="0.25">
      <c r="A1363">
        <v>2006</v>
      </c>
      <c r="B1363">
        <v>356</v>
      </c>
      <c r="C1363">
        <v>2000</v>
      </c>
      <c r="D1363">
        <v>-3.5329999999999999</v>
      </c>
      <c r="E1363">
        <v>-46.71</v>
      </c>
      <c r="F1363">
        <v>3.3730000000000002</v>
      </c>
      <c r="G1363">
        <v>3.5219999999999998</v>
      </c>
      <c r="K1363">
        <v>0.39100000000000001</v>
      </c>
      <c r="L1363">
        <v>193.9</v>
      </c>
      <c r="M1363">
        <v>0</v>
      </c>
      <c r="O1363">
        <v>-11.5</v>
      </c>
      <c r="P1363">
        <v>-10.84</v>
      </c>
      <c r="Q1363">
        <v>5.2960000000000003</v>
      </c>
      <c r="S1363">
        <v>4.202</v>
      </c>
      <c r="T1363">
        <v>0</v>
      </c>
      <c r="U1363">
        <v>98</v>
      </c>
      <c r="V1363">
        <v>854</v>
      </c>
      <c r="W1363">
        <v>36.31</v>
      </c>
      <c r="Y1363">
        <v>12.99</v>
      </c>
    </row>
    <row r="1364" spans="1:25" x14ac:dyDescent="0.25">
      <c r="A1364">
        <v>2006</v>
      </c>
      <c r="B1364">
        <v>356</v>
      </c>
      <c r="C1364">
        <v>2100</v>
      </c>
      <c r="D1364">
        <v>-3.206</v>
      </c>
      <c r="E1364">
        <v>-32.700000000000003</v>
      </c>
      <c r="F1364">
        <v>1.4970000000000001</v>
      </c>
      <c r="G1364">
        <v>1.56</v>
      </c>
      <c r="K1364">
        <v>0.495</v>
      </c>
      <c r="L1364">
        <v>180</v>
      </c>
      <c r="M1364">
        <v>0</v>
      </c>
      <c r="O1364">
        <v>-11.44</v>
      </c>
      <c r="P1364">
        <v>-10.76</v>
      </c>
      <c r="Q1364">
        <v>5.1420000000000003</v>
      </c>
      <c r="S1364">
        <v>4.2030000000000003</v>
      </c>
      <c r="T1364">
        <v>0</v>
      </c>
      <c r="U1364">
        <v>99</v>
      </c>
      <c r="V1364">
        <v>855</v>
      </c>
      <c r="W1364">
        <v>36.36</v>
      </c>
      <c r="Y1364">
        <v>12.96</v>
      </c>
    </row>
    <row r="1365" spans="1:25" x14ac:dyDescent="0.25">
      <c r="A1365">
        <v>2006</v>
      </c>
      <c r="B1365">
        <v>356</v>
      </c>
      <c r="C1365">
        <v>2200</v>
      </c>
      <c r="D1365">
        <v>-2.5880000000000001</v>
      </c>
      <c r="E1365">
        <v>-26.05</v>
      </c>
      <c r="F1365">
        <v>0.52700000000000002</v>
      </c>
      <c r="G1365">
        <v>0.59299999999999997</v>
      </c>
      <c r="K1365">
        <v>0.63</v>
      </c>
      <c r="L1365">
        <v>202.3</v>
      </c>
      <c r="M1365">
        <v>0</v>
      </c>
      <c r="O1365">
        <v>-10.97</v>
      </c>
      <c r="P1365">
        <v>-10.37</v>
      </c>
      <c r="Q1365">
        <v>4.8920000000000003</v>
      </c>
      <c r="S1365">
        <v>4.2439999999999998</v>
      </c>
      <c r="T1365">
        <v>0</v>
      </c>
      <c r="U1365">
        <v>98.8</v>
      </c>
      <c r="V1365">
        <v>873</v>
      </c>
      <c r="W1365">
        <v>37.53</v>
      </c>
      <c r="Y1365">
        <v>12.93</v>
      </c>
    </row>
    <row r="1366" spans="1:25" x14ac:dyDescent="0.25">
      <c r="A1366">
        <v>2006</v>
      </c>
      <c r="B1366">
        <v>356</v>
      </c>
      <c r="C1366">
        <v>2300</v>
      </c>
      <c r="D1366">
        <v>-2.5939999999999999</v>
      </c>
      <c r="E1366">
        <v>-24.95</v>
      </c>
      <c r="F1366">
        <v>0.51100000000000001</v>
      </c>
      <c r="G1366">
        <v>0.72299999999999998</v>
      </c>
      <c r="K1366">
        <v>0.72299999999999998</v>
      </c>
      <c r="L1366">
        <v>199.8</v>
      </c>
      <c r="M1366">
        <v>0</v>
      </c>
      <c r="O1366">
        <v>-10.84</v>
      </c>
      <c r="P1366">
        <v>-10.23</v>
      </c>
      <c r="Q1366">
        <v>4.6449999999999996</v>
      </c>
      <c r="S1366">
        <v>4.2130000000000001</v>
      </c>
      <c r="T1366">
        <v>0</v>
      </c>
      <c r="U1366">
        <v>96.3</v>
      </c>
      <c r="V1366">
        <v>781</v>
      </c>
      <c r="W1366">
        <v>32.29</v>
      </c>
      <c r="Y1366">
        <v>12.91</v>
      </c>
    </row>
    <row r="1367" spans="1:25" x14ac:dyDescent="0.25">
      <c r="A1367">
        <v>2006</v>
      </c>
      <c r="B1367">
        <v>356</v>
      </c>
      <c r="C1367">
        <v>2400</v>
      </c>
      <c r="D1367">
        <v>-2.7040000000000002</v>
      </c>
      <c r="E1367">
        <v>-23.1</v>
      </c>
      <c r="F1367">
        <v>0.85699999999999998</v>
      </c>
      <c r="G1367">
        <v>1.129</v>
      </c>
      <c r="K1367">
        <v>0.32600000000000001</v>
      </c>
      <c r="L1367">
        <v>181.4</v>
      </c>
      <c r="M1367">
        <v>0</v>
      </c>
      <c r="O1367">
        <v>-10.83</v>
      </c>
      <c r="P1367">
        <v>-10.220000000000001</v>
      </c>
      <c r="Q1367">
        <v>4.3860000000000001</v>
      </c>
      <c r="S1367">
        <v>4.1879999999999997</v>
      </c>
      <c r="T1367">
        <v>0</v>
      </c>
      <c r="U1367">
        <v>95.3</v>
      </c>
      <c r="V1367">
        <v>870</v>
      </c>
      <c r="W1367">
        <v>37.31</v>
      </c>
      <c r="Y1367">
        <v>12.89</v>
      </c>
    </row>
    <row r="1368" spans="1:25" x14ac:dyDescent="0.25">
      <c r="A1368">
        <v>2006</v>
      </c>
      <c r="B1368">
        <v>356</v>
      </c>
      <c r="C1368">
        <v>2400</v>
      </c>
      <c r="D1368">
        <v>11.79</v>
      </c>
      <c r="E1368">
        <v>0.88600000000000001</v>
      </c>
      <c r="F1368">
        <v>5.1779999999999999</v>
      </c>
      <c r="G1368">
        <v>5.9980000000000002</v>
      </c>
      <c r="K1368">
        <v>1.234</v>
      </c>
      <c r="L1368">
        <v>211.3</v>
      </c>
      <c r="M1368">
        <v>0</v>
      </c>
      <c r="O1368">
        <v>4.415</v>
      </c>
      <c r="P1368">
        <v>-7.43</v>
      </c>
      <c r="Q1368">
        <v>4.5750000000000002</v>
      </c>
      <c r="S1368">
        <v>3.7719999999999998</v>
      </c>
      <c r="T1368">
        <v>0</v>
      </c>
      <c r="U1368">
        <v>89</v>
      </c>
      <c r="V1368">
        <v>856</v>
      </c>
      <c r="W1368">
        <v>36.49</v>
      </c>
      <c r="Y1368">
        <v>13.05</v>
      </c>
    </row>
    <row r="1369" spans="1:25" x14ac:dyDescent="0.25">
      <c r="A1369">
        <v>2006</v>
      </c>
      <c r="B1369">
        <v>357</v>
      </c>
      <c r="C1369">
        <v>100</v>
      </c>
      <c r="D1369">
        <v>-2.66</v>
      </c>
      <c r="E1369">
        <v>-22.61</v>
      </c>
      <c r="F1369">
        <v>0.35499999999999998</v>
      </c>
      <c r="G1369">
        <v>0.58699999999999997</v>
      </c>
      <c r="K1369">
        <v>0.31</v>
      </c>
      <c r="L1369">
        <v>29.63</v>
      </c>
      <c r="M1369">
        <v>0</v>
      </c>
      <c r="O1369">
        <v>-10.83</v>
      </c>
      <c r="P1369">
        <v>-10.210000000000001</v>
      </c>
      <c r="Q1369">
        <v>4.149</v>
      </c>
      <c r="S1369">
        <v>4.1109999999999998</v>
      </c>
      <c r="T1369">
        <v>0</v>
      </c>
      <c r="U1369">
        <v>95.9</v>
      </c>
      <c r="V1369">
        <v>870</v>
      </c>
      <c r="W1369">
        <v>37.32</v>
      </c>
      <c r="Y1369">
        <v>12.88</v>
      </c>
    </row>
    <row r="1370" spans="1:25" x14ac:dyDescent="0.25">
      <c r="A1370">
        <v>2006</v>
      </c>
      <c r="B1370">
        <v>357</v>
      </c>
      <c r="C1370">
        <v>200</v>
      </c>
      <c r="D1370">
        <v>-2.7749999999999999</v>
      </c>
      <c r="E1370">
        <v>-23.44</v>
      </c>
      <c r="F1370">
        <v>-0.128</v>
      </c>
      <c r="G1370">
        <v>9.1999999999999998E-2</v>
      </c>
      <c r="K1370">
        <v>0.20599999999999999</v>
      </c>
      <c r="L1370">
        <v>58.02</v>
      </c>
      <c r="M1370">
        <v>0</v>
      </c>
      <c r="O1370">
        <v>-10.83</v>
      </c>
      <c r="P1370">
        <v>-10.220000000000001</v>
      </c>
      <c r="Q1370">
        <v>3.9529999999999998</v>
      </c>
      <c r="S1370">
        <v>4.0529999999999999</v>
      </c>
      <c r="T1370">
        <v>0</v>
      </c>
      <c r="U1370">
        <v>96</v>
      </c>
      <c r="V1370">
        <v>868</v>
      </c>
      <c r="W1370">
        <v>37.21</v>
      </c>
      <c r="Y1370">
        <v>12.87</v>
      </c>
    </row>
    <row r="1371" spans="1:25" x14ac:dyDescent="0.25">
      <c r="A1371">
        <v>2006</v>
      </c>
      <c r="B1371">
        <v>357</v>
      </c>
      <c r="C1371">
        <v>300</v>
      </c>
      <c r="D1371">
        <v>-2.766</v>
      </c>
      <c r="E1371">
        <v>-16.989999999999998</v>
      </c>
      <c r="F1371">
        <v>-1.514</v>
      </c>
      <c r="G1371">
        <v>-1.35</v>
      </c>
      <c r="K1371">
        <v>0.10299999999999999</v>
      </c>
      <c r="L1371">
        <v>181.2</v>
      </c>
      <c r="M1371">
        <v>0</v>
      </c>
      <c r="O1371">
        <v>-10.83</v>
      </c>
      <c r="P1371">
        <v>-10.220000000000001</v>
      </c>
      <c r="Q1371">
        <v>3.7490000000000001</v>
      </c>
      <c r="S1371">
        <v>3.9769999999999999</v>
      </c>
      <c r="T1371">
        <v>0</v>
      </c>
      <c r="U1371">
        <v>96.9</v>
      </c>
      <c r="V1371">
        <v>864</v>
      </c>
      <c r="W1371">
        <v>36.93</v>
      </c>
      <c r="Y1371">
        <v>12.86</v>
      </c>
    </row>
    <row r="1372" spans="1:25" x14ac:dyDescent="0.25">
      <c r="A1372">
        <v>2006</v>
      </c>
      <c r="B1372">
        <v>357</v>
      </c>
      <c r="C1372">
        <v>400</v>
      </c>
      <c r="D1372">
        <v>-2.367</v>
      </c>
      <c r="E1372">
        <v>-18.739999999999998</v>
      </c>
      <c r="F1372">
        <v>-2.0910000000000002</v>
      </c>
      <c r="G1372">
        <v>-1.9319999999999999</v>
      </c>
      <c r="K1372">
        <v>7.0999999999999994E-2</v>
      </c>
      <c r="L1372">
        <v>227.9</v>
      </c>
      <c r="M1372">
        <v>0</v>
      </c>
      <c r="O1372">
        <v>-10.84</v>
      </c>
      <c r="P1372">
        <v>-10.220000000000001</v>
      </c>
      <c r="Q1372">
        <v>3.5539999999999998</v>
      </c>
      <c r="S1372">
        <v>3.8929999999999998</v>
      </c>
      <c r="T1372">
        <v>0</v>
      </c>
      <c r="U1372">
        <v>96.9</v>
      </c>
      <c r="V1372">
        <v>854</v>
      </c>
      <c r="W1372">
        <v>36.35</v>
      </c>
      <c r="Y1372">
        <v>12.85</v>
      </c>
    </row>
    <row r="1373" spans="1:25" x14ac:dyDescent="0.25">
      <c r="A1373">
        <v>2006</v>
      </c>
      <c r="B1373">
        <v>357</v>
      </c>
      <c r="C1373">
        <v>500</v>
      </c>
      <c r="D1373">
        <v>-1.349</v>
      </c>
      <c r="E1373">
        <v>-15.22</v>
      </c>
      <c r="F1373">
        <v>-0.85599999999999998</v>
      </c>
      <c r="G1373">
        <v>-0.54700000000000004</v>
      </c>
      <c r="K1373">
        <v>0.317</v>
      </c>
      <c r="L1373">
        <v>85.1</v>
      </c>
      <c r="M1373">
        <v>0</v>
      </c>
      <c r="O1373">
        <v>-10.84</v>
      </c>
      <c r="P1373">
        <v>-10.220000000000001</v>
      </c>
      <c r="Q1373">
        <v>3.3660000000000001</v>
      </c>
      <c r="S1373">
        <v>3.7890000000000001</v>
      </c>
      <c r="T1373">
        <v>0</v>
      </c>
      <c r="U1373">
        <v>94.3</v>
      </c>
      <c r="V1373">
        <v>852</v>
      </c>
      <c r="W1373">
        <v>36.17</v>
      </c>
      <c r="Y1373">
        <v>12.85</v>
      </c>
    </row>
    <row r="1374" spans="1:25" x14ac:dyDescent="0.25">
      <c r="A1374">
        <v>2006</v>
      </c>
      <c r="B1374">
        <v>357</v>
      </c>
      <c r="C1374">
        <v>600</v>
      </c>
      <c r="D1374">
        <v>-2.5489999999999999</v>
      </c>
      <c r="E1374">
        <v>-15.65</v>
      </c>
      <c r="F1374">
        <v>-0.94499999999999995</v>
      </c>
      <c r="G1374">
        <v>-0.73799999999999999</v>
      </c>
      <c r="K1374">
        <v>0.34399999999999997</v>
      </c>
      <c r="L1374">
        <v>39.31</v>
      </c>
      <c r="M1374">
        <v>0</v>
      </c>
      <c r="O1374">
        <v>-10.84</v>
      </c>
      <c r="P1374">
        <v>-10.220000000000001</v>
      </c>
      <c r="Q1374">
        <v>3.2010000000000001</v>
      </c>
      <c r="S1374">
        <v>3.722</v>
      </c>
      <c r="T1374">
        <v>0</v>
      </c>
      <c r="U1374">
        <v>96.2</v>
      </c>
      <c r="V1374">
        <v>851</v>
      </c>
      <c r="W1374">
        <v>36.14</v>
      </c>
      <c r="Y1374">
        <v>12.84</v>
      </c>
    </row>
    <row r="1375" spans="1:25" x14ac:dyDescent="0.25">
      <c r="A1375">
        <v>2006</v>
      </c>
      <c r="B1375">
        <v>357</v>
      </c>
      <c r="C1375">
        <v>700</v>
      </c>
      <c r="D1375">
        <v>-2.3530000000000002</v>
      </c>
      <c r="E1375">
        <v>-18.53</v>
      </c>
      <c r="F1375">
        <v>-2.39</v>
      </c>
      <c r="G1375">
        <v>-2.1709999999999998</v>
      </c>
      <c r="K1375">
        <v>0.157</v>
      </c>
      <c r="L1375">
        <v>190.3</v>
      </c>
      <c r="M1375">
        <v>0</v>
      </c>
      <c r="O1375">
        <v>-10.84</v>
      </c>
      <c r="P1375">
        <v>-10.220000000000001</v>
      </c>
      <c r="Q1375">
        <v>3.044</v>
      </c>
      <c r="S1375">
        <v>3.6190000000000002</v>
      </c>
      <c r="T1375">
        <v>0</v>
      </c>
      <c r="U1375">
        <v>95.6</v>
      </c>
      <c r="V1375">
        <v>849</v>
      </c>
      <c r="W1375">
        <v>36.020000000000003</v>
      </c>
      <c r="Y1375">
        <v>12.84</v>
      </c>
    </row>
    <row r="1376" spans="1:25" x14ac:dyDescent="0.25">
      <c r="A1376">
        <v>2006</v>
      </c>
      <c r="B1376">
        <v>357</v>
      </c>
      <c r="C1376">
        <v>800</v>
      </c>
      <c r="D1376">
        <v>-2.3039999999999998</v>
      </c>
      <c r="E1376">
        <v>-18.87</v>
      </c>
      <c r="F1376">
        <v>-2.8029999999999999</v>
      </c>
      <c r="G1376">
        <v>-2.4470000000000001</v>
      </c>
      <c r="K1376">
        <v>0.12</v>
      </c>
      <c r="L1376">
        <v>222.7</v>
      </c>
      <c r="M1376">
        <v>0</v>
      </c>
      <c r="O1376">
        <v>-10.84</v>
      </c>
      <c r="P1376">
        <v>-10.220000000000001</v>
      </c>
      <c r="Q1376">
        <v>2.9129999999999998</v>
      </c>
      <c r="S1376">
        <v>3.5459999999999998</v>
      </c>
      <c r="T1376">
        <v>0</v>
      </c>
      <c r="U1376">
        <v>92.8</v>
      </c>
      <c r="V1376">
        <v>850</v>
      </c>
      <c r="W1376">
        <v>36.049999999999997</v>
      </c>
      <c r="Y1376">
        <v>12.83</v>
      </c>
    </row>
    <row r="1377" spans="1:25" x14ac:dyDescent="0.25">
      <c r="A1377">
        <v>2006</v>
      </c>
      <c r="B1377">
        <v>357</v>
      </c>
      <c r="C1377">
        <v>900</v>
      </c>
      <c r="D1377">
        <v>0.89400000000000002</v>
      </c>
      <c r="E1377">
        <v>-16.75</v>
      </c>
      <c r="F1377">
        <v>-3.073</v>
      </c>
      <c r="G1377">
        <v>-2.7269999999999999</v>
      </c>
      <c r="H1377">
        <f>AVERAGE(G1377:G1401)</f>
        <v>2.2618799999999997</v>
      </c>
      <c r="I1377">
        <f>MIN(G1377:G1401)</f>
        <v>-2.7269999999999999</v>
      </c>
      <c r="J1377">
        <f>MAX(G1377:G1401)</f>
        <v>4.8230000000000004</v>
      </c>
      <c r="K1377">
        <v>9.5000000000000001E-2</v>
      </c>
      <c r="L1377">
        <v>226.4</v>
      </c>
      <c r="M1377">
        <v>0</v>
      </c>
      <c r="N1377">
        <f>SUM(M1377:M1401)</f>
        <v>0</v>
      </c>
      <c r="O1377">
        <v>-6.9009999999999998</v>
      </c>
      <c r="P1377">
        <v>-8.84</v>
      </c>
      <c r="Q1377">
        <v>2.7749999999999999</v>
      </c>
      <c r="S1377">
        <v>3.4529999999999998</v>
      </c>
      <c r="T1377">
        <v>0</v>
      </c>
      <c r="U1377">
        <v>92.9</v>
      </c>
      <c r="V1377">
        <v>849</v>
      </c>
      <c r="W1377">
        <v>35.99</v>
      </c>
      <c r="Y1377">
        <v>12.83</v>
      </c>
    </row>
    <row r="1378" spans="1:25" x14ac:dyDescent="0.25">
      <c r="A1378">
        <v>2006</v>
      </c>
      <c r="B1378">
        <v>357</v>
      </c>
      <c r="C1378">
        <v>1000</v>
      </c>
      <c r="D1378">
        <v>61.84</v>
      </c>
      <c r="E1378">
        <v>-4.7149999999999999</v>
      </c>
      <c r="F1378">
        <v>-2.6520000000000001</v>
      </c>
      <c r="G1378">
        <v>-2.2919999999999998</v>
      </c>
      <c r="K1378">
        <v>0.12</v>
      </c>
      <c r="L1378">
        <v>226.4</v>
      </c>
      <c r="M1378">
        <v>0</v>
      </c>
      <c r="O1378">
        <v>17.09</v>
      </c>
      <c r="P1378">
        <v>4.92</v>
      </c>
      <c r="Q1378">
        <v>2.661</v>
      </c>
      <c r="S1378">
        <v>3.4009999999999998</v>
      </c>
      <c r="T1378">
        <v>0</v>
      </c>
      <c r="U1378">
        <v>92.7</v>
      </c>
      <c r="V1378">
        <v>848</v>
      </c>
      <c r="W1378">
        <v>35.950000000000003</v>
      </c>
      <c r="Y1378">
        <v>12.94</v>
      </c>
    </row>
    <row r="1379" spans="1:25" x14ac:dyDescent="0.25">
      <c r="A1379">
        <v>2006</v>
      </c>
      <c r="B1379">
        <v>357</v>
      </c>
      <c r="C1379">
        <v>1100</v>
      </c>
      <c r="D1379">
        <v>154.1</v>
      </c>
      <c r="E1379">
        <v>19.440000000000001</v>
      </c>
      <c r="F1379">
        <v>-0.13100000000000001</v>
      </c>
      <c r="G1379">
        <v>2.5999999999999999E-2</v>
      </c>
      <c r="K1379">
        <v>0.40600000000000003</v>
      </c>
      <c r="L1379">
        <v>205.4</v>
      </c>
      <c r="M1379">
        <v>0</v>
      </c>
      <c r="O1379">
        <v>124.4</v>
      </c>
      <c r="P1379">
        <v>122.5</v>
      </c>
      <c r="Q1379">
        <v>2.5790000000000002</v>
      </c>
      <c r="S1379">
        <v>3.3559999999999999</v>
      </c>
      <c r="T1379">
        <v>0</v>
      </c>
      <c r="U1379">
        <v>97.1</v>
      </c>
      <c r="V1379">
        <v>848</v>
      </c>
      <c r="W1379">
        <v>35.92</v>
      </c>
      <c r="Y1379">
        <v>13.98</v>
      </c>
    </row>
    <row r="1380" spans="1:25" x14ac:dyDescent="0.25">
      <c r="A1380">
        <v>2006</v>
      </c>
      <c r="B1380">
        <v>357</v>
      </c>
      <c r="C1380">
        <v>1200</v>
      </c>
      <c r="D1380">
        <v>160.80000000000001</v>
      </c>
      <c r="E1380">
        <v>118.2</v>
      </c>
      <c r="F1380">
        <v>2.161</v>
      </c>
      <c r="G1380">
        <v>2.4670000000000001</v>
      </c>
      <c r="K1380">
        <v>0.42499999999999999</v>
      </c>
      <c r="L1380">
        <v>185.8</v>
      </c>
      <c r="M1380">
        <v>0</v>
      </c>
      <c r="O1380">
        <v>180.9</v>
      </c>
      <c r="P1380">
        <v>140.6</v>
      </c>
      <c r="Q1380">
        <v>2.5270000000000001</v>
      </c>
      <c r="S1380">
        <v>3.3079999999999998</v>
      </c>
      <c r="T1380">
        <v>0</v>
      </c>
      <c r="U1380">
        <v>95.1</v>
      </c>
      <c r="V1380">
        <v>848</v>
      </c>
      <c r="W1380">
        <v>35.950000000000003</v>
      </c>
      <c r="Y1380">
        <v>14.43</v>
      </c>
    </row>
    <row r="1381" spans="1:25" x14ac:dyDescent="0.25">
      <c r="A1381">
        <v>2006</v>
      </c>
      <c r="B1381">
        <v>357</v>
      </c>
      <c r="C1381">
        <v>1300</v>
      </c>
      <c r="D1381">
        <v>173.7</v>
      </c>
      <c r="E1381">
        <v>121.5</v>
      </c>
      <c r="F1381">
        <v>3.8929999999999998</v>
      </c>
      <c r="G1381">
        <v>4.2190000000000003</v>
      </c>
      <c r="K1381">
        <v>0.51900000000000002</v>
      </c>
      <c r="L1381">
        <v>195.9</v>
      </c>
      <c r="M1381">
        <v>0</v>
      </c>
      <c r="O1381">
        <v>193.9</v>
      </c>
      <c r="P1381">
        <v>112.9</v>
      </c>
      <c r="Q1381">
        <v>2.4620000000000002</v>
      </c>
      <c r="S1381">
        <v>3.2610000000000001</v>
      </c>
      <c r="T1381">
        <v>0</v>
      </c>
      <c r="U1381">
        <v>95.1</v>
      </c>
      <c r="V1381">
        <v>849</v>
      </c>
      <c r="W1381">
        <v>36</v>
      </c>
      <c r="Y1381">
        <v>14.35</v>
      </c>
    </row>
    <row r="1382" spans="1:25" x14ac:dyDescent="0.25">
      <c r="A1382">
        <v>2006</v>
      </c>
      <c r="B1382">
        <v>357</v>
      </c>
      <c r="C1382">
        <v>1400</v>
      </c>
      <c r="D1382">
        <v>146.69999999999999</v>
      </c>
      <c r="E1382">
        <v>102.9</v>
      </c>
      <c r="F1382">
        <v>4.79</v>
      </c>
      <c r="G1382">
        <v>4.8230000000000004</v>
      </c>
      <c r="K1382">
        <v>0.47599999999999998</v>
      </c>
      <c r="L1382">
        <v>192.7</v>
      </c>
      <c r="M1382">
        <v>0</v>
      </c>
      <c r="O1382">
        <v>161.69999999999999</v>
      </c>
      <c r="P1382">
        <v>102</v>
      </c>
      <c r="Q1382">
        <v>2.3780000000000001</v>
      </c>
      <c r="S1382">
        <v>3.161</v>
      </c>
      <c r="T1382">
        <v>0</v>
      </c>
      <c r="U1382">
        <v>99.5</v>
      </c>
      <c r="V1382">
        <v>849</v>
      </c>
      <c r="W1382">
        <v>36.04</v>
      </c>
      <c r="Y1382">
        <v>14.26</v>
      </c>
    </row>
    <row r="1383" spans="1:25" x14ac:dyDescent="0.25">
      <c r="A1383">
        <v>2006</v>
      </c>
      <c r="B1383">
        <v>357</v>
      </c>
      <c r="C1383">
        <v>1500</v>
      </c>
      <c r="D1383">
        <v>90.1</v>
      </c>
      <c r="E1383">
        <v>27.57</v>
      </c>
      <c r="F1383">
        <v>3.8719999999999999</v>
      </c>
      <c r="G1383">
        <v>3.702</v>
      </c>
      <c r="K1383">
        <v>0.373</v>
      </c>
      <c r="L1383">
        <v>198.5</v>
      </c>
      <c r="M1383">
        <v>0</v>
      </c>
      <c r="O1383">
        <v>88.2</v>
      </c>
      <c r="P1383">
        <v>69.08</v>
      </c>
      <c r="Q1383">
        <v>2.3660000000000001</v>
      </c>
      <c r="S1383">
        <v>3.141</v>
      </c>
      <c r="T1383">
        <v>0</v>
      </c>
      <c r="U1383">
        <v>102.7</v>
      </c>
      <c r="V1383">
        <v>850</v>
      </c>
      <c r="W1383">
        <v>36.06</v>
      </c>
      <c r="Y1383">
        <v>14.03</v>
      </c>
    </row>
    <row r="1384" spans="1:25" x14ac:dyDescent="0.25">
      <c r="A1384">
        <v>2006</v>
      </c>
      <c r="B1384">
        <v>357</v>
      </c>
      <c r="C1384">
        <v>1600</v>
      </c>
      <c r="D1384">
        <v>15.78</v>
      </c>
      <c r="E1384">
        <v>-15.13</v>
      </c>
      <c r="F1384">
        <v>0.63500000000000001</v>
      </c>
      <c r="G1384">
        <v>0.68700000000000006</v>
      </c>
      <c r="K1384">
        <v>0.438</v>
      </c>
      <c r="L1384">
        <v>203.1</v>
      </c>
      <c r="M1384">
        <v>0</v>
      </c>
      <c r="O1384">
        <v>10.18</v>
      </c>
      <c r="P1384">
        <v>-1.8009999999999999</v>
      </c>
      <c r="Q1384">
        <v>2.2799999999999998</v>
      </c>
      <c r="S1384">
        <v>3.0009999999999999</v>
      </c>
      <c r="T1384">
        <v>0</v>
      </c>
      <c r="U1384">
        <v>99</v>
      </c>
      <c r="V1384">
        <v>850</v>
      </c>
      <c r="W1384">
        <v>36.08</v>
      </c>
      <c r="Y1384">
        <v>13.6</v>
      </c>
    </row>
    <row r="1385" spans="1:25" x14ac:dyDescent="0.25">
      <c r="A1385">
        <v>2006</v>
      </c>
      <c r="B1385">
        <v>357</v>
      </c>
      <c r="C1385">
        <v>1700</v>
      </c>
      <c r="D1385">
        <v>-1.863</v>
      </c>
      <c r="E1385">
        <v>-20.440000000000001</v>
      </c>
      <c r="F1385">
        <v>-1.526</v>
      </c>
      <c r="G1385">
        <v>-1.296</v>
      </c>
      <c r="K1385">
        <v>0.17699999999999999</v>
      </c>
      <c r="L1385">
        <v>203.8</v>
      </c>
      <c r="M1385">
        <v>0</v>
      </c>
      <c r="O1385">
        <v>-9.51</v>
      </c>
      <c r="P1385">
        <v>-9.99</v>
      </c>
      <c r="Q1385">
        <v>2.2389999999999999</v>
      </c>
      <c r="S1385">
        <v>2.9369999999999998</v>
      </c>
      <c r="T1385">
        <v>0</v>
      </c>
      <c r="U1385">
        <v>95.5</v>
      </c>
      <c r="V1385">
        <v>850</v>
      </c>
      <c r="W1385">
        <v>36.06</v>
      </c>
      <c r="Y1385">
        <v>13.43</v>
      </c>
    </row>
    <row r="1386" spans="1:25" x14ac:dyDescent="0.25">
      <c r="A1386">
        <v>2006</v>
      </c>
      <c r="B1386">
        <v>357</v>
      </c>
      <c r="C1386">
        <v>1800</v>
      </c>
      <c r="D1386">
        <v>-0.17699999999999999</v>
      </c>
      <c r="E1386">
        <v>-2.9449999999999998</v>
      </c>
      <c r="F1386">
        <v>-1.415</v>
      </c>
      <c r="G1386">
        <v>-1.1950000000000001</v>
      </c>
      <c r="K1386">
        <v>0.156</v>
      </c>
      <c r="L1386">
        <v>197.2</v>
      </c>
      <c r="M1386">
        <v>0</v>
      </c>
      <c r="O1386">
        <v>-10.84</v>
      </c>
      <c r="P1386">
        <v>-10.24</v>
      </c>
      <c r="Q1386">
        <v>2.202</v>
      </c>
      <c r="S1386">
        <v>2.903</v>
      </c>
      <c r="T1386">
        <v>0</v>
      </c>
      <c r="U1386">
        <v>95.8</v>
      </c>
      <c r="V1386">
        <v>849</v>
      </c>
      <c r="W1386">
        <v>36.01</v>
      </c>
      <c r="Y1386">
        <v>13.32</v>
      </c>
    </row>
    <row r="1387" spans="1:25" x14ac:dyDescent="0.25">
      <c r="A1387">
        <v>2006</v>
      </c>
      <c r="B1387">
        <v>357</v>
      </c>
      <c r="C1387">
        <v>1900</v>
      </c>
      <c r="D1387">
        <v>0.377</v>
      </c>
      <c r="E1387">
        <v>1.0369999999999999</v>
      </c>
      <c r="F1387">
        <v>0.57899999999999996</v>
      </c>
      <c r="G1387">
        <v>0.92500000000000004</v>
      </c>
      <c r="K1387">
        <v>0.23899999999999999</v>
      </c>
      <c r="L1387">
        <v>193.3</v>
      </c>
      <c r="M1387">
        <v>0</v>
      </c>
      <c r="O1387">
        <v>-10.83</v>
      </c>
      <c r="P1387">
        <v>-10.210000000000001</v>
      </c>
      <c r="Q1387">
        <v>2.1829999999999998</v>
      </c>
      <c r="S1387">
        <v>2.91</v>
      </c>
      <c r="T1387">
        <v>0</v>
      </c>
      <c r="U1387">
        <v>94</v>
      </c>
      <c r="V1387">
        <v>850</v>
      </c>
      <c r="W1387">
        <v>36.04</v>
      </c>
      <c r="Y1387">
        <v>13.24</v>
      </c>
    </row>
    <row r="1388" spans="1:25" x14ac:dyDescent="0.25">
      <c r="A1388">
        <v>2006</v>
      </c>
      <c r="B1388">
        <v>357</v>
      </c>
      <c r="C1388">
        <v>2000</v>
      </c>
      <c r="D1388">
        <v>0.104</v>
      </c>
      <c r="E1388">
        <v>2.8929999999999998</v>
      </c>
      <c r="F1388">
        <v>1.718</v>
      </c>
      <c r="G1388">
        <v>2.032</v>
      </c>
      <c r="K1388">
        <v>0.123</v>
      </c>
      <c r="L1388">
        <v>161.4</v>
      </c>
      <c r="M1388">
        <v>0</v>
      </c>
      <c r="O1388">
        <v>-10.84</v>
      </c>
      <c r="P1388">
        <v>-10.220000000000001</v>
      </c>
      <c r="Q1388">
        <v>2.1760000000000002</v>
      </c>
      <c r="S1388">
        <v>2.911</v>
      </c>
      <c r="T1388">
        <v>0</v>
      </c>
      <c r="U1388">
        <v>94.8</v>
      </c>
      <c r="V1388">
        <v>851</v>
      </c>
      <c r="W1388">
        <v>36.1</v>
      </c>
      <c r="Y1388">
        <v>13.17</v>
      </c>
    </row>
    <row r="1389" spans="1:25" x14ac:dyDescent="0.25">
      <c r="A1389">
        <v>2006</v>
      </c>
      <c r="B1389">
        <v>357</v>
      </c>
      <c r="C1389">
        <v>2100</v>
      </c>
      <c r="D1389">
        <v>2E-3</v>
      </c>
      <c r="E1389">
        <v>2.8759999999999999</v>
      </c>
      <c r="F1389">
        <v>2.1280000000000001</v>
      </c>
      <c r="G1389">
        <v>2.387</v>
      </c>
      <c r="K1389">
        <v>0.158</v>
      </c>
      <c r="L1389">
        <v>149.19999999999999</v>
      </c>
      <c r="M1389">
        <v>0</v>
      </c>
      <c r="O1389">
        <v>-10.84</v>
      </c>
      <c r="P1389">
        <v>-10.23</v>
      </c>
      <c r="Q1389">
        <v>2.1840000000000002</v>
      </c>
      <c r="S1389">
        <v>2.899</v>
      </c>
      <c r="T1389">
        <v>0</v>
      </c>
      <c r="U1389">
        <v>95.8</v>
      </c>
      <c r="V1389">
        <v>851</v>
      </c>
      <c r="W1389">
        <v>36.14</v>
      </c>
      <c r="Y1389">
        <v>13.11</v>
      </c>
    </row>
    <row r="1390" spans="1:25" x14ac:dyDescent="0.25">
      <c r="A1390">
        <v>2006</v>
      </c>
      <c r="B1390">
        <v>357</v>
      </c>
      <c r="C1390">
        <v>2200</v>
      </c>
      <c r="D1390">
        <v>0</v>
      </c>
      <c r="E1390">
        <v>2.2490000000000001</v>
      </c>
      <c r="F1390">
        <v>2.4319999999999999</v>
      </c>
      <c r="G1390">
        <v>2.6859999999999999</v>
      </c>
      <c r="K1390">
        <v>0.27100000000000002</v>
      </c>
      <c r="L1390">
        <v>157.9</v>
      </c>
      <c r="M1390">
        <v>0</v>
      </c>
      <c r="O1390">
        <v>-10.87</v>
      </c>
      <c r="P1390">
        <v>-10.23</v>
      </c>
      <c r="Q1390">
        <v>2.1869999999999998</v>
      </c>
      <c r="S1390">
        <v>2.83</v>
      </c>
      <c r="T1390">
        <v>0</v>
      </c>
      <c r="U1390">
        <v>95.9</v>
      </c>
      <c r="V1390">
        <v>852</v>
      </c>
      <c r="W1390">
        <v>36.18</v>
      </c>
      <c r="Y1390">
        <v>13.07</v>
      </c>
    </row>
    <row r="1391" spans="1:25" x14ac:dyDescent="0.25">
      <c r="A1391">
        <v>2006</v>
      </c>
      <c r="B1391">
        <v>357</v>
      </c>
      <c r="C1391">
        <v>2300</v>
      </c>
      <c r="D1391">
        <v>-0.01</v>
      </c>
      <c r="E1391">
        <v>2.5910000000000002</v>
      </c>
      <c r="F1391">
        <v>2.843</v>
      </c>
      <c r="G1391">
        <v>3.2589999999999999</v>
      </c>
      <c r="K1391">
        <v>0.35099999999999998</v>
      </c>
      <c r="L1391">
        <v>138.6</v>
      </c>
      <c r="M1391">
        <v>0</v>
      </c>
      <c r="O1391">
        <v>-10.87</v>
      </c>
      <c r="P1391">
        <v>-10.27</v>
      </c>
      <c r="Q1391">
        <v>2.173</v>
      </c>
      <c r="S1391">
        <v>2.7879999999999998</v>
      </c>
      <c r="T1391">
        <v>0</v>
      </c>
      <c r="U1391">
        <v>93.5</v>
      </c>
      <c r="V1391">
        <v>853</v>
      </c>
      <c r="W1391">
        <v>36.26</v>
      </c>
      <c r="Y1391">
        <v>13.03</v>
      </c>
    </row>
    <row r="1392" spans="1:25" x14ac:dyDescent="0.25">
      <c r="A1392">
        <v>2006</v>
      </c>
      <c r="B1392">
        <v>357</v>
      </c>
      <c r="C1392">
        <v>2400</v>
      </c>
      <c r="D1392">
        <v>-0.46800000000000003</v>
      </c>
      <c r="E1392">
        <v>0.52500000000000002</v>
      </c>
      <c r="F1392">
        <v>3.4569999999999999</v>
      </c>
      <c r="G1392">
        <v>4.0750000000000002</v>
      </c>
      <c r="K1392">
        <v>0.94099999999999995</v>
      </c>
      <c r="L1392">
        <v>113.8</v>
      </c>
      <c r="M1392">
        <v>0</v>
      </c>
      <c r="O1392">
        <v>-10.91</v>
      </c>
      <c r="P1392">
        <v>-10.29</v>
      </c>
      <c r="Q1392">
        <v>2.153</v>
      </c>
      <c r="S1392">
        <v>2.7559999999999998</v>
      </c>
      <c r="T1392">
        <v>0</v>
      </c>
      <c r="U1392">
        <v>90.7</v>
      </c>
      <c r="V1392">
        <v>854</v>
      </c>
      <c r="W1392">
        <v>36.32</v>
      </c>
      <c r="Y1392">
        <v>13</v>
      </c>
    </row>
    <row r="1393" spans="1:25" x14ac:dyDescent="0.25">
      <c r="A1393">
        <v>2006</v>
      </c>
      <c r="B1393">
        <v>357</v>
      </c>
      <c r="C1393">
        <v>2400</v>
      </c>
      <c r="D1393">
        <v>32.61</v>
      </c>
      <c r="E1393">
        <v>7.99</v>
      </c>
      <c r="F1393">
        <v>0.38900000000000001</v>
      </c>
      <c r="G1393">
        <v>0.63600000000000001</v>
      </c>
      <c r="K1393">
        <v>0.28699999999999998</v>
      </c>
      <c r="L1393">
        <v>182.2</v>
      </c>
      <c r="M1393">
        <v>0</v>
      </c>
      <c r="O1393">
        <v>24.89</v>
      </c>
      <c r="P1393">
        <v>15.74</v>
      </c>
      <c r="Q1393">
        <v>2.7269999999999999</v>
      </c>
      <c r="S1393">
        <v>3.3220000000000001</v>
      </c>
      <c r="T1393">
        <v>0</v>
      </c>
      <c r="U1393">
        <v>95.6</v>
      </c>
      <c r="V1393">
        <v>852</v>
      </c>
      <c r="W1393">
        <v>36.22</v>
      </c>
      <c r="Y1393">
        <v>13.27</v>
      </c>
    </row>
    <row r="1394" spans="1:25" x14ac:dyDescent="0.25">
      <c r="A1394">
        <v>2006</v>
      </c>
      <c r="B1394">
        <v>358</v>
      </c>
      <c r="C1394">
        <v>100</v>
      </c>
      <c r="D1394">
        <v>-0.78300000000000003</v>
      </c>
      <c r="E1394">
        <v>-3.2839999999999998</v>
      </c>
      <c r="F1394">
        <v>3.6680000000000001</v>
      </c>
      <c r="G1394">
        <v>4.2869999999999999</v>
      </c>
      <c r="K1394">
        <v>0.874</v>
      </c>
      <c r="L1394">
        <v>119</v>
      </c>
      <c r="M1394">
        <v>0</v>
      </c>
      <c r="O1394">
        <v>-11.06</v>
      </c>
      <c r="P1394">
        <v>-10.41</v>
      </c>
      <c r="Q1394">
        <v>2.1909999999999998</v>
      </c>
      <c r="S1394">
        <v>2.742</v>
      </c>
      <c r="T1394">
        <v>0</v>
      </c>
      <c r="U1394">
        <v>90.7</v>
      </c>
      <c r="V1394">
        <v>855</v>
      </c>
      <c r="W1394">
        <v>36.380000000000003</v>
      </c>
      <c r="Y1394">
        <v>12.98</v>
      </c>
    </row>
    <row r="1395" spans="1:25" x14ac:dyDescent="0.25">
      <c r="A1395">
        <v>2006</v>
      </c>
      <c r="B1395">
        <v>358</v>
      </c>
      <c r="C1395">
        <v>200</v>
      </c>
      <c r="D1395">
        <v>-0.92800000000000005</v>
      </c>
      <c r="E1395">
        <v>-7.21</v>
      </c>
      <c r="F1395">
        <v>3.3239999999999998</v>
      </c>
      <c r="G1395">
        <v>3.7690000000000001</v>
      </c>
      <c r="K1395">
        <v>0.28299999999999997</v>
      </c>
      <c r="L1395">
        <v>135.9</v>
      </c>
      <c r="M1395">
        <v>0</v>
      </c>
      <c r="O1395">
        <v>-11.13</v>
      </c>
      <c r="P1395">
        <v>-10.46</v>
      </c>
      <c r="Q1395">
        <v>2.2280000000000002</v>
      </c>
      <c r="S1395">
        <v>2.7250000000000001</v>
      </c>
      <c r="T1395">
        <v>0</v>
      </c>
      <c r="U1395">
        <v>93.2</v>
      </c>
      <c r="V1395">
        <v>855</v>
      </c>
      <c r="W1395">
        <v>36.4</v>
      </c>
      <c r="Y1395">
        <v>12.96</v>
      </c>
    </row>
    <row r="1396" spans="1:25" x14ac:dyDescent="0.25">
      <c r="A1396">
        <v>2006</v>
      </c>
      <c r="B1396">
        <v>358</v>
      </c>
      <c r="C1396">
        <v>300</v>
      </c>
      <c r="D1396">
        <v>-0.75800000000000001</v>
      </c>
      <c r="E1396">
        <v>-7.2</v>
      </c>
      <c r="F1396">
        <v>2.2949999999999999</v>
      </c>
      <c r="G1396">
        <v>2.5649999999999999</v>
      </c>
      <c r="K1396">
        <v>0.185</v>
      </c>
      <c r="L1396">
        <v>201.6</v>
      </c>
      <c r="M1396">
        <v>0</v>
      </c>
      <c r="O1396">
        <v>-11.14</v>
      </c>
      <c r="P1396">
        <v>-10.44</v>
      </c>
      <c r="Q1396">
        <v>2.2999999999999998</v>
      </c>
      <c r="S1396">
        <v>2.7120000000000002</v>
      </c>
      <c r="T1396">
        <v>0</v>
      </c>
      <c r="U1396">
        <v>95.6</v>
      </c>
      <c r="V1396">
        <v>855</v>
      </c>
      <c r="W1396">
        <v>36.380000000000003</v>
      </c>
      <c r="Y1396">
        <v>12.95</v>
      </c>
    </row>
    <row r="1397" spans="1:25" x14ac:dyDescent="0.25">
      <c r="A1397">
        <v>2006</v>
      </c>
      <c r="B1397">
        <v>358</v>
      </c>
      <c r="C1397">
        <v>400</v>
      </c>
      <c r="D1397">
        <v>3.0000000000000001E-3</v>
      </c>
      <c r="E1397">
        <v>1.5269999999999999</v>
      </c>
      <c r="F1397">
        <v>2.9830000000000001</v>
      </c>
      <c r="G1397">
        <v>3.363</v>
      </c>
      <c r="K1397">
        <v>0.27800000000000002</v>
      </c>
      <c r="L1397">
        <v>153.69999999999999</v>
      </c>
      <c r="M1397">
        <v>0</v>
      </c>
      <c r="O1397">
        <v>-10.95</v>
      </c>
      <c r="P1397">
        <v>-10.34</v>
      </c>
      <c r="Q1397">
        <v>2.3559999999999999</v>
      </c>
      <c r="S1397">
        <v>2.7549999999999999</v>
      </c>
      <c r="T1397">
        <v>0</v>
      </c>
      <c r="U1397">
        <v>94.1</v>
      </c>
      <c r="V1397">
        <v>855</v>
      </c>
      <c r="W1397">
        <v>36.369999999999997</v>
      </c>
      <c r="Y1397">
        <v>12.94</v>
      </c>
    </row>
    <row r="1398" spans="1:25" x14ac:dyDescent="0.25">
      <c r="A1398">
        <v>2006</v>
      </c>
      <c r="B1398">
        <v>358</v>
      </c>
      <c r="C1398">
        <v>500</v>
      </c>
      <c r="D1398">
        <v>-0.193</v>
      </c>
      <c r="E1398">
        <v>1.198</v>
      </c>
      <c r="F1398">
        <v>3.879</v>
      </c>
      <c r="G1398">
        <v>4.431</v>
      </c>
      <c r="K1398">
        <v>0.86899999999999999</v>
      </c>
      <c r="L1398">
        <v>105.8</v>
      </c>
      <c r="M1398">
        <v>0</v>
      </c>
      <c r="O1398">
        <v>-11.01</v>
      </c>
      <c r="P1398">
        <v>-10.36</v>
      </c>
      <c r="Q1398">
        <v>2.4159999999999999</v>
      </c>
      <c r="S1398">
        <v>2.8220000000000001</v>
      </c>
      <c r="T1398">
        <v>0</v>
      </c>
      <c r="U1398">
        <v>91.8</v>
      </c>
      <c r="V1398">
        <v>854</v>
      </c>
      <c r="W1398">
        <v>36.340000000000003</v>
      </c>
      <c r="Y1398">
        <v>12.93</v>
      </c>
    </row>
    <row r="1399" spans="1:25" x14ac:dyDescent="0.25">
      <c r="A1399">
        <v>2006</v>
      </c>
      <c r="B1399">
        <v>358</v>
      </c>
      <c r="C1399">
        <v>600</v>
      </c>
      <c r="D1399">
        <v>-0.53800000000000003</v>
      </c>
      <c r="E1399">
        <v>0.63600000000000001</v>
      </c>
      <c r="F1399">
        <v>4.09</v>
      </c>
      <c r="G1399">
        <v>4.7220000000000004</v>
      </c>
      <c r="K1399">
        <v>1.218</v>
      </c>
      <c r="L1399">
        <v>117.6</v>
      </c>
      <c r="M1399">
        <v>0</v>
      </c>
      <c r="O1399">
        <v>-11.23</v>
      </c>
      <c r="P1399">
        <v>-10.48</v>
      </c>
      <c r="Q1399">
        <v>2.508</v>
      </c>
      <c r="S1399">
        <v>2.8140000000000001</v>
      </c>
      <c r="T1399">
        <v>0</v>
      </c>
      <c r="U1399">
        <v>90.7</v>
      </c>
      <c r="V1399">
        <v>854</v>
      </c>
      <c r="W1399">
        <v>36.31</v>
      </c>
      <c r="Y1399">
        <v>12.92</v>
      </c>
    </row>
    <row r="1400" spans="1:25" x14ac:dyDescent="0.25">
      <c r="A1400">
        <v>2006</v>
      </c>
      <c r="B1400">
        <v>358</v>
      </c>
      <c r="C1400">
        <v>700</v>
      </c>
      <c r="D1400">
        <v>-0.13400000000000001</v>
      </c>
      <c r="E1400">
        <v>-0.14299999999999999</v>
      </c>
      <c r="F1400">
        <v>4.03</v>
      </c>
      <c r="G1400">
        <v>4.6589999999999998</v>
      </c>
      <c r="K1400">
        <v>1.36</v>
      </c>
      <c r="L1400">
        <v>133.19999999999999</v>
      </c>
      <c r="M1400">
        <v>0</v>
      </c>
      <c r="O1400">
        <v>-11.31</v>
      </c>
      <c r="P1400">
        <v>-10.58</v>
      </c>
      <c r="Q1400">
        <v>2.6269999999999998</v>
      </c>
      <c r="S1400">
        <v>2.8140000000000001</v>
      </c>
      <c r="T1400">
        <v>0</v>
      </c>
      <c r="U1400">
        <v>90.7</v>
      </c>
      <c r="V1400">
        <v>853</v>
      </c>
      <c r="W1400">
        <v>36.270000000000003</v>
      </c>
      <c r="Y1400">
        <v>12.91</v>
      </c>
    </row>
    <row r="1401" spans="1:25" x14ac:dyDescent="0.25">
      <c r="A1401">
        <v>2006</v>
      </c>
      <c r="B1401">
        <v>358</v>
      </c>
      <c r="C1401">
        <v>800</v>
      </c>
      <c r="D1401">
        <v>-0.04</v>
      </c>
      <c r="E1401">
        <v>-1.2470000000000001</v>
      </c>
      <c r="F1401">
        <v>3.7730000000000001</v>
      </c>
      <c r="G1401">
        <v>4.3369999999999997</v>
      </c>
      <c r="K1401">
        <v>1.4379999999999999</v>
      </c>
      <c r="L1401">
        <v>116.8</v>
      </c>
      <c r="M1401">
        <v>0</v>
      </c>
      <c r="O1401">
        <v>-11.33</v>
      </c>
      <c r="P1401">
        <v>-10.62</v>
      </c>
      <c r="Q1401">
        <v>2.74</v>
      </c>
      <c r="S1401">
        <v>2.8580000000000001</v>
      </c>
      <c r="T1401">
        <v>0</v>
      </c>
      <c r="U1401">
        <v>91.6</v>
      </c>
      <c r="V1401">
        <v>853</v>
      </c>
      <c r="W1401">
        <v>36.229999999999997</v>
      </c>
      <c r="Y1401">
        <v>12.91</v>
      </c>
    </row>
    <row r="1402" spans="1:25" x14ac:dyDescent="0.25">
      <c r="A1402">
        <v>2006</v>
      </c>
      <c r="B1402">
        <v>358</v>
      </c>
      <c r="C1402">
        <v>900</v>
      </c>
      <c r="D1402">
        <v>1.038</v>
      </c>
      <c r="E1402">
        <v>-1.0820000000000001</v>
      </c>
      <c r="F1402">
        <v>3.5449999999999999</v>
      </c>
      <c r="G1402">
        <v>4.0949999999999998</v>
      </c>
      <c r="H1402">
        <f>AVERAGE(G1402:G1426)</f>
        <v>4.6011999999999986</v>
      </c>
      <c r="I1402">
        <f>MIN(G1402:G1426)</f>
        <v>3.9870000000000001</v>
      </c>
      <c r="J1402">
        <f>MAX(G1402:G1426)</f>
        <v>5.4509999999999996</v>
      </c>
      <c r="K1402">
        <v>1.621</v>
      </c>
      <c r="L1402">
        <v>120.1</v>
      </c>
      <c r="M1402">
        <v>0</v>
      </c>
      <c r="N1402">
        <f>SUM(M1402:M1426)</f>
        <v>0</v>
      </c>
      <c r="O1402">
        <v>-9.2200000000000006</v>
      </c>
      <c r="P1402">
        <v>-10.1</v>
      </c>
      <c r="Q1402">
        <v>2.8330000000000002</v>
      </c>
      <c r="S1402">
        <v>2.92</v>
      </c>
      <c r="T1402">
        <v>0</v>
      </c>
      <c r="U1402">
        <v>91.7</v>
      </c>
      <c r="V1402">
        <v>852</v>
      </c>
      <c r="W1402">
        <v>36.18</v>
      </c>
      <c r="Y1402">
        <v>12.9</v>
      </c>
    </row>
    <row r="1403" spans="1:25" x14ac:dyDescent="0.25">
      <c r="A1403">
        <v>2006</v>
      </c>
      <c r="B1403">
        <v>358</v>
      </c>
      <c r="C1403">
        <v>1000</v>
      </c>
      <c r="D1403">
        <v>11.8</v>
      </c>
      <c r="E1403">
        <v>6.2489999999999997</v>
      </c>
      <c r="F1403">
        <v>3.69</v>
      </c>
      <c r="G1403">
        <v>4.1870000000000003</v>
      </c>
      <c r="K1403">
        <v>1.3009999999999999</v>
      </c>
      <c r="L1403">
        <v>124.2</v>
      </c>
      <c r="M1403">
        <v>0</v>
      </c>
      <c r="O1403">
        <v>4.2300000000000004</v>
      </c>
      <c r="P1403">
        <v>-7.16</v>
      </c>
      <c r="Q1403">
        <v>2.9159999999999999</v>
      </c>
      <c r="S1403">
        <v>2.9220000000000002</v>
      </c>
      <c r="T1403">
        <v>0</v>
      </c>
      <c r="U1403">
        <v>92.5</v>
      </c>
      <c r="V1403">
        <v>852</v>
      </c>
      <c r="W1403">
        <v>36.17</v>
      </c>
      <c r="Y1403">
        <v>12.89</v>
      </c>
    </row>
    <row r="1404" spans="1:25" x14ac:dyDescent="0.25">
      <c r="A1404">
        <v>2006</v>
      </c>
      <c r="B1404">
        <v>358</v>
      </c>
      <c r="C1404">
        <v>1100</v>
      </c>
      <c r="D1404">
        <v>28.23</v>
      </c>
      <c r="E1404">
        <v>17.8</v>
      </c>
      <c r="F1404">
        <v>3.996</v>
      </c>
      <c r="G1404">
        <v>4.4409999999999998</v>
      </c>
      <c r="K1404">
        <v>1.6160000000000001</v>
      </c>
      <c r="L1404">
        <v>121.3</v>
      </c>
      <c r="M1404">
        <v>0</v>
      </c>
      <c r="O1404">
        <v>25.31</v>
      </c>
      <c r="P1404">
        <v>-2.4870000000000001</v>
      </c>
      <c r="Q1404">
        <v>3.0129999999999999</v>
      </c>
      <c r="S1404">
        <v>2.9359999999999999</v>
      </c>
      <c r="T1404">
        <v>0</v>
      </c>
      <c r="U1404">
        <v>93.4</v>
      </c>
      <c r="V1404">
        <v>851</v>
      </c>
      <c r="W1404">
        <v>36.14</v>
      </c>
      <c r="Y1404">
        <v>12.9</v>
      </c>
    </row>
    <row r="1405" spans="1:25" x14ac:dyDescent="0.25">
      <c r="A1405">
        <v>2006</v>
      </c>
      <c r="B1405">
        <v>358</v>
      </c>
      <c r="C1405">
        <v>1200</v>
      </c>
      <c r="D1405">
        <v>45.36</v>
      </c>
      <c r="E1405">
        <v>28.64</v>
      </c>
      <c r="F1405">
        <v>4.1059999999999999</v>
      </c>
      <c r="G1405">
        <v>4.5119999999999996</v>
      </c>
      <c r="K1405">
        <v>1.9079999999999999</v>
      </c>
      <c r="L1405">
        <v>118.8</v>
      </c>
      <c r="M1405">
        <v>0</v>
      </c>
      <c r="O1405">
        <v>47.23</v>
      </c>
      <c r="P1405">
        <v>2.0619999999999998</v>
      </c>
      <c r="Q1405">
        <v>3.133</v>
      </c>
      <c r="S1405">
        <v>3.028</v>
      </c>
      <c r="T1405">
        <v>0</v>
      </c>
      <c r="U1405">
        <v>94</v>
      </c>
      <c r="V1405">
        <v>851</v>
      </c>
      <c r="W1405">
        <v>36.14</v>
      </c>
      <c r="Y1405">
        <v>13.02</v>
      </c>
    </row>
    <row r="1406" spans="1:25" x14ac:dyDescent="0.25">
      <c r="A1406">
        <v>2006</v>
      </c>
      <c r="B1406">
        <v>358</v>
      </c>
      <c r="C1406">
        <v>1300</v>
      </c>
      <c r="D1406">
        <v>49.13</v>
      </c>
      <c r="E1406">
        <v>30.82</v>
      </c>
      <c r="F1406">
        <v>4.2699999999999996</v>
      </c>
      <c r="G1406">
        <v>4.6539999999999999</v>
      </c>
      <c r="K1406">
        <v>2.0590000000000002</v>
      </c>
      <c r="L1406">
        <v>104.4</v>
      </c>
      <c r="M1406">
        <v>0</v>
      </c>
      <c r="O1406">
        <v>51.59</v>
      </c>
      <c r="P1406">
        <v>3.331</v>
      </c>
      <c r="Q1406">
        <v>3.2789999999999999</v>
      </c>
      <c r="S1406">
        <v>3.0310000000000001</v>
      </c>
      <c r="T1406">
        <v>0</v>
      </c>
      <c r="U1406">
        <v>94.3</v>
      </c>
      <c r="V1406">
        <v>851</v>
      </c>
      <c r="W1406">
        <v>36.11</v>
      </c>
      <c r="Y1406">
        <v>13.18</v>
      </c>
    </row>
    <row r="1407" spans="1:25" x14ac:dyDescent="0.25">
      <c r="A1407">
        <v>2006</v>
      </c>
      <c r="B1407">
        <v>358</v>
      </c>
      <c r="C1407">
        <v>1400</v>
      </c>
      <c r="D1407">
        <v>52.84</v>
      </c>
      <c r="E1407">
        <v>31.14</v>
      </c>
      <c r="F1407">
        <v>4.63</v>
      </c>
      <c r="G1407">
        <v>5.0949999999999998</v>
      </c>
      <c r="K1407">
        <v>2.4940000000000002</v>
      </c>
      <c r="L1407">
        <v>111.4</v>
      </c>
      <c r="M1407">
        <v>0</v>
      </c>
      <c r="O1407">
        <v>54.87</v>
      </c>
      <c r="P1407">
        <v>5.0609999999999999</v>
      </c>
      <c r="Q1407">
        <v>3.4369999999999998</v>
      </c>
      <c r="S1407">
        <v>3.1059999999999999</v>
      </c>
      <c r="T1407">
        <v>0</v>
      </c>
      <c r="U1407">
        <v>93.3</v>
      </c>
      <c r="V1407">
        <v>850</v>
      </c>
      <c r="W1407">
        <v>36.07</v>
      </c>
      <c r="Y1407">
        <v>13.28</v>
      </c>
    </row>
    <row r="1408" spans="1:25" x14ac:dyDescent="0.25">
      <c r="A1408">
        <v>2006</v>
      </c>
      <c r="B1408">
        <v>358</v>
      </c>
      <c r="C1408">
        <v>1500</v>
      </c>
      <c r="D1408">
        <v>49.52</v>
      </c>
      <c r="E1408">
        <v>23.45</v>
      </c>
      <c r="F1408">
        <v>4.7309999999999999</v>
      </c>
      <c r="G1408">
        <v>5.1429999999999998</v>
      </c>
      <c r="K1408">
        <v>2.23</v>
      </c>
      <c r="L1408">
        <v>113.7</v>
      </c>
      <c r="M1408">
        <v>0</v>
      </c>
      <c r="O1408">
        <v>51.66</v>
      </c>
      <c r="P1408">
        <v>5.19</v>
      </c>
      <c r="Q1408">
        <v>3.59</v>
      </c>
      <c r="S1408">
        <v>3.1349999999999998</v>
      </c>
      <c r="T1408">
        <v>0</v>
      </c>
      <c r="U1408">
        <v>94</v>
      </c>
      <c r="V1408">
        <v>850</v>
      </c>
      <c r="W1408">
        <v>36.049999999999997</v>
      </c>
      <c r="Y1408">
        <v>13.36</v>
      </c>
    </row>
    <row r="1409" spans="1:25" x14ac:dyDescent="0.25">
      <c r="A1409">
        <v>2006</v>
      </c>
      <c r="B1409">
        <v>358</v>
      </c>
      <c r="C1409">
        <v>1600</v>
      </c>
      <c r="D1409">
        <v>11.45</v>
      </c>
      <c r="E1409">
        <v>-0.27</v>
      </c>
      <c r="F1409">
        <v>4.351</v>
      </c>
      <c r="G1409">
        <v>4.6619999999999999</v>
      </c>
      <c r="K1409">
        <v>1.9259999999999999</v>
      </c>
      <c r="L1409">
        <v>120.3</v>
      </c>
      <c r="M1409">
        <v>0</v>
      </c>
      <c r="O1409">
        <v>3.613</v>
      </c>
      <c r="P1409">
        <v>-6.883</v>
      </c>
      <c r="Q1409">
        <v>3.7069999999999999</v>
      </c>
      <c r="S1409">
        <v>3.1970000000000001</v>
      </c>
      <c r="T1409">
        <v>0</v>
      </c>
      <c r="U1409">
        <v>95.4</v>
      </c>
      <c r="V1409">
        <v>849</v>
      </c>
      <c r="W1409">
        <v>36.020000000000003</v>
      </c>
      <c r="Y1409">
        <v>13.23</v>
      </c>
    </row>
    <row r="1410" spans="1:25" x14ac:dyDescent="0.25">
      <c r="A1410">
        <v>2006</v>
      </c>
      <c r="B1410">
        <v>358</v>
      </c>
      <c r="C1410">
        <v>1700</v>
      </c>
      <c r="D1410">
        <v>0.19400000000000001</v>
      </c>
      <c r="E1410">
        <v>-4.7709999999999999</v>
      </c>
      <c r="F1410">
        <v>4.3479999999999999</v>
      </c>
      <c r="G1410">
        <v>4.6239999999999997</v>
      </c>
      <c r="K1410">
        <v>0.96499999999999997</v>
      </c>
      <c r="L1410">
        <v>145.5</v>
      </c>
      <c r="M1410">
        <v>0</v>
      </c>
      <c r="O1410">
        <v>-10.51</v>
      </c>
      <c r="P1410">
        <v>-10.5</v>
      </c>
      <c r="Q1410">
        <v>3.786</v>
      </c>
      <c r="S1410">
        <v>3.2480000000000002</v>
      </c>
      <c r="T1410">
        <v>0</v>
      </c>
      <c r="U1410">
        <v>95.9</v>
      </c>
      <c r="V1410">
        <v>849</v>
      </c>
      <c r="W1410">
        <v>36.01</v>
      </c>
      <c r="Y1410">
        <v>13.14</v>
      </c>
    </row>
    <row r="1411" spans="1:25" x14ac:dyDescent="0.25">
      <c r="A1411">
        <v>2006</v>
      </c>
      <c r="B1411">
        <v>358</v>
      </c>
      <c r="C1411">
        <v>1800</v>
      </c>
      <c r="D1411">
        <v>-0.74399999999999999</v>
      </c>
      <c r="E1411">
        <v>-9.4</v>
      </c>
      <c r="F1411">
        <v>3.9020000000000001</v>
      </c>
      <c r="G1411">
        <v>4.173</v>
      </c>
      <c r="K1411">
        <v>0.248</v>
      </c>
      <c r="L1411">
        <v>172.8</v>
      </c>
      <c r="M1411">
        <v>0</v>
      </c>
      <c r="O1411">
        <v>-11.45</v>
      </c>
      <c r="P1411">
        <v>-10.76</v>
      </c>
      <c r="Q1411">
        <v>3.7909999999999999</v>
      </c>
      <c r="S1411">
        <v>3.2490000000000001</v>
      </c>
      <c r="T1411">
        <v>0</v>
      </c>
      <c r="U1411">
        <v>95.9</v>
      </c>
      <c r="V1411">
        <v>849</v>
      </c>
      <c r="W1411">
        <v>35.979999999999997</v>
      </c>
      <c r="Y1411">
        <v>13.07</v>
      </c>
    </row>
    <row r="1412" spans="1:25" x14ac:dyDescent="0.25">
      <c r="A1412">
        <v>2006</v>
      </c>
      <c r="B1412">
        <v>358</v>
      </c>
      <c r="C1412">
        <v>1900</v>
      </c>
      <c r="D1412">
        <v>0</v>
      </c>
      <c r="E1412">
        <v>-0.18</v>
      </c>
      <c r="F1412">
        <v>3.9750000000000001</v>
      </c>
      <c r="G1412">
        <v>4.2590000000000003</v>
      </c>
      <c r="K1412">
        <v>0.26600000000000001</v>
      </c>
      <c r="L1412">
        <v>144.5</v>
      </c>
      <c r="M1412">
        <v>0</v>
      </c>
      <c r="O1412">
        <v>-11.36</v>
      </c>
      <c r="P1412">
        <v>-10.7</v>
      </c>
      <c r="Q1412">
        <v>3.7879999999999998</v>
      </c>
      <c r="S1412">
        <v>3.3319999999999999</v>
      </c>
      <c r="T1412">
        <v>0</v>
      </c>
      <c r="U1412">
        <v>95.7</v>
      </c>
      <c r="V1412">
        <v>849</v>
      </c>
      <c r="W1412">
        <v>35.979999999999997</v>
      </c>
      <c r="Y1412">
        <v>13.01</v>
      </c>
    </row>
    <row r="1413" spans="1:25" x14ac:dyDescent="0.25">
      <c r="A1413">
        <v>2006</v>
      </c>
      <c r="B1413">
        <v>358</v>
      </c>
      <c r="C1413">
        <v>2000</v>
      </c>
      <c r="D1413">
        <v>-0.14499999999999999</v>
      </c>
      <c r="E1413">
        <v>-1.202</v>
      </c>
      <c r="F1413">
        <v>5.0220000000000002</v>
      </c>
      <c r="G1413">
        <v>5.3780000000000001</v>
      </c>
      <c r="K1413">
        <v>1.585</v>
      </c>
      <c r="L1413">
        <v>111.5</v>
      </c>
      <c r="M1413">
        <v>0</v>
      </c>
      <c r="O1413">
        <v>-11.35</v>
      </c>
      <c r="P1413">
        <v>-10.65</v>
      </c>
      <c r="Q1413">
        <v>3.827</v>
      </c>
      <c r="S1413">
        <v>3.3570000000000002</v>
      </c>
      <c r="T1413">
        <v>0</v>
      </c>
      <c r="U1413">
        <v>94.9</v>
      </c>
      <c r="V1413">
        <v>849</v>
      </c>
      <c r="W1413">
        <v>35.979999999999997</v>
      </c>
      <c r="Y1413">
        <v>12.97</v>
      </c>
    </row>
    <row r="1414" spans="1:25" x14ac:dyDescent="0.25">
      <c r="A1414">
        <v>2006</v>
      </c>
      <c r="B1414">
        <v>358</v>
      </c>
      <c r="C1414">
        <v>2100</v>
      </c>
      <c r="D1414">
        <v>-0.32300000000000001</v>
      </c>
      <c r="E1414">
        <v>-2.6139999999999999</v>
      </c>
      <c r="F1414">
        <v>4.9000000000000004</v>
      </c>
      <c r="G1414">
        <v>5.3390000000000004</v>
      </c>
      <c r="K1414">
        <v>1.38</v>
      </c>
      <c r="L1414">
        <v>128.9</v>
      </c>
      <c r="M1414">
        <v>0</v>
      </c>
      <c r="O1414">
        <v>-11.41</v>
      </c>
      <c r="P1414">
        <v>-10.7</v>
      </c>
      <c r="Q1414">
        <v>3.8820000000000001</v>
      </c>
      <c r="S1414">
        <v>3.3839999999999999</v>
      </c>
      <c r="T1414">
        <v>0</v>
      </c>
      <c r="U1414">
        <v>93.7</v>
      </c>
      <c r="V1414">
        <v>848</v>
      </c>
      <c r="W1414">
        <v>35.97</v>
      </c>
      <c r="Y1414">
        <v>12.94</v>
      </c>
    </row>
    <row r="1415" spans="1:25" x14ac:dyDescent="0.25">
      <c r="A1415">
        <v>2006</v>
      </c>
      <c r="B1415">
        <v>358</v>
      </c>
      <c r="C1415">
        <v>2200</v>
      </c>
      <c r="D1415">
        <v>-0.45900000000000002</v>
      </c>
      <c r="E1415">
        <v>-2.7549999999999999</v>
      </c>
      <c r="F1415">
        <v>4.875</v>
      </c>
      <c r="G1415">
        <v>5.4509999999999996</v>
      </c>
      <c r="K1415">
        <v>1.2889999999999999</v>
      </c>
      <c r="L1415">
        <v>142.80000000000001</v>
      </c>
      <c r="M1415">
        <v>0</v>
      </c>
      <c r="O1415">
        <v>-11.48</v>
      </c>
      <c r="P1415">
        <v>-10.76</v>
      </c>
      <c r="Q1415">
        <v>3.9220000000000002</v>
      </c>
      <c r="S1415">
        <v>3.4630000000000001</v>
      </c>
      <c r="T1415">
        <v>0</v>
      </c>
      <c r="U1415">
        <v>91.8</v>
      </c>
      <c r="V1415">
        <v>848</v>
      </c>
      <c r="W1415">
        <v>35.94</v>
      </c>
      <c r="Y1415">
        <v>12.92</v>
      </c>
    </row>
    <row r="1416" spans="1:25" x14ac:dyDescent="0.25">
      <c r="A1416">
        <v>2006</v>
      </c>
      <c r="B1416">
        <v>358</v>
      </c>
      <c r="C1416">
        <v>2300</v>
      </c>
      <c r="D1416">
        <v>-0.54500000000000004</v>
      </c>
      <c r="E1416">
        <v>-2.665</v>
      </c>
      <c r="F1416">
        <v>4.7869999999999999</v>
      </c>
      <c r="G1416">
        <v>5.2460000000000004</v>
      </c>
      <c r="K1416">
        <v>0.79500000000000004</v>
      </c>
      <c r="L1416">
        <v>146.19999999999999</v>
      </c>
      <c r="M1416">
        <v>0</v>
      </c>
      <c r="O1416">
        <v>-11.49</v>
      </c>
      <c r="P1416">
        <v>-10.79</v>
      </c>
      <c r="Q1416">
        <v>3.9630000000000001</v>
      </c>
      <c r="S1416">
        <v>3.4649999999999999</v>
      </c>
      <c r="T1416">
        <v>0</v>
      </c>
      <c r="U1416">
        <v>93.4</v>
      </c>
      <c r="V1416">
        <v>848</v>
      </c>
      <c r="W1416">
        <v>35.94</v>
      </c>
      <c r="Y1416">
        <v>12.9</v>
      </c>
    </row>
    <row r="1417" spans="1:25" x14ac:dyDescent="0.25">
      <c r="A1417">
        <v>2006</v>
      </c>
      <c r="B1417">
        <v>358</v>
      </c>
      <c r="C1417">
        <v>2400</v>
      </c>
      <c r="D1417">
        <v>-0.55900000000000005</v>
      </c>
      <c r="E1417">
        <v>-3.9569999999999999</v>
      </c>
      <c r="F1417">
        <v>4.5670000000000002</v>
      </c>
      <c r="G1417">
        <v>5.0289999999999999</v>
      </c>
      <c r="K1417">
        <v>0.83799999999999997</v>
      </c>
      <c r="L1417">
        <v>164.1</v>
      </c>
      <c r="M1417">
        <v>0</v>
      </c>
      <c r="O1417">
        <v>-11.49</v>
      </c>
      <c r="P1417">
        <v>-10.8</v>
      </c>
      <c r="Q1417">
        <v>3.9990000000000001</v>
      </c>
      <c r="S1417">
        <v>3.4649999999999999</v>
      </c>
      <c r="T1417">
        <v>0</v>
      </c>
      <c r="U1417">
        <v>93.3</v>
      </c>
      <c r="V1417">
        <v>848</v>
      </c>
      <c r="W1417">
        <v>35.93</v>
      </c>
      <c r="Y1417">
        <v>12.89</v>
      </c>
    </row>
    <row r="1418" spans="1:25" x14ac:dyDescent="0.25">
      <c r="A1418">
        <v>2006</v>
      </c>
      <c r="B1418">
        <v>358</v>
      </c>
      <c r="C1418">
        <v>2400</v>
      </c>
      <c r="D1418">
        <v>10.14</v>
      </c>
      <c r="E1418">
        <v>3.8959999999999999</v>
      </c>
      <c r="F1418">
        <v>4.0720000000000001</v>
      </c>
      <c r="G1418">
        <v>4.5170000000000003</v>
      </c>
      <c r="K1418">
        <v>1.2090000000000001</v>
      </c>
      <c r="L1418">
        <v>127.9</v>
      </c>
      <c r="M1418">
        <v>0</v>
      </c>
      <c r="O1418">
        <v>2.0649999999999999</v>
      </c>
      <c r="P1418">
        <v>-7.51</v>
      </c>
      <c r="Q1418">
        <v>3.1760000000000002</v>
      </c>
      <c r="S1418">
        <v>3.0619999999999998</v>
      </c>
      <c r="T1418">
        <v>0</v>
      </c>
      <c r="U1418">
        <v>93.4</v>
      </c>
      <c r="V1418">
        <v>851</v>
      </c>
      <c r="W1418">
        <v>36.14</v>
      </c>
      <c r="Y1418">
        <v>13</v>
      </c>
    </row>
    <row r="1419" spans="1:25" x14ac:dyDescent="0.25">
      <c r="A1419">
        <v>2006</v>
      </c>
      <c r="B1419">
        <v>359</v>
      </c>
      <c r="C1419">
        <v>100</v>
      </c>
      <c r="D1419">
        <v>-0.52100000000000002</v>
      </c>
      <c r="E1419">
        <v>-3.55</v>
      </c>
      <c r="F1419">
        <v>4.3230000000000004</v>
      </c>
      <c r="G1419">
        <v>4.5599999999999996</v>
      </c>
      <c r="K1419">
        <v>0.628</v>
      </c>
      <c r="L1419">
        <v>217.4</v>
      </c>
      <c r="M1419">
        <v>0</v>
      </c>
      <c r="O1419">
        <v>-11.45</v>
      </c>
      <c r="P1419">
        <v>-10.77</v>
      </c>
      <c r="Q1419">
        <v>3.9990000000000001</v>
      </c>
      <c r="S1419">
        <v>3.4649999999999999</v>
      </c>
      <c r="T1419">
        <v>0</v>
      </c>
      <c r="U1419">
        <v>96.5</v>
      </c>
      <c r="V1419">
        <v>848</v>
      </c>
      <c r="W1419">
        <v>35.94</v>
      </c>
      <c r="Y1419">
        <v>12.88</v>
      </c>
    </row>
    <row r="1420" spans="1:25" x14ac:dyDescent="0.25">
      <c r="A1420">
        <v>2006</v>
      </c>
      <c r="B1420">
        <v>359</v>
      </c>
      <c r="C1420">
        <v>200</v>
      </c>
      <c r="D1420">
        <v>-0.34200000000000003</v>
      </c>
      <c r="E1420">
        <v>-3.5779999999999998</v>
      </c>
      <c r="F1420">
        <v>4.0179999999999998</v>
      </c>
      <c r="G1420">
        <v>4.1479999999999997</v>
      </c>
      <c r="K1420">
        <v>0.63800000000000001</v>
      </c>
      <c r="L1420">
        <v>226.9</v>
      </c>
      <c r="M1420">
        <v>0</v>
      </c>
      <c r="O1420">
        <v>-11.45</v>
      </c>
      <c r="P1420">
        <v>-10.73</v>
      </c>
      <c r="Q1420">
        <v>4</v>
      </c>
      <c r="S1420">
        <v>3.4740000000000002</v>
      </c>
      <c r="T1420">
        <v>0</v>
      </c>
      <c r="U1420">
        <v>98</v>
      </c>
      <c r="V1420">
        <v>848</v>
      </c>
      <c r="W1420">
        <v>35.93</v>
      </c>
      <c r="Y1420">
        <v>12.87</v>
      </c>
    </row>
    <row r="1421" spans="1:25" x14ac:dyDescent="0.25">
      <c r="A1421">
        <v>2006</v>
      </c>
      <c r="B1421">
        <v>359</v>
      </c>
      <c r="C1421">
        <v>300</v>
      </c>
      <c r="D1421">
        <v>-5.6000000000000001E-2</v>
      </c>
      <c r="E1421">
        <v>-3.629</v>
      </c>
      <c r="F1421">
        <v>3.8439999999999999</v>
      </c>
      <c r="G1421">
        <v>3.9870000000000001</v>
      </c>
      <c r="K1421">
        <v>0.60899999999999999</v>
      </c>
      <c r="L1421">
        <v>225.2</v>
      </c>
      <c r="M1421">
        <v>0</v>
      </c>
      <c r="O1421">
        <v>-11.36</v>
      </c>
      <c r="P1421">
        <v>-10.68</v>
      </c>
      <c r="Q1421">
        <v>3.9990000000000001</v>
      </c>
      <c r="S1421">
        <v>3.5259999999999998</v>
      </c>
      <c r="T1421">
        <v>0</v>
      </c>
      <c r="U1421">
        <v>97.8</v>
      </c>
      <c r="V1421">
        <v>847</v>
      </c>
      <c r="W1421">
        <v>35.909999999999997</v>
      </c>
      <c r="Y1421">
        <v>12.87</v>
      </c>
    </row>
    <row r="1422" spans="1:25" x14ac:dyDescent="0.25">
      <c r="A1422">
        <v>2006</v>
      </c>
      <c r="B1422">
        <v>359</v>
      </c>
      <c r="C1422">
        <v>400</v>
      </c>
      <c r="D1422">
        <v>-0.13900000000000001</v>
      </c>
      <c r="E1422">
        <v>-3.419</v>
      </c>
      <c r="F1422">
        <v>3.7109999999999999</v>
      </c>
      <c r="G1422">
        <v>4.0019999999999998</v>
      </c>
      <c r="K1422">
        <v>0.49099999999999999</v>
      </c>
      <c r="L1422">
        <v>220.5</v>
      </c>
      <c r="M1422">
        <v>0</v>
      </c>
      <c r="O1422">
        <v>-11.36</v>
      </c>
      <c r="P1422">
        <v>-10.65</v>
      </c>
      <c r="Q1422">
        <v>4.0019999999999998</v>
      </c>
      <c r="S1422">
        <v>3.5640000000000001</v>
      </c>
      <c r="T1422">
        <v>0</v>
      </c>
      <c r="U1422">
        <v>95.6</v>
      </c>
      <c r="V1422">
        <v>847</v>
      </c>
      <c r="W1422">
        <v>35.9</v>
      </c>
      <c r="Y1422">
        <v>12.87</v>
      </c>
    </row>
    <row r="1423" spans="1:25" x14ac:dyDescent="0.25">
      <c r="A1423">
        <v>2006</v>
      </c>
      <c r="B1423">
        <v>359</v>
      </c>
      <c r="C1423">
        <v>500</v>
      </c>
      <c r="D1423">
        <v>-0.20499999999999999</v>
      </c>
      <c r="E1423">
        <v>-3.1880000000000002</v>
      </c>
      <c r="F1423">
        <v>3.9049999999999998</v>
      </c>
      <c r="G1423">
        <v>4.3369999999999997</v>
      </c>
      <c r="K1423">
        <v>0.33800000000000002</v>
      </c>
      <c r="L1423">
        <v>168.2</v>
      </c>
      <c r="M1423">
        <v>0</v>
      </c>
      <c r="O1423">
        <v>-11.33</v>
      </c>
      <c r="P1423">
        <v>-10.61</v>
      </c>
      <c r="Q1423">
        <v>4.0279999999999996</v>
      </c>
      <c r="S1423">
        <v>3.5739999999999998</v>
      </c>
      <c r="T1423">
        <v>0</v>
      </c>
      <c r="U1423">
        <v>93.5</v>
      </c>
      <c r="V1423">
        <v>847</v>
      </c>
      <c r="W1423">
        <v>35.9</v>
      </c>
      <c r="Y1423">
        <v>12.86</v>
      </c>
    </row>
    <row r="1424" spans="1:25" x14ac:dyDescent="0.25">
      <c r="A1424">
        <v>2006</v>
      </c>
      <c r="B1424">
        <v>359</v>
      </c>
      <c r="C1424">
        <v>600</v>
      </c>
      <c r="D1424">
        <v>-0.27900000000000003</v>
      </c>
      <c r="E1424">
        <v>-3.0190000000000001</v>
      </c>
      <c r="F1424">
        <v>3.8029999999999999</v>
      </c>
      <c r="G1424">
        <v>4.0220000000000002</v>
      </c>
      <c r="K1424">
        <v>0.26600000000000001</v>
      </c>
      <c r="L1424">
        <v>128.30000000000001</v>
      </c>
      <c r="M1424">
        <v>0</v>
      </c>
      <c r="O1424">
        <v>-11.36</v>
      </c>
      <c r="P1424">
        <v>-10.64</v>
      </c>
      <c r="Q1424">
        <v>4.0519999999999996</v>
      </c>
      <c r="S1424">
        <v>3.5739999999999998</v>
      </c>
      <c r="T1424">
        <v>0</v>
      </c>
      <c r="U1424">
        <v>96.7</v>
      </c>
      <c r="V1424">
        <v>847</v>
      </c>
      <c r="W1424">
        <v>35.9</v>
      </c>
      <c r="Y1424">
        <v>12.86</v>
      </c>
    </row>
    <row r="1425" spans="1:25" x14ac:dyDescent="0.25">
      <c r="A1425">
        <v>2006</v>
      </c>
      <c r="B1425">
        <v>359</v>
      </c>
      <c r="C1425">
        <v>700</v>
      </c>
      <c r="D1425">
        <v>-1.4E-2</v>
      </c>
      <c r="E1425">
        <v>-2.048</v>
      </c>
      <c r="F1425">
        <v>4.0119999999999996</v>
      </c>
      <c r="G1425">
        <v>4.3959999999999999</v>
      </c>
      <c r="K1425">
        <v>0.47399999999999998</v>
      </c>
      <c r="L1425">
        <v>130.69999999999999</v>
      </c>
      <c r="M1425">
        <v>0</v>
      </c>
      <c r="O1425">
        <v>-11.36</v>
      </c>
      <c r="P1425">
        <v>-10.63</v>
      </c>
      <c r="Q1425">
        <v>4.0519999999999996</v>
      </c>
      <c r="S1425">
        <v>3.5739999999999998</v>
      </c>
      <c r="T1425">
        <v>0</v>
      </c>
      <c r="U1425">
        <v>94.3</v>
      </c>
      <c r="V1425">
        <v>847</v>
      </c>
      <c r="W1425">
        <v>35.9</v>
      </c>
      <c r="Y1425">
        <v>12.86</v>
      </c>
    </row>
    <row r="1426" spans="1:25" x14ac:dyDescent="0.25">
      <c r="A1426">
        <v>2006</v>
      </c>
      <c r="B1426">
        <v>359</v>
      </c>
      <c r="C1426">
        <v>800</v>
      </c>
      <c r="D1426">
        <v>-2E-3</v>
      </c>
      <c r="E1426">
        <v>-1.508</v>
      </c>
      <c r="F1426">
        <v>4.3540000000000001</v>
      </c>
      <c r="G1426">
        <v>4.7729999999999997</v>
      </c>
      <c r="K1426">
        <v>0.56699999999999995</v>
      </c>
      <c r="L1426">
        <v>171.4</v>
      </c>
      <c r="M1426">
        <v>0</v>
      </c>
      <c r="O1426">
        <v>-11.38</v>
      </c>
      <c r="P1426">
        <v>-10.64</v>
      </c>
      <c r="Q1426">
        <v>4.0650000000000004</v>
      </c>
      <c r="S1426">
        <v>3.5739999999999998</v>
      </c>
      <c r="T1426">
        <v>0</v>
      </c>
      <c r="U1426">
        <v>93.8</v>
      </c>
      <c r="V1426">
        <v>847</v>
      </c>
      <c r="W1426">
        <v>35.869999999999997</v>
      </c>
      <c r="Y1426">
        <v>12.86</v>
      </c>
    </row>
    <row r="1427" spans="1:25" x14ac:dyDescent="0.25">
      <c r="A1427">
        <v>2006</v>
      </c>
      <c r="B1427">
        <v>359</v>
      </c>
      <c r="C1427">
        <v>900</v>
      </c>
      <c r="D1427">
        <v>0.29299999999999998</v>
      </c>
      <c r="E1427">
        <v>-1.9730000000000001</v>
      </c>
      <c r="F1427">
        <v>4.3250000000000002</v>
      </c>
      <c r="G1427">
        <v>4.6509999999999998</v>
      </c>
      <c r="H1427">
        <f>AVERAGE(G1427:G1451)</f>
        <v>5.8026800000000005</v>
      </c>
      <c r="I1427">
        <f>MIN(G1427:G1451)</f>
        <v>4.4489999999999998</v>
      </c>
      <c r="J1427">
        <f>MAX(G1427:G1451)</f>
        <v>6.5739999999999998</v>
      </c>
      <c r="K1427">
        <v>0.79</v>
      </c>
      <c r="L1427">
        <v>203.6</v>
      </c>
      <c r="M1427">
        <v>0</v>
      </c>
      <c r="N1427">
        <f>SUM(M1427:M1451)</f>
        <v>2.2000000000000002</v>
      </c>
      <c r="O1427">
        <v>-10.56</v>
      </c>
      <c r="P1427">
        <v>-10.37</v>
      </c>
      <c r="Q1427">
        <v>4.1050000000000004</v>
      </c>
      <c r="S1427">
        <v>3.5750000000000002</v>
      </c>
      <c r="T1427">
        <v>0</v>
      </c>
      <c r="U1427">
        <v>95.2</v>
      </c>
      <c r="V1427">
        <v>847</v>
      </c>
      <c r="W1427">
        <v>35.86</v>
      </c>
      <c r="Y1427">
        <v>12.86</v>
      </c>
    </row>
    <row r="1428" spans="1:25" x14ac:dyDescent="0.25">
      <c r="A1428">
        <v>2006</v>
      </c>
      <c r="B1428">
        <v>359</v>
      </c>
      <c r="C1428">
        <v>1000</v>
      </c>
      <c r="D1428">
        <v>3.915</v>
      </c>
      <c r="E1428">
        <v>0.64100000000000001</v>
      </c>
      <c r="F1428">
        <v>4.1219999999999999</v>
      </c>
      <c r="G1428">
        <v>4.4489999999999998</v>
      </c>
      <c r="K1428">
        <v>0.248</v>
      </c>
      <c r="L1428">
        <v>222.6</v>
      </c>
      <c r="M1428">
        <v>0</v>
      </c>
      <c r="O1428">
        <v>-5.1210000000000004</v>
      </c>
      <c r="P1428">
        <v>-9.23</v>
      </c>
      <c r="Q1428">
        <v>4.1050000000000004</v>
      </c>
      <c r="S1428">
        <v>3.62</v>
      </c>
      <c r="T1428">
        <v>0</v>
      </c>
      <c r="U1428">
        <v>95.1</v>
      </c>
      <c r="V1428">
        <v>847</v>
      </c>
      <c r="W1428">
        <v>35.86</v>
      </c>
      <c r="Y1428">
        <v>12.86</v>
      </c>
    </row>
    <row r="1429" spans="1:25" x14ac:dyDescent="0.25">
      <c r="A1429">
        <v>2006</v>
      </c>
      <c r="B1429">
        <v>359</v>
      </c>
      <c r="C1429">
        <v>1100</v>
      </c>
      <c r="D1429">
        <v>12.49</v>
      </c>
      <c r="E1429">
        <v>4.4580000000000002</v>
      </c>
      <c r="F1429">
        <v>4.2489999999999997</v>
      </c>
      <c r="G1429">
        <v>4.4909999999999997</v>
      </c>
      <c r="K1429">
        <v>0.50700000000000001</v>
      </c>
      <c r="L1429">
        <v>128.1</v>
      </c>
      <c r="M1429">
        <v>0</v>
      </c>
      <c r="O1429">
        <v>6.5229999999999997</v>
      </c>
      <c r="P1429">
        <v>-6.468</v>
      </c>
      <c r="Q1429">
        <v>4.1440000000000001</v>
      </c>
      <c r="S1429">
        <v>3.6709999999999998</v>
      </c>
      <c r="T1429">
        <v>0</v>
      </c>
      <c r="U1429">
        <v>96.4</v>
      </c>
      <c r="V1429">
        <v>847</v>
      </c>
      <c r="W1429">
        <v>35.89</v>
      </c>
      <c r="Y1429">
        <v>12.86</v>
      </c>
    </row>
    <row r="1430" spans="1:25" x14ac:dyDescent="0.25">
      <c r="A1430">
        <v>2006</v>
      </c>
      <c r="B1430">
        <v>359</v>
      </c>
      <c r="C1430">
        <v>1200</v>
      </c>
      <c r="D1430">
        <v>64.09</v>
      </c>
      <c r="E1430">
        <v>35.78</v>
      </c>
      <c r="F1430">
        <v>5.1859999999999999</v>
      </c>
      <c r="G1430">
        <v>5.452</v>
      </c>
      <c r="K1430">
        <v>1.3580000000000001</v>
      </c>
      <c r="L1430">
        <v>118.8</v>
      </c>
      <c r="M1430">
        <v>0</v>
      </c>
      <c r="O1430">
        <v>68.14</v>
      </c>
      <c r="P1430">
        <v>7.47</v>
      </c>
      <c r="Q1430">
        <v>4.1950000000000003</v>
      </c>
      <c r="S1430">
        <v>3.6819999999999999</v>
      </c>
      <c r="T1430">
        <v>0</v>
      </c>
      <c r="U1430">
        <v>96.2</v>
      </c>
      <c r="V1430">
        <v>847</v>
      </c>
      <c r="W1430">
        <v>35.89</v>
      </c>
      <c r="Y1430">
        <v>13.09</v>
      </c>
    </row>
    <row r="1431" spans="1:25" x14ac:dyDescent="0.25">
      <c r="A1431">
        <v>2006</v>
      </c>
      <c r="B1431">
        <v>359</v>
      </c>
      <c r="C1431">
        <v>1300</v>
      </c>
      <c r="D1431">
        <v>85.4</v>
      </c>
      <c r="E1431">
        <v>46.85</v>
      </c>
      <c r="F1431">
        <v>6.149</v>
      </c>
      <c r="G1431">
        <v>6.5739999999999998</v>
      </c>
      <c r="K1431">
        <v>0.81799999999999995</v>
      </c>
      <c r="L1431">
        <v>153.9</v>
      </c>
      <c r="M1431">
        <v>0</v>
      </c>
      <c r="O1431">
        <v>93</v>
      </c>
      <c r="P1431">
        <v>13.86</v>
      </c>
      <c r="Q1431">
        <v>4.3010000000000002</v>
      </c>
      <c r="S1431">
        <v>3.7149999999999999</v>
      </c>
      <c r="T1431">
        <v>0</v>
      </c>
      <c r="U1431">
        <v>94.2</v>
      </c>
      <c r="V1431">
        <v>847</v>
      </c>
      <c r="W1431">
        <v>35.9</v>
      </c>
      <c r="Y1431">
        <v>13.45</v>
      </c>
    </row>
    <row r="1432" spans="1:25" x14ac:dyDescent="0.25">
      <c r="A1432">
        <v>2006</v>
      </c>
      <c r="B1432">
        <v>359</v>
      </c>
      <c r="C1432">
        <v>1400</v>
      </c>
      <c r="D1432">
        <v>67.709999999999994</v>
      </c>
      <c r="E1432">
        <v>35.270000000000003</v>
      </c>
      <c r="F1432">
        <v>6.0410000000000004</v>
      </c>
      <c r="G1432">
        <v>6.2619999999999996</v>
      </c>
      <c r="K1432">
        <v>1.2430000000000001</v>
      </c>
      <c r="L1432">
        <v>102.2</v>
      </c>
      <c r="M1432">
        <v>0</v>
      </c>
      <c r="O1432">
        <v>71.599999999999994</v>
      </c>
      <c r="P1432">
        <v>9.33</v>
      </c>
      <c r="Q1432">
        <v>4.4240000000000004</v>
      </c>
      <c r="S1432">
        <v>3.6960000000000002</v>
      </c>
      <c r="T1432">
        <v>0</v>
      </c>
      <c r="U1432">
        <v>96.9</v>
      </c>
      <c r="V1432">
        <v>846</v>
      </c>
      <c r="W1432">
        <v>35.86</v>
      </c>
      <c r="Y1432">
        <v>13.44</v>
      </c>
    </row>
    <row r="1433" spans="1:25" x14ac:dyDescent="0.25">
      <c r="A1433">
        <v>2006</v>
      </c>
      <c r="B1433">
        <v>359</v>
      </c>
      <c r="C1433">
        <v>1500</v>
      </c>
      <c r="D1433">
        <v>32.07</v>
      </c>
      <c r="E1433">
        <v>13.43</v>
      </c>
      <c r="F1433">
        <v>6.1310000000000002</v>
      </c>
      <c r="G1433">
        <v>6.3940000000000001</v>
      </c>
      <c r="K1433">
        <v>0.99399999999999999</v>
      </c>
      <c r="L1433">
        <v>110.5</v>
      </c>
      <c r="M1433">
        <v>0</v>
      </c>
      <c r="O1433">
        <v>27.61</v>
      </c>
      <c r="P1433">
        <v>-1.145</v>
      </c>
      <c r="Q1433">
        <v>4.5839999999999996</v>
      </c>
      <c r="S1433">
        <v>3.7080000000000002</v>
      </c>
      <c r="T1433">
        <v>0</v>
      </c>
      <c r="U1433">
        <v>96.3</v>
      </c>
      <c r="V1433">
        <v>846</v>
      </c>
      <c r="W1433">
        <v>35.840000000000003</v>
      </c>
      <c r="Y1433">
        <v>13.31</v>
      </c>
    </row>
    <row r="1434" spans="1:25" x14ac:dyDescent="0.25">
      <c r="A1434">
        <v>2006</v>
      </c>
      <c r="B1434">
        <v>359</v>
      </c>
      <c r="C1434">
        <v>1600</v>
      </c>
      <c r="D1434">
        <v>5.2670000000000003</v>
      </c>
      <c r="E1434">
        <v>-1.2989999999999999</v>
      </c>
      <c r="F1434">
        <v>6.1070000000000002</v>
      </c>
      <c r="G1434">
        <v>6.3419999999999996</v>
      </c>
      <c r="K1434">
        <v>0.94599999999999995</v>
      </c>
      <c r="L1434">
        <v>109.4</v>
      </c>
      <c r="M1434">
        <v>0</v>
      </c>
      <c r="O1434">
        <v>-3.5720000000000001</v>
      </c>
      <c r="P1434">
        <v>-8.82</v>
      </c>
      <c r="Q1434">
        <v>4.6909999999999998</v>
      </c>
      <c r="S1434">
        <v>3.7890000000000001</v>
      </c>
      <c r="T1434">
        <v>0</v>
      </c>
      <c r="U1434">
        <v>96.7</v>
      </c>
      <c r="V1434">
        <v>846</v>
      </c>
      <c r="W1434">
        <v>35.83</v>
      </c>
      <c r="Y1434">
        <v>13.19</v>
      </c>
    </row>
    <row r="1435" spans="1:25" x14ac:dyDescent="0.25">
      <c r="A1435">
        <v>2006</v>
      </c>
      <c r="B1435">
        <v>359</v>
      </c>
      <c r="C1435">
        <v>1700</v>
      </c>
      <c r="D1435">
        <v>-0.26900000000000002</v>
      </c>
      <c r="E1435">
        <v>-5.0469999999999997</v>
      </c>
      <c r="F1435">
        <v>5.9859999999999998</v>
      </c>
      <c r="G1435">
        <v>6.1680000000000001</v>
      </c>
      <c r="K1435">
        <v>1.0880000000000001</v>
      </c>
      <c r="L1435">
        <v>119.4</v>
      </c>
      <c r="M1435">
        <v>0</v>
      </c>
      <c r="O1435">
        <v>-10.91</v>
      </c>
      <c r="P1435">
        <v>-10.61</v>
      </c>
      <c r="Q1435">
        <v>4.7489999999999997</v>
      </c>
      <c r="S1435">
        <v>3.8</v>
      </c>
      <c r="T1435">
        <v>0</v>
      </c>
      <c r="U1435">
        <v>97.5</v>
      </c>
      <c r="V1435">
        <v>847</v>
      </c>
      <c r="W1435">
        <v>35.869999999999997</v>
      </c>
      <c r="Y1435">
        <v>13.11</v>
      </c>
    </row>
    <row r="1436" spans="1:25" x14ac:dyDescent="0.25">
      <c r="A1436">
        <v>2006</v>
      </c>
      <c r="B1436">
        <v>359</v>
      </c>
      <c r="C1436">
        <v>1800</v>
      </c>
      <c r="D1436">
        <v>-0.57299999999999995</v>
      </c>
      <c r="E1436">
        <v>-4.7539999999999996</v>
      </c>
      <c r="F1436">
        <v>5.89</v>
      </c>
      <c r="G1436">
        <v>6.0279999999999996</v>
      </c>
      <c r="K1436">
        <v>0.88300000000000001</v>
      </c>
      <c r="L1436">
        <v>123</v>
      </c>
      <c r="M1436">
        <v>0</v>
      </c>
      <c r="O1436">
        <v>-11.5</v>
      </c>
      <c r="P1436">
        <v>-10.84</v>
      </c>
      <c r="Q1436">
        <v>4.7530000000000001</v>
      </c>
      <c r="S1436">
        <v>3.8530000000000002</v>
      </c>
      <c r="T1436">
        <v>0</v>
      </c>
      <c r="U1436">
        <v>98.1</v>
      </c>
      <c r="V1436">
        <v>846</v>
      </c>
      <c r="W1436">
        <v>35.85</v>
      </c>
      <c r="Y1436">
        <v>13.05</v>
      </c>
    </row>
    <row r="1437" spans="1:25" x14ac:dyDescent="0.25">
      <c r="A1437">
        <v>2006</v>
      </c>
      <c r="B1437">
        <v>359</v>
      </c>
      <c r="C1437">
        <v>1900</v>
      </c>
      <c r="D1437">
        <v>-0.57299999999999995</v>
      </c>
      <c r="E1437">
        <v>-3.6459999999999999</v>
      </c>
      <c r="F1437">
        <v>5.6630000000000003</v>
      </c>
      <c r="G1437">
        <v>5.6870000000000003</v>
      </c>
      <c r="K1437">
        <v>0.80600000000000005</v>
      </c>
      <c r="L1437">
        <v>111.8</v>
      </c>
      <c r="M1437">
        <v>0</v>
      </c>
      <c r="O1437">
        <v>-11.5</v>
      </c>
      <c r="P1437">
        <v>-10.84</v>
      </c>
      <c r="Q1437">
        <v>4.7949999999999999</v>
      </c>
      <c r="S1437">
        <v>3.9089999999999998</v>
      </c>
      <c r="T1437">
        <v>0</v>
      </c>
      <c r="U1437">
        <v>99.7</v>
      </c>
      <c r="V1437">
        <v>851</v>
      </c>
      <c r="W1437">
        <v>36.159999999999997</v>
      </c>
      <c r="Y1437">
        <v>13.01</v>
      </c>
    </row>
    <row r="1438" spans="1:25" x14ac:dyDescent="0.25">
      <c r="A1438">
        <v>2006</v>
      </c>
      <c r="B1438">
        <v>359</v>
      </c>
      <c r="C1438">
        <v>2000</v>
      </c>
      <c r="D1438">
        <v>-0.51300000000000001</v>
      </c>
      <c r="E1438">
        <v>-1.7869999999999999</v>
      </c>
      <c r="F1438">
        <v>5.6130000000000004</v>
      </c>
      <c r="G1438">
        <v>5.6890000000000001</v>
      </c>
      <c r="K1438">
        <v>0.52800000000000002</v>
      </c>
      <c r="L1438">
        <v>126.7</v>
      </c>
      <c r="M1438">
        <v>0</v>
      </c>
      <c r="O1438">
        <v>-11.5</v>
      </c>
      <c r="P1438">
        <v>-10.85</v>
      </c>
      <c r="Q1438">
        <v>4.819</v>
      </c>
      <c r="S1438">
        <v>3.927</v>
      </c>
      <c r="T1438">
        <v>0</v>
      </c>
      <c r="U1438">
        <v>98.9</v>
      </c>
      <c r="V1438">
        <v>868</v>
      </c>
      <c r="W1438">
        <v>37.229999999999997</v>
      </c>
      <c r="Y1438">
        <v>12.97</v>
      </c>
    </row>
    <row r="1439" spans="1:25" x14ac:dyDescent="0.25">
      <c r="A1439">
        <v>2006</v>
      </c>
      <c r="B1439">
        <v>359</v>
      </c>
      <c r="C1439">
        <v>2100</v>
      </c>
      <c r="D1439">
        <v>-0.51300000000000001</v>
      </c>
      <c r="E1439">
        <v>-2.016</v>
      </c>
      <c r="F1439">
        <v>5.7560000000000002</v>
      </c>
      <c r="G1439">
        <v>5.915</v>
      </c>
      <c r="K1439">
        <v>0.59099999999999997</v>
      </c>
      <c r="L1439">
        <v>115.6</v>
      </c>
      <c r="M1439">
        <v>0</v>
      </c>
      <c r="O1439">
        <v>-11.5</v>
      </c>
      <c r="P1439">
        <v>-10.82</v>
      </c>
      <c r="Q1439">
        <v>4.8390000000000004</v>
      </c>
      <c r="S1439">
        <v>3.968</v>
      </c>
      <c r="T1439">
        <v>0</v>
      </c>
      <c r="U1439">
        <v>97.7</v>
      </c>
      <c r="V1439">
        <v>866</v>
      </c>
      <c r="W1439">
        <v>37.049999999999997</v>
      </c>
      <c r="Y1439">
        <v>12.95</v>
      </c>
    </row>
    <row r="1440" spans="1:25" x14ac:dyDescent="0.25">
      <c r="A1440">
        <v>2006</v>
      </c>
      <c r="B1440">
        <v>359</v>
      </c>
      <c r="C1440">
        <v>2200</v>
      </c>
      <c r="D1440">
        <v>-0.57299999999999995</v>
      </c>
      <c r="E1440">
        <v>-2.7069999999999999</v>
      </c>
      <c r="F1440">
        <v>5.742</v>
      </c>
      <c r="G1440">
        <v>5.9649999999999999</v>
      </c>
      <c r="K1440">
        <v>0.48299999999999998</v>
      </c>
      <c r="L1440">
        <v>130.80000000000001</v>
      </c>
      <c r="M1440">
        <v>0</v>
      </c>
      <c r="O1440">
        <v>-11.5</v>
      </c>
      <c r="P1440">
        <v>-10.83</v>
      </c>
      <c r="Q1440">
        <v>4.8369999999999997</v>
      </c>
      <c r="S1440">
        <v>4.04</v>
      </c>
      <c r="T1440">
        <v>0</v>
      </c>
      <c r="U1440">
        <v>96.9</v>
      </c>
      <c r="V1440">
        <v>856</v>
      </c>
      <c r="W1440">
        <v>36.46</v>
      </c>
      <c r="Y1440">
        <v>12.92</v>
      </c>
    </row>
    <row r="1441" spans="1:25" x14ac:dyDescent="0.25">
      <c r="A1441">
        <v>2006</v>
      </c>
      <c r="B1441">
        <v>359</v>
      </c>
      <c r="C1441">
        <v>2300</v>
      </c>
      <c r="D1441">
        <v>-0.56999999999999995</v>
      </c>
      <c r="E1441">
        <v>-2.0139999999999998</v>
      </c>
      <c r="F1441">
        <v>5.7869999999999999</v>
      </c>
      <c r="G1441">
        <v>5.976</v>
      </c>
      <c r="K1441">
        <v>0.41499999999999998</v>
      </c>
      <c r="L1441">
        <v>125.1</v>
      </c>
      <c r="M1441">
        <v>0.2</v>
      </c>
      <c r="O1441">
        <v>-11.5</v>
      </c>
      <c r="P1441">
        <v>-10.83</v>
      </c>
      <c r="Q1441">
        <v>4.8360000000000003</v>
      </c>
      <c r="S1441">
        <v>4.048</v>
      </c>
      <c r="T1441">
        <v>0</v>
      </c>
      <c r="U1441">
        <v>97.3</v>
      </c>
      <c r="V1441">
        <v>856</v>
      </c>
      <c r="W1441">
        <v>36.46</v>
      </c>
      <c r="Y1441">
        <v>12.91</v>
      </c>
    </row>
    <row r="1442" spans="1:25" x14ac:dyDescent="0.25">
      <c r="A1442">
        <v>2006</v>
      </c>
      <c r="B1442">
        <v>359</v>
      </c>
      <c r="C1442">
        <v>2400</v>
      </c>
      <c r="D1442">
        <v>-0.43099999999999999</v>
      </c>
      <c r="E1442">
        <v>-1.385</v>
      </c>
      <c r="F1442">
        <v>5.4779999999999998</v>
      </c>
      <c r="G1442">
        <v>5.6390000000000002</v>
      </c>
      <c r="K1442">
        <v>0.151</v>
      </c>
      <c r="L1442">
        <v>137.30000000000001</v>
      </c>
      <c r="M1442">
        <v>0.2</v>
      </c>
      <c r="O1442">
        <v>-11.5</v>
      </c>
      <c r="P1442">
        <v>-10.83</v>
      </c>
      <c r="Q1442">
        <v>4.8499999999999996</v>
      </c>
      <c r="S1442">
        <v>4.0410000000000004</v>
      </c>
      <c r="T1442">
        <v>0</v>
      </c>
      <c r="U1442">
        <v>97.7</v>
      </c>
      <c r="V1442">
        <v>853</v>
      </c>
      <c r="W1442">
        <v>36.25</v>
      </c>
      <c r="Y1442">
        <v>12.89</v>
      </c>
    </row>
    <row r="1443" spans="1:25" x14ac:dyDescent="0.25">
      <c r="A1443">
        <v>2006</v>
      </c>
      <c r="B1443">
        <v>359</v>
      </c>
      <c r="C1443">
        <v>2400</v>
      </c>
      <c r="D1443">
        <v>11.07</v>
      </c>
      <c r="E1443">
        <v>3.577</v>
      </c>
      <c r="F1443">
        <v>5.008</v>
      </c>
      <c r="G1443">
        <v>5.2460000000000004</v>
      </c>
      <c r="K1443">
        <v>0.66100000000000003</v>
      </c>
      <c r="L1443">
        <v>146</v>
      </c>
      <c r="M1443">
        <v>0.4</v>
      </c>
      <c r="O1443">
        <v>2.714</v>
      </c>
      <c r="P1443">
        <v>-7.38</v>
      </c>
      <c r="Q1443">
        <v>4.3840000000000003</v>
      </c>
      <c r="S1443">
        <v>3.7240000000000002</v>
      </c>
      <c r="T1443">
        <v>0</v>
      </c>
      <c r="U1443">
        <v>96.5</v>
      </c>
      <c r="V1443">
        <v>850</v>
      </c>
      <c r="W1443">
        <v>36.06</v>
      </c>
      <c r="Y1443">
        <v>12.99</v>
      </c>
    </row>
    <row r="1444" spans="1:25" x14ac:dyDescent="0.25">
      <c r="A1444">
        <v>2006</v>
      </c>
      <c r="B1444">
        <v>360</v>
      </c>
      <c r="C1444">
        <v>100</v>
      </c>
      <c r="D1444">
        <v>-0.03</v>
      </c>
      <c r="E1444">
        <v>-0.35599999999999998</v>
      </c>
      <c r="F1444">
        <v>5.2460000000000004</v>
      </c>
      <c r="G1444">
        <v>5.3819999999999997</v>
      </c>
      <c r="K1444">
        <v>3.9E-2</v>
      </c>
      <c r="L1444">
        <v>132.80000000000001</v>
      </c>
      <c r="M1444">
        <v>0.4</v>
      </c>
      <c r="O1444">
        <v>-11.5</v>
      </c>
      <c r="P1444">
        <v>-10.83</v>
      </c>
      <c r="Q1444">
        <v>4.8920000000000003</v>
      </c>
      <c r="S1444">
        <v>4.0640000000000001</v>
      </c>
      <c r="T1444">
        <v>0</v>
      </c>
      <c r="U1444">
        <v>98</v>
      </c>
      <c r="V1444">
        <v>852</v>
      </c>
      <c r="W1444">
        <v>36.200000000000003</v>
      </c>
      <c r="Y1444">
        <v>12.88</v>
      </c>
    </row>
    <row r="1445" spans="1:25" x14ac:dyDescent="0.25">
      <c r="A1445">
        <v>2006</v>
      </c>
      <c r="B1445">
        <v>360</v>
      </c>
      <c r="C1445">
        <v>200</v>
      </c>
      <c r="D1445">
        <v>0</v>
      </c>
      <c r="E1445">
        <v>3.2000000000000001E-2</v>
      </c>
      <c r="F1445">
        <v>5.5049999999999999</v>
      </c>
      <c r="G1445">
        <v>5.6369999999999996</v>
      </c>
      <c r="K1445">
        <v>0.312</v>
      </c>
      <c r="L1445">
        <v>104.6</v>
      </c>
      <c r="M1445">
        <v>0.4</v>
      </c>
      <c r="O1445">
        <v>-11.49</v>
      </c>
      <c r="P1445">
        <v>-10.81</v>
      </c>
      <c r="Q1445">
        <v>4.9059999999999997</v>
      </c>
      <c r="S1445">
        <v>4.0759999999999996</v>
      </c>
      <c r="T1445">
        <v>0</v>
      </c>
      <c r="U1445">
        <v>98.1</v>
      </c>
      <c r="V1445">
        <v>854</v>
      </c>
      <c r="W1445">
        <v>36.33</v>
      </c>
      <c r="Y1445">
        <v>12.88</v>
      </c>
    </row>
    <row r="1446" spans="1:25" x14ac:dyDescent="0.25">
      <c r="A1446">
        <v>2006</v>
      </c>
      <c r="B1446">
        <v>360</v>
      </c>
      <c r="C1446">
        <v>300</v>
      </c>
      <c r="D1446">
        <v>-0.13200000000000001</v>
      </c>
      <c r="E1446">
        <v>-0.59399999999999997</v>
      </c>
      <c r="F1446">
        <v>5.952</v>
      </c>
      <c r="G1446">
        <v>6.1319999999999997</v>
      </c>
      <c r="K1446">
        <v>1.175</v>
      </c>
      <c r="L1446">
        <v>111.2</v>
      </c>
      <c r="M1446">
        <v>0.2</v>
      </c>
      <c r="O1446">
        <v>-11.5</v>
      </c>
      <c r="P1446">
        <v>-10.81</v>
      </c>
      <c r="Q1446">
        <v>4.9080000000000004</v>
      </c>
      <c r="S1446">
        <v>4.1369999999999996</v>
      </c>
      <c r="T1446">
        <v>0</v>
      </c>
      <c r="U1446">
        <v>97.5</v>
      </c>
      <c r="V1446">
        <v>857</v>
      </c>
      <c r="W1446">
        <v>36.51</v>
      </c>
      <c r="Y1446">
        <v>12.87</v>
      </c>
    </row>
    <row r="1447" spans="1:25" x14ac:dyDescent="0.25">
      <c r="A1447">
        <v>2006</v>
      </c>
      <c r="B1447">
        <v>360</v>
      </c>
      <c r="C1447">
        <v>400</v>
      </c>
      <c r="D1447">
        <v>-0.45700000000000002</v>
      </c>
      <c r="E1447">
        <v>-1.397</v>
      </c>
      <c r="F1447">
        <v>6.0149999999999997</v>
      </c>
      <c r="G1447">
        <v>6.2359999999999998</v>
      </c>
      <c r="K1447">
        <v>1.786</v>
      </c>
      <c r="L1447">
        <v>109.3</v>
      </c>
      <c r="M1447">
        <v>0.2</v>
      </c>
      <c r="O1447">
        <v>-11.5</v>
      </c>
      <c r="P1447">
        <v>-10.84</v>
      </c>
      <c r="Q1447">
        <v>4.9279999999999999</v>
      </c>
      <c r="S1447">
        <v>4.1470000000000002</v>
      </c>
      <c r="T1447">
        <v>0</v>
      </c>
      <c r="U1447">
        <v>96.9</v>
      </c>
      <c r="V1447">
        <v>863</v>
      </c>
      <c r="W1447">
        <v>36.85</v>
      </c>
      <c r="Y1447">
        <v>12.87</v>
      </c>
    </row>
    <row r="1448" spans="1:25" x14ac:dyDescent="0.25">
      <c r="A1448">
        <v>2006</v>
      </c>
      <c r="B1448">
        <v>360</v>
      </c>
      <c r="C1448">
        <v>500</v>
      </c>
      <c r="D1448">
        <v>-0.39600000000000002</v>
      </c>
      <c r="E1448">
        <v>-2.3849999999999998</v>
      </c>
      <c r="F1448">
        <v>5.8730000000000002</v>
      </c>
      <c r="G1448">
        <v>6.0780000000000003</v>
      </c>
      <c r="K1448">
        <v>1.877</v>
      </c>
      <c r="L1448">
        <v>107</v>
      </c>
      <c r="M1448">
        <v>0</v>
      </c>
      <c r="O1448">
        <v>-11.5</v>
      </c>
      <c r="P1448">
        <v>-10.83</v>
      </c>
      <c r="Q1448">
        <v>4.9509999999999996</v>
      </c>
      <c r="S1448">
        <v>4.133</v>
      </c>
      <c r="T1448">
        <v>0</v>
      </c>
      <c r="U1448">
        <v>97.1</v>
      </c>
      <c r="V1448">
        <v>862</v>
      </c>
      <c r="W1448">
        <v>36.85</v>
      </c>
      <c r="Y1448">
        <v>12.87</v>
      </c>
    </row>
    <row r="1449" spans="1:25" x14ac:dyDescent="0.25">
      <c r="A1449">
        <v>2006</v>
      </c>
      <c r="B1449">
        <v>360</v>
      </c>
      <c r="C1449">
        <v>600</v>
      </c>
      <c r="D1449">
        <v>-0.57299999999999995</v>
      </c>
      <c r="E1449">
        <v>-3.8860000000000001</v>
      </c>
      <c r="F1449">
        <v>5.8979999999999997</v>
      </c>
      <c r="G1449">
        <v>6.2460000000000004</v>
      </c>
      <c r="K1449">
        <v>1.6950000000000001</v>
      </c>
      <c r="L1449">
        <v>113.2</v>
      </c>
      <c r="M1449">
        <v>0.2</v>
      </c>
      <c r="O1449">
        <v>-11.5</v>
      </c>
      <c r="P1449">
        <v>-10.84</v>
      </c>
      <c r="Q1449">
        <v>4.9660000000000002</v>
      </c>
      <c r="S1449">
        <v>4.1269999999999998</v>
      </c>
      <c r="T1449">
        <v>0</v>
      </c>
      <c r="U1449">
        <v>95.2</v>
      </c>
      <c r="V1449">
        <v>860</v>
      </c>
      <c r="W1449">
        <v>36.72</v>
      </c>
      <c r="Y1449">
        <v>12.86</v>
      </c>
    </row>
    <row r="1450" spans="1:25" x14ac:dyDescent="0.25">
      <c r="A1450">
        <v>2006</v>
      </c>
      <c r="B1450">
        <v>360</v>
      </c>
      <c r="C1450">
        <v>700</v>
      </c>
      <c r="D1450">
        <v>-0.57299999999999995</v>
      </c>
      <c r="E1450">
        <v>-3.9220000000000002</v>
      </c>
      <c r="F1450">
        <v>5.8419999999999996</v>
      </c>
      <c r="G1450">
        <v>6.2439999999999998</v>
      </c>
      <c r="K1450">
        <v>1.84</v>
      </c>
      <c r="L1450">
        <v>112.1</v>
      </c>
      <c r="M1450">
        <v>0</v>
      </c>
      <c r="O1450">
        <v>-11.5</v>
      </c>
      <c r="P1450">
        <v>-10.83</v>
      </c>
      <c r="Q1450">
        <v>5.0140000000000002</v>
      </c>
      <c r="S1450">
        <v>4.1420000000000003</v>
      </c>
      <c r="T1450">
        <v>0</v>
      </c>
      <c r="U1450">
        <v>94.4</v>
      </c>
      <c r="V1450">
        <v>864</v>
      </c>
      <c r="W1450">
        <v>36.950000000000003</v>
      </c>
      <c r="Y1450">
        <v>12.86</v>
      </c>
    </row>
    <row r="1451" spans="1:25" x14ac:dyDescent="0.25">
      <c r="A1451">
        <v>2006</v>
      </c>
      <c r="B1451">
        <v>360</v>
      </c>
      <c r="C1451">
        <v>800</v>
      </c>
      <c r="D1451">
        <v>-0.57299999999999995</v>
      </c>
      <c r="E1451">
        <v>-4.7039999999999997</v>
      </c>
      <c r="F1451">
        <v>5.758</v>
      </c>
      <c r="G1451">
        <v>6.1840000000000002</v>
      </c>
      <c r="K1451">
        <v>1.538</v>
      </c>
      <c r="L1451">
        <v>112.4</v>
      </c>
      <c r="M1451">
        <v>0</v>
      </c>
      <c r="O1451">
        <v>-11.5</v>
      </c>
      <c r="P1451">
        <v>-10.83</v>
      </c>
      <c r="Q1451">
        <v>5.0209999999999999</v>
      </c>
      <c r="S1451">
        <v>4.2089999999999996</v>
      </c>
      <c r="T1451">
        <v>0</v>
      </c>
      <c r="U1451">
        <v>94.1</v>
      </c>
      <c r="V1451">
        <v>863</v>
      </c>
      <c r="W1451">
        <v>36.869999999999997</v>
      </c>
      <c r="Y1451">
        <v>12.86</v>
      </c>
    </row>
    <row r="1452" spans="1:25" x14ac:dyDescent="0.25">
      <c r="A1452">
        <v>2006</v>
      </c>
      <c r="B1452">
        <v>360</v>
      </c>
      <c r="C1452">
        <v>900</v>
      </c>
      <c r="D1452">
        <v>-0.26900000000000002</v>
      </c>
      <c r="E1452">
        <v>-3.2709999999999999</v>
      </c>
      <c r="F1452">
        <v>5.6609999999999996</v>
      </c>
      <c r="G1452">
        <v>5.9829999999999997</v>
      </c>
      <c r="H1452">
        <f>AVERAGE(G1452:G1476)</f>
        <v>6.57104</v>
      </c>
      <c r="I1452">
        <f>MIN(G1452:G1476)</f>
        <v>5.9459999999999997</v>
      </c>
      <c r="J1452">
        <f>MAX(G1452:G1476)</f>
        <v>7.3</v>
      </c>
      <c r="K1452">
        <v>1.347</v>
      </c>
      <c r="L1452">
        <v>108.4</v>
      </c>
      <c r="M1452">
        <v>0.2</v>
      </c>
      <c r="N1452">
        <f>SUM(M1452:M1476)</f>
        <v>3.2</v>
      </c>
      <c r="O1452">
        <v>-10.89</v>
      </c>
      <c r="P1452">
        <v>-10.62</v>
      </c>
      <c r="Q1452">
        <v>5.0620000000000003</v>
      </c>
      <c r="S1452">
        <v>4.2359999999999998</v>
      </c>
      <c r="T1452">
        <v>0</v>
      </c>
      <c r="U1452">
        <v>95.5</v>
      </c>
      <c r="V1452">
        <v>868</v>
      </c>
      <c r="W1452">
        <v>37.25</v>
      </c>
      <c r="Y1452">
        <v>12.86</v>
      </c>
    </row>
    <row r="1453" spans="1:25" x14ac:dyDescent="0.25">
      <c r="A1453">
        <v>2006</v>
      </c>
      <c r="B1453">
        <v>360</v>
      </c>
      <c r="C1453">
        <v>1000</v>
      </c>
      <c r="D1453">
        <v>2.3679999999999999</v>
      </c>
      <c r="E1453">
        <v>-0.67300000000000004</v>
      </c>
      <c r="F1453">
        <v>5.6559999999999997</v>
      </c>
      <c r="G1453">
        <v>5.9580000000000002</v>
      </c>
      <c r="K1453">
        <v>2.1160000000000001</v>
      </c>
      <c r="L1453">
        <v>108.5</v>
      </c>
      <c r="M1453">
        <v>0.2</v>
      </c>
      <c r="O1453">
        <v>-7.56</v>
      </c>
      <c r="P1453">
        <v>-9.91</v>
      </c>
      <c r="Q1453">
        <v>5.0750000000000002</v>
      </c>
      <c r="S1453">
        <v>4.242</v>
      </c>
      <c r="T1453">
        <v>0</v>
      </c>
      <c r="U1453">
        <v>95.8</v>
      </c>
      <c r="V1453">
        <v>885</v>
      </c>
      <c r="W1453">
        <v>38.380000000000003</v>
      </c>
      <c r="Y1453">
        <v>12.86</v>
      </c>
    </row>
    <row r="1454" spans="1:25" x14ac:dyDescent="0.25">
      <c r="A1454">
        <v>2006</v>
      </c>
      <c r="B1454">
        <v>360</v>
      </c>
      <c r="C1454">
        <v>1100</v>
      </c>
      <c r="D1454">
        <v>8.83</v>
      </c>
      <c r="E1454">
        <v>2.5270000000000001</v>
      </c>
      <c r="F1454">
        <v>5.5410000000000004</v>
      </c>
      <c r="G1454">
        <v>5.9459999999999997</v>
      </c>
      <c r="K1454">
        <v>2.3130000000000002</v>
      </c>
      <c r="L1454">
        <v>111.9</v>
      </c>
      <c r="M1454">
        <v>0</v>
      </c>
      <c r="O1454">
        <v>0.21099999999999999</v>
      </c>
      <c r="P1454">
        <v>-8.06</v>
      </c>
      <c r="Q1454">
        <v>5.0970000000000004</v>
      </c>
      <c r="S1454">
        <v>4.2539999999999996</v>
      </c>
      <c r="T1454">
        <v>0</v>
      </c>
      <c r="U1454">
        <v>94.3</v>
      </c>
      <c r="V1454">
        <v>884</v>
      </c>
      <c r="W1454">
        <v>38.29</v>
      </c>
      <c r="Y1454">
        <v>12.86</v>
      </c>
    </row>
    <row r="1455" spans="1:25" x14ac:dyDescent="0.25">
      <c r="A1455">
        <v>2006</v>
      </c>
      <c r="B1455">
        <v>360</v>
      </c>
      <c r="C1455">
        <v>1200</v>
      </c>
      <c r="D1455">
        <v>16.91</v>
      </c>
      <c r="E1455">
        <v>7.45</v>
      </c>
      <c r="F1455">
        <v>5.548</v>
      </c>
      <c r="G1455">
        <v>5.9790000000000001</v>
      </c>
      <c r="K1455">
        <v>2.9420000000000002</v>
      </c>
      <c r="L1455">
        <v>108.3</v>
      </c>
      <c r="M1455">
        <v>0</v>
      </c>
      <c r="O1455">
        <v>9.1199999999999992</v>
      </c>
      <c r="P1455">
        <v>-5.952</v>
      </c>
      <c r="Q1455">
        <v>5.1349999999999998</v>
      </c>
      <c r="S1455">
        <v>4.25</v>
      </c>
      <c r="T1455">
        <v>0</v>
      </c>
      <c r="U1455">
        <v>93.9</v>
      </c>
      <c r="V1455">
        <v>876</v>
      </c>
      <c r="W1455">
        <v>37.71</v>
      </c>
      <c r="Y1455">
        <v>12.86</v>
      </c>
    </row>
    <row r="1456" spans="1:25" x14ac:dyDescent="0.25">
      <c r="A1456">
        <v>2006</v>
      </c>
      <c r="B1456">
        <v>360</v>
      </c>
      <c r="C1456">
        <v>1300</v>
      </c>
      <c r="D1456">
        <v>22.69</v>
      </c>
      <c r="E1456">
        <v>10.54</v>
      </c>
      <c r="F1456">
        <v>5.5810000000000004</v>
      </c>
      <c r="G1456">
        <v>6.0190000000000001</v>
      </c>
      <c r="K1456">
        <v>2.8479999999999999</v>
      </c>
      <c r="L1456">
        <v>107.1</v>
      </c>
      <c r="M1456">
        <v>0</v>
      </c>
      <c r="O1456">
        <v>17.29</v>
      </c>
      <c r="P1456">
        <v>-4.1059999999999999</v>
      </c>
      <c r="Q1456">
        <v>5.1660000000000004</v>
      </c>
      <c r="S1456">
        <v>4.29</v>
      </c>
      <c r="T1456">
        <v>0</v>
      </c>
      <c r="U1456">
        <v>93.9</v>
      </c>
      <c r="V1456">
        <v>863</v>
      </c>
      <c r="W1456">
        <v>36.86</v>
      </c>
      <c r="Y1456">
        <v>12.86</v>
      </c>
    </row>
    <row r="1457" spans="1:25" x14ac:dyDescent="0.25">
      <c r="A1457">
        <v>2006</v>
      </c>
      <c r="B1457">
        <v>360</v>
      </c>
      <c r="C1457">
        <v>1400</v>
      </c>
      <c r="D1457">
        <v>9.4700000000000006</v>
      </c>
      <c r="E1457">
        <v>2.0230000000000001</v>
      </c>
      <c r="F1457">
        <v>5.6180000000000003</v>
      </c>
      <c r="G1457">
        <v>6.0640000000000001</v>
      </c>
      <c r="K1457">
        <v>2.85</v>
      </c>
      <c r="L1457">
        <v>109</v>
      </c>
      <c r="M1457">
        <v>0</v>
      </c>
      <c r="O1457">
        <v>1.5469999999999999</v>
      </c>
      <c r="P1457">
        <v>-7.76</v>
      </c>
      <c r="Q1457">
        <v>5.2039999999999997</v>
      </c>
      <c r="S1457">
        <v>4.34</v>
      </c>
      <c r="T1457">
        <v>0</v>
      </c>
      <c r="U1457">
        <v>93.8</v>
      </c>
      <c r="V1457">
        <v>865</v>
      </c>
      <c r="W1457">
        <v>37</v>
      </c>
      <c r="Y1457">
        <v>12.86</v>
      </c>
    </row>
    <row r="1458" spans="1:25" x14ac:dyDescent="0.25">
      <c r="A1458">
        <v>2006</v>
      </c>
      <c r="B1458">
        <v>360</v>
      </c>
      <c r="C1458">
        <v>1500</v>
      </c>
      <c r="D1458">
        <v>7.6</v>
      </c>
      <c r="E1458">
        <v>1.091</v>
      </c>
      <c r="F1458">
        <v>5.867</v>
      </c>
      <c r="G1458">
        <v>6.25</v>
      </c>
      <c r="K1458">
        <v>2.1819999999999999</v>
      </c>
      <c r="L1458">
        <v>107.2</v>
      </c>
      <c r="M1458">
        <v>0.2</v>
      </c>
      <c r="O1458">
        <v>-0.38700000000000001</v>
      </c>
      <c r="P1458">
        <v>-8.25</v>
      </c>
      <c r="Q1458">
        <v>5.2439999999999998</v>
      </c>
      <c r="S1458">
        <v>4.3449999999999998</v>
      </c>
      <c r="T1458">
        <v>0</v>
      </c>
      <c r="U1458">
        <v>94.7</v>
      </c>
      <c r="V1458">
        <v>862</v>
      </c>
      <c r="W1458">
        <v>36.85</v>
      </c>
      <c r="Y1458">
        <v>12.86</v>
      </c>
    </row>
    <row r="1459" spans="1:25" x14ac:dyDescent="0.25">
      <c r="A1459">
        <v>2006</v>
      </c>
      <c r="B1459">
        <v>360</v>
      </c>
      <c r="C1459">
        <v>1600</v>
      </c>
      <c r="D1459">
        <v>1.4530000000000001</v>
      </c>
      <c r="E1459">
        <v>-2.851</v>
      </c>
      <c r="F1459">
        <v>5.9509999999999996</v>
      </c>
      <c r="G1459">
        <v>6.2939999999999996</v>
      </c>
      <c r="K1459">
        <v>1.631</v>
      </c>
      <c r="L1459">
        <v>109.9</v>
      </c>
      <c r="M1459">
        <v>0</v>
      </c>
      <c r="O1459">
        <v>-8.41</v>
      </c>
      <c r="P1459">
        <v>-9.91</v>
      </c>
      <c r="Q1459">
        <v>5.2789999999999999</v>
      </c>
      <c r="S1459">
        <v>4.343</v>
      </c>
      <c r="T1459">
        <v>0</v>
      </c>
      <c r="U1459">
        <v>95.2</v>
      </c>
      <c r="V1459">
        <v>863</v>
      </c>
      <c r="W1459">
        <v>36.85</v>
      </c>
      <c r="Y1459">
        <v>12.86</v>
      </c>
    </row>
    <row r="1460" spans="1:25" x14ac:dyDescent="0.25">
      <c r="A1460">
        <v>2006</v>
      </c>
      <c r="B1460">
        <v>360</v>
      </c>
      <c r="C1460">
        <v>1700</v>
      </c>
      <c r="D1460">
        <v>-0.58599999999999997</v>
      </c>
      <c r="E1460">
        <v>-6.7450000000000001</v>
      </c>
      <c r="F1460">
        <v>5.9909999999999997</v>
      </c>
      <c r="G1460">
        <v>6.4779999999999998</v>
      </c>
      <c r="K1460">
        <v>1.4990000000000001</v>
      </c>
      <c r="L1460">
        <v>113</v>
      </c>
      <c r="M1460">
        <v>0.2</v>
      </c>
      <c r="O1460">
        <v>-11.21</v>
      </c>
      <c r="P1460">
        <v>-10.72</v>
      </c>
      <c r="Q1460">
        <v>5.2859999999999996</v>
      </c>
      <c r="S1460">
        <v>4.3680000000000003</v>
      </c>
      <c r="T1460">
        <v>0</v>
      </c>
      <c r="U1460">
        <v>93.3</v>
      </c>
      <c r="V1460">
        <v>863</v>
      </c>
      <c r="W1460">
        <v>36.909999999999997</v>
      </c>
      <c r="Y1460">
        <v>12.86</v>
      </c>
    </row>
    <row r="1461" spans="1:25" x14ac:dyDescent="0.25">
      <c r="A1461">
        <v>2006</v>
      </c>
      <c r="B1461">
        <v>360</v>
      </c>
      <c r="C1461">
        <v>1800</v>
      </c>
      <c r="D1461">
        <v>-0.59</v>
      </c>
      <c r="E1461">
        <v>-7.43</v>
      </c>
      <c r="F1461">
        <v>5.8810000000000002</v>
      </c>
      <c r="G1461">
        <v>6.2949999999999999</v>
      </c>
      <c r="K1461">
        <v>0.83499999999999996</v>
      </c>
      <c r="L1461">
        <v>114</v>
      </c>
      <c r="M1461">
        <v>0</v>
      </c>
      <c r="O1461">
        <v>-11.5</v>
      </c>
      <c r="P1461">
        <v>-10.84</v>
      </c>
      <c r="Q1461">
        <v>5.3179999999999996</v>
      </c>
      <c r="S1461">
        <v>4.4340000000000002</v>
      </c>
      <c r="T1461">
        <v>0</v>
      </c>
      <c r="U1461">
        <v>94.3</v>
      </c>
      <c r="V1461">
        <v>864</v>
      </c>
      <c r="W1461">
        <v>36.92</v>
      </c>
      <c r="Y1461">
        <v>12.86</v>
      </c>
    </row>
    <row r="1462" spans="1:25" x14ac:dyDescent="0.25">
      <c r="A1462">
        <v>2006</v>
      </c>
      <c r="B1462">
        <v>360</v>
      </c>
      <c r="C1462">
        <v>1900</v>
      </c>
      <c r="D1462">
        <v>-0.72399999999999998</v>
      </c>
      <c r="E1462">
        <v>-8.75</v>
      </c>
      <c r="F1462">
        <v>5.74</v>
      </c>
      <c r="G1462">
        <v>6.3810000000000002</v>
      </c>
      <c r="K1462">
        <v>1.33</v>
      </c>
      <c r="L1462">
        <v>120.4</v>
      </c>
      <c r="M1462">
        <v>0</v>
      </c>
      <c r="O1462">
        <v>-11.5</v>
      </c>
      <c r="P1462">
        <v>-10.84</v>
      </c>
      <c r="Q1462">
        <v>5.298</v>
      </c>
      <c r="S1462">
        <v>4.452</v>
      </c>
      <c r="T1462">
        <v>0</v>
      </c>
      <c r="U1462">
        <v>91.2</v>
      </c>
      <c r="V1462">
        <v>863</v>
      </c>
      <c r="W1462">
        <v>36.86</v>
      </c>
      <c r="Y1462">
        <v>12.86</v>
      </c>
    </row>
    <row r="1463" spans="1:25" x14ac:dyDescent="0.25">
      <c r="A1463">
        <v>2006</v>
      </c>
      <c r="B1463">
        <v>360</v>
      </c>
      <c r="C1463">
        <v>2000</v>
      </c>
      <c r="D1463">
        <v>-0.57299999999999995</v>
      </c>
      <c r="E1463">
        <v>-8.11</v>
      </c>
      <c r="F1463">
        <v>5.8639999999999999</v>
      </c>
      <c r="G1463">
        <v>6.5720000000000001</v>
      </c>
      <c r="K1463">
        <v>1.2030000000000001</v>
      </c>
      <c r="L1463">
        <v>127.9</v>
      </c>
      <c r="M1463">
        <v>0</v>
      </c>
      <c r="O1463">
        <v>-11.5</v>
      </c>
      <c r="P1463">
        <v>-10.83</v>
      </c>
      <c r="Q1463">
        <v>5.28</v>
      </c>
      <c r="S1463">
        <v>4.4509999999999996</v>
      </c>
      <c r="T1463">
        <v>0</v>
      </c>
      <c r="U1463">
        <v>90.3</v>
      </c>
      <c r="V1463">
        <v>862</v>
      </c>
      <c r="W1463">
        <v>36.82</v>
      </c>
      <c r="Y1463">
        <v>12.86</v>
      </c>
    </row>
    <row r="1464" spans="1:25" x14ac:dyDescent="0.25">
      <c r="A1464">
        <v>2006</v>
      </c>
      <c r="B1464">
        <v>360</v>
      </c>
      <c r="C1464">
        <v>2100</v>
      </c>
      <c r="D1464">
        <v>-0.57299999999999995</v>
      </c>
      <c r="E1464">
        <v>-6.9169999999999998</v>
      </c>
      <c r="F1464">
        <v>6.4119999999999999</v>
      </c>
      <c r="G1464">
        <v>6.95</v>
      </c>
      <c r="K1464">
        <v>1.4850000000000001</v>
      </c>
      <c r="L1464">
        <v>128.6</v>
      </c>
      <c r="M1464">
        <v>0</v>
      </c>
      <c r="O1464">
        <v>-11.5</v>
      </c>
      <c r="P1464">
        <v>-10.84</v>
      </c>
      <c r="Q1464">
        <v>5.28</v>
      </c>
      <c r="S1464">
        <v>4.4509999999999996</v>
      </c>
      <c r="T1464">
        <v>0</v>
      </c>
      <c r="U1464">
        <v>92.7</v>
      </c>
      <c r="V1464">
        <v>862</v>
      </c>
      <c r="W1464">
        <v>36.81</v>
      </c>
      <c r="Y1464">
        <v>12.86</v>
      </c>
    </row>
    <row r="1465" spans="1:25" x14ac:dyDescent="0.25">
      <c r="A1465">
        <v>2006</v>
      </c>
      <c r="B1465">
        <v>360</v>
      </c>
      <c r="C1465">
        <v>2200</v>
      </c>
      <c r="D1465">
        <v>-0.57299999999999995</v>
      </c>
      <c r="E1465">
        <v>-6.0659999999999998</v>
      </c>
      <c r="F1465">
        <v>6.5519999999999996</v>
      </c>
      <c r="G1465">
        <v>6.8970000000000002</v>
      </c>
      <c r="K1465">
        <v>1.319</v>
      </c>
      <c r="L1465">
        <v>108.8</v>
      </c>
      <c r="M1465">
        <v>0</v>
      </c>
      <c r="O1465">
        <v>-11.5</v>
      </c>
      <c r="P1465">
        <v>-10.84</v>
      </c>
      <c r="Q1465">
        <v>5.3220000000000001</v>
      </c>
      <c r="S1465">
        <v>4.4669999999999996</v>
      </c>
      <c r="T1465">
        <v>0</v>
      </c>
      <c r="U1465">
        <v>95.3</v>
      </c>
      <c r="V1465">
        <v>861</v>
      </c>
      <c r="W1465">
        <v>36.76</v>
      </c>
      <c r="Y1465">
        <v>12.86</v>
      </c>
    </row>
    <row r="1466" spans="1:25" x14ac:dyDescent="0.25">
      <c r="A1466">
        <v>2006</v>
      </c>
      <c r="B1466">
        <v>360</v>
      </c>
      <c r="C1466">
        <v>2300</v>
      </c>
      <c r="D1466">
        <v>-0.98799999999999999</v>
      </c>
      <c r="E1466">
        <v>-9.24</v>
      </c>
      <c r="F1466">
        <v>6.4169999999999998</v>
      </c>
      <c r="G1466">
        <v>6.7539999999999996</v>
      </c>
      <c r="K1466">
        <v>1.155</v>
      </c>
      <c r="L1466">
        <v>109.8</v>
      </c>
      <c r="M1466">
        <v>0</v>
      </c>
      <c r="O1466">
        <v>-11.5</v>
      </c>
      <c r="P1466">
        <v>-10.84</v>
      </c>
      <c r="Q1466">
        <v>5.3319999999999999</v>
      </c>
      <c r="S1466">
        <v>4.5</v>
      </c>
      <c r="T1466">
        <v>0</v>
      </c>
      <c r="U1466">
        <v>95.4</v>
      </c>
      <c r="V1466">
        <v>861</v>
      </c>
      <c r="W1466">
        <v>36.72</v>
      </c>
      <c r="Y1466">
        <v>12.86</v>
      </c>
    </row>
    <row r="1467" spans="1:25" x14ac:dyDescent="0.25">
      <c r="A1467">
        <v>2006</v>
      </c>
      <c r="B1467">
        <v>360</v>
      </c>
      <c r="C1467">
        <v>2400</v>
      </c>
      <c r="D1467">
        <v>-0.58399999999999996</v>
      </c>
      <c r="E1467">
        <v>-7.03</v>
      </c>
      <c r="F1467">
        <v>6.6239999999999997</v>
      </c>
      <c r="G1467">
        <v>7.17</v>
      </c>
      <c r="K1467">
        <v>1.2649999999999999</v>
      </c>
      <c r="L1467">
        <v>130.1</v>
      </c>
      <c r="M1467">
        <v>0</v>
      </c>
      <c r="O1467">
        <v>-11.5</v>
      </c>
      <c r="P1467">
        <v>-10.84</v>
      </c>
      <c r="Q1467">
        <v>5.3319999999999999</v>
      </c>
      <c r="S1467">
        <v>4.5279999999999996</v>
      </c>
      <c r="T1467">
        <v>0</v>
      </c>
      <c r="U1467">
        <v>92.7</v>
      </c>
      <c r="V1467">
        <v>860</v>
      </c>
      <c r="W1467">
        <v>36.68</v>
      </c>
      <c r="Y1467">
        <v>12.86</v>
      </c>
    </row>
    <row r="1468" spans="1:25" x14ac:dyDescent="0.25">
      <c r="A1468">
        <v>2006</v>
      </c>
      <c r="B1468">
        <v>360</v>
      </c>
      <c r="C1468">
        <v>2400</v>
      </c>
      <c r="D1468">
        <v>2.5470000000000002</v>
      </c>
      <c r="E1468">
        <v>-2.528</v>
      </c>
      <c r="F1468">
        <v>5.875</v>
      </c>
      <c r="G1468">
        <v>6.2549999999999999</v>
      </c>
      <c r="K1468">
        <v>1.6080000000000001</v>
      </c>
      <c r="L1468">
        <v>112.7</v>
      </c>
      <c r="M1468">
        <v>2.2000000000000002</v>
      </c>
      <c r="O1468">
        <v>-7.62</v>
      </c>
      <c r="P1468">
        <v>-9.91</v>
      </c>
      <c r="Q1468">
        <v>5.1369999999999996</v>
      </c>
      <c r="S1468">
        <v>4.2910000000000004</v>
      </c>
      <c r="T1468">
        <v>0</v>
      </c>
      <c r="U1468">
        <v>94.7</v>
      </c>
      <c r="V1468">
        <v>864</v>
      </c>
      <c r="W1468">
        <v>36.96</v>
      </c>
      <c r="Y1468">
        <v>12.86</v>
      </c>
    </row>
    <row r="1469" spans="1:25" x14ac:dyDescent="0.25">
      <c r="A1469">
        <v>2006</v>
      </c>
      <c r="B1469">
        <v>361</v>
      </c>
      <c r="C1469">
        <v>100</v>
      </c>
      <c r="D1469">
        <v>-0.57299999999999995</v>
      </c>
      <c r="E1469">
        <v>-6.5330000000000004</v>
      </c>
      <c r="F1469">
        <v>6.5460000000000003</v>
      </c>
      <c r="G1469">
        <v>7.04</v>
      </c>
      <c r="K1469">
        <v>0.97399999999999998</v>
      </c>
      <c r="L1469">
        <v>129.4</v>
      </c>
      <c r="M1469">
        <v>0</v>
      </c>
      <c r="O1469">
        <v>-11.5</v>
      </c>
      <c r="P1469">
        <v>-10.84</v>
      </c>
      <c r="Q1469">
        <v>5.3319999999999999</v>
      </c>
      <c r="S1469">
        <v>4.5590000000000002</v>
      </c>
      <c r="T1469">
        <v>0</v>
      </c>
      <c r="U1469">
        <v>93.4</v>
      </c>
      <c r="V1469">
        <v>858</v>
      </c>
      <c r="W1469">
        <v>36.549999999999997</v>
      </c>
      <c r="Y1469">
        <v>12.86</v>
      </c>
    </row>
    <row r="1470" spans="1:25" x14ac:dyDescent="0.25">
      <c r="A1470">
        <v>2006</v>
      </c>
      <c r="B1470">
        <v>361</v>
      </c>
      <c r="C1470">
        <v>200</v>
      </c>
      <c r="D1470">
        <v>-0.57299999999999995</v>
      </c>
      <c r="E1470">
        <v>-7.39</v>
      </c>
      <c r="F1470">
        <v>6.4480000000000004</v>
      </c>
      <c r="G1470">
        <v>7.05</v>
      </c>
      <c r="K1470">
        <v>1.056</v>
      </c>
      <c r="L1470">
        <v>134.80000000000001</v>
      </c>
      <c r="M1470">
        <v>0</v>
      </c>
      <c r="O1470">
        <v>-11.5</v>
      </c>
      <c r="P1470">
        <v>-10.84</v>
      </c>
      <c r="Q1470">
        <v>5.3570000000000002</v>
      </c>
      <c r="S1470">
        <v>4.5590000000000002</v>
      </c>
      <c r="T1470">
        <v>0</v>
      </c>
      <c r="U1470">
        <v>91.9</v>
      </c>
      <c r="V1470">
        <v>857</v>
      </c>
      <c r="W1470">
        <v>36.520000000000003</v>
      </c>
      <c r="Y1470">
        <v>12.86</v>
      </c>
    </row>
    <row r="1471" spans="1:25" x14ac:dyDescent="0.25">
      <c r="A1471">
        <v>2006</v>
      </c>
      <c r="B1471">
        <v>361</v>
      </c>
      <c r="C1471">
        <v>300</v>
      </c>
      <c r="D1471">
        <v>-0.57899999999999996</v>
      </c>
      <c r="E1471">
        <v>-7.82</v>
      </c>
      <c r="F1471">
        <v>6.391</v>
      </c>
      <c r="G1471">
        <v>7.02</v>
      </c>
      <c r="K1471">
        <v>1.0549999999999999</v>
      </c>
      <c r="L1471">
        <v>137.5</v>
      </c>
      <c r="M1471">
        <v>0</v>
      </c>
      <c r="O1471">
        <v>-11.5</v>
      </c>
      <c r="P1471">
        <v>-10.84</v>
      </c>
      <c r="Q1471">
        <v>5.3840000000000003</v>
      </c>
      <c r="S1471">
        <v>4.5599999999999996</v>
      </c>
      <c r="T1471">
        <v>0</v>
      </c>
      <c r="U1471">
        <v>91.5</v>
      </c>
      <c r="V1471">
        <v>858</v>
      </c>
      <c r="W1471">
        <v>36.56</v>
      </c>
      <c r="Y1471">
        <v>12.86</v>
      </c>
    </row>
    <row r="1472" spans="1:25" x14ac:dyDescent="0.25">
      <c r="A1472">
        <v>2006</v>
      </c>
      <c r="B1472">
        <v>361</v>
      </c>
      <c r="C1472">
        <v>400</v>
      </c>
      <c r="D1472">
        <v>-1.2749999999999999</v>
      </c>
      <c r="E1472">
        <v>-18.29</v>
      </c>
      <c r="F1472">
        <v>6.1639999999999997</v>
      </c>
      <c r="G1472">
        <v>6.8070000000000004</v>
      </c>
      <c r="K1472">
        <v>1.2509999999999999</v>
      </c>
      <c r="L1472">
        <v>129.9</v>
      </c>
      <c r="M1472">
        <v>0</v>
      </c>
      <c r="O1472">
        <v>-11.5</v>
      </c>
      <c r="P1472">
        <v>-10.84</v>
      </c>
      <c r="Q1472">
        <v>5.3849999999999998</v>
      </c>
      <c r="S1472">
        <v>4.5599999999999996</v>
      </c>
      <c r="T1472">
        <v>0</v>
      </c>
      <c r="U1472">
        <v>91.3</v>
      </c>
      <c r="V1472">
        <v>870</v>
      </c>
      <c r="W1472">
        <v>37.36</v>
      </c>
      <c r="Y1472">
        <v>12.86</v>
      </c>
    </row>
    <row r="1473" spans="1:25" x14ac:dyDescent="0.25">
      <c r="A1473">
        <v>2006</v>
      </c>
      <c r="B1473">
        <v>361</v>
      </c>
      <c r="C1473">
        <v>500</v>
      </c>
      <c r="D1473">
        <v>-1.5660000000000001</v>
      </c>
      <c r="E1473">
        <v>-19.510000000000002</v>
      </c>
      <c r="F1473">
        <v>5.8710000000000004</v>
      </c>
      <c r="G1473">
        <v>6.4539999999999997</v>
      </c>
      <c r="K1473">
        <v>1.325</v>
      </c>
      <c r="L1473">
        <v>121</v>
      </c>
      <c r="M1473">
        <v>0</v>
      </c>
      <c r="O1473">
        <v>-11.5</v>
      </c>
      <c r="P1473">
        <v>-10.84</v>
      </c>
      <c r="Q1473">
        <v>5.35</v>
      </c>
      <c r="S1473">
        <v>4.5599999999999996</v>
      </c>
      <c r="T1473">
        <v>0</v>
      </c>
      <c r="U1473">
        <v>92</v>
      </c>
      <c r="V1473">
        <v>858</v>
      </c>
      <c r="W1473">
        <v>36.549999999999997</v>
      </c>
      <c r="Y1473">
        <v>12.86</v>
      </c>
    </row>
    <row r="1474" spans="1:25" x14ac:dyDescent="0.25">
      <c r="A1474">
        <v>2006</v>
      </c>
      <c r="B1474">
        <v>361</v>
      </c>
      <c r="C1474">
        <v>600</v>
      </c>
      <c r="D1474">
        <v>-1.179</v>
      </c>
      <c r="E1474">
        <v>-13.84</v>
      </c>
      <c r="F1474">
        <v>6.6120000000000001</v>
      </c>
      <c r="G1474">
        <v>7.1</v>
      </c>
      <c r="K1474">
        <v>2.3039999999999998</v>
      </c>
      <c r="L1474">
        <v>122.5</v>
      </c>
      <c r="M1474">
        <v>0</v>
      </c>
      <c r="O1474">
        <v>-11.5</v>
      </c>
      <c r="P1474">
        <v>-10.85</v>
      </c>
      <c r="Q1474">
        <v>5.2960000000000003</v>
      </c>
      <c r="S1474">
        <v>4.5599999999999996</v>
      </c>
      <c r="T1474">
        <v>0</v>
      </c>
      <c r="U1474">
        <v>93.5</v>
      </c>
      <c r="V1474">
        <v>857</v>
      </c>
      <c r="W1474">
        <v>36.53</v>
      </c>
      <c r="Y1474">
        <v>12.86</v>
      </c>
    </row>
    <row r="1475" spans="1:25" x14ac:dyDescent="0.25">
      <c r="A1475">
        <v>2006</v>
      </c>
      <c r="B1475">
        <v>361</v>
      </c>
      <c r="C1475">
        <v>700</v>
      </c>
      <c r="D1475">
        <v>-0.66500000000000004</v>
      </c>
      <c r="E1475">
        <v>-7.65</v>
      </c>
      <c r="F1475">
        <v>7.05</v>
      </c>
      <c r="G1475">
        <v>7.26</v>
      </c>
      <c r="K1475">
        <v>2.069</v>
      </c>
      <c r="L1475">
        <v>119.4</v>
      </c>
      <c r="M1475">
        <v>0</v>
      </c>
      <c r="O1475">
        <v>-11.5</v>
      </c>
      <c r="P1475">
        <v>-10.84</v>
      </c>
      <c r="Q1475">
        <v>5.2789999999999999</v>
      </c>
      <c r="S1475">
        <v>4.5599999999999996</v>
      </c>
      <c r="T1475">
        <v>0</v>
      </c>
      <c r="U1475">
        <v>97.1</v>
      </c>
      <c r="V1475">
        <v>855</v>
      </c>
      <c r="W1475">
        <v>36.4</v>
      </c>
      <c r="Y1475">
        <v>12.86</v>
      </c>
    </row>
    <row r="1476" spans="1:25" x14ac:dyDescent="0.25">
      <c r="A1476">
        <v>2006</v>
      </c>
      <c r="B1476">
        <v>361</v>
      </c>
      <c r="C1476">
        <v>800</v>
      </c>
      <c r="D1476">
        <v>-0.79300000000000004</v>
      </c>
      <c r="E1476">
        <v>-5.45</v>
      </c>
      <c r="F1476">
        <v>6.9669999999999996</v>
      </c>
      <c r="G1476">
        <v>7.3</v>
      </c>
      <c r="K1476">
        <v>1.294</v>
      </c>
      <c r="L1476">
        <v>138</v>
      </c>
      <c r="M1476">
        <v>0.2</v>
      </c>
      <c r="O1476">
        <v>-11.5</v>
      </c>
      <c r="P1476">
        <v>-10.84</v>
      </c>
      <c r="Q1476">
        <v>5.3120000000000003</v>
      </c>
      <c r="S1476">
        <v>4.5640000000000001</v>
      </c>
      <c r="T1476">
        <v>0</v>
      </c>
      <c r="U1476">
        <v>95.5</v>
      </c>
      <c r="V1476">
        <v>857</v>
      </c>
      <c r="W1476">
        <v>36.53</v>
      </c>
      <c r="Y1476">
        <v>12.86</v>
      </c>
    </row>
    <row r="1477" spans="1:25" x14ac:dyDescent="0.25">
      <c r="A1477">
        <v>2006</v>
      </c>
      <c r="B1477">
        <v>361</v>
      </c>
      <c r="C1477">
        <v>900</v>
      </c>
      <c r="D1477">
        <v>-0.43</v>
      </c>
      <c r="E1477">
        <v>-4.4429999999999996</v>
      </c>
      <c r="F1477">
        <v>6.7679999999999998</v>
      </c>
      <c r="G1477">
        <v>7.01</v>
      </c>
      <c r="H1477">
        <f>AVERAGE(G1477:G1501)</f>
        <v>6.4630400000000012</v>
      </c>
      <c r="I1477">
        <f>MIN(G1477:G1501)</f>
        <v>4.7670000000000003</v>
      </c>
      <c r="J1477">
        <f>MAX(G1477:G1501)</f>
        <v>8.01</v>
      </c>
      <c r="K1477">
        <v>0.95199999999999996</v>
      </c>
      <c r="L1477">
        <v>134.19999999999999</v>
      </c>
      <c r="M1477">
        <v>1.4</v>
      </c>
      <c r="N1477">
        <f>SUM(M1477:M1501)</f>
        <v>12.2</v>
      </c>
      <c r="O1477">
        <v>-11.09</v>
      </c>
      <c r="P1477">
        <v>-10.79</v>
      </c>
      <c r="Q1477">
        <v>5.3310000000000004</v>
      </c>
      <c r="S1477">
        <v>4.5620000000000003</v>
      </c>
      <c r="T1477">
        <v>0</v>
      </c>
      <c r="U1477">
        <v>96.7</v>
      </c>
      <c r="V1477">
        <v>859</v>
      </c>
      <c r="W1477">
        <v>36.61</v>
      </c>
      <c r="Y1477">
        <v>12.86</v>
      </c>
    </row>
    <row r="1478" spans="1:25" x14ac:dyDescent="0.25">
      <c r="A1478">
        <v>2006</v>
      </c>
      <c r="B1478">
        <v>361</v>
      </c>
      <c r="C1478">
        <v>1000</v>
      </c>
      <c r="D1478">
        <v>4.2539999999999996</v>
      </c>
      <c r="E1478">
        <v>0.97099999999999997</v>
      </c>
      <c r="F1478">
        <v>6.883</v>
      </c>
      <c r="G1478">
        <v>7.05</v>
      </c>
      <c r="K1478">
        <v>1.198</v>
      </c>
      <c r="L1478">
        <v>124.6</v>
      </c>
      <c r="M1478">
        <v>2.2000000000000002</v>
      </c>
      <c r="O1478">
        <v>-4.2960000000000003</v>
      </c>
      <c r="P1478">
        <v>-9.35</v>
      </c>
      <c r="Q1478">
        <v>5.3710000000000004</v>
      </c>
      <c r="S1478">
        <v>4.5819999999999999</v>
      </c>
      <c r="T1478">
        <v>0</v>
      </c>
      <c r="U1478">
        <v>97.7</v>
      </c>
      <c r="V1478">
        <v>879</v>
      </c>
      <c r="W1478">
        <v>37.93</v>
      </c>
      <c r="Y1478">
        <v>12.86</v>
      </c>
    </row>
    <row r="1479" spans="1:25" x14ac:dyDescent="0.25">
      <c r="A1479">
        <v>2006</v>
      </c>
      <c r="B1479">
        <v>361</v>
      </c>
      <c r="C1479">
        <v>1100</v>
      </c>
      <c r="D1479">
        <v>21.92</v>
      </c>
      <c r="E1479">
        <v>11.41</v>
      </c>
      <c r="F1479">
        <v>7.33</v>
      </c>
      <c r="G1479">
        <v>7.58</v>
      </c>
      <c r="K1479">
        <v>1.8340000000000001</v>
      </c>
      <c r="L1479">
        <v>131.9</v>
      </c>
      <c r="M1479">
        <v>1</v>
      </c>
      <c r="O1479">
        <v>19.86</v>
      </c>
      <c r="P1479">
        <v>-4.8680000000000003</v>
      </c>
      <c r="Q1479">
        <v>5.4160000000000004</v>
      </c>
      <c r="S1479">
        <v>4.6449999999999996</v>
      </c>
      <c r="T1479">
        <v>0</v>
      </c>
      <c r="U1479">
        <v>96.7</v>
      </c>
      <c r="V1479">
        <v>919</v>
      </c>
      <c r="W1479">
        <v>40.89</v>
      </c>
      <c r="Y1479">
        <v>12.87</v>
      </c>
    </row>
    <row r="1480" spans="1:25" x14ac:dyDescent="0.25">
      <c r="A1480">
        <v>2006</v>
      </c>
      <c r="B1480">
        <v>361</v>
      </c>
      <c r="C1480">
        <v>1200</v>
      </c>
      <c r="D1480">
        <v>29.89</v>
      </c>
      <c r="E1480">
        <v>17.57</v>
      </c>
      <c r="F1480">
        <v>7.7</v>
      </c>
      <c r="G1480">
        <v>7.96</v>
      </c>
      <c r="K1480">
        <v>1.7689999999999999</v>
      </c>
      <c r="L1480">
        <v>155.80000000000001</v>
      </c>
      <c r="M1480">
        <v>0</v>
      </c>
      <c r="O1480">
        <v>28.49</v>
      </c>
      <c r="P1480">
        <v>-3.3530000000000002</v>
      </c>
      <c r="Q1480">
        <v>5.5129999999999999</v>
      </c>
      <c r="S1480">
        <v>4.6680000000000001</v>
      </c>
      <c r="T1480">
        <v>0</v>
      </c>
      <c r="U1480">
        <v>96.6</v>
      </c>
      <c r="V1480">
        <v>926</v>
      </c>
      <c r="W1480">
        <v>41.53</v>
      </c>
      <c r="Y1480">
        <v>12.89</v>
      </c>
    </row>
    <row r="1481" spans="1:25" x14ac:dyDescent="0.25">
      <c r="A1481">
        <v>2006</v>
      </c>
      <c r="B1481">
        <v>361</v>
      </c>
      <c r="C1481">
        <v>1300</v>
      </c>
      <c r="D1481">
        <v>43.46</v>
      </c>
      <c r="E1481">
        <v>21.97</v>
      </c>
      <c r="F1481">
        <v>7.41</v>
      </c>
      <c r="G1481">
        <v>8.01</v>
      </c>
      <c r="K1481">
        <v>2.141</v>
      </c>
      <c r="L1481">
        <v>172.1</v>
      </c>
      <c r="M1481">
        <v>0.2</v>
      </c>
      <c r="O1481">
        <v>42.49</v>
      </c>
      <c r="P1481">
        <v>-0.48899999999999999</v>
      </c>
      <c r="Q1481">
        <v>5.6319999999999997</v>
      </c>
      <c r="S1481">
        <v>4.6689999999999996</v>
      </c>
      <c r="T1481">
        <v>0</v>
      </c>
      <c r="U1481">
        <v>92.2</v>
      </c>
      <c r="V1481">
        <v>917</v>
      </c>
      <c r="W1481">
        <v>40.75</v>
      </c>
      <c r="Y1481">
        <v>13.01</v>
      </c>
    </row>
    <row r="1482" spans="1:25" x14ac:dyDescent="0.25">
      <c r="A1482">
        <v>2006</v>
      </c>
      <c r="B1482">
        <v>361</v>
      </c>
      <c r="C1482">
        <v>1400</v>
      </c>
      <c r="D1482">
        <v>22.74</v>
      </c>
      <c r="E1482">
        <v>8.4499999999999993</v>
      </c>
      <c r="F1482">
        <v>7.24</v>
      </c>
      <c r="G1482">
        <v>7.82</v>
      </c>
      <c r="K1482">
        <v>1.157</v>
      </c>
      <c r="L1482">
        <v>149.4</v>
      </c>
      <c r="M1482">
        <v>0</v>
      </c>
      <c r="O1482">
        <v>19.059999999999999</v>
      </c>
      <c r="P1482">
        <v>-4.9119999999999999</v>
      </c>
      <c r="Q1482">
        <v>5.7590000000000003</v>
      </c>
      <c r="S1482">
        <v>4.726</v>
      </c>
      <c r="T1482">
        <v>0</v>
      </c>
      <c r="U1482">
        <v>92.4</v>
      </c>
      <c r="V1482">
        <v>909</v>
      </c>
      <c r="W1482">
        <v>40.1</v>
      </c>
      <c r="Y1482">
        <v>12.95</v>
      </c>
    </row>
    <row r="1483" spans="1:25" x14ac:dyDescent="0.25">
      <c r="A1483">
        <v>2006</v>
      </c>
      <c r="B1483">
        <v>361</v>
      </c>
      <c r="C1483">
        <v>1500</v>
      </c>
      <c r="D1483">
        <v>16.3</v>
      </c>
      <c r="E1483">
        <v>6.766</v>
      </c>
      <c r="F1483">
        <v>7.49</v>
      </c>
      <c r="G1483">
        <v>7.68</v>
      </c>
      <c r="K1483">
        <v>0.98399999999999999</v>
      </c>
      <c r="L1483">
        <v>163.69999999999999</v>
      </c>
      <c r="M1483">
        <v>1</v>
      </c>
      <c r="O1483">
        <v>12.09</v>
      </c>
      <c r="P1483">
        <v>-6.34</v>
      </c>
      <c r="Q1483">
        <v>5.8470000000000004</v>
      </c>
      <c r="S1483">
        <v>4.7770000000000001</v>
      </c>
      <c r="T1483">
        <v>0</v>
      </c>
      <c r="U1483">
        <v>97.5</v>
      </c>
      <c r="V1483">
        <v>912</v>
      </c>
      <c r="W1483">
        <v>40.33</v>
      </c>
      <c r="Y1483">
        <v>12.91</v>
      </c>
    </row>
    <row r="1484" spans="1:25" x14ac:dyDescent="0.25">
      <c r="A1484">
        <v>2006</v>
      </c>
      <c r="B1484">
        <v>361</v>
      </c>
      <c r="C1484">
        <v>1600</v>
      </c>
      <c r="D1484">
        <v>5.7389999999999999</v>
      </c>
      <c r="E1484">
        <v>-3.7549999999999999</v>
      </c>
      <c r="F1484">
        <v>7.33</v>
      </c>
      <c r="G1484">
        <v>7.5</v>
      </c>
      <c r="K1484">
        <v>0.4</v>
      </c>
      <c r="L1484">
        <v>146.80000000000001</v>
      </c>
      <c r="M1484">
        <v>0</v>
      </c>
      <c r="O1484">
        <v>-4.6639999999999997</v>
      </c>
      <c r="P1484">
        <v>-9.42</v>
      </c>
      <c r="Q1484">
        <v>5.9130000000000003</v>
      </c>
      <c r="S1484">
        <v>4.7770000000000001</v>
      </c>
      <c r="T1484">
        <v>0</v>
      </c>
      <c r="U1484">
        <v>97.7</v>
      </c>
      <c r="V1484">
        <v>915</v>
      </c>
      <c r="W1484">
        <v>40.57</v>
      </c>
      <c r="Y1484">
        <v>12.88</v>
      </c>
    </row>
    <row r="1485" spans="1:25" x14ac:dyDescent="0.25">
      <c r="A1485">
        <v>2006</v>
      </c>
      <c r="B1485">
        <v>361</v>
      </c>
      <c r="C1485">
        <v>1700</v>
      </c>
      <c r="D1485">
        <v>-0.44900000000000001</v>
      </c>
      <c r="E1485">
        <v>-14.51</v>
      </c>
      <c r="F1485">
        <v>6.4420000000000002</v>
      </c>
      <c r="G1485">
        <v>6.5570000000000004</v>
      </c>
      <c r="K1485">
        <v>0.58199999999999996</v>
      </c>
      <c r="L1485">
        <v>119.8</v>
      </c>
      <c r="M1485">
        <v>0</v>
      </c>
      <c r="O1485">
        <v>-10.72</v>
      </c>
      <c r="P1485">
        <v>-10.62</v>
      </c>
      <c r="Q1485">
        <v>5.9210000000000003</v>
      </c>
      <c r="S1485">
        <v>4.7859999999999996</v>
      </c>
      <c r="T1485">
        <v>0</v>
      </c>
      <c r="U1485">
        <v>98.4</v>
      </c>
      <c r="V1485">
        <v>911</v>
      </c>
      <c r="W1485">
        <v>40.25</v>
      </c>
      <c r="Y1485">
        <v>12.87</v>
      </c>
    </row>
    <row r="1486" spans="1:25" x14ac:dyDescent="0.25">
      <c r="A1486">
        <v>2006</v>
      </c>
      <c r="B1486">
        <v>361</v>
      </c>
      <c r="C1486">
        <v>1800</v>
      </c>
      <c r="D1486">
        <v>-0.16700000000000001</v>
      </c>
      <c r="E1486">
        <v>-2.5760000000000001</v>
      </c>
      <c r="F1486">
        <v>6.9180000000000001</v>
      </c>
      <c r="G1486">
        <v>7.01</v>
      </c>
      <c r="K1486">
        <v>0.43099999999999999</v>
      </c>
      <c r="L1486">
        <v>204.6</v>
      </c>
      <c r="M1486">
        <v>0</v>
      </c>
      <c r="O1486">
        <v>-11.5</v>
      </c>
      <c r="P1486">
        <v>-10.84</v>
      </c>
      <c r="Q1486">
        <v>5.8689999999999998</v>
      </c>
      <c r="S1486">
        <v>4.8719999999999999</v>
      </c>
      <c r="T1486">
        <v>0</v>
      </c>
      <c r="U1486">
        <v>98.8</v>
      </c>
      <c r="V1486">
        <v>905</v>
      </c>
      <c r="W1486">
        <v>39.799999999999997</v>
      </c>
      <c r="Y1486">
        <v>12.86</v>
      </c>
    </row>
    <row r="1487" spans="1:25" x14ac:dyDescent="0.25">
      <c r="A1487">
        <v>2006</v>
      </c>
      <c r="B1487">
        <v>361</v>
      </c>
      <c r="C1487">
        <v>1900</v>
      </c>
      <c r="D1487">
        <v>-1.171</v>
      </c>
      <c r="E1487">
        <v>-14.73</v>
      </c>
      <c r="F1487">
        <v>5.6639999999999997</v>
      </c>
      <c r="G1487">
        <v>5.702</v>
      </c>
      <c r="K1487">
        <v>0.29699999999999999</v>
      </c>
      <c r="L1487">
        <v>139.4</v>
      </c>
      <c r="M1487">
        <v>0</v>
      </c>
      <c r="O1487">
        <v>-11.5</v>
      </c>
      <c r="P1487">
        <v>-10.84</v>
      </c>
      <c r="Q1487">
        <v>5.8479999999999999</v>
      </c>
      <c r="S1487">
        <v>4.8849999999999998</v>
      </c>
      <c r="T1487">
        <v>0</v>
      </c>
      <c r="U1487">
        <v>99.5</v>
      </c>
      <c r="V1487">
        <v>898</v>
      </c>
      <c r="W1487">
        <v>39.299999999999997</v>
      </c>
      <c r="Y1487">
        <v>12.86</v>
      </c>
    </row>
    <row r="1488" spans="1:25" x14ac:dyDescent="0.25">
      <c r="A1488">
        <v>2006</v>
      </c>
      <c r="B1488">
        <v>361</v>
      </c>
      <c r="C1488">
        <v>2000</v>
      </c>
      <c r="D1488">
        <v>-0.70199999999999996</v>
      </c>
      <c r="E1488">
        <v>-7.92</v>
      </c>
      <c r="F1488">
        <v>5.077</v>
      </c>
      <c r="G1488">
        <v>5.1959999999999997</v>
      </c>
      <c r="K1488">
        <v>0.218</v>
      </c>
      <c r="L1488">
        <v>146.80000000000001</v>
      </c>
      <c r="M1488">
        <v>0</v>
      </c>
      <c r="O1488">
        <v>-11.5</v>
      </c>
      <c r="P1488">
        <v>-10.83</v>
      </c>
      <c r="Q1488">
        <v>5.77</v>
      </c>
      <c r="S1488">
        <v>4.8849999999999998</v>
      </c>
      <c r="T1488">
        <v>0</v>
      </c>
      <c r="U1488">
        <v>98.3</v>
      </c>
      <c r="V1488">
        <v>898</v>
      </c>
      <c r="W1488">
        <v>39.32</v>
      </c>
      <c r="Y1488">
        <v>12.86</v>
      </c>
    </row>
    <row r="1489" spans="1:25" x14ac:dyDescent="0.25">
      <c r="A1489">
        <v>2006</v>
      </c>
      <c r="B1489">
        <v>361</v>
      </c>
      <c r="C1489">
        <v>2100</v>
      </c>
      <c r="D1489">
        <v>-0.193</v>
      </c>
      <c r="E1489">
        <v>-1.38</v>
      </c>
      <c r="F1489">
        <v>5.6180000000000003</v>
      </c>
      <c r="G1489">
        <v>5.7549999999999999</v>
      </c>
      <c r="K1489">
        <v>0.28299999999999997</v>
      </c>
      <c r="L1489">
        <v>146.1</v>
      </c>
      <c r="M1489">
        <v>0</v>
      </c>
      <c r="O1489">
        <v>-11.49</v>
      </c>
      <c r="P1489">
        <v>-10.84</v>
      </c>
      <c r="Q1489">
        <v>5.7169999999999996</v>
      </c>
      <c r="S1489">
        <v>4.9240000000000004</v>
      </c>
      <c r="T1489">
        <v>0</v>
      </c>
      <c r="U1489">
        <v>98.1</v>
      </c>
      <c r="V1489">
        <v>890</v>
      </c>
      <c r="W1489">
        <v>38.72</v>
      </c>
      <c r="Y1489">
        <v>12.86</v>
      </c>
    </row>
    <row r="1490" spans="1:25" x14ac:dyDescent="0.25">
      <c r="A1490">
        <v>2006</v>
      </c>
      <c r="B1490">
        <v>361</v>
      </c>
      <c r="C1490">
        <v>2200</v>
      </c>
      <c r="D1490">
        <v>-0.51400000000000001</v>
      </c>
      <c r="E1490">
        <v>-4.4809999999999999</v>
      </c>
      <c r="F1490">
        <v>6.194</v>
      </c>
      <c r="G1490">
        <v>6.274</v>
      </c>
      <c r="K1490">
        <v>0.73499999999999999</v>
      </c>
      <c r="L1490">
        <v>192.5</v>
      </c>
      <c r="M1490">
        <v>0</v>
      </c>
      <c r="O1490">
        <v>-11.5</v>
      </c>
      <c r="P1490">
        <v>-10.84</v>
      </c>
      <c r="Q1490">
        <v>5.673</v>
      </c>
      <c r="S1490">
        <v>4.9109999999999996</v>
      </c>
      <c r="T1490">
        <v>0</v>
      </c>
      <c r="U1490">
        <v>98.9</v>
      </c>
      <c r="V1490">
        <v>888</v>
      </c>
      <c r="W1490">
        <v>38.56</v>
      </c>
      <c r="Y1490">
        <v>12.85</v>
      </c>
    </row>
    <row r="1491" spans="1:25" x14ac:dyDescent="0.25">
      <c r="A1491">
        <v>2006</v>
      </c>
      <c r="B1491">
        <v>361</v>
      </c>
      <c r="C1491">
        <v>2300</v>
      </c>
      <c r="D1491">
        <v>-0.92600000000000005</v>
      </c>
      <c r="E1491">
        <v>-9.81</v>
      </c>
      <c r="F1491">
        <v>5.6310000000000002</v>
      </c>
      <c r="G1491">
        <v>5.7859999999999996</v>
      </c>
      <c r="K1491">
        <v>0.63</v>
      </c>
      <c r="L1491">
        <v>179.6</v>
      </c>
      <c r="M1491">
        <v>0</v>
      </c>
      <c r="O1491">
        <v>-11.5</v>
      </c>
      <c r="P1491">
        <v>-10.84</v>
      </c>
      <c r="Q1491">
        <v>5.6050000000000004</v>
      </c>
      <c r="S1491">
        <v>4.8860000000000001</v>
      </c>
      <c r="T1491">
        <v>0</v>
      </c>
      <c r="U1491">
        <v>97.8</v>
      </c>
      <c r="V1491">
        <v>886</v>
      </c>
      <c r="W1491">
        <v>38.43</v>
      </c>
      <c r="Y1491">
        <v>12.85</v>
      </c>
    </row>
    <row r="1492" spans="1:25" x14ac:dyDescent="0.25">
      <c r="A1492">
        <v>2006</v>
      </c>
      <c r="B1492">
        <v>361</v>
      </c>
      <c r="C1492">
        <v>2400</v>
      </c>
      <c r="D1492">
        <v>-0.67300000000000004</v>
      </c>
      <c r="E1492">
        <v>-5.8230000000000004</v>
      </c>
      <c r="F1492">
        <v>5.62</v>
      </c>
      <c r="G1492">
        <v>5.702</v>
      </c>
      <c r="K1492">
        <v>1.1919999999999999</v>
      </c>
      <c r="L1492">
        <v>210.2</v>
      </c>
      <c r="M1492">
        <v>0</v>
      </c>
      <c r="O1492">
        <v>-11.49</v>
      </c>
      <c r="P1492">
        <v>-10.82</v>
      </c>
      <c r="Q1492">
        <v>5.5970000000000004</v>
      </c>
      <c r="S1492">
        <v>4.9059999999999997</v>
      </c>
      <c r="T1492">
        <v>0</v>
      </c>
      <c r="U1492">
        <v>98.8</v>
      </c>
      <c r="V1492">
        <v>884</v>
      </c>
      <c r="W1492">
        <v>38.28</v>
      </c>
      <c r="Y1492">
        <v>12.85</v>
      </c>
    </row>
    <row r="1493" spans="1:25" x14ac:dyDescent="0.25">
      <c r="A1493">
        <v>2006</v>
      </c>
      <c r="B1493">
        <v>361</v>
      </c>
      <c r="C1493">
        <v>2400</v>
      </c>
      <c r="D1493">
        <v>5.4950000000000001</v>
      </c>
      <c r="E1493">
        <v>-3.698</v>
      </c>
      <c r="F1493">
        <v>6.556</v>
      </c>
      <c r="G1493">
        <v>6.859</v>
      </c>
      <c r="K1493">
        <v>1.089</v>
      </c>
      <c r="L1493">
        <v>146.5</v>
      </c>
      <c r="M1493">
        <v>6</v>
      </c>
      <c r="O1493">
        <v>-3.387</v>
      </c>
      <c r="P1493">
        <v>-9.2799999999999994</v>
      </c>
      <c r="Q1493">
        <v>5.5609999999999999</v>
      </c>
      <c r="S1493">
        <v>4.7060000000000004</v>
      </c>
      <c r="T1493">
        <v>0</v>
      </c>
      <c r="U1493">
        <v>95.9</v>
      </c>
      <c r="V1493">
        <v>886</v>
      </c>
      <c r="W1493">
        <v>38.51</v>
      </c>
      <c r="Y1493">
        <v>12.87</v>
      </c>
    </row>
    <row r="1494" spans="1:25" x14ac:dyDescent="0.25">
      <c r="A1494">
        <v>2006</v>
      </c>
      <c r="B1494">
        <v>362</v>
      </c>
      <c r="C1494">
        <v>100</v>
      </c>
      <c r="D1494">
        <v>-1.0509999999999999</v>
      </c>
      <c r="E1494">
        <v>-9.16</v>
      </c>
      <c r="F1494">
        <v>5.2210000000000001</v>
      </c>
      <c r="G1494">
        <v>5.3490000000000002</v>
      </c>
      <c r="K1494">
        <v>0.27300000000000002</v>
      </c>
      <c r="L1494">
        <v>225.5</v>
      </c>
      <c r="M1494">
        <v>0</v>
      </c>
      <c r="O1494">
        <v>-11.49</v>
      </c>
      <c r="P1494">
        <v>-10.81</v>
      </c>
      <c r="Q1494">
        <v>5.55</v>
      </c>
      <c r="S1494">
        <v>4.8600000000000003</v>
      </c>
      <c r="T1494">
        <v>0</v>
      </c>
      <c r="U1494">
        <v>98.2</v>
      </c>
      <c r="V1494">
        <v>883</v>
      </c>
      <c r="W1494">
        <v>38.19</v>
      </c>
      <c r="Y1494">
        <v>12.85</v>
      </c>
    </row>
    <row r="1495" spans="1:25" x14ac:dyDescent="0.25">
      <c r="A1495">
        <v>2006</v>
      </c>
      <c r="B1495">
        <v>362</v>
      </c>
      <c r="C1495">
        <v>200</v>
      </c>
      <c r="D1495">
        <v>-0.93300000000000005</v>
      </c>
      <c r="E1495">
        <v>-9.5500000000000007</v>
      </c>
      <c r="F1495">
        <v>4.5389999999999997</v>
      </c>
      <c r="G1495">
        <v>4.7670000000000003</v>
      </c>
      <c r="K1495">
        <v>0.224</v>
      </c>
      <c r="L1495">
        <v>212.7</v>
      </c>
      <c r="M1495">
        <v>0</v>
      </c>
      <c r="O1495">
        <v>-11.47</v>
      </c>
      <c r="P1495">
        <v>-10.78</v>
      </c>
      <c r="Q1495">
        <v>5.4989999999999997</v>
      </c>
      <c r="S1495">
        <v>4.8639999999999999</v>
      </c>
      <c r="T1495">
        <v>0</v>
      </c>
      <c r="U1495">
        <v>96.7</v>
      </c>
      <c r="V1495">
        <v>881</v>
      </c>
      <c r="W1495">
        <v>38.090000000000003</v>
      </c>
      <c r="Y1495">
        <v>12.85</v>
      </c>
    </row>
    <row r="1496" spans="1:25" x14ac:dyDescent="0.25">
      <c r="A1496">
        <v>2006</v>
      </c>
      <c r="B1496">
        <v>362</v>
      </c>
      <c r="C1496">
        <v>300</v>
      </c>
      <c r="D1496">
        <v>-1.3169999999999999</v>
      </c>
      <c r="E1496">
        <v>-10.93</v>
      </c>
      <c r="F1496">
        <v>4.9569999999999999</v>
      </c>
      <c r="G1496">
        <v>5.23</v>
      </c>
      <c r="K1496">
        <v>0.59799999999999998</v>
      </c>
      <c r="L1496">
        <v>127.1</v>
      </c>
      <c r="M1496">
        <v>0</v>
      </c>
      <c r="O1496">
        <v>-11.43</v>
      </c>
      <c r="P1496">
        <v>-10.71</v>
      </c>
      <c r="Q1496">
        <v>5.4130000000000003</v>
      </c>
      <c r="S1496">
        <v>4.8769999999999998</v>
      </c>
      <c r="T1496">
        <v>0</v>
      </c>
      <c r="U1496">
        <v>96.1</v>
      </c>
      <c r="V1496">
        <v>880</v>
      </c>
      <c r="W1496">
        <v>38.01</v>
      </c>
      <c r="Y1496">
        <v>12.85</v>
      </c>
    </row>
    <row r="1497" spans="1:25" x14ac:dyDescent="0.25">
      <c r="A1497">
        <v>2006</v>
      </c>
      <c r="B1497">
        <v>362</v>
      </c>
      <c r="C1497">
        <v>400</v>
      </c>
      <c r="D1497">
        <v>-1.159</v>
      </c>
      <c r="E1497">
        <v>-9.94</v>
      </c>
      <c r="F1497">
        <v>4.7050000000000001</v>
      </c>
      <c r="G1497">
        <v>5.032</v>
      </c>
      <c r="K1497">
        <v>0.52500000000000002</v>
      </c>
      <c r="L1497">
        <v>111.2</v>
      </c>
      <c r="M1497">
        <v>0</v>
      </c>
      <c r="O1497">
        <v>-11.41</v>
      </c>
      <c r="P1497">
        <v>-10.69</v>
      </c>
      <c r="Q1497">
        <v>5.3170000000000002</v>
      </c>
      <c r="S1497">
        <v>4.87</v>
      </c>
      <c r="T1497">
        <v>0</v>
      </c>
      <c r="U1497">
        <v>95.2</v>
      </c>
      <c r="V1497">
        <v>878</v>
      </c>
      <c r="W1497">
        <v>37.86</v>
      </c>
      <c r="Y1497">
        <v>12.85</v>
      </c>
    </row>
    <row r="1498" spans="1:25" x14ac:dyDescent="0.25">
      <c r="A1498">
        <v>2006</v>
      </c>
      <c r="B1498">
        <v>362</v>
      </c>
      <c r="C1498">
        <v>500</v>
      </c>
      <c r="D1498">
        <v>-0.51600000000000001</v>
      </c>
      <c r="E1498">
        <v>-3.4729999999999999</v>
      </c>
      <c r="F1498">
        <v>4.6580000000000004</v>
      </c>
      <c r="G1498">
        <v>4.9969999999999999</v>
      </c>
      <c r="K1498">
        <v>0.65200000000000002</v>
      </c>
      <c r="L1498">
        <v>115.7</v>
      </c>
      <c r="M1498">
        <v>0</v>
      </c>
      <c r="O1498">
        <v>-11.38</v>
      </c>
      <c r="P1498">
        <v>-10.68</v>
      </c>
      <c r="Q1498">
        <v>5.2149999999999999</v>
      </c>
      <c r="S1498">
        <v>4.8049999999999997</v>
      </c>
      <c r="T1498">
        <v>0</v>
      </c>
      <c r="U1498">
        <v>95</v>
      </c>
      <c r="V1498">
        <v>876</v>
      </c>
      <c r="W1498">
        <v>37.74</v>
      </c>
      <c r="Y1498">
        <v>12.85</v>
      </c>
    </row>
    <row r="1499" spans="1:25" x14ac:dyDescent="0.25">
      <c r="A1499">
        <v>2006</v>
      </c>
      <c r="B1499">
        <v>362</v>
      </c>
      <c r="C1499">
        <v>600</v>
      </c>
      <c r="D1499">
        <v>-3.0000000000000001E-3</v>
      </c>
      <c r="E1499">
        <v>0.38100000000000001</v>
      </c>
      <c r="F1499">
        <v>5.1260000000000003</v>
      </c>
      <c r="G1499">
        <v>5.45</v>
      </c>
      <c r="K1499">
        <v>1.1679999999999999</v>
      </c>
      <c r="L1499">
        <v>112.5</v>
      </c>
      <c r="M1499">
        <v>0.2</v>
      </c>
      <c r="O1499">
        <v>-11.41</v>
      </c>
      <c r="P1499">
        <v>-10.69</v>
      </c>
      <c r="Q1499">
        <v>5.1639999999999997</v>
      </c>
      <c r="S1499">
        <v>4.7679999999999998</v>
      </c>
      <c r="T1499">
        <v>0</v>
      </c>
      <c r="U1499">
        <v>95.4</v>
      </c>
      <c r="V1499">
        <v>879</v>
      </c>
      <c r="W1499">
        <v>37.950000000000003</v>
      </c>
      <c r="Y1499">
        <v>12.84</v>
      </c>
    </row>
    <row r="1500" spans="1:25" x14ac:dyDescent="0.25">
      <c r="A1500">
        <v>2006</v>
      </c>
      <c r="B1500">
        <v>362</v>
      </c>
      <c r="C1500">
        <v>700</v>
      </c>
      <c r="D1500">
        <v>0</v>
      </c>
      <c r="E1500">
        <v>2.2909999999999999</v>
      </c>
      <c r="F1500">
        <v>6.867</v>
      </c>
      <c r="G1500">
        <v>7.31</v>
      </c>
      <c r="K1500">
        <v>1.2110000000000001</v>
      </c>
      <c r="L1500">
        <v>125.3</v>
      </c>
      <c r="M1500">
        <v>0.2</v>
      </c>
      <c r="O1500">
        <v>-11.46</v>
      </c>
      <c r="P1500">
        <v>-10.76</v>
      </c>
      <c r="Q1500">
        <v>5.1669999999999998</v>
      </c>
      <c r="S1500">
        <v>4.7539999999999996</v>
      </c>
      <c r="T1500">
        <v>0</v>
      </c>
      <c r="U1500">
        <v>94</v>
      </c>
      <c r="V1500">
        <v>880</v>
      </c>
      <c r="W1500">
        <v>37.979999999999997</v>
      </c>
      <c r="Y1500">
        <v>12.85</v>
      </c>
    </row>
    <row r="1501" spans="1:25" x14ac:dyDescent="0.25">
      <c r="A1501">
        <v>2006</v>
      </c>
      <c r="B1501">
        <v>362</v>
      </c>
      <c r="C1501">
        <v>800</v>
      </c>
      <c r="D1501">
        <v>0</v>
      </c>
      <c r="E1501">
        <v>2.3130000000000002</v>
      </c>
      <c r="F1501">
        <v>7.54</v>
      </c>
      <c r="G1501">
        <v>7.99</v>
      </c>
      <c r="K1501">
        <v>1.228</v>
      </c>
      <c r="L1501">
        <v>131.4</v>
      </c>
      <c r="M1501">
        <v>0</v>
      </c>
      <c r="O1501">
        <v>-11.5</v>
      </c>
      <c r="P1501">
        <v>-10.83</v>
      </c>
      <c r="Q1501">
        <v>5.1920000000000002</v>
      </c>
      <c r="S1501">
        <v>4.7290000000000001</v>
      </c>
      <c r="T1501">
        <v>0</v>
      </c>
      <c r="U1501">
        <v>94.3</v>
      </c>
      <c r="V1501">
        <v>879</v>
      </c>
      <c r="W1501">
        <v>37.94</v>
      </c>
      <c r="Y1501">
        <v>12.85</v>
      </c>
    </row>
    <row r="1502" spans="1:25" x14ac:dyDescent="0.25">
      <c r="A1502">
        <v>2006</v>
      </c>
      <c r="B1502">
        <v>362</v>
      </c>
      <c r="C1502">
        <v>900</v>
      </c>
      <c r="D1502">
        <v>0.56499999999999995</v>
      </c>
      <c r="E1502">
        <v>0.63400000000000001</v>
      </c>
      <c r="F1502">
        <v>8.1300000000000008</v>
      </c>
      <c r="G1502">
        <v>8.58</v>
      </c>
      <c r="H1502">
        <f>AVERAGE(G1502:G1526)</f>
        <v>9.9832000000000001</v>
      </c>
      <c r="I1502">
        <f>MIN(G1502:G1526)</f>
        <v>8.4700000000000006</v>
      </c>
      <c r="J1502">
        <f>MAX(G1502:G1526)</f>
        <v>11.49</v>
      </c>
      <c r="K1502">
        <v>1.141</v>
      </c>
      <c r="L1502">
        <v>146.6</v>
      </c>
      <c r="M1502">
        <v>0.4</v>
      </c>
      <c r="N1502">
        <f>SUM(M1502:M1526)</f>
        <v>3.4000000000000004</v>
      </c>
      <c r="O1502">
        <v>-10.36</v>
      </c>
      <c r="P1502">
        <v>-10.57</v>
      </c>
      <c r="Q1502">
        <v>5.3120000000000003</v>
      </c>
      <c r="S1502">
        <v>4.76</v>
      </c>
      <c r="T1502">
        <v>0</v>
      </c>
      <c r="U1502">
        <v>94.2</v>
      </c>
      <c r="V1502">
        <v>879</v>
      </c>
      <c r="W1502">
        <v>37.97</v>
      </c>
      <c r="Y1502">
        <v>12.85</v>
      </c>
    </row>
    <row r="1503" spans="1:25" x14ac:dyDescent="0.25">
      <c r="A1503">
        <v>2006</v>
      </c>
      <c r="B1503">
        <v>362</v>
      </c>
      <c r="C1503">
        <v>1000</v>
      </c>
      <c r="D1503">
        <v>16.170000000000002</v>
      </c>
      <c r="E1503">
        <v>5.3029999999999999</v>
      </c>
      <c r="F1503">
        <v>8.5500000000000007</v>
      </c>
      <c r="G1503">
        <v>9.02</v>
      </c>
      <c r="K1503">
        <v>1.28</v>
      </c>
      <c r="L1503">
        <v>148.4</v>
      </c>
      <c r="M1503">
        <v>0</v>
      </c>
      <c r="O1503">
        <v>9.76</v>
      </c>
      <c r="P1503">
        <v>-5.9080000000000004</v>
      </c>
      <c r="Q1503">
        <v>5.4450000000000003</v>
      </c>
      <c r="S1503">
        <v>4.7770000000000001</v>
      </c>
      <c r="T1503">
        <v>0</v>
      </c>
      <c r="U1503">
        <v>94.1</v>
      </c>
      <c r="V1503">
        <v>882</v>
      </c>
      <c r="W1503">
        <v>38.17</v>
      </c>
      <c r="Y1503">
        <v>12.86</v>
      </c>
    </row>
    <row r="1504" spans="1:25" x14ac:dyDescent="0.25">
      <c r="A1504">
        <v>2006</v>
      </c>
      <c r="B1504">
        <v>362</v>
      </c>
      <c r="C1504">
        <v>1100</v>
      </c>
      <c r="D1504">
        <v>57.6</v>
      </c>
      <c r="E1504">
        <v>30.42</v>
      </c>
      <c r="F1504">
        <v>8.86</v>
      </c>
      <c r="G1504">
        <v>9.5299999999999994</v>
      </c>
      <c r="K1504">
        <v>1.5009999999999999</v>
      </c>
      <c r="L1504">
        <v>137.1</v>
      </c>
      <c r="M1504">
        <v>0</v>
      </c>
      <c r="O1504">
        <v>62</v>
      </c>
      <c r="P1504">
        <v>10.23</v>
      </c>
      <c r="Q1504">
        <v>5.5780000000000003</v>
      </c>
      <c r="S1504">
        <v>4.7750000000000004</v>
      </c>
      <c r="T1504">
        <v>0</v>
      </c>
      <c r="U1504">
        <v>91.8</v>
      </c>
      <c r="V1504">
        <v>881</v>
      </c>
      <c r="W1504">
        <v>38.11</v>
      </c>
      <c r="Y1504">
        <v>13.12</v>
      </c>
    </row>
    <row r="1505" spans="1:25" x14ac:dyDescent="0.25">
      <c r="A1505">
        <v>2006</v>
      </c>
      <c r="B1505">
        <v>362</v>
      </c>
      <c r="C1505">
        <v>1200</v>
      </c>
      <c r="D1505">
        <v>149.5</v>
      </c>
      <c r="E1505">
        <v>92.9</v>
      </c>
      <c r="F1505">
        <v>9.06</v>
      </c>
      <c r="G1505">
        <v>10.14</v>
      </c>
      <c r="K1505">
        <v>2.2639999999999998</v>
      </c>
      <c r="L1505">
        <v>166.2</v>
      </c>
      <c r="M1505">
        <v>0</v>
      </c>
      <c r="O1505">
        <v>169.4</v>
      </c>
      <c r="P1505">
        <v>85.2</v>
      </c>
      <c r="Q1505">
        <v>5.7140000000000004</v>
      </c>
      <c r="S1505">
        <v>4.8010000000000002</v>
      </c>
      <c r="T1505">
        <v>0</v>
      </c>
      <c r="U1505">
        <v>87.2</v>
      </c>
      <c r="V1505">
        <v>880</v>
      </c>
      <c r="W1505">
        <v>38.020000000000003</v>
      </c>
      <c r="Y1505">
        <v>13.93</v>
      </c>
    </row>
    <row r="1506" spans="1:25" x14ac:dyDescent="0.25">
      <c r="A1506">
        <v>2006</v>
      </c>
      <c r="B1506">
        <v>362</v>
      </c>
      <c r="C1506">
        <v>1300</v>
      </c>
      <c r="D1506">
        <v>113.1</v>
      </c>
      <c r="E1506">
        <v>50.96</v>
      </c>
      <c r="F1506">
        <v>8.7799999999999994</v>
      </c>
      <c r="G1506">
        <v>10.09</v>
      </c>
      <c r="K1506">
        <v>2.3109999999999999</v>
      </c>
      <c r="L1506">
        <v>169.6</v>
      </c>
      <c r="M1506">
        <v>0</v>
      </c>
      <c r="O1506">
        <v>118.8</v>
      </c>
      <c r="P1506">
        <v>43.6</v>
      </c>
      <c r="Q1506">
        <v>5.9370000000000003</v>
      </c>
      <c r="S1506">
        <v>4.883</v>
      </c>
      <c r="T1506">
        <v>0</v>
      </c>
      <c r="U1506">
        <v>84.4</v>
      </c>
      <c r="V1506">
        <v>878</v>
      </c>
      <c r="W1506">
        <v>37.89</v>
      </c>
      <c r="Y1506">
        <v>13.84</v>
      </c>
    </row>
    <row r="1507" spans="1:25" x14ac:dyDescent="0.25">
      <c r="A1507">
        <v>2006</v>
      </c>
      <c r="B1507">
        <v>362</v>
      </c>
      <c r="C1507">
        <v>1400</v>
      </c>
      <c r="D1507">
        <v>111.6</v>
      </c>
      <c r="E1507">
        <v>47.8</v>
      </c>
      <c r="F1507">
        <v>8.57</v>
      </c>
      <c r="G1507">
        <v>10.199999999999999</v>
      </c>
      <c r="K1507">
        <v>2.6829999999999998</v>
      </c>
      <c r="L1507">
        <v>186.7</v>
      </c>
      <c r="M1507">
        <v>0</v>
      </c>
      <c r="O1507">
        <v>120.2</v>
      </c>
      <c r="P1507">
        <v>41.12</v>
      </c>
      <c r="Q1507">
        <v>6.0670000000000002</v>
      </c>
      <c r="S1507">
        <v>4.923</v>
      </c>
      <c r="T1507">
        <v>0</v>
      </c>
      <c r="U1507">
        <v>80.8</v>
      </c>
      <c r="V1507">
        <v>877</v>
      </c>
      <c r="W1507">
        <v>37.799999999999997</v>
      </c>
      <c r="Y1507">
        <v>13.82</v>
      </c>
    </row>
    <row r="1508" spans="1:25" x14ac:dyDescent="0.25">
      <c r="A1508">
        <v>2006</v>
      </c>
      <c r="B1508">
        <v>362</v>
      </c>
      <c r="C1508">
        <v>1500</v>
      </c>
      <c r="D1508">
        <v>66.97</v>
      </c>
      <c r="E1508">
        <v>11.94</v>
      </c>
      <c r="F1508">
        <v>8.65</v>
      </c>
      <c r="G1508">
        <v>9.91</v>
      </c>
      <c r="K1508">
        <v>1.857</v>
      </c>
      <c r="L1508">
        <v>157</v>
      </c>
      <c r="M1508">
        <v>0</v>
      </c>
      <c r="O1508">
        <v>68.849999999999994</v>
      </c>
      <c r="P1508">
        <v>22.15</v>
      </c>
      <c r="Q1508">
        <v>6.1390000000000002</v>
      </c>
      <c r="S1508">
        <v>4.9820000000000002</v>
      </c>
      <c r="T1508">
        <v>0</v>
      </c>
      <c r="U1508">
        <v>84.9</v>
      </c>
      <c r="V1508">
        <v>875</v>
      </c>
      <c r="W1508">
        <v>37.69</v>
      </c>
      <c r="Y1508">
        <v>13.7</v>
      </c>
    </row>
    <row r="1509" spans="1:25" x14ac:dyDescent="0.25">
      <c r="A1509">
        <v>2006</v>
      </c>
      <c r="B1509">
        <v>362</v>
      </c>
      <c r="C1509">
        <v>1600</v>
      </c>
      <c r="D1509">
        <v>9.5</v>
      </c>
      <c r="E1509">
        <v>-23.42</v>
      </c>
      <c r="F1509">
        <v>8.4499999999999993</v>
      </c>
      <c r="G1509">
        <v>9.39</v>
      </c>
      <c r="K1509">
        <v>1.6259999999999999</v>
      </c>
      <c r="L1509">
        <v>151.30000000000001</v>
      </c>
      <c r="M1509">
        <v>0</v>
      </c>
      <c r="O1509">
        <v>2.5579999999999998</v>
      </c>
      <c r="P1509">
        <v>-7.83</v>
      </c>
      <c r="Q1509">
        <v>6.1639999999999997</v>
      </c>
      <c r="S1509">
        <v>5</v>
      </c>
      <c r="T1509">
        <v>0</v>
      </c>
      <c r="U1509">
        <v>88.5</v>
      </c>
      <c r="V1509">
        <v>874</v>
      </c>
      <c r="W1509">
        <v>37.61</v>
      </c>
      <c r="Y1509">
        <v>13.34</v>
      </c>
    </row>
    <row r="1510" spans="1:25" x14ac:dyDescent="0.25">
      <c r="A1510">
        <v>2006</v>
      </c>
      <c r="B1510">
        <v>362</v>
      </c>
      <c r="C1510">
        <v>1700</v>
      </c>
      <c r="D1510">
        <v>-1.7010000000000001</v>
      </c>
      <c r="E1510">
        <v>-30.45</v>
      </c>
      <c r="F1510">
        <v>8.82</v>
      </c>
      <c r="G1510">
        <v>9.5299999999999994</v>
      </c>
      <c r="K1510">
        <v>2.4540000000000002</v>
      </c>
      <c r="L1510">
        <v>159.5</v>
      </c>
      <c r="M1510">
        <v>0</v>
      </c>
      <c r="O1510">
        <v>-11.01</v>
      </c>
      <c r="P1510">
        <v>-10.76</v>
      </c>
      <c r="Q1510">
        <v>6.1029999999999998</v>
      </c>
      <c r="S1510">
        <v>5.0279999999999996</v>
      </c>
      <c r="T1510">
        <v>0</v>
      </c>
      <c r="U1510">
        <v>91.2</v>
      </c>
      <c r="V1510">
        <v>878</v>
      </c>
      <c r="W1510">
        <v>37.909999999999997</v>
      </c>
      <c r="Y1510">
        <v>13.24</v>
      </c>
    </row>
    <row r="1511" spans="1:25" x14ac:dyDescent="0.25">
      <c r="A1511">
        <v>2006</v>
      </c>
      <c r="B1511">
        <v>362</v>
      </c>
      <c r="C1511">
        <v>1800</v>
      </c>
      <c r="D1511">
        <v>-2.056</v>
      </c>
      <c r="E1511">
        <v>-27.49</v>
      </c>
      <c r="F1511">
        <v>9.2200000000000006</v>
      </c>
      <c r="G1511">
        <v>9.93</v>
      </c>
      <c r="K1511">
        <v>2.6989999999999998</v>
      </c>
      <c r="L1511">
        <v>151.9</v>
      </c>
      <c r="M1511">
        <v>0</v>
      </c>
      <c r="O1511">
        <v>-11.5</v>
      </c>
      <c r="P1511">
        <v>-10.84</v>
      </c>
      <c r="Q1511">
        <v>6.0780000000000003</v>
      </c>
      <c r="S1511">
        <v>5.0979999999999999</v>
      </c>
      <c r="T1511">
        <v>0</v>
      </c>
      <c r="U1511">
        <v>91.5</v>
      </c>
      <c r="V1511">
        <v>873</v>
      </c>
      <c r="W1511">
        <v>37.51</v>
      </c>
      <c r="Y1511">
        <v>13.18</v>
      </c>
    </row>
    <row r="1512" spans="1:25" x14ac:dyDescent="0.25">
      <c r="A1512">
        <v>2006</v>
      </c>
      <c r="B1512">
        <v>362</v>
      </c>
      <c r="C1512">
        <v>1900</v>
      </c>
      <c r="D1512">
        <v>-1.298</v>
      </c>
      <c r="E1512">
        <v>-15.95</v>
      </c>
      <c r="F1512">
        <v>9.56</v>
      </c>
      <c r="G1512">
        <v>9.91</v>
      </c>
      <c r="K1512">
        <v>2.8969999999999998</v>
      </c>
      <c r="L1512">
        <v>151</v>
      </c>
      <c r="M1512">
        <v>0</v>
      </c>
      <c r="O1512">
        <v>-11.5</v>
      </c>
      <c r="P1512">
        <v>-10.84</v>
      </c>
      <c r="Q1512">
        <v>6.0369999999999999</v>
      </c>
      <c r="S1512">
        <v>5.1109999999999998</v>
      </c>
      <c r="T1512">
        <v>0</v>
      </c>
      <c r="U1512">
        <v>95.7</v>
      </c>
      <c r="V1512">
        <v>872</v>
      </c>
      <c r="W1512">
        <v>37.46</v>
      </c>
      <c r="Y1512">
        <v>13.14</v>
      </c>
    </row>
    <row r="1513" spans="1:25" x14ac:dyDescent="0.25">
      <c r="A1513">
        <v>2006</v>
      </c>
      <c r="B1513">
        <v>362</v>
      </c>
      <c r="C1513">
        <v>2000</v>
      </c>
      <c r="D1513">
        <v>-1.446</v>
      </c>
      <c r="E1513">
        <v>-18.670000000000002</v>
      </c>
      <c r="F1513">
        <v>9.6</v>
      </c>
      <c r="G1513">
        <v>9.91</v>
      </c>
      <c r="K1513">
        <v>3.92</v>
      </c>
      <c r="L1513">
        <v>167</v>
      </c>
      <c r="M1513">
        <v>0</v>
      </c>
      <c r="O1513">
        <v>-11.5</v>
      </c>
      <c r="P1513">
        <v>-10.85</v>
      </c>
      <c r="Q1513">
        <v>6.0739999999999998</v>
      </c>
      <c r="S1513">
        <v>5.1139999999999999</v>
      </c>
      <c r="T1513">
        <v>0</v>
      </c>
      <c r="U1513">
        <v>96.2</v>
      </c>
      <c r="V1513">
        <v>871</v>
      </c>
      <c r="W1513">
        <v>37.409999999999997</v>
      </c>
      <c r="Y1513">
        <v>13.12</v>
      </c>
    </row>
    <row r="1514" spans="1:25" x14ac:dyDescent="0.25">
      <c r="A1514">
        <v>2006</v>
      </c>
      <c r="B1514">
        <v>362</v>
      </c>
      <c r="C1514">
        <v>2100</v>
      </c>
      <c r="D1514">
        <v>-1.1459999999999999</v>
      </c>
      <c r="E1514">
        <v>-14.6</v>
      </c>
      <c r="F1514">
        <v>9.69</v>
      </c>
      <c r="G1514">
        <v>10.14</v>
      </c>
      <c r="K1514">
        <v>3.5369999999999999</v>
      </c>
      <c r="L1514">
        <v>143.30000000000001</v>
      </c>
      <c r="M1514">
        <v>0</v>
      </c>
      <c r="O1514">
        <v>-11.5</v>
      </c>
      <c r="P1514">
        <v>-10.84</v>
      </c>
      <c r="Q1514">
        <v>6.1040000000000001</v>
      </c>
      <c r="S1514">
        <v>5.1630000000000003</v>
      </c>
      <c r="T1514">
        <v>0</v>
      </c>
      <c r="U1514">
        <v>94.6</v>
      </c>
      <c r="V1514">
        <v>870</v>
      </c>
      <c r="W1514">
        <v>37.35</v>
      </c>
      <c r="Y1514">
        <v>13.1</v>
      </c>
    </row>
    <row r="1515" spans="1:25" x14ac:dyDescent="0.25">
      <c r="A1515">
        <v>2006</v>
      </c>
      <c r="B1515">
        <v>362</v>
      </c>
      <c r="C1515">
        <v>2200</v>
      </c>
      <c r="D1515">
        <v>-0.57099999999999995</v>
      </c>
      <c r="E1515">
        <v>-1.724</v>
      </c>
      <c r="F1515">
        <v>10.119999999999999</v>
      </c>
      <c r="G1515">
        <v>10.42</v>
      </c>
      <c r="K1515">
        <v>4.2779999999999996</v>
      </c>
      <c r="L1515">
        <v>160.4</v>
      </c>
      <c r="M1515">
        <v>0</v>
      </c>
      <c r="O1515">
        <v>-11.5</v>
      </c>
      <c r="P1515">
        <v>-10.85</v>
      </c>
      <c r="Q1515">
        <v>6.1760000000000002</v>
      </c>
      <c r="S1515">
        <v>5.2169999999999996</v>
      </c>
      <c r="T1515">
        <v>0</v>
      </c>
      <c r="U1515">
        <v>96.3</v>
      </c>
      <c r="V1515">
        <v>869</v>
      </c>
      <c r="W1515">
        <v>37.299999999999997</v>
      </c>
      <c r="Y1515">
        <v>13.08</v>
      </c>
    </row>
    <row r="1516" spans="1:25" x14ac:dyDescent="0.25">
      <c r="A1516">
        <v>2006</v>
      </c>
      <c r="B1516">
        <v>362</v>
      </c>
      <c r="C1516">
        <v>2300</v>
      </c>
      <c r="D1516">
        <v>-0.64</v>
      </c>
      <c r="E1516">
        <v>-4.657</v>
      </c>
      <c r="F1516">
        <v>10.18</v>
      </c>
      <c r="G1516">
        <v>10.53</v>
      </c>
      <c r="K1516">
        <v>4.548</v>
      </c>
      <c r="L1516">
        <v>168.5</v>
      </c>
      <c r="M1516">
        <v>0</v>
      </c>
      <c r="O1516">
        <v>-11.5</v>
      </c>
      <c r="P1516">
        <v>-10.85</v>
      </c>
      <c r="Q1516">
        <v>6.2759999999999998</v>
      </c>
      <c r="S1516">
        <v>5.22</v>
      </c>
      <c r="T1516">
        <v>0</v>
      </c>
      <c r="U1516">
        <v>95.8</v>
      </c>
      <c r="V1516">
        <v>869</v>
      </c>
      <c r="W1516">
        <v>37.270000000000003</v>
      </c>
      <c r="Y1516">
        <v>13.06</v>
      </c>
    </row>
    <row r="1517" spans="1:25" x14ac:dyDescent="0.25">
      <c r="A1517">
        <v>2006</v>
      </c>
      <c r="B1517">
        <v>362</v>
      </c>
      <c r="C1517">
        <v>2400</v>
      </c>
      <c r="D1517">
        <v>-1.155</v>
      </c>
      <c r="E1517">
        <v>-5.98</v>
      </c>
      <c r="F1517">
        <v>9.82</v>
      </c>
      <c r="G1517">
        <v>9.92</v>
      </c>
      <c r="K1517">
        <v>4.1509999999999998</v>
      </c>
      <c r="L1517">
        <v>156.9</v>
      </c>
      <c r="M1517">
        <v>0</v>
      </c>
      <c r="O1517">
        <v>-11.5</v>
      </c>
      <c r="P1517">
        <v>-10.85</v>
      </c>
      <c r="Q1517">
        <v>6.3780000000000001</v>
      </c>
      <c r="S1517">
        <v>5.2210000000000001</v>
      </c>
      <c r="T1517">
        <v>0</v>
      </c>
      <c r="U1517">
        <v>98.7</v>
      </c>
      <c r="V1517">
        <v>868</v>
      </c>
      <c r="W1517">
        <v>37.22</v>
      </c>
      <c r="Y1517">
        <v>13.05</v>
      </c>
    </row>
    <row r="1518" spans="1:25" x14ac:dyDescent="0.25">
      <c r="A1518">
        <v>2006</v>
      </c>
      <c r="B1518">
        <v>362</v>
      </c>
      <c r="C1518">
        <v>2400</v>
      </c>
      <c r="D1518">
        <v>21.25</v>
      </c>
      <c r="E1518">
        <v>2.4569999999999999</v>
      </c>
      <c r="F1518">
        <v>7.9</v>
      </c>
      <c r="G1518">
        <v>8.4700000000000006</v>
      </c>
      <c r="K1518">
        <v>2.0430000000000001</v>
      </c>
      <c r="L1518">
        <v>150.6</v>
      </c>
      <c r="M1518">
        <v>0.8</v>
      </c>
      <c r="O1518">
        <v>14.92</v>
      </c>
      <c r="P1518">
        <v>0.223</v>
      </c>
      <c r="Q1518">
        <v>5.7539999999999996</v>
      </c>
      <c r="S1518">
        <v>4.9409999999999998</v>
      </c>
      <c r="T1518">
        <v>0</v>
      </c>
      <c r="U1518">
        <v>93</v>
      </c>
      <c r="V1518">
        <v>876</v>
      </c>
      <c r="W1518">
        <v>37.770000000000003</v>
      </c>
      <c r="Y1518">
        <v>13.13</v>
      </c>
    </row>
    <row r="1519" spans="1:25" x14ac:dyDescent="0.25">
      <c r="A1519">
        <v>2006</v>
      </c>
      <c r="B1519">
        <v>363</v>
      </c>
      <c r="C1519">
        <v>100</v>
      </c>
      <c r="D1519">
        <v>-0.92600000000000005</v>
      </c>
      <c r="E1519">
        <v>-4.4409999999999998</v>
      </c>
      <c r="F1519">
        <v>9.49</v>
      </c>
      <c r="G1519">
        <v>9.76</v>
      </c>
      <c r="K1519">
        <v>4.3490000000000002</v>
      </c>
      <c r="L1519">
        <v>150.80000000000001</v>
      </c>
      <c r="M1519">
        <v>0</v>
      </c>
      <c r="O1519">
        <v>-11.5</v>
      </c>
      <c r="P1519">
        <v>-10.84</v>
      </c>
      <c r="Q1519">
        <v>6.4669999999999996</v>
      </c>
      <c r="S1519">
        <v>5.2729999999999997</v>
      </c>
      <c r="T1519">
        <v>0</v>
      </c>
      <c r="U1519">
        <v>96.7</v>
      </c>
      <c r="V1519">
        <v>870</v>
      </c>
      <c r="W1519">
        <v>37.31</v>
      </c>
      <c r="Y1519">
        <v>13.04</v>
      </c>
    </row>
    <row r="1520" spans="1:25" x14ac:dyDescent="0.25">
      <c r="A1520">
        <v>2006</v>
      </c>
      <c r="B1520">
        <v>363</v>
      </c>
      <c r="C1520">
        <v>200</v>
      </c>
      <c r="D1520">
        <v>-0.93700000000000006</v>
      </c>
      <c r="E1520">
        <v>-5.742</v>
      </c>
      <c r="F1520">
        <v>9.3699999999999992</v>
      </c>
      <c r="G1520">
        <v>9.65</v>
      </c>
      <c r="K1520">
        <v>4.4660000000000002</v>
      </c>
      <c r="L1520">
        <v>154.1</v>
      </c>
      <c r="M1520">
        <v>0.2</v>
      </c>
      <c r="O1520">
        <v>-11.5</v>
      </c>
      <c r="P1520">
        <v>-10.85</v>
      </c>
      <c r="Q1520">
        <v>6.5430000000000001</v>
      </c>
      <c r="S1520">
        <v>5.327</v>
      </c>
      <c r="T1520">
        <v>0</v>
      </c>
      <c r="U1520">
        <v>96.5</v>
      </c>
      <c r="V1520">
        <v>871</v>
      </c>
      <c r="W1520">
        <v>37.42</v>
      </c>
      <c r="Y1520">
        <v>13.03</v>
      </c>
    </row>
    <row r="1521" spans="1:25" x14ac:dyDescent="0.25">
      <c r="A1521">
        <v>2006</v>
      </c>
      <c r="B1521">
        <v>363</v>
      </c>
      <c r="C1521">
        <v>300</v>
      </c>
      <c r="D1521">
        <v>-1.1339999999999999</v>
      </c>
      <c r="E1521">
        <v>-5.298</v>
      </c>
      <c r="F1521">
        <v>9.61</v>
      </c>
      <c r="G1521">
        <v>9.92</v>
      </c>
      <c r="K1521">
        <v>4.867</v>
      </c>
      <c r="L1521">
        <v>159</v>
      </c>
      <c r="M1521">
        <v>0</v>
      </c>
      <c r="O1521">
        <v>-11.5</v>
      </c>
      <c r="P1521">
        <v>-10.84</v>
      </c>
      <c r="Q1521">
        <v>6.6239999999999997</v>
      </c>
      <c r="S1521">
        <v>5.3490000000000002</v>
      </c>
      <c r="T1521">
        <v>0</v>
      </c>
      <c r="U1521">
        <v>96.3</v>
      </c>
      <c r="V1521">
        <v>870</v>
      </c>
      <c r="W1521">
        <v>37.36</v>
      </c>
      <c r="Y1521">
        <v>13.01</v>
      </c>
    </row>
    <row r="1522" spans="1:25" x14ac:dyDescent="0.25">
      <c r="A1522">
        <v>2006</v>
      </c>
      <c r="B1522">
        <v>363</v>
      </c>
      <c r="C1522">
        <v>400</v>
      </c>
      <c r="D1522">
        <v>-1.069</v>
      </c>
      <c r="E1522">
        <v>-5.431</v>
      </c>
      <c r="F1522">
        <v>9.9600000000000009</v>
      </c>
      <c r="G1522">
        <v>10.24</v>
      </c>
      <c r="K1522">
        <v>4.6689999999999996</v>
      </c>
      <c r="L1522">
        <v>154.9</v>
      </c>
      <c r="M1522">
        <v>0.2</v>
      </c>
      <c r="O1522">
        <v>-11.5</v>
      </c>
      <c r="P1522">
        <v>-10.84</v>
      </c>
      <c r="Q1522">
        <v>6.71</v>
      </c>
      <c r="S1522">
        <v>5.4320000000000004</v>
      </c>
      <c r="T1522">
        <v>0</v>
      </c>
      <c r="U1522">
        <v>96.6</v>
      </c>
      <c r="V1522">
        <v>871</v>
      </c>
      <c r="W1522">
        <v>37.39</v>
      </c>
      <c r="Y1522">
        <v>13.01</v>
      </c>
    </row>
    <row r="1523" spans="1:25" x14ac:dyDescent="0.25">
      <c r="A1523">
        <v>2006</v>
      </c>
      <c r="B1523">
        <v>363</v>
      </c>
      <c r="C1523">
        <v>500</v>
      </c>
      <c r="D1523">
        <v>-1.165</v>
      </c>
      <c r="E1523">
        <v>-4.8049999999999997</v>
      </c>
      <c r="F1523">
        <v>10.11</v>
      </c>
      <c r="G1523">
        <v>10.43</v>
      </c>
      <c r="K1523">
        <v>4.6539999999999999</v>
      </c>
      <c r="L1523">
        <v>154.9</v>
      </c>
      <c r="M1523">
        <v>0</v>
      </c>
      <c r="O1523">
        <v>-11.5</v>
      </c>
      <c r="P1523">
        <v>-10.84</v>
      </c>
      <c r="Q1523">
        <v>6.81</v>
      </c>
      <c r="S1523">
        <v>5.4779999999999998</v>
      </c>
      <c r="T1523">
        <v>0</v>
      </c>
      <c r="U1523">
        <v>96.2</v>
      </c>
      <c r="V1523">
        <v>871</v>
      </c>
      <c r="W1523">
        <v>37.42</v>
      </c>
      <c r="Y1523">
        <v>13</v>
      </c>
    </row>
    <row r="1524" spans="1:25" x14ac:dyDescent="0.25">
      <c r="A1524">
        <v>2006</v>
      </c>
      <c r="B1524">
        <v>363</v>
      </c>
      <c r="C1524">
        <v>600</v>
      </c>
      <c r="D1524">
        <v>-1.155</v>
      </c>
      <c r="E1524">
        <v>-3.2759999999999998</v>
      </c>
      <c r="F1524">
        <v>10.63</v>
      </c>
      <c r="G1524">
        <v>11.32</v>
      </c>
      <c r="K1524">
        <v>5.0789999999999997</v>
      </c>
      <c r="L1524">
        <v>158.69999999999999</v>
      </c>
      <c r="M1524">
        <v>0</v>
      </c>
      <c r="O1524">
        <v>-11.5</v>
      </c>
      <c r="P1524">
        <v>-10.84</v>
      </c>
      <c r="Q1524">
        <v>6.9189999999999996</v>
      </c>
      <c r="S1524">
        <v>5.5540000000000003</v>
      </c>
      <c r="T1524">
        <v>0</v>
      </c>
      <c r="U1524">
        <v>92.1</v>
      </c>
      <c r="V1524">
        <v>872</v>
      </c>
      <c r="W1524">
        <v>37.46</v>
      </c>
      <c r="Y1524">
        <v>12.99</v>
      </c>
    </row>
    <row r="1525" spans="1:25" x14ac:dyDescent="0.25">
      <c r="A1525">
        <v>2006</v>
      </c>
      <c r="B1525">
        <v>363</v>
      </c>
      <c r="C1525">
        <v>700</v>
      </c>
      <c r="D1525">
        <v>-1.0820000000000001</v>
      </c>
      <c r="E1525">
        <v>-6.827</v>
      </c>
      <c r="F1525">
        <v>11.2</v>
      </c>
      <c r="G1525">
        <v>11.49</v>
      </c>
      <c r="K1525">
        <v>5.5449999999999999</v>
      </c>
      <c r="L1525">
        <v>167.5</v>
      </c>
      <c r="M1525">
        <v>1</v>
      </c>
      <c r="O1525">
        <v>-11.5</v>
      </c>
      <c r="P1525">
        <v>-10.85</v>
      </c>
      <c r="Q1525">
        <v>7.04</v>
      </c>
      <c r="S1525">
        <v>5.6420000000000003</v>
      </c>
      <c r="T1525">
        <v>0</v>
      </c>
      <c r="U1525">
        <v>96.6</v>
      </c>
      <c r="V1525">
        <v>876</v>
      </c>
      <c r="W1525">
        <v>37.729999999999997</v>
      </c>
      <c r="Y1525">
        <v>12.99</v>
      </c>
    </row>
    <row r="1526" spans="1:25" x14ac:dyDescent="0.25">
      <c r="A1526">
        <v>2006</v>
      </c>
      <c r="B1526">
        <v>363</v>
      </c>
      <c r="C1526">
        <v>800</v>
      </c>
      <c r="D1526">
        <v>-1.0249999999999999</v>
      </c>
      <c r="E1526">
        <v>-9.56</v>
      </c>
      <c r="F1526">
        <v>10.81</v>
      </c>
      <c r="G1526">
        <v>11.15</v>
      </c>
      <c r="K1526">
        <v>5.6589999999999998</v>
      </c>
      <c r="L1526">
        <v>168.7</v>
      </c>
      <c r="M1526">
        <v>0.8</v>
      </c>
      <c r="O1526">
        <v>-11.5</v>
      </c>
      <c r="P1526">
        <v>-10.85</v>
      </c>
      <c r="Q1526">
        <v>7.16</v>
      </c>
      <c r="S1526">
        <v>5.6790000000000003</v>
      </c>
      <c r="T1526">
        <v>0</v>
      </c>
      <c r="U1526">
        <v>96.1</v>
      </c>
      <c r="V1526">
        <v>889</v>
      </c>
      <c r="W1526">
        <v>38.65</v>
      </c>
      <c r="Y1526">
        <v>12.98</v>
      </c>
    </row>
    <row r="1527" spans="1:25" x14ac:dyDescent="0.25">
      <c r="A1527">
        <v>2006</v>
      </c>
      <c r="B1527">
        <v>363</v>
      </c>
      <c r="C1527">
        <v>900</v>
      </c>
      <c r="D1527">
        <v>-0.25900000000000001</v>
      </c>
      <c r="E1527">
        <v>-5.0430000000000001</v>
      </c>
      <c r="F1527">
        <v>10.6</v>
      </c>
      <c r="G1527">
        <v>10.83</v>
      </c>
      <c r="H1527">
        <f>AVERAGE(G1527:G1551)</f>
        <v>9.219120000000002</v>
      </c>
      <c r="I1527">
        <f>MIN(G1527:G1551)</f>
        <v>4.1459999999999999</v>
      </c>
      <c r="J1527">
        <f>MAX(G1527:G1551)</f>
        <v>12.86</v>
      </c>
      <c r="K1527">
        <v>5.6109999999999998</v>
      </c>
      <c r="L1527">
        <v>168.7</v>
      </c>
      <c r="M1527">
        <v>0.2</v>
      </c>
      <c r="N1527">
        <f>SUM(M1527:M1551)</f>
        <v>9.2000000000000011</v>
      </c>
      <c r="O1527">
        <v>-11.15</v>
      </c>
      <c r="P1527">
        <v>-10.84</v>
      </c>
      <c r="Q1527">
        <v>7.27</v>
      </c>
      <c r="S1527">
        <v>5.7549999999999999</v>
      </c>
      <c r="T1527">
        <v>0</v>
      </c>
      <c r="U1527">
        <v>97.3</v>
      </c>
      <c r="V1527">
        <v>904</v>
      </c>
      <c r="W1527">
        <v>39.74</v>
      </c>
      <c r="Y1527">
        <v>12.98</v>
      </c>
    </row>
    <row r="1528" spans="1:25" x14ac:dyDescent="0.25">
      <c r="A1528">
        <v>2006</v>
      </c>
      <c r="B1528">
        <v>363</v>
      </c>
      <c r="C1528">
        <v>1000</v>
      </c>
      <c r="D1528">
        <v>8.06</v>
      </c>
      <c r="E1528">
        <v>0.27700000000000002</v>
      </c>
      <c r="F1528">
        <v>10.7</v>
      </c>
      <c r="G1528">
        <v>11.05</v>
      </c>
      <c r="K1528">
        <v>4.242</v>
      </c>
      <c r="L1528">
        <v>177.1</v>
      </c>
      <c r="M1528">
        <v>0.2</v>
      </c>
      <c r="O1528">
        <v>-0.47699999999999998</v>
      </c>
      <c r="P1528">
        <v>-8.6199999999999992</v>
      </c>
      <c r="Q1528">
        <v>7.36</v>
      </c>
      <c r="S1528">
        <v>5.806</v>
      </c>
      <c r="T1528">
        <v>0</v>
      </c>
      <c r="U1528">
        <v>95.9</v>
      </c>
      <c r="V1528">
        <v>909</v>
      </c>
      <c r="W1528">
        <v>40.1</v>
      </c>
      <c r="Y1528">
        <v>12.97</v>
      </c>
    </row>
    <row r="1529" spans="1:25" x14ac:dyDescent="0.25">
      <c r="A1529">
        <v>2006</v>
      </c>
      <c r="B1529">
        <v>363</v>
      </c>
      <c r="C1529">
        <v>1100</v>
      </c>
      <c r="D1529">
        <v>25.8</v>
      </c>
      <c r="E1529">
        <v>11.89</v>
      </c>
      <c r="F1529">
        <v>10.77</v>
      </c>
      <c r="G1529">
        <v>11.08</v>
      </c>
      <c r="K1529">
        <v>3.61</v>
      </c>
      <c r="L1529">
        <v>181.6</v>
      </c>
      <c r="M1529">
        <v>0</v>
      </c>
      <c r="O1529">
        <v>20.83</v>
      </c>
      <c r="P1529">
        <v>-4.1449999999999996</v>
      </c>
      <c r="Q1529">
        <v>7.44</v>
      </c>
      <c r="S1529">
        <v>5.8869999999999996</v>
      </c>
      <c r="T1529">
        <v>0</v>
      </c>
      <c r="U1529">
        <v>96.4</v>
      </c>
      <c r="V1529">
        <v>908</v>
      </c>
      <c r="W1529">
        <v>40.08</v>
      </c>
      <c r="Y1529">
        <v>12.98</v>
      </c>
    </row>
    <row r="1530" spans="1:25" x14ac:dyDescent="0.25">
      <c r="A1530">
        <v>2006</v>
      </c>
      <c r="B1530">
        <v>363</v>
      </c>
      <c r="C1530">
        <v>1200</v>
      </c>
      <c r="D1530">
        <v>82.6</v>
      </c>
      <c r="E1530">
        <v>46.43</v>
      </c>
      <c r="F1530">
        <v>11.13</v>
      </c>
      <c r="G1530">
        <v>11.76</v>
      </c>
      <c r="K1530">
        <v>3.9620000000000002</v>
      </c>
      <c r="L1530">
        <v>193</v>
      </c>
      <c r="M1530">
        <v>1.2</v>
      </c>
      <c r="O1530">
        <v>88.8</v>
      </c>
      <c r="P1530">
        <v>24.32</v>
      </c>
      <c r="Q1530">
        <v>7.53</v>
      </c>
      <c r="S1530">
        <v>5.9749999999999996</v>
      </c>
      <c r="T1530">
        <v>0</v>
      </c>
      <c r="U1530">
        <v>92.8</v>
      </c>
      <c r="V1530">
        <v>907</v>
      </c>
      <c r="W1530">
        <v>39.950000000000003</v>
      </c>
      <c r="Y1530">
        <v>13.66</v>
      </c>
    </row>
    <row r="1531" spans="1:25" x14ac:dyDescent="0.25">
      <c r="A1531">
        <v>2006</v>
      </c>
      <c r="B1531">
        <v>363</v>
      </c>
      <c r="C1531">
        <v>1300</v>
      </c>
      <c r="D1531">
        <v>146.19999999999999</v>
      </c>
      <c r="E1531">
        <v>93</v>
      </c>
      <c r="F1531">
        <v>9.9600000000000009</v>
      </c>
      <c r="G1531">
        <v>10.63</v>
      </c>
      <c r="K1531">
        <v>4.18</v>
      </c>
      <c r="L1531">
        <v>213.6</v>
      </c>
      <c r="M1531">
        <v>0</v>
      </c>
      <c r="O1531">
        <v>169.9</v>
      </c>
      <c r="P1531">
        <v>60.93</v>
      </c>
      <c r="Q1531">
        <v>7.59</v>
      </c>
      <c r="S1531">
        <v>5.9870000000000001</v>
      </c>
      <c r="T1531">
        <v>0</v>
      </c>
      <c r="U1531">
        <v>92.1</v>
      </c>
      <c r="V1531">
        <v>933</v>
      </c>
      <c r="W1531">
        <v>42.12</v>
      </c>
      <c r="Y1531">
        <v>13.97</v>
      </c>
    </row>
    <row r="1532" spans="1:25" x14ac:dyDescent="0.25">
      <c r="A1532">
        <v>2006</v>
      </c>
      <c r="B1532">
        <v>363</v>
      </c>
      <c r="C1532">
        <v>1400</v>
      </c>
      <c r="D1532">
        <v>72.099999999999994</v>
      </c>
      <c r="E1532">
        <v>38.33</v>
      </c>
      <c r="F1532">
        <v>10.19</v>
      </c>
      <c r="G1532">
        <v>10.55</v>
      </c>
      <c r="K1532">
        <v>4.6989999999999998</v>
      </c>
      <c r="L1532">
        <v>221.5</v>
      </c>
      <c r="M1532">
        <v>0</v>
      </c>
      <c r="O1532">
        <v>71.5</v>
      </c>
      <c r="P1532">
        <v>43.68</v>
      </c>
      <c r="Q1532">
        <v>7.68</v>
      </c>
      <c r="S1532">
        <v>6.0510000000000002</v>
      </c>
      <c r="T1532">
        <v>0</v>
      </c>
      <c r="U1532">
        <v>95.7</v>
      </c>
      <c r="V1532">
        <v>939</v>
      </c>
      <c r="W1532">
        <v>42.59</v>
      </c>
      <c r="Y1532">
        <v>13.73</v>
      </c>
    </row>
    <row r="1533" spans="1:25" x14ac:dyDescent="0.25">
      <c r="A1533">
        <v>2006</v>
      </c>
      <c r="B1533">
        <v>363</v>
      </c>
      <c r="C1533">
        <v>1500</v>
      </c>
      <c r="D1533">
        <v>81.400000000000006</v>
      </c>
      <c r="E1533">
        <v>25.87</v>
      </c>
      <c r="F1533">
        <v>10</v>
      </c>
      <c r="G1533">
        <v>10.46</v>
      </c>
      <c r="K1533">
        <v>3.613</v>
      </c>
      <c r="L1533">
        <v>216.7</v>
      </c>
      <c r="M1533">
        <v>0</v>
      </c>
      <c r="O1533">
        <v>72.599999999999994</v>
      </c>
      <c r="P1533">
        <v>52.81</v>
      </c>
      <c r="Q1533">
        <v>7.72</v>
      </c>
      <c r="S1533">
        <v>6.1230000000000002</v>
      </c>
      <c r="T1533">
        <v>0</v>
      </c>
      <c r="U1533">
        <v>94.4</v>
      </c>
      <c r="V1533">
        <v>940</v>
      </c>
      <c r="W1533">
        <v>42.68</v>
      </c>
      <c r="Y1533">
        <v>14.02</v>
      </c>
    </row>
    <row r="1534" spans="1:25" x14ac:dyDescent="0.25">
      <c r="A1534">
        <v>2006</v>
      </c>
      <c r="B1534">
        <v>363</v>
      </c>
      <c r="C1534">
        <v>1600</v>
      </c>
      <c r="D1534">
        <v>11.19</v>
      </c>
      <c r="E1534">
        <v>-28.48</v>
      </c>
      <c r="F1534">
        <v>9.9</v>
      </c>
      <c r="G1534">
        <v>10.220000000000001</v>
      </c>
      <c r="K1534">
        <v>2.6</v>
      </c>
      <c r="L1534">
        <v>200.3</v>
      </c>
      <c r="M1534">
        <v>0</v>
      </c>
      <c r="O1534">
        <v>2.95</v>
      </c>
      <c r="P1534">
        <v>-7.3</v>
      </c>
      <c r="Q1534">
        <v>7.66</v>
      </c>
      <c r="S1534">
        <v>6.1779999999999999</v>
      </c>
      <c r="T1534">
        <v>0</v>
      </c>
      <c r="U1534">
        <v>96.1</v>
      </c>
      <c r="V1534">
        <v>941</v>
      </c>
      <c r="W1534">
        <v>42.81</v>
      </c>
      <c r="Y1534">
        <v>13.43</v>
      </c>
    </row>
    <row r="1535" spans="1:25" x14ac:dyDescent="0.25">
      <c r="A1535">
        <v>2006</v>
      </c>
      <c r="B1535">
        <v>363</v>
      </c>
      <c r="C1535">
        <v>1700</v>
      </c>
      <c r="D1535">
        <v>-1.1060000000000001</v>
      </c>
      <c r="E1535">
        <v>-20.72</v>
      </c>
      <c r="F1535">
        <v>10.19</v>
      </c>
      <c r="G1535">
        <v>10.64</v>
      </c>
      <c r="K1535">
        <v>2.4809999999999999</v>
      </c>
      <c r="L1535">
        <v>186.4</v>
      </c>
      <c r="M1535">
        <v>0</v>
      </c>
      <c r="O1535">
        <v>-10.5</v>
      </c>
      <c r="P1535">
        <v>-10.66</v>
      </c>
      <c r="Q1535">
        <v>7.6</v>
      </c>
      <c r="S1535">
        <v>6.27</v>
      </c>
      <c r="T1535">
        <v>0</v>
      </c>
      <c r="U1535">
        <v>94.6</v>
      </c>
      <c r="V1535">
        <v>943</v>
      </c>
      <c r="W1535">
        <v>42.93</v>
      </c>
      <c r="Y1535">
        <v>13.27</v>
      </c>
    </row>
    <row r="1536" spans="1:25" x14ac:dyDescent="0.25">
      <c r="A1536">
        <v>2006</v>
      </c>
      <c r="B1536">
        <v>363</v>
      </c>
      <c r="C1536">
        <v>1800</v>
      </c>
      <c r="D1536">
        <v>-1.728</v>
      </c>
      <c r="E1536">
        <v>-19.510000000000002</v>
      </c>
      <c r="F1536">
        <v>10.89</v>
      </c>
      <c r="G1536">
        <v>11.17</v>
      </c>
      <c r="K1536">
        <v>3.0979999999999999</v>
      </c>
      <c r="L1536">
        <v>163</v>
      </c>
      <c r="M1536">
        <v>0</v>
      </c>
      <c r="O1536">
        <v>-11.5</v>
      </c>
      <c r="P1536">
        <v>-10.84</v>
      </c>
      <c r="Q1536">
        <v>7.5</v>
      </c>
      <c r="S1536">
        <v>6.306</v>
      </c>
      <c r="T1536">
        <v>0</v>
      </c>
      <c r="U1536">
        <v>96.6</v>
      </c>
      <c r="V1536">
        <v>944</v>
      </c>
      <c r="W1536">
        <v>43.02</v>
      </c>
      <c r="Y1536">
        <v>13.19</v>
      </c>
    </row>
    <row r="1537" spans="1:25" x14ac:dyDescent="0.25">
      <c r="A1537">
        <v>2006</v>
      </c>
      <c r="B1537">
        <v>363</v>
      </c>
      <c r="C1537">
        <v>1900</v>
      </c>
      <c r="D1537">
        <v>-2.1829999999999998</v>
      </c>
      <c r="E1537">
        <v>-14.18</v>
      </c>
      <c r="F1537">
        <v>11.14</v>
      </c>
      <c r="G1537">
        <v>11.39</v>
      </c>
      <c r="K1537">
        <v>3.5</v>
      </c>
      <c r="L1537">
        <v>154.6</v>
      </c>
      <c r="M1537">
        <v>0.2</v>
      </c>
      <c r="O1537">
        <v>-11.51</v>
      </c>
      <c r="P1537">
        <v>-10.85</v>
      </c>
      <c r="Q1537">
        <v>7.46</v>
      </c>
      <c r="S1537">
        <v>6.3049999999999997</v>
      </c>
      <c r="T1537">
        <v>0</v>
      </c>
      <c r="U1537">
        <v>97.2</v>
      </c>
      <c r="V1537">
        <v>946</v>
      </c>
      <c r="W1537">
        <v>43.21</v>
      </c>
      <c r="Y1537">
        <v>13.14</v>
      </c>
    </row>
    <row r="1538" spans="1:25" x14ac:dyDescent="0.25">
      <c r="A1538">
        <v>2006</v>
      </c>
      <c r="B1538">
        <v>363</v>
      </c>
      <c r="C1538">
        <v>2000</v>
      </c>
      <c r="D1538">
        <v>-1.76</v>
      </c>
      <c r="E1538">
        <v>-10.95</v>
      </c>
      <c r="F1538">
        <v>11.09</v>
      </c>
      <c r="G1538">
        <v>11.38</v>
      </c>
      <c r="K1538">
        <v>4.1360000000000001</v>
      </c>
      <c r="L1538">
        <v>165.2</v>
      </c>
      <c r="M1538">
        <v>0.2</v>
      </c>
      <c r="O1538">
        <v>-11.5</v>
      </c>
      <c r="P1538">
        <v>-10.85</v>
      </c>
      <c r="Q1538">
        <v>7.49</v>
      </c>
      <c r="S1538">
        <v>6.306</v>
      </c>
      <c r="T1538">
        <v>0</v>
      </c>
      <c r="U1538">
        <v>96.7</v>
      </c>
      <c r="V1538">
        <v>946</v>
      </c>
      <c r="W1538">
        <v>43.21</v>
      </c>
      <c r="Y1538">
        <v>13.1</v>
      </c>
    </row>
    <row r="1539" spans="1:25" x14ac:dyDescent="0.25">
      <c r="A1539">
        <v>2006</v>
      </c>
      <c r="B1539">
        <v>363</v>
      </c>
      <c r="C1539">
        <v>2100</v>
      </c>
      <c r="D1539">
        <v>-0.97699999999999998</v>
      </c>
      <c r="E1539">
        <v>-4.7130000000000001</v>
      </c>
      <c r="F1539">
        <v>11.77</v>
      </c>
      <c r="G1539">
        <v>12.05</v>
      </c>
      <c r="K1539">
        <v>4.2939999999999996</v>
      </c>
      <c r="L1539">
        <v>163</v>
      </c>
      <c r="M1539">
        <v>0</v>
      </c>
      <c r="O1539">
        <v>-11.5</v>
      </c>
      <c r="P1539">
        <v>-10.85</v>
      </c>
      <c r="Q1539">
        <v>7.56</v>
      </c>
      <c r="S1539">
        <v>6.3470000000000004</v>
      </c>
      <c r="T1539">
        <v>0</v>
      </c>
      <c r="U1539">
        <v>96.9</v>
      </c>
      <c r="V1539">
        <v>948</v>
      </c>
      <c r="W1539">
        <v>43.44</v>
      </c>
      <c r="Y1539">
        <v>13.07</v>
      </c>
    </row>
    <row r="1540" spans="1:25" x14ac:dyDescent="0.25">
      <c r="A1540">
        <v>2006</v>
      </c>
      <c r="B1540">
        <v>363</v>
      </c>
      <c r="C1540">
        <v>2200</v>
      </c>
      <c r="D1540">
        <v>-1.129</v>
      </c>
      <c r="E1540">
        <v>-9.1999999999999993</v>
      </c>
      <c r="F1540">
        <v>12.12</v>
      </c>
      <c r="G1540">
        <v>12.86</v>
      </c>
      <c r="K1540">
        <v>5.3739999999999997</v>
      </c>
      <c r="L1540">
        <v>194.5</v>
      </c>
      <c r="M1540">
        <v>0.2</v>
      </c>
      <c r="O1540">
        <v>-11.5</v>
      </c>
      <c r="P1540">
        <v>-10.85</v>
      </c>
      <c r="Q1540">
        <v>7.62</v>
      </c>
      <c r="S1540">
        <v>6.36</v>
      </c>
      <c r="T1540">
        <v>0</v>
      </c>
      <c r="U1540">
        <v>91.9</v>
      </c>
      <c r="V1540">
        <v>949</v>
      </c>
      <c r="W1540">
        <v>43.49</v>
      </c>
      <c r="Y1540">
        <v>13.05</v>
      </c>
    </row>
    <row r="1541" spans="1:25" x14ac:dyDescent="0.25">
      <c r="A1541">
        <v>2006</v>
      </c>
      <c r="B1541">
        <v>363</v>
      </c>
      <c r="C1541">
        <v>2300</v>
      </c>
      <c r="D1541">
        <v>-0.45600000000000002</v>
      </c>
      <c r="E1541">
        <v>-21.44</v>
      </c>
      <c r="F1541">
        <v>10.41</v>
      </c>
      <c r="G1541">
        <v>10.89</v>
      </c>
      <c r="K1541">
        <v>7.23</v>
      </c>
      <c r="L1541">
        <v>219.1</v>
      </c>
      <c r="M1541">
        <v>0</v>
      </c>
      <c r="O1541">
        <v>-11.5</v>
      </c>
      <c r="P1541">
        <v>-10.84</v>
      </c>
      <c r="Q1541">
        <v>7.68</v>
      </c>
      <c r="S1541">
        <v>6.3170000000000002</v>
      </c>
      <c r="T1541">
        <v>0</v>
      </c>
      <c r="U1541">
        <v>94.5</v>
      </c>
      <c r="V1541">
        <v>950</v>
      </c>
      <c r="W1541">
        <v>43.6</v>
      </c>
      <c r="Y1541">
        <v>13.03</v>
      </c>
    </row>
    <row r="1542" spans="1:25" x14ac:dyDescent="0.25">
      <c r="A1542">
        <v>2006</v>
      </c>
      <c r="B1542">
        <v>363</v>
      </c>
      <c r="C1542">
        <v>2400</v>
      </c>
      <c r="D1542">
        <v>-1.2649999999999999</v>
      </c>
      <c r="E1542">
        <v>-39.229999999999997</v>
      </c>
      <c r="F1542">
        <v>7.13</v>
      </c>
      <c r="G1542">
        <v>7.27</v>
      </c>
      <c r="K1542">
        <v>5.3449999999999998</v>
      </c>
      <c r="L1542">
        <v>227.1</v>
      </c>
      <c r="M1542">
        <v>0</v>
      </c>
      <c r="O1542">
        <v>-11.5</v>
      </c>
      <c r="P1542">
        <v>-10.85</v>
      </c>
      <c r="Q1542">
        <v>7.68</v>
      </c>
      <c r="S1542">
        <v>6.3310000000000004</v>
      </c>
      <c r="T1542">
        <v>0</v>
      </c>
      <c r="U1542">
        <v>98</v>
      </c>
      <c r="V1542">
        <v>919</v>
      </c>
      <c r="W1542">
        <v>40.94</v>
      </c>
      <c r="Y1542">
        <v>13.01</v>
      </c>
    </row>
    <row r="1543" spans="1:25" x14ac:dyDescent="0.25">
      <c r="A1543">
        <v>2006</v>
      </c>
      <c r="B1543">
        <v>363</v>
      </c>
      <c r="C1543">
        <v>2400</v>
      </c>
      <c r="D1543">
        <v>16.989999999999998</v>
      </c>
      <c r="E1543">
        <v>-0.127</v>
      </c>
      <c r="F1543">
        <v>10.38</v>
      </c>
      <c r="G1543">
        <v>10.76</v>
      </c>
      <c r="K1543">
        <v>4.4690000000000003</v>
      </c>
      <c r="L1543">
        <v>181.1</v>
      </c>
      <c r="M1543">
        <v>4.4000000000000004</v>
      </c>
      <c r="O1543">
        <v>9.67</v>
      </c>
      <c r="P1543">
        <v>-0.93799999999999994</v>
      </c>
      <c r="Q1543">
        <v>7.3</v>
      </c>
      <c r="S1543">
        <v>5.9180000000000001</v>
      </c>
      <c r="T1543">
        <v>0</v>
      </c>
      <c r="U1543">
        <v>95.6</v>
      </c>
      <c r="V1543">
        <v>913</v>
      </c>
      <c r="W1543">
        <v>40.61</v>
      </c>
      <c r="Y1543">
        <v>13.19</v>
      </c>
    </row>
    <row r="1544" spans="1:25" x14ac:dyDescent="0.25">
      <c r="A1544">
        <v>2006</v>
      </c>
      <c r="B1544">
        <v>364</v>
      </c>
      <c r="C1544">
        <v>100</v>
      </c>
      <c r="D1544">
        <v>-1.8680000000000001</v>
      </c>
      <c r="E1544">
        <v>-32.72</v>
      </c>
      <c r="F1544">
        <v>6.7</v>
      </c>
      <c r="G1544">
        <v>6.8929999999999998</v>
      </c>
      <c r="K1544">
        <v>3.2360000000000002</v>
      </c>
      <c r="L1544">
        <v>223.1</v>
      </c>
      <c r="M1544">
        <v>0</v>
      </c>
      <c r="O1544">
        <v>-11.5</v>
      </c>
      <c r="P1544">
        <v>-10.84</v>
      </c>
      <c r="Q1544">
        <v>7.52</v>
      </c>
      <c r="S1544">
        <v>6.3570000000000002</v>
      </c>
      <c r="T1544">
        <v>0</v>
      </c>
      <c r="U1544">
        <v>97.4</v>
      </c>
      <c r="V1544">
        <v>884</v>
      </c>
      <c r="W1544">
        <v>38.39</v>
      </c>
      <c r="Y1544">
        <v>12.99</v>
      </c>
    </row>
    <row r="1545" spans="1:25" x14ac:dyDescent="0.25">
      <c r="A1545">
        <v>2006</v>
      </c>
      <c r="B1545">
        <v>364</v>
      </c>
      <c r="C1545">
        <v>200</v>
      </c>
      <c r="D1545">
        <v>-2.0049999999999999</v>
      </c>
      <c r="E1545">
        <v>-40.76</v>
      </c>
      <c r="F1545">
        <v>6.8029999999999999</v>
      </c>
      <c r="G1545">
        <v>7.05</v>
      </c>
      <c r="K1545">
        <v>3.4860000000000002</v>
      </c>
      <c r="L1545">
        <v>221.9</v>
      </c>
      <c r="M1545">
        <v>0</v>
      </c>
      <c r="O1545">
        <v>-11.5</v>
      </c>
      <c r="P1545">
        <v>-10.84</v>
      </c>
      <c r="Q1545">
        <v>7.33</v>
      </c>
      <c r="S1545">
        <v>6.4050000000000002</v>
      </c>
      <c r="T1545">
        <v>0</v>
      </c>
      <c r="U1545">
        <v>96.7</v>
      </c>
      <c r="V1545">
        <v>858</v>
      </c>
      <c r="W1545">
        <v>36.58</v>
      </c>
      <c r="Y1545">
        <v>12.98</v>
      </c>
    </row>
    <row r="1546" spans="1:25" x14ac:dyDescent="0.25">
      <c r="A1546">
        <v>2006</v>
      </c>
      <c r="B1546">
        <v>364</v>
      </c>
      <c r="C1546">
        <v>300</v>
      </c>
      <c r="D1546">
        <v>-2.464</v>
      </c>
      <c r="E1546">
        <v>-47.51</v>
      </c>
      <c r="F1546">
        <v>6.3239999999999998</v>
      </c>
      <c r="G1546">
        <v>6.5279999999999996</v>
      </c>
      <c r="K1546">
        <v>2.9689999999999999</v>
      </c>
      <c r="L1546">
        <v>224.3</v>
      </c>
      <c r="M1546">
        <v>0</v>
      </c>
      <c r="O1546">
        <v>-11.5</v>
      </c>
      <c r="P1546">
        <v>-10.84</v>
      </c>
      <c r="Q1546">
        <v>7.11</v>
      </c>
      <c r="S1546">
        <v>6.3540000000000001</v>
      </c>
      <c r="T1546">
        <v>0</v>
      </c>
      <c r="U1546">
        <v>97.2</v>
      </c>
      <c r="V1546">
        <v>839</v>
      </c>
      <c r="W1546">
        <v>35.409999999999997</v>
      </c>
      <c r="Y1546">
        <v>12.96</v>
      </c>
    </row>
    <row r="1547" spans="1:25" x14ac:dyDescent="0.25">
      <c r="A1547">
        <v>2006</v>
      </c>
      <c r="B1547">
        <v>364</v>
      </c>
      <c r="C1547">
        <v>400</v>
      </c>
      <c r="D1547">
        <v>-1.05</v>
      </c>
      <c r="E1547">
        <v>-11.83</v>
      </c>
      <c r="F1547">
        <v>6.3449999999999998</v>
      </c>
      <c r="G1547">
        <v>6.5960000000000001</v>
      </c>
      <c r="K1547">
        <v>2.3719999999999999</v>
      </c>
      <c r="L1547">
        <v>222.6</v>
      </c>
      <c r="M1547">
        <v>0</v>
      </c>
      <c r="O1547">
        <v>-11.5</v>
      </c>
      <c r="P1547">
        <v>-10.84</v>
      </c>
      <c r="Q1547">
        <v>6.88</v>
      </c>
      <c r="S1547">
        <v>6.2969999999999997</v>
      </c>
      <c r="T1547">
        <v>0</v>
      </c>
      <c r="U1547">
        <v>96.5</v>
      </c>
      <c r="V1547">
        <v>844</v>
      </c>
      <c r="W1547">
        <v>35.75</v>
      </c>
      <c r="Y1547">
        <v>12.95</v>
      </c>
    </row>
    <row r="1548" spans="1:25" x14ac:dyDescent="0.25">
      <c r="A1548">
        <v>2006</v>
      </c>
      <c r="B1548">
        <v>364</v>
      </c>
      <c r="C1548">
        <v>500</v>
      </c>
      <c r="D1548">
        <v>-0.52</v>
      </c>
      <c r="E1548">
        <v>-7.78</v>
      </c>
      <c r="F1548">
        <v>5.5430000000000001</v>
      </c>
      <c r="G1548">
        <v>5.6269999999999998</v>
      </c>
      <c r="K1548">
        <v>3.1419999999999999</v>
      </c>
      <c r="L1548">
        <v>226.7</v>
      </c>
      <c r="M1548">
        <v>2.6</v>
      </c>
      <c r="O1548">
        <v>-11.5</v>
      </c>
      <c r="P1548">
        <v>-10.84</v>
      </c>
      <c r="Q1548">
        <v>6.718</v>
      </c>
      <c r="S1548">
        <v>6.2469999999999999</v>
      </c>
      <c r="T1548">
        <v>0</v>
      </c>
      <c r="U1548">
        <v>98.8</v>
      </c>
      <c r="V1548">
        <v>837</v>
      </c>
      <c r="W1548">
        <v>35.31</v>
      </c>
      <c r="Y1548">
        <v>12.94</v>
      </c>
    </row>
    <row r="1549" spans="1:25" x14ac:dyDescent="0.25">
      <c r="A1549">
        <v>2006</v>
      </c>
      <c r="B1549">
        <v>364</v>
      </c>
      <c r="C1549">
        <v>600</v>
      </c>
      <c r="D1549">
        <v>-1.1719999999999999</v>
      </c>
      <c r="E1549">
        <v>-25.58</v>
      </c>
      <c r="F1549">
        <v>4.3680000000000003</v>
      </c>
      <c r="G1549">
        <v>4.4550000000000001</v>
      </c>
      <c r="K1549">
        <v>2.008</v>
      </c>
      <c r="L1549">
        <v>226.4</v>
      </c>
      <c r="M1549">
        <v>0</v>
      </c>
      <c r="O1549">
        <v>-11.49</v>
      </c>
      <c r="P1549">
        <v>-10.82</v>
      </c>
      <c r="Q1549">
        <v>6.61</v>
      </c>
      <c r="S1549">
        <v>6.1660000000000004</v>
      </c>
      <c r="T1549">
        <v>0</v>
      </c>
      <c r="U1549">
        <v>98.7</v>
      </c>
      <c r="V1549">
        <v>920</v>
      </c>
      <c r="W1549">
        <v>41.14</v>
      </c>
      <c r="Y1549">
        <v>12.93</v>
      </c>
    </row>
    <row r="1550" spans="1:25" x14ac:dyDescent="0.25">
      <c r="A1550">
        <v>2006</v>
      </c>
      <c r="B1550">
        <v>364</v>
      </c>
      <c r="C1550">
        <v>700</v>
      </c>
      <c r="D1550">
        <v>-2.0979999999999999</v>
      </c>
      <c r="E1550">
        <v>-42.06</v>
      </c>
      <c r="F1550">
        <v>4.0330000000000004</v>
      </c>
      <c r="G1550">
        <v>4.1929999999999996</v>
      </c>
      <c r="K1550">
        <v>2.2869999999999999</v>
      </c>
      <c r="L1550">
        <v>220.1</v>
      </c>
      <c r="M1550">
        <v>0</v>
      </c>
      <c r="O1550">
        <v>-11.41</v>
      </c>
      <c r="P1550">
        <v>-10.7</v>
      </c>
      <c r="Q1550">
        <v>6.5179999999999998</v>
      </c>
      <c r="S1550">
        <v>6.14</v>
      </c>
      <c r="T1550">
        <v>0</v>
      </c>
      <c r="U1550">
        <v>97.6</v>
      </c>
      <c r="V1550">
        <v>937</v>
      </c>
      <c r="W1550">
        <v>42.46</v>
      </c>
      <c r="Y1550">
        <v>12.93</v>
      </c>
    </row>
    <row r="1551" spans="1:25" x14ac:dyDescent="0.25">
      <c r="A1551">
        <v>2006</v>
      </c>
      <c r="B1551">
        <v>364</v>
      </c>
      <c r="C1551">
        <v>800</v>
      </c>
      <c r="D1551">
        <v>-2.379</v>
      </c>
      <c r="E1551">
        <v>-42.09</v>
      </c>
      <c r="F1551">
        <v>3.9409999999999998</v>
      </c>
      <c r="G1551">
        <v>4.1459999999999999</v>
      </c>
      <c r="K1551">
        <v>2.4460000000000002</v>
      </c>
      <c r="L1551">
        <v>220.6</v>
      </c>
      <c r="M1551">
        <v>0</v>
      </c>
      <c r="O1551">
        <v>-11.32</v>
      </c>
      <c r="P1551">
        <v>-10.59</v>
      </c>
      <c r="Q1551">
        <v>6.306</v>
      </c>
      <c r="S1551">
        <v>6.06</v>
      </c>
      <c r="T1551">
        <v>0</v>
      </c>
      <c r="U1551">
        <v>96.9</v>
      </c>
      <c r="V1551">
        <v>939</v>
      </c>
      <c r="W1551">
        <v>42.62</v>
      </c>
      <c r="Y1551">
        <v>12.92</v>
      </c>
    </row>
    <row r="1552" spans="1:25" x14ac:dyDescent="0.25">
      <c r="A1552">
        <v>2006</v>
      </c>
      <c r="B1552">
        <v>364</v>
      </c>
      <c r="C1552">
        <v>900</v>
      </c>
      <c r="D1552">
        <v>-6.5000000000000002E-2</v>
      </c>
      <c r="E1552">
        <v>-32.82</v>
      </c>
      <c r="F1552">
        <v>4.2380000000000004</v>
      </c>
      <c r="G1552">
        <v>4.5540000000000003</v>
      </c>
      <c r="H1552">
        <f>AVERAGE(G1552:G1576)</f>
        <v>5.59856</v>
      </c>
      <c r="I1552">
        <f>MIN(G1552:G1576)</f>
        <v>4.468</v>
      </c>
      <c r="J1552">
        <f>MAX(G1552:G1576)</f>
        <v>7.23</v>
      </c>
      <c r="K1552">
        <v>2.286</v>
      </c>
      <c r="L1552">
        <v>218.5</v>
      </c>
      <c r="M1552">
        <v>0</v>
      </c>
      <c r="N1552">
        <f>SUM(M1552:M1576)</f>
        <v>4</v>
      </c>
      <c r="O1552">
        <v>-8.34</v>
      </c>
      <c r="P1552">
        <v>-9.65</v>
      </c>
      <c r="Q1552">
        <v>6.0670000000000002</v>
      </c>
      <c r="S1552">
        <v>5.9669999999999996</v>
      </c>
      <c r="T1552">
        <v>0</v>
      </c>
      <c r="U1552">
        <v>95.3</v>
      </c>
      <c r="V1552">
        <v>940</v>
      </c>
      <c r="W1552">
        <v>42.67</v>
      </c>
      <c r="Y1552">
        <v>12.91</v>
      </c>
    </row>
    <row r="1553" spans="1:25" x14ac:dyDescent="0.25">
      <c r="A1553">
        <v>2006</v>
      </c>
      <c r="B1553">
        <v>364</v>
      </c>
      <c r="C1553">
        <v>1000</v>
      </c>
      <c r="D1553">
        <v>21.47</v>
      </c>
      <c r="E1553">
        <v>3.7999999999999999E-2</v>
      </c>
      <c r="F1553">
        <v>5.1269999999999998</v>
      </c>
      <c r="G1553">
        <v>5.5289999999999999</v>
      </c>
      <c r="K1553">
        <v>2.476</v>
      </c>
      <c r="L1553">
        <v>221.1</v>
      </c>
      <c r="M1553">
        <v>0</v>
      </c>
      <c r="O1553">
        <v>15.69</v>
      </c>
      <c r="P1553">
        <v>-4.1340000000000003</v>
      </c>
      <c r="Q1553">
        <v>5.8689999999999998</v>
      </c>
      <c r="S1553">
        <v>5.9240000000000004</v>
      </c>
      <c r="T1553">
        <v>0</v>
      </c>
      <c r="U1553">
        <v>94.3</v>
      </c>
      <c r="V1553">
        <v>942</v>
      </c>
      <c r="W1553">
        <v>42.87</v>
      </c>
      <c r="Y1553">
        <v>12.93</v>
      </c>
    </row>
    <row r="1554" spans="1:25" x14ac:dyDescent="0.25">
      <c r="A1554">
        <v>2006</v>
      </c>
      <c r="B1554">
        <v>364</v>
      </c>
      <c r="C1554">
        <v>1100</v>
      </c>
      <c r="D1554">
        <v>61.2</v>
      </c>
      <c r="E1554">
        <v>15.42</v>
      </c>
      <c r="F1554">
        <v>5.7110000000000003</v>
      </c>
      <c r="G1554">
        <v>6.157</v>
      </c>
      <c r="K1554">
        <v>2.82</v>
      </c>
      <c r="L1554">
        <v>222</v>
      </c>
      <c r="M1554">
        <v>0</v>
      </c>
      <c r="O1554">
        <v>59.6</v>
      </c>
      <c r="P1554">
        <v>13.71</v>
      </c>
      <c r="Q1554">
        <v>5.798</v>
      </c>
      <c r="S1554">
        <v>5.8520000000000003</v>
      </c>
      <c r="T1554">
        <v>0</v>
      </c>
      <c r="U1554">
        <v>93.8</v>
      </c>
      <c r="V1554">
        <v>943</v>
      </c>
      <c r="W1554">
        <v>42.94</v>
      </c>
      <c r="Y1554">
        <v>13.37</v>
      </c>
    </row>
    <row r="1555" spans="1:25" x14ac:dyDescent="0.25">
      <c r="A1555">
        <v>2006</v>
      </c>
      <c r="B1555">
        <v>364</v>
      </c>
      <c r="C1555">
        <v>1200</v>
      </c>
      <c r="D1555">
        <v>151.6</v>
      </c>
      <c r="E1555">
        <v>88.5</v>
      </c>
      <c r="F1555">
        <v>5.9420000000000002</v>
      </c>
      <c r="G1555">
        <v>6.4749999999999996</v>
      </c>
      <c r="K1555">
        <v>3.38</v>
      </c>
      <c r="L1555">
        <v>222.4</v>
      </c>
      <c r="M1555">
        <v>0</v>
      </c>
      <c r="O1555">
        <v>165.8</v>
      </c>
      <c r="P1555">
        <v>78.099999999999994</v>
      </c>
      <c r="Q1555">
        <v>5.7839999999999998</v>
      </c>
      <c r="S1555">
        <v>5.7839999999999998</v>
      </c>
      <c r="T1555">
        <v>0</v>
      </c>
      <c r="U1555">
        <v>92.7</v>
      </c>
      <c r="V1555">
        <v>943</v>
      </c>
      <c r="W1555">
        <v>42.96</v>
      </c>
      <c r="Y1555">
        <v>14.32</v>
      </c>
    </row>
    <row r="1556" spans="1:25" x14ac:dyDescent="0.25">
      <c r="A1556">
        <v>2006</v>
      </c>
      <c r="B1556">
        <v>364</v>
      </c>
      <c r="C1556">
        <v>1300</v>
      </c>
      <c r="D1556">
        <v>182</v>
      </c>
      <c r="E1556">
        <v>116.8</v>
      </c>
      <c r="F1556">
        <v>6.3150000000000004</v>
      </c>
      <c r="G1556">
        <v>6.9210000000000003</v>
      </c>
      <c r="K1556">
        <v>3.2519999999999998</v>
      </c>
      <c r="L1556">
        <v>223.9</v>
      </c>
      <c r="M1556">
        <v>0</v>
      </c>
      <c r="O1556">
        <v>199.9</v>
      </c>
      <c r="P1556">
        <v>106.7</v>
      </c>
      <c r="Q1556">
        <v>5.8079999999999998</v>
      </c>
      <c r="S1556">
        <v>5.7229999999999999</v>
      </c>
      <c r="T1556">
        <v>0</v>
      </c>
      <c r="U1556">
        <v>91.8</v>
      </c>
      <c r="V1556">
        <v>943</v>
      </c>
      <c r="W1556">
        <v>43</v>
      </c>
      <c r="Y1556">
        <v>14.41</v>
      </c>
    </row>
    <row r="1557" spans="1:25" x14ac:dyDescent="0.25">
      <c r="A1557">
        <v>2006</v>
      </c>
      <c r="B1557">
        <v>364</v>
      </c>
      <c r="C1557">
        <v>1400</v>
      </c>
      <c r="D1557">
        <v>165.4</v>
      </c>
      <c r="E1557">
        <v>98.7</v>
      </c>
      <c r="F1557">
        <v>6.7050000000000001</v>
      </c>
      <c r="G1557">
        <v>7.23</v>
      </c>
      <c r="K1557">
        <v>3.1890000000000001</v>
      </c>
      <c r="L1557">
        <v>224.2</v>
      </c>
      <c r="M1557">
        <v>0</v>
      </c>
      <c r="O1557">
        <v>172</v>
      </c>
      <c r="P1557">
        <v>105.9</v>
      </c>
      <c r="Q1557">
        <v>5.7649999999999997</v>
      </c>
      <c r="S1557">
        <v>5.6559999999999997</v>
      </c>
      <c r="T1557">
        <v>0</v>
      </c>
      <c r="U1557">
        <v>93</v>
      </c>
      <c r="V1557">
        <v>943</v>
      </c>
      <c r="W1557">
        <v>43.01</v>
      </c>
      <c r="Y1557">
        <v>14.36</v>
      </c>
    </row>
    <row r="1558" spans="1:25" x14ac:dyDescent="0.25">
      <c r="A1558">
        <v>2006</v>
      </c>
      <c r="B1558">
        <v>364</v>
      </c>
      <c r="C1558">
        <v>1500</v>
      </c>
      <c r="D1558">
        <v>110.3</v>
      </c>
      <c r="E1558">
        <v>31.45</v>
      </c>
      <c r="F1558">
        <v>6.6559999999999997</v>
      </c>
      <c r="G1558">
        <v>6.9870000000000001</v>
      </c>
      <c r="K1558">
        <v>2.762</v>
      </c>
      <c r="L1558">
        <v>226.5</v>
      </c>
      <c r="M1558">
        <v>0</v>
      </c>
      <c r="O1558">
        <v>102.9</v>
      </c>
      <c r="P1558">
        <v>87</v>
      </c>
      <c r="Q1558">
        <v>5.7569999999999997</v>
      </c>
      <c r="S1558">
        <v>5.6539999999999999</v>
      </c>
      <c r="T1558">
        <v>0</v>
      </c>
      <c r="U1558">
        <v>95.5</v>
      </c>
      <c r="V1558">
        <v>944</v>
      </c>
      <c r="W1558">
        <v>43.08</v>
      </c>
      <c r="Y1558">
        <v>14.24</v>
      </c>
    </row>
    <row r="1559" spans="1:25" x14ac:dyDescent="0.25">
      <c r="A1559">
        <v>2006</v>
      </c>
      <c r="B1559">
        <v>364</v>
      </c>
      <c r="C1559">
        <v>1600</v>
      </c>
      <c r="D1559">
        <v>21.88</v>
      </c>
      <c r="E1559">
        <v>-38.47</v>
      </c>
      <c r="F1559">
        <v>5.9770000000000003</v>
      </c>
      <c r="G1559">
        <v>6.149</v>
      </c>
      <c r="K1559">
        <v>2.1240000000000001</v>
      </c>
      <c r="L1559">
        <v>226.6</v>
      </c>
      <c r="M1559">
        <v>0</v>
      </c>
      <c r="O1559">
        <v>12.26</v>
      </c>
      <c r="P1559">
        <v>5.1989999999999998</v>
      </c>
      <c r="Q1559">
        <v>5.6619999999999999</v>
      </c>
      <c r="S1559">
        <v>5.577</v>
      </c>
      <c r="T1559">
        <v>0</v>
      </c>
      <c r="U1559">
        <v>97.6</v>
      </c>
      <c r="V1559">
        <v>945</v>
      </c>
      <c r="W1559">
        <v>43.15</v>
      </c>
      <c r="Y1559">
        <v>13.66</v>
      </c>
    </row>
    <row r="1560" spans="1:25" x14ac:dyDescent="0.25">
      <c r="A1560">
        <v>2006</v>
      </c>
      <c r="B1560">
        <v>364</v>
      </c>
      <c r="C1560">
        <v>1700</v>
      </c>
      <c r="D1560">
        <v>-1.849</v>
      </c>
      <c r="E1560">
        <v>-49.77</v>
      </c>
      <c r="F1560">
        <v>5.0869999999999997</v>
      </c>
      <c r="G1560">
        <v>5.1379999999999999</v>
      </c>
      <c r="K1560">
        <v>1.478</v>
      </c>
      <c r="L1560">
        <v>222</v>
      </c>
      <c r="M1560">
        <v>0</v>
      </c>
      <c r="O1560">
        <v>-9.8000000000000007</v>
      </c>
      <c r="P1560">
        <v>-10.25</v>
      </c>
      <c r="Q1560">
        <v>5.5650000000000004</v>
      </c>
      <c r="S1560">
        <v>5.5469999999999997</v>
      </c>
      <c r="T1560">
        <v>0</v>
      </c>
      <c r="U1560">
        <v>99.3</v>
      </c>
      <c r="V1560">
        <v>946</v>
      </c>
      <c r="W1560">
        <v>43.24</v>
      </c>
      <c r="Y1560">
        <v>13.42</v>
      </c>
    </row>
    <row r="1561" spans="1:25" x14ac:dyDescent="0.25">
      <c r="A1561">
        <v>2006</v>
      </c>
      <c r="B1561">
        <v>364</v>
      </c>
      <c r="C1561">
        <v>1800</v>
      </c>
      <c r="D1561">
        <v>-3.0070000000000001</v>
      </c>
      <c r="E1561">
        <v>-45.44</v>
      </c>
      <c r="F1561">
        <v>4.6390000000000002</v>
      </c>
      <c r="G1561">
        <v>4.7460000000000004</v>
      </c>
      <c r="K1561">
        <v>1.774</v>
      </c>
      <c r="L1561">
        <v>222.6</v>
      </c>
      <c r="M1561">
        <v>0</v>
      </c>
      <c r="O1561">
        <v>-11.5</v>
      </c>
      <c r="P1561">
        <v>-10.84</v>
      </c>
      <c r="Q1561">
        <v>5.383</v>
      </c>
      <c r="S1561">
        <v>5.5149999999999997</v>
      </c>
      <c r="T1561">
        <v>0</v>
      </c>
      <c r="U1561">
        <v>98.4</v>
      </c>
      <c r="V1561">
        <v>948</v>
      </c>
      <c r="W1561">
        <v>43.42</v>
      </c>
      <c r="Y1561">
        <v>13.3</v>
      </c>
    </row>
    <row r="1562" spans="1:25" x14ac:dyDescent="0.25">
      <c r="A1562">
        <v>2006</v>
      </c>
      <c r="B1562">
        <v>364</v>
      </c>
      <c r="C1562">
        <v>1900</v>
      </c>
      <c r="D1562">
        <v>-2.851</v>
      </c>
      <c r="E1562">
        <v>-39.75</v>
      </c>
      <c r="F1562">
        <v>4.5</v>
      </c>
      <c r="G1562">
        <v>4.7030000000000003</v>
      </c>
      <c r="K1562">
        <v>1.9330000000000001</v>
      </c>
      <c r="L1562">
        <v>223.3</v>
      </c>
      <c r="M1562">
        <v>0</v>
      </c>
      <c r="O1562">
        <v>-11.47</v>
      </c>
      <c r="P1562">
        <v>-10.77</v>
      </c>
      <c r="Q1562">
        <v>5.2380000000000004</v>
      </c>
      <c r="S1562">
        <v>5.5149999999999997</v>
      </c>
      <c r="T1562">
        <v>0</v>
      </c>
      <c r="U1562">
        <v>97</v>
      </c>
      <c r="V1562">
        <v>948</v>
      </c>
      <c r="W1562">
        <v>43.4</v>
      </c>
      <c r="Y1562">
        <v>13.22</v>
      </c>
    </row>
    <row r="1563" spans="1:25" x14ac:dyDescent="0.25">
      <c r="A1563">
        <v>2006</v>
      </c>
      <c r="B1563">
        <v>364</v>
      </c>
      <c r="C1563">
        <v>2000</v>
      </c>
      <c r="D1563">
        <v>-2.7509999999999999</v>
      </c>
      <c r="E1563">
        <v>-36.64</v>
      </c>
      <c r="F1563">
        <v>4.7469999999999999</v>
      </c>
      <c r="G1563">
        <v>5.0869999999999997</v>
      </c>
      <c r="K1563">
        <v>2.6669999999999998</v>
      </c>
      <c r="L1563">
        <v>222.3</v>
      </c>
      <c r="M1563">
        <v>0</v>
      </c>
      <c r="O1563">
        <v>-11.45</v>
      </c>
      <c r="P1563">
        <v>-10.72</v>
      </c>
      <c r="Q1563">
        <v>5.0620000000000003</v>
      </c>
      <c r="S1563">
        <v>5.4359999999999999</v>
      </c>
      <c r="T1563">
        <v>0</v>
      </c>
      <c r="U1563">
        <v>95.1</v>
      </c>
      <c r="V1563">
        <v>895</v>
      </c>
      <c r="W1563">
        <v>39.049999999999997</v>
      </c>
      <c r="Y1563">
        <v>13.16</v>
      </c>
    </row>
    <row r="1564" spans="1:25" x14ac:dyDescent="0.25">
      <c r="A1564">
        <v>2006</v>
      </c>
      <c r="B1564">
        <v>364</v>
      </c>
      <c r="C1564">
        <v>2100</v>
      </c>
      <c r="D1564">
        <v>-1.8979999999999999</v>
      </c>
      <c r="E1564">
        <v>-14.91</v>
      </c>
      <c r="F1564">
        <v>5.2460000000000004</v>
      </c>
      <c r="G1564">
        <v>5.625</v>
      </c>
      <c r="K1564">
        <v>3.11</v>
      </c>
      <c r="L1564">
        <v>224.2</v>
      </c>
      <c r="M1564">
        <v>0</v>
      </c>
      <c r="O1564">
        <v>-11.43</v>
      </c>
      <c r="P1564">
        <v>-10.71</v>
      </c>
      <c r="Q1564">
        <v>4.9320000000000004</v>
      </c>
      <c r="S1564">
        <v>5.3949999999999996</v>
      </c>
      <c r="T1564">
        <v>0</v>
      </c>
      <c r="U1564">
        <v>94.6</v>
      </c>
      <c r="V1564">
        <v>892</v>
      </c>
      <c r="W1564">
        <v>38.86</v>
      </c>
      <c r="Y1564">
        <v>13.11</v>
      </c>
    </row>
    <row r="1565" spans="1:25" x14ac:dyDescent="0.25">
      <c r="A1565">
        <v>2006</v>
      </c>
      <c r="B1565">
        <v>364</v>
      </c>
      <c r="C1565">
        <v>2200</v>
      </c>
      <c r="D1565">
        <v>-1.78</v>
      </c>
      <c r="E1565">
        <v>-29.01</v>
      </c>
      <c r="F1565">
        <v>5.2149999999999999</v>
      </c>
      <c r="G1565">
        <v>5.6429999999999998</v>
      </c>
      <c r="K1565">
        <v>3.2949999999999999</v>
      </c>
      <c r="L1565">
        <v>224.7</v>
      </c>
      <c r="M1565">
        <v>0</v>
      </c>
      <c r="O1565">
        <v>-11.48</v>
      </c>
      <c r="P1565">
        <v>-10.78</v>
      </c>
      <c r="Q1565">
        <v>4.9000000000000004</v>
      </c>
      <c r="S1565">
        <v>5.3109999999999999</v>
      </c>
      <c r="T1565">
        <v>0</v>
      </c>
      <c r="U1565">
        <v>93.9</v>
      </c>
      <c r="V1565">
        <v>891</v>
      </c>
      <c r="W1565">
        <v>38.76</v>
      </c>
      <c r="Y1565">
        <v>13.07</v>
      </c>
    </row>
    <row r="1566" spans="1:25" x14ac:dyDescent="0.25">
      <c r="A1566">
        <v>2006</v>
      </c>
      <c r="B1566">
        <v>364</v>
      </c>
      <c r="C1566">
        <v>2300</v>
      </c>
      <c r="D1566">
        <v>-1.619</v>
      </c>
      <c r="E1566">
        <v>-18.39</v>
      </c>
      <c r="F1566">
        <v>5.08</v>
      </c>
      <c r="G1566">
        <v>5.4109999999999996</v>
      </c>
      <c r="K1566">
        <v>3.298</v>
      </c>
      <c r="L1566">
        <v>224.3</v>
      </c>
      <c r="M1566">
        <v>0.2</v>
      </c>
      <c r="O1566">
        <v>-11.47</v>
      </c>
      <c r="P1566">
        <v>-10.77</v>
      </c>
      <c r="Q1566">
        <v>4.867</v>
      </c>
      <c r="S1566">
        <v>5.2279999999999998</v>
      </c>
      <c r="T1566">
        <v>0</v>
      </c>
      <c r="U1566">
        <v>95.2</v>
      </c>
      <c r="V1566">
        <v>889</v>
      </c>
      <c r="W1566">
        <v>38.61</v>
      </c>
      <c r="Y1566">
        <v>13.04</v>
      </c>
    </row>
    <row r="1567" spans="1:25" x14ac:dyDescent="0.25">
      <c r="A1567">
        <v>2006</v>
      </c>
      <c r="B1567">
        <v>364</v>
      </c>
      <c r="C1567">
        <v>2400</v>
      </c>
      <c r="D1567">
        <v>-1.5429999999999999</v>
      </c>
      <c r="E1567">
        <v>-20.98</v>
      </c>
      <c r="F1567">
        <v>5.4009999999999998</v>
      </c>
      <c r="G1567">
        <v>5.6470000000000002</v>
      </c>
      <c r="K1567">
        <v>3.6349999999999998</v>
      </c>
      <c r="L1567">
        <v>227.1</v>
      </c>
      <c r="M1567">
        <v>0.4</v>
      </c>
      <c r="O1567">
        <v>-11.49</v>
      </c>
      <c r="P1567">
        <v>-10.78</v>
      </c>
      <c r="Q1567">
        <v>4.8470000000000004</v>
      </c>
      <c r="S1567">
        <v>5.1909999999999998</v>
      </c>
      <c r="T1567">
        <v>0</v>
      </c>
      <c r="U1567">
        <v>96.5</v>
      </c>
      <c r="V1567">
        <v>897</v>
      </c>
      <c r="W1567">
        <v>39.19</v>
      </c>
      <c r="Y1567">
        <v>13.02</v>
      </c>
    </row>
    <row r="1568" spans="1:25" x14ac:dyDescent="0.25">
      <c r="A1568">
        <v>2006</v>
      </c>
      <c r="B1568">
        <v>364</v>
      </c>
      <c r="C1568">
        <v>2400</v>
      </c>
      <c r="D1568">
        <v>28.46</v>
      </c>
      <c r="E1568">
        <v>-9.4</v>
      </c>
      <c r="F1568">
        <v>5.444</v>
      </c>
      <c r="G1568">
        <v>5.7290000000000001</v>
      </c>
      <c r="K1568">
        <v>2.726</v>
      </c>
      <c r="L1568">
        <v>223.4</v>
      </c>
      <c r="M1568">
        <v>3.2</v>
      </c>
      <c r="O1568">
        <v>22.42</v>
      </c>
      <c r="P1568">
        <v>8.7899999999999991</v>
      </c>
      <c r="Q1568">
        <v>5.9290000000000003</v>
      </c>
      <c r="S1568">
        <v>5.8040000000000003</v>
      </c>
      <c r="T1568">
        <v>0</v>
      </c>
      <c r="U1568">
        <v>96</v>
      </c>
      <c r="V1568">
        <v>913</v>
      </c>
      <c r="W1568">
        <v>40.659999999999997</v>
      </c>
      <c r="Y1568">
        <v>13.3</v>
      </c>
    </row>
    <row r="1569" spans="1:25" x14ac:dyDescent="0.25">
      <c r="A1569">
        <v>2006</v>
      </c>
      <c r="B1569">
        <v>365</v>
      </c>
      <c r="C1569">
        <v>100</v>
      </c>
      <c r="D1569">
        <v>-2.3050000000000002</v>
      </c>
      <c r="E1569">
        <v>-44.62</v>
      </c>
      <c r="F1569">
        <v>4.9210000000000003</v>
      </c>
      <c r="G1569">
        <v>5.3</v>
      </c>
      <c r="K1569">
        <v>3.306</v>
      </c>
      <c r="L1569">
        <v>226.9</v>
      </c>
      <c r="M1569">
        <v>0.2</v>
      </c>
      <c r="O1569">
        <v>-11.49</v>
      </c>
      <c r="P1569">
        <v>-10.8</v>
      </c>
      <c r="Q1569">
        <v>4.8470000000000004</v>
      </c>
      <c r="S1569">
        <v>5.1029999999999998</v>
      </c>
      <c r="T1569">
        <v>0</v>
      </c>
      <c r="U1569">
        <v>94.6</v>
      </c>
      <c r="V1569">
        <v>901</v>
      </c>
      <c r="W1569">
        <v>39.479999999999997</v>
      </c>
      <c r="Y1569">
        <v>13</v>
      </c>
    </row>
    <row r="1570" spans="1:25" x14ac:dyDescent="0.25">
      <c r="A1570">
        <v>2006</v>
      </c>
      <c r="B1570">
        <v>365</v>
      </c>
      <c r="C1570">
        <v>200</v>
      </c>
      <c r="D1570">
        <v>-2.778</v>
      </c>
      <c r="E1570">
        <v>-46.17</v>
      </c>
      <c r="F1570">
        <v>4.7960000000000003</v>
      </c>
      <c r="G1570">
        <v>5.2130000000000001</v>
      </c>
      <c r="K1570">
        <v>3.238</v>
      </c>
      <c r="L1570">
        <v>225.1</v>
      </c>
      <c r="M1570">
        <v>0</v>
      </c>
      <c r="O1570">
        <v>-11.43</v>
      </c>
      <c r="P1570">
        <v>-10.72</v>
      </c>
      <c r="Q1570">
        <v>4.78</v>
      </c>
      <c r="S1570">
        <v>5.0659999999999998</v>
      </c>
      <c r="T1570">
        <v>0</v>
      </c>
      <c r="U1570">
        <v>94</v>
      </c>
      <c r="V1570">
        <v>896</v>
      </c>
      <c r="W1570">
        <v>39.14</v>
      </c>
      <c r="Y1570">
        <v>12.98</v>
      </c>
    </row>
    <row r="1571" spans="1:25" x14ac:dyDescent="0.25">
      <c r="A1571">
        <v>2006</v>
      </c>
      <c r="B1571">
        <v>365</v>
      </c>
      <c r="C1571">
        <v>300</v>
      </c>
      <c r="D1571">
        <v>-2.802</v>
      </c>
      <c r="E1571">
        <v>-45.02</v>
      </c>
      <c r="F1571">
        <v>4.577</v>
      </c>
      <c r="G1571">
        <v>4.9109999999999996</v>
      </c>
      <c r="K1571">
        <v>2.2730000000000001</v>
      </c>
      <c r="L1571">
        <v>218</v>
      </c>
      <c r="M1571">
        <v>0</v>
      </c>
      <c r="O1571">
        <v>-11.33</v>
      </c>
      <c r="P1571">
        <v>-10.62</v>
      </c>
      <c r="Q1571">
        <v>4.6790000000000003</v>
      </c>
      <c r="S1571">
        <v>4.9870000000000001</v>
      </c>
      <c r="T1571">
        <v>0</v>
      </c>
      <c r="U1571">
        <v>95.1</v>
      </c>
      <c r="V1571">
        <v>893</v>
      </c>
      <c r="W1571">
        <v>38.9</v>
      </c>
      <c r="Y1571">
        <v>12.97</v>
      </c>
    </row>
    <row r="1572" spans="1:25" x14ac:dyDescent="0.25">
      <c r="A1572">
        <v>2006</v>
      </c>
      <c r="B1572">
        <v>365</v>
      </c>
      <c r="C1572">
        <v>400</v>
      </c>
      <c r="D1572">
        <v>-2.8849999999999998</v>
      </c>
      <c r="E1572">
        <v>-44.24</v>
      </c>
      <c r="F1572">
        <v>4.2140000000000004</v>
      </c>
      <c r="G1572">
        <v>4.468</v>
      </c>
      <c r="K1572">
        <v>1.6930000000000001</v>
      </c>
      <c r="L1572">
        <v>210.1</v>
      </c>
      <c r="M1572">
        <v>0</v>
      </c>
      <c r="O1572">
        <v>-11.32</v>
      </c>
      <c r="P1572">
        <v>-10.58</v>
      </c>
      <c r="Q1572">
        <v>4.5529999999999999</v>
      </c>
      <c r="S1572">
        <v>4.9219999999999997</v>
      </c>
      <c r="T1572">
        <v>0</v>
      </c>
      <c r="U1572">
        <v>96.2</v>
      </c>
      <c r="V1572">
        <v>890</v>
      </c>
      <c r="W1572">
        <v>38.71</v>
      </c>
      <c r="Y1572">
        <v>12.95</v>
      </c>
    </row>
    <row r="1573" spans="1:25" x14ac:dyDescent="0.25">
      <c r="A1573">
        <v>2006</v>
      </c>
      <c r="B1573">
        <v>365</v>
      </c>
      <c r="C1573">
        <v>500</v>
      </c>
      <c r="D1573">
        <v>-2.573</v>
      </c>
      <c r="E1573">
        <v>-38.31</v>
      </c>
      <c r="F1573">
        <v>4.3490000000000002</v>
      </c>
      <c r="G1573">
        <v>4.6719999999999997</v>
      </c>
      <c r="K1573">
        <v>2.2639999999999998</v>
      </c>
      <c r="L1573">
        <v>215.5</v>
      </c>
      <c r="M1573">
        <v>0</v>
      </c>
      <c r="O1573">
        <v>-11.23</v>
      </c>
      <c r="P1573">
        <v>-10.5</v>
      </c>
      <c r="Q1573">
        <v>4.4189999999999996</v>
      </c>
      <c r="S1573">
        <v>4.8739999999999997</v>
      </c>
      <c r="T1573">
        <v>0</v>
      </c>
      <c r="U1573">
        <v>95.2</v>
      </c>
      <c r="V1573">
        <v>888</v>
      </c>
      <c r="W1573">
        <v>38.57</v>
      </c>
      <c r="Y1573">
        <v>12.94</v>
      </c>
    </row>
    <row r="1574" spans="1:25" x14ac:dyDescent="0.25">
      <c r="A1574">
        <v>2006</v>
      </c>
      <c r="B1574">
        <v>365</v>
      </c>
      <c r="C1574">
        <v>600</v>
      </c>
      <c r="D1574">
        <v>-1.77</v>
      </c>
      <c r="E1574">
        <v>-23.71</v>
      </c>
      <c r="F1574">
        <v>4.8179999999999996</v>
      </c>
      <c r="G1574">
        <v>5.1120000000000001</v>
      </c>
      <c r="K1574">
        <v>2.516</v>
      </c>
      <c r="L1574">
        <v>213.7</v>
      </c>
      <c r="M1574">
        <v>0</v>
      </c>
      <c r="O1574">
        <v>-11.21</v>
      </c>
      <c r="P1574">
        <v>-10.5</v>
      </c>
      <c r="Q1574">
        <v>4.3239999999999998</v>
      </c>
      <c r="S1574">
        <v>4.8049999999999997</v>
      </c>
      <c r="T1574">
        <v>0</v>
      </c>
      <c r="U1574">
        <v>95.7</v>
      </c>
      <c r="V1574">
        <v>887</v>
      </c>
      <c r="W1574">
        <v>38.51</v>
      </c>
      <c r="Y1574">
        <v>12.93</v>
      </c>
    </row>
    <row r="1575" spans="1:25" x14ac:dyDescent="0.25">
      <c r="A1575">
        <v>2006</v>
      </c>
      <c r="B1575">
        <v>365</v>
      </c>
      <c r="C1575">
        <v>700</v>
      </c>
      <c r="D1575">
        <v>-1.4730000000000001</v>
      </c>
      <c r="E1575">
        <v>-18.239999999999998</v>
      </c>
      <c r="F1575">
        <v>5.3390000000000004</v>
      </c>
      <c r="G1575">
        <v>5.7990000000000004</v>
      </c>
      <c r="K1575">
        <v>2.8439999999999999</v>
      </c>
      <c r="L1575">
        <v>210.9</v>
      </c>
      <c r="M1575">
        <v>0</v>
      </c>
      <c r="O1575">
        <v>-11.31</v>
      </c>
      <c r="P1575">
        <v>-10.56</v>
      </c>
      <c r="Q1575">
        <v>4.282</v>
      </c>
      <c r="S1575">
        <v>4.7679999999999998</v>
      </c>
      <c r="T1575">
        <v>0</v>
      </c>
      <c r="U1575">
        <v>93.5</v>
      </c>
      <c r="V1575">
        <v>886</v>
      </c>
      <c r="W1575">
        <v>38.450000000000003</v>
      </c>
      <c r="Y1575">
        <v>12.92</v>
      </c>
    </row>
    <row r="1576" spans="1:25" x14ac:dyDescent="0.25">
      <c r="A1576">
        <v>2006</v>
      </c>
      <c r="B1576">
        <v>365</v>
      </c>
      <c r="C1576">
        <v>800</v>
      </c>
      <c r="D1576">
        <v>-1.129</v>
      </c>
      <c r="E1576">
        <v>-8.73</v>
      </c>
      <c r="F1576">
        <v>6.1379999999999999</v>
      </c>
      <c r="G1576">
        <v>6.758</v>
      </c>
      <c r="K1576">
        <v>2.4510000000000001</v>
      </c>
      <c r="L1576">
        <v>176.3</v>
      </c>
      <c r="M1576">
        <v>0</v>
      </c>
      <c r="O1576">
        <v>-11.38</v>
      </c>
      <c r="P1576">
        <v>-10.65</v>
      </c>
      <c r="Q1576">
        <v>4.3230000000000004</v>
      </c>
      <c r="S1576">
        <v>4.7679999999999998</v>
      </c>
      <c r="T1576">
        <v>0</v>
      </c>
      <c r="U1576">
        <v>91.6</v>
      </c>
      <c r="V1576">
        <v>885</v>
      </c>
      <c r="W1576">
        <v>38.340000000000003</v>
      </c>
      <c r="Y1576">
        <v>12.91</v>
      </c>
    </row>
    <row r="1577" spans="1:25" x14ac:dyDescent="0.25">
      <c r="A1577">
        <v>2006</v>
      </c>
      <c r="B1577">
        <v>365</v>
      </c>
      <c r="C1577">
        <v>900</v>
      </c>
      <c r="D1577">
        <v>-1.2050000000000001</v>
      </c>
      <c r="E1577">
        <v>-7.69</v>
      </c>
      <c r="F1577">
        <v>7.11</v>
      </c>
      <c r="G1577">
        <v>7.63</v>
      </c>
      <c r="H1577">
        <f>AVERAGE(G1577:G1601)</f>
        <v>6.3975599999999995</v>
      </c>
      <c r="K1577">
        <v>2.5659999999999998</v>
      </c>
      <c r="L1577">
        <v>164.5</v>
      </c>
      <c r="M1577">
        <v>0</v>
      </c>
      <c r="N1577">
        <f>SUM(M1577:M1601)</f>
        <v>19.599999999999994</v>
      </c>
      <c r="O1577">
        <v>-11.06</v>
      </c>
      <c r="P1577">
        <v>-10.62</v>
      </c>
      <c r="Q1577">
        <v>4.3520000000000003</v>
      </c>
      <c r="S1577">
        <v>4.7</v>
      </c>
      <c r="T1577">
        <v>0</v>
      </c>
      <c r="U1577">
        <v>93.2</v>
      </c>
      <c r="V1577">
        <v>884</v>
      </c>
      <c r="W1577">
        <v>38.299999999999997</v>
      </c>
      <c r="Y1577">
        <v>12.91</v>
      </c>
    </row>
    <row r="1578" spans="1:25" x14ac:dyDescent="0.25">
      <c r="A1578">
        <v>2006</v>
      </c>
      <c r="B1578">
        <v>365</v>
      </c>
      <c r="C1578">
        <v>1000</v>
      </c>
      <c r="D1578">
        <v>6.4669999999999996</v>
      </c>
      <c r="E1578">
        <v>-4.2160000000000002</v>
      </c>
      <c r="F1578">
        <v>7.97</v>
      </c>
      <c r="G1578">
        <v>8.48</v>
      </c>
      <c r="K1578">
        <v>3.923</v>
      </c>
      <c r="L1578">
        <v>163.30000000000001</v>
      </c>
      <c r="M1578">
        <v>0.2</v>
      </c>
      <c r="O1578">
        <v>-0.77400000000000002</v>
      </c>
      <c r="P1578">
        <v>-8.6999999999999993</v>
      </c>
      <c r="Q1578">
        <v>4.4429999999999996</v>
      </c>
      <c r="S1578">
        <v>4.6630000000000003</v>
      </c>
      <c r="T1578">
        <v>0</v>
      </c>
      <c r="U1578">
        <v>93.4</v>
      </c>
      <c r="V1578">
        <v>886</v>
      </c>
      <c r="W1578">
        <v>38.39</v>
      </c>
      <c r="Y1578">
        <v>12.91</v>
      </c>
    </row>
    <row r="1579" spans="1:25" x14ac:dyDescent="0.25">
      <c r="A1579">
        <v>2006</v>
      </c>
      <c r="B1579">
        <v>365</v>
      </c>
      <c r="C1579">
        <v>1100</v>
      </c>
      <c r="D1579">
        <v>29.52</v>
      </c>
      <c r="E1579">
        <v>15.72</v>
      </c>
      <c r="F1579">
        <v>8.86</v>
      </c>
      <c r="G1579">
        <v>8.9600000000000009</v>
      </c>
      <c r="K1579">
        <v>4.8970000000000002</v>
      </c>
      <c r="L1579">
        <v>165.1</v>
      </c>
      <c r="M1579">
        <v>1.4</v>
      </c>
      <c r="O1579">
        <v>31.96</v>
      </c>
      <c r="P1579">
        <v>-2.0590000000000002</v>
      </c>
      <c r="Q1579">
        <v>4.625</v>
      </c>
      <c r="S1579">
        <v>4.6689999999999996</v>
      </c>
      <c r="T1579">
        <v>0</v>
      </c>
      <c r="U1579">
        <v>98.8</v>
      </c>
      <c r="V1579">
        <v>897</v>
      </c>
      <c r="W1579">
        <v>39.22</v>
      </c>
      <c r="Y1579">
        <v>12.94</v>
      </c>
    </row>
    <row r="1580" spans="1:25" x14ac:dyDescent="0.25">
      <c r="A1580">
        <v>2006</v>
      </c>
      <c r="B1580">
        <v>365</v>
      </c>
      <c r="C1580">
        <v>1200</v>
      </c>
      <c r="D1580">
        <v>24.93</v>
      </c>
      <c r="E1580">
        <v>13.68</v>
      </c>
      <c r="F1580">
        <v>9.5</v>
      </c>
      <c r="G1580">
        <v>9.67</v>
      </c>
      <c r="K1580">
        <v>4.9279999999999999</v>
      </c>
      <c r="L1580">
        <v>191.4</v>
      </c>
      <c r="M1580">
        <v>1.8</v>
      </c>
      <c r="O1580">
        <v>22.87</v>
      </c>
      <c r="P1580">
        <v>-3.5950000000000002</v>
      </c>
      <c r="Q1580">
        <v>4.8760000000000003</v>
      </c>
      <c r="S1580">
        <v>4.6689999999999996</v>
      </c>
      <c r="T1580">
        <v>0</v>
      </c>
      <c r="U1580">
        <v>97.9</v>
      </c>
      <c r="V1580">
        <v>917</v>
      </c>
      <c r="W1580">
        <v>40.79</v>
      </c>
      <c r="Y1580">
        <v>13.02</v>
      </c>
    </row>
    <row r="1581" spans="1:25" x14ac:dyDescent="0.25">
      <c r="A1581">
        <v>2006</v>
      </c>
      <c r="B1581">
        <v>365</v>
      </c>
      <c r="C1581">
        <v>1300</v>
      </c>
      <c r="D1581">
        <v>115.7</v>
      </c>
      <c r="E1581">
        <v>68.36</v>
      </c>
      <c r="F1581">
        <v>10.11</v>
      </c>
      <c r="G1581">
        <v>10.57</v>
      </c>
      <c r="K1581">
        <v>5.335</v>
      </c>
      <c r="L1581">
        <v>204.6</v>
      </c>
      <c r="M1581">
        <v>1.2</v>
      </c>
      <c r="O1581">
        <v>129.30000000000001</v>
      </c>
      <c r="P1581">
        <v>40.659999999999997</v>
      </c>
      <c r="Q1581">
        <v>5.1260000000000003</v>
      </c>
      <c r="S1581">
        <v>4.7140000000000004</v>
      </c>
      <c r="T1581">
        <v>0</v>
      </c>
      <c r="U1581">
        <v>94.5</v>
      </c>
      <c r="V1581">
        <v>961</v>
      </c>
      <c r="W1581">
        <v>44.85</v>
      </c>
      <c r="Y1581">
        <v>13.64</v>
      </c>
    </row>
    <row r="1582" spans="1:25" x14ac:dyDescent="0.25">
      <c r="A1582">
        <v>2006</v>
      </c>
      <c r="B1582">
        <v>365</v>
      </c>
      <c r="C1582">
        <v>1400</v>
      </c>
      <c r="D1582">
        <v>69.42</v>
      </c>
      <c r="E1582">
        <v>38.67</v>
      </c>
      <c r="F1582">
        <v>8</v>
      </c>
      <c r="G1582">
        <v>8.6300000000000008</v>
      </c>
      <c r="K1582">
        <v>6.1509999999999998</v>
      </c>
      <c r="L1582">
        <v>221.7</v>
      </c>
      <c r="M1582">
        <v>2.8</v>
      </c>
      <c r="O1582">
        <v>75.7</v>
      </c>
      <c r="P1582">
        <v>17.149999999999999</v>
      </c>
      <c r="Q1582">
        <v>5.3929999999999998</v>
      </c>
      <c r="S1582">
        <v>4.7850000000000001</v>
      </c>
      <c r="T1582">
        <v>0</v>
      </c>
      <c r="U1582">
        <v>92</v>
      </c>
      <c r="V1582">
        <v>988</v>
      </c>
      <c r="W1582">
        <v>47.58</v>
      </c>
      <c r="Y1582">
        <v>13.68</v>
      </c>
    </row>
    <row r="1583" spans="1:25" x14ac:dyDescent="0.25">
      <c r="A1583">
        <v>2006</v>
      </c>
      <c r="B1583">
        <v>365</v>
      </c>
      <c r="C1583">
        <v>1500</v>
      </c>
      <c r="D1583">
        <v>65.59</v>
      </c>
      <c r="E1583">
        <v>27.02</v>
      </c>
      <c r="F1583">
        <v>7.89</v>
      </c>
      <c r="G1583">
        <v>8.58</v>
      </c>
      <c r="K1583">
        <v>7.48</v>
      </c>
      <c r="L1583">
        <v>223.3</v>
      </c>
      <c r="M1583">
        <v>0</v>
      </c>
      <c r="O1583">
        <v>64.91</v>
      </c>
      <c r="P1583">
        <v>20.48</v>
      </c>
      <c r="Q1583">
        <v>5.5369999999999999</v>
      </c>
      <c r="S1583">
        <v>4.8540000000000001</v>
      </c>
      <c r="T1583">
        <v>0</v>
      </c>
      <c r="U1583">
        <v>91.3</v>
      </c>
      <c r="V1583">
        <v>988</v>
      </c>
      <c r="W1583">
        <v>47.54</v>
      </c>
      <c r="Y1583">
        <v>13.7</v>
      </c>
    </row>
    <row r="1584" spans="1:25" x14ac:dyDescent="0.25">
      <c r="A1584">
        <v>2006</v>
      </c>
      <c r="B1584">
        <v>365</v>
      </c>
      <c r="C1584">
        <v>1600</v>
      </c>
      <c r="D1584">
        <v>22.51</v>
      </c>
      <c r="E1584">
        <v>-1.5569999999999999</v>
      </c>
      <c r="F1584">
        <v>7.83</v>
      </c>
      <c r="G1584">
        <v>8.1199999999999992</v>
      </c>
      <c r="K1584">
        <v>8.4</v>
      </c>
      <c r="L1584">
        <v>223.8</v>
      </c>
      <c r="M1584">
        <v>0</v>
      </c>
      <c r="O1584">
        <v>17.18</v>
      </c>
      <c r="P1584">
        <v>-0.749</v>
      </c>
      <c r="Q1584">
        <v>5.5990000000000002</v>
      </c>
      <c r="S1584">
        <v>4.8940000000000001</v>
      </c>
      <c r="T1584">
        <v>0</v>
      </c>
      <c r="U1584">
        <v>96.2</v>
      </c>
      <c r="V1584">
        <v>989</v>
      </c>
      <c r="W1584">
        <v>47.62</v>
      </c>
      <c r="Y1584">
        <v>13.48</v>
      </c>
    </row>
    <row r="1585" spans="1:25" x14ac:dyDescent="0.25">
      <c r="A1585">
        <v>2006</v>
      </c>
      <c r="B1585">
        <v>365</v>
      </c>
      <c r="C1585">
        <v>1700</v>
      </c>
      <c r="D1585">
        <v>-0.22800000000000001</v>
      </c>
      <c r="E1585">
        <v>-15.44</v>
      </c>
      <c r="F1585">
        <v>7.19</v>
      </c>
      <c r="G1585">
        <v>7.39</v>
      </c>
      <c r="K1585">
        <v>8.8699999999999992</v>
      </c>
      <c r="L1585">
        <v>226</v>
      </c>
      <c r="M1585">
        <v>0</v>
      </c>
      <c r="O1585">
        <v>-10.42</v>
      </c>
      <c r="P1585">
        <v>-10.59</v>
      </c>
      <c r="Q1585">
        <v>5.6189999999999998</v>
      </c>
      <c r="S1585">
        <v>4.95</v>
      </c>
      <c r="T1585">
        <v>0</v>
      </c>
      <c r="U1585">
        <v>97.4</v>
      </c>
      <c r="V1585">
        <v>989</v>
      </c>
      <c r="W1585">
        <v>47.68</v>
      </c>
      <c r="Y1585">
        <v>13.31</v>
      </c>
    </row>
    <row r="1586" spans="1:25" x14ac:dyDescent="0.25">
      <c r="A1586">
        <v>2006</v>
      </c>
      <c r="B1586">
        <v>365</v>
      </c>
      <c r="C1586">
        <v>1800</v>
      </c>
      <c r="D1586">
        <v>-1.044</v>
      </c>
      <c r="E1586">
        <v>-14.09</v>
      </c>
      <c r="F1586">
        <v>6.2130000000000001</v>
      </c>
      <c r="G1586">
        <v>6.4240000000000004</v>
      </c>
      <c r="K1586">
        <v>7.47</v>
      </c>
      <c r="L1586">
        <v>226.3</v>
      </c>
      <c r="M1586">
        <v>0.8</v>
      </c>
      <c r="O1586">
        <v>-11.5</v>
      </c>
      <c r="P1586">
        <v>-10.85</v>
      </c>
      <c r="Q1586">
        <v>5.6210000000000004</v>
      </c>
      <c r="S1586">
        <v>4.992</v>
      </c>
      <c r="T1586">
        <v>0</v>
      </c>
      <c r="U1586">
        <v>97.1</v>
      </c>
      <c r="V1586">
        <v>990</v>
      </c>
      <c r="W1586">
        <v>47.81</v>
      </c>
      <c r="Y1586">
        <v>13.21</v>
      </c>
    </row>
    <row r="1587" spans="1:25" x14ac:dyDescent="0.25">
      <c r="A1587">
        <v>2006</v>
      </c>
      <c r="B1587">
        <v>365</v>
      </c>
      <c r="C1587">
        <v>1900</v>
      </c>
      <c r="D1587">
        <v>-1.181</v>
      </c>
      <c r="E1587">
        <v>-20.9</v>
      </c>
      <c r="F1587">
        <v>5.9320000000000004</v>
      </c>
      <c r="G1587">
        <v>6.181</v>
      </c>
      <c r="K1587">
        <v>6.2850000000000001</v>
      </c>
      <c r="L1587">
        <v>226.8</v>
      </c>
      <c r="M1587">
        <v>0.4</v>
      </c>
      <c r="O1587">
        <v>-11.5</v>
      </c>
      <c r="P1587">
        <v>-10.84</v>
      </c>
      <c r="Q1587">
        <v>5.5529999999999999</v>
      </c>
      <c r="S1587">
        <v>4.9939999999999998</v>
      </c>
      <c r="T1587">
        <v>0</v>
      </c>
      <c r="U1587">
        <v>96.5</v>
      </c>
      <c r="V1587">
        <v>997</v>
      </c>
      <c r="W1587">
        <v>48.61</v>
      </c>
      <c r="Y1587">
        <v>13.14</v>
      </c>
    </row>
    <row r="1588" spans="1:25" x14ac:dyDescent="0.25">
      <c r="A1588">
        <v>2006</v>
      </c>
      <c r="B1588">
        <v>365</v>
      </c>
      <c r="C1588">
        <v>2000</v>
      </c>
      <c r="D1588">
        <v>-1.861</v>
      </c>
      <c r="E1588">
        <v>-30.61</v>
      </c>
      <c r="F1588">
        <v>5.9459999999999997</v>
      </c>
      <c r="G1588">
        <v>6.2770000000000001</v>
      </c>
      <c r="K1588">
        <v>6.6470000000000002</v>
      </c>
      <c r="L1588">
        <v>226.6</v>
      </c>
      <c r="M1588">
        <v>0.2</v>
      </c>
      <c r="O1588">
        <v>-11.5</v>
      </c>
      <c r="P1588">
        <v>-10.84</v>
      </c>
      <c r="Q1588">
        <v>5.48</v>
      </c>
      <c r="S1588">
        <v>4.9939999999999998</v>
      </c>
      <c r="T1588">
        <v>0</v>
      </c>
      <c r="U1588">
        <v>95.4</v>
      </c>
      <c r="V1588">
        <v>992</v>
      </c>
      <c r="W1588">
        <v>48.04</v>
      </c>
      <c r="Y1588">
        <v>13.09</v>
      </c>
    </row>
    <row r="1589" spans="1:25" x14ac:dyDescent="0.25">
      <c r="A1589">
        <v>2006</v>
      </c>
      <c r="B1589">
        <v>365</v>
      </c>
      <c r="C1589">
        <v>2100</v>
      </c>
      <c r="D1589">
        <v>-1.6659999999999999</v>
      </c>
      <c r="E1589">
        <v>-33.090000000000003</v>
      </c>
      <c r="F1589">
        <v>5.8250000000000002</v>
      </c>
      <c r="G1589">
        <v>6.1420000000000003</v>
      </c>
      <c r="K1589">
        <v>5.2619999999999996</v>
      </c>
      <c r="L1589">
        <v>226.6</v>
      </c>
      <c r="M1589">
        <v>0.2</v>
      </c>
      <c r="O1589">
        <v>-11.5</v>
      </c>
      <c r="P1589">
        <v>-10.84</v>
      </c>
      <c r="Q1589">
        <v>5.3920000000000003</v>
      </c>
      <c r="S1589">
        <v>4.9939999999999998</v>
      </c>
      <c r="T1589">
        <v>0</v>
      </c>
      <c r="U1589">
        <v>95.6</v>
      </c>
      <c r="V1589">
        <v>993</v>
      </c>
      <c r="W1589">
        <v>48.12</v>
      </c>
      <c r="Y1589">
        <v>13.04</v>
      </c>
    </row>
    <row r="1590" spans="1:25" x14ac:dyDescent="0.25">
      <c r="A1590">
        <v>2006</v>
      </c>
      <c r="B1590">
        <v>365</v>
      </c>
      <c r="C1590">
        <v>2200</v>
      </c>
      <c r="D1590">
        <v>-1.786</v>
      </c>
      <c r="E1590">
        <v>-30.46</v>
      </c>
      <c r="F1590">
        <v>5.6760000000000002</v>
      </c>
      <c r="G1590">
        <v>6.0039999999999996</v>
      </c>
      <c r="K1590">
        <v>4.4850000000000003</v>
      </c>
      <c r="L1590">
        <v>226.5</v>
      </c>
      <c r="M1590">
        <v>0</v>
      </c>
      <c r="O1590">
        <v>-11.5</v>
      </c>
      <c r="P1590">
        <v>-10.83</v>
      </c>
      <c r="Q1590">
        <v>5.3109999999999999</v>
      </c>
      <c r="S1590">
        <v>5.0019999999999998</v>
      </c>
      <c r="T1590">
        <v>0</v>
      </c>
      <c r="U1590">
        <v>95.4</v>
      </c>
      <c r="V1590">
        <v>995</v>
      </c>
      <c r="W1590">
        <v>48.31</v>
      </c>
      <c r="Y1590">
        <v>13.01</v>
      </c>
    </row>
    <row r="1591" spans="1:25" x14ac:dyDescent="0.25">
      <c r="A1591">
        <v>2006</v>
      </c>
      <c r="B1591">
        <v>365</v>
      </c>
      <c r="C1591">
        <v>2300</v>
      </c>
      <c r="D1591">
        <v>-1.1679999999999999</v>
      </c>
      <c r="E1591">
        <v>-17.98</v>
      </c>
      <c r="F1591">
        <v>5.6319999999999997</v>
      </c>
      <c r="G1591">
        <v>5.9349999999999996</v>
      </c>
      <c r="K1591">
        <v>4.1150000000000002</v>
      </c>
      <c r="L1591">
        <v>226.8</v>
      </c>
      <c r="M1591">
        <v>0</v>
      </c>
      <c r="O1591">
        <v>-11.5</v>
      </c>
      <c r="P1591">
        <v>-10.83</v>
      </c>
      <c r="Q1591">
        <v>5.2270000000000003</v>
      </c>
      <c r="S1591">
        <v>4.9930000000000003</v>
      </c>
      <c r="T1591">
        <v>0</v>
      </c>
      <c r="U1591">
        <v>95.7</v>
      </c>
      <c r="V1591">
        <v>996</v>
      </c>
      <c r="W1591">
        <v>48.49</v>
      </c>
      <c r="Y1591">
        <v>12.98</v>
      </c>
    </row>
    <row r="1592" spans="1:25" x14ac:dyDescent="0.25">
      <c r="A1592">
        <v>2006</v>
      </c>
      <c r="B1592">
        <v>365</v>
      </c>
      <c r="C1592">
        <v>2400</v>
      </c>
      <c r="D1592">
        <v>-0.86899999999999999</v>
      </c>
      <c r="E1592">
        <v>-14.76</v>
      </c>
      <c r="F1592">
        <v>5.4640000000000004</v>
      </c>
      <c r="G1592">
        <v>5.7629999999999999</v>
      </c>
      <c r="K1592">
        <v>3.7810000000000001</v>
      </c>
      <c r="L1592">
        <v>227.5</v>
      </c>
      <c r="M1592">
        <v>0</v>
      </c>
      <c r="O1592">
        <v>-11.48</v>
      </c>
      <c r="P1592">
        <v>-10.79</v>
      </c>
      <c r="Q1592">
        <v>5.1749999999999998</v>
      </c>
      <c r="S1592">
        <v>4.9489999999999998</v>
      </c>
      <c r="T1592">
        <v>0</v>
      </c>
      <c r="U1592">
        <v>95.7</v>
      </c>
      <c r="V1592">
        <v>996</v>
      </c>
      <c r="W1592">
        <v>48.48</v>
      </c>
      <c r="Y1592">
        <v>12.96</v>
      </c>
    </row>
    <row r="1593" spans="1:25" x14ac:dyDescent="0.25">
      <c r="A1593">
        <v>2006</v>
      </c>
      <c r="B1593">
        <v>365</v>
      </c>
      <c r="C1593">
        <v>2400</v>
      </c>
      <c r="D1593">
        <v>12.73</v>
      </c>
      <c r="E1593">
        <v>-12.35</v>
      </c>
      <c r="F1593">
        <v>6.4290000000000003</v>
      </c>
      <c r="G1593">
        <v>6.7910000000000004</v>
      </c>
      <c r="K1593">
        <v>4.6319999999999997</v>
      </c>
      <c r="L1593">
        <v>213.2</v>
      </c>
      <c r="M1593">
        <v>9.1999999999999993</v>
      </c>
      <c r="O1593">
        <v>6.1890000000000001</v>
      </c>
      <c r="P1593">
        <v>-4.95</v>
      </c>
      <c r="Q1593">
        <v>4.9809999999999999</v>
      </c>
      <c r="S1593">
        <v>4.8789999999999996</v>
      </c>
      <c r="T1593">
        <v>0</v>
      </c>
      <c r="U1593">
        <v>95.1</v>
      </c>
      <c r="V1593">
        <v>941</v>
      </c>
      <c r="W1593">
        <v>43.33</v>
      </c>
      <c r="Y1593">
        <v>13.11</v>
      </c>
    </row>
    <row r="1594" spans="1:25" x14ac:dyDescent="0.25">
      <c r="A1594">
        <v>2007</v>
      </c>
      <c r="B1594">
        <v>1</v>
      </c>
      <c r="C1594">
        <v>100</v>
      </c>
      <c r="D1594">
        <v>-0.88300000000000001</v>
      </c>
      <c r="E1594">
        <v>-16.649999999999999</v>
      </c>
      <c r="F1594">
        <v>5.1890000000000001</v>
      </c>
      <c r="G1594">
        <v>5.4409999999999998</v>
      </c>
      <c r="K1594">
        <v>3.8940000000000001</v>
      </c>
      <c r="L1594">
        <v>227.5</v>
      </c>
      <c r="M1594">
        <v>0</v>
      </c>
      <c r="O1594">
        <v>-11.49</v>
      </c>
      <c r="P1594">
        <v>-10.81</v>
      </c>
      <c r="Q1594">
        <v>5.125</v>
      </c>
      <c r="S1594">
        <v>4.9340000000000002</v>
      </c>
      <c r="T1594">
        <v>0</v>
      </c>
      <c r="U1594">
        <v>96.4</v>
      </c>
      <c r="V1594">
        <v>996</v>
      </c>
      <c r="W1594">
        <v>48.41</v>
      </c>
      <c r="Y1594">
        <v>12.95</v>
      </c>
    </row>
    <row r="1595" spans="1:25" x14ac:dyDescent="0.25">
      <c r="A1595">
        <v>2007</v>
      </c>
      <c r="B1595">
        <v>1</v>
      </c>
      <c r="C1595">
        <v>200</v>
      </c>
      <c r="D1595">
        <v>-0.443</v>
      </c>
      <c r="E1595">
        <v>-6.2549999999999999</v>
      </c>
      <c r="F1595">
        <v>4.7619999999999996</v>
      </c>
      <c r="G1595">
        <v>4.9029999999999996</v>
      </c>
      <c r="K1595">
        <v>3.8290000000000002</v>
      </c>
      <c r="L1595">
        <v>227.5</v>
      </c>
      <c r="M1595">
        <v>0</v>
      </c>
      <c r="O1595">
        <v>-11.49</v>
      </c>
      <c r="P1595">
        <v>-10.79</v>
      </c>
      <c r="Q1595">
        <v>5.0860000000000003</v>
      </c>
      <c r="S1595">
        <v>4.93</v>
      </c>
      <c r="T1595">
        <v>0</v>
      </c>
      <c r="U1595">
        <v>97.9</v>
      </c>
      <c r="V1595">
        <v>995</v>
      </c>
      <c r="W1595">
        <v>48.37</v>
      </c>
      <c r="Y1595">
        <v>12.93</v>
      </c>
    </row>
    <row r="1596" spans="1:25" x14ac:dyDescent="0.25">
      <c r="A1596">
        <v>2007</v>
      </c>
      <c r="B1596">
        <v>1</v>
      </c>
      <c r="C1596">
        <v>300</v>
      </c>
      <c r="D1596">
        <v>-0.75</v>
      </c>
      <c r="E1596">
        <v>-8.0500000000000007</v>
      </c>
      <c r="F1596">
        <v>4.165</v>
      </c>
      <c r="G1596">
        <v>4.28</v>
      </c>
      <c r="K1596">
        <v>3.9220000000000002</v>
      </c>
      <c r="L1596">
        <v>227.4</v>
      </c>
      <c r="M1596">
        <v>0.4</v>
      </c>
      <c r="O1596">
        <v>-11.47</v>
      </c>
      <c r="P1596">
        <v>-10.75</v>
      </c>
      <c r="Q1596">
        <v>5.0549999999999997</v>
      </c>
      <c r="S1596">
        <v>4.875</v>
      </c>
      <c r="T1596">
        <v>0</v>
      </c>
      <c r="U1596">
        <v>98.3</v>
      </c>
      <c r="V1596">
        <v>996</v>
      </c>
      <c r="W1596">
        <v>48.43</v>
      </c>
      <c r="Y1596">
        <v>12.91</v>
      </c>
    </row>
    <row r="1597" spans="1:25" x14ac:dyDescent="0.25">
      <c r="A1597">
        <v>2007</v>
      </c>
      <c r="B1597">
        <v>1</v>
      </c>
      <c r="C1597">
        <v>400</v>
      </c>
      <c r="D1597">
        <v>-0.58699999999999997</v>
      </c>
      <c r="E1597">
        <v>-11.94</v>
      </c>
      <c r="F1597">
        <v>3.49</v>
      </c>
      <c r="G1597">
        <v>3.66</v>
      </c>
      <c r="K1597">
        <v>4.8019999999999996</v>
      </c>
      <c r="L1597">
        <v>227.8</v>
      </c>
      <c r="M1597">
        <v>1</v>
      </c>
      <c r="O1597">
        <v>-11.34</v>
      </c>
      <c r="P1597">
        <v>-10.67</v>
      </c>
      <c r="Q1597">
        <v>5.01</v>
      </c>
      <c r="S1597">
        <v>4.8540000000000001</v>
      </c>
      <c r="T1597">
        <v>0</v>
      </c>
      <c r="U1597">
        <v>97.4</v>
      </c>
      <c r="V1597">
        <v>996</v>
      </c>
      <c r="W1597">
        <v>48.46</v>
      </c>
      <c r="Y1597">
        <v>12.9</v>
      </c>
    </row>
    <row r="1598" spans="1:25" x14ac:dyDescent="0.25">
      <c r="A1598">
        <v>2007</v>
      </c>
      <c r="B1598">
        <v>1</v>
      </c>
      <c r="C1598">
        <v>500</v>
      </c>
      <c r="D1598">
        <v>-2.04</v>
      </c>
      <c r="E1598">
        <v>-46.84</v>
      </c>
      <c r="F1598">
        <v>2.7719999999999998</v>
      </c>
      <c r="G1598">
        <v>2.91</v>
      </c>
      <c r="K1598">
        <v>3.03</v>
      </c>
      <c r="L1598">
        <v>227.4</v>
      </c>
      <c r="M1598">
        <v>0</v>
      </c>
      <c r="O1598">
        <v>-11.27</v>
      </c>
      <c r="P1598">
        <v>-10.56</v>
      </c>
      <c r="Q1598">
        <v>4.92</v>
      </c>
      <c r="S1598">
        <v>4.7690000000000001</v>
      </c>
      <c r="T1598">
        <v>0</v>
      </c>
      <c r="U1598">
        <v>97.8</v>
      </c>
      <c r="V1598">
        <v>997</v>
      </c>
      <c r="W1598">
        <v>48.57</v>
      </c>
      <c r="Y1598">
        <v>12.89</v>
      </c>
    </row>
    <row r="1599" spans="1:25" x14ac:dyDescent="0.25">
      <c r="A1599">
        <v>2007</v>
      </c>
      <c r="B1599">
        <v>1</v>
      </c>
      <c r="C1599">
        <v>600</v>
      </c>
      <c r="D1599">
        <v>-1.88</v>
      </c>
      <c r="E1599">
        <v>-38.520000000000003</v>
      </c>
      <c r="F1599">
        <v>2.8330000000000002</v>
      </c>
      <c r="G1599">
        <v>3.258</v>
      </c>
      <c r="K1599">
        <v>3.758</v>
      </c>
      <c r="L1599">
        <v>227.3</v>
      </c>
      <c r="M1599">
        <v>0</v>
      </c>
      <c r="O1599">
        <v>-11.1</v>
      </c>
      <c r="P1599">
        <v>-10.46</v>
      </c>
      <c r="Q1599">
        <v>4.7690000000000001</v>
      </c>
      <c r="S1599">
        <v>4.75</v>
      </c>
      <c r="T1599">
        <v>0</v>
      </c>
      <c r="U1599">
        <v>93.3</v>
      </c>
      <c r="V1599">
        <v>998</v>
      </c>
      <c r="W1599">
        <v>48.69</v>
      </c>
      <c r="Y1599">
        <v>12.88</v>
      </c>
    </row>
    <row r="1600" spans="1:25" x14ac:dyDescent="0.25">
      <c r="A1600">
        <v>2007</v>
      </c>
      <c r="B1600">
        <v>1</v>
      </c>
      <c r="C1600">
        <v>700</v>
      </c>
      <c r="D1600">
        <v>-1.653</v>
      </c>
      <c r="E1600">
        <v>-21.3</v>
      </c>
      <c r="F1600">
        <v>3.496</v>
      </c>
      <c r="G1600">
        <v>4.0750000000000002</v>
      </c>
      <c r="K1600">
        <v>4.2240000000000002</v>
      </c>
      <c r="L1600">
        <v>227.4</v>
      </c>
      <c r="M1600">
        <v>0</v>
      </c>
      <c r="O1600">
        <v>-11.08</v>
      </c>
      <c r="P1600">
        <v>-10.49</v>
      </c>
      <c r="Q1600">
        <v>4.6040000000000001</v>
      </c>
      <c r="S1600">
        <v>4.6849999999999996</v>
      </c>
      <c r="T1600">
        <v>0</v>
      </c>
      <c r="U1600">
        <v>91.3</v>
      </c>
      <c r="V1600">
        <v>998</v>
      </c>
      <c r="W1600">
        <v>48.67</v>
      </c>
      <c r="Y1600">
        <v>12.88</v>
      </c>
    </row>
    <row r="1601" spans="1:25" x14ac:dyDescent="0.25">
      <c r="A1601">
        <v>2007</v>
      </c>
      <c r="B1601">
        <v>1</v>
      </c>
      <c r="C1601">
        <v>800</v>
      </c>
      <c r="D1601">
        <v>-2.1989999999999998</v>
      </c>
      <c r="E1601">
        <v>-39.33</v>
      </c>
      <c r="F1601">
        <v>3.4129999999999998</v>
      </c>
      <c r="G1601">
        <v>3.8650000000000002</v>
      </c>
      <c r="K1601">
        <v>2.9430000000000001</v>
      </c>
      <c r="L1601">
        <v>226.3</v>
      </c>
      <c r="M1601">
        <v>0</v>
      </c>
      <c r="O1601">
        <v>-11.1</v>
      </c>
      <c r="P1601">
        <v>-10.44</v>
      </c>
      <c r="Q1601">
        <v>4.4690000000000003</v>
      </c>
      <c r="S1601">
        <v>4.6440000000000001</v>
      </c>
      <c r="T1601">
        <v>0</v>
      </c>
      <c r="U1601">
        <v>93.1</v>
      </c>
      <c r="V1601">
        <v>998</v>
      </c>
      <c r="W1601">
        <v>48.65</v>
      </c>
      <c r="Y1601">
        <v>12.88</v>
      </c>
    </row>
    <row r="1602" spans="1:25" x14ac:dyDescent="0.25">
      <c r="A1602">
        <v>2007</v>
      </c>
      <c r="B1602">
        <v>1</v>
      </c>
      <c r="C1602">
        <v>900</v>
      </c>
      <c r="D1602">
        <v>0.76400000000000001</v>
      </c>
      <c r="E1602">
        <v>-17.8</v>
      </c>
      <c r="F1602">
        <v>3.6120000000000001</v>
      </c>
      <c r="G1602">
        <v>4.0069999999999997</v>
      </c>
      <c r="H1602">
        <f>AVERAGE(G1602:G1625)</f>
        <v>4.2017500000000005</v>
      </c>
      <c r="K1602">
        <v>2.4279999999999999</v>
      </c>
      <c r="L1602">
        <v>223.9</v>
      </c>
      <c r="M1602">
        <v>0</v>
      </c>
      <c r="N1602">
        <f>SUM(M1602:M1626)</f>
        <v>5.8000000000000007</v>
      </c>
      <c r="O1602">
        <v>-7.77</v>
      </c>
      <c r="P1602">
        <v>-9.69</v>
      </c>
      <c r="Q1602">
        <v>4.351</v>
      </c>
      <c r="S1602">
        <v>4.5609999999999999</v>
      </c>
      <c r="T1602">
        <v>0</v>
      </c>
      <c r="U1602">
        <v>94</v>
      </c>
      <c r="V1602">
        <v>998</v>
      </c>
      <c r="W1602">
        <v>48.69</v>
      </c>
      <c r="Y1602">
        <v>12.88</v>
      </c>
    </row>
    <row r="1603" spans="1:25" x14ac:dyDescent="0.25">
      <c r="A1603">
        <v>2007</v>
      </c>
      <c r="B1603">
        <v>1</v>
      </c>
      <c r="C1603">
        <v>1000</v>
      </c>
      <c r="D1603">
        <v>36.61</v>
      </c>
      <c r="E1603">
        <v>-7.9</v>
      </c>
      <c r="F1603">
        <v>3.7469999999999999</v>
      </c>
      <c r="G1603">
        <v>4.0170000000000003</v>
      </c>
      <c r="K1603">
        <v>2.2000000000000002</v>
      </c>
      <c r="L1603">
        <v>223.3</v>
      </c>
      <c r="M1603">
        <v>0</v>
      </c>
      <c r="O1603">
        <v>32.49</v>
      </c>
      <c r="P1603">
        <v>1.1080000000000001</v>
      </c>
      <c r="Q1603">
        <v>4.258</v>
      </c>
      <c r="S1603">
        <v>4.5289999999999999</v>
      </c>
      <c r="T1603">
        <v>0</v>
      </c>
      <c r="U1603">
        <v>95.9</v>
      </c>
      <c r="V1603">
        <v>998</v>
      </c>
      <c r="W1603">
        <v>48.71</v>
      </c>
      <c r="Y1603">
        <v>13.04</v>
      </c>
    </row>
    <row r="1604" spans="1:25" x14ac:dyDescent="0.25">
      <c r="A1604">
        <v>2007</v>
      </c>
      <c r="B1604">
        <v>1</v>
      </c>
      <c r="C1604">
        <v>1100</v>
      </c>
      <c r="D1604">
        <v>97.1</v>
      </c>
      <c r="E1604">
        <v>37.700000000000003</v>
      </c>
      <c r="F1604">
        <v>4.4690000000000003</v>
      </c>
      <c r="G1604">
        <v>4.8689999999999998</v>
      </c>
      <c r="K1604">
        <v>3.3420000000000001</v>
      </c>
      <c r="L1604">
        <v>224.8</v>
      </c>
      <c r="M1604">
        <v>0</v>
      </c>
      <c r="O1604">
        <v>120.2</v>
      </c>
      <c r="P1604">
        <v>32.43</v>
      </c>
      <c r="Q1604">
        <v>4.2329999999999997</v>
      </c>
      <c r="S1604">
        <v>4.4820000000000002</v>
      </c>
      <c r="T1604">
        <v>0</v>
      </c>
      <c r="U1604">
        <v>94.1</v>
      </c>
      <c r="V1604">
        <v>998</v>
      </c>
      <c r="W1604">
        <v>48.68</v>
      </c>
      <c r="Y1604">
        <v>13.78</v>
      </c>
    </row>
    <row r="1605" spans="1:25" x14ac:dyDescent="0.25">
      <c r="A1605">
        <v>2007</v>
      </c>
      <c r="B1605">
        <v>1</v>
      </c>
      <c r="C1605">
        <v>1200</v>
      </c>
      <c r="D1605">
        <v>94.6</v>
      </c>
      <c r="E1605">
        <v>54.35</v>
      </c>
      <c r="F1605">
        <v>4.952</v>
      </c>
      <c r="G1605">
        <v>5.3079999999999998</v>
      </c>
      <c r="K1605">
        <v>4.3620000000000001</v>
      </c>
      <c r="L1605">
        <v>226.5</v>
      </c>
      <c r="M1605">
        <v>0</v>
      </c>
      <c r="O1605">
        <v>108.3</v>
      </c>
      <c r="P1605">
        <v>19.260000000000002</v>
      </c>
      <c r="Q1605">
        <v>4.3120000000000003</v>
      </c>
      <c r="S1605">
        <v>4.4640000000000004</v>
      </c>
      <c r="T1605">
        <v>0</v>
      </c>
      <c r="U1605">
        <v>94.9</v>
      </c>
      <c r="V1605">
        <v>997</v>
      </c>
      <c r="W1605">
        <v>48.61</v>
      </c>
      <c r="Y1605">
        <v>13.63</v>
      </c>
    </row>
    <row r="1606" spans="1:25" x14ac:dyDescent="0.25">
      <c r="A1606">
        <v>2007</v>
      </c>
      <c r="B1606">
        <v>1</v>
      </c>
      <c r="C1606">
        <v>1300</v>
      </c>
      <c r="D1606">
        <v>105.3</v>
      </c>
      <c r="E1606">
        <v>53</v>
      </c>
      <c r="F1606">
        <v>4.7519999999999998</v>
      </c>
      <c r="G1606">
        <v>5.0010000000000003</v>
      </c>
      <c r="K1606">
        <v>4.0659999999999998</v>
      </c>
      <c r="L1606">
        <v>227</v>
      </c>
      <c r="M1606">
        <v>0</v>
      </c>
      <c r="O1606">
        <v>120.4</v>
      </c>
      <c r="P1606">
        <v>25.61</v>
      </c>
      <c r="Q1606">
        <v>4.4050000000000002</v>
      </c>
      <c r="S1606">
        <v>4.3869999999999996</v>
      </c>
      <c r="T1606">
        <v>0</v>
      </c>
      <c r="U1606">
        <v>96.4</v>
      </c>
      <c r="V1606">
        <v>996</v>
      </c>
      <c r="W1606">
        <v>48.41</v>
      </c>
      <c r="Y1606">
        <v>13.67</v>
      </c>
    </row>
    <row r="1607" spans="1:25" x14ac:dyDescent="0.25">
      <c r="A1607">
        <v>2007</v>
      </c>
      <c r="B1607">
        <v>1</v>
      </c>
      <c r="C1607">
        <v>1400</v>
      </c>
      <c r="D1607">
        <v>70.2</v>
      </c>
      <c r="E1607">
        <v>32.5</v>
      </c>
      <c r="F1607">
        <v>4.8010000000000002</v>
      </c>
      <c r="G1607">
        <v>4.9770000000000003</v>
      </c>
      <c r="K1607">
        <v>3.8650000000000002</v>
      </c>
      <c r="L1607">
        <v>228.4</v>
      </c>
      <c r="M1607">
        <v>0.2</v>
      </c>
      <c r="O1607">
        <v>77.099999999999994</v>
      </c>
      <c r="P1607">
        <v>10.57</v>
      </c>
      <c r="Q1607">
        <v>4.5179999999999998</v>
      </c>
      <c r="S1607">
        <v>4.3739999999999997</v>
      </c>
      <c r="T1607">
        <v>0</v>
      </c>
      <c r="U1607">
        <v>97.4</v>
      </c>
      <c r="V1607">
        <v>995</v>
      </c>
      <c r="W1607">
        <v>48.35</v>
      </c>
      <c r="Y1607">
        <v>13.56</v>
      </c>
    </row>
    <row r="1608" spans="1:25" x14ac:dyDescent="0.25">
      <c r="A1608">
        <v>2007</v>
      </c>
      <c r="B1608">
        <v>1</v>
      </c>
      <c r="C1608">
        <v>1500</v>
      </c>
      <c r="D1608">
        <v>15.15</v>
      </c>
      <c r="E1608">
        <v>2.706</v>
      </c>
      <c r="F1608">
        <v>2.8420000000000001</v>
      </c>
      <c r="G1608">
        <v>2.8959999999999999</v>
      </c>
      <c r="K1608">
        <v>4.0510000000000002</v>
      </c>
      <c r="L1608">
        <v>228.4</v>
      </c>
      <c r="M1608">
        <v>3</v>
      </c>
      <c r="O1608">
        <v>12.55</v>
      </c>
      <c r="P1608">
        <v>-5.2619999999999996</v>
      </c>
      <c r="Q1608">
        <v>4.6020000000000003</v>
      </c>
      <c r="S1608">
        <v>4.3659999999999997</v>
      </c>
      <c r="T1608">
        <v>0</v>
      </c>
      <c r="U1608">
        <v>99.2</v>
      </c>
      <c r="V1608">
        <v>996</v>
      </c>
      <c r="W1608">
        <v>48.45</v>
      </c>
      <c r="Y1608">
        <v>13.37</v>
      </c>
    </row>
    <row r="1609" spans="1:25" x14ac:dyDescent="0.25">
      <c r="A1609">
        <v>2007</v>
      </c>
      <c r="B1609">
        <v>1</v>
      </c>
      <c r="C1609">
        <v>1600</v>
      </c>
      <c r="D1609">
        <v>26.53</v>
      </c>
      <c r="E1609">
        <v>-5.1630000000000003</v>
      </c>
      <c r="F1609">
        <v>2.847</v>
      </c>
      <c r="G1609">
        <v>3.06</v>
      </c>
      <c r="K1609">
        <v>3.6829999999999998</v>
      </c>
      <c r="L1609">
        <v>227.7</v>
      </c>
      <c r="M1609">
        <v>0</v>
      </c>
      <c r="O1609">
        <v>25.68</v>
      </c>
      <c r="P1609">
        <v>2.5209999999999999</v>
      </c>
      <c r="Q1609">
        <v>4.5659999999999998</v>
      </c>
      <c r="S1609">
        <v>4.3319999999999999</v>
      </c>
      <c r="T1609">
        <v>0</v>
      </c>
      <c r="U1609">
        <v>96.6</v>
      </c>
      <c r="V1609">
        <v>996</v>
      </c>
      <c r="W1609">
        <v>48.49</v>
      </c>
      <c r="Y1609">
        <v>13.35</v>
      </c>
    </row>
    <row r="1610" spans="1:25" x14ac:dyDescent="0.25">
      <c r="A1610">
        <v>2007</v>
      </c>
      <c r="B1610">
        <v>1</v>
      </c>
      <c r="C1610">
        <v>1700</v>
      </c>
      <c r="D1610">
        <v>-2.1000000000000001E-2</v>
      </c>
      <c r="E1610">
        <v>-33.75</v>
      </c>
      <c r="F1610">
        <v>2.5299999999999998</v>
      </c>
      <c r="G1610">
        <v>2.7349999999999999</v>
      </c>
      <c r="K1610">
        <v>2.8250000000000002</v>
      </c>
      <c r="L1610">
        <v>227.4</v>
      </c>
      <c r="M1610">
        <v>0</v>
      </c>
      <c r="O1610">
        <v>-8.5399999999999991</v>
      </c>
      <c r="P1610">
        <v>-9.82</v>
      </c>
      <c r="Q1610">
        <v>4.4820000000000002</v>
      </c>
      <c r="S1610">
        <v>4.3330000000000002</v>
      </c>
      <c r="T1610">
        <v>0</v>
      </c>
      <c r="U1610">
        <v>96.7</v>
      </c>
      <c r="V1610">
        <v>997</v>
      </c>
      <c r="W1610">
        <v>48.54</v>
      </c>
      <c r="Y1610">
        <v>13.25</v>
      </c>
    </row>
    <row r="1611" spans="1:25" x14ac:dyDescent="0.25">
      <c r="A1611">
        <v>2007</v>
      </c>
      <c r="B1611">
        <v>1</v>
      </c>
      <c r="C1611">
        <v>1800</v>
      </c>
      <c r="D1611">
        <v>-1.681</v>
      </c>
      <c r="E1611">
        <v>-26.57</v>
      </c>
      <c r="F1611">
        <v>2.78</v>
      </c>
      <c r="G1611">
        <v>2.98</v>
      </c>
      <c r="K1611">
        <v>2.8660000000000001</v>
      </c>
      <c r="L1611">
        <v>226.8</v>
      </c>
      <c r="M1611">
        <v>0.2</v>
      </c>
      <c r="O1611">
        <v>-11.11</v>
      </c>
      <c r="P1611">
        <v>-10.44</v>
      </c>
      <c r="Q1611">
        <v>4.383</v>
      </c>
      <c r="S1611">
        <v>4.3499999999999996</v>
      </c>
      <c r="T1611">
        <v>0</v>
      </c>
      <c r="U1611">
        <v>96.8</v>
      </c>
      <c r="V1611">
        <v>997</v>
      </c>
      <c r="W1611">
        <v>48.63</v>
      </c>
      <c r="Y1611">
        <v>13.17</v>
      </c>
    </row>
    <row r="1612" spans="1:25" x14ac:dyDescent="0.25">
      <c r="A1612">
        <v>2007</v>
      </c>
      <c r="B1612">
        <v>1</v>
      </c>
      <c r="C1612">
        <v>1900</v>
      </c>
      <c r="D1612">
        <v>-1.8220000000000001</v>
      </c>
      <c r="E1612">
        <v>-40.909999999999997</v>
      </c>
      <c r="F1612">
        <v>2.8109999999999999</v>
      </c>
      <c r="G1612">
        <v>3.169</v>
      </c>
      <c r="K1612">
        <v>3.819</v>
      </c>
      <c r="L1612">
        <v>227.1</v>
      </c>
      <c r="M1612">
        <v>0</v>
      </c>
      <c r="O1612">
        <v>-11.02</v>
      </c>
      <c r="P1612">
        <v>-10.4</v>
      </c>
      <c r="Q1612">
        <v>4.2569999999999997</v>
      </c>
      <c r="S1612">
        <v>4.2880000000000003</v>
      </c>
      <c r="T1612">
        <v>0</v>
      </c>
      <c r="U1612">
        <v>94.4</v>
      </c>
      <c r="V1612">
        <v>998</v>
      </c>
      <c r="W1612">
        <v>48.65</v>
      </c>
      <c r="Y1612">
        <v>13.1</v>
      </c>
    </row>
    <row r="1613" spans="1:25" x14ac:dyDescent="0.25">
      <c r="A1613">
        <v>2007</v>
      </c>
      <c r="B1613">
        <v>1</v>
      </c>
      <c r="C1613">
        <v>2000</v>
      </c>
      <c r="D1613">
        <v>-2.2360000000000002</v>
      </c>
      <c r="E1613">
        <v>-45.2</v>
      </c>
      <c r="F1613">
        <v>2.7250000000000001</v>
      </c>
      <c r="G1613">
        <v>3.097</v>
      </c>
      <c r="K1613">
        <v>4.4619999999999997</v>
      </c>
      <c r="L1613">
        <v>227.1</v>
      </c>
      <c r="M1613">
        <v>0</v>
      </c>
      <c r="O1613">
        <v>-11.03</v>
      </c>
      <c r="P1613">
        <v>-10.43</v>
      </c>
      <c r="Q1613">
        <v>4.1079999999999997</v>
      </c>
      <c r="S1613">
        <v>4.2690000000000001</v>
      </c>
      <c r="T1613">
        <v>0</v>
      </c>
      <c r="U1613">
        <v>94.1</v>
      </c>
      <c r="V1613">
        <v>998</v>
      </c>
      <c r="W1613">
        <v>48.75</v>
      </c>
      <c r="Y1613">
        <v>13.05</v>
      </c>
    </row>
    <row r="1614" spans="1:25" x14ac:dyDescent="0.25">
      <c r="A1614">
        <v>2007</v>
      </c>
      <c r="B1614">
        <v>1</v>
      </c>
      <c r="C1614">
        <v>2100</v>
      </c>
      <c r="D1614">
        <v>-2.0379999999999998</v>
      </c>
      <c r="E1614">
        <v>-40.53</v>
      </c>
      <c r="F1614">
        <v>2.8639999999999999</v>
      </c>
      <c r="G1614">
        <v>3.226</v>
      </c>
      <c r="K1614">
        <v>4.3010000000000002</v>
      </c>
      <c r="L1614">
        <v>227.2</v>
      </c>
      <c r="M1614">
        <v>0</v>
      </c>
      <c r="O1614">
        <v>-11</v>
      </c>
      <c r="P1614">
        <v>-10.39</v>
      </c>
      <c r="Q1614">
        <v>3.9630000000000001</v>
      </c>
      <c r="S1614">
        <v>4.1879999999999997</v>
      </c>
      <c r="T1614">
        <v>0</v>
      </c>
      <c r="U1614">
        <v>94.3</v>
      </c>
      <c r="V1614">
        <v>999</v>
      </c>
      <c r="W1614">
        <v>48.83</v>
      </c>
      <c r="Y1614">
        <v>13.01</v>
      </c>
    </row>
    <row r="1615" spans="1:25" x14ac:dyDescent="0.25">
      <c r="A1615">
        <v>2007</v>
      </c>
      <c r="B1615">
        <v>1</v>
      </c>
      <c r="C1615">
        <v>2200</v>
      </c>
      <c r="D1615">
        <v>-1.855</v>
      </c>
      <c r="E1615">
        <v>-33.65</v>
      </c>
      <c r="F1615">
        <v>2.9609999999999999</v>
      </c>
      <c r="G1615">
        <v>3.3519999999999999</v>
      </c>
      <c r="K1615">
        <v>4.2229999999999999</v>
      </c>
      <c r="L1615">
        <v>226.9</v>
      </c>
      <c r="M1615">
        <v>0</v>
      </c>
      <c r="O1615">
        <v>-10.97</v>
      </c>
      <c r="P1615">
        <v>-10.38</v>
      </c>
      <c r="Q1615">
        <v>3.839</v>
      </c>
      <c r="S1615">
        <v>4.1589999999999998</v>
      </c>
      <c r="T1615">
        <v>0</v>
      </c>
      <c r="U1615">
        <v>93.9</v>
      </c>
      <c r="V1615">
        <v>999</v>
      </c>
      <c r="W1615">
        <v>48.87</v>
      </c>
      <c r="Y1615">
        <v>12.98</v>
      </c>
    </row>
    <row r="1616" spans="1:25" x14ac:dyDescent="0.25">
      <c r="A1616">
        <v>2007</v>
      </c>
      <c r="B1616">
        <v>1</v>
      </c>
      <c r="C1616">
        <v>2300</v>
      </c>
      <c r="D1616">
        <v>-1.984</v>
      </c>
      <c r="E1616">
        <v>-27.17</v>
      </c>
      <c r="F1616">
        <v>3.1139999999999999</v>
      </c>
      <c r="G1616">
        <v>3.3650000000000002</v>
      </c>
      <c r="K1616">
        <v>4.5819999999999999</v>
      </c>
      <c r="L1616">
        <v>227.2</v>
      </c>
      <c r="M1616">
        <v>0</v>
      </c>
      <c r="O1616">
        <v>-11.03</v>
      </c>
      <c r="P1616">
        <v>-10.37</v>
      </c>
      <c r="Q1616">
        <v>3.742</v>
      </c>
      <c r="S1616">
        <v>4.069</v>
      </c>
      <c r="T1616">
        <v>0</v>
      </c>
      <c r="U1616">
        <v>96.1</v>
      </c>
      <c r="V1616">
        <v>999</v>
      </c>
      <c r="W1616">
        <v>48.87</v>
      </c>
      <c r="Y1616">
        <v>12.95</v>
      </c>
    </row>
    <row r="1617" spans="1:25" x14ac:dyDescent="0.25">
      <c r="A1617">
        <v>2007</v>
      </c>
      <c r="B1617">
        <v>1</v>
      </c>
      <c r="C1617">
        <v>2400</v>
      </c>
      <c r="D1617">
        <v>-1.627</v>
      </c>
      <c r="E1617">
        <v>-22.03</v>
      </c>
      <c r="F1617">
        <v>3.355</v>
      </c>
      <c r="G1617">
        <v>3.621</v>
      </c>
      <c r="K1617">
        <v>4.2750000000000004</v>
      </c>
      <c r="L1617">
        <v>226.9</v>
      </c>
      <c r="M1617">
        <v>0</v>
      </c>
      <c r="O1617">
        <v>-11</v>
      </c>
      <c r="P1617">
        <v>-10.34</v>
      </c>
      <c r="Q1617">
        <v>3.6589999999999998</v>
      </c>
      <c r="S1617">
        <v>4.0350000000000001</v>
      </c>
      <c r="T1617">
        <v>0</v>
      </c>
      <c r="U1617">
        <v>95.9</v>
      </c>
      <c r="V1617">
        <v>999</v>
      </c>
      <c r="W1617">
        <v>48.87</v>
      </c>
      <c r="Y1617">
        <v>12.93</v>
      </c>
    </row>
    <row r="1618" spans="1:25" x14ac:dyDescent="0.25">
      <c r="A1618">
        <v>2007</v>
      </c>
      <c r="B1618">
        <v>2</v>
      </c>
      <c r="C1618">
        <v>100</v>
      </c>
      <c r="D1618">
        <v>-1.603</v>
      </c>
      <c r="E1618">
        <v>-18.649999999999999</v>
      </c>
      <c r="F1618">
        <v>3.5</v>
      </c>
      <c r="G1618">
        <v>3.8079999999999998</v>
      </c>
      <c r="K1618">
        <v>4.0640000000000001</v>
      </c>
      <c r="L1618">
        <v>227.1</v>
      </c>
      <c r="M1618">
        <v>0.2</v>
      </c>
      <c r="O1618">
        <v>-11.03</v>
      </c>
      <c r="P1618">
        <v>-10.37</v>
      </c>
      <c r="Q1618">
        <v>3.6070000000000002</v>
      </c>
      <c r="S1618">
        <v>3.9369999999999998</v>
      </c>
      <c r="T1618">
        <v>0</v>
      </c>
      <c r="U1618">
        <v>95.3</v>
      </c>
      <c r="V1618">
        <v>999</v>
      </c>
      <c r="W1618">
        <v>48.87</v>
      </c>
      <c r="Y1618">
        <v>12.92</v>
      </c>
    </row>
    <row r="1619" spans="1:25" x14ac:dyDescent="0.25">
      <c r="A1619">
        <v>2007</v>
      </c>
      <c r="B1619">
        <v>2</v>
      </c>
      <c r="C1619">
        <v>200</v>
      </c>
      <c r="D1619">
        <v>-1.0369999999999999</v>
      </c>
      <c r="E1619">
        <v>-9.94</v>
      </c>
      <c r="F1619">
        <v>4.093</v>
      </c>
      <c r="G1619">
        <v>4.4180000000000001</v>
      </c>
      <c r="K1619">
        <v>4.8419999999999996</v>
      </c>
      <c r="L1619">
        <v>227.5</v>
      </c>
      <c r="M1619">
        <v>0.8</v>
      </c>
      <c r="O1619">
        <v>-11.15</v>
      </c>
      <c r="P1619">
        <v>-10.46</v>
      </c>
      <c r="Q1619">
        <v>3.5870000000000002</v>
      </c>
      <c r="S1619">
        <v>3.911</v>
      </c>
      <c r="T1619">
        <v>0</v>
      </c>
      <c r="U1619">
        <v>95.1</v>
      </c>
      <c r="V1619">
        <v>999</v>
      </c>
      <c r="W1619">
        <v>48.79</v>
      </c>
      <c r="Y1619">
        <v>12.9</v>
      </c>
    </row>
    <row r="1620" spans="1:25" x14ac:dyDescent="0.25">
      <c r="A1620">
        <v>2007</v>
      </c>
      <c r="B1620">
        <v>2</v>
      </c>
      <c r="C1620">
        <v>300</v>
      </c>
      <c r="D1620">
        <v>-1.2070000000000001</v>
      </c>
      <c r="E1620">
        <v>-15.93</v>
      </c>
      <c r="F1620">
        <v>4.2960000000000003</v>
      </c>
      <c r="G1620">
        <v>4.5549999999999997</v>
      </c>
      <c r="K1620">
        <v>4.3090000000000002</v>
      </c>
      <c r="L1620">
        <v>227.4</v>
      </c>
      <c r="M1620">
        <v>0.4</v>
      </c>
      <c r="O1620">
        <v>-11.24</v>
      </c>
      <c r="P1620">
        <v>-10.54</v>
      </c>
      <c r="Q1620">
        <v>3.633</v>
      </c>
      <c r="S1620">
        <v>3.8650000000000002</v>
      </c>
      <c r="T1620">
        <v>0</v>
      </c>
      <c r="U1620">
        <v>96.2</v>
      </c>
      <c r="V1620">
        <v>999</v>
      </c>
      <c r="W1620">
        <v>48.79</v>
      </c>
      <c r="Y1620">
        <v>12.89</v>
      </c>
    </row>
    <row r="1621" spans="1:25" x14ac:dyDescent="0.25">
      <c r="A1621">
        <v>2007</v>
      </c>
      <c r="B1621">
        <v>2</v>
      </c>
      <c r="C1621">
        <v>400</v>
      </c>
      <c r="D1621">
        <v>-1.091</v>
      </c>
      <c r="E1621">
        <v>-14.17</v>
      </c>
      <c r="F1621">
        <v>4.7300000000000004</v>
      </c>
      <c r="G1621">
        <v>5.1749999999999998</v>
      </c>
      <c r="K1621">
        <v>4.8719999999999999</v>
      </c>
      <c r="L1621">
        <v>228</v>
      </c>
      <c r="M1621">
        <v>0.8</v>
      </c>
      <c r="O1621">
        <v>-11.31</v>
      </c>
      <c r="P1621">
        <v>-10.59</v>
      </c>
      <c r="Q1621">
        <v>3.6859999999999999</v>
      </c>
      <c r="S1621">
        <v>3.8</v>
      </c>
      <c r="T1621">
        <v>0</v>
      </c>
      <c r="U1621">
        <v>93.6</v>
      </c>
      <c r="V1621">
        <v>999</v>
      </c>
      <c r="W1621">
        <v>48.77</v>
      </c>
      <c r="Y1621">
        <v>12.88</v>
      </c>
    </row>
    <row r="1622" spans="1:25" x14ac:dyDescent="0.25">
      <c r="A1622">
        <v>2007</v>
      </c>
      <c r="B1622">
        <v>2</v>
      </c>
      <c r="C1622">
        <v>500</v>
      </c>
      <c r="D1622">
        <v>-1.595</v>
      </c>
      <c r="E1622">
        <v>-35.26</v>
      </c>
      <c r="F1622">
        <v>4.742</v>
      </c>
      <c r="G1622">
        <v>5.3689999999999998</v>
      </c>
      <c r="K1622">
        <v>5.2889999999999997</v>
      </c>
      <c r="L1622">
        <v>228.8</v>
      </c>
      <c r="M1622">
        <v>0.2</v>
      </c>
      <c r="O1622">
        <v>-11.4</v>
      </c>
      <c r="P1622">
        <v>-10.69</v>
      </c>
      <c r="Q1622">
        <v>3.7519999999999998</v>
      </c>
      <c r="S1622">
        <v>3.7909999999999999</v>
      </c>
      <c r="T1622">
        <v>0</v>
      </c>
      <c r="U1622">
        <v>91</v>
      </c>
      <c r="V1622">
        <v>999</v>
      </c>
      <c r="W1622">
        <v>48.77</v>
      </c>
      <c r="Y1622">
        <v>12.88</v>
      </c>
    </row>
    <row r="1623" spans="1:25" x14ac:dyDescent="0.25">
      <c r="A1623">
        <v>2007</v>
      </c>
      <c r="B1623">
        <v>2</v>
      </c>
      <c r="C1623">
        <v>600</v>
      </c>
      <c r="D1623">
        <v>-2.2320000000000002</v>
      </c>
      <c r="E1623">
        <v>-39.92</v>
      </c>
      <c r="F1623">
        <v>4.8570000000000002</v>
      </c>
      <c r="G1623">
        <v>5.319</v>
      </c>
      <c r="K1623">
        <v>4.9320000000000004</v>
      </c>
      <c r="L1623">
        <v>228.6</v>
      </c>
      <c r="M1623">
        <v>0</v>
      </c>
      <c r="O1623">
        <v>-11.35</v>
      </c>
      <c r="P1623">
        <v>-10.69</v>
      </c>
      <c r="Q1623">
        <v>3.7869999999999999</v>
      </c>
      <c r="S1623">
        <v>3.7909999999999999</v>
      </c>
      <c r="T1623">
        <v>0</v>
      </c>
      <c r="U1623">
        <v>93.4</v>
      </c>
      <c r="V1623">
        <v>999</v>
      </c>
      <c r="W1623">
        <v>48.77</v>
      </c>
      <c r="Y1623">
        <v>12.88</v>
      </c>
    </row>
    <row r="1624" spans="1:25" x14ac:dyDescent="0.25">
      <c r="A1624">
        <v>2007</v>
      </c>
      <c r="B1624">
        <v>2</v>
      </c>
      <c r="C1624">
        <v>700</v>
      </c>
      <c r="D1624">
        <v>-1.369</v>
      </c>
      <c r="E1624">
        <v>-13.86</v>
      </c>
      <c r="F1624">
        <v>5.5590000000000002</v>
      </c>
      <c r="G1624">
        <v>6.0060000000000002</v>
      </c>
      <c r="K1624">
        <v>5.3109999999999999</v>
      </c>
      <c r="L1624">
        <v>228.9</v>
      </c>
      <c r="M1624">
        <v>0</v>
      </c>
      <c r="O1624">
        <v>-11.35</v>
      </c>
      <c r="P1624">
        <v>-10.65</v>
      </c>
      <c r="Q1624">
        <v>3.7869999999999999</v>
      </c>
      <c r="S1624">
        <v>3.7909999999999999</v>
      </c>
      <c r="T1624">
        <v>0</v>
      </c>
      <c r="U1624">
        <v>93.7</v>
      </c>
      <c r="V1624">
        <v>999</v>
      </c>
      <c r="W1624">
        <v>48.76</v>
      </c>
      <c r="Y1624">
        <v>12.88</v>
      </c>
    </row>
    <row r="1625" spans="1:25" x14ac:dyDescent="0.25">
      <c r="A1625">
        <v>2007</v>
      </c>
      <c r="B1625">
        <v>2</v>
      </c>
      <c r="C1625">
        <v>800</v>
      </c>
      <c r="D1625">
        <v>-0.84699999999999998</v>
      </c>
      <c r="E1625">
        <v>-8.25</v>
      </c>
      <c r="F1625">
        <v>6.117</v>
      </c>
      <c r="G1625">
        <v>6.5119999999999996</v>
      </c>
      <c r="K1625">
        <v>5.46</v>
      </c>
      <c r="L1625">
        <v>229</v>
      </c>
      <c r="M1625">
        <v>0</v>
      </c>
      <c r="O1625">
        <v>-11.48</v>
      </c>
      <c r="P1625">
        <v>-10.81</v>
      </c>
      <c r="Q1625">
        <v>3.806</v>
      </c>
      <c r="S1625">
        <v>3.786</v>
      </c>
      <c r="T1625">
        <v>0</v>
      </c>
      <c r="U1625">
        <v>94.6</v>
      </c>
      <c r="V1625">
        <v>998</v>
      </c>
      <c r="W1625">
        <v>48.75</v>
      </c>
      <c r="Y1625">
        <v>12.88</v>
      </c>
    </row>
    <row r="1626" spans="1:25" x14ac:dyDescent="0.25">
      <c r="A1626">
        <v>2007</v>
      </c>
      <c r="B1626">
        <v>2</v>
      </c>
      <c r="C1626">
        <v>900</v>
      </c>
      <c r="D1626">
        <v>1.095</v>
      </c>
      <c r="E1626">
        <v>-19.95</v>
      </c>
      <c r="F1626">
        <v>6.4320000000000004</v>
      </c>
      <c r="G1626">
        <v>6.7389999999999999</v>
      </c>
      <c r="H1626">
        <f>AVERAGE(G1626:G1649)</f>
        <v>7.8096666666666676</v>
      </c>
      <c r="K1626">
        <v>5.9729999999999999</v>
      </c>
      <c r="L1626">
        <v>229.1</v>
      </c>
      <c r="M1626">
        <v>0</v>
      </c>
      <c r="N1626">
        <f>SUM(M1626:M1649)</f>
        <v>1.7999999999999998</v>
      </c>
      <c r="O1626">
        <v>-8.27</v>
      </c>
      <c r="P1626">
        <v>-9.9499999999999993</v>
      </c>
      <c r="Q1626">
        <v>3.86</v>
      </c>
      <c r="S1626">
        <v>3.7839999999999998</v>
      </c>
      <c r="T1626">
        <v>0</v>
      </c>
      <c r="U1626">
        <v>95.8</v>
      </c>
      <c r="V1626">
        <v>998</v>
      </c>
      <c r="W1626">
        <v>48.69</v>
      </c>
      <c r="Y1626">
        <v>12.88</v>
      </c>
    </row>
    <row r="1627" spans="1:25" x14ac:dyDescent="0.25">
      <c r="A1627">
        <v>2007</v>
      </c>
      <c r="B1627">
        <v>2</v>
      </c>
      <c r="C1627">
        <v>1000</v>
      </c>
      <c r="D1627">
        <v>19.899999999999999</v>
      </c>
      <c r="E1627">
        <v>3.1509999999999998</v>
      </c>
      <c r="F1627">
        <v>6.6639999999999997</v>
      </c>
      <c r="G1627">
        <v>6.9850000000000003</v>
      </c>
      <c r="K1627">
        <v>5.7850000000000001</v>
      </c>
      <c r="L1627">
        <v>229.2</v>
      </c>
      <c r="M1627">
        <v>0</v>
      </c>
      <c r="O1627">
        <v>15.89</v>
      </c>
      <c r="P1627">
        <v>-4.6710000000000003</v>
      </c>
      <c r="Q1627">
        <v>3.911</v>
      </c>
      <c r="S1627">
        <v>3.7669999999999999</v>
      </c>
      <c r="T1627">
        <v>0</v>
      </c>
      <c r="U1627">
        <v>95.7</v>
      </c>
      <c r="V1627">
        <v>997</v>
      </c>
      <c r="W1627">
        <v>48.58</v>
      </c>
      <c r="Y1627">
        <v>12.9</v>
      </c>
    </row>
    <row r="1628" spans="1:25" x14ac:dyDescent="0.25">
      <c r="A1628">
        <v>2007</v>
      </c>
      <c r="B1628">
        <v>2</v>
      </c>
      <c r="C1628">
        <v>1100</v>
      </c>
      <c r="D1628">
        <v>58.45</v>
      </c>
      <c r="E1628">
        <v>27.57</v>
      </c>
      <c r="F1628">
        <v>6.8760000000000003</v>
      </c>
      <c r="G1628">
        <v>7.15</v>
      </c>
      <c r="K1628">
        <v>4.9349999999999996</v>
      </c>
      <c r="L1628">
        <v>229.6</v>
      </c>
      <c r="M1628">
        <v>0</v>
      </c>
      <c r="O1628">
        <v>63.33</v>
      </c>
      <c r="P1628">
        <v>9.31</v>
      </c>
      <c r="Q1628">
        <v>4.0279999999999996</v>
      </c>
      <c r="S1628">
        <v>3.7989999999999999</v>
      </c>
      <c r="T1628">
        <v>0</v>
      </c>
      <c r="U1628">
        <v>96.3</v>
      </c>
      <c r="V1628">
        <v>996</v>
      </c>
      <c r="W1628">
        <v>48.51</v>
      </c>
      <c r="Y1628">
        <v>13.22</v>
      </c>
    </row>
    <row r="1629" spans="1:25" x14ac:dyDescent="0.25">
      <c r="A1629">
        <v>2007</v>
      </c>
      <c r="B1629">
        <v>2</v>
      </c>
      <c r="C1629">
        <v>1200</v>
      </c>
      <c r="D1629">
        <v>127.4</v>
      </c>
      <c r="E1629">
        <v>67.83</v>
      </c>
      <c r="F1629">
        <v>7.15</v>
      </c>
      <c r="G1629">
        <v>7.46</v>
      </c>
      <c r="K1629">
        <v>4.5469999999999997</v>
      </c>
      <c r="L1629">
        <v>229.9</v>
      </c>
      <c r="M1629">
        <v>0</v>
      </c>
      <c r="O1629">
        <v>140.9</v>
      </c>
      <c r="P1629">
        <v>50.37</v>
      </c>
      <c r="Q1629">
        <v>4.2060000000000004</v>
      </c>
      <c r="S1629">
        <v>3.8260000000000001</v>
      </c>
      <c r="T1629">
        <v>0</v>
      </c>
      <c r="U1629">
        <v>95.9</v>
      </c>
      <c r="V1629">
        <v>996</v>
      </c>
      <c r="W1629">
        <v>48.41</v>
      </c>
      <c r="Y1629">
        <v>14.01</v>
      </c>
    </row>
    <row r="1630" spans="1:25" x14ac:dyDescent="0.25">
      <c r="A1630">
        <v>2007</v>
      </c>
      <c r="B1630">
        <v>2</v>
      </c>
      <c r="C1630">
        <v>1300</v>
      </c>
      <c r="D1630">
        <v>154.19999999999999</v>
      </c>
      <c r="E1630">
        <v>99.8</v>
      </c>
      <c r="F1630">
        <v>7.49</v>
      </c>
      <c r="G1630">
        <v>7.78</v>
      </c>
      <c r="K1630">
        <v>3.1429999999999998</v>
      </c>
      <c r="L1630">
        <v>228.7</v>
      </c>
      <c r="M1630">
        <v>0</v>
      </c>
      <c r="O1630">
        <v>177.5</v>
      </c>
      <c r="P1630">
        <v>61.2</v>
      </c>
      <c r="Q1630">
        <v>4.383</v>
      </c>
      <c r="S1630">
        <v>3.8860000000000001</v>
      </c>
      <c r="T1630">
        <v>0</v>
      </c>
      <c r="U1630">
        <v>96.2</v>
      </c>
      <c r="V1630">
        <v>970</v>
      </c>
      <c r="W1630">
        <v>45.67</v>
      </c>
      <c r="Y1630">
        <v>14.09</v>
      </c>
    </row>
    <row r="1631" spans="1:25" x14ac:dyDescent="0.25">
      <c r="A1631">
        <v>2007</v>
      </c>
      <c r="B1631">
        <v>2</v>
      </c>
      <c r="C1631">
        <v>1400</v>
      </c>
      <c r="D1631">
        <v>161.69999999999999</v>
      </c>
      <c r="E1631">
        <v>99.9</v>
      </c>
      <c r="F1631">
        <v>7.73</v>
      </c>
      <c r="G1631">
        <v>7.96</v>
      </c>
      <c r="K1631">
        <v>2.89</v>
      </c>
      <c r="L1631">
        <v>228.6</v>
      </c>
      <c r="M1631">
        <v>0</v>
      </c>
      <c r="O1631">
        <v>180.6</v>
      </c>
      <c r="P1631">
        <v>79.8</v>
      </c>
      <c r="Q1631">
        <v>4.5380000000000003</v>
      </c>
      <c r="S1631">
        <v>3.9209999999999998</v>
      </c>
      <c r="T1631">
        <v>0</v>
      </c>
      <c r="U1631">
        <v>97</v>
      </c>
      <c r="V1631">
        <v>943</v>
      </c>
      <c r="W1631">
        <v>42.95</v>
      </c>
      <c r="Y1631">
        <v>14.19</v>
      </c>
    </row>
    <row r="1632" spans="1:25" x14ac:dyDescent="0.25">
      <c r="A1632">
        <v>2007</v>
      </c>
      <c r="B1632">
        <v>2</v>
      </c>
      <c r="C1632">
        <v>1500</v>
      </c>
      <c r="D1632">
        <v>109.5</v>
      </c>
      <c r="E1632">
        <v>60.07</v>
      </c>
      <c r="F1632">
        <v>7.69</v>
      </c>
      <c r="G1632">
        <v>7.93</v>
      </c>
      <c r="K1632">
        <v>2.621</v>
      </c>
      <c r="L1632">
        <v>228.3</v>
      </c>
      <c r="M1632">
        <v>0</v>
      </c>
      <c r="O1632">
        <v>120.6</v>
      </c>
      <c r="P1632">
        <v>56.82</v>
      </c>
      <c r="Q1632">
        <v>4.7389999999999999</v>
      </c>
      <c r="S1632">
        <v>4.0090000000000003</v>
      </c>
      <c r="T1632">
        <v>0</v>
      </c>
      <c r="U1632">
        <v>96.9</v>
      </c>
      <c r="V1632">
        <v>934</v>
      </c>
      <c r="W1632">
        <v>42.17</v>
      </c>
      <c r="Y1632">
        <v>13.99</v>
      </c>
    </row>
    <row r="1633" spans="1:25" x14ac:dyDescent="0.25">
      <c r="A1633">
        <v>2007</v>
      </c>
      <c r="B1633">
        <v>2</v>
      </c>
      <c r="C1633">
        <v>1600</v>
      </c>
      <c r="D1633">
        <v>15.91</v>
      </c>
      <c r="E1633">
        <v>-12.02</v>
      </c>
      <c r="F1633">
        <v>7.09</v>
      </c>
      <c r="G1633">
        <v>7.29</v>
      </c>
      <c r="K1633">
        <v>1.9490000000000001</v>
      </c>
      <c r="L1633">
        <v>227.4</v>
      </c>
      <c r="M1633">
        <v>0</v>
      </c>
      <c r="O1633">
        <v>8.5</v>
      </c>
      <c r="P1633">
        <v>-4.3650000000000002</v>
      </c>
      <c r="Q1633">
        <v>4.851</v>
      </c>
      <c r="S1633">
        <v>4.0259999999999998</v>
      </c>
      <c r="T1633">
        <v>0</v>
      </c>
      <c r="U1633">
        <v>97.3</v>
      </c>
      <c r="V1633">
        <v>929</v>
      </c>
      <c r="W1633">
        <v>41.75</v>
      </c>
      <c r="Y1633">
        <v>13.56</v>
      </c>
    </row>
    <row r="1634" spans="1:25" x14ac:dyDescent="0.25">
      <c r="A1634">
        <v>2007</v>
      </c>
      <c r="B1634">
        <v>2</v>
      </c>
      <c r="C1634">
        <v>1700</v>
      </c>
      <c r="D1634">
        <v>-1.5760000000000001</v>
      </c>
      <c r="E1634">
        <v>-44.64</v>
      </c>
      <c r="F1634">
        <v>5.8769999999999998</v>
      </c>
      <c r="G1634">
        <v>6.0129999999999999</v>
      </c>
      <c r="K1634">
        <v>1.7370000000000001</v>
      </c>
      <c r="L1634">
        <v>223.8</v>
      </c>
      <c r="M1634">
        <v>0</v>
      </c>
      <c r="O1634">
        <v>-10.25</v>
      </c>
      <c r="P1634">
        <v>-10.47</v>
      </c>
      <c r="Q1634">
        <v>4.9139999999999997</v>
      </c>
      <c r="S1634">
        <v>4.0830000000000002</v>
      </c>
      <c r="T1634">
        <v>0</v>
      </c>
      <c r="U1634">
        <v>98.1</v>
      </c>
      <c r="V1634">
        <v>924</v>
      </c>
      <c r="W1634">
        <v>41.33</v>
      </c>
      <c r="Y1634">
        <v>13.38</v>
      </c>
    </row>
    <row r="1635" spans="1:25" x14ac:dyDescent="0.25">
      <c r="A1635">
        <v>2007</v>
      </c>
      <c r="B1635">
        <v>2</v>
      </c>
      <c r="C1635">
        <v>1800</v>
      </c>
      <c r="D1635">
        <v>-1.429</v>
      </c>
      <c r="E1635">
        <v>-18.98</v>
      </c>
      <c r="F1635">
        <v>5.63</v>
      </c>
      <c r="G1635">
        <v>5.8360000000000003</v>
      </c>
      <c r="K1635">
        <v>1.4930000000000001</v>
      </c>
      <c r="L1635">
        <v>216.3</v>
      </c>
      <c r="M1635">
        <v>0</v>
      </c>
      <c r="O1635">
        <v>-11.5</v>
      </c>
      <c r="P1635">
        <v>-10.85</v>
      </c>
      <c r="Q1635">
        <v>4.8310000000000004</v>
      </c>
      <c r="S1635">
        <v>4.1449999999999996</v>
      </c>
      <c r="T1635">
        <v>0</v>
      </c>
      <c r="U1635">
        <v>97.1</v>
      </c>
      <c r="V1635">
        <v>925</v>
      </c>
      <c r="W1635">
        <v>41.37</v>
      </c>
      <c r="Y1635">
        <v>13.27</v>
      </c>
    </row>
    <row r="1636" spans="1:25" x14ac:dyDescent="0.25">
      <c r="A1636">
        <v>2007</v>
      </c>
      <c r="B1636">
        <v>2</v>
      </c>
      <c r="C1636">
        <v>1900</v>
      </c>
      <c r="D1636">
        <v>-0.63500000000000001</v>
      </c>
      <c r="E1636">
        <v>-6.6630000000000003</v>
      </c>
      <c r="F1636">
        <v>6.1310000000000002</v>
      </c>
      <c r="G1636">
        <v>6.3440000000000003</v>
      </c>
      <c r="K1636">
        <v>2.0169999999999999</v>
      </c>
      <c r="L1636">
        <v>220.3</v>
      </c>
      <c r="M1636">
        <v>0</v>
      </c>
      <c r="O1636">
        <v>-11.5</v>
      </c>
      <c r="P1636">
        <v>-10.84</v>
      </c>
      <c r="Q1636">
        <v>4.7149999999999999</v>
      </c>
      <c r="S1636">
        <v>4.226</v>
      </c>
      <c r="T1636">
        <v>0</v>
      </c>
      <c r="U1636">
        <v>97</v>
      </c>
      <c r="V1636">
        <v>917</v>
      </c>
      <c r="W1636">
        <v>40.76</v>
      </c>
      <c r="Y1636">
        <v>13.19</v>
      </c>
    </row>
    <row r="1637" spans="1:25" x14ac:dyDescent="0.25">
      <c r="A1637">
        <v>2007</v>
      </c>
      <c r="B1637">
        <v>2</v>
      </c>
      <c r="C1637">
        <v>2000</v>
      </c>
      <c r="D1637">
        <v>-0.996</v>
      </c>
      <c r="E1637">
        <v>-6.0510000000000002</v>
      </c>
      <c r="F1637">
        <v>6.1429999999999998</v>
      </c>
      <c r="G1637">
        <v>6.31</v>
      </c>
      <c r="K1637">
        <v>1.895</v>
      </c>
      <c r="L1637">
        <v>222.4</v>
      </c>
      <c r="M1637">
        <v>0.4</v>
      </c>
      <c r="O1637">
        <v>-11.5</v>
      </c>
      <c r="P1637">
        <v>-10.84</v>
      </c>
      <c r="Q1637">
        <v>4.6959999999999997</v>
      </c>
      <c r="S1637">
        <v>4.234</v>
      </c>
      <c r="T1637">
        <v>0</v>
      </c>
      <c r="U1637">
        <v>97.7</v>
      </c>
      <c r="V1637">
        <v>918</v>
      </c>
      <c r="W1637">
        <v>40.799999999999997</v>
      </c>
      <c r="Y1637">
        <v>13.13</v>
      </c>
    </row>
    <row r="1638" spans="1:25" x14ac:dyDescent="0.25">
      <c r="A1638">
        <v>2007</v>
      </c>
      <c r="B1638">
        <v>2</v>
      </c>
      <c r="C1638">
        <v>2100</v>
      </c>
      <c r="D1638">
        <v>-0.81299999999999994</v>
      </c>
      <c r="E1638">
        <v>-4.99</v>
      </c>
      <c r="F1638">
        <v>5.665</v>
      </c>
      <c r="G1638">
        <v>5.8070000000000004</v>
      </c>
      <c r="K1638">
        <v>1.4330000000000001</v>
      </c>
      <c r="L1638">
        <v>193.5</v>
      </c>
      <c r="M1638">
        <v>0.4</v>
      </c>
      <c r="O1638">
        <v>-11.5</v>
      </c>
      <c r="P1638">
        <v>-10.84</v>
      </c>
      <c r="Q1638">
        <v>4.6959999999999997</v>
      </c>
      <c r="S1638">
        <v>4.234</v>
      </c>
      <c r="T1638">
        <v>0</v>
      </c>
      <c r="U1638">
        <v>98</v>
      </c>
      <c r="V1638">
        <v>930</v>
      </c>
      <c r="W1638">
        <v>41.83</v>
      </c>
      <c r="Y1638">
        <v>13.09</v>
      </c>
    </row>
    <row r="1639" spans="1:25" x14ac:dyDescent="0.25">
      <c r="A1639">
        <v>2007</v>
      </c>
      <c r="B1639">
        <v>2</v>
      </c>
      <c r="C1639">
        <v>2200</v>
      </c>
      <c r="D1639">
        <v>-0.57499999999999996</v>
      </c>
      <c r="E1639">
        <v>-4.2030000000000003</v>
      </c>
      <c r="F1639">
        <v>5.6379999999999999</v>
      </c>
      <c r="G1639">
        <v>5.7720000000000002</v>
      </c>
      <c r="K1639">
        <v>1.71</v>
      </c>
      <c r="L1639">
        <v>166.5</v>
      </c>
      <c r="M1639">
        <v>0.2</v>
      </c>
      <c r="O1639">
        <v>-11.5</v>
      </c>
      <c r="P1639">
        <v>-10.83</v>
      </c>
      <c r="Q1639">
        <v>4.71</v>
      </c>
      <c r="S1639">
        <v>4.2439999999999998</v>
      </c>
      <c r="T1639">
        <v>0</v>
      </c>
      <c r="U1639">
        <v>98.1</v>
      </c>
      <c r="V1639">
        <v>951</v>
      </c>
      <c r="W1639">
        <v>43.69</v>
      </c>
      <c r="Y1639">
        <v>13.05</v>
      </c>
    </row>
    <row r="1640" spans="1:25" x14ac:dyDescent="0.25">
      <c r="A1640">
        <v>2007</v>
      </c>
      <c r="B1640">
        <v>2</v>
      </c>
      <c r="C1640">
        <v>2300</v>
      </c>
      <c r="D1640">
        <v>-0.65400000000000003</v>
      </c>
      <c r="E1640">
        <v>-2.4649999999999999</v>
      </c>
      <c r="F1640">
        <v>6.5380000000000003</v>
      </c>
      <c r="G1640">
        <v>6.9059999999999997</v>
      </c>
      <c r="K1640">
        <v>2.8340000000000001</v>
      </c>
      <c r="L1640">
        <v>183.8</v>
      </c>
      <c r="M1640">
        <v>0.2</v>
      </c>
      <c r="O1640">
        <v>-11.49</v>
      </c>
      <c r="P1640">
        <v>-10.81</v>
      </c>
      <c r="Q1640">
        <v>4.7690000000000001</v>
      </c>
      <c r="S1640">
        <v>4.2489999999999997</v>
      </c>
      <c r="T1640">
        <v>0</v>
      </c>
      <c r="U1640">
        <v>95</v>
      </c>
      <c r="V1640">
        <v>953</v>
      </c>
      <c r="W1640">
        <v>43.91</v>
      </c>
      <c r="Y1640">
        <v>13.02</v>
      </c>
    </row>
    <row r="1641" spans="1:25" x14ac:dyDescent="0.25">
      <c r="A1641">
        <v>2007</v>
      </c>
      <c r="B1641">
        <v>2</v>
      </c>
      <c r="C1641">
        <v>2400</v>
      </c>
      <c r="D1641">
        <v>-0.51200000000000001</v>
      </c>
      <c r="E1641">
        <v>-1.47</v>
      </c>
      <c r="F1641">
        <v>7.33</v>
      </c>
      <c r="G1641">
        <v>7.6</v>
      </c>
      <c r="K1641">
        <v>3.9180000000000001</v>
      </c>
      <c r="L1641">
        <v>201.7</v>
      </c>
      <c r="M1641">
        <v>0</v>
      </c>
      <c r="O1641">
        <v>-11.49</v>
      </c>
      <c r="P1641">
        <v>-10.81</v>
      </c>
      <c r="Q1641">
        <v>4.835</v>
      </c>
      <c r="S1641">
        <v>4.266</v>
      </c>
      <c r="T1641">
        <v>0</v>
      </c>
      <c r="U1641">
        <v>96.4</v>
      </c>
      <c r="V1641">
        <v>953</v>
      </c>
      <c r="W1641">
        <v>43.94</v>
      </c>
      <c r="Y1641">
        <v>13</v>
      </c>
    </row>
    <row r="1642" spans="1:25" x14ac:dyDescent="0.25">
      <c r="A1642">
        <v>2007</v>
      </c>
      <c r="B1642">
        <v>3</v>
      </c>
      <c r="C1642">
        <v>100</v>
      </c>
      <c r="D1642">
        <v>-0.56000000000000005</v>
      </c>
      <c r="E1642">
        <v>-0.58099999999999996</v>
      </c>
      <c r="F1642">
        <v>7.65</v>
      </c>
      <c r="G1642">
        <v>7.76</v>
      </c>
      <c r="K1642">
        <v>3.3319999999999999</v>
      </c>
      <c r="L1642">
        <v>204.9</v>
      </c>
      <c r="M1642">
        <v>0</v>
      </c>
      <c r="O1642">
        <v>-11.5</v>
      </c>
      <c r="P1642">
        <v>-10.84</v>
      </c>
      <c r="Q1642">
        <v>4.9509999999999996</v>
      </c>
      <c r="S1642">
        <v>4.3310000000000004</v>
      </c>
      <c r="T1642">
        <v>0</v>
      </c>
      <c r="U1642">
        <v>98.6</v>
      </c>
      <c r="V1642">
        <v>954</v>
      </c>
      <c r="W1642">
        <v>44</v>
      </c>
      <c r="Y1642">
        <v>12.98</v>
      </c>
    </row>
    <row r="1643" spans="1:25" x14ac:dyDescent="0.25">
      <c r="A1643">
        <v>2007</v>
      </c>
      <c r="B1643">
        <v>3</v>
      </c>
      <c r="C1643">
        <v>200</v>
      </c>
      <c r="D1643">
        <v>-0.57599999999999996</v>
      </c>
      <c r="E1643">
        <v>0.71399999999999997</v>
      </c>
      <c r="F1643">
        <v>8.14</v>
      </c>
      <c r="G1643">
        <v>8.26</v>
      </c>
      <c r="K1643">
        <v>3.0249999999999999</v>
      </c>
      <c r="L1643">
        <v>204.5</v>
      </c>
      <c r="M1643">
        <v>0</v>
      </c>
      <c r="O1643">
        <v>-11.5</v>
      </c>
      <c r="P1643">
        <v>-10.84</v>
      </c>
      <c r="Q1643">
        <v>5.077</v>
      </c>
      <c r="S1643">
        <v>4.3449999999999998</v>
      </c>
      <c r="T1643">
        <v>0</v>
      </c>
      <c r="U1643">
        <v>98.4</v>
      </c>
      <c r="V1643">
        <v>955</v>
      </c>
      <c r="W1643">
        <v>44.05</v>
      </c>
      <c r="Y1643">
        <v>12.97</v>
      </c>
    </row>
    <row r="1644" spans="1:25" x14ac:dyDescent="0.25">
      <c r="A1644">
        <v>2007</v>
      </c>
      <c r="B1644">
        <v>3</v>
      </c>
      <c r="C1644">
        <v>300</v>
      </c>
      <c r="D1644">
        <v>-0.627</v>
      </c>
      <c r="E1644">
        <v>0.73699999999999999</v>
      </c>
      <c r="F1644">
        <v>8.9</v>
      </c>
      <c r="G1644">
        <v>9.1300000000000008</v>
      </c>
      <c r="K1644">
        <v>3.504</v>
      </c>
      <c r="L1644">
        <v>211.5</v>
      </c>
      <c r="M1644">
        <v>0.2</v>
      </c>
      <c r="O1644">
        <v>-11.5</v>
      </c>
      <c r="P1644">
        <v>-10.85</v>
      </c>
      <c r="Q1644">
        <v>5.2210000000000001</v>
      </c>
      <c r="S1644">
        <v>4.4249999999999998</v>
      </c>
      <c r="T1644">
        <v>0</v>
      </c>
      <c r="U1644">
        <v>97.1</v>
      </c>
      <c r="V1644">
        <v>956</v>
      </c>
      <c r="W1644">
        <v>44.15</v>
      </c>
      <c r="Y1644">
        <v>12.95</v>
      </c>
    </row>
    <row r="1645" spans="1:25" x14ac:dyDescent="0.25">
      <c r="A1645">
        <v>2007</v>
      </c>
      <c r="B1645">
        <v>3</v>
      </c>
      <c r="C1645">
        <v>400</v>
      </c>
      <c r="D1645">
        <v>-0.59499999999999997</v>
      </c>
      <c r="E1645">
        <v>-0.38100000000000001</v>
      </c>
      <c r="F1645">
        <v>9.58</v>
      </c>
      <c r="G1645">
        <v>9.86</v>
      </c>
      <c r="K1645">
        <v>3.8759999999999999</v>
      </c>
      <c r="L1645">
        <v>212.7</v>
      </c>
      <c r="M1645">
        <v>0.2</v>
      </c>
      <c r="O1645">
        <v>-11.5</v>
      </c>
      <c r="P1645">
        <v>-10.84</v>
      </c>
      <c r="Q1645">
        <v>5.3719999999999999</v>
      </c>
      <c r="S1645">
        <v>4.4669999999999996</v>
      </c>
      <c r="T1645">
        <v>0</v>
      </c>
      <c r="U1645">
        <v>96.5</v>
      </c>
      <c r="V1645">
        <v>958</v>
      </c>
      <c r="W1645">
        <v>44.43</v>
      </c>
      <c r="Y1645">
        <v>12.94</v>
      </c>
    </row>
    <row r="1646" spans="1:25" x14ac:dyDescent="0.25">
      <c r="A1646">
        <v>2007</v>
      </c>
      <c r="B1646">
        <v>3</v>
      </c>
      <c r="C1646">
        <v>500</v>
      </c>
      <c r="D1646">
        <v>-0.57299999999999995</v>
      </c>
      <c r="E1646">
        <v>-0.66700000000000004</v>
      </c>
      <c r="F1646">
        <v>9.89</v>
      </c>
      <c r="G1646">
        <v>10.29</v>
      </c>
      <c r="K1646">
        <v>3.4510000000000001</v>
      </c>
      <c r="L1646">
        <v>215.7</v>
      </c>
      <c r="M1646">
        <v>0</v>
      </c>
      <c r="O1646">
        <v>-11.5</v>
      </c>
      <c r="P1646">
        <v>-10.84</v>
      </c>
      <c r="Q1646">
        <v>5.4889999999999999</v>
      </c>
      <c r="S1646">
        <v>4.4749999999999996</v>
      </c>
      <c r="T1646">
        <v>0</v>
      </c>
      <c r="U1646">
        <v>95.2</v>
      </c>
      <c r="V1646">
        <v>958</v>
      </c>
      <c r="W1646">
        <v>44.38</v>
      </c>
      <c r="Y1646">
        <v>12.93</v>
      </c>
    </row>
    <row r="1647" spans="1:25" x14ac:dyDescent="0.25">
      <c r="A1647">
        <v>2007</v>
      </c>
      <c r="B1647">
        <v>3</v>
      </c>
      <c r="C1647">
        <v>600</v>
      </c>
      <c r="D1647">
        <v>-0.64300000000000002</v>
      </c>
      <c r="E1647">
        <v>-0.93500000000000005</v>
      </c>
      <c r="F1647">
        <v>10.11</v>
      </c>
      <c r="G1647">
        <v>10.59</v>
      </c>
      <c r="K1647">
        <v>3.6360000000000001</v>
      </c>
      <c r="L1647">
        <v>215.2</v>
      </c>
      <c r="M1647">
        <v>0</v>
      </c>
      <c r="O1647">
        <v>-11.5</v>
      </c>
      <c r="P1647">
        <v>-10.85</v>
      </c>
      <c r="Q1647">
        <v>5.6740000000000004</v>
      </c>
      <c r="S1647">
        <v>4.5549999999999997</v>
      </c>
      <c r="T1647">
        <v>0</v>
      </c>
      <c r="U1647">
        <v>94.2</v>
      </c>
      <c r="V1647">
        <v>958</v>
      </c>
      <c r="W1647">
        <v>44.36</v>
      </c>
      <c r="Y1647">
        <v>12.93</v>
      </c>
    </row>
    <row r="1648" spans="1:25" x14ac:dyDescent="0.25">
      <c r="A1648">
        <v>2007</v>
      </c>
      <c r="B1648">
        <v>3</v>
      </c>
      <c r="C1648">
        <v>700</v>
      </c>
      <c r="D1648">
        <v>-1.0129999999999999</v>
      </c>
      <c r="E1648">
        <v>-4.5670000000000002</v>
      </c>
      <c r="F1648">
        <v>10.18</v>
      </c>
      <c r="G1648">
        <v>10.77</v>
      </c>
      <c r="K1648">
        <v>3.859</v>
      </c>
      <c r="L1648">
        <v>214.7</v>
      </c>
      <c r="M1648">
        <v>0.2</v>
      </c>
      <c r="O1648">
        <v>-11.5</v>
      </c>
      <c r="P1648">
        <v>-10.84</v>
      </c>
      <c r="Q1648">
        <v>5.8529999999999998</v>
      </c>
      <c r="S1648">
        <v>4.6399999999999997</v>
      </c>
      <c r="T1648">
        <v>0</v>
      </c>
      <c r="U1648">
        <v>93</v>
      </c>
      <c r="V1648">
        <v>958</v>
      </c>
      <c r="W1648">
        <v>44.38</v>
      </c>
      <c r="Y1648">
        <v>12.92</v>
      </c>
    </row>
    <row r="1649" spans="1:25" x14ac:dyDescent="0.25">
      <c r="A1649">
        <v>2007</v>
      </c>
      <c r="B1649">
        <v>3</v>
      </c>
      <c r="C1649">
        <v>800</v>
      </c>
      <c r="D1649">
        <v>-0.90200000000000002</v>
      </c>
      <c r="E1649">
        <v>-10.42</v>
      </c>
      <c r="F1649">
        <v>10.220000000000001</v>
      </c>
      <c r="G1649">
        <v>10.89</v>
      </c>
      <c r="K1649">
        <v>3.8090000000000002</v>
      </c>
      <c r="L1649">
        <v>216.2</v>
      </c>
      <c r="M1649">
        <v>0</v>
      </c>
      <c r="O1649">
        <v>-11.5</v>
      </c>
      <c r="P1649">
        <v>-10.84</v>
      </c>
      <c r="Q1649">
        <v>6.0190000000000001</v>
      </c>
      <c r="S1649">
        <v>4.7220000000000004</v>
      </c>
      <c r="T1649">
        <v>0</v>
      </c>
      <c r="U1649">
        <v>92.1</v>
      </c>
      <c r="V1649">
        <v>948</v>
      </c>
      <c r="W1649">
        <v>43.41</v>
      </c>
      <c r="Y1649">
        <v>12.92</v>
      </c>
    </row>
    <row r="1650" spans="1:25" x14ac:dyDescent="0.25">
      <c r="A1650">
        <v>2007</v>
      </c>
      <c r="B1650">
        <v>3</v>
      </c>
      <c r="C1650">
        <v>900</v>
      </c>
      <c r="D1650">
        <v>-6.0000000000000001E-3</v>
      </c>
      <c r="E1650">
        <v>-5.3620000000000001</v>
      </c>
      <c r="F1650">
        <v>10.27</v>
      </c>
      <c r="G1650">
        <v>10.91</v>
      </c>
      <c r="H1650">
        <f>AVERAGE(G1650:G1673)</f>
        <v>9.4129166666666659</v>
      </c>
      <c r="K1650">
        <v>3.7930000000000001</v>
      </c>
      <c r="L1650">
        <v>218.3</v>
      </c>
      <c r="M1650">
        <v>0</v>
      </c>
      <c r="N1650">
        <f>SUM(M1650:M1673)</f>
        <v>3.0000000000000009</v>
      </c>
      <c r="O1650">
        <v>-10.8</v>
      </c>
      <c r="P1650">
        <v>-10.7</v>
      </c>
      <c r="Q1650">
        <v>6.141</v>
      </c>
      <c r="S1650">
        <v>4.8040000000000003</v>
      </c>
      <c r="T1650">
        <v>0</v>
      </c>
      <c r="U1650">
        <v>92.4</v>
      </c>
      <c r="V1650">
        <v>938</v>
      </c>
      <c r="W1650">
        <v>42.53</v>
      </c>
      <c r="Y1650">
        <v>12.91</v>
      </c>
    </row>
    <row r="1651" spans="1:25" x14ac:dyDescent="0.25">
      <c r="A1651">
        <v>2007</v>
      </c>
      <c r="B1651">
        <v>3</v>
      </c>
      <c r="C1651">
        <v>1000</v>
      </c>
      <c r="D1651">
        <v>12.31</v>
      </c>
      <c r="E1651">
        <v>5.8490000000000002</v>
      </c>
      <c r="F1651">
        <v>10.47</v>
      </c>
      <c r="G1651">
        <v>11.04</v>
      </c>
      <c r="K1651">
        <v>3.484</v>
      </c>
      <c r="L1651">
        <v>216.5</v>
      </c>
      <c r="M1651">
        <v>0</v>
      </c>
      <c r="O1651">
        <v>5.9269999999999996</v>
      </c>
      <c r="P1651">
        <v>-7.31</v>
      </c>
      <c r="Q1651">
        <v>6.2489999999999997</v>
      </c>
      <c r="S1651">
        <v>4.8959999999999999</v>
      </c>
      <c r="T1651">
        <v>0</v>
      </c>
      <c r="U1651">
        <v>93.4</v>
      </c>
      <c r="V1651">
        <v>934</v>
      </c>
      <c r="W1651">
        <v>42.15</v>
      </c>
      <c r="Y1651">
        <v>12.91</v>
      </c>
    </row>
    <row r="1652" spans="1:25" x14ac:dyDescent="0.25">
      <c r="A1652">
        <v>2007</v>
      </c>
      <c r="B1652">
        <v>3</v>
      </c>
      <c r="C1652">
        <v>1100</v>
      </c>
      <c r="D1652">
        <v>38.47</v>
      </c>
      <c r="E1652">
        <v>9</v>
      </c>
      <c r="F1652">
        <v>10.73</v>
      </c>
      <c r="G1652">
        <v>11.24</v>
      </c>
      <c r="K1652">
        <v>4.327</v>
      </c>
      <c r="L1652">
        <v>211.2</v>
      </c>
      <c r="M1652">
        <v>0</v>
      </c>
      <c r="O1652">
        <v>40.03</v>
      </c>
      <c r="P1652">
        <v>3.4000000000000002E-2</v>
      </c>
      <c r="Q1652">
        <v>6.3620000000000001</v>
      </c>
      <c r="S1652">
        <v>4.9880000000000004</v>
      </c>
      <c r="T1652">
        <v>0</v>
      </c>
      <c r="U1652">
        <v>94.1</v>
      </c>
      <c r="V1652">
        <v>931</v>
      </c>
      <c r="W1652">
        <v>41.94</v>
      </c>
      <c r="Y1652">
        <v>12.94</v>
      </c>
    </row>
    <row r="1653" spans="1:25" x14ac:dyDescent="0.25">
      <c r="A1653">
        <v>2007</v>
      </c>
      <c r="B1653">
        <v>3</v>
      </c>
      <c r="C1653">
        <v>1200</v>
      </c>
      <c r="D1653">
        <v>52.09</v>
      </c>
      <c r="E1653">
        <v>28.22</v>
      </c>
      <c r="F1653">
        <v>10.99</v>
      </c>
      <c r="G1653">
        <v>11.45</v>
      </c>
      <c r="K1653">
        <v>4.266</v>
      </c>
      <c r="L1653">
        <v>211.8</v>
      </c>
      <c r="M1653">
        <v>0</v>
      </c>
      <c r="O1653">
        <v>56.8</v>
      </c>
      <c r="P1653">
        <v>2.871</v>
      </c>
      <c r="Q1653">
        <v>6.4880000000000004</v>
      </c>
      <c r="S1653">
        <v>5.0730000000000004</v>
      </c>
      <c r="T1653">
        <v>0</v>
      </c>
      <c r="U1653">
        <v>94.6</v>
      </c>
      <c r="V1653">
        <v>928</v>
      </c>
      <c r="W1653">
        <v>41.66</v>
      </c>
      <c r="Y1653">
        <v>13.15</v>
      </c>
    </row>
    <row r="1654" spans="1:25" x14ac:dyDescent="0.25">
      <c r="A1654">
        <v>2007</v>
      </c>
      <c r="B1654">
        <v>3</v>
      </c>
      <c r="C1654">
        <v>1300</v>
      </c>
      <c r="D1654">
        <v>65.34</v>
      </c>
      <c r="E1654">
        <v>35.229999999999997</v>
      </c>
      <c r="F1654">
        <v>11.27</v>
      </c>
      <c r="G1654">
        <v>11.7</v>
      </c>
      <c r="K1654">
        <v>3.9769999999999999</v>
      </c>
      <c r="L1654">
        <v>204.3</v>
      </c>
      <c r="M1654">
        <v>0</v>
      </c>
      <c r="O1654">
        <v>73.400000000000006</v>
      </c>
      <c r="P1654">
        <v>7.08</v>
      </c>
      <c r="Q1654">
        <v>6.6319999999999997</v>
      </c>
      <c r="S1654">
        <v>5.1509999999999998</v>
      </c>
      <c r="T1654">
        <v>0</v>
      </c>
      <c r="U1654">
        <v>95</v>
      </c>
      <c r="V1654">
        <v>926</v>
      </c>
      <c r="W1654">
        <v>41.47</v>
      </c>
      <c r="Y1654">
        <v>13.31</v>
      </c>
    </row>
    <row r="1655" spans="1:25" x14ac:dyDescent="0.25">
      <c r="A1655">
        <v>2007</v>
      </c>
      <c r="B1655">
        <v>3</v>
      </c>
      <c r="C1655">
        <v>1400</v>
      </c>
      <c r="D1655">
        <v>45.81</v>
      </c>
      <c r="E1655">
        <v>26.28</v>
      </c>
      <c r="F1655">
        <v>11.43</v>
      </c>
      <c r="G1655">
        <v>11.79</v>
      </c>
      <c r="K1655">
        <v>4.585</v>
      </c>
      <c r="L1655">
        <v>200.2</v>
      </c>
      <c r="M1655">
        <v>0</v>
      </c>
      <c r="O1655">
        <v>48.5</v>
      </c>
      <c r="P1655">
        <v>1.514</v>
      </c>
      <c r="Q1655">
        <v>6.7460000000000004</v>
      </c>
      <c r="S1655">
        <v>5.1929999999999996</v>
      </c>
      <c r="T1655">
        <v>0</v>
      </c>
      <c r="U1655">
        <v>95.9</v>
      </c>
      <c r="V1655">
        <v>924</v>
      </c>
      <c r="W1655">
        <v>41.33</v>
      </c>
      <c r="Y1655">
        <v>13.38</v>
      </c>
    </row>
    <row r="1656" spans="1:25" x14ac:dyDescent="0.25">
      <c r="A1656">
        <v>2007</v>
      </c>
      <c r="B1656">
        <v>3</v>
      </c>
      <c r="C1656">
        <v>1500</v>
      </c>
      <c r="D1656">
        <v>15.34</v>
      </c>
      <c r="E1656">
        <v>5.3719999999999999</v>
      </c>
      <c r="F1656">
        <v>11.31</v>
      </c>
      <c r="G1656">
        <v>11.31</v>
      </c>
      <c r="K1656">
        <v>4.6020000000000003</v>
      </c>
      <c r="L1656">
        <v>209.3</v>
      </c>
      <c r="M1656">
        <v>0.6</v>
      </c>
      <c r="O1656">
        <v>10.87</v>
      </c>
      <c r="P1656">
        <v>-6.2</v>
      </c>
      <c r="Q1656">
        <v>6.891</v>
      </c>
      <c r="S1656">
        <v>5.2679999999999998</v>
      </c>
      <c r="T1656">
        <v>0</v>
      </c>
      <c r="U1656">
        <v>100</v>
      </c>
      <c r="V1656">
        <v>929</v>
      </c>
      <c r="W1656">
        <v>41.76</v>
      </c>
      <c r="Y1656">
        <v>13.22</v>
      </c>
    </row>
    <row r="1657" spans="1:25" x14ac:dyDescent="0.25">
      <c r="A1657">
        <v>2007</v>
      </c>
      <c r="B1657">
        <v>3</v>
      </c>
      <c r="C1657">
        <v>1600</v>
      </c>
      <c r="D1657">
        <v>15.52</v>
      </c>
      <c r="E1657">
        <v>-0.25700000000000001</v>
      </c>
      <c r="F1657">
        <v>10.14</v>
      </c>
      <c r="G1657">
        <v>10.39</v>
      </c>
      <c r="K1657">
        <v>4.944</v>
      </c>
      <c r="L1657">
        <v>224.9</v>
      </c>
      <c r="M1657">
        <v>0.6</v>
      </c>
      <c r="O1657">
        <v>13.38</v>
      </c>
      <c r="P1657">
        <v>-4.9989999999999997</v>
      </c>
      <c r="Q1657">
        <v>7.05</v>
      </c>
      <c r="S1657">
        <v>5.3890000000000002</v>
      </c>
      <c r="T1657">
        <v>0</v>
      </c>
      <c r="U1657">
        <v>96.9</v>
      </c>
      <c r="V1657">
        <v>962</v>
      </c>
      <c r="W1657">
        <v>44.77</v>
      </c>
      <c r="Y1657">
        <v>13.13</v>
      </c>
    </row>
    <row r="1658" spans="1:25" x14ac:dyDescent="0.25">
      <c r="A1658">
        <v>2007</v>
      </c>
      <c r="B1658">
        <v>3</v>
      </c>
      <c r="C1658">
        <v>1700</v>
      </c>
      <c r="D1658">
        <v>0.54300000000000004</v>
      </c>
      <c r="E1658">
        <v>-9.0500000000000007</v>
      </c>
      <c r="F1658">
        <v>9.25</v>
      </c>
      <c r="G1658">
        <v>9.67</v>
      </c>
      <c r="K1658">
        <v>4.7670000000000003</v>
      </c>
      <c r="L1658">
        <v>226.2</v>
      </c>
      <c r="M1658">
        <v>0</v>
      </c>
      <c r="O1658">
        <v>-9.3699999999999992</v>
      </c>
      <c r="P1658">
        <v>-10.39</v>
      </c>
      <c r="Q1658">
        <v>7.13</v>
      </c>
      <c r="S1658">
        <v>5.4509999999999996</v>
      </c>
      <c r="T1658">
        <v>0</v>
      </c>
      <c r="U1658">
        <v>94.8</v>
      </c>
      <c r="V1658">
        <v>966</v>
      </c>
      <c r="W1658">
        <v>45.14</v>
      </c>
      <c r="Y1658">
        <v>13.07</v>
      </c>
    </row>
    <row r="1659" spans="1:25" x14ac:dyDescent="0.25">
      <c r="A1659">
        <v>2007</v>
      </c>
      <c r="B1659">
        <v>3</v>
      </c>
      <c r="C1659">
        <v>1800</v>
      </c>
      <c r="D1659">
        <v>-1.0209999999999999</v>
      </c>
      <c r="E1659">
        <v>-6.8650000000000002</v>
      </c>
      <c r="F1659">
        <v>9.27</v>
      </c>
      <c r="G1659">
        <v>9.69</v>
      </c>
      <c r="K1659">
        <v>4.8019999999999996</v>
      </c>
      <c r="L1659">
        <v>224.8</v>
      </c>
      <c r="M1659">
        <v>0</v>
      </c>
      <c r="O1659">
        <v>-11.5</v>
      </c>
      <c r="P1659">
        <v>-10.84</v>
      </c>
      <c r="Q1659">
        <v>7.14</v>
      </c>
      <c r="S1659">
        <v>5.5350000000000001</v>
      </c>
      <c r="T1659">
        <v>0</v>
      </c>
      <c r="U1659">
        <v>94.9</v>
      </c>
      <c r="V1659">
        <v>967</v>
      </c>
      <c r="W1659">
        <v>45.31</v>
      </c>
      <c r="Y1659">
        <v>13.02</v>
      </c>
    </row>
    <row r="1660" spans="1:25" x14ac:dyDescent="0.25">
      <c r="A1660">
        <v>2007</v>
      </c>
      <c r="B1660">
        <v>3</v>
      </c>
      <c r="C1660">
        <v>1900</v>
      </c>
      <c r="D1660">
        <v>-1.117</v>
      </c>
      <c r="E1660">
        <v>-9.4499999999999993</v>
      </c>
      <c r="F1660">
        <v>9.0399999999999991</v>
      </c>
      <c r="G1660">
        <v>9.09</v>
      </c>
      <c r="K1660">
        <v>3.8149999999999999</v>
      </c>
      <c r="L1660">
        <v>224.6</v>
      </c>
      <c r="M1660">
        <v>1</v>
      </c>
      <c r="O1660">
        <v>-11.5</v>
      </c>
      <c r="P1660">
        <v>-10.84</v>
      </c>
      <c r="Q1660">
        <v>7.1</v>
      </c>
      <c r="S1660">
        <v>5.5720000000000001</v>
      </c>
      <c r="T1660">
        <v>0</v>
      </c>
      <c r="U1660">
        <v>99.4</v>
      </c>
      <c r="V1660">
        <v>970</v>
      </c>
      <c r="W1660">
        <v>45.6</v>
      </c>
      <c r="Y1660">
        <v>12.98</v>
      </c>
    </row>
    <row r="1661" spans="1:25" x14ac:dyDescent="0.25">
      <c r="A1661">
        <v>2007</v>
      </c>
      <c r="B1661">
        <v>3</v>
      </c>
      <c r="C1661">
        <v>2000</v>
      </c>
      <c r="D1661">
        <v>-0.90700000000000003</v>
      </c>
      <c r="E1661">
        <v>-16.95</v>
      </c>
      <c r="F1661">
        <v>8.98</v>
      </c>
      <c r="G1661">
        <v>9.26</v>
      </c>
      <c r="K1661">
        <v>3.9729999999999999</v>
      </c>
      <c r="L1661">
        <v>226.1</v>
      </c>
      <c r="M1661">
        <v>0</v>
      </c>
      <c r="O1661">
        <v>-11.5</v>
      </c>
      <c r="P1661">
        <v>-10.84</v>
      </c>
      <c r="Q1661">
        <v>7.06</v>
      </c>
      <c r="S1661">
        <v>5.6390000000000002</v>
      </c>
      <c r="T1661">
        <v>0</v>
      </c>
      <c r="U1661">
        <v>96.5</v>
      </c>
      <c r="V1661">
        <v>976</v>
      </c>
      <c r="W1661">
        <v>46.24</v>
      </c>
      <c r="Y1661">
        <v>12.95</v>
      </c>
    </row>
    <row r="1662" spans="1:25" x14ac:dyDescent="0.25">
      <c r="A1662">
        <v>2007</v>
      </c>
      <c r="B1662">
        <v>3</v>
      </c>
      <c r="C1662">
        <v>2100</v>
      </c>
      <c r="D1662">
        <v>-0.85</v>
      </c>
      <c r="E1662">
        <v>-12.72</v>
      </c>
      <c r="F1662">
        <v>8.94</v>
      </c>
      <c r="G1662">
        <v>9.2200000000000006</v>
      </c>
      <c r="K1662">
        <v>4.3099999999999996</v>
      </c>
      <c r="L1662">
        <v>226.9</v>
      </c>
      <c r="M1662">
        <v>0.2</v>
      </c>
      <c r="O1662">
        <v>-11.5</v>
      </c>
      <c r="P1662">
        <v>-10.84</v>
      </c>
      <c r="Q1662">
        <v>7.03</v>
      </c>
      <c r="S1662">
        <v>5.6539999999999999</v>
      </c>
      <c r="T1662">
        <v>0</v>
      </c>
      <c r="U1662">
        <v>96.5</v>
      </c>
      <c r="V1662">
        <v>975</v>
      </c>
      <c r="W1662">
        <v>46.08</v>
      </c>
      <c r="Y1662">
        <v>12.93</v>
      </c>
    </row>
    <row r="1663" spans="1:25" x14ac:dyDescent="0.25">
      <c r="A1663">
        <v>2007</v>
      </c>
      <c r="B1663">
        <v>3</v>
      </c>
      <c r="C1663">
        <v>2200</v>
      </c>
      <c r="D1663">
        <v>-1.952</v>
      </c>
      <c r="E1663">
        <v>-45.52</v>
      </c>
      <c r="F1663">
        <v>7.8</v>
      </c>
      <c r="G1663">
        <v>8.35</v>
      </c>
      <c r="K1663">
        <v>5.2640000000000002</v>
      </c>
      <c r="L1663">
        <v>228.1</v>
      </c>
      <c r="M1663">
        <v>0</v>
      </c>
      <c r="O1663">
        <v>-11.51</v>
      </c>
      <c r="P1663">
        <v>-10.84</v>
      </c>
      <c r="Q1663">
        <v>6.9859999999999998</v>
      </c>
      <c r="S1663">
        <v>5.6529999999999996</v>
      </c>
      <c r="T1663">
        <v>0</v>
      </c>
      <c r="U1663">
        <v>93</v>
      </c>
      <c r="V1663">
        <v>980</v>
      </c>
      <c r="W1663">
        <v>46.7</v>
      </c>
      <c r="Y1663">
        <v>12.91</v>
      </c>
    </row>
    <row r="1664" spans="1:25" x14ac:dyDescent="0.25">
      <c r="A1664">
        <v>2007</v>
      </c>
      <c r="B1664">
        <v>3</v>
      </c>
      <c r="C1664">
        <v>2300</v>
      </c>
      <c r="D1664">
        <v>-1.4</v>
      </c>
      <c r="E1664">
        <v>-19.12</v>
      </c>
      <c r="F1664">
        <v>7.71</v>
      </c>
      <c r="G1664">
        <v>8.11</v>
      </c>
      <c r="K1664">
        <v>4.5910000000000002</v>
      </c>
      <c r="L1664">
        <v>227.7</v>
      </c>
      <c r="M1664">
        <v>0</v>
      </c>
      <c r="O1664">
        <v>-11.51</v>
      </c>
      <c r="P1664">
        <v>-10.84</v>
      </c>
      <c r="Q1664">
        <v>6.9450000000000003</v>
      </c>
      <c r="S1664">
        <v>5.7220000000000004</v>
      </c>
      <c r="T1664">
        <v>0</v>
      </c>
      <c r="U1664">
        <v>94.9</v>
      </c>
      <c r="V1664">
        <v>978</v>
      </c>
      <c r="W1664">
        <v>46.46</v>
      </c>
      <c r="Y1664">
        <v>12.9</v>
      </c>
    </row>
    <row r="1665" spans="1:25" x14ac:dyDescent="0.25">
      <c r="A1665">
        <v>2007</v>
      </c>
      <c r="B1665">
        <v>3</v>
      </c>
      <c r="C1665">
        <v>2400</v>
      </c>
      <c r="D1665">
        <v>-1.181</v>
      </c>
      <c r="E1665">
        <v>-15.52</v>
      </c>
      <c r="F1665">
        <v>7.59</v>
      </c>
      <c r="G1665">
        <v>7.9</v>
      </c>
      <c r="K1665">
        <v>4.5369999999999999</v>
      </c>
      <c r="L1665">
        <v>227.5</v>
      </c>
      <c r="M1665">
        <v>0</v>
      </c>
      <c r="O1665">
        <v>-11.5</v>
      </c>
      <c r="P1665">
        <v>-10.84</v>
      </c>
      <c r="Q1665">
        <v>6.8490000000000002</v>
      </c>
      <c r="S1665">
        <v>5.7539999999999996</v>
      </c>
      <c r="T1665">
        <v>0</v>
      </c>
      <c r="U1665">
        <v>96</v>
      </c>
      <c r="V1665">
        <v>979</v>
      </c>
      <c r="W1665">
        <v>46.51</v>
      </c>
      <c r="Y1665">
        <v>12.89</v>
      </c>
    </row>
    <row r="1666" spans="1:25" x14ac:dyDescent="0.25">
      <c r="A1666">
        <v>2007</v>
      </c>
      <c r="B1666">
        <v>4</v>
      </c>
      <c r="C1666">
        <v>100</v>
      </c>
      <c r="D1666">
        <v>-1.1379999999999999</v>
      </c>
      <c r="E1666">
        <v>-10.220000000000001</v>
      </c>
      <c r="F1666">
        <v>7.66</v>
      </c>
      <c r="G1666">
        <v>7.95</v>
      </c>
      <c r="K1666">
        <v>5.1929999999999996</v>
      </c>
      <c r="L1666">
        <v>227.7</v>
      </c>
      <c r="M1666">
        <v>0.2</v>
      </c>
      <c r="O1666">
        <v>-11.5</v>
      </c>
      <c r="P1666">
        <v>-10.84</v>
      </c>
      <c r="Q1666">
        <v>6.7510000000000003</v>
      </c>
      <c r="S1666">
        <v>5.7539999999999996</v>
      </c>
      <c r="T1666">
        <v>0</v>
      </c>
      <c r="U1666">
        <v>96.3</v>
      </c>
      <c r="V1666">
        <v>980</v>
      </c>
      <c r="W1666">
        <v>46.68</v>
      </c>
      <c r="Y1666">
        <v>12.89</v>
      </c>
    </row>
    <row r="1667" spans="1:25" x14ac:dyDescent="0.25">
      <c r="A1667">
        <v>2007</v>
      </c>
      <c r="B1667">
        <v>4</v>
      </c>
      <c r="C1667">
        <v>200</v>
      </c>
      <c r="D1667">
        <v>-0.71899999999999997</v>
      </c>
      <c r="E1667">
        <v>-6.7380000000000004</v>
      </c>
      <c r="F1667">
        <v>7.61</v>
      </c>
      <c r="G1667">
        <v>7.82</v>
      </c>
      <c r="K1667">
        <v>4.1280000000000001</v>
      </c>
      <c r="L1667">
        <v>227.9</v>
      </c>
      <c r="M1667">
        <v>0.2</v>
      </c>
      <c r="O1667">
        <v>-11.5</v>
      </c>
      <c r="P1667">
        <v>-10.84</v>
      </c>
      <c r="Q1667">
        <v>6.7039999999999997</v>
      </c>
      <c r="S1667">
        <v>5.7539999999999996</v>
      </c>
      <c r="T1667">
        <v>0</v>
      </c>
      <c r="U1667">
        <v>97.3</v>
      </c>
      <c r="V1667">
        <v>982</v>
      </c>
      <c r="W1667">
        <v>46.86</v>
      </c>
      <c r="Y1667">
        <v>12.89</v>
      </c>
    </row>
    <row r="1668" spans="1:25" x14ac:dyDescent="0.25">
      <c r="A1668">
        <v>2007</v>
      </c>
      <c r="B1668">
        <v>4</v>
      </c>
      <c r="C1668">
        <v>300</v>
      </c>
      <c r="D1668">
        <v>-0.68899999999999995</v>
      </c>
      <c r="E1668">
        <v>-5.35</v>
      </c>
      <c r="F1668">
        <v>7.86</v>
      </c>
      <c r="G1668">
        <v>8.17</v>
      </c>
      <c r="K1668">
        <v>4.3979999999999997</v>
      </c>
      <c r="L1668">
        <v>227.6</v>
      </c>
      <c r="M1668">
        <v>0</v>
      </c>
      <c r="O1668">
        <v>-11.5</v>
      </c>
      <c r="P1668">
        <v>-10.85</v>
      </c>
      <c r="Q1668">
        <v>6.657</v>
      </c>
      <c r="S1668">
        <v>5.7539999999999996</v>
      </c>
      <c r="T1668">
        <v>0</v>
      </c>
      <c r="U1668">
        <v>96.1</v>
      </c>
      <c r="V1668">
        <v>983</v>
      </c>
      <c r="W1668">
        <v>46.94</v>
      </c>
      <c r="Y1668">
        <v>12.89</v>
      </c>
    </row>
    <row r="1669" spans="1:25" x14ac:dyDescent="0.25">
      <c r="A1669">
        <v>2007</v>
      </c>
      <c r="B1669">
        <v>4</v>
      </c>
      <c r="C1669">
        <v>400</v>
      </c>
      <c r="D1669">
        <v>-0.75800000000000001</v>
      </c>
      <c r="E1669">
        <v>-8.1300000000000008</v>
      </c>
      <c r="F1669">
        <v>8.0500000000000007</v>
      </c>
      <c r="G1669">
        <v>8.2899999999999991</v>
      </c>
      <c r="K1669">
        <v>4.6440000000000001</v>
      </c>
      <c r="L1669">
        <v>228.9</v>
      </c>
      <c r="M1669">
        <v>0.2</v>
      </c>
      <c r="O1669">
        <v>-11.51</v>
      </c>
      <c r="P1669">
        <v>-10.84</v>
      </c>
      <c r="Q1669">
        <v>6.657</v>
      </c>
      <c r="S1669">
        <v>5.7519999999999998</v>
      </c>
      <c r="T1669">
        <v>0</v>
      </c>
      <c r="U1669">
        <v>97</v>
      </c>
      <c r="V1669">
        <v>983</v>
      </c>
      <c r="W1669">
        <v>47</v>
      </c>
      <c r="Y1669">
        <v>12.89</v>
      </c>
    </row>
    <row r="1670" spans="1:25" x14ac:dyDescent="0.25">
      <c r="A1670">
        <v>2007</v>
      </c>
      <c r="B1670">
        <v>4</v>
      </c>
      <c r="C1670">
        <v>500</v>
      </c>
      <c r="D1670">
        <v>-1.06</v>
      </c>
      <c r="E1670">
        <v>-19.96</v>
      </c>
      <c r="F1670">
        <v>7.9</v>
      </c>
      <c r="G1670">
        <v>8.44</v>
      </c>
      <c r="K1670">
        <v>5.968</v>
      </c>
      <c r="L1670">
        <v>229.4</v>
      </c>
      <c r="M1670">
        <v>0</v>
      </c>
      <c r="O1670">
        <v>-11.5</v>
      </c>
      <c r="P1670">
        <v>-10.85</v>
      </c>
      <c r="Q1670">
        <v>6.665</v>
      </c>
      <c r="S1670">
        <v>5.74</v>
      </c>
      <c r="T1670">
        <v>0</v>
      </c>
      <c r="U1670">
        <v>93.1</v>
      </c>
      <c r="V1670">
        <v>984</v>
      </c>
      <c r="W1670">
        <v>47.04</v>
      </c>
      <c r="Y1670">
        <v>12.89</v>
      </c>
    </row>
    <row r="1671" spans="1:25" x14ac:dyDescent="0.25">
      <c r="A1671">
        <v>2007</v>
      </c>
      <c r="B1671">
        <v>4</v>
      </c>
      <c r="C1671">
        <v>600</v>
      </c>
      <c r="D1671">
        <v>-1.6359999999999999</v>
      </c>
      <c r="E1671">
        <v>-36.950000000000003</v>
      </c>
      <c r="F1671">
        <v>7.68</v>
      </c>
      <c r="G1671">
        <v>8.14</v>
      </c>
      <c r="K1671">
        <v>6.1589999999999998</v>
      </c>
      <c r="L1671">
        <v>229.3</v>
      </c>
      <c r="M1671">
        <v>0</v>
      </c>
      <c r="O1671">
        <v>-11.5</v>
      </c>
      <c r="P1671">
        <v>-10.85</v>
      </c>
      <c r="Q1671">
        <v>6.6479999999999997</v>
      </c>
      <c r="S1671">
        <v>5.7039999999999997</v>
      </c>
      <c r="T1671">
        <v>0</v>
      </c>
      <c r="U1671">
        <v>94.1</v>
      </c>
      <c r="V1671">
        <v>984</v>
      </c>
      <c r="W1671">
        <v>47.09</v>
      </c>
      <c r="Y1671">
        <v>12.89</v>
      </c>
    </row>
    <row r="1672" spans="1:25" x14ac:dyDescent="0.25">
      <c r="A1672">
        <v>2007</v>
      </c>
      <c r="B1672">
        <v>4</v>
      </c>
      <c r="C1672">
        <v>700</v>
      </c>
      <c r="D1672">
        <v>-1.5680000000000001</v>
      </c>
      <c r="E1672">
        <v>-35.64</v>
      </c>
      <c r="F1672">
        <v>7.64</v>
      </c>
      <c r="G1672">
        <v>8.09</v>
      </c>
      <c r="K1672">
        <v>6.9690000000000003</v>
      </c>
      <c r="L1672">
        <v>229.2</v>
      </c>
      <c r="M1672">
        <v>0</v>
      </c>
      <c r="O1672">
        <v>-11.5</v>
      </c>
      <c r="P1672">
        <v>-10.83</v>
      </c>
      <c r="Q1672">
        <v>6.5819999999999999</v>
      </c>
      <c r="S1672">
        <v>5.6950000000000003</v>
      </c>
      <c r="T1672">
        <v>0</v>
      </c>
      <c r="U1672">
        <v>94.1</v>
      </c>
      <c r="V1672">
        <v>996</v>
      </c>
      <c r="W1672">
        <v>48.53</v>
      </c>
      <c r="Y1672">
        <v>12.89</v>
      </c>
    </row>
    <row r="1673" spans="1:25" x14ac:dyDescent="0.25">
      <c r="A1673">
        <v>2007</v>
      </c>
      <c r="B1673">
        <v>4</v>
      </c>
      <c r="C1673">
        <v>800</v>
      </c>
      <c r="D1673">
        <v>-1.506</v>
      </c>
      <c r="E1673">
        <v>-34.07</v>
      </c>
      <c r="F1673">
        <v>7.64</v>
      </c>
      <c r="G1673">
        <v>7.89</v>
      </c>
      <c r="K1673">
        <v>6.2160000000000002</v>
      </c>
      <c r="L1673">
        <v>228.8</v>
      </c>
      <c r="M1673">
        <v>0</v>
      </c>
      <c r="O1673">
        <v>-11.5</v>
      </c>
      <c r="P1673">
        <v>-10.84</v>
      </c>
      <c r="Q1673">
        <v>6.4909999999999997</v>
      </c>
      <c r="S1673">
        <v>5.6609999999999996</v>
      </c>
      <c r="T1673">
        <v>0</v>
      </c>
      <c r="U1673">
        <v>96.7</v>
      </c>
      <c r="V1673">
        <v>987</v>
      </c>
      <c r="W1673">
        <v>47.47</v>
      </c>
      <c r="Y1673">
        <v>12.88</v>
      </c>
    </row>
    <row r="1674" spans="1:25" x14ac:dyDescent="0.25">
      <c r="A1674">
        <v>2007</v>
      </c>
      <c r="B1674">
        <v>4</v>
      </c>
      <c r="C1674">
        <v>900</v>
      </c>
      <c r="D1674">
        <v>0.63800000000000001</v>
      </c>
      <c r="E1674">
        <v>-32.08</v>
      </c>
      <c r="F1674">
        <v>7.52</v>
      </c>
      <c r="G1674">
        <v>7.89</v>
      </c>
      <c r="H1674">
        <f>AVERAGE(G1674:G1697)</f>
        <v>8.1437499999999989</v>
      </c>
      <c r="K1674">
        <v>5.915</v>
      </c>
      <c r="L1674">
        <v>228.9</v>
      </c>
      <c r="M1674">
        <v>0</v>
      </c>
      <c r="N1674">
        <f>SUM(M1674:M1697)</f>
        <v>1</v>
      </c>
      <c r="O1674">
        <v>-8.2100000000000009</v>
      </c>
      <c r="P1674">
        <v>-9.94</v>
      </c>
      <c r="Q1674">
        <v>6.4</v>
      </c>
      <c r="S1674">
        <v>5.6449999999999996</v>
      </c>
      <c r="T1674">
        <v>0</v>
      </c>
      <c r="U1674">
        <v>95.1</v>
      </c>
      <c r="V1674">
        <v>988</v>
      </c>
      <c r="W1674">
        <v>47.5</v>
      </c>
      <c r="Y1674">
        <v>12.88</v>
      </c>
    </row>
    <row r="1675" spans="1:25" x14ac:dyDescent="0.25">
      <c r="A1675">
        <v>2007</v>
      </c>
      <c r="B1675">
        <v>4</v>
      </c>
      <c r="C1675">
        <v>1000</v>
      </c>
      <c r="D1675">
        <v>35.53</v>
      </c>
      <c r="E1675">
        <v>-12.34</v>
      </c>
      <c r="F1675">
        <v>7.58</v>
      </c>
      <c r="G1675">
        <v>7.99</v>
      </c>
      <c r="K1675">
        <v>4.4969999999999999</v>
      </c>
      <c r="L1675">
        <v>229.3</v>
      </c>
      <c r="M1675">
        <v>0</v>
      </c>
      <c r="O1675">
        <v>29.23</v>
      </c>
      <c r="P1675">
        <v>3.746</v>
      </c>
      <c r="Q1675">
        <v>6.3079999999999998</v>
      </c>
      <c r="S1675">
        <v>5.6449999999999996</v>
      </c>
      <c r="T1675">
        <v>0</v>
      </c>
      <c r="U1675">
        <v>94.7</v>
      </c>
      <c r="V1675">
        <v>929</v>
      </c>
      <c r="W1675">
        <v>41.76</v>
      </c>
      <c r="Y1675">
        <v>13.03</v>
      </c>
    </row>
    <row r="1676" spans="1:25" x14ac:dyDescent="0.25">
      <c r="A1676">
        <v>2007</v>
      </c>
      <c r="B1676">
        <v>4</v>
      </c>
      <c r="C1676">
        <v>1100</v>
      </c>
      <c r="D1676">
        <v>91.4</v>
      </c>
      <c r="E1676">
        <v>28.25</v>
      </c>
      <c r="F1676">
        <v>7.93</v>
      </c>
      <c r="G1676">
        <v>8.31</v>
      </c>
      <c r="K1676">
        <v>4.2279999999999998</v>
      </c>
      <c r="L1676">
        <v>228.8</v>
      </c>
      <c r="M1676">
        <v>0</v>
      </c>
      <c r="O1676">
        <v>100.7</v>
      </c>
      <c r="P1676">
        <v>31.44</v>
      </c>
      <c r="Q1676">
        <v>6.2649999999999997</v>
      </c>
      <c r="S1676">
        <v>5.6459999999999999</v>
      </c>
      <c r="T1676">
        <v>0</v>
      </c>
      <c r="U1676">
        <v>95</v>
      </c>
      <c r="V1676">
        <v>919</v>
      </c>
      <c r="W1676">
        <v>40.880000000000003</v>
      </c>
      <c r="Y1676">
        <v>13.76</v>
      </c>
    </row>
    <row r="1677" spans="1:25" x14ac:dyDescent="0.25">
      <c r="A1677">
        <v>2007</v>
      </c>
      <c r="B1677">
        <v>4</v>
      </c>
      <c r="C1677">
        <v>1200</v>
      </c>
      <c r="D1677">
        <v>105.7</v>
      </c>
      <c r="E1677">
        <v>46.02</v>
      </c>
      <c r="F1677">
        <v>8.07</v>
      </c>
      <c r="G1677">
        <v>8.41</v>
      </c>
      <c r="K1677">
        <v>4.6749999999999998</v>
      </c>
      <c r="L1677">
        <v>229</v>
      </c>
      <c r="M1677">
        <v>0</v>
      </c>
      <c r="O1677">
        <v>110.1</v>
      </c>
      <c r="P1677">
        <v>39.950000000000003</v>
      </c>
      <c r="Q1677">
        <v>6.218</v>
      </c>
      <c r="S1677">
        <v>5.5730000000000004</v>
      </c>
      <c r="T1677">
        <v>0</v>
      </c>
      <c r="U1677">
        <v>95.7</v>
      </c>
      <c r="V1677">
        <v>914</v>
      </c>
      <c r="W1677">
        <v>40.49</v>
      </c>
      <c r="Y1677">
        <v>13.95</v>
      </c>
    </row>
    <row r="1678" spans="1:25" x14ac:dyDescent="0.25">
      <c r="A1678">
        <v>2007</v>
      </c>
      <c r="B1678">
        <v>4</v>
      </c>
      <c r="C1678">
        <v>1300</v>
      </c>
      <c r="D1678">
        <v>135.5</v>
      </c>
      <c r="E1678">
        <v>81</v>
      </c>
      <c r="F1678">
        <v>8.4700000000000006</v>
      </c>
      <c r="G1678">
        <v>8.7799999999999994</v>
      </c>
      <c r="K1678">
        <v>4.1139999999999999</v>
      </c>
      <c r="L1678">
        <v>229.6</v>
      </c>
      <c r="M1678">
        <v>0</v>
      </c>
      <c r="O1678">
        <v>149.6</v>
      </c>
      <c r="P1678">
        <v>58.65</v>
      </c>
      <c r="Q1678">
        <v>6.2610000000000001</v>
      </c>
      <c r="S1678">
        <v>5.5460000000000003</v>
      </c>
      <c r="T1678">
        <v>0</v>
      </c>
      <c r="U1678">
        <v>96.1</v>
      </c>
      <c r="V1678">
        <v>911</v>
      </c>
      <c r="W1678">
        <v>40.28</v>
      </c>
      <c r="Y1678">
        <v>14.08</v>
      </c>
    </row>
    <row r="1679" spans="1:25" x14ac:dyDescent="0.25">
      <c r="A1679">
        <v>2007</v>
      </c>
      <c r="B1679">
        <v>4</v>
      </c>
      <c r="C1679">
        <v>1400</v>
      </c>
      <c r="D1679">
        <v>97.2</v>
      </c>
      <c r="E1679">
        <v>57.85</v>
      </c>
      <c r="F1679">
        <v>8.65</v>
      </c>
      <c r="G1679">
        <v>8.85</v>
      </c>
      <c r="K1679">
        <v>4.3390000000000004</v>
      </c>
      <c r="L1679">
        <v>229</v>
      </c>
      <c r="M1679">
        <v>0</v>
      </c>
      <c r="O1679">
        <v>107.1</v>
      </c>
      <c r="P1679">
        <v>23.95</v>
      </c>
      <c r="Q1679">
        <v>6.3079999999999998</v>
      </c>
      <c r="S1679">
        <v>5.5460000000000003</v>
      </c>
      <c r="T1679">
        <v>0</v>
      </c>
      <c r="U1679">
        <v>97.5</v>
      </c>
      <c r="V1679">
        <v>908</v>
      </c>
      <c r="W1679">
        <v>40.07</v>
      </c>
      <c r="Y1679">
        <v>13.7</v>
      </c>
    </row>
    <row r="1680" spans="1:25" x14ac:dyDescent="0.25">
      <c r="A1680">
        <v>2007</v>
      </c>
      <c r="B1680">
        <v>4</v>
      </c>
      <c r="C1680">
        <v>1500</v>
      </c>
      <c r="D1680">
        <v>48.18</v>
      </c>
      <c r="E1680">
        <v>20.81</v>
      </c>
      <c r="F1680">
        <v>8.35</v>
      </c>
      <c r="G1680">
        <v>8.44</v>
      </c>
      <c r="K1680">
        <v>4.74</v>
      </c>
      <c r="L1680">
        <v>229</v>
      </c>
      <c r="M1680">
        <v>0</v>
      </c>
      <c r="O1680">
        <v>42.53</v>
      </c>
      <c r="P1680">
        <v>6.0620000000000003</v>
      </c>
      <c r="Q1680">
        <v>6.415</v>
      </c>
      <c r="S1680">
        <v>5.5449999999999999</v>
      </c>
      <c r="T1680">
        <v>0</v>
      </c>
      <c r="U1680">
        <v>98.9</v>
      </c>
      <c r="V1680">
        <v>906</v>
      </c>
      <c r="W1680">
        <v>39.85</v>
      </c>
      <c r="Y1680">
        <v>13.59</v>
      </c>
    </row>
    <row r="1681" spans="1:25" x14ac:dyDescent="0.25">
      <c r="A1681">
        <v>2007</v>
      </c>
      <c r="B1681">
        <v>4</v>
      </c>
      <c r="C1681">
        <v>1600</v>
      </c>
      <c r="D1681">
        <v>12.67</v>
      </c>
      <c r="E1681">
        <v>3.411</v>
      </c>
      <c r="F1681">
        <v>8.11</v>
      </c>
      <c r="G1681">
        <v>8.23</v>
      </c>
      <c r="K1681">
        <v>2.9780000000000002</v>
      </c>
      <c r="L1681">
        <v>228.6</v>
      </c>
      <c r="M1681">
        <v>0</v>
      </c>
      <c r="O1681">
        <v>4.6950000000000003</v>
      </c>
      <c r="P1681">
        <v>-7.06</v>
      </c>
      <c r="Q1681">
        <v>6.484</v>
      </c>
      <c r="S1681">
        <v>5.5229999999999997</v>
      </c>
      <c r="T1681">
        <v>0</v>
      </c>
      <c r="U1681">
        <v>98.4</v>
      </c>
      <c r="V1681">
        <v>903</v>
      </c>
      <c r="W1681">
        <v>39.67</v>
      </c>
      <c r="Y1681">
        <v>13.35</v>
      </c>
    </row>
    <row r="1682" spans="1:25" x14ac:dyDescent="0.25">
      <c r="A1682">
        <v>2007</v>
      </c>
      <c r="B1682">
        <v>4</v>
      </c>
      <c r="C1682">
        <v>1700</v>
      </c>
      <c r="D1682">
        <v>0.126</v>
      </c>
      <c r="E1682">
        <v>-10.55</v>
      </c>
      <c r="F1682">
        <v>7.69</v>
      </c>
      <c r="G1682">
        <v>7.96</v>
      </c>
      <c r="K1682">
        <v>1.9570000000000001</v>
      </c>
      <c r="L1682">
        <v>228.4</v>
      </c>
      <c r="M1682">
        <v>0</v>
      </c>
      <c r="O1682">
        <v>-10.41</v>
      </c>
      <c r="P1682">
        <v>-10.53</v>
      </c>
      <c r="Q1682">
        <v>6.5090000000000003</v>
      </c>
      <c r="S1682">
        <v>5.532</v>
      </c>
      <c r="T1682">
        <v>0</v>
      </c>
      <c r="U1682">
        <v>96.4</v>
      </c>
      <c r="V1682">
        <v>900</v>
      </c>
      <c r="W1682">
        <v>39.409999999999997</v>
      </c>
      <c r="Y1682">
        <v>13.25</v>
      </c>
    </row>
    <row r="1683" spans="1:25" x14ac:dyDescent="0.25">
      <c r="A1683">
        <v>2007</v>
      </c>
      <c r="B1683">
        <v>4</v>
      </c>
      <c r="C1683">
        <v>1800</v>
      </c>
      <c r="D1683">
        <v>-0.56299999999999994</v>
      </c>
      <c r="E1683">
        <v>-5.4809999999999999</v>
      </c>
      <c r="F1683">
        <v>7.78</v>
      </c>
      <c r="G1683">
        <v>8</v>
      </c>
      <c r="K1683">
        <v>2.6379999999999999</v>
      </c>
      <c r="L1683">
        <v>228.5</v>
      </c>
      <c r="M1683">
        <v>0</v>
      </c>
      <c r="O1683">
        <v>-11.5</v>
      </c>
      <c r="P1683">
        <v>-10.84</v>
      </c>
      <c r="Q1683">
        <v>6.5739999999999998</v>
      </c>
      <c r="S1683">
        <v>5.6150000000000002</v>
      </c>
      <c r="T1683">
        <v>0</v>
      </c>
      <c r="U1683">
        <v>97.2</v>
      </c>
      <c r="V1683">
        <v>899</v>
      </c>
      <c r="W1683">
        <v>39.35</v>
      </c>
      <c r="Y1683">
        <v>13.17</v>
      </c>
    </row>
    <row r="1684" spans="1:25" x14ac:dyDescent="0.25">
      <c r="A1684">
        <v>2007</v>
      </c>
      <c r="B1684">
        <v>4</v>
      </c>
      <c r="C1684">
        <v>1900</v>
      </c>
      <c r="D1684">
        <v>-1.077</v>
      </c>
      <c r="E1684">
        <v>-9.08</v>
      </c>
      <c r="F1684">
        <v>7.55</v>
      </c>
      <c r="G1684">
        <v>7.75</v>
      </c>
      <c r="K1684">
        <v>2.0640000000000001</v>
      </c>
      <c r="L1684">
        <v>227.5</v>
      </c>
      <c r="M1684">
        <v>0</v>
      </c>
      <c r="O1684">
        <v>-11.5</v>
      </c>
      <c r="P1684">
        <v>-10.84</v>
      </c>
      <c r="Q1684">
        <v>6.5869999999999997</v>
      </c>
      <c r="S1684">
        <v>5.6449999999999996</v>
      </c>
      <c r="T1684">
        <v>0</v>
      </c>
      <c r="U1684">
        <v>97.4</v>
      </c>
      <c r="V1684">
        <v>899</v>
      </c>
      <c r="W1684">
        <v>39.340000000000003</v>
      </c>
      <c r="Y1684">
        <v>13.11</v>
      </c>
    </row>
    <row r="1685" spans="1:25" x14ac:dyDescent="0.25">
      <c r="A1685">
        <v>2007</v>
      </c>
      <c r="B1685">
        <v>4</v>
      </c>
      <c r="C1685">
        <v>2000</v>
      </c>
      <c r="D1685">
        <v>-0.86899999999999999</v>
      </c>
      <c r="E1685">
        <v>-7.9</v>
      </c>
      <c r="F1685">
        <v>7.4</v>
      </c>
      <c r="G1685">
        <v>7.68</v>
      </c>
      <c r="K1685">
        <v>2.1440000000000001</v>
      </c>
      <c r="L1685">
        <v>226.9</v>
      </c>
      <c r="M1685">
        <v>0</v>
      </c>
      <c r="O1685">
        <v>-11.5</v>
      </c>
      <c r="P1685">
        <v>-10.84</v>
      </c>
      <c r="Q1685">
        <v>6.55</v>
      </c>
      <c r="S1685">
        <v>5.6449999999999996</v>
      </c>
      <c r="T1685">
        <v>0</v>
      </c>
      <c r="U1685">
        <v>96.4</v>
      </c>
      <c r="V1685">
        <v>897</v>
      </c>
      <c r="W1685">
        <v>39.19</v>
      </c>
      <c r="Y1685">
        <v>13.07</v>
      </c>
    </row>
    <row r="1686" spans="1:25" x14ac:dyDescent="0.25">
      <c r="A1686">
        <v>2007</v>
      </c>
      <c r="B1686">
        <v>4</v>
      </c>
      <c r="C1686">
        <v>2100</v>
      </c>
      <c r="D1686">
        <v>-0.88200000000000001</v>
      </c>
      <c r="E1686">
        <v>-11.03</v>
      </c>
      <c r="F1686">
        <v>7.34</v>
      </c>
      <c r="G1686">
        <v>7.67</v>
      </c>
      <c r="K1686">
        <v>2.3140000000000001</v>
      </c>
      <c r="L1686">
        <v>225.2</v>
      </c>
      <c r="M1686">
        <v>0</v>
      </c>
      <c r="O1686">
        <v>-11.5</v>
      </c>
      <c r="P1686">
        <v>-10.84</v>
      </c>
      <c r="Q1686">
        <v>6.54</v>
      </c>
      <c r="S1686">
        <v>5.6449999999999996</v>
      </c>
      <c r="T1686">
        <v>0</v>
      </c>
      <c r="U1686">
        <v>95.6</v>
      </c>
      <c r="V1686">
        <v>896</v>
      </c>
      <c r="W1686">
        <v>39.119999999999997</v>
      </c>
      <c r="Y1686">
        <v>13.04</v>
      </c>
    </row>
    <row r="1687" spans="1:25" x14ac:dyDescent="0.25">
      <c r="A1687">
        <v>2007</v>
      </c>
      <c r="B1687">
        <v>4</v>
      </c>
      <c r="C1687">
        <v>2200</v>
      </c>
      <c r="D1687">
        <v>-0.77200000000000002</v>
      </c>
      <c r="E1687">
        <v>-10.99</v>
      </c>
      <c r="F1687">
        <v>7.17</v>
      </c>
      <c r="G1687">
        <v>7.53</v>
      </c>
      <c r="K1687">
        <v>2.5590000000000002</v>
      </c>
      <c r="L1687">
        <v>226.3</v>
      </c>
      <c r="M1687">
        <v>0</v>
      </c>
      <c r="O1687">
        <v>-11.5</v>
      </c>
      <c r="P1687">
        <v>-10.84</v>
      </c>
      <c r="Q1687">
        <v>6.4980000000000002</v>
      </c>
      <c r="S1687">
        <v>5.6449999999999996</v>
      </c>
      <c r="T1687">
        <v>0</v>
      </c>
      <c r="U1687">
        <v>95.2</v>
      </c>
      <c r="V1687">
        <v>894</v>
      </c>
      <c r="W1687">
        <v>39.020000000000003</v>
      </c>
      <c r="Y1687">
        <v>13.01</v>
      </c>
    </row>
    <row r="1688" spans="1:25" x14ac:dyDescent="0.25">
      <c r="A1688">
        <v>2007</v>
      </c>
      <c r="B1688">
        <v>4</v>
      </c>
      <c r="C1688">
        <v>2300</v>
      </c>
      <c r="D1688">
        <v>-0.84</v>
      </c>
      <c r="E1688">
        <v>-6.6210000000000004</v>
      </c>
      <c r="F1688">
        <v>7.25</v>
      </c>
      <c r="G1688">
        <v>7.52</v>
      </c>
      <c r="K1688">
        <v>2.3410000000000002</v>
      </c>
      <c r="L1688">
        <v>225.3</v>
      </c>
      <c r="M1688">
        <v>0</v>
      </c>
      <c r="O1688">
        <v>-11.5</v>
      </c>
      <c r="P1688">
        <v>-10.84</v>
      </c>
      <c r="Q1688">
        <v>6.4710000000000001</v>
      </c>
      <c r="S1688">
        <v>5.6449999999999996</v>
      </c>
      <c r="T1688">
        <v>0</v>
      </c>
      <c r="U1688">
        <v>96.4</v>
      </c>
      <c r="V1688">
        <v>894</v>
      </c>
      <c r="W1688">
        <v>39.01</v>
      </c>
      <c r="Y1688">
        <v>12.99</v>
      </c>
    </row>
    <row r="1689" spans="1:25" x14ac:dyDescent="0.25">
      <c r="A1689">
        <v>2007</v>
      </c>
      <c r="B1689">
        <v>4</v>
      </c>
      <c r="C1689">
        <v>2400</v>
      </c>
      <c r="D1689">
        <v>-0.68400000000000005</v>
      </c>
      <c r="E1689">
        <v>-4.0339999999999998</v>
      </c>
      <c r="F1689">
        <v>7.3</v>
      </c>
      <c r="G1689">
        <v>7.46</v>
      </c>
      <c r="K1689">
        <v>1.8320000000000001</v>
      </c>
      <c r="L1689">
        <v>217.3</v>
      </c>
      <c r="M1689">
        <v>0</v>
      </c>
      <c r="O1689">
        <v>-11.5</v>
      </c>
      <c r="P1689">
        <v>-10.84</v>
      </c>
      <c r="Q1689">
        <v>6.444</v>
      </c>
      <c r="S1689">
        <v>5.6449999999999996</v>
      </c>
      <c r="T1689">
        <v>0</v>
      </c>
      <c r="U1689">
        <v>97.9</v>
      </c>
      <c r="V1689">
        <v>897</v>
      </c>
      <c r="W1689">
        <v>39.25</v>
      </c>
      <c r="Y1689">
        <v>12.97</v>
      </c>
    </row>
    <row r="1690" spans="1:25" x14ac:dyDescent="0.25">
      <c r="A1690">
        <v>2007</v>
      </c>
      <c r="B1690">
        <v>5</v>
      </c>
      <c r="C1690">
        <v>100</v>
      </c>
      <c r="D1690">
        <v>-0.57299999999999995</v>
      </c>
      <c r="E1690">
        <v>-4.2069999999999999</v>
      </c>
      <c r="F1690">
        <v>7.37</v>
      </c>
      <c r="G1690">
        <v>7.62</v>
      </c>
      <c r="K1690">
        <v>2.2240000000000002</v>
      </c>
      <c r="L1690">
        <v>210.2</v>
      </c>
      <c r="M1690">
        <v>0</v>
      </c>
      <c r="O1690">
        <v>-11.5</v>
      </c>
      <c r="P1690">
        <v>-10.83</v>
      </c>
      <c r="Q1690">
        <v>6.444</v>
      </c>
      <c r="S1690">
        <v>5.6449999999999996</v>
      </c>
      <c r="T1690">
        <v>0</v>
      </c>
      <c r="U1690">
        <v>96.8</v>
      </c>
      <c r="V1690">
        <v>896</v>
      </c>
      <c r="W1690">
        <v>39.130000000000003</v>
      </c>
      <c r="Y1690">
        <v>12.95</v>
      </c>
    </row>
    <row r="1691" spans="1:25" x14ac:dyDescent="0.25">
      <c r="A1691">
        <v>2007</v>
      </c>
      <c r="B1691">
        <v>5</v>
      </c>
      <c r="C1691">
        <v>200</v>
      </c>
      <c r="D1691">
        <v>-0.71</v>
      </c>
      <c r="E1691">
        <v>-6.5609999999999999</v>
      </c>
      <c r="F1691">
        <v>7.46</v>
      </c>
      <c r="G1691">
        <v>7.76</v>
      </c>
      <c r="K1691">
        <v>2.9159999999999999</v>
      </c>
      <c r="L1691">
        <v>214.4</v>
      </c>
      <c r="M1691">
        <v>0</v>
      </c>
      <c r="O1691">
        <v>-11.5</v>
      </c>
      <c r="P1691">
        <v>-10.83</v>
      </c>
      <c r="Q1691">
        <v>6.444</v>
      </c>
      <c r="S1691">
        <v>5.6449999999999996</v>
      </c>
      <c r="T1691">
        <v>0</v>
      </c>
      <c r="U1691">
        <v>96.1</v>
      </c>
      <c r="V1691">
        <v>895</v>
      </c>
      <c r="W1691">
        <v>39.06</v>
      </c>
      <c r="Y1691">
        <v>12.94</v>
      </c>
    </row>
    <row r="1692" spans="1:25" x14ac:dyDescent="0.25">
      <c r="A1692">
        <v>2007</v>
      </c>
      <c r="B1692">
        <v>5</v>
      </c>
      <c r="C1692">
        <v>300</v>
      </c>
      <c r="D1692">
        <v>-0.41899999999999998</v>
      </c>
      <c r="E1692">
        <v>-2.403</v>
      </c>
      <c r="F1692">
        <v>7.48</v>
      </c>
      <c r="G1692">
        <v>7.79</v>
      </c>
      <c r="K1692">
        <v>2.7869999999999999</v>
      </c>
      <c r="L1692">
        <v>218.7</v>
      </c>
      <c r="M1692">
        <v>0</v>
      </c>
      <c r="O1692">
        <v>-11.5</v>
      </c>
      <c r="P1692">
        <v>-10.84</v>
      </c>
      <c r="Q1692">
        <v>6.468</v>
      </c>
      <c r="S1692">
        <v>5.6449999999999996</v>
      </c>
      <c r="T1692">
        <v>0</v>
      </c>
      <c r="U1692">
        <v>96</v>
      </c>
      <c r="V1692">
        <v>894</v>
      </c>
      <c r="W1692">
        <v>38.99</v>
      </c>
      <c r="Y1692">
        <v>12.93</v>
      </c>
    </row>
    <row r="1693" spans="1:25" x14ac:dyDescent="0.25">
      <c r="A1693">
        <v>2007</v>
      </c>
      <c r="B1693">
        <v>5</v>
      </c>
      <c r="C1693">
        <v>400</v>
      </c>
      <c r="D1693">
        <v>-0.29799999999999999</v>
      </c>
      <c r="E1693">
        <v>-1.4510000000000001</v>
      </c>
      <c r="F1693">
        <v>7.74</v>
      </c>
      <c r="G1693">
        <v>8.14</v>
      </c>
      <c r="K1693">
        <v>3.5089999999999999</v>
      </c>
      <c r="L1693">
        <v>215</v>
      </c>
      <c r="M1693">
        <v>0</v>
      </c>
      <c r="O1693">
        <v>-11.5</v>
      </c>
      <c r="P1693">
        <v>-10.84</v>
      </c>
      <c r="Q1693">
        <v>6.4969999999999999</v>
      </c>
      <c r="S1693">
        <v>5.6449999999999996</v>
      </c>
      <c r="T1693">
        <v>0</v>
      </c>
      <c r="U1693">
        <v>94.9</v>
      </c>
      <c r="V1693">
        <v>894</v>
      </c>
      <c r="W1693">
        <v>38.97</v>
      </c>
      <c r="Y1693">
        <v>12.92</v>
      </c>
    </row>
    <row r="1694" spans="1:25" x14ac:dyDescent="0.25">
      <c r="A1694">
        <v>2007</v>
      </c>
      <c r="B1694">
        <v>5</v>
      </c>
      <c r="C1694">
        <v>500</v>
      </c>
      <c r="D1694">
        <v>-0.158</v>
      </c>
      <c r="E1694">
        <v>-0.313</v>
      </c>
      <c r="F1694">
        <v>8.1</v>
      </c>
      <c r="G1694">
        <v>8.4600000000000009</v>
      </c>
      <c r="K1694">
        <v>3.4990000000000001</v>
      </c>
      <c r="L1694">
        <v>217.5</v>
      </c>
      <c r="M1694">
        <v>0</v>
      </c>
      <c r="O1694">
        <v>-11.5</v>
      </c>
      <c r="P1694">
        <v>-10.84</v>
      </c>
      <c r="Q1694">
        <v>6.5250000000000004</v>
      </c>
      <c r="S1694">
        <v>5.6459999999999999</v>
      </c>
      <c r="T1694">
        <v>0</v>
      </c>
      <c r="U1694">
        <v>95.3</v>
      </c>
      <c r="V1694">
        <v>892</v>
      </c>
      <c r="W1694">
        <v>38.869999999999997</v>
      </c>
      <c r="Y1694">
        <v>12.91</v>
      </c>
    </row>
    <row r="1695" spans="1:25" x14ac:dyDescent="0.25">
      <c r="A1695">
        <v>2007</v>
      </c>
      <c r="B1695">
        <v>5</v>
      </c>
      <c r="C1695">
        <v>600</v>
      </c>
      <c r="D1695">
        <v>-0.71299999999999997</v>
      </c>
      <c r="E1695">
        <v>-2.9940000000000002</v>
      </c>
      <c r="F1695">
        <v>8.5500000000000007</v>
      </c>
      <c r="G1695">
        <v>8.8699999999999992</v>
      </c>
      <c r="K1695">
        <v>3.5939999999999999</v>
      </c>
      <c r="L1695">
        <v>217.8</v>
      </c>
      <c r="M1695">
        <v>0</v>
      </c>
      <c r="O1695">
        <v>-11.5</v>
      </c>
      <c r="P1695">
        <v>-10.84</v>
      </c>
      <c r="Q1695">
        <v>6.5830000000000002</v>
      </c>
      <c r="S1695">
        <v>5.6870000000000003</v>
      </c>
      <c r="T1695">
        <v>0</v>
      </c>
      <c r="U1695">
        <v>95.9</v>
      </c>
      <c r="V1695">
        <v>893</v>
      </c>
      <c r="W1695">
        <v>38.93</v>
      </c>
      <c r="Y1695">
        <v>12.91</v>
      </c>
    </row>
    <row r="1696" spans="1:25" x14ac:dyDescent="0.25">
      <c r="A1696">
        <v>2007</v>
      </c>
      <c r="B1696">
        <v>5</v>
      </c>
      <c r="C1696">
        <v>700</v>
      </c>
      <c r="D1696">
        <v>-0.96399999999999997</v>
      </c>
      <c r="E1696">
        <v>-3.1160000000000001</v>
      </c>
      <c r="F1696">
        <v>9.0500000000000007</v>
      </c>
      <c r="G1696">
        <v>9.33</v>
      </c>
      <c r="K1696">
        <v>4.2270000000000003</v>
      </c>
      <c r="L1696">
        <v>223.8</v>
      </c>
      <c r="M1696">
        <v>0.2</v>
      </c>
      <c r="O1696">
        <v>-11.5</v>
      </c>
      <c r="P1696">
        <v>-10.84</v>
      </c>
      <c r="Q1696">
        <v>6.625</v>
      </c>
      <c r="S1696">
        <v>5.7110000000000003</v>
      </c>
      <c r="T1696">
        <v>0</v>
      </c>
      <c r="U1696">
        <v>96.5</v>
      </c>
      <c r="V1696">
        <v>893</v>
      </c>
      <c r="W1696">
        <v>38.96</v>
      </c>
      <c r="Y1696">
        <v>12.9</v>
      </c>
    </row>
    <row r="1697" spans="1:25" x14ac:dyDescent="0.25">
      <c r="A1697">
        <v>2007</v>
      </c>
      <c r="B1697">
        <v>5</v>
      </c>
      <c r="C1697">
        <v>800</v>
      </c>
      <c r="D1697">
        <v>-0.376</v>
      </c>
      <c r="E1697">
        <v>-11.49</v>
      </c>
      <c r="F1697">
        <v>8.5399999999999991</v>
      </c>
      <c r="G1697">
        <v>9.01</v>
      </c>
      <c r="K1697">
        <v>4.4290000000000003</v>
      </c>
      <c r="L1697">
        <v>228.3</v>
      </c>
      <c r="M1697">
        <v>0.8</v>
      </c>
      <c r="O1697">
        <v>-11.5</v>
      </c>
      <c r="P1697">
        <v>-10.84</v>
      </c>
      <c r="Q1697">
        <v>6.64</v>
      </c>
      <c r="S1697">
        <v>5.67</v>
      </c>
      <c r="T1697">
        <v>0</v>
      </c>
      <c r="U1697">
        <v>94.1</v>
      </c>
      <c r="V1697">
        <v>910</v>
      </c>
      <c r="W1697">
        <v>40.18</v>
      </c>
      <c r="Y1697">
        <v>12.9</v>
      </c>
    </row>
    <row r="1698" spans="1:25" x14ac:dyDescent="0.25">
      <c r="A1698">
        <v>2007</v>
      </c>
      <c r="B1698">
        <v>5</v>
      </c>
      <c r="C1698">
        <v>900</v>
      </c>
      <c r="D1698">
        <v>0.58599999999999997</v>
      </c>
      <c r="E1698">
        <v>-18.57</v>
      </c>
      <c r="F1698">
        <v>7.44</v>
      </c>
      <c r="G1698">
        <v>8.02</v>
      </c>
      <c r="H1698">
        <f>AVERAGE(G1698:G1721)</f>
        <v>6.3154583333333356</v>
      </c>
      <c r="K1698">
        <v>3.9169999999999998</v>
      </c>
      <c r="L1698">
        <v>228.8</v>
      </c>
      <c r="M1698">
        <v>0</v>
      </c>
      <c r="N1698">
        <f>SUM(M1698:M1721)</f>
        <v>0.2</v>
      </c>
      <c r="O1698">
        <v>-9.0500000000000007</v>
      </c>
      <c r="P1698">
        <v>-10.17</v>
      </c>
      <c r="Q1698">
        <v>6.6980000000000004</v>
      </c>
      <c r="S1698">
        <v>5.6879999999999997</v>
      </c>
      <c r="T1698">
        <v>0</v>
      </c>
      <c r="U1698">
        <v>92.5</v>
      </c>
      <c r="V1698">
        <v>918</v>
      </c>
      <c r="W1698">
        <v>40.82</v>
      </c>
      <c r="Y1698">
        <v>12.89</v>
      </c>
    </row>
    <row r="1699" spans="1:25" x14ac:dyDescent="0.25">
      <c r="A1699">
        <v>2007</v>
      </c>
      <c r="B1699">
        <v>5</v>
      </c>
      <c r="C1699">
        <v>1000</v>
      </c>
      <c r="D1699">
        <v>35.57</v>
      </c>
      <c r="E1699">
        <v>-28.48</v>
      </c>
      <c r="F1699">
        <v>6.7809999999999997</v>
      </c>
      <c r="G1699">
        <v>7.26</v>
      </c>
      <c r="K1699">
        <v>3.2890000000000001</v>
      </c>
      <c r="L1699">
        <v>228.8</v>
      </c>
      <c r="M1699">
        <v>0</v>
      </c>
      <c r="O1699">
        <v>23.64</v>
      </c>
      <c r="P1699">
        <v>2.8460000000000001</v>
      </c>
      <c r="Q1699">
        <v>6.726</v>
      </c>
      <c r="S1699">
        <v>5.75</v>
      </c>
      <c r="T1699">
        <v>0</v>
      </c>
      <c r="U1699">
        <v>93.6</v>
      </c>
      <c r="V1699">
        <v>915</v>
      </c>
      <c r="W1699">
        <v>40.619999999999997</v>
      </c>
      <c r="Y1699">
        <v>13.07</v>
      </c>
    </row>
    <row r="1700" spans="1:25" x14ac:dyDescent="0.25">
      <c r="A1700">
        <v>2007</v>
      </c>
      <c r="B1700">
        <v>5</v>
      </c>
      <c r="C1700">
        <v>1100</v>
      </c>
      <c r="D1700">
        <v>106.4</v>
      </c>
      <c r="E1700">
        <v>-3.0329999999999999</v>
      </c>
      <c r="F1700">
        <v>6.9850000000000003</v>
      </c>
      <c r="G1700">
        <v>7.36</v>
      </c>
      <c r="K1700">
        <v>3.0710000000000002</v>
      </c>
      <c r="L1700">
        <v>228.5</v>
      </c>
      <c r="M1700">
        <v>0</v>
      </c>
      <c r="O1700">
        <v>112.8</v>
      </c>
      <c r="P1700">
        <v>57.44</v>
      </c>
      <c r="Q1700">
        <v>6.6210000000000004</v>
      </c>
      <c r="S1700">
        <v>5.7519999999999998</v>
      </c>
      <c r="T1700">
        <v>0</v>
      </c>
      <c r="U1700">
        <v>95</v>
      </c>
      <c r="V1700">
        <v>887</v>
      </c>
      <c r="W1700">
        <v>38.56</v>
      </c>
      <c r="Y1700">
        <v>14.17</v>
      </c>
    </row>
    <row r="1701" spans="1:25" x14ac:dyDescent="0.25">
      <c r="A1701">
        <v>2007</v>
      </c>
      <c r="B1701">
        <v>5</v>
      </c>
      <c r="C1701">
        <v>1200</v>
      </c>
      <c r="D1701">
        <v>142.69999999999999</v>
      </c>
      <c r="E1701">
        <v>78</v>
      </c>
      <c r="F1701">
        <v>7.32</v>
      </c>
      <c r="G1701">
        <v>7.85</v>
      </c>
      <c r="K1701">
        <v>3.5070000000000001</v>
      </c>
      <c r="L1701">
        <v>228.6</v>
      </c>
      <c r="M1701">
        <v>0</v>
      </c>
      <c r="O1701">
        <v>159.80000000000001</v>
      </c>
      <c r="P1701">
        <v>66.73</v>
      </c>
      <c r="Q1701">
        <v>6.5140000000000002</v>
      </c>
      <c r="S1701">
        <v>5.742</v>
      </c>
      <c r="T1701">
        <v>0</v>
      </c>
      <c r="U1701">
        <v>93.1</v>
      </c>
      <c r="V1701">
        <v>872</v>
      </c>
      <c r="W1701">
        <v>37.520000000000003</v>
      </c>
      <c r="Y1701">
        <v>14.29</v>
      </c>
    </row>
    <row r="1702" spans="1:25" x14ac:dyDescent="0.25">
      <c r="A1702">
        <v>2007</v>
      </c>
      <c r="B1702">
        <v>5</v>
      </c>
      <c r="C1702">
        <v>1300</v>
      </c>
      <c r="D1702">
        <v>183.1</v>
      </c>
      <c r="E1702">
        <v>112.7</v>
      </c>
      <c r="F1702">
        <v>7.59</v>
      </c>
      <c r="G1702">
        <v>8.0500000000000007</v>
      </c>
      <c r="K1702">
        <v>3.234</v>
      </c>
      <c r="L1702">
        <v>228.5</v>
      </c>
      <c r="M1702">
        <v>0</v>
      </c>
      <c r="O1702">
        <v>209</v>
      </c>
      <c r="P1702">
        <v>95.3</v>
      </c>
      <c r="Q1702">
        <v>6.492</v>
      </c>
      <c r="S1702">
        <v>5.7629999999999999</v>
      </c>
      <c r="T1702">
        <v>0</v>
      </c>
      <c r="U1702">
        <v>94</v>
      </c>
      <c r="V1702">
        <v>900</v>
      </c>
      <c r="W1702">
        <v>39.450000000000003</v>
      </c>
      <c r="Y1702">
        <v>14.37</v>
      </c>
    </row>
    <row r="1703" spans="1:25" x14ac:dyDescent="0.25">
      <c r="A1703">
        <v>2007</v>
      </c>
      <c r="B1703">
        <v>5</v>
      </c>
      <c r="C1703">
        <v>1400</v>
      </c>
      <c r="D1703">
        <v>171.3</v>
      </c>
      <c r="E1703">
        <v>99.7</v>
      </c>
      <c r="F1703">
        <v>7.88</v>
      </c>
      <c r="G1703">
        <v>8.24</v>
      </c>
      <c r="K1703">
        <v>3.6680000000000001</v>
      </c>
      <c r="L1703">
        <v>228.5</v>
      </c>
      <c r="M1703">
        <v>0</v>
      </c>
      <c r="O1703">
        <v>186.6</v>
      </c>
      <c r="P1703">
        <v>98.1</v>
      </c>
      <c r="Q1703">
        <v>6.5010000000000003</v>
      </c>
      <c r="S1703">
        <v>5.7590000000000003</v>
      </c>
      <c r="T1703">
        <v>0</v>
      </c>
      <c r="U1703">
        <v>95.3</v>
      </c>
      <c r="V1703">
        <v>896</v>
      </c>
      <c r="W1703">
        <v>39.17</v>
      </c>
      <c r="Y1703">
        <v>14.32</v>
      </c>
    </row>
    <row r="1704" spans="1:25" x14ac:dyDescent="0.25">
      <c r="A1704">
        <v>2007</v>
      </c>
      <c r="B1704">
        <v>5</v>
      </c>
      <c r="C1704">
        <v>1500</v>
      </c>
      <c r="D1704">
        <v>107.6</v>
      </c>
      <c r="E1704">
        <v>40.17</v>
      </c>
      <c r="F1704">
        <v>7.71</v>
      </c>
      <c r="G1704">
        <v>8.01</v>
      </c>
      <c r="K1704">
        <v>2.964</v>
      </c>
      <c r="L1704">
        <v>227.2</v>
      </c>
      <c r="M1704">
        <v>0</v>
      </c>
      <c r="O1704">
        <v>109.7</v>
      </c>
      <c r="P1704">
        <v>64.23</v>
      </c>
      <c r="Q1704">
        <v>6.4930000000000003</v>
      </c>
      <c r="S1704">
        <v>5.7489999999999997</v>
      </c>
      <c r="T1704">
        <v>0</v>
      </c>
      <c r="U1704">
        <v>96.1</v>
      </c>
      <c r="V1704">
        <v>894</v>
      </c>
      <c r="W1704">
        <v>38.96</v>
      </c>
      <c r="Y1704">
        <v>14.06</v>
      </c>
    </row>
    <row r="1705" spans="1:25" x14ac:dyDescent="0.25">
      <c r="A1705">
        <v>2007</v>
      </c>
      <c r="B1705">
        <v>5</v>
      </c>
      <c r="C1705">
        <v>1600</v>
      </c>
      <c r="D1705">
        <v>35.67</v>
      </c>
      <c r="E1705">
        <v>-18.22</v>
      </c>
      <c r="F1705">
        <v>7.24</v>
      </c>
      <c r="G1705">
        <v>7.44</v>
      </c>
      <c r="K1705">
        <v>2.798</v>
      </c>
      <c r="L1705">
        <v>227.6</v>
      </c>
      <c r="M1705">
        <v>0</v>
      </c>
      <c r="O1705">
        <v>32.21</v>
      </c>
      <c r="P1705">
        <v>11.91</v>
      </c>
      <c r="Q1705">
        <v>6.4459999999999997</v>
      </c>
      <c r="S1705">
        <v>5.7080000000000002</v>
      </c>
      <c r="T1705">
        <v>0</v>
      </c>
      <c r="U1705">
        <v>97.4</v>
      </c>
      <c r="V1705">
        <v>892</v>
      </c>
      <c r="W1705">
        <v>38.840000000000003</v>
      </c>
      <c r="Y1705">
        <v>13.66</v>
      </c>
    </row>
    <row r="1706" spans="1:25" x14ac:dyDescent="0.25">
      <c r="A1706">
        <v>2007</v>
      </c>
      <c r="B1706">
        <v>5</v>
      </c>
      <c r="C1706">
        <v>1700</v>
      </c>
      <c r="D1706">
        <v>0.78600000000000003</v>
      </c>
      <c r="E1706">
        <v>-43.57</v>
      </c>
      <c r="F1706">
        <v>6.49</v>
      </c>
      <c r="G1706">
        <v>6.694</v>
      </c>
      <c r="K1706">
        <v>2.0870000000000002</v>
      </c>
      <c r="L1706">
        <v>226.7</v>
      </c>
      <c r="M1706">
        <v>0</v>
      </c>
      <c r="O1706">
        <v>-6.548</v>
      </c>
      <c r="P1706">
        <v>-9.1999999999999993</v>
      </c>
      <c r="Q1706">
        <v>6.3259999999999996</v>
      </c>
      <c r="S1706">
        <v>5.68</v>
      </c>
      <c r="T1706">
        <v>0</v>
      </c>
      <c r="U1706">
        <v>97.2</v>
      </c>
      <c r="V1706">
        <v>890</v>
      </c>
      <c r="W1706">
        <v>38.72</v>
      </c>
      <c r="Y1706">
        <v>13.44</v>
      </c>
    </row>
    <row r="1707" spans="1:25" x14ac:dyDescent="0.25">
      <c r="A1707">
        <v>2007</v>
      </c>
      <c r="B1707">
        <v>5</v>
      </c>
      <c r="C1707">
        <v>1800</v>
      </c>
      <c r="D1707">
        <v>-2.855</v>
      </c>
      <c r="E1707">
        <v>-48.43</v>
      </c>
      <c r="F1707">
        <v>6.0090000000000003</v>
      </c>
      <c r="G1707">
        <v>6.2039999999999997</v>
      </c>
      <c r="K1707">
        <v>2.202</v>
      </c>
      <c r="L1707">
        <v>225.8</v>
      </c>
      <c r="M1707">
        <v>0</v>
      </c>
      <c r="O1707">
        <v>-11.5</v>
      </c>
      <c r="P1707">
        <v>-10.84</v>
      </c>
      <c r="Q1707">
        <v>6.1970000000000001</v>
      </c>
      <c r="S1707">
        <v>5.6769999999999996</v>
      </c>
      <c r="T1707">
        <v>0</v>
      </c>
      <c r="U1707">
        <v>97.3</v>
      </c>
      <c r="V1707">
        <v>889</v>
      </c>
      <c r="W1707">
        <v>38.659999999999997</v>
      </c>
      <c r="Y1707">
        <v>13.32</v>
      </c>
    </row>
    <row r="1708" spans="1:25" x14ac:dyDescent="0.25">
      <c r="A1708">
        <v>2007</v>
      </c>
      <c r="B1708">
        <v>5</v>
      </c>
      <c r="C1708">
        <v>1900</v>
      </c>
      <c r="D1708">
        <v>-2.75</v>
      </c>
      <c r="E1708">
        <v>-46.82</v>
      </c>
      <c r="F1708">
        <v>5.7069999999999999</v>
      </c>
      <c r="G1708">
        <v>5.891</v>
      </c>
      <c r="K1708">
        <v>2.5339999999999998</v>
      </c>
      <c r="L1708">
        <v>226</v>
      </c>
      <c r="M1708">
        <v>0</v>
      </c>
      <c r="O1708">
        <v>-11.5</v>
      </c>
      <c r="P1708">
        <v>-10.83</v>
      </c>
      <c r="Q1708">
        <v>5.976</v>
      </c>
      <c r="S1708">
        <v>5.6429999999999998</v>
      </c>
      <c r="T1708">
        <v>0</v>
      </c>
      <c r="U1708">
        <v>97.4</v>
      </c>
      <c r="V1708">
        <v>889</v>
      </c>
      <c r="W1708">
        <v>38.64</v>
      </c>
      <c r="Y1708">
        <v>13.23</v>
      </c>
    </row>
    <row r="1709" spans="1:25" x14ac:dyDescent="0.25">
      <c r="A1709">
        <v>2007</v>
      </c>
      <c r="B1709">
        <v>5</v>
      </c>
      <c r="C1709">
        <v>2000</v>
      </c>
      <c r="D1709">
        <v>-2.379</v>
      </c>
      <c r="E1709">
        <v>-42.17</v>
      </c>
      <c r="F1709">
        <v>5.4539999999999997</v>
      </c>
      <c r="G1709">
        <v>5.6619999999999999</v>
      </c>
      <c r="K1709">
        <v>2.3839999999999999</v>
      </c>
      <c r="L1709">
        <v>225</v>
      </c>
      <c r="M1709">
        <v>0</v>
      </c>
      <c r="O1709">
        <v>-11.49</v>
      </c>
      <c r="P1709">
        <v>-10.83</v>
      </c>
      <c r="Q1709">
        <v>5.7709999999999999</v>
      </c>
      <c r="S1709">
        <v>5.5679999999999996</v>
      </c>
      <c r="T1709">
        <v>0</v>
      </c>
      <c r="U1709">
        <v>97</v>
      </c>
      <c r="V1709">
        <v>889</v>
      </c>
      <c r="W1709">
        <v>38.65</v>
      </c>
      <c r="Y1709">
        <v>13.16</v>
      </c>
    </row>
    <row r="1710" spans="1:25" x14ac:dyDescent="0.25">
      <c r="A1710">
        <v>2007</v>
      </c>
      <c r="B1710">
        <v>5</v>
      </c>
      <c r="C1710">
        <v>2100</v>
      </c>
      <c r="D1710">
        <v>-2.1</v>
      </c>
      <c r="E1710">
        <v>-35.200000000000003</v>
      </c>
      <c r="F1710">
        <v>5.33</v>
      </c>
      <c r="G1710">
        <v>5.593</v>
      </c>
      <c r="K1710">
        <v>2.1669999999999998</v>
      </c>
      <c r="L1710">
        <v>224.6</v>
      </c>
      <c r="M1710">
        <v>0</v>
      </c>
      <c r="O1710">
        <v>-11.49</v>
      </c>
      <c r="P1710">
        <v>-10.8</v>
      </c>
      <c r="Q1710">
        <v>5.6289999999999996</v>
      </c>
      <c r="S1710">
        <v>5.5609999999999999</v>
      </c>
      <c r="T1710">
        <v>0</v>
      </c>
      <c r="U1710">
        <v>96.2</v>
      </c>
      <c r="V1710">
        <v>888</v>
      </c>
      <c r="W1710">
        <v>38.54</v>
      </c>
      <c r="Y1710">
        <v>13.11</v>
      </c>
    </row>
    <row r="1711" spans="1:25" x14ac:dyDescent="0.25">
      <c r="A1711">
        <v>2007</v>
      </c>
      <c r="B1711">
        <v>5</v>
      </c>
      <c r="C1711">
        <v>2200</v>
      </c>
      <c r="D1711">
        <v>-1.8089999999999999</v>
      </c>
      <c r="E1711">
        <v>-27.3</v>
      </c>
      <c r="F1711">
        <v>5.351</v>
      </c>
      <c r="G1711">
        <v>5.5750000000000002</v>
      </c>
      <c r="K1711">
        <v>2.234</v>
      </c>
      <c r="L1711">
        <v>224.1</v>
      </c>
      <c r="M1711">
        <v>0</v>
      </c>
      <c r="O1711">
        <v>-11.48</v>
      </c>
      <c r="P1711">
        <v>-10.76</v>
      </c>
      <c r="Q1711">
        <v>5.52</v>
      </c>
      <c r="S1711">
        <v>5.52</v>
      </c>
      <c r="T1711">
        <v>0</v>
      </c>
      <c r="U1711">
        <v>96.8</v>
      </c>
      <c r="V1711">
        <v>887</v>
      </c>
      <c r="W1711">
        <v>38.47</v>
      </c>
      <c r="Y1711">
        <v>13.07</v>
      </c>
    </row>
    <row r="1712" spans="1:25" x14ac:dyDescent="0.25">
      <c r="A1712">
        <v>2007</v>
      </c>
      <c r="B1712">
        <v>5</v>
      </c>
      <c r="C1712">
        <v>2300</v>
      </c>
      <c r="D1712">
        <v>-1.879</v>
      </c>
      <c r="E1712">
        <v>-30.78</v>
      </c>
      <c r="F1712">
        <v>5.2430000000000003</v>
      </c>
      <c r="G1712">
        <v>5.4749999999999996</v>
      </c>
      <c r="K1712">
        <v>2.0859999999999999</v>
      </c>
      <c r="L1712">
        <v>223.1</v>
      </c>
      <c r="M1712">
        <v>0</v>
      </c>
      <c r="O1712">
        <v>-11.47</v>
      </c>
      <c r="P1712">
        <v>-10.78</v>
      </c>
      <c r="Q1712">
        <v>5.4050000000000002</v>
      </c>
      <c r="S1712">
        <v>5.44</v>
      </c>
      <c r="T1712">
        <v>0</v>
      </c>
      <c r="U1712">
        <v>96.7</v>
      </c>
      <c r="V1712">
        <v>887</v>
      </c>
      <c r="W1712">
        <v>38.47</v>
      </c>
      <c r="Y1712">
        <v>13.03</v>
      </c>
    </row>
    <row r="1713" spans="1:25" x14ac:dyDescent="0.25">
      <c r="A1713">
        <v>2007</v>
      </c>
      <c r="B1713">
        <v>5</v>
      </c>
      <c r="C1713">
        <v>2400</v>
      </c>
      <c r="D1713">
        <v>-2.0169999999999999</v>
      </c>
      <c r="E1713">
        <v>-33.51</v>
      </c>
      <c r="F1713">
        <v>4.9589999999999996</v>
      </c>
      <c r="G1713">
        <v>5.1779999999999999</v>
      </c>
      <c r="K1713">
        <v>1.9790000000000001</v>
      </c>
      <c r="L1713">
        <v>221.7</v>
      </c>
      <c r="M1713">
        <v>0</v>
      </c>
      <c r="O1713">
        <v>-11.42</v>
      </c>
      <c r="P1713">
        <v>-10.7</v>
      </c>
      <c r="Q1713">
        <v>5.3040000000000003</v>
      </c>
      <c r="S1713">
        <v>5.3689999999999998</v>
      </c>
      <c r="T1713">
        <v>0</v>
      </c>
      <c r="U1713">
        <v>96.8</v>
      </c>
      <c r="V1713">
        <v>886</v>
      </c>
      <c r="W1713">
        <v>38.409999999999997</v>
      </c>
      <c r="Y1713">
        <v>13.01</v>
      </c>
    </row>
    <row r="1714" spans="1:25" x14ac:dyDescent="0.25">
      <c r="A1714">
        <v>2007</v>
      </c>
      <c r="B1714">
        <v>6</v>
      </c>
      <c r="C1714">
        <v>100</v>
      </c>
      <c r="D1714">
        <v>-2.081</v>
      </c>
      <c r="E1714">
        <v>-33.19</v>
      </c>
      <c r="F1714">
        <v>4.718</v>
      </c>
      <c r="G1714">
        <v>4.9240000000000004</v>
      </c>
      <c r="K1714">
        <v>2.09</v>
      </c>
      <c r="L1714">
        <v>220.7</v>
      </c>
      <c r="M1714">
        <v>0</v>
      </c>
      <c r="O1714">
        <v>-11.42</v>
      </c>
      <c r="P1714">
        <v>-10.68</v>
      </c>
      <c r="Q1714">
        <v>5.2039999999999997</v>
      </c>
      <c r="S1714">
        <v>5.298</v>
      </c>
      <c r="T1714">
        <v>0</v>
      </c>
      <c r="U1714">
        <v>97</v>
      </c>
      <c r="V1714">
        <v>885</v>
      </c>
      <c r="W1714">
        <v>38.380000000000003</v>
      </c>
      <c r="Y1714">
        <v>12.99</v>
      </c>
    </row>
    <row r="1715" spans="1:25" x14ac:dyDescent="0.25">
      <c r="A1715">
        <v>2007</v>
      </c>
      <c r="B1715">
        <v>6</v>
      </c>
      <c r="C1715">
        <v>200</v>
      </c>
      <c r="D1715">
        <v>-2.1669999999999998</v>
      </c>
      <c r="E1715">
        <v>-36.479999999999997</v>
      </c>
      <c r="F1715">
        <v>4.6269999999999998</v>
      </c>
      <c r="G1715">
        <v>4.8730000000000002</v>
      </c>
      <c r="K1715">
        <v>2.1619999999999999</v>
      </c>
      <c r="L1715">
        <v>224</v>
      </c>
      <c r="M1715">
        <v>0</v>
      </c>
      <c r="O1715">
        <v>-11.34</v>
      </c>
      <c r="P1715">
        <v>-10.59</v>
      </c>
      <c r="Q1715">
        <v>5.0940000000000003</v>
      </c>
      <c r="S1715">
        <v>5.2060000000000004</v>
      </c>
      <c r="T1715">
        <v>0</v>
      </c>
      <c r="U1715">
        <v>96.4</v>
      </c>
      <c r="V1715">
        <v>885</v>
      </c>
      <c r="W1715">
        <v>38.340000000000003</v>
      </c>
      <c r="Y1715">
        <v>12.97</v>
      </c>
    </row>
    <row r="1716" spans="1:25" x14ac:dyDescent="0.25">
      <c r="A1716">
        <v>2007</v>
      </c>
      <c r="B1716">
        <v>6</v>
      </c>
      <c r="C1716">
        <v>300</v>
      </c>
      <c r="D1716">
        <v>-1.9410000000000001</v>
      </c>
      <c r="E1716">
        <v>-28.83</v>
      </c>
      <c r="F1716">
        <v>4.7859999999999996</v>
      </c>
      <c r="G1716">
        <v>5.0259999999999998</v>
      </c>
      <c r="K1716">
        <v>2.6190000000000002</v>
      </c>
      <c r="L1716">
        <v>220.2</v>
      </c>
      <c r="M1716">
        <v>0</v>
      </c>
      <c r="O1716">
        <v>-11.32</v>
      </c>
      <c r="P1716">
        <v>-10.61</v>
      </c>
      <c r="Q1716">
        <v>4.9820000000000002</v>
      </c>
      <c r="S1716">
        <v>5.1459999999999999</v>
      </c>
      <c r="T1716">
        <v>0</v>
      </c>
      <c r="U1716">
        <v>96.5</v>
      </c>
      <c r="V1716">
        <v>885</v>
      </c>
      <c r="W1716">
        <v>38.36</v>
      </c>
      <c r="Y1716">
        <v>12.95</v>
      </c>
    </row>
    <row r="1717" spans="1:25" x14ac:dyDescent="0.25">
      <c r="A1717">
        <v>2007</v>
      </c>
      <c r="B1717">
        <v>6</v>
      </c>
      <c r="C1717">
        <v>400</v>
      </c>
      <c r="D1717">
        <v>-1.8120000000000001</v>
      </c>
      <c r="E1717">
        <v>-26.44</v>
      </c>
      <c r="F1717">
        <v>5.0229999999999997</v>
      </c>
      <c r="G1717">
        <v>5.2939999999999996</v>
      </c>
      <c r="K1717">
        <v>2.4220000000000002</v>
      </c>
      <c r="L1717">
        <v>217.9</v>
      </c>
      <c r="M1717">
        <v>0</v>
      </c>
      <c r="O1717">
        <v>-11.36</v>
      </c>
      <c r="P1717">
        <v>-10.61</v>
      </c>
      <c r="Q1717">
        <v>4.8979999999999997</v>
      </c>
      <c r="S1717">
        <v>5.0940000000000003</v>
      </c>
      <c r="T1717">
        <v>0</v>
      </c>
      <c r="U1717">
        <v>96.1</v>
      </c>
      <c r="V1717">
        <v>885</v>
      </c>
      <c r="W1717">
        <v>38.35</v>
      </c>
      <c r="Y1717">
        <v>12.94</v>
      </c>
    </row>
    <row r="1718" spans="1:25" x14ac:dyDescent="0.25">
      <c r="A1718">
        <v>2007</v>
      </c>
      <c r="B1718">
        <v>6</v>
      </c>
      <c r="C1718">
        <v>500</v>
      </c>
      <c r="D1718">
        <v>-1.1930000000000001</v>
      </c>
      <c r="E1718">
        <v>-14.81</v>
      </c>
      <c r="F1718">
        <v>5.415</v>
      </c>
      <c r="G1718">
        <v>5.7210000000000001</v>
      </c>
      <c r="K1718">
        <v>2.927</v>
      </c>
      <c r="L1718">
        <v>217.9</v>
      </c>
      <c r="M1718">
        <v>0</v>
      </c>
      <c r="O1718">
        <v>-11.39</v>
      </c>
      <c r="P1718">
        <v>-10.67</v>
      </c>
      <c r="Q1718">
        <v>4.8470000000000004</v>
      </c>
      <c r="S1718">
        <v>5.0430000000000001</v>
      </c>
      <c r="T1718">
        <v>0</v>
      </c>
      <c r="U1718">
        <v>95.6</v>
      </c>
      <c r="V1718">
        <v>885</v>
      </c>
      <c r="W1718">
        <v>38.33</v>
      </c>
      <c r="Y1718">
        <v>12.93</v>
      </c>
    </row>
    <row r="1719" spans="1:25" x14ac:dyDescent="0.25">
      <c r="A1719">
        <v>2007</v>
      </c>
      <c r="B1719">
        <v>6</v>
      </c>
      <c r="C1719">
        <v>600</v>
      </c>
      <c r="D1719">
        <v>-0.70399999999999996</v>
      </c>
      <c r="E1719">
        <v>-4.8230000000000004</v>
      </c>
      <c r="F1719">
        <v>5.64</v>
      </c>
      <c r="G1719">
        <v>5.8419999999999996</v>
      </c>
      <c r="K1719">
        <v>2.3330000000000002</v>
      </c>
      <c r="L1719">
        <v>219.6</v>
      </c>
      <c r="M1719">
        <v>0</v>
      </c>
      <c r="O1719">
        <v>-11.46</v>
      </c>
      <c r="P1719">
        <v>-10.73</v>
      </c>
      <c r="Q1719">
        <v>4.8479999999999999</v>
      </c>
      <c r="S1719">
        <v>4.9859999999999998</v>
      </c>
      <c r="T1719">
        <v>0</v>
      </c>
      <c r="U1719">
        <v>97.1</v>
      </c>
      <c r="V1719">
        <v>885</v>
      </c>
      <c r="W1719">
        <v>38.36</v>
      </c>
      <c r="Y1719">
        <v>12.92</v>
      </c>
    </row>
    <row r="1720" spans="1:25" x14ac:dyDescent="0.25">
      <c r="A1720">
        <v>2007</v>
      </c>
      <c r="B1720">
        <v>6</v>
      </c>
      <c r="C1720">
        <v>700</v>
      </c>
      <c r="D1720">
        <v>-1.1559999999999999</v>
      </c>
      <c r="E1720">
        <v>-15.59</v>
      </c>
      <c r="F1720">
        <v>5.4820000000000002</v>
      </c>
      <c r="G1720">
        <v>5.6369999999999996</v>
      </c>
      <c r="K1720">
        <v>2.4140000000000001</v>
      </c>
      <c r="L1720">
        <v>221.5</v>
      </c>
      <c r="M1720">
        <v>0.2</v>
      </c>
      <c r="O1720">
        <v>-11.44</v>
      </c>
      <c r="P1720">
        <v>-10.7</v>
      </c>
      <c r="Q1720">
        <v>4.8940000000000001</v>
      </c>
      <c r="S1720">
        <v>4.9619999999999997</v>
      </c>
      <c r="T1720">
        <v>0</v>
      </c>
      <c r="U1720">
        <v>97.8</v>
      </c>
      <c r="V1720">
        <v>888</v>
      </c>
      <c r="W1720">
        <v>38.54</v>
      </c>
      <c r="Y1720">
        <v>12.91</v>
      </c>
    </row>
    <row r="1721" spans="1:25" x14ac:dyDescent="0.25">
      <c r="A1721">
        <v>2007</v>
      </c>
      <c r="B1721">
        <v>6</v>
      </c>
      <c r="C1721">
        <v>800</v>
      </c>
      <c r="D1721">
        <v>-1.538</v>
      </c>
      <c r="E1721">
        <v>-16.87</v>
      </c>
      <c r="F1721">
        <v>5.468</v>
      </c>
      <c r="G1721">
        <v>5.7519999999999998</v>
      </c>
      <c r="K1721">
        <v>2.827</v>
      </c>
      <c r="L1721">
        <v>223.4</v>
      </c>
      <c r="M1721">
        <v>0</v>
      </c>
      <c r="O1721">
        <v>-11.45</v>
      </c>
      <c r="P1721">
        <v>-10.7</v>
      </c>
      <c r="Q1721">
        <v>4.9269999999999996</v>
      </c>
      <c r="S1721">
        <v>4.8869999999999996</v>
      </c>
      <c r="T1721">
        <v>0</v>
      </c>
      <c r="U1721">
        <v>96</v>
      </c>
      <c r="V1721">
        <v>887</v>
      </c>
      <c r="W1721">
        <v>38.49</v>
      </c>
      <c r="Y1721">
        <v>12.9</v>
      </c>
    </row>
    <row r="1722" spans="1:25" x14ac:dyDescent="0.25">
      <c r="A1722">
        <v>2007</v>
      </c>
      <c r="B1722">
        <v>6</v>
      </c>
      <c r="C1722">
        <v>900</v>
      </c>
      <c r="D1722">
        <v>0.45900000000000002</v>
      </c>
      <c r="E1722">
        <v>-18.16</v>
      </c>
      <c r="F1722">
        <v>5.492</v>
      </c>
      <c r="G1722">
        <v>5.8029999999999999</v>
      </c>
      <c r="H1722">
        <v>7.546999999999997</v>
      </c>
      <c r="K1722">
        <v>2.4489999999999998</v>
      </c>
      <c r="L1722">
        <v>225</v>
      </c>
      <c r="M1722">
        <v>0</v>
      </c>
      <c r="N1722">
        <v>0.60000000000000009</v>
      </c>
      <c r="O1722">
        <v>-9.19</v>
      </c>
      <c r="P1722">
        <v>-10.130000000000001</v>
      </c>
      <c r="Q1722">
        <v>4.915</v>
      </c>
      <c r="S1722">
        <v>4.875</v>
      </c>
      <c r="T1722">
        <v>0</v>
      </c>
      <c r="U1722">
        <v>95.6</v>
      </c>
      <c r="V1722">
        <v>886</v>
      </c>
      <c r="W1722">
        <v>38.42</v>
      </c>
      <c r="Y1722">
        <v>12.89</v>
      </c>
    </row>
    <row r="1723" spans="1:25" x14ac:dyDescent="0.25">
      <c r="A1723">
        <v>2007</v>
      </c>
      <c r="B1723">
        <v>6</v>
      </c>
      <c r="C1723">
        <v>1000</v>
      </c>
      <c r="D1723">
        <v>17.899999999999999</v>
      </c>
      <c r="E1723">
        <v>-24.91</v>
      </c>
      <c r="F1723">
        <v>5.2220000000000004</v>
      </c>
      <c r="G1723">
        <v>5.4960000000000004</v>
      </c>
      <c r="K1723">
        <v>2.0960000000000001</v>
      </c>
      <c r="L1723">
        <v>223.5</v>
      </c>
      <c r="M1723">
        <v>0</v>
      </c>
      <c r="O1723">
        <v>5.8540000000000001</v>
      </c>
      <c r="P1723">
        <v>-5.2030000000000003</v>
      </c>
      <c r="Q1723">
        <v>4.9119999999999999</v>
      </c>
      <c r="S1723">
        <v>4.8769999999999998</v>
      </c>
      <c r="T1723">
        <v>0</v>
      </c>
      <c r="U1723">
        <v>96.1</v>
      </c>
      <c r="V1723">
        <v>885</v>
      </c>
      <c r="W1723">
        <v>38.35</v>
      </c>
      <c r="Y1723">
        <v>12.92</v>
      </c>
    </row>
    <row r="1724" spans="1:25" x14ac:dyDescent="0.25">
      <c r="A1724">
        <v>2007</v>
      </c>
      <c r="B1724">
        <v>6</v>
      </c>
      <c r="C1724">
        <v>1100</v>
      </c>
      <c r="D1724">
        <v>104.5</v>
      </c>
      <c r="E1724">
        <v>2.0110000000000001</v>
      </c>
      <c r="F1724">
        <v>5.41</v>
      </c>
      <c r="G1724">
        <v>5.702</v>
      </c>
      <c r="K1724">
        <v>1.984</v>
      </c>
      <c r="L1724">
        <v>218</v>
      </c>
      <c r="M1724">
        <v>0</v>
      </c>
      <c r="O1724">
        <v>107.2</v>
      </c>
      <c r="P1724">
        <v>57.73</v>
      </c>
      <c r="Q1724">
        <v>4.88</v>
      </c>
      <c r="S1724">
        <v>4.8559999999999999</v>
      </c>
      <c r="T1724">
        <v>0</v>
      </c>
      <c r="U1724">
        <v>95.9</v>
      </c>
      <c r="V1724">
        <v>884</v>
      </c>
      <c r="W1724">
        <v>38.29</v>
      </c>
      <c r="Y1724">
        <v>14.17</v>
      </c>
    </row>
    <row r="1725" spans="1:25" x14ac:dyDescent="0.25">
      <c r="A1725">
        <v>2007</v>
      </c>
      <c r="B1725">
        <v>6</v>
      </c>
      <c r="C1725">
        <v>1200</v>
      </c>
      <c r="D1725">
        <v>74.099999999999994</v>
      </c>
      <c r="E1725">
        <v>31.27</v>
      </c>
      <c r="F1725">
        <v>5.8390000000000004</v>
      </c>
      <c r="G1725">
        <v>6.2380000000000004</v>
      </c>
      <c r="K1725">
        <v>1.9350000000000001</v>
      </c>
      <c r="L1725">
        <v>222</v>
      </c>
      <c r="M1725">
        <v>0</v>
      </c>
      <c r="O1725">
        <v>70.8</v>
      </c>
      <c r="P1725">
        <v>16.13</v>
      </c>
      <c r="Q1725">
        <v>4.8070000000000004</v>
      </c>
      <c r="S1725">
        <v>4.7809999999999997</v>
      </c>
      <c r="T1725">
        <v>0</v>
      </c>
      <c r="U1725">
        <v>94.5</v>
      </c>
      <c r="V1725">
        <v>884</v>
      </c>
      <c r="W1725">
        <v>38.26</v>
      </c>
      <c r="Y1725">
        <v>13.8</v>
      </c>
    </row>
    <row r="1726" spans="1:25" x14ac:dyDescent="0.25">
      <c r="A1726">
        <v>2007</v>
      </c>
      <c r="B1726">
        <v>6</v>
      </c>
      <c r="C1726">
        <v>1300</v>
      </c>
      <c r="D1726">
        <v>116.2</v>
      </c>
      <c r="E1726">
        <v>62.74</v>
      </c>
      <c r="F1726">
        <v>6.3540000000000001</v>
      </c>
      <c r="G1726">
        <v>6.9390000000000001</v>
      </c>
      <c r="K1726">
        <v>2.403</v>
      </c>
      <c r="L1726">
        <v>224.7</v>
      </c>
      <c r="M1726">
        <v>0</v>
      </c>
      <c r="O1726">
        <v>121.7</v>
      </c>
      <c r="P1726">
        <v>49.44</v>
      </c>
      <c r="Q1726">
        <v>4.859</v>
      </c>
      <c r="S1726">
        <v>4.7770000000000001</v>
      </c>
      <c r="T1726">
        <v>0</v>
      </c>
      <c r="U1726">
        <v>92.1</v>
      </c>
      <c r="V1726">
        <v>883</v>
      </c>
      <c r="W1726">
        <v>38.200000000000003</v>
      </c>
      <c r="Y1726">
        <v>13.99</v>
      </c>
    </row>
    <row r="1727" spans="1:25" x14ac:dyDescent="0.25">
      <c r="A1727">
        <v>2007</v>
      </c>
      <c r="B1727">
        <v>6</v>
      </c>
      <c r="C1727">
        <v>1400</v>
      </c>
      <c r="D1727">
        <v>118.7</v>
      </c>
      <c r="E1727">
        <v>62.98</v>
      </c>
      <c r="F1727">
        <v>6.8209999999999997</v>
      </c>
      <c r="G1727">
        <v>7.55</v>
      </c>
      <c r="K1727">
        <v>2.415</v>
      </c>
      <c r="L1727">
        <v>225.4</v>
      </c>
      <c r="M1727">
        <v>0</v>
      </c>
      <c r="O1727">
        <v>122.7</v>
      </c>
      <c r="P1727">
        <v>54.71</v>
      </c>
      <c r="Q1727">
        <v>4.968</v>
      </c>
      <c r="S1727">
        <v>4.7889999999999997</v>
      </c>
      <c r="T1727">
        <v>0</v>
      </c>
      <c r="U1727">
        <v>90.4</v>
      </c>
      <c r="V1727">
        <v>882</v>
      </c>
      <c r="W1727">
        <v>38.159999999999997</v>
      </c>
      <c r="Y1727">
        <v>14.07</v>
      </c>
    </row>
    <row r="1728" spans="1:25" x14ac:dyDescent="0.25">
      <c r="A1728">
        <v>2007</v>
      </c>
      <c r="B1728">
        <v>6</v>
      </c>
      <c r="C1728">
        <v>1500</v>
      </c>
      <c r="D1728">
        <v>102.2</v>
      </c>
      <c r="E1728">
        <v>44.89</v>
      </c>
      <c r="F1728">
        <v>7.1</v>
      </c>
      <c r="G1728">
        <v>7.62</v>
      </c>
      <c r="K1728">
        <v>2.1560000000000001</v>
      </c>
      <c r="L1728">
        <v>217.4</v>
      </c>
      <c r="M1728">
        <v>0</v>
      </c>
      <c r="O1728">
        <v>100.7</v>
      </c>
      <c r="P1728">
        <v>63.39</v>
      </c>
      <c r="Q1728">
        <v>5.0149999999999997</v>
      </c>
      <c r="S1728">
        <v>4.7649999999999997</v>
      </c>
      <c r="T1728">
        <v>0</v>
      </c>
      <c r="U1728">
        <v>93.2</v>
      </c>
      <c r="V1728">
        <v>882</v>
      </c>
      <c r="W1728">
        <v>38.130000000000003</v>
      </c>
      <c r="Y1728">
        <v>14.13</v>
      </c>
    </row>
    <row r="1729" spans="1:25" x14ac:dyDescent="0.25">
      <c r="A1729">
        <v>2007</v>
      </c>
      <c r="B1729">
        <v>6</v>
      </c>
      <c r="C1729">
        <v>1600</v>
      </c>
      <c r="D1729">
        <v>20.420000000000002</v>
      </c>
      <c r="E1729">
        <v>-17.48</v>
      </c>
      <c r="F1729">
        <v>6.7590000000000003</v>
      </c>
      <c r="G1729">
        <v>7.13</v>
      </c>
      <c r="K1729">
        <v>1.948</v>
      </c>
      <c r="L1729">
        <v>214.6</v>
      </c>
      <c r="M1729">
        <v>0</v>
      </c>
      <c r="O1729">
        <v>14.14</v>
      </c>
      <c r="P1729">
        <v>-3.3140000000000001</v>
      </c>
      <c r="Q1729">
        <v>5.0309999999999997</v>
      </c>
      <c r="S1729">
        <v>4.7290000000000001</v>
      </c>
      <c r="T1729">
        <v>0</v>
      </c>
      <c r="U1729">
        <v>95</v>
      </c>
      <c r="V1729">
        <v>881</v>
      </c>
      <c r="W1729">
        <v>38.11</v>
      </c>
      <c r="Y1729">
        <v>13.57</v>
      </c>
    </row>
    <row r="1730" spans="1:25" x14ac:dyDescent="0.25">
      <c r="A1730">
        <v>2007</v>
      </c>
      <c r="B1730">
        <v>6</v>
      </c>
      <c r="C1730">
        <v>1700</v>
      </c>
      <c r="D1730">
        <v>-7.0000000000000007E-2</v>
      </c>
      <c r="E1730">
        <v>-17.2</v>
      </c>
      <c r="F1730">
        <v>6.7190000000000003</v>
      </c>
      <c r="G1730">
        <v>7.08</v>
      </c>
      <c r="K1730">
        <v>1.835</v>
      </c>
      <c r="L1730">
        <v>212.8</v>
      </c>
      <c r="M1730">
        <v>0</v>
      </c>
      <c r="O1730">
        <v>-9.74</v>
      </c>
      <c r="P1730">
        <v>-10.37</v>
      </c>
      <c r="Q1730">
        <v>5.0919999999999996</v>
      </c>
      <c r="S1730">
        <v>4.7610000000000001</v>
      </c>
      <c r="T1730">
        <v>0</v>
      </c>
      <c r="U1730">
        <v>95.1</v>
      </c>
      <c r="V1730">
        <v>880</v>
      </c>
      <c r="W1730">
        <v>38</v>
      </c>
      <c r="Y1730">
        <v>13.41</v>
      </c>
    </row>
    <row r="1731" spans="1:25" x14ac:dyDescent="0.25">
      <c r="A1731">
        <v>2007</v>
      </c>
      <c r="B1731">
        <v>6</v>
      </c>
      <c r="C1731">
        <v>1800</v>
      </c>
      <c r="D1731">
        <v>-1.635</v>
      </c>
      <c r="E1731">
        <v>-23.65</v>
      </c>
      <c r="F1731">
        <v>6.98</v>
      </c>
      <c r="G1731">
        <v>7.34</v>
      </c>
      <c r="K1731">
        <v>2.3610000000000002</v>
      </c>
      <c r="L1731">
        <v>209.5</v>
      </c>
      <c r="M1731">
        <v>0</v>
      </c>
      <c r="O1731">
        <v>-11.5</v>
      </c>
      <c r="P1731">
        <v>-10.84</v>
      </c>
      <c r="Q1731">
        <v>5.0659999999999998</v>
      </c>
      <c r="S1731">
        <v>4.7759999999999998</v>
      </c>
      <c r="T1731">
        <v>0</v>
      </c>
      <c r="U1731">
        <v>95.2</v>
      </c>
      <c r="V1731">
        <v>880</v>
      </c>
      <c r="W1731">
        <v>38</v>
      </c>
      <c r="Y1731">
        <v>13.3</v>
      </c>
    </row>
    <row r="1732" spans="1:25" x14ac:dyDescent="0.25">
      <c r="A1732">
        <v>2007</v>
      </c>
      <c r="B1732">
        <v>6</v>
      </c>
      <c r="C1732">
        <v>1900</v>
      </c>
      <c r="D1732">
        <v>-1.377</v>
      </c>
      <c r="E1732">
        <v>-11.95</v>
      </c>
      <c r="F1732">
        <v>7.25</v>
      </c>
      <c r="G1732">
        <v>7.46</v>
      </c>
      <c r="K1732">
        <v>3</v>
      </c>
      <c r="L1732">
        <v>210.8</v>
      </c>
      <c r="M1732">
        <v>0</v>
      </c>
      <c r="O1732">
        <v>-11.5</v>
      </c>
      <c r="P1732">
        <v>-10.84</v>
      </c>
      <c r="Q1732">
        <v>5.0659999999999998</v>
      </c>
      <c r="S1732">
        <v>4.7759999999999998</v>
      </c>
      <c r="T1732">
        <v>0</v>
      </c>
      <c r="U1732">
        <v>97.1</v>
      </c>
      <c r="V1732">
        <v>879</v>
      </c>
      <c r="W1732">
        <v>37.97</v>
      </c>
      <c r="Y1732">
        <v>13.22</v>
      </c>
    </row>
    <row r="1733" spans="1:25" x14ac:dyDescent="0.25">
      <c r="A1733">
        <v>2007</v>
      </c>
      <c r="B1733">
        <v>6</v>
      </c>
      <c r="C1733">
        <v>2000</v>
      </c>
      <c r="D1733">
        <v>-0.95499999999999996</v>
      </c>
      <c r="E1733">
        <v>-7.19</v>
      </c>
      <c r="F1733">
        <v>7.37</v>
      </c>
      <c r="G1733">
        <v>7.7</v>
      </c>
      <c r="K1733">
        <v>3.5070000000000001</v>
      </c>
      <c r="L1733">
        <v>213.3</v>
      </c>
      <c r="M1733">
        <v>0</v>
      </c>
      <c r="O1733">
        <v>-11.5</v>
      </c>
      <c r="P1733">
        <v>-10.83</v>
      </c>
      <c r="Q1733">
        <v>5.085</v>
      </c>
      <c r="S1733">
        <v>4.7770000000000001</v>
      </c>
      <c r="T1733">
        <v>0</v>
      </c>
      <c r="U1733">
        <v>95.6</v>
      </c>
      <c r="V1733">
        <v>880</v>
      </c>
      <c r="W1733">
        <v>37.99</v>
      </c>
      <c r="Y1733">
        <v>13.15</v>
      </c>
    </row>
    <row r="1734" spans="1:25" x14ac:dyDescent="0.25">
      <c r="A1734">
        <v>2007</v>
      </c>
      <c r="B1734">
        <v>6</v>
      </c>
      <c r="C1734">
        <v>2100</v>
      </c>
      <c r="D1734">
        <v>-0.78500000000000003</v>
      </c>
      <c r="E1734">
        <v>-4.2009999999999996</v>
      </c>
      <c r="F1734">
        <v>7.64</v>
      </c>
      <c r="G1734">
        <v>7.92</v>
      </c>
      <c r="K1734">
        <v>3.3319999999999999</v>
      </c>
      <c r="L1734">
        <v>206.6</v>
      </c>
      <c r="M1734">
        <v>0</v>
      </c>
      <c r="O1734">
        <v>-11.5</v>
      </c>
      <c r="P1734">
        <v>-10.84</v>
      </c>
      <c r="Q1734">
        <v>5.1539999999999999</v>
      </c>
      <c r="S1734">
        <v>4.8090000000000002</v>
      </c>
      <c r="T1734">
        <v>0</v>
      </c>
      <c r="U1734">
        <v>96.3</v>
      </c>
      <c r="V1734">
        <v>879</v>
      </c>
      <c r="W1734">
        <v>37.97</v>
      </c>
      <c r="Y1734">
        <v>13.09</v>
      </c>
    </row>
    <row r="1735" spans="1:25" x14ac:dyDescent="0.25">
      <c r="A1735">
        <v>2007</v>
      </c>
      <c r="B1735">
        <v>6</v>
      </c>
      <c r="C1735">
        <v>2200</v>
      </c>
      <c r="D1735">
        <v>-1.5920000000000001</v>
      </c>
      <c r="E1735">
        <v>-6.4359999999999999</v>
      </c>
      <c r="F1735">
        <v>7.93</v>
      </c>
      <c r="G1735">
        <v>8.1999999999999993</v>
      </c>
      <c r="K1735">
        <v>3.4380000000000002</v>
      </c>
      <c r="L1735">
        <v>207.7</v>
      </c>
      <c r="M1735">
        <v>0.2</v>
      </c>
      <c r="O1735">
        <v>-11.5</v>
      </c>
      <c r="P1735">
        <v>-10.84</v>
      </c>
      <c r="Q1735">
        <v>5.25</v>
      </c>
      <c r="S1735">
        <v>4.8330000000000002</v>
      </c>
      <c r="T1735">
        <v>0</v>
      </c>
      <c r="U1735">
        <v>96.5</v>
      </c>
      <c r="V1735">
        <v>880</v>
      </c>
      <c r="W1735">
        <v>37.99</v>
      </c>
      <c r="Y1735">
        <v>13.05</v>
      </c>
    </row>
    <row r="1736" spans="1:25" x14ac:dyDescent="0.25">
      <c r="A1736">
        <v>2007</v>
      </c>
      <c r="B1736">
        <v>6</v>
      </c>
      <c r="C1736">
        <v>2300</v>
      </c>
      <c r="D1736">
        <v>-1.48</v>
      </c>
      <c r="E1736">
        <v>-6.8369999999999997</v>
      </c>
      <c r="F1736">
        <v>8.18</v>
      </c>
      <c r="G1736">
        <v>8.52</v>
      </c>
      <c r="K1736">
        <v>4.4690000000000003</v>
      </c>
      <c r="L1736">
        <v>208.2</v>
      </c>
      <c r="M1736">
        <v>0</v>
      </c>
      <c r="O1736">
        <v>-11.5</v>
      </c>
      <c r="P1736">
        <v>-10.84</v>
      </c>
      <c r="Q1736">
        <v>5.3579999999999997</v>
      </c>
      <c r="S1736">
        <v>4.88</v>
      </c>
      <c r="T1736">
        <v>0</v>
      </c>
      <c r="U1736">
        <v>95.6</v>
      </c>
      <c r="V1736">
        <v>881</v>
      </c>
      <c r="W1736">
        <v>38.06</v>
      </c>
      <c r="Y1736">
        <v>13.02</v>
      </c>
    </row>
    <row r="1737" spans="1:25" x14ac:dyDescent="0.25">
      <c r="A1737">
        <v>2007</v>
      </c>
      <c r="B1737">
        <v>6</v>
      </c>
      <c r="C1737">
        <v>2400</v>
      </c>
      <c r="D1737">
        <v>-1.429</v>
      </c>
      <c r="E1737">
        <v>-12.57</v>
      </c>
      <c r="F1737">
        <v>8.4499999999999993</v>
      </c>
      <c r="G1737">
        <v>8.7100000000000009</v>
      </c>
      <c r="K1737">
        <v>4.4420000000000002</v>
      </c>
      <c r="L1737">
        <v>222.2</v>
      </c>
      <c r="M1737">
        <v>0.2</v>
      </c>
      <c r="O1737">
        <v>-11.5</v>
      </c>
      <c r="P1737">
        <v>-10.85</v>
      </c>
      <c r="Q1737">
        <v>5.4779999999999998</v>
      </c>
      <c r="S1737">
        <v>4.8849999999999998</v>
      </c>
      <c r="T1737">
        <v>0</v>
      </c>
      <c r="U1737">
        <v>96.6</v>
      </c>
      <c r="V1737">
        <v>883</v>
      </c>
      <c r="W1737">
        <v>38.21</v>
      </c>
      <c r="Y1737">
        <v>12.99</v>
      </c>
    </row>
    <row r="1738" spans="1:25" x14ac:dyDescent="0.25">
      <c r="A1738">
        <v>2007</v>
      </c>
      <c r="B1738">
        <v>7</v>
      </c>
      <c r="C1738">
        <v>100</v>
      </c>
      <c r="D1738">
        <v>-1.2030000000000001</v>
      </c>
      <c r="E1738">
        <v>-7.61</v>
      </c>
      <c r="F1738">
        <v>8.43</v>
      </c>
      <c r="G1738">
        <v>8.81</v>
      </c>
      <c r="K1738">
        <v>3.4790000000000001</v>
      </c>
      <c r="L1738">
        <v>225.9</v>
      </c>
      <c r="M1738">
        <v>0</v>
      </c>
      <c r="O1738">
        <v>-11.5</v>
      </c>
      <c r="P1738">
        <v>-10.84</v>
      </c>
      <c r="Q1738">
        <v>5.5860000000000003</v>
      </c>
      <c r="S1738">
        <v>4.9139999999999997</v>
      </c>
      <c r="T1738">
        <v>0</v>
      </c>
      <c r="U1738">
        <v>95.1</v>
      </c>
      <c r="V1738">
        <v>882</v>
      </c>
      <c r="W1738">
        <v>38.159999999999997</v>
      </c>
      <c r="Y1738">
        <v>12.97</v>
      </c>
    </row>
    <row r="1739" spans="1:25" x14ac:dyDescent="0.25">
      <c r="A1739">
        <v>2007</v>
      </c>
      <c r="B1739">
        <v>7</v>
      </c>
      <c r="C1739">
        <v>200</v>
      </c>
      <c r="D1739">
        <v>-1.962</v>
      </c>
      <c r="E1739">
        <v>-32.53</v>
      </c>
      <c r="F1739">
        <v>7.95</v>
      </c>
      <c r="G1739">
        <v>8.42</v>
      </c>
      <c r="K1739">
        <v>3.694</v>
      </c>
      <c r="L1739">
        <v>226.3</v>
      </c>
      <c r="M1739">
        <v>0</v>
      </c>
      <c r="O1739">
        <v>-11.5</v>
      </c>
      <c r="P1739">
        <v>-10.84</v>
      </c>
      <c r="Q1739">
        <v>5.6749999999999998</v>
      </c>
      <c r="S1739">
        <v>4.9649999999999999</v>
      </c>
      <c r="T1739">
        <v>0</v>
      </c>
      <c r="U1739">
        <v>93.9</v>
      </c>
      <c r="V1739">
        <v>881</v>
      </c>
      <c r="W1739">
        <v>38.049999999999997</v>
      </c>
      <c r="Y1739">
        <v>12.96</v>
      </c>
    </row>
    <row r="1740" spans="1:25" x14ac:dyDescent="0.25">
      <c r="A1740">
        <v>2007</v>
      </c>
      <c r="B1740">
        <v>7</v>
      </c>
      <c r="C1740">
        <v>300</v>
      </c>
      <c r="D1740">
        <v>-1.0229999999999999</v>
      </c>
      <c r="E1740">
        <v>-11.87</v>
      </c>
      <c r="F1740">
        <v>7.84</v>
      </c>
      <c r="G1740">
        <v>8.14</v>
      </c>
      <c r="K1740">
        <v>3.28</v>
      </c>
      <c r="L1740">
        <v>224.9</v>
      </c>
      <c r="M1740">
        <v>0</v>
      </c>
      <c r="O1740">
        <v>-11.5</v>
      </c>
      <c r="P1740">
        <v>-10.85</v>
      </c>
      <c r="Q1740">
        <v>5.6989999999999998</v>
      </c>
      <c r="S1740">
        <v>4.9939999999999998</v>
      </c>
      <c r="T1740">
        <v>0</v>
      </c>
      <c r="U1740">
        <v>96.1</v>
      </c>
      <c r="V1740">
        <v>885</v>
      </c>
      <c r="W1740">
        <v>38.36</v>
      </c>
      <c r="Y1740">
        <v>12.94</v>
      </c>
    </row>
    <row r="1741" spans="1:25" x14ac:dyDescent="0.25">
      <c r="A1741">
        <v>2007</v>
      </c>
      <c r="B1741">
        <v>7</v>
      </c>
      <c r="C1741">
        <v>400</v>
      </c>
      <c r="D1741">
        <v>-1.006</v>
      </c>
      <c r="E1741">
        <v>-10.029999999999999</v>
      </c>
      <c r="F1741">
        <v>8.17</v>
      </c>
      <c r="G1741">
        <v>8.39</v>
      </c>
      <c r="K1741">
        <v>3.2770000000000001</v>
      </c>
      <c r="L1741">
        <v>226.3</v>
      </c>
      <c r="M1741">
        <v>0</v>
      </c>
      <c r="O1741">
        <v>-11.5</v>
      </c>
      <c r="P1741">
        <v>-10.84</v>
      </c>
      <c r="Q1741">
        <v>5.7</v>
      </c>
      <c r="S1741">
        <v>4.9960000000000004</v>
      </c>
      <c r="T1741">
        <v>0</v>
      </c>
      <c r="U1741">
        <v>97.2</v>
      </c>
      <c r="V1741">
        <v>880</v>
      </c>
      <c r="W1741">
        <v>38.03</v>
      </c>
      <c r="Y1741">
        <v>12.93</v>
      </c>
    </row>
    <row r="1742" spans="1:25" x14ac:dyDescent="0.25">
      <c r="A1742">
        <v>2007</v>
      </c>
      <c r="B1742">
        <v>7</v>
      </c>
      <c r="C1742">
        <v>500</v>
      </c>
      <c r="D1742">
        <v>-1.34</v>
      </c>
      <c r="E1742">
        <v>-19.850000000000001</v>
      </c>
      <c r="F1742">
        <v>8.1300000000000008</v>
      </c>
      <c r="G1742">
        <v>8.35</v>
      </c>
      <c r="K1742">
        <v>3.1619999999999999</v>
      </c>
      <c r="L1742">
        <v>227.1</v>
      </c>
      <c r="M1742">
        <v>0.2</v>
      </c>
      <c r="O1742">
        <v>-11.5</v>
      </c>
      <c r="P1742">
        <v>-10.85</v>
      </c>
      <c r="Q1742">
        <v>5.73</v>
      </c>
      <c r="S1742">
        <v>5.0449999999999999</v>
      </c>
      <c r="T1742">
        <v>0</v>
      </c>
      <c r="U1742">
        <v>97.2</v>
      </c>
      <c r="V1742">
        <v>883</v>
      </c>
      <c r="W1742">
        <v>38.22</v>
      </c>
      <c r="Y1742">
        <v>12.91</v>
      </c>
    </row>
    <row r="1743" spans="1:25" x14ac:dyDescent="0.25">
      <c r="A1743">
        <v>2007</v>
      </c>
      <c r="B1743">
        <v>7</v>
      </c>
      <c r="C1743">
        <v>600</v>
      </c>
      <c r="D1743">
        <v>-1.8180000000000001</v>
      </c>
      <c r="E1743">
        <v>-32.54</v>
      </c>
      <c r="F1743">
        <v>7.61</v>
      </c>
      <c r="G1743">
        <v>7.94</v>
      </c>
      <c r="K1743">
        <v>3.0870000000000002</v>
      </c>
      <c r="L1743">
        <v>226.4</v>
      </c>
      <c r="M1743">
        <v>0</v>
      </c>
      <c r="O1743">
        <v>-11.5</v>
      </c>
      <c r="P1743">
        <v>-10.84</v>
      </c>
      <c r="Q1743">
        <v>5.7549999999999999</v>
      </c>
      <c r="S1743">
        <v>5.0490000000000004</v>
      </c>
      <c r="T1743">
        <v>0</v>
      </c>
      <c r="U1743">
        <v>95.6</v>
      </c>
      <c r="V1743">
        <v>884</v>
      </c>
      <c r="W1743">
        <v>38.270000000000003</v>
      </c>
      <c r="Y1743">
        <v>12.9</v>
      </c>
    </row>
    <row r="1744" spans="1:25" x14ac:dyDescent="0.25">
      <c r="A1744">
        <v>2007</v>
      </c>
      <c r="B1744">
        <v>7</v>
      </c>
      <c r="C1744">
        <v>700</v>
      </c>
      <c r="D1744">
        <v>-1.4590000000000001</v>
      </c>
      <c r="E1744">
        <v>-20.57</v>
      </c>
      <c r="F1744">
        <v>7.43</v>
      </c>
      <c r="G1744">
        <v>7.78</v>
      </c>
      <c r="K1744">
        <v>2.46</v>
      </c>
      <c r="L1744">
        <v>222.3</v>
      </c>
      <c r="M1744">
        <v>0</v>
      </c>
      <c r="O1744">
        <v>-11.5</v>
      </c>
      <c r="P1744">
        <v>-10.85</v>
      </c>
      <c r="Q1744">
        <v>5.7220000000000004</v>
      </c>
      <c r="S1744">
        <v>5.07</v>
      </c>
      <c r="T1744">
        <v>0</v>
      </c>
      <c r="U1744">
        <v>95.5</v>
      </c>
      <c r="V1744">
        <v>882</v>
      </c>
      <c r="W1744">
        <v>38.17</v>
      </c>
      <c r="Y1744">
        <v>12.89</v>
      </c>
    </row>
    <row r="1745" spans="1:25" x14ac:dyDescent="0.25">
      <c r="A1745">
        <v>2007</v>
      </c>
      <c r="B1745">
        <v>7</v>
      </c>
      <c r="C1745">
        <v>800</v>
      </c>
      <c r="D1745">
        <v>-1.256</v>
      </c>
      <c r="E1745">
        <v>-11.7</v>
      </c>
      <c r="F1745">
        <v>7.51</v>
      </c>
      <c r="G1745">
        <v>7.89</v>
      </c>
      <c r="K1745">
        <v>2.242</v>
      </c>
      <c r="L1745">
        <v>219.7</v>
      </c>
      <c r="M1745">
        <v>0</v>
      </c>
      <c r="O1745">
        <v>-11.5</v>
      </c>
      <c r="P1745">
        <v>-10.84</v>
      </c>
      <c r="Q1745">
        <v>5.6970000000000001</v>
      </c>
      <c r="S1745">
        <v>5.1020000000000003</v>
      </c>
      <c r="T1745">
        <v>0</v>
      </c>
      <c r="U1745">
        <v>95.1</v>
      </c>
      <c r="V1745">
        <v>882</v>
      </c>
      <c r="W1745">
        <v>38.130000000000003</v>
      </c>
      <c r="Y1745">
        <v>12.89</v>
      </c>
    </row>
    <row r="1746" spans="1:25" x14ac:dyDescent="0.25">
      <c r="A1746">
        <v>2007</v>
      </c>
      <c r="B1746">
        <v>7</v>
      </c>
      <c r="C1746">
        <v>900</v>
      </c>
      <c r="D1746">
        <v>0.06</v>
      </c>
      <c r="E1746">
        <v>-8.11</v>
      </c>
      <c r="F1746">
        <v>7.75</v>
      </c>
      <c r="G1746">
        <v>7.94</v>
      </c>
      <c r="H1746">
        <v>5.9682916666666657</v>
      </c>
      <c r="K1746">
        <v>1.954</v>
      </c>
      <c r="L1746">
        <v>219.1</v>
      </c>
      <c r="M1746">
        <v>0.2</v>
      </c>
      <c r="N1746">
        <v>6</v>
      </c>
      <c r="O1746">
        <v>-9.9700000000000006</v>
      </c>
      <c r="P1746">
        <v>-10.47</v>
      </c>
      <c r="Q1746">
        <v>5.702</v>
      </c>
      <c r="S1746">
        <v>5.1020000000000003</v>
      </c>
      <c r="T1746">
        <v>0</v>
      </c>
      <c r="U1746">
        <v>97.6</v>
      </c>
      <c r="V1746">
        <v>882</v>
      </c>
      <c r="W1746">
        <v>38.119999999999997</v>
      </c>
      <c r="Y1746">
        <v>12.88</v>
      </c>
    </row>
    <row r="1747" spans="1:25" x14ac:dyDescent="0.25">
      <c r="A1747">
        <v>2007</v>
      </c>
      <c r="B1747">
        <v>7</v>
      </c>
      <c r="C1747">
        <v>1000</v>
      </c>
      <c r="D1747">
        <v>18.16</v>
      </c>
      <c r="E1747">
        <v>-0.84499999999999997</v>
      </c>
      <c r="F1747">
        <v>7.59</v>
      </c>
      <c r="G1747">
        <v>7.85</v>
      </c>
      <c r="K1747">
        <v>1.8620000000000001</v>
      </c>
      <c r="L1747">
        <v>213.6</v>
      </c>
      <c r="M1747">
        <v>0</v>
      </c>
      <c r="O1747">
        <v>12.82</v>
      </c>
      <c r="P1747">
        <v>-5.8719999999999999</v>
      </c>
      <c r="Q1747">
        <v>5.7080000000000002</v>
      </c>
      <c r="S1747">
        <v>5.1020000000000003</v>
      </c>
      <c r="T1747">
        <v>0</v>
      </c>
      <c r="U1747">
        <v>96.5</v>
      </c>
      <c r="V1747">
        <v>882</v>
      </c>
      <c r="W1747">
        <v>38.15</v>
      </c>
      <c r="Y1747">
        <v>12.88</v>
      </c>
    </row>
    <row r="1748" spans="1:25" x14ac:dyDescent="0.25">
      <c r="A1748">
        <v>2007</v>
      </c>
      <c r="B1748">
        <v>7</v>
      </c>
      <c r="C1748">
        <v>1100</v>
      </c>
      <c r="D1748">
        <v>27.76</v>
      </c>
      <c r="E1748">
        <v>15.14</v>
      </c>
      <c r="F1748">
        <v>7.83</v>
      </c>
      <c r="G1748">
        <v>8.15</v>
      </c>
      <c r="K1748">
        <v>1.8340000000000001</v>
      </c>
      <c r="L1748">
        <v>211.1</v>
      </c>
      <c r="M1748">
        <v>0</v>
      </c>
      <c r="O1748">
        <v>23.27</v>
      </c>
      <c r="P1748">
        <v>-3.964</v>
      </c>
      <c r="Q1748">
        <v>5.76</v>
      </c>
      <c r="S1748">
        <v>5.1020000000000003</v>
      </c>
      <c r="T1748">
        <v>0</v>
      </c>
      <c r="U1748">
        <v>95.9</v>
      </c>
      <c r="V1748">
        <v>880</v>
      </c>
      <c r="W1748">
        <v>37.979999999999997</v>
      </c>
      <c r="Y1748">
        <v>12.89</v>
      </c>
    </row>
    <row r="1749" spans="1:25" x14ac:dyDescent="0.25">
      <c r="A1749">
        <v>2007</v>
      </c>
      <c r="B1749">
        <v>7</v>
      </c>
      <c r="C1749">
        <v>1200</v>
      </c>
      <c r="D1749">
        <v>55.07</v>
      </c>
      <c r="E1749">
        <v>31.93</v>
      </c>
      <c r="F1749">
        <v>8.07</v>
      </c>
      <c r="G1749">
        <v>8.4</v>
      </c>
      <c r="K1749">
        <v>1.954</v>
      </c>
      <c r="L1749">
        <v>203.7</v>
      </c>
      <c r="M1749">
        <v>0</v>
      </c>
      <c r="O1749">
        <v>60.53</v>
      </c>
      <c r="P1749">
        <v>2.968</v>
      </c>
      <c r="Q1749">
        <v>5.851</v>
      </c>
      <c r="S1749">
        <v>5.125</v>
      </c>
      <c r="T1749">
        <v>0</v>
      </c>
      <c r="U1749">
        <v>95.7</v>
      </c>
      <c r="V1749">
        <v>879</v>
      </c>
      <c r="W1749">
        <v>37.950000000000003</v>
      </c>
      <c r="Y1749">
        <v>13.02</v>
      </c>
    </row>
    <row r="1750" spans="1:25" x14ac:dyDescent="0.25">
      <c r="A1750">
        <v>2007</v>
      </c>
      <c r="B1750">
        <v>7</v>
      </c>
      <c r="C1750">
        <v>1300</v>
      </c>
      <c r="D1750">
        <v>42.71</v>
      </c>
      <c r="E1750">
        <v>25.29</v>
      </c>
      <c r="F1750">
        <v>8.1</v>
      </c>
      <c r="G1750">
        <v>8.4</v>
      </c>
      <c r="K1750">
        <v>1.8220000000000001</v>
      </c>
      <c r="L1750">
        <v>189.2</v>
      </c>
      <c r="M1750">
        <v>0</v>
      </c>
      <c r="O1750">
        <v>45.67</v>
      </c>
      <c r="P1750">
        <v>0.156</v>
      </c>
      <c r="Q1750">
        <v>5.9930000000000003</v>
      </c>
      <c r="S1750">
        <v>5.19</v>
      </c>
      <c r="T1750">
        <v>0</v>
      </c>
      <c r="U1750">
        <v>96.1</v>
      </c>
      <c r="V1750">
        <v>878</v>
      </c>
      <c r="W1750">
        <v>37.869999999999997</v>
      </c>
      <c r="Y1750">
        <v>13.26</v>
      </c>
    </row>
    <row r="1751" spans="1:25" x14ac:dyDescent="0.25">
      <c r="A1751">
        <v>2007</v>
      </c>
      <c r="B1751">
        <v>7</v>
      </c>
      <c r="C1751">
        <v>1400</v>
      </c>
      <c r="D1751">
        <v>23.92</v>
      </c>
      <c r="E1751">
        <v>11.78</v>
      </c>
      <c r="F1751">
        <v>8.25</v>
      </c>
      <c r="G1751">
        <v>8.4600000000000009</v>
      </c>
      <c r="K1751">
        <v>1.5669999999999999</v>
      </c>
      <c r="L1751">
        <v>159.30000000000001</v>
      </c>
      <c r="M1751">
        <v>0.8</v>
      </c>
      <c r="O1751">
        <v>22.54</v>
      </c>
      <c r="P1751">
        <v>-4.1689999999999996</v>
      </c>
      <c r="Q1751">
        <v>6.141</v>
      </c>
      <c r="S1751">
        <v>5.2039999999999997</v>
      </c>
      <c r="T1751">
        <v>0</v>
      </c>
      <c r="U1751">
        <v>97.3</v>
      </c>
      <c r="V1751">
        <v>883</v>
      </c>
      <c r="W1751">
        <v>38.19</v>
      </c>
      <c r="Y1751">
        <v>13.14</v>
      </c>
    </row>
    <row r="1752" spans="1:25" x14ac:dyDescent="0.25">
      <c r="A1752">
        <v>2007</v>
      </c>
      <c r="B1752">
        <v>7</v>
      </c>
      <c r="C1752">
        <v>1500</v>
      </c>
      <c r="D1752">
        <v>14.34</v>
      </c>
      <c r="E1752">
        <v>4.7770000000000001</v>
      </c>
      <c r="F1752">
        <v>8.36</v>
      </c>
      <c r="G1752">
        <v>8.59</v>
      </c>
      <c r="K1752">
        <v>1.468</v>
      </c>
      <c r="L1752">
        <v>168.4</v>
      </c>
      <c r="M1752">
        <v>1.6</v>
      </c>
      <c r="O1752">
        <v>10.119999999999999</v>
      </c>
      <c r="P1752">
        <v>-6.609</v>
      </c>
      <c r="Q1752">
        <v>6.2720000000000002</v>
      </c>
      <c r="S1752">
        <v>5.2430000000000003</v>
      </c>
      <c r="T1752">
        <v>0</v>
      </c>
      <c r="U1752">
        <v>97.1</v>
      </c>
      <c r="V1752">
        <v>905</v>
      </c>
      <c r="W1752">
        <v>39.85</v>
      </c>
      <c r="Y1752">
        <v>13.05</v>
      </c>
    </row>
    <row r="1753" spans="1:25" x14ac:dyDescent="0.25">
      <c r="A1753">
        <v>2007</v>
      </c>
      <c r="B1753">
        <v>7</v>
      </c>
      <c r="C1753">
        <v>1600</v>
      </c>
      <c r="D1753">
        <v>4.6109999999999998</v>
      </c>
      <c r="E1753">
        <v>1.1619999999999999</v>
      </c>
      <c r="F1753">
        <v>8.3000000000000007</v>
      </c>
      <c r="G1753">
        <v>8.49</v>
      </c>
      <c r="K1753">
        <v>1.5</v>
      </c>
      <c r="L1753">
        <v>138.4</v>
      </c>
      <c r="M1753">
        <v>2</v>
      </c>
      <c r="O1753">
        <v>-3.165</v>
      </c>
      <c r="P1753">
        <v>-9.08</v>
      </c>
      <c r="Q1753">
        <v>6.3620000000000001</v>
      </c>
      <c r="S1753">
        <v>5.3109999999999999</v>
      </c>
      <c r="T1753">
        <v>0</v>
      </c>
      <c r="U1753">
        <v>97.5</v>
      </c>
      <c r="V1753">
        <v>922</v>
      </c>
      <c r="W1753">
        <v>41.13</v>
      </c>
      <c r="Y1753">
        <v>12.99</v>
      </c>
    </row>
    <row r="1754" spans="1:25" x14ac:dyDescent="0.25">
      <c r="A1754">
        <v>2007</v>
      </c>
      <c r="B1754">
        <v>7</v>
      </c>
      <c r="C1754">
        <v>1700</v>
      </c>
      <c r="D1754">
        <v>0.32</v>
      </c>
      <c r="E1754">
        <v>-4.0579999999999998</v>
      </c>
      <c r="F1754">
        <v>9.06</v>
      </c>
      <c r="G1754">
        <v>9.3000000000000007</v>
      </c>
      <c r="K1754">
        <v>2.3660000000000001</v>
      </c>
      <c r="L1754">
        <v>192.2</v>
      </c>
      <c r="M1754">
        <v>0</v>
      </c>
      <c r="O1754">
        <v>-10.220000000000001</v>
      </c>
      <c r="P1754">
        <v>-10.48</v>
      </c>
      <c r="Q1754">
        <v>6.4240000000000004</v>
      </c>
      <c r="S1754">
        <v>5.37</v>
      </c>
      <c r="T1754">
        <v>0</v>
      </c>
      <c r="U1754">
        <v>97</v>
      </c>
      <c r="V1754">
        <v>927</v>
      </c>
      <c r="W1754">
        <v>41.56</v>
      </c>
      <c r="Y1754">
        <v>12.95</v>
      </c>
    </row>
    <row r="1755" spans="1:25" x14ac:dyDescent="0.25">
      <c r="A1755">
        <v>2007</v>
      </c>
      <c r="B1755">
        <v>7</v>
      </c>
      <c r="C1755">
        <v>1800</v>
      </c>
      <c r="D1755">
        <v>-0.376</v>
      </c>
      <c r="E1755">
        <v>-6.5970000000000004</v>
      </c>
      <c r="F1755">
        <v>9.2100000000000009</v>
      </c>
      <c r="G1755">
        <v>9.57</v>
      </c>
      <c r="K1755">
        <v>2.782</v>
      </c>
      <c r="L1755">
        <v>211.8</v>
      </c>
      <c r="M1755">
        <v>0</v>
      </c>
      <c r="O1755">
        <v>-11.5</v>
      </c>
      <c r="P1755">
        <v>-10.84</v>
      </c>
      <c r="Q1755">
        <v>6.4530000000000003</v>
      </c>
      <c r="S1755">
        <v>5.3719999999999999</v>
      </c>
      <c r="T1755">
        <v>0</v>
      </c>
      <c r="U1755">
        <v>95.5</v>
      </c>
      <c r="V1755">
        <v>930</v>
      </c>
      <c r="W1755">
        <v>41.81</v>
      </c>
      <c r="Y1755">
        <v>12.92</v>
      </c>
    </row>
    <row r="1756" spans="1:25" x14ac:dyDescent="0.25">
      <c r="A1756">
        <v>2007</v>
      </c>
      <c r="B1756">
        <v>7</v>
      </c>
      <c r="C1756">
        <v>1900</v>
      </c>
      <c r="D1756">
        <v>0.7</v>
      </c>
      <c r="E1756">
        <v>-4.3570000000000002</v>
      </c>
      <c r="F1756">
        <v>7.52</v>
      </c>
      <c r="G1756">
        <v>7.77</v>
      </c>
      <c r="K1756">
        <v>4.0570000000000004</v>
      </c>
      <c r="L1756">
        <v>230.4</v>
      </c>
      <c r="M1756">
        <v>1.2</v>
      </c>
      <c r="O1756">
        <v>-11.5</v>
      </c>
      <c r="P1756">
        <v>-10.84</v>
      </c>
      <c r="Q1756">
        <v>6.4969999999999999</v>
      </c>
      <c r="S1756">
        <v>5.4</v>
      </c>
      <c r="T1756">
        <v>0</v>
      </c>
      <c r="U1756">
        <v>96.7</v>
      </c>
      <c r="V1756">
        <v>933</v>
      </c>
      <c r="W1756">
        <v>42.06</v>
      </c>
      <c r="Y1756">
        <v>12.9</v>
      </c>
    </row>
    <row r="1757" spans="1:25" x14ac:dyDescent="0.25">
      <c r="A1757">
        <v>2007</v>
      </c>
      <c r="B1757">
        <v>7</v>
      </c>
      <c r="C1757">
        <v>2000</v>
      </c>
      <c r="D1757">
        <v>-0.54900000000000004</v>
      </c>
      <c r="E1757">
        <v>-19.16</v>
      </c>
      <c r="F1757">
        <v>4.3979999999999997</v>
      </c>
      <c r="G1757">
        <v>4.6189999999999998</v>
      </c>
      <c r="K1757">
        <v>2.524</v>
      </c>
      <c r="L1757">
        <v>241.9</v>
      </c>
      <c r="M1757">
        <v>0.2</v>
      </c>
      <c r="O1757">
        <v>-11.5</v>
      </c>
      <c r="P1757">
        <v>-10.85</v>
      </c>
      <c r="Q1757">
        <v>6.56</v>
      </c>
      <c r="S1757">
        <v>5.4290000000000003</v>
      </c>
      <c r="T1757">
        <v>0</v>
      </c>
      <c r="U1757">
        <v>96.7</v>
      </c>
      <c r="V1757">
        <v>944</v>
      </c>
      <c r="W1757">
        <v>43.14</v>
      </c>
      <c r="Y1757">
        <v>12.89</v>
      </c>
    </row>
    <row r="1758" spans="1:25" x14ac:dyDescent="0.25">
      <c r="A1758">
        <v>2007</v>
      </c>
      <c r="B1758">
        <v>7</v>
      </c>
      <c r="C1758">
        <v>2100</v>
      </c>
      <c r="D1758">
        <v>-1.2350000000000001</v>
      </c>
      <c r="E1758">
        <v>-27.47</v>
      </c>
      <c r="F1758">
        <v>4.0030000000000001</v>
      </c>
      <c r="G1758">
        <v>4.2380000000000004</v>
      </c>
      <c r="K1758">
        <v>2.355</v>
      </c>
      <c r="L1758">
        <v>228.2</v>
      </c>
      <c r="M1758">
        <v>0</v>
      </c>
      <c r="O1758">
        <v>-11.5</v>
      </c>
      <c r="P1758">
        <v>-10.84</v>
      </c>
      <c r="Q1758">
        <v>6.4640000000000004</v>
      </c>
      <c r="S1758">
        <v>5.4550000000000001</v>
      </c>
      <c r="T1758">
        <v>0</v>
      </c>
      <c r="U1758">
        <v>96.5</v>
      </c>
      <c r="V1758">
        <v>935</v>
      </c>
      <c r="W1758">
        <v>42.26</v>
      </c>
      <c r="Y1758">
        <v>12.87</v>
      </c>
    </row>
    <row r="1759" spans="1:25" x14ac:dyDescent="0.25">
      <c r="A1759">
        <v>2007</v>
      </c>
      <c r="B1759">
        <v>7</v>
      </c>
      <c r="C1759">
        <v>2200</v>
      </c>
      <c r="D1759">
        <v>-1.0940000000000001</v>
      </c>
      <c r="E1759">
        <v>-27.81</v>
      </c>
      <c r="F1759">
        <v>3.867</v>
      </c>
      <c r="G1759">
        <v>4.2450000000000001</v>
      </c>
      <c r="K1759">
        <v>3.1859999999999999</v>
      </c>
      <c r="L1759">
        <v>228.1</v>
      </c>
      <c r="M1759">
        <v>0</v>
      </c>
      <c r="O1759">
        <v>-11.48</v>
      </c>
      <c r="P1759">
        <v>-10.81</v>
      </c>
      <c r="Q1759">
        <v>6.3289999999999997</v>
      </c>
      <c r="S1759">
        <v>5.52</v>
      </c>
      <c r="T1759">
        <v>0</v>
      </c>
      <c r="U1759">
        <v>94.3</v>
      </c>
      <c r="V1759">
        <v>937</v>
      </c>
      <c r="W1759">
        <v>42.45</v>
      </c>
      <c r="Y1759">
        <v>12.87</v>
      </c>
    </row>
    <row r="1760" spans="1:25" x14ac:dyDescent="0.25">
      <c r="A1760">
        <v>2007</v>
      </c>
      <c r="B1760">
        <v>7</v>
      </c>
      <c r="C1760">
        <v>2300</v>
      </c>
      <c r="D1760">
        <v>-1.341</v>
      </c>
      <c r="E1760">
        <v>-31.42</v>
      </c>
      <c r="F1760">
        <v>3.8519999999999999</v>
      </c>
      <c r="G1760">
        <v>4.1459999999999999</v>
      </c>
      <c r="K1760">
        <v>2.831</v>
      </c>
      <c r="L1760">
        <v>227.4</v>
      </c>
      <c r="M1760">
        <v>0</v>
      </c>
      <c r="O1760">
        <v>-11.43</v>
      </c>
      <c r="P1760">
        <v>-10.72</v>
      </c>
      <c r="Q1760">
        <v>6.125</v>
      </c>
      <c r="S1760">
        <v>5.524</v>
      </c>
      <c r="T1760">
        <v>0</v>
      </c>
      <c r="U1760">
        <v>95.6</v>
      </c>
      <c r="V1760">
        <v>940</v>
      </c>
      <c r="W1760">
        <v>42.69</v>
      </c>
      <c r="Y1760">
        <v>12.86</v>
      </c>
    </row>
    <row r="1761" spans="1:25" x14ac:dyDescent="0.25">
      <c r="A1761">
        <v>2007</v>
      </c>
      <c r="B1761">
        <v>7</v>
      </c>
      <c r="C1761">
        <v>2400</v>
      </c>
      <c r="D1761">
        <v>-2.1669999999999998</v>
      </c>
      <c r="E1761">
        <v>-43.85</v>
      </c>
      <c r="F1761">
        <v>3.786</v>
      </c>
      <c r="G1761">
        <v>4.0979999999999999</v>
      </c>
      <c r="K1761">
        <v>2.996</v>
      </c>
      <c r="L1761">
        <v>227.3</v>
      </c>
      <c r="M1761">
        <v>0</v>
      </c>
      <c r="O1761">
        <v>-11.41</v>
      </c>
      <c r="P1761">
        <v>-10.68</v>
      </c>
      <c r="Q1761">
        <v>5.9139999999999997</v>
      </c>
      <c r="S1761">
        <v>5.4390000000000001</v>
      </c>
      <c r="T1761">
        <v>0</v>
      </c>
      <c r="U1761">
        <v>95.3</v>
      </c>
      <c r="V1761">
        <v>958</v>
      </c>
      <c r="W1761">
        <v>44.37</v>
      </c>
      <c r="Y1761">
        <v>12.86</v>
      </c>
    </row>
    <row r="1762" spans="1:25" x14ac:dyDescent="0.25">
      <c r="A1762">
        <v>2007</v>
      </c>
      <c r="B1762">
        <v>8</v>
      </c>
      <c r="C1762">
        <v>100</v>
      </c>
      <c r="D1762">
        <v>-2.125</v>
      </c>
      <c r="E1762">
        <v>-34.340000000000003</v>
      </c>
      <c r="F1762">
        <v>3.7679999999999998</v>
      </c>
      <c r="G1762">
        <v>4.1280000000000001</v>
      </c>
      <c r="K1762">
        <v>3.1880000000000002</v>
      </c>
      <c r="L1762">
        <v>227.3</v>
      </c>
      <c r="M1762">
        <v>0</v>
      </c>
      <c r="O1762">
        <v>-11.31</v>
      </c>
      <c r="P1762">
        <v>-10.64</v>
      </c>
      <c r="Q1762">
        <v>5.6929999999999996</v>
      </c>
      <c r="S1762">
        <v>5.4050000000000002</v>
      </c>
      <c r="T1762">
        <v>0</v>
      </c>
      <c r="U1762">
        <v>94.6</v>
      </c>
      <c r="V1762">
        <v>946</v>
      </c>
      <c r="W1762">
        <v>43.2</v>
      </c>
      <c r="Y1762">
        <v>12.85</v>
      </c>
    </row>
    <row r="1763" spans="1:25" x14ac:dyDescent="0.25">
      <c r="A1763">
        <v>2007</v>
      </c>
      <c r="B1763">
        <v>8</v>
      </c>
      <c r="C1763">
        <v>200</v>
      </c>
      <c r="D1763">
        <v>-2.6379999999999999</v>
      </c>
      <c r="E1763">
        <v>-36.49</v>
      </c>
      <c r="F1763">
        <v>3.504</v>
      </c>
      <c r="G1763">
        <v>3.93</v>
      </c>
      <c r="K1763">
        <v>3.1619999999999999</v>
      </c>
      <c r="L1763">
        <v>227.3</v>
      </c>
      <c r="M1763">
        <v>0</v>
      </c>
      <c r="O1763">
        <v>-11.24</v>
      </c>
      <c r="P1763">
        <v>-10.54</v>
      </c>
      <c r="Q1763">
        <v>5.4669999999999996</v>
      </c>
      <c r="S1763">
        <v>5.3109999999999999</v>
      </c>
      <c r="T1763">
        <v>0</v>
      </c>
      <c r="U1763">
        <v>93.5</v>
      </c>
      <c r="V1763">
        <v>947</v>
      </c>
      <c r="W1763">
        <v>43.31</v>
      </c>
      <c r="Y1763">
        <v>12.85</v>
      </c>
    </row>
    <row r="1764" spans="1:25" x14ac:dyDescent="0.25">
      <c r="A1764">
        <v>2007</v>
      </c>
      <c r="B1764">
        <v>8</v>
      </c>
      <c r="C1764">
        <v>300</v>
      </c>
      <c r="D1764">
        <v>-2.444</v>
      </c>
      <c r="E1764">
        <v>-35.54</v>
      </c>
      <c r="F1764">
        <v>3.1040000000000001</v>
      </c>
      <c r="G1764">
        <v>3.4710000000000001</v>
      </c>
      <c r="K1764">
        <v>2.738</v>
      </c>
      <c r="L1764">
        <v>226.5</v>
      </c>
      <c r="M1764">
        <v>0</v>
      </c>
      <c r="O1764">
        <v>-11.2</v>
      </c>
      <c r="P1764">
        <v>-10.51</v>
      </c>
      <c r="Q1764">
        <v>5.2359999999999998</v>
      </c>
      <c r="S1764">
        <v>5.2160000000000002</v>
      </c>
      <c r="T1764">
        <v>0</v>
      </c>
      <c r="U1764">
        <v>94.3</v>
      </c>
      <c r="V1764">
        <v>945</v>
      </c>
      <c r="W1764">
        <v>43.14</v>
      </c>
      <c r="Y1764">
        <v>12.85</v>
      </c>
    </row>
    <row r="1765" spans="1:25" x14ac:dyDescent="0.25">
      <c r="A1765">
        <v>2007</v>
      </c>
      <c r="B1765">
        <v>8</v>
      </c>
      <c r="C1765">
        <v>400</v>
      </c>
      <c r="D1765">
        <v>-2.6349999999999998</v>
      </c>
      <c r="E1765">
        <v>-36.950000000000003</v>
      </c>
      <c r="F1765">
        <v>2.823</v>
      </c>
      <c r="G1765">
        <v>3.1970000000000001</v>
      </c>
      <c r="K1765">
        <v>2.4129999999999998</v>
      </c>
      <c r="L1765">
        <v>222.3</v>
      </c>
      <c r="M1765">
        <v>0</v>
      </c>
      <c r="O1765">
        <v>-11.1</v>
      </c>
      <c r="P1765">
        <v>-10.42</v>
      </c>
      <c r="Q1765">
        <v>5.0330000000000004</v>
      </c>
      <c r="S1765">
        <v>5.13</v>
      </c>
      <c r="T1765">
        <v>0</v>
      </c>
      <c r="U1765">
        <v>94.1</v>
      </c>
      <c r="V1765">
        <v>945</v>
      </c>
      <c r="W1765">
        <v>43.16</v>
      </c>
      <c r="Y1765">
        <v>12.85</v>
      </c>
    </row>
    <row r="1766" spans="1:25" x14ac:dyDescent="0.25">
      <c r="A1766">
        <v>2007</v>
      </c>
      <c r="B1766">
        <v>8</v>
      </c>
      <c r="C1766">
        <v>500</v>
      </c>
      <c r="D1766">
        <v>-2.7210000000000001</v>
      </c>
      <c r="E1766">
        <v>-36.9</v>
      </c>
      <c r="F1766">
        <v>2.6869999999999998</v>
      </c>
      <c r="G1766">
        <v>3.0579999999999998</v>
      </c>
      <c r="K1766">
        <v>2.427</v>
      </c>
      <c r="L1766">
        <v>219.5</v>
      </c>
      <c r="M1766">
        <v>0</v>
      </c>
      <c r="O1766">
        <v>-11.03</v>
      </c>
      <c r="P1766">
        <v>-10.39</v>
      </c>
      <c r="Q1766">
        <v>4.8479999999999999</v>
      </c>
      <c r="S1766">
        <v>5.0529999999999999</v>
      </c>
      <c r="T1766">
        <v>0</v>
      </c>
      <c r="U1766">
        <v>94.1</v>
      </c>
      <c r="V1766">
        <v>946</v>
      </c>
      <c r="W1766">
        <v>43.2</v>
      </c>
      <c r="Y1766">
        <v>12.85</v>
      </c>
    </row>
    <row r="1767" spans="1:25" x14ac:dyDescent="0.25">
      <c r="A1767">
        <v>2007</v>
      </c>
      <c r="B1767">
        <v>8</v>
      </c>
      <c r="C1767">
        <v>600</v>
      </c>
      <c r="D1767">
        <v>-2.4649999999999999</v>
      </c>
      <c r="E1767">
        <v>-31.94</v>
      </c>
      <c r="F1767">
        <v>2.8180000000000001</v>
      </c>
      <c r="G1767">
        <v>3.1949999999999998</v>
      </c>
      <c r="K1767">
        <v>2.1040000000000001</v>
      </c>
      <c r="L1767">
        <v>213.2</v>
      </c>
      <c r="M1767">
        <v>0</v>
      </c>
      <c r="O1767">
        <v>-10.96</v>
      </c>
      <c r="P1767">
        <v>-10.35</v>
      </c>
      <c r="Q1767">
        <v>4.657</v>
      </c>
      <c r="S1767">
        <v>4.9649999999999999</v>
      </c>
      <c r="T1767">
        <v>0</v>
      </c>
      <c r="U1767">
        <v>94.1</v>
      </c>
      <c r="V1767">
        <v>947</v>
      </c>
      <c r="W1767">
        <v>43.3</v>
      </c>
      <c r="Y1767">
        <v>12.84</v>
      </c>
    </row>
    <row r="1768" spans="1:25" x14ac:dyDescent="0.25">
      <c r="A1768">
        <v>2007</v>
      </c>
      <c r="B1768">
        <v>8</v>
      </c>
      <c r="C1768">
        <v>700</v>
      </c>
      <c r="D1768">
        <v>-1.546</v>
      </c>
      <c r="E1768">
        <v>-14.9</v>
      </c>
      <c r="F1768">
        <v>3.2690000000000001</v>
      </c>
      <c r="G1768">
        <v>3.6339999999999999</v>
      </c>
      <c r="K1768">
        <v>1.9570000000000001</v>
      </c>
      <c r="L1768">
        <v>203.7</v>
      </c>
      <c r="M1768">
        <v>0</v>
      </c>
      <c r="O1768">
        <v>-10.98</v>
      </c>
      <c r="P1768">
        <v>-10.33</v>
      </c>
      <c r="Q1768">
        <v>4.4960000000000004</v>
      </c>
      <c r="S1768">
        <v>4.8899999999999997</v>
      </c>
      <c r="T1768">
        <v>0</v>
      </c>
      <c r="U1768">
        <v>94.4</v>
      </c>
      <c r="V1768">
        <v>948</v>
      </c>
      <c r="W1768">
        <v>43.4</v>
      </c>
      <c r="Y1768">
        <v>12.84</v>
      </c>
    </row>
    <row r="1769" spans="1:25" x14ac:dyDescent="0.25">
      <c r="A1769">
        <v>2007</v>
      </c>
      <c r="B1769">
        <v>8</v>
      </c>
      <c r="C1769">
        <v>800</v>
      </c>
      <c r="D1769">
        <v>-1.2529999999999999</v>
      </c>
      <c r="E1769">
        <v>-10.74</v>
      </c>
      <c r="F1769">
        <v>3.8780000000000001</v>
      </c>
      <c r="G1769">
        <v>4.3600000000000003</v>
      </c>
      <c r="K1769">
        <v>2.23</v>
      </c>
      <c r="L1769">
        <v>191.6</v>
      </c>
      <c r="M1769">
        <v>0</v>
      </c>
      <c r="O1769">
        <v>-11.04</v>
      </c>
      <c r="P1769">
        <v>-10.36</v>
      </c>
      <c r="Q1769">
        <v>4.3760000000000003</v>
      </c>
      <c r="S1769">
        <v>4.806</v>
      </c>
      <c r="T1769">
        <v>0</v>
      </c>
      <c r="U1769">
        <v>92.8</v>
      </c>
      <c r="V1769">
        <v>948</v>
      </c>
      <c r="W1769">
        <v>43.45</v>
      </c>
      <c r="Y1769">
        <v>12.84</v>
      </c>
    </row>
    <row r="1770" spans="1:25" x14ac:dyDescent="0.25">
      <c r="A1770">
        <v>2007</v>
      </c>
      <c r="B1770">
        <v>8</v>
      </c>
      <c r="C1770">
        <v>900</v>
      </c>
      <c r="D1770">
        <v>-0.49199999999999999</v>
      </c>
      <c r="E1770">
        <v>-7.79</v>
      </c>
      <c r="F1770">
        <v>4.2839999999999998</v>
      </c>
      <c r="G1770">
        <v>4.8979999999999997</v>
      </c>
      <c r="H1770">
        <v>9.8296666666666681</v>
      </c>
      <c r="K1770">
        <v>1.6879999999999999</v>
      </c>
      <c r="L1770">
        <v>176.7</v>
      </c>
      <c r="M1770">
        <v>0.2</v>
      </c>
      <c r="N1770">
        <v>11.799999999999999</v>
      </c>
      <c r="O1770">
        <v>-10.29</v>
      </c>
      <c r="P1770">
        <v>-10.28</v>
      </c>
      <c r="Q1770">
        <v>4.3230000000000004</v>
      </c>
      <c r="S1770">
        <v>4.6779999999999999</v>
      </c>
      <c r="T1770">
        <v>0</v>
      </c>
      <c r="U1770">
        <v>91</v>
      </c>
      <c r="V1770">
        <v>949</v>
      </c>
      <c r="W1770">
        <v>43.49</v>
      </c>
      <c r="Y1770">
        <v>12.84</v>
      </c>
    </row>
    <row r="1771" spans="1:25" x14ac:dyDescent="0.25">
      <c r="A1771">
        <v>2007</v>
      </c>
      <c r="B1771">
        <v>8</v>
      </c>
      <c r="C1771">
        <v>1000</v>
      </c>
      <c r="D1771">
        <v>3.8740000000000001</v>
      </c>
      <c r="E1771">
        <v>-2.0630000000000002</v>
      </c>
      <c r="F1771">
        <v>4.7949999999999999</v>
      </c>
      <c r="G1771">
        <v>5.3570000000000002</v>
      </c>
      <c r="K1771">
        <v>1.6120000000000001</v>
      </c>
      <c r="L1771">
        <v>165.3</v>
      </c>
      <c r="M1771">
        <v>0.6</v>
      </c>
      <c r="O1771">
        <v>-3.4359999999999999</v>
      </c>
      <c r="P1771">
        <v>-9.11</v>
      </c>
      <c r="Q1771">
        <v>4.367</v>
      </c>
      <c r="S1771">
        <v>4.6539999999999999</v>
      </c>
      <c r="T1771">
        <v>0</v>
      </c>
      <c r="U1771">
        <v>91.9</v>
      </c>
      <c r="V1771">
        <v>949</v>
      </c>
      <c r="W1771">
        <v>43.48</v>
      </c>
      <c r="Y1771">
        <v>12.85</v>
      </c>
    </row>
    <row r="1772" spans="1:25" x14ac:dyDescent="0.25">
      <c r="A1772">
        <v>2007</v>
      </c>
      <c r="B1772">
        <v>8</v>
      </c>
      <c r="C1772">
        <v>1100</v>
      </c>
      <c r="D1772">
        <v>8.69</v>
      </c>
      <c r="E1772">
        <v>1.2749999999999999</v>
      </c>
      <c r="F1772">
        <v>4.899</v>
      </c>
      <c r="G1772">
        <v>5.21</v>
      </c>
      <c r="K1772">
        <v>2.3359999999999999</v>
      </c>
      <c r="L1772">
        <v>171.8</v>
      </c>
      <c r="M1772">
        <v>1</v>
      </c>
      <c r="O1772">
        <v>2.286</v>
      </c>
      <c r="P1772">
        <v>-8.0500000000000007</v>
      </c>
      <c r="Q1772">
        <v>4.4409999999999998</v>
      </c>
      <c r="S1772">
        <v>4.585</v>
      </c>
      <c r="T1772">
        <v>0</v>
      </c>
      <c r="U1772">
        <v>95.5</v>
      </c>
      <c r="V1772">
        <v>950</v>
      </c>
      <c r="W1772">
        <v>43.65</v>
      </c>
      <c r="Y1772">
        <v>12.85</v>
      </c>
    </row>
    <row r="1773" spans="1:25" x14ac:dyDescent="0.25">
      <c r="A1773">
        <v>2007</v>
      </c>
      <c r="B1773">
        <v>8</v>
      </c>
      <c r="C1773">
        <v>1200</v>
      </c>
      <c r="D1773">
        <v>19.75</v>
      </c>
      <c r="E1773">
        <v>9.7899999999999991</v>
      </c>
      <c r="F1773">
        <v>5.3739999999999997</v>
      </c>
      <c r="G1773">
        <v>5.7270000000000003</v>
      </c>
      <c r="K1773">
        <v>2.5310000000000001</v>
      </c>
      <c r="L1773">
        <v>139.1</v>
      </c>
      <c r="M1773">
        <v>1.2</v>
      </c>
      <c r="O1773">
        <v>16.34</v>
      </c>
      <c r="P1773">
        <v>-5.3659999999999997</v>
      </c>
      <c r="Q1773">
        <v>4.5199999999999996</v>
      </c>
      <c r="S1773">
        <v>4.5510000000000002</v>
      </c>
      <c r="T1773">
        <v>0</v>
      </c>
      <c r="U1773">
        <v>95</v>
      </c>
      <c r="V1773">
        <v>951</v>
      </c>
      <c r="W1773">
        <v>43.73</v>
      </c>
      <c r="Y1773">
        <v>12.85</v>
      </c>
    </row>
    <row r="1774" spans="1:25" x14ac:dyDescent="0.25">
      <c r="A1774">
        <v>2007</v>
      </c>
      <c r="B1774">
        <v>8</v>
      </c>
      <c r="C1774">
        <v>1300</v>
      </c>
      <c r="D1774">
        <v>57.84</v>
      </c>
      <c r="E1774">
        <v>39.79</v>
      </c>
      <c r="F1774">
        <v>7.47</v>
      </c>
      <c r="G1774">
        <v>7.75</v>
      </c>
      <c r="K1774">
        <v>3.2389999999999999</v>
      </c>
      <c r="L1774">
        <v>184.1</v>
      </c>
      <c r="M1774">
        <v>0</v>
      </c>
      <c r="O1774">
        <v>65</v>
      </c>
      <c r="P1774">
        <v>3.552</v>
      </c>
      <c r="Q1774">
        <v>4.6280000000000001</v>
      </c>
      <c r="S1774">
        <v>4.5449999999999999</v>
      </c>
      <c r="T1774">
        <v>0</v>
      </c>
      <c r="U1774">
        <v>96.3</v>
      </c>
      <c r="V1774">
        <v>951</v>
      </c>
      <c r="W1774">
        <v>43.7</v>
      </c>
      <c r="Y1774">
        <v>12.99</v>
      </c>
    </row>
    <row r="1775" spans="1:25" x14ac:dyDescent="0.25">
      <c r="A1775">
        <v>2007</v>
      </c>
      <c r="B1775">
        <v>8</v>
      </c>
      <c r="C1775">
        <v>1400</v>
      </c>
      <c r="D1775">
        <v>49.69</v>
      </c>
      <c r="E1775">
        <v>34.229999999999997</v>
      </c>
      <c r="F1775">
        <v>8.8000000000000007</v>
      </c>
      <c r="G1775">
        <v>8.9600000000000009</v>
      </c>
      <c r="K1775">
        <v>3.605</v>
      </c>
      <c r="L1775">
        <v>221.6</v>
      </c>
      <c r="M1775">
        <v>0.2</v>
      </c>
      <c r="O1775">
        <v>48.8</v>
      </c>
      <c r="P1775">
        <v>1.143</v>
      </c>
      <c r="Q1775">
        <v>4.7910000000000004</v>
      </c>
      <c r="S1775">
        <v>4.5449999999999999</v>
      </c>
      <c r="T1775">
        <v>0</v>
      </c>
      <c r="U1775">
        <v>98</v>
      </c>
      <c r="V1775">
        <v>950</v>
      </c>
      <c r="W1775">
        <v>43.6</v>
      </c>
      <c r="Y1775">
        <v>13.22</v>
      </c>
    </row>
    <row r="1776" spans="1:25" x14ac:dyDescent="0.25">
      <c r="A1776">
        <v>2007</v>
      </c>
      <c r="B1776">
        <v>8</v>
      </c>
      <c r="C1776">
        <v>1500</v>
      </c>
      <c r="D1776">
        <v>33.6</v>
      </c>
      <c r="E1776">
        <v>13.06</v>
      </c>
      <c r="F1776">
        <v>10.220000000000001</v>
      </c>
      <c r="G1776">
        <v>10.81</v>
      </c>
      <c r="K1776">
        <v>4.976</v>
      </c>
      <c r="L1776">
        <v>226.6</v>
      </c>
      <c r="M1776">
        <v>0</v>
      </c>
      <c r="O1776">
        <v>27.54</v>
      </c>
      <c r="P1776">
        <v>-2.0609999999999999</v>
      </c>
      <c r="Q1776">
        <v>5.1020000000000003</v>
      </c>
      <c r="S1776">
        <v>4.5869999999999997</v>
      </c>
      <c r="T1776">
        <v>0</v>
      </c>
      <c r="U1776">
        <v>93.2</v>
      </c>
      <c r="V1776">
        <v>949</v>
      </c>
      <c r="W1776">
        <v>43.51</v>
      </c>
      <c r="Y1776">
        <v>13.14</v>
      </c>
    </row>
    <row r="1777" spans="1:25" x14ac:dyDescent="0.25">
      <c r="A1777">
        <v>2007</v>
      </c>
      <c r="B1777">
        <v>8</v>
      </c>
      <c r="C1777">
        <v>1600</v>
      </c>
      <c r="D1777">
        <v>14.29</v>
      </c>
      <c r="E1777">
        <v>9.56</v>
      </c>
      <c r="F1777">
        <v>10.75</v>
      </c>
      <c r="G1777">
        <v>11.38</v>
      </c>
      <c r="K1777">
        <v>4.9710000000000001</v>
      </c>
      <c r="L1777">
        <v>227.7</v>
      </c>
      <c r="M1777">
        <v>0</v>
      </c>
      <c r="O1777">
        <v>8.26</v>
      </c>
      <c r="P1777">
        <v>-6.641</v>
      </c>
      <c r="Q1777">
        <v>5.3550000000000004</v>
      </c>
      <c r="S1777">
        <v>4.6040000000000001</v>
      </c>
      <c r="T1777">
        <v>0</v>
      </c>
      <c r="U1777">
        <v>92.7</v>
      </c>
      <c r="V1777">
        <v>949</v>
      </c>
      <c r="W1777">
        <v>43.5</v>
      </c>
      <c r="Y1777">
        <v>13.08</v>
      </c>
    </row>
    <row r="1778" spans="1:25" x14ac:dyDescent="0.25">
      <c r="A1778">
        <v>2007</v>
      </c>
      <c r="B1778">
        <v>8</v>
      </c>
      <c r="C1778">
        <v>1700</v>
      </c>
      <c r="D1778">
        <v>0.40899999999999997</v>
      </c>
      <c r="E1778">
        <v>-0.16700000000000001</v>
      </c>
      <c r="F1778">
        <v>10.95</v>
      </c>
      <c r="G1778">
        <v>11.53</v>
      </c>
      <c r="K1778">
        <v>4.5960000000000001</v>
      </c>
      <c r="L1778">
        <v>227.5</v>
      </c>
      <c r="M1778">
        <v>0</v>
      </c>
      <c r="O1778">
        <v>-10.35</v>
      </c>
      <c r="P1778">
        <v>-10.63</v>
      </c>
      <c r="Q1778">
        <v>5.6509999999999998</v>
      </c>
      <c r="S1778">
        <v>4.7030000000000003</v>
      </c>
      <c r="T1778">
        <v>0</v>
      </c>
      <c r="U1778">
        <v>93.4</v>
      </c>
      <c r="V1778">
        <v>948</v>
      </c>
      <c r="W1778">
        <v>43.45</v>
      </c>
      <c r="Y1778">
        <v>13.01</v>
      </c>
    </row>
    <row r="1779" spans="1:25" x14ac:dyDescent="0.25">
      <c r="A1779">
        <v>2007</v>
      </c>
      <c r="B1779">
        <v>8</v>
      </c>
      <c r="C1779">
        <v>1800</v>
      </c>
      <c r="D1779">
        <v>-1.3089999999999999</v>
      </c>
      <c r="E1779">
        <v>-13.32</v>
      </c>
      <c r="F1779">
        <v>10.75</v>
      </c>
      <c r="G1779">
        <v>11.12</v>
      </c>
      <c r="K1779">
        <v>3.9049999999999998</v>
      </c>
      <c r="L1779">
        <v>226.1</v>
      </c>
      <c r="M1779">
        <v>0</v>
      </c>
      <c r="O1779">
        <v>-11.5</v>
      </c>
      <c r="P1779">
        <v>-10.84</v>
      </c>
      <c r="Q1779">
        <v>5.9029999999999996</v>
      </c>
      <c r="S1779">
        <v>4.8040000000000003</v>
      </c>
      <c r="T1779">
        <v>0</v>
      </c>
      <c r="U1779">
        <v>95.7</v>
      </c>
      <c r="V1779">
        <v>947</v>
      </c>
      <c r="W1779">
        <v>43.31</v>
      </c>
      <c r="Y1779">
        <v>12.96</v>
      </c>
    </row>
    <row r="1780" spans="1:25" x14ac:dyDescent="0.25">
      <c r="A1780">
        <v>2007</v>
      </c>
      <c r="B1780">
        <v>8</v>
      </c>
      <c r="C1780">
        <v>1900</v>
      </c>
      <c r="D1780">
        <v>-0.99399999999999999</v>
      </c>
      <c r="E1780">
        <v>-1.7030000000000001</v>
      </c>
      <c r="F1780">
        <v>10.6</v>
      </c>
      <c r="G1780">
        <v>10.59</v>
      </c>
      <c r="K1780">
        <v>2.504</v>
      </c>
      <c r="L1780">
        <v>219</v>
      </c>
      <c r="M1780">
        <v>2.2000000000000002</v>
      </c>
      <c r="O1780">
        <v>-11.5</v>
      </c>
      <c r="P1780">
        <v>-10.84</v>
      </c>
      <c r="Q1780">
        <v>6.0759999999999996</v>
      </c>
      <c r="S1780">
        <v>4.9050000000000002</v>
      </c>
      <c r="T1780">
        <v>0</v>
      </c>
      <c r="U1780">
        <v>100.1</v>
      </c>
      <c r="V1780">
        <v>947</v>
      </c>
      <c r="W1780">
        <v>43.35</v>
      </c>
      <c r="Y1780">
        <v>12.93</v>
      </c>
    </row>
    <row r="1781" spans="1:25" x14ac:dyDescent="0.25">
      <c r="A1781">
        <v>2007</v>
      </c>
      <c r="B1781">
        <v>8</v>
      </c>
      <c r="C1781">
        <v>2000</v>
      </c>
      <c r="D1781">
        <v>-0.64</v>
      </c>
      <c r="E1781">
        <v>-0.39900000000000002</v>
      </c>
      <c r="F1781">
        <v>11.21</v>
      </c>
      <c r="G1781">
        <v>11.25</v>
      </c>
      <c r="K1781">
        <v>3.3460000000000001</v>
      </c>
      <c r="L1781">
        <v>217.5</v>
      </c>
      <c r="M1781">
        <v>1.4</v>
      </c>
      <c r="O1781">
        <v>-11.5</v>
      </c>
      <c r="P1781">
        <v>-10.84</v>
      </c>
      <c r="Q1781">
        <v>6.2430000000000003</v>
      </c>
      <c r="S1781">
        <v>5.0110000000000001</v>
      </c>
      <c r="T1781">
        <v>0</v>
      </c>
      <c r="U1781">
        <v>99.5</v>
      </c>
      <c r="V1781">
        <v>946</v>
      </c>
      <c r="W1781">
        <v>43.26</v>
      </c>
      <c r="Y1781">
        <v>12.91</v>
      </c>
    </row>
    <row r="1782" spans="1:25" x14ac:dyDescent="0.25">
      <c r="A1782">
        <v>2007</v>
      </c>
      <c r="B1782">
        <v>8</v>
      </c>
      <c r="C1782">
        <v>2100</v>
      </c>
      <c r="D1782">
        <v>-0.56599999999999995</v>
      </c>
      <c r="E1782">
        <v>-1.827</v>
      </c>
      <c r="F1782">
        <v>11.3</v>
      </c>
      <c r="G1782">
        <v>11.51</v>
      </c>
      <c r="K1782">
        <v>4.516</v>
      </c>
      <c r="L1782">
        <v>224.5</v>
      </c>
      <c r="M1782">
        <v>1.2</v>
      </c>
      <c r="O1782">
        <v>-11.5</v>
      </c>
      <c r="P1782">
        <v>-10.84</v>
      </c>
      <c r="Q1782">
        <v>6.4429999999999996</v>
      </c>
      <c r="S1782">
        <v>5.1230000000000002</v>
      </c>
      <c r="T1782">
        <v>0</v>
      </c>
      <c r="U1782">
        <v>97.6</v>
      </c>
      <c r="V1782">
        <v>946</v>
      </c>
      <c r="W1782">
        <v>43.21</v>
      </c>
      <c r="Y1782">
        <v>12.9</v>
      </c>
    </row>
    <row r="1783" spans="1:25" x14ac:dyDescent="0.25">
      <c r="A1783">
        <v>2007</v>
      </c>
      <c r="B1783">
        <v>8</v>
      </c>
      <c r="C1783">
        <v>2200</v>
      </c>
      <c r="D1783">
        <v>-0.56000000000000005</v>
      </c>
      <c r="E1783">
        <v>-3.1629999999999998</v>
      </c>
      <c r="F1783">
        <v>11.29</v>
      </c>
      <c r="G1783">
        <v>11.74</v>
      </c>
      <c r="K1783">
        <v>5.22</v>
      </c>
      <c r="L1783">
        <v>224.9</v>
      </c>
      <c r="M1783">
        <v>0.2</v>
      </c>
      <c r="O1783">
        <v>-11.5</v>
      </c>
      <c r="P1783">
        <v>-10.84</v>
      </c>
      <c r="Q1783">
        <v>6.6689999999999996</v>
      </c>
      <c r="S1783">
        <v>5.2309999999999999</v>
      </c>
      <c r="T1783">
        <v>0</v>
      </c>
      <c r="U1783">
        <v>94.9</v>
      </c>
      <c r="V1783">
        <v>945</v>
      </c>
      <c r="W1783">
        <v>43.16</v>
      </c>
      <c r="Y1783">
        <v>12.9</v>
      </c>
    </row>
    <row r="1784" spans="1:25" x14ac:dyDescent="0.25">
      <c r="A1784">
        <v>2007</v>
      </c>
      <c r="B1784">
        <v>8</v>
      </c>
      <c r="C1784">
        <v>2300</v>
      </c>
      <c r="D1784">
        <v>-1.214</v>
      </c>
      <c r="E1784">
        <v>-3.6</v>
      </c>
      <c r="F1784">
        <v>11.3</v>
      </c>
      <c r="G1784">
        <v>11.84</v>
      </c>
      <c r="K1784">
        <v>5.6239999999999997</v>
      </c>
      <c r="L1784">
        <v>224.7</v>
      </c>
      <c r="M1784">
        <v>0</v>
      </c>
      <c r="O1784">
        <v>-11.5</v>
      </c>
      <c r="P1784">
        <v>-10.85</v>
      </c>
      <c r="Q1784">
        <v>6.88</v>
      </c>
      <c r="S1784">
        <v>5.3330000000000002</v>
      </c>
      <c r="T1784">
        <v>0</v>
      </c>
      <c r="U1784">
        <v>93.9</v>
      </c>
      <c r="V1784">
        <v>945</v>
      </c>
      <c r="W1784">
        <v>43.19</v>
      </c>
      <c r="Y1784">
        <v>12.89</v>
      </c>
    </row>
    <row r="1785" spans="1:25" x14ac:dyDescent="0.25">
      <c r="A1785">
        <v>2007</v>
      </c>
      <c r="B1785">
        <v>8</v>
      </c>
      <c r="C1785">
        <v>2400</v>
      </c>
      <c r="D1785">
        <v>-1.3360000000000001</v>
      </c>
      <c r="E1785">
        <v>-4.016</v>
      </c>
      <c r="F1785">
        <v>11.41</v>
      </c>
      <c r="G1785">
        <v>11.9</v>
      </c>
      <c r="K1785">
        <v>5.81</v>
      </c>
      <c r="L1785">
        <v>225.3</v>
      </c>
      <c r="M1785">
        <v>0</v>
      </c>
      <c r="O1785">
        <v>-11.51</v>
      </c>
      <c r="P1785">
        <v>-10.85</v>
      </c>
      <c r="Q1785">
        <v>7.06</v>
      </c>
      <c r="S1785">
        <v>5.43</v>
      </c>
      <c r="T1785">
        <v>0</v>
      </c>
      <c r="U1785">
        <v>94.5</v>
      </c>
      <c r="V1785">
        <v>944</v>
      </c>
      <c r="W1785">
        <v>43.07</v>
      </c>
      <c r="Y1785">
        <v>12.89</v>
      </c>
    </row>
    <row r="1786" spans="1:25" x14ac:dyDescent="0.25">
      <c r="A1786">
        <v>2007</v>
      </c>
      <c r="B1786">
        <v>9</v>
      </c>
      <c r="C1786">
        <v>100</v>
      </c>
      <c r="D1786">
        <v>-1.075</v>
      </c>
      <c r="E1786">
        <v>-3.9849999999999999</v>
      </c>
      <c r="F1786">
        <v>11.37</v>
      </c>
      <c r="G1786">
        <v>11.71</v>
      </c>
      <c r="K1786">
        <v>5.9169999999999998</v>
      </c>
      <c r="L1786">
        <v>225.3</v>
      </c>
      <c r="M1786">
        <v>0.2</v>
      </c>
      <c r="O1786">
        <v>-11.5</v>
      </c>
      <c r="P1786">
        <v>-10.85</v>
      </c>
      <c r="Q1786">
        <v>7.2</v>
      </c>
      <c r="S1786">
        <v>5.5149999999999997</v>
      </c>
      <c r="T1786">
        <v>0</v>
      </c>
      <c r="U1786">
        <v>96.1</v>
      </c>
      <c r="V1786">
        <v>944</v>
      </c>
      <c r="W1786">
        <v>43.08</v>
      </c>
      <c r="Y1786">
        <v>12.89</v>
      </c>
    </row>
    <row r="1787" spans="1:25" x14ac:dyDescent="0.25">
      <c r="A1787">
        <v>2007</v>
      </c>
      <c r="B1787">
        <v>9</v>
      </c>
      <c r="C1787">
        <v>200</v>
      </c>
      <c r="D1787">
        <v>-0.57699999999999996</v>
      </c>
      <c r="E1787">
        <v>-3.1840000000000002</v>
      </c>
      <c r="F1787">
        <v>11.23</v>
      </c>
      <c r="G1787">
        <v>11.38</v>
      </c>
      <c r="K1787">
        <v>4.7450000000000001</v>
      </c>
      <c r="L1787">
        <v>224.6</v>
      </c>
      <c r="M1787">
        <v>0.8</v>
      </c>
      <c r="O1787">
        <v>-11.5</v>
      </c>
      <c r="P1787">
        <v>-10.84</v>
      </c>
      <c r="Q1787">
        <v>7.35</v>
      </c>
      <c r="S1787">
        <v>5.6310000000000002</v>
      </c>
      <c r="T1787">
        <v>0</v>
      </c>
      <c r="U1787">
        <v>98.3</v>
      </c>
      <c r="V1787">
        <v>944</v>
      </c>
      <c r="W1787">
        <v>43.08</v>
      </c>
      <c r="Y1787">
        <v>12.89</v>
      </c>
    </row>
    <row r="1788" spans="1:25" x14ac:dyDescent="0.25">
      <c r="A1788">
        <v>2007</v>
      </c>
      <c r="B1788">
        <v>9</v>
      </c>
      <c r="C1788">
        <v>300</v>
      </c>
      <c r="D1788">
        <v>-0.93200000000000005</v>
      </c>
      <c r="E1788">
        <v>-9.5299999999999994</v>
      </c>
      <c r="F1788">
        <v>10.93</v>
      </c>
      <c r="G1788">
        <v>11.41</v>
      </c>
      <c r="K1788">
        <v>4.9560000000000004</v>
      </c>
      <c r="L1788">
        <v>220.5</v>
      </c>
      <c r="M1788">
        <v>1.2</v>
      </c>
      <c r="O1788">
        <v>-11.51</v>
      </c>
      <c r="P1788">
        <v>-10.84</v>
      </c>
      <c r="Q1788">
        <v>7.5</v>
      </c>
      <c r="S1788">
        <v>5.7510000000000003</v>
      </c>
      <c r="T1788">
        <v>0</v>
      </c>
      <c r="U1788">
        <v>94.4</v>
      </c>
      <c r="V1788">
        <v>944</v>
      </c>
      <c r="W1788">
        <v>43.04</v>
      </c>
      <c r="Y1788">
        <v>12.89</v>
      </c>
    </row>
    <row r="1789" spans="1:25" x14ac:dyDescent="0.25">
      <c r="A1789">
        <v>2007</v>
      </c>
      <c r="B1789">
        <v>9</v>
      </c>
      <c r="C1789">
        <v>400</v>
      </c>
      <c r="D1789">
        <v>-1.254</v>
      </c>
      <c r="E1789">
        <v>-8.6300000000000008</v>
      </c>
      <c r="F1789">
        <v>10.83</v>
      </c>
      <c r="G1789">
        <v>11.61</v>
      </c>
      <c r="K1789">
        <v>5.226</v>
      </c>
      <c r="L1789">
        <v>223.5</v>
      </c>
      <c r="M1789">
        <v>0</v>
      </c>
      <c r="O1789">
        <v>-11.5</v>
      </c>
      <c r="P1789">
        <v>-10.85</v>
      </c>
      <c r="Q1789">
        <v>7.6</v>
      </c>
      <c r="S1789">
        <v>5.8520000000000003</v>
      </c>
      <c r="T1789">
        <v>0</v>
      </c>
      <c r="U1789">
        <v>91.2</v>
      </c>
      <c r="V1789">
        <v>944</v>
      </c>
      <c r="W1789">
        <v>43.03</v>
      </c>
      <c r="Y1789">
        <v>12.89</v>
      </c>
    </row>
    <row r="1790" spans="1:25" x14ac:dyDescent="0.25">
      <c r="A1790">
        <v>2007</v>
      </c>
      <c r="B1790">
        <v>9</v>
      </c>
      <c r="C1790">
        <v>500</v>
      </c>
      <c r="D1790">
        <v>-0.36099999999999999</v>
      </c>
      <c r="E1790">
        <v>-9.1300000000000008</v>
      </c>
      <c r="F1790">
        <v>9.82</v>
      </c>
      <c r="G1790">
        <v>10.37</v>
      </c>
      <c r="K1790">
        <v>5.7290000000000001</v>
      </c>
      <c r="L1790">
        <v>227.5</v>
      </c>
      <c r="M1790">
        <v>1.4</v>
      </c>
      <c r="O1790">
        <v>-11.5</v>
      </c>
      <c r="P1790">
        <v>-10.85</v>
      </c>
      <c r="Q1790">
        <v>7.67</v>
      </c>
      <c r="S1790">
        <v>5.94</v>
      </c>
      <c r="T1790">
        <v>0</v>
      </c>
      <c r="U1790">
        <v>93.5</v>
      </c>
      <c r="V1790">
        <v>944</v>
      </c>
      <c r="W1790">
        <v>43.07</v>
      </c>
      <c r="Y1790">
        <v>12.89</v>
      </c>
    </row>
    <row r="1791" spans="1:25" x14ac:dyDescent="0.25">
      <c r="A1791">
        <v>2007</v>
      </c>
      <c r="B1791">
        <v>9</v>
      </c>
      <c r="C1791">
        <v>600</v>
      </c>
      <c r="D1791">
        <v>-1.7609999999999999</v>
      </c>
      <c r="E1791">
        <v>-26.7</v>
      </c>
      <c r="F1791">
        <v>8.66</v>
      </c>
      <c r="G1791">
        <v>9.32</v>
      </c>
      <c r="K1791">
        <v>4.585</v>
      </c>
      <c r="L1791">
        <v>226.7</v>
      </c>
      <c r="M1791">
        <v>0</v>
      </c>
      <c r="O1791">
        <v>-11.5</v>
      </c>
      <c r="P1791">
        <v>-10.85</v>
      </c>
      <c r="Q1791">
        <v>7.66</v>
      </c>
      <c r="S1791">
        <v>5.98</v>
      </c>
      <c r="T1791">
        <v>0</v>
      </c>
      <c r="U1791">
        <v>91.8</v>
      </c>
      <c r="V1791">
        <v>944</v>
      </c>
      <c r="W1791">
        <v>43.03</v>
      </c>
      <c r="Y1791">
        <v>12.89</v>
      </c>
    </row>
    <row r="1792" spans="1:25" x14ac:dyDescent="0.25">
      <c r="A1792">
        <v>2007</v>
      </c>
      <c r="B1792">
        <v>9</v>
      </c>
      <c r="C1792">
        <v>700</v>
      </c>
      <c r="D1792">
        <v>-1.343</v>
      </c>
      <c r="E1792">
        <v>-24.82</v>
      </c>
      <c r="F1792">
        <v>8.86</v>
      </c>
      <c r="G1792">
        <v>9.2100000000000009</v>
      </c>
      <c r="K1792">
        <v>4.952</v>
      </c>
      <c r="L1792">
        <v>226.6</v>
      </c>
      <c r="M1792">
        <v>0</v>
      </c>
      <c r="O1792">
        <v>-11.5</v>
      </c>
      <c r="P1792">
        <v>-10.85</v>
      </c>
      <c r="Q1792">
        <v>7.55</v>
      </c>
      <c r="S1792">
        <v>6.008</v>
      </c>
      <c r="T1792">
        <v>0</v>
      </c>
      <c r="U1792">
        <v>95.6</v>
      </c>
      <c r="V1792">
        <v>947</v>
      </c>
      <c r="W1792">
        <v>43.35</v>
      </c>
      <c r="Y1792">
        <v>12.88</v>
      </c>
    </row>
    <row r="1793" spans="1:25" x14ac:dyDescent="0.25">
      <c r="A1793">
        <v>2007</v>
      </c>
      <c r="B1793">
        <v>9</v>
      </c>
      <c r="C1793">
        <v>800</v>
      </c>
      <c r="D1793">
        <v>-1.335</v>
      </c>
      <c r="E1793">
        <v>-26.39</v>
      </c>
      <c r="F1793">
        <v>8.7799999999999994</v>
      </c>
      <c r="G1793">
        <v>9.33</v>
      </c>
      <c r="K1793">
        <v>5.1390000000000002</v>
      </c>
      <c r="L1793">
        <v>225.7</v>
      </c>
      <c r="M1793">
        <v>0</v>
      </c>
      <c r="O1793">
        <v>-11.5</v>
      </c>
      <c r="P1793">
        <v>-10.84</v>
      </c>
      <c r="Q1793">
        <v>7.41</v>
      </c>
      <c r="S1793">
        <v>6.0750000000000002</v>
      </c>
      <c r="T1793">
        <v>0</v>
      </c>
      <c r="U1793">
        <v>93.2</v>
      </c>
      <c r="V1793">
        <v>944</v>
      </c>
      <c r="W1793">
        <v>43.06</v>
      </c>
      <c r="Y1793">
        <v>12.88</v>
      </c>
    </row>
    <row r="1794" spans="1:25" x14ac:dyDescent="0.25">
      <c r="A1794">
        <v>2007</v>
      </c>
      <c r="B1794">
        <v>9</v>
      </c>
      <c r="C1794">
        <v>900</v>
      </c>
      <c r="D1794">
        <v>2.6349999999999998</v>
      </c>
      <c r="E1794">
        <v>-28.92</v>
      </c>
      <c r="F1794">
        <v>8.49</v>
      </c>
      <c r="G1794">
        <v>8.76</v>
      </c>
      <c r="H1794">
        <v>6.4969583333333345</v>
      </c>
      <c r="K1794">
        <v>4.4939999999999998</v>
      </c>
      <c r="L1794">
        <v>227</v>
      </c>
      <c r="M1794">
        <v>0</v>
      </c>
      <c r="N1794">
        <v>1.6</v>
      </c>
      <c r="O1794">
        <v>-5.5780000000000003</v>
      </c>
      <c r="P1794">
        <v>-9.34</v>
      </c>
      <c r="Q1794">
        <v>7.27</v>
      </c>
      <c r="S1794">
        <v>6.0869999999999997</v>
      </c>
      <c r="T1794">
        <v>0</v>
      </c>
      <c r="U1794">
        <v>96.6</v>
      </c>
      <c r="V1794">
        <v>945</v>
      </c>
      <c r="W1794">
        <v>43.17</v>
      </c>
      <c r="Y1794">
        <v>12.88</v>
      </c>
    </row>
    <row r="1795" spans="1:25" x14ac:dyDescent="0.25">
      <c r="A1795">
        <v>2007</v>
      </c>
      <c r="B1795">
        <v>9</v>
      </c>
      <c r="C1795">
        <v>1000</v>
      </c>
      <c r="D1795">
        <v>47.56</v>
      </c>
      <c r="E1795">
        <v>-3.93</v>
      </c>
      <c r="F1795">
        <v>8.68</v>
      </c>
      <c r="G1795">
        <v>9.06</v>
      </c>
      <c r="K1795">
        <v>4.9349999999999996</v>
      </c>
      <c r="L1795">
        <v>226.5</v>
      </c>
      <c r="M1795">
        <v>0</v>
      </c>
      <c r="O1795">
        <v>48.9</v>
      </c>
      <c r="P1795">
        <v>6.21</v>
      </c>
      <c r="Q1795">
        <v>7.13</v>
      </c>
      <c r="S1795">
        <v>6.0890000000000004</v>
      </c>
      <c r="T1795">
        <v>0</v>
      </c>
      <c r="U1795">
        <v>95.2</v>
      </c>
      <c r="V1795">
        <v>951</v>
      </c>
      <c r="W1795">
        <v>43.78</v>
      </c>
      <c r="Y1795">
        <v>13.14</v>
      </c>
    </row>
    <row r="1796" spans="1:25" x14ac:dyDescent="0.25">
      <c r="A1796">
        <v>2007</v>
      </c>
      <c r="B1796">
        <v>9</v>
      </c>
      <c r="C1796">
        <v>1100</v>
      </c>
      <c r="D1796">
        <v>101.4</v>
      </c>
      <c r="E1796">
        <v>29.5</v>
      </c>
      <c r="F1796">
        <v>8.8000000000000007</v>
      </c>
      <c r="G1796">
        <v>9.18</v>
      </c>
      <c r="K1796">
        <v>4.7030000000000003</v>
      </c>
      <c r="L1796">
        <v>227.2</v>
      </c>
      <c r="M1796">
        <v>0</v>
      </c>
      <c r="O1796">
        <v>110.6</v>
      </c>
      <c r="P1796">
        <v>31.17</v>
      </c>
      <c r="Q1796">
        <v>7.04</v>
      </c>
      <c r="S1796">
        <v>6.085</v>
      </c>
      <c r="T1796">
        <v>0</v>
      </c>
      <c r="U1796">
        <v>95.2</v>
      </c>
      <c r="V1796">
        <v>946</v>
      </c>
      <c r="W1796">
        <v>43.23</v>
      </c>
      <c r="Y1796">
        <v>13.81</v>
      </c>
    </row>
    <row r="1797" spans="1:25" x14ac:dyDescent="0.25">
      <c r="A1797">
        <v>2007</v>
      </c>
      <c r="B1797">
        <v>9</v>
      </c>
      <c r="C1797">
        <v>1200</v>
      </c>
      <c r="D1797">
        <v>136</v>
      </c>
      <c r="E1797">
        <v>78.400000000000006</v>
      </c>
      <c r="F1797">
        <v>9.0500000000000007</v>
      </c>
      <c r="G1797">
        <v>9.43</v>
      </c>
      <c r="K1797">
        <v>4.8929999999999998</v>
      </c>
      <c r="L1797">
        <v>227.5</v>
      </c>
      <c r="M1797">
        <v>0</v>
      </c>
      <c r="O1797">
        <v>157.1</v>
      </c>
      <c r="P1797">
        <v>41.52</v>
      </c>
      <c r="Q1797">
        <v>7.04</v>
      </c>
      <c r="S1797">
        <v>6.0880000000000001</v>
      </c>
      <c r="T1797">
        <v>0</v>
      </c>
      <c r="U1797">
        <v>95.4</v>
      </c>
      <c r="V1797">
        <v>946</v>
      </c>
      <c r="W1797">
        <v>43.25</v>
      </c>
      <c r="Y1797">
        <v>13.92</v>
      </c>
    </row>
    <row r="1798" spans="1:25" x14ac:dyDescent="0.25">
      <c r="A1798">
        <v>2007</v>
      </c>
      <c r="B1798">
        <v>9</v>
      </c>
      <c r="C1798">
        <v>1300</v>
      </c>
      <c r="D1798">
        <v>100</v>
      </c>
      <c r="E1798">
        <v>39.11</v>
      </c>
      <c r="F1798">
        <v>8.76</v>
      </c>
      <c r="G1798">
        <v>9.06</v>
      </c>
      <c r="K1798">
        <v>4.1150000000000002</v>
      </c>
      <c r="L1798">
        <v>227.5</v>
      </c>
      <c r="M1798">
        <v>0</v>
      </c>
      <c r="O1798">
        <v>106.8</v>
      </c>
      <c r="P1798">
        <v>23.18</v>
      </c>
      <c r="Q1798">
        <v>7.09</v>
      </c>
      <c r="S1798">
        <v>6.0830000000000002</v>
      </c>
      <c r="T1798">
        <v>0</v>
      </c>
      <c r="U1798">
        <v>96.1</v>
      </c>
      <c r="V1798">
        <v>945</v>
      </c>
      <c r="W1798">
        <v>43.19</v>
      </c>
      <c r="Y1798">
        <v>13.71</v>
      </c>
    </row>
    <row r="1799" spans="1:25" x14ac:dyDescent="0.25">
      <c r="A1799">
        <v>2007</v>
      </c>
      <c r="B1799">
        <v>9</v>
      </c>
      <c r="C1799">
        <v>1400</v>
      </c>
      <c r="D1799">
        <v>56.83</v>
      </c>
      <c r="E1799">
        <v>29.54</v>
      </c>
      <c r="F1799">
        <v>8.76</v>
      </c>
      <c r="G1799">
        <v>8.98</v>
      </c>
      <c r="K1799">
        <v>2.6110000000000002</v>
      </c>
      <c r="L1799">
        <v>227.3</v>
      </c>
      <c r="M1799">
        <v>0</v>
      </c>
      <c r="O1799">
        <v>60.47</v>
      </c>
      <c r="P1799">
        <v>6.4349999999999996</v>
      </c>
      <c r="Q1799">
        <v>7.14</v>
      </c>
      <c r="S1799">
        <v>6.0430000000000001</v>
      </c>
      <c r="T1799">
        <v>0</v>
      </c>
      <c r="U1799">
        <v>97.3</v>
      </c>
      <c r="V1799">
        <v>945</v>
      </c>
      <c r="W1799">
        <v>43.2</v>
      </c>
      <c r="Y1799">
        <v>13.52</v>
      </c>
    </row>
    <row r="1800" spans="1:25" x14ac:dyDescent="0.25">
      <c r="A1800">
        <v>2007</v>
      </c>
      <c r="B1800">
        <v>9</v>
      </c>
      <c r="C1800">
        <v>1500</v>
      </c>
      <c r="D1800">
        <v>56.3</v>
      </c>
      <c r="E1800">
        <v>16.760000000000002</v>
      </c>
      <c r="F1800">
        <v>8.41</v>
      </c>
      <c r="G1800">
        <v>8.6199999999999992</v>
      </c>
      <c r="K1800">
        <v>1.9550000000000001</v>
      </c>
      <c r="L1800">
        <v>228</v>
      </c>
      <c r="M1800">
        <v>0</v>
      </c>
      <c r="O1800">
        <v>56.99</v>
      </c>
      <c r="P1800">
        <v>6.9560000000000004</v>
      </c>
      <c r="Q1800">
        <v>7.14</v>
      </c>
      <c r="S1800">
        <v>6.0330000000000004</v>
      </c>
      <c r="T1800">
        <v>0</v>
      </c>
      <c r="U1800">
        <v>97.3</v>
      </c>
      <c r="V1800">
        <v>945</v>
      </c>
      <c r="W1800">
        <v>43.14</v>
      </c>
      <c r="Y1800">
        <v>13.45</v>
      </c>
    </row>
    <row r="1801" spans="1:25" x14ac:dyDescent="0.25">
      <c r="A1801">
        <v>2007</v>
      </c>
      <c r="B1801">
        <v>9</v>
      </c>
      <c r="C1801">
        <v>1600</v>
      </c>
      <c r="D1801">
        <v>26.28</v>
      </c>
      <c r="E1801">
        <v>-17.45</v>
      </c>
      <c r="F1801">
        <v>7.62</v>
      </c>
      <c r="G1801">
        <v>7.83</v>
      </c>
      <c r="K1801">
        <v>1.837</v>
      </c>
      <c r="L1801">
        <v>227.1</v>
      </c>
      <c r="M1801">
        <v>0</v>
      </c>
      <c r="O1801">
        <v>22.53</v>
      </c>
      <c r="P1801">
        <v>-1.107</v>
      </c>
      <c r="Q1801">
        <v>7.14</v>
      </c>
      <c r="S1801">
        <v>5.9939999999999998</v>
      </c>
      <c r="T1801">
        <v>0</v>
      </c>
      <c r="U1801">
        <v>97.3</v>
      </c>
      <c r="V1801">
        <v>945</v>
      </c>
      <c r="W1801">
        <v>43.15</v>
      </c>
      <c r="Y1801">
        <v>13.34</v>
      </c>
    </row>
    <row r="1802" spans="1:25" x14ac:dyDescent="0.25">
      <c r="A1802">
        <v>2007</v>
      </c>
      <c r="B1802">
        <v>9</v>
      </c>
      <c r="C1802">
        <v>1700</v>
      </c>
      <c r="D1802">
        <v>0.24199999999999999</v>
      </c>
      <c r="E1802">
        <v>-37.729999999999997</v>
      </c>
      <c r="F1802">
        <v>6.774</v>
      </c>
      <c r="G1802">
        <v>6.8150000000000004</v>
      </c>
      <c r="K1802">
        <v>1.1890000000000001</v>
      </c>
      <c r="L1802">
        <v>227.5</v>
      </c>
      <c r="M1802">
        <v>0</v>
      </c>
      <c r="O1802">
        <v>-8.08</v>
      </c>
      <c r="P1802">
        <v>-9.75</v>
      </c>
      <c r="Q1802">
        <v>7.12</v>
      </c>
      <c r="S1802">
        <v>6.0380000000000003</v>
      </c>
      <c r="T1802">
        <v>0</v>
      </c>
      <c r="U1802">
        <v>99.4</v>
      </c>
      <c r="V1802">
        <v>946</v>
      </c>
      <c r="W1802">
        <v>43.26</v>
      </c>
      <c r="Y1802">
        <v>13.23</v>
      </c>
    </row>
    <row r="1803" spans="1:25" x14ac:dyDescent="0.25">
      <c r="A1803">
        <v>2007</v>
      </c>
      <c r="B1803">
        <v>9</v>
      </c>
      <c r="C1803">
        <v>1800</v>
      </c>
      <c r="D1803">
        <v>-2.6230000000000002</v>
      </c>
      <c r="E1803">
        <v>-35.75</v>
      </c>
      <c r="F1803">
        <v>6.15</v>
      </c>
      <c r="G1803">
        <v>6.2190000000000003</v>
      </c>
      <c r="K1803">
        <v>1.042</v>
      </c>
      <c r="L1803">
        <v>221.8</v>
      </c>
      <c r="M1803">
        <v>0</v>
      </c>
      <c r="O1803">
        <v>-11.5</v>
      </c>
      <c r="P1803">
        <v>-10.84</v>
      </c>
      <c r="Q1803">
        <v>6.9509999999999996</v>
      </c>
      <c r="S1803">
        <v>6.05</v>
      </c>
      <c r="T1803">
        <v>0</v>
      </c>
      <c r="U1803">
        <v>99</v>
      </c>
      <c r="V1803">
        <v>946</v>
      </c>
      <c r="W1803">
        <v>43.38</v>
      </c>
      <c r="Y1803">
        <v>13.16</v>
      </c>
    </row>
    <row r="1804" spans="1:25" x14ac:dyDescent="0.25">
      <c r="A1804">
        <v>2007</v>
      </c>
      <c r="B1804">
        <v>9</v>
      </c>
      <c r="C1804">
        <v>1900</v>
      </c>
      <c r="D1804">
        <v>-2.2410000000000001</v>
      </c>
      <c r="E1804">
        <v>-27.62</v>
      </c>
      <c r="F1804">
        <v>5.5220000000000002</v>
      </c>
      <c r="G1804">
        <v>5.5510000000000002</v>
      </c>
      <c r="K1804">
        <v>0.73399999999999999</v>
      </c>
      <c r="L1804">
        <v>217.8</v>
      </c>
      <c r="M1804">
        <v>0</v>
      </c>
      <c r="O1804">
        <v>-11.5</v>
      </c>
      <c r="P1804">
        <v>-10.83</v>
      </c>
      <c r="Q1804">
        <v>6.7030000000000003</v>
      </c>
      <c r="S1804">
        <v>5.976</v>
      </c>
      <c r="T1804">
        <v>0</v>
      </c>
      <c r="U1804">
        <v>99.6</v>
      </c>
      <c r="V1804">
        <v>941</v>
      </c>
      <c r="W1804">
        <v>42.82</v>
      </c>
      <c r="Y1804">
        <v>13.11</v>
      </c>
    </row>
    <row r="1805" spans="1:25" x14ac:dyDescent="0.25">
      <c r="A1805">
        <v>2007</v>
      </c>
      <c r="B1805">
        <v>9</v>
      </c>
      <c r="C1805">
        <v>2000</v>
      </c>
      <c r="D1805">
        <v>-1.9</v>
      </c>
      <c r="E1805">
        <v>-20.69</v>
      </c>
      <c r="F1805">
        <v>5.4550000000000001</v>
      </c>
      <c r="G1805">
        <v>5.5519999999999996</v>
      </c>
      <c r="K1805">
        <v>0.99</v>
      </c>
      <c r="L1805">
        <v>222</v>
      </c>
      <c r="M1805">
        <v>0</v>
      </c>
      <c r="O1805">
        <v>-11.5</v>
      </c>
      <c r="P1805">
        <v>-10.82</v>
      </c>
      <c r="Q1805">
        <v>6.4829999999999997</v>
      </c>
      <c r="S1805">
        <v>5.9550000000000001</v>
      </c>
      <c r="T1805">
        <v>0</v>
      </c>
      <c r="U1805">
        <v>98.6</v>
      </c>
      <c r="V1805">
        <v>949</v>
      </c>
      <c r="W1805">
        <v>43.54</v>
      </c>
      <c r="Y1805">
        <v>13.07</v>
      </c>
    </row>
    <row r="1806" spans="1:25" x14ac:dyDescent="0.25">
      <c r="A1806">
        <v>2007</v>
      </c>
      <c r="B1806">
        <v>9</v>
      </c>
      <c r="C1806">
        <v>2100</v>
      </c>
      <c r="D1806">
        <v>-1.5349999999999999</v>
      </c>
      <c r="E1806">
        <v>-14.75</v>
      </c>
      <c r="F1806">
        <v>5.74</v>
      </c>
      <c r="G1806">
        <v>5.899</v>
      </c>
      <c r="K1806">
        <v>1.202</v>
      </c>
      <c r="L1806">
        <v>209.9</v>
      </c>
      <c r="M1806">
        <v>0</v>
      </c>
      <c r="O1806">
        <v>-11.49</v>
      </c>
      <c r="P1806">
        <v>-10.83</v>
      </c>
      <c r="Q1806">
        <v>6.3230000000000004</v>
      </c>
      <c r="S1806">
        <v>5.9269999999999996</v>
      </c>
      <c r="T1806">
        <v>0</v>
      </c>
      <c r="U1806">
        <v>97.8</v>
      </c>
      <c r="V1806">
        <v>953</v>
      </c>
      <c r="W1806">
        <v>43.85</v>
      </c>
      <c r="Y1806">
        <v>13.04</v>
      </c>
    </row>
    <row r="1807" spans="1:25" x14ac:dyDescent="0.25">
      <c r="A1807">
        <v>2007</v>
      </c>
      <c r="B1807">
        <v>9</v>
      </c>
      <c r="C1807">
        <v>2200</v>
      </c>
      <c r="D1807">
        <v>-0.998</v>
      </c>
      <c r="E1807">
        <v>-7.32</v>
      </c>
      <c r="F1807">
        <v>5.9740000000000002</v>
      </c>
      <c r="G1807">
        <v>6.1529999999999996</v>
      </c>
      <c r="K1807">
        <v>1.1870000000000001</v>
      </c>
      <c r="L1807">
        <v>218.6</v>
      </c>
      <c r="M1807">
        <v>0</v>
      </c>
      <c r="O1807">
        <v>-11.5</v>
      </c>
      <c r="P1807">
        <v>-10.82</v>
      </c>
      <c r="Q1807">
        <v>6.1719999999999997</v>
      </c>
      <c r="S1807">
        <v>5.8520000000000003</v>
      </c>
      <c r="T1807">
        <v>0</v>
      </c>
      <c r="U1807">
        <v>97.5</v>
      </c>
      <c r="V1807">
        <v>951</v>
      </c>
      <c r="W1807">
        <v>43.75</v>
      </c>
      <c r="Y1807">
        <v>13.02</v>
      </c>
    </row>
    <row r="1808" spans="1:25" x14ac:dyDescent="0.25">
      <c r="A1808">
        <v>2007</v>
      </c>
      <c r="B1808">
        <v>9</v>
      </c>
      <c r="C1808">
        <v>2300</v>
      </c>
      <c r="D1808">
        <v>-1.165</v>
      </c>
      <c r="E1808">
        <v>-7.88</v>
      </c>
      <c r="F1808">
        <v>5.9050000000000002</v>
      </c>
      <c r="G1808">
        <v>6.2839999999999998</v>
      </c>
      <c r="K1808">
        <v>1.357</v>
      </c>
      <c r="L1808">
        <v>222.8</v>
      </c>
      <c r="M1808">
        <v>0.4</v>
      </c>
      <c r="O1808">
        <v>-11.49</v>
      </c>
      <c r="P1808">
        <v>-10.82</v>
      </c>
      <c r="Q1808">
        <v>6.0780000000000003</v>
      </c>
      <c r="S1808">
        <v>5.79</v>
      </c>
      <c r="T1808">
        <v>0</v>
      </c>
      <c r="U1808">
        <v>94.7</v>
      </c>
      <c r="V1808">
        <v>950</v>
      </c>
      <c r="W1808">
        <v>43.62</v>
      </c>
      <c r="Y1808">
        <v>13</v>
      </c>
    </row>
    <row r="1809" spans="1:25" x14ac:dyDescent="0.25">
      <c r="A1809">
        <v>2007</v>
      </c>
      <c r="B1809">
        <v>9</v>
      </c>
      <c r="C1809">
        <v>2400</v>
      </c>
      <c r="D1809">
        <v>-1.4370000000000001</v>
      </c>
      <c r="E1809">
        <v>-11.82</v>
      </c>
      <c r="F1809">
        <v>4.827</v>
      </c>
      <c r="G1809">
        <v>5.5119999999999996</v>
      </c>
      <c r="K1809">
        <v>1.498</v>
      </c>
      <c r="L1809">
        <v>222.9</v>
      </c>
      <c r="M1809">
        <v>0.4</v>
      </c>
      <c r="O1809">
        <v>-11.5</v>
      </c>
      <c r="P1809">
        <v>-10.81</v>
      </c>
      <c r="Q1809">
        <v>6.0449999999999999</v>
      </c>
      <c r="S1809">
        <v>5.694</v>
      </c>
      <c r="T1809">
        <v>0</v>
      </c>
      <c r="U1809">
        <v>90.3</v>
      </c>
      <c r="V1809">
        <v>950</v>
      </c>
      <c r="W1809">
        <v>43.64</v>
      </c>
      <c r="Y1809">
        <v>12.98</v>
      </c>
    </row>
    <row r="1810" spans="1:25" x14ac:dyDescent="0.25">
      <c r="A1810">
        <v>2007</v>
      </c>
      <c r="B1810">
        <v>10</v>
      </c>
      <c r="C1810">
        <v>100</v>
      </c>
      <c r="D1810">
        <v>-1.3819999999999999</v>
      </c>
      <c r="E1810">
        <v>-12.53</v>
      </c>
      <c r="F1810">
        <v>4.5529999999999999</v>
      </c>
      <c r="G1810">
        <v>5.157</v>
      </c>
      <c r="K1810">
        <v>1.204</v>
      </c>
      <c r="L1810">
        <v>210.6</v>
      </c>
      <c r="M1810">
        <v>0.8</v>
      </c>
      <c r="O1810">
        <v>-11.5</v>
      </c>
      <c r="P1810">
        <v>-10.81</v>
      </c>
      <c r="Q1810">
        <v>6.0259999999999998</v>
      </c>
      <c r="S1810">
        <v>5.6550000000000002</v>
      </c>
      <c r="T1810">
        <v>0</v>
      </c>
      <c r="U1810">
        <v>91.3</v>
      </c>
      <c r="V1810">
        <v>951</v>
      </c>
      <c r="W1810">
        <v>43.69</v>
      </c>
      <c r="Y1810">
        <v>12.97</v>
      </c>
    </row>
    <row r="1811" spans="1:25" x14ac:dyDescent="0.25">
      <c r="A1811">
        <v>2007</v>
      </c>
      <c r="B1811">
        <v>10</v>
      </c>
      <c r="C1811">
        <v>200</v>
      </c>
      <c r="D1811">
        <v>-0.93899999999999995</v>
      </c>
      <c r="E1811">
        <v>-15.11</v>
      </c>
      <c r="F1811">
        <v>4.29</v>
      </c>
      <c r="G1811">
        <v>4.6349999999999998</v>
      </c>
      <c r="K1811">
        <v>0.94799999999999995</v>
      </c>
      <c r="L1811">
        <v>220.9</v>
      </c>
      <c r="M1811">
        <v>0</v>
      </c>
      <c r="O1811">
        <v>-11.47</v>
      </c>
      <c r="P1811">
        <v>-10.75</v>
      </c>
      <c r="Q1811">
        <v>5.9870000000000001</v>
      </c>
      <c r="S1811">
        <v>5.6360000000000001</v>
      </c>
      <c r="T1811">
        <v>0</v>
      </c>
      <c r="U1811">
        <v>94.9</v>
      </c>
      <c r="V1811">
        <v>952</v>
      </c>
      <c r="W1811">
        <v>43.8</v>
      </c>
      <c r="Y1811">
        <v>12.96</v>
      </c>
    </row>
    <row r="1812" spans="1:25" x14ac:dyDescent="0.25">
      <c r="A1812">
        <v>2007</v>
      </c>
      <c r="B1812">
        <v>10</v>
      </c>
      <c r="C1812">
        <v>300</v>
      </c>
      <c r="D1812">
        <v>-1.0720000000000001</v>
      </c>
      <c r="E1812">
        <v>-19.79</v>
      </c>
      <c r="F1812">
        <v>4.1500000000000004</v>
      </c>
      <c r="G1812">
        <v>4.5279999999999996</v>
      </c>
      <c r="K1812">
        <v>1.1000000000000001</v>
      </c>
      <c r="L1812">
        <v>225.8</v>
      </c>
      <c r="M1812">
        <v>0</v>
      </c>
      <c r="O1812">
        <v>-11.46</v>
      </c>
      <c r="P1812">
        <v>-10.75</v>
      </c>
      <c r="Q1812">
        <v>5.9109999999999996</v>
      </c>
      <c r="S1812">
        <v>5.5449999999999999</v>
      </c>
      <c r="T1812">
        <v>0</v>
      </c>
      <c r="U1812">
        <v>94.4</v>
      </c>
      <c r="V1812">
        <v>952</v>
      </c>
      <c r="W1812">
        <v>43.79</v>
      </c>
      <c r="Y1812">
        <v>12.95</v>
      </c>
    </row>
    <row r="1813" spans="1:25" x14ac:dyDescent="0.25">
      <c r="A1813">
        <v>2007</v>
      </c>
      <c r="B1813">
        <v>10</v>
      </c>
      <c r="C1813">
        <v>400</v>
      </c>
      <c r="D1813">
        <v>-1.272</v>
      </c>
      <c r="E1813">
        <v>-25.33</v>
      </c>
      <c r="F1813">
        <v>4.3209999999999997</v>
      </c>
      <c r="G1813">
        <v>4.6379999999999999</v>
      </c>
      <c r="K1813">
        <v>1.891</v>
      </c>
      <c r="L1813">
        <v>227.2</v>
      </c>
      <c r="M1813">
        <v>0</v>
      </c>
      <c r="O1813">
        <v>-11.45</v>
      </c>
      <c r="P1813">
        <v>-10.74</v>
      </c>
      <c r="Q1813">
        <v>5.8159999999999998</v>
      </c>
      <c r="S1813">
        <v>5.5259999999999998</v>
      </c>
      <c r="T1813">
        <v>0</v>
      </c>
      <c r="U1813">
        <v>95.3</v>
      </c>
      <c r="V1813">
        <v>953</v>
      </c>
      <c r="W1813">
        <v>43.89</v>
      </c>
      <c r="Y1813">
        <v>12.94</v>
      </c>
    </row>
    <row r="1814" spans="1:25" x14ac:dyDescent="0.25">
      <c r="A1814">
        <v>2007</v>
      </c>
      <c r="B1814">
        <v>10</v>
      </c>
      <c r="C1814">
        <v>500</v>
      </c>
      <c r="D1814">
        <v>-2.0089999999999999</v>
      </c>
      <c r="E1814">
        <v>-39.25</v>
      </c>
      <c r="F1814">
        <v>4.0709999999999997</v>
      </c>
      <c r="G1814">
        <v>4.423</v>
      </c>
      <c r="K1814">
        <v>2.4830000000000001</v>
      </c>
      <c r="L1814">
        <v>227.2</v>
      </c>
      <c r="M1814">
        <v>0</v>
      </c>
      <c r="O1814">
        <v>-11.39</v>
      </c>
      <c r="P1814">
        <v>-10.68</v>
      </c>
      <c r="Q1814">
        <v>5.6980000000000004</v>
      </c>
      <c r="S1814">
        <v>5.44</v>
      </c>
      <c r="T1814">
        <v>0</v>
      </c>
      <c r="U1814">
        <v>94.7</v>
      </c>
      <c r="V1814">
        <v>952</v>
      </c>
      <c r="W1814">
        <v>43.76</v>
      </c>
      <c r="Y1814">
        <v>12.93</v>
      </c>
    </row>
    <row r="1815" spans="1:25" x14ac:dyDescent="0.25">
      <c r="A1815">
        <v>2007</v>
      </c>
      <c r="B1815">
        <v>10</v>
      </c>
      <c r="C1815">
        <v>600</v>
      </c>
      <c r="D1815">
        <v>-1.9630000000000001</v>
      </c>
      <c r="E1815">
        <v>-40.770000000000003</v>
      </c>
      <c r="F1815">
        <v>3.9060000000000001</v>
      </c>
      <c r="G1815">
        <v>4.3470000000000004</v>
      </c>
      <c r="K1815">
        <v>3.7530000000000001</v>
      </c>
      <c r="L1815">
        <v>227.5</v>
      </c>
      <c r="M1815">
        <v>0</v>
      </c>
      <c r="O1815">
        <v>-11.35</v>
      </c>
      <c r="P1815">
        <v>-10.66</v>
      </c>
      <c r="Q1815">
        <v>5.548</v>
      </c>
      <c r="S1815">
        <v>5.41</v>
      </c>
      <c r="T1815">
        <v>0</v>
      </c>
      <c r="U1815">
        <v>93.4</v>
      </c>
      <c r="V1815">
        <v>952</v>
      </c>
      <c r="W1815">
        <v>43.83</v>
      </c>
      <c r="Y1815">
        <v>12.92</v>
      </c>
    </row>
    <row r="1816" spans="1:25" x14ac:dyDescent="0.25">
      <c r="A1816">
        <v>2007</v>
      </c>
      <c r="B1816">
        <v>10</v>
      </c>
      <c r="C1816">
        <v>700</v>
      </c>
      <c r="D1816">
        <v>-1.764</v>
      </c>
      <c r="E1816">
        <v>-36.54</v>
      </c>
      <c r="F1816">
        <v>4.0259999999999998</v>
      </c>
      <c r="G1816">
        <v>4.5609999999999999</v>
      </c>
      <c r="K1816">
        <v>4.548</v>
      </c>
      <c r="L1816">
        <v>228</v>
      </c>
      <c r="M1816">
        <v>0</v>
      </c>
      <c r="O1816">
        <v>-11.32</v>
      </c>
      <c r="P1816">
        <v>-10.61</v>
      </c>
      <c r="Q1816">
        <v>5.3780000000000001</v>
      </c>
      <c r="S1816">
        <v>5.3120000000000003</v>
      </c>
      <c r="T1816">
        <v>0</v>
      </c>
      <c r="U1816">
        <v>92.1</v>
      </c>
      <c r="V1816">
        <v>952</v>
      </c>
      <c r="W1816">
        <v>43.78</v>
      </c>
      <c r="Y1816">
        <v>12.92</v>
      </c>
    </row>
    <row r="1817" spans="1:25" x14ac:dyDescent="0.25">
      <c r="A1817">
        <v>2007</v>
      </c>
      <c r="B1817">
        <v>10</v>
      </c>
      <c r="C1817">
        <v>800</v>
      </c>
      <c r="D1817">
        <v>-1.256</v>
      </c>
      <c r="E1817">
        <v>-18.190000000000001</v>
      </c>
      <c r="F1817">
        <v>4.3079999999999998</v>
      </c>
      <c r="G1817">
        <v>4.7329999999999997</v>
      </c>
      <c r="K1817">
        <v>5.0039999999999996</v>
      </c>
      <c r="L1817">
        <v>228.6</v>
      </c>
      <c r="M1817">
        <v>0</v>
      </c>
      <c r="O1817">
        <v>-11.36</v>
      </c>
      <c r="P1817">
        <v>-10.6</v>
      </c>
      <c r="Q1817">
        <v>5.2350000000000003</v>
      </c>
      <c r="S1817">
        <v>5.2839999999999998</v>
      </c>
      <c r="T1817">
        <v>0</v>
      </c>
      <c r="U1817">
        <v>93.7</v>
      </c>
      <c r="V1817">
        <v>950</v>
      </c>
      <c r="W1817">
        <v>43.64</v>
      </c>
      <c r="Y1817">
        <v>12.91</v>
      </c>
    </row>
    <row r="1818" spans="1:25" x14ac:dyDescent="0.25">
      <c r="A1818">
        <v>2007</v>
      </c>
      <c r="B1818">
        <v>10</v>
      </c>
      <c r="C1818">
        <v>900</v>
      </c>
      <c r="D1818">
        <v>1.7310000000000001</v>
      </c>
      <c r="E1818">
        <v>-32.24</v>
      </c>
      <c r="F1818">
        <v>4.1159999999999997</v>
      </c>
      <c r="G1818">
        <v>4.4859999999999998</v>
      </c>
      <c r="H1818">
        <v>6.1777916666666668</v>
      </c>
      <c r="K1818">
        <v>4.8289999999999997</v>
      </c>
      <c r="L1818">
        <v>228.7</v>
      </c>
      <c r="M1818">
        <v>0</v>
      </c>
      <c r="N1818">
        <v>7.6000000000000005</v>
      </c>
      <c r="O1818">
        <v>-6.6959999999999997</v>
      </c>
      <c r="P1818">
        <v>-9.33</v>
      </c>
      <c r="Q1818">
        <v>5.1369999999999996</v>
      </c>
      <c r="S1818">
        <v>5.202</v>
      </c>
      <c r="T1818">
        <v>0</v>
      </c>
      <c r="U1818">
        <v>94.5</v>
      </c>
      <c r="V1818">
        <v>949</v>
      </c>
      <c r="W1818">
        <v>43.57</v>
      </c>
      <c r="Y1818">
        <v>12.91</v>
      </c>
    </row>
    <row r="1819" spans="1:25" x14ac:dyDescent="0.25">
      <c r="A1819">
        <v>2007</v>
      </c>
      <c r="B1819">
        <v>10</v>
      </c>
      <c r="C1819">
        <v>1000</v>
      </c>
      <c r="D1819">
        <v>44.47</v>
      </c>
      <c r="E1819">
        <v>-32.340000000000003</v>
      </c>
      <c r="F1819">
        <v>3.6890000000000001</v>
      </c>
      <c r="G1819">
        <v>4.0170000000000003</v>
      </c>
      <c r="K1819">
        <v>4.673</v>
      </c>
      <c r="L1819">
        <v>228.5</v>
      </c>
      <c r="M1819">
        <v>0</v>
      </c>
      <c r="O1819">
        <v>22.92</v>
      </c>
      <c r="P1819">
        <v>6.31</v>
      </c>
      <c r="Q1819">
        <v>5.0250000000000004</v>
      </c>
      <c r="S1819">
        <v>5.1079999999999997</v>
      </c>
      <c r="T1819">
        <v>0</v>
      </c>
      <c r="U1819">
        <v>95</v>
      </c>
      <c r="V1819">
        <v>950</v>
      </c>
      <c r="W1819">
        <v>43.65</v>
      </c>
      <c r="Y1819">
        <v>13.01</v>
      </c>
    </row>
    <row r="1820" spans="1:25" x14ac:dyDescent="0.25">
      <c r="A1820">
        <v>2007</v>
      </c>
      <c r="B1820">
        <v>10</v>
      </c>
      <c r="C1820">
        <v>1100</v>
      </c>
      <c r="D1820">
        <v>118</v>
      </c>
      <c r="E1820">
        <v>26.43</v>
      </c>
      <c r="F1820">
        <v>4.1749999999999998</v>
      </c>
      <c r="G1820">
        <v>4.4809999999999999</v>
      </c>
      <c r="K1820">
        <v>4.1909999999999998</v>
      </c>
      <c r="L1820">
        <v>229</v>
      </c>
      <c r="M1820">
        <v>0</v>
      </c>
      <c r="O1820">
        <v>132.80000000000001</v>
      </c>
      <c r="P1820">
        <v>57.73</v>
      </c>
      <c r="Q1820">
        <v>4.9320000000000004</v>
      </c>
      <c r="S1820">
        <v>5.0919999999999996</v>
      </c>
      <c r="T1820">
        <v>0</v>
      </c>
      <c r="U1820">
        <v>95.4</v>
      </c>
      <c r="V1820">
        <v>951</v>
      </c>
      <c r="W1820">
        <v>43.67</v>
      </c>
      <c r="Y1820">
        <v>14.28</v>
      </c>
    </row>
    <row r="1821" spans="1:25" x14ac:dyDescent="0.25">
      <c r="A1821">
        <v>2007</v>
      </c>
      <c r="B1821">
        <v>10</v>
      </c>
      <c r="C1821">
        <v>1200</v>
      </c>
      <c r="D1821">
        <v>180.2</v>
      </c>
      <c r="E1821">
        <v>105.9</v>
      </c>
      <c r="F1821">
        <v>4.4850000000000003</v>
      </c>
      <c r="G1821">
        <v>4.8109999999999999</v>
      </c>
      <c r="K1821">
        <v>3.9540000000000002</v>
      </c>
      <c r="L1821">
        <v>228.6</v>
      </c>
      <c r="M1821">
        <v>0</v>
      </c>
      <c r="O1821">
        <v>208.3</v>
      </c>
      <c r="P1821">
        <v>88</v>
      </c>
      <c r="Q1821">
        <v>4.8479999999999999</v>
      </c>
      <c r="S1821">
        <v>5.0129999999999999</v>
      </c>
      <c r="T1821">
        <v>0</v>
      </c>
      <c r="U1821">
        <v>95.2</v>
      </c>
      <c r="V1821">
        <v>951</v>
      </c>
      <c r="W1821">
        <v>43.72</v>
      </c>
      <c r="Y1821">
        <v>14.43</v>
      </c>
    </row>
    <row r="1822" spans="1:25" x14ac:dyDescent="0.25">
      <c r="A1822">
        <v>2007</v>
      </c>
      <c r="B1822">
        <v>10</v>
      </c>
      <c r="C1822">
        <v>1300</v>
      </c>
      <c r="D1822">
        <v>202.5</v>
      </c>
      <c r="E1822">
        <v>126.6</v>
      </c>
      <c r="F1822">
        <v>4.8970000000000002</v>
      </c>
      <c r="G1822">
        <v>5.4390000000000001</v>
      </c>
      <c r="K1822">
        <v>3.8119999999999998</v>
      </c>
      <c r="L1822">
        <v>228.6</v>
      </c>
      <c r="M1822">
        <v>0</v>
      </c>
      <c r="O1822">
        <v>230.6</v>
      </c>
      <c r="P1822">
        <v>109.6</v>
      </c>
      <c r="Q1822">
        <v>4.9169999999999998</v>
      </c>
      <c r="S1822">
        <v>4.9939999999999998</v>
      </c>
      <c r="T1822">
        <v>0</v>
      </c>
      <c r="U1822">
        <v>92.2</v>
      </c>
      <c r="V1822">
        <v>950</v>
      </c>
      <c r="W1822">
        <v>43.62</v>
      </c>
      <c r="Y1822">
        <v>14.46</v>
      </c>
    </row>
    <row r="1823" spans="1:25" x14ac:dyDescent="0.25">
      <c r="A1823">
        <v>2007</v>
      </c>
      <c r="B1823">
        <v>10</v>
      </c>
      <c r="C1823">
        <v>1400</v>
      </c>
      <c r="D1823">
        <v>188.2</v>
      </c>
      <c r="E1823">
        <v>112.8</v>
      </c>
      <c r="F1823">
        <v>5.47</v>
      </c>
      <c r="G1823">
        <v>5.8630000000000004</v>
      </c>
      <c r="K1823">
        <v>3.32</v>
      </c>
      <c r="L1823">
        <v>228.6</v>
      </c>
      <c r="M1823">
        <v>0</v>
      </c>
      <c r="O1823">
        <v>207.3</v>
      </c>
      <c r="P1823">
        <v>111.8</v>
      </c>
      <c r="Q1823">
        <v>4.9779999999999998</v>
      </c>
      <c r="S1823">
        <v>4.9489999999999998</v>
      </c>
      <c r="T1823">
        <v>0</v>
      </c>
      <c r="U1823">
        <v>94.5</v>
      </c>
      <c r="V1823">
        <v>951</v>
      </c>
      <c r="W1823">
        <v>43.67</v>
      </c>
      <c r="Y1823">
        <v>14.4</v>
      </c>
    </row>
    <row r="1824" spans="1:25" x14ac:dyDescent="0.25">
      <c r="A1824">
        <v>2007</v>
      </c>
      <c r="B1824">
        <v>10</v>
      </c>
      <c r="C1824">
        <v>1500</v>
      </c>
      <c r="D1824">
        <v>130.69999999999999</v>
      </c>
      <c r="E1824">
        <v>57.08</v>
      </c>
      <c r="F1824">
        <v>5.4390000000000001</v>
      </c>
      <c r="G1824">
        <v>5.6980000000000004</v>
      </c>
      <c r="K1824">
        <v>2.3029999999999999</v>
      </c>
      <c r="L1824">
        <v>228.6</v>
      </c>
      <c r="M1824">
        <v>0</v>
      </c>
      <c r="O1824">
        <v>132.80000000000001</v>
      </c>
      <c r="P1824">
        <v>93.3</v>
      </c>
      <c r="Q1824">
        <v>5.0140000000000002</v>
      </c>
      <c r="S1824">
        <v>4.8739999999999997</v>
      </c>
      <c r="T1824">
        <v>0</v>
      </c>
      <c r="U1824">
        <v>96.3</v>
      </c>
      <c r="V1824">
        <v>950</v>
      </c>
      <c r="W1824">
        <v>43.62</v>
      </c>
      <c r="Y1824">
        <v>14.27</v>
      </c>
    </row>
    <row r="1825" spans="1:25" x14ac:dyDescent="0.25">
      <c r="A1825">
        <v>2007</v>
      </c>
      <c r="B1825">
        <v>10</v>
      </c>
      <c r="C1825">
        <v>1600</v>
      </c>
      <c r="D1825">
        <v>39.79</v>
      </c>
      <c r="E1825">
        <v>-26.95</v>
      </c>
      <c r="F1825">
        <v>4.4269999999999996</v>
      </c>
      <c r="G1825">
        <v>4.71</v>
      </c>
      <c r="K1825">
        <v>1.3080000000000001</v>
      </c>
      <c r="L1825">
        <v>219.5</v>
      </c>
      <c r="M1825">
        <v>0</v>
      </c>
      <c r="O1825">
        <v>33.119999999999997</v>
      </c>
      <c r="P1825">
        <v>21.7</v>
      </c>
      <c r="Q1825">
        <v>4.968</v>
      </c>
      <c r="S1825">
        <v>4.819</v>
      </c>
      <c r="T1825">
        <v>0</v>
      </c>
      <c r="U1825">
        <v>95.8</v>
      </c>
      <c r="V1825">
        <v>931</v>
      </c>
      <c r="W1825">
        <v>42.02</v>
      </c>
      <c r="Y1825">
        <v>13.75</v>
      </c>
    </row>
    <row r="1826" spans="1:25" x14ac:dyDescent="0.25">
      <c r="A1826">
        <v>2007</v>
      </c>
      <c r="B1826">
        <v>10</v>
      </c>
      <c r="C1826">
        <v>1700</v>
      </c>
      <c r="D1826">
        <v>0.38500000000000001</v>
      </c>
      <c r="E1826">
        <v>-42.84</v>
      </c>
      <c r="F1826">
        <v>3.6240000000000001</v>
      </c>
      <c r="G1826">
        <v>3.7410000000000001</v>
      </c>
      <c r="K1826">
        <v>1.341</v>
      </c>
      <c r="L1826">
        <v>186.1</v>
      </c>
      <c r="M1826">
        <v>0</v>
      </c>
      <c r="O1826">
        <v>-7.46</v>
      </c>
      <c r="P1826">
        <v>-9.49</v>
      </c>
      <c r="Q1826">
        <v>4.8289999999999997</v>
      </c>
      <c r="S1826">
        <v>4.7990000000000004</v>
      </c>
      <c r="T1826">
        <v>0</v>
      </c>
      <c r="U1826">
        <v>98.2</v>
      </c>
      <c r="V1826">
        <v>910</v>
      </c>
      <c r="W1826">
        <v>40.21</v>
      </c>
      <c r="Y1826">
        <v>13.49</v>
      </c>
    </row>
    <row r="1827" spans="1:25" x14ac:dyDescent="0.25">
      <c r="A1827">
        <v>2007</v>
      </c>
      <c r="B1827">
        <v>10</v>
      </c>
      <c r="C1827">
        <v>1800</v>
      </c>
      <c r="D1827">
        <v>-1.4690000000000001</v>
      </c>
      <c r="E1827">
        <v>-19.670000000000002</v>
      </c>
      <c r="F1827">
        <v>3.6619999999999999</v>
      </c>
      <c r="G1827">
        <v>3.976</v>
      </c>
      <c r="K1827">
        <v>2.0049999999999999</v>
      </c>
      <c r="L1827">
        <v>191.2</v>
      </c>
      <c r="M1827">
        <v>0</v>
      </c>
      <c r="O1827">
        <v>-11.47</v>
      </c>
      <c r="P1827">
        <v>-10.77</v>
      </c>
      <c r="Q1827">
        <v>4.6760000000000002</v>
      </c>
      <c r="S1827">
        <v>4.8330000000000002</v>
      </c>
      <c r="T1827">
        <v>0</v>
      </c>
      <c r="U1827">
        <v>95.2</v>
      </c>
      <c r="V1827">
        <v>910</v>
      </c>
      <c r="W1827">
        <v>40.229999999999997</v>
      </c>
      <c r="Y1827">
        <v>13.36</v>
      </c>
    </row>
    <row r="1828" spans="1:25" x14ac:dyDescent="0.25">
      <c r="A1828">
        <v>2007</v>
      </c>
      <c r="B1828">
        <v>10</v>
      </c>
      <c r="C1828">
        <v>1900</v>
      </c>
      <c r="D1828">
        <v>-1.151</v>
      </c>
      <c r="E1828">
        <v>-13.97</v>
      </c>
      <c r="F1828">
        <v>4.5190000000000001</v>
      </c>
      <c r="G1828">
        <v>4.8230000000000004</v>
      </c>
      <c r="K1828">
        <v>2.9319999999999999</v>
      </c>
      <c r="L1828">
        <v>203.2</v>
      </c>
      <c r="M1828">
        <v>0</v>
      </c>
      <c r="O1828">
        <v>-11.4</v>
      </c>
      <c r="P1828">
        <v>-10.71</v>
      </c>
      <c r="Q1828">
        <v>4.5410000000000004</v>
      </c>
      <c r="S1828">
        <v>4.7720000000000002</v>
      </c>
      <c r="T1828">
        <v>0</v>
      </c>
      <c r="U1828">
        <v>95.5</v>
      </c>
      <c r="V1828">
        <v>908</v>
      </c>
      <c r="W1828">
        <v>40.03</v>
      </c>
      <c r="Y1828">
        <v>13.26</v>
      </c>
    </row>
    <row r="1829" spans="1:25" x14ac:dyDescent="0.25">
      <c r="A1829">
        <v>2007</v>
      </c>
      <c r="B1829">
        <v>10</v>
      </c>
      <c r="C1829">
        <v>2000</v>
      </c>
      <c r="D1829">
        <v>-0.86499999999999999</v>
      </c>
      <c r="E1829">
        <v>-9.91</v>
      </c>
      <c r="F1829">
        <v>5.3310000000000004</v>
      </c>
      <c r="G1829">
        <v>5.556</v>
      </c>
      <c r="K1829">
        <v>4.157</v>
      </c>
      <c r="L1829">
        <v>202.9</v>
      </c>
      <c r="M1829">
        <v>0</v>
      </c>
      <c r="O1829">
        <v>-11.42</v>
      </c>
      <c r="P1829">
        <v>-10.69</v>
      </c>
      <c r="Q1829">
        <v>4.4770000000000003</v>
      </c>
      <c r="S1829">
        <v>4.7690000000000001</v>
      </c>
      <c r="T1829">
        <v>0</v>
      </c>
      <c r="U1829">
        <v>96.8</v>
      </c>
      <c r="V1829">
        <v>908</v>
      </c>
      <c r="W1829">
        <v>40.01</v>
      </c>
      <c r="Y1829">
        <v>13.19</v>
      </c>
    </row>
    <row r="1830" spans="1:25" x14ac:dyDescent="0.25">
      <c r="A1830">
        <v>2007</v>
      </c>
      <c r="B1830">
        <v>10</v>
      </c>
      <c r="C1830">
        <v>2100</v>
      </c>
      <c r="D1830">
        <v>-1.3440000000000001</v>
      </c>
      <c r="E1830">
        <v>-9.43</v>
      </c>
      <c r="F1830">
        <v>5.61</v>
      </c>
      <c r="G1830">
        <v>5.7839999999999998</v>
      </c>
      <c r="K1830">
        <v>5.0460000000000003</v>
      </c>
      <c r="L1830">
        <v>202.8</v>
      </c>
      <c r="M1830">
        <v>0.2</v>
      </c>
      <c r="O1830">
        <v>-11.48</v>
      </c>
      <c r="P1830">
        <v>-10.76</v>
      </c>
      <c r="Q1830">
        <v>4.4740000000000002</v>
      </c>
      <c r="S1830">
        <v>4.7169999999999996</v>
      </c>
      <c r="T1830">
        <v>0</v>
      </c>
      <c r="U1830">
        <v>97.5</v>
      </c>
      <c r="V1830">
        <v>909</v>
      </c>
      <c r="W1830">
        <v>40.1</v>
      </c>
      <c r="Y1830">
        <v>13.13</v>
      </c>
    </row>
    <row r="1831" spans="1:25" x14ac:dyDescent="0.25">
      <c r="A1831">
        <v>2007</v>
      </c>
      <c r="B1831">
        <v>10</v>
      </c>
      <c r="C1831">
        <v>2200</v>
      </c>
      <c r="D1831">
        <v>-1.3640000000000001</v>
      </c>
      <c r="E1831">
        <v>-9.8000000000000007</v>
      </c>
      <c r="F1831">
        <v>5.6539999999999999</v>
      </c>
      <c r="G1831">
        <v>5.8479999999999999</v>
      </c>
      <c r="K1831">
        <v>5.78</v>
      </c>
      <c r="L1831">
        <v>208.7</v>
      </c>
      <c r="M1831">
        <v>0.6</v>
      </c>
      <c r="O1831">
        <v>-11.49</v>
      </c>
      <c r="P1831">
        <v>-10.76</v>
      </c>
      <c r="Q1831">
        <v>4.5090000000000003</v>
      </c>
      <c r="S1831">
        <v>4.6559999999999997</v>
      </c>
      <c r="T1831">
        <v>0</v>
      </c>
      <c r="U1831">
        <v>97.3</v>
      </c>
      <c r="V1831">
        <v>918</v>
      </c>
      <c r="W1831">
        <v>40.85</v>
      </c>
      <c r="Y1831">
        <v>13.08</v>
      </c>
    </row>
    <row r="1832" spans="1:25" x14ac:dyDescent="0.25">
      <c r="A1832">
        <v>2007</v>
      </c>
      <c r="B1832">
        <v>10</v>
      </c>
      <c r="C1832">
        <v>2300</v>
      </c>
      <c r="D1832">
        <v>-1.2450000000000001</v>
      </c>
      <c r="E1832">
        <v>-9.36</v>
      </c>
      <c r="F1832">
        <v>5.9390000000000001</v>
      </c>
      <c r="G1832">
        <v>6.1459999999999999</v>
      </c>
      <c r="K1832">
        <v>6.1980000000000004</v>
      </c>
      <c r="L1832">
        <v>213.3</v>
      </c>
      <c r="M1832">
        <v>0.2</v>
      </c>
      <c r="O1832">
        <v>-11.49</v>
      </c>
      <c r="P1832">
        <v>-10.77</v>
      </c>
      <c r="Q1832">
        <v>4.5650000000000004</v>
      </c>
      <c r="S1832">
        <v>4.6420000000000003</v>
      </c>
      <c r="T1832">
        <v>0</v>
      </c>
      <c r="U1832">
        <v>97.1</v>
      </c>
      <c r="V1832">
        <v>925</v>
      </c>
      <c r="W1832">
        <v>41.37</v>
      </c>
      <c r="Y1832">
        <v>13.05</v>
      </c>
    </row>
    <row r="1833" spans="1:25" x14ac:dyDescent="0.25">
      <c r="A1833">
        <v>2007</v>
      </c>
      <c r="B1833">
        <v>10</v>
      </c>
      <c r="C1833">
        <v>2400</v>
      </c>
      <c r="D1833">
        <v>-1.375</v>
      </c>
      <c r="E1833">
        <v>-6.5140000000000002</v>
      </c>
      <c r="F1833">
        <v>6.3630000000000004</v>
      </c>
      <c r="G1833">
        <v>6.5579999999999998</v>
      </c>
      <c r="K1833">
        <v>6.1029999999999998</v>
      </c>
      <c r="L1833">
        <v>212.8</v>
      </c>
      <c r="M1833">
        <v>0.8</v>
      </c>
      <c r="O1833">
        <v>-11.5</v>
      </c>
      <c r="P1833">
        <v>-10.78</v>
      </c>
      <c r="Q1833">
        <v>4.6219999999999999</v>
      </c>
      <c r="S1833">
        <v>4.5789999999999997</v>
      </c>
      <c r="T1833">
        <v>0</v>
      </c>
      <c r="U1833">
        <v>97.3</v>
      </c>
      <c r="V1833">
        <v>936</v>
      </c>
      <c r="W1833">
        <v>42.32</v>
      </c>
      <c r="Y1833">
        <v>13.02</v>
      </c>
    </row>
    <row r="1834" spans="1:25" x14ac:dyDescent="0.25">
      <c r="A1834">
        <v>2007</v>
      </c>
      <c r="B1834">
        <v>11</v>
      </c>
      <c r="C1834">
        <v>100</v>
      </c>
      <c r="D1834">
        <v>-0.995</v>
      </c>
      <c r="E1834">
        <v>-4.6920000000000002</v>
      </c>
      <c r="F1834">
        <v>7.01</v>
      </c>
      <c r="G1834">
        <v>7.17</v>
      </c>
      <c r="K1834">
        <v>6.319</v>
      </c>
      <c r="L1834">
        <v>214</v>
      </c>
      <c r="M1834">
        <v>0.2</v>
      </c>
      <c r="O1834">
        <v>-11.5</v>
      </c>
      <c r="P1834">
        <v>-10.82</v>
      </c>
      <c r="Q1834">
        <v>4.694</v>
      </c>
      <c r="S1834">
        <v>4.5629999999999997</v>
      </c>
      <c r="T1834">
        <v>0</v>
      </c>
      <c r="U1834">
        <v>97.7</v>
      </c>
      <c r="V1834">
        <v>946</v>
      </c>
      <c r="W1834">
        <v>43.25</v>
      </c>
      <c r="Y1834">
        <v>13</v>
      </c>
    </row>
    <row r="1835" spans="1:25" x14ac:dyDescent="0.25">
      <c r="A1835">
        <v>2007</v>
      </c>
      <c r="B1835">
        <v>11</v>
      </c>
      <c r="C1835">
        <v>200</v>
      </c>
      <c r="D1835">
        <v>-0.73699999999999999</v>
      </c>
      <c r="E1835">
        <v>-2.2229999999999999</v>
      </c>
      <c r="F1835">
        <v>8.24</v>
      </c>
      <c r="G1835">
        <v>8.44</v>
      </c>
      <c r="K1835">
        <v>6.4109999999999996</v>
      </c>
      <c r="L1835">
        <v>221.1</v>
      </c>
      <c r="M1835">
        <v>0.2</v>
      </c>
      <c r="O1835">
        <v>-11.5</v>
      </c>
      <c r="P1835">
        <v>-10.82</v>
      </c>
      <c r="Q1835">
        <v>4.8380000000000001</v>
      </c>
      <c r="S1835">
        <v>4.5599999999999996</v>
      </c>
      <c r="T1835">
        <v>0</v>
      </c>
      <c r="U1835">
        <v>97.3</v>
      </c>
      <c r="V1835">
        <v>947</v>
      </c>
      <c r="W1835">
        <v>43.31</v>
      </c>
      <c r="Y1835">
        <v>12.98</v>
      </c>
    </row>
    <row r="1836" spans="1:25" x14ac:dyDescent="0.25">
      <c r="A1836">
        <v>2007</v>
      </c>
      <c r="B1836">
        <v>11</v>
      </c>
      <c r="C1836">
        <v>300</v>
      </c>
      <c r="D1836">
        <v>-0.25800000000000001</v>
      </c>
      <c r="E1836">
        <v>-4.2270000000000003</v>
      </c>
      <c r="F1836">
        <v>8.27</v>
      </c>
      <c r="G1836">
        <v>8.7100000000000009</v>
      </c>
      <c r="K1836">
        <v>6.444</v>
      </c>
      <c r="L1836">
        <v>226.8</v>
      </c>
      <c r="M1836">
        <v>4.5999999999999996</v>
      </c>
      <c r="O1836">
        <v>-11.51</v>
      </c>
      <c r="P1836">
        <v>-10.84</v>
      </c>
      <c r="Q1836">
        <v>5.0410000000000004</v>
      </c>
      <c r="S1836">
        <v>4.6050000000000004</v>
      </c>
      <c r="T1836">
        <v>0</v>
      </c>
      <c r="U1836">
        <v>94.5</v>
      </c>
      <c r="V1836">
        <v>948</v>
      </c>
      <c r="W1836">
        <v>43.43</v>
      </c>
      <c r="Y1836">
        <v>12.97</v>
      </c>
    </row>
    <row r="1837" spans="1:25" x14ac:dyDescent="0.25">
      <c r="A1837">
        <v>2007</v>
      </c>
      <c r="B1837">
        <v>11</v>
      </c>
      <c r="C1837">
        <v>400</v>
      </c>
      <c r="D1837">
        <v>-1.0089999999999999</v>
      </c>
      <c r="E1837">
        <v>-10.59</v>
      </c>
      <c r="F1837">
        <v>8.4499999999999993</v>
      </c>
      <c r="G1837">
        <v>9.19</v>
      </c>
      <c r="K1837">
        <v>6.4260000000000002</v>
      </c>
      <c r="L1837">
        <v>227.8</v>
      </c>
      <c r="M1837">
        <v>0</v>
      </c>
      <c r="O1837">
        <v>-11.5</v>
      </c>
      <c r="P1837">
        <v>-10.85</v>
      </c>
      <c r="Q1837">
        <v>5.2560000000000002</v>
      </c>
      <c r="S1837">
        <v>4.6660000000000004</v>
      </c>
      <c r="T1837">
        <v>0</v>
      </c>
      <c r="U1837">
        <v>90.8</v>
      </c>
      <c r="V1837">
        <v>949</v>
      </c>
      <c r="W1837">
        <v>43.54</v>
      </c>
      <c r="Y1837">
        <v>12.96</v>
      </c>
    </row>
    <row r="1838" spans="1:25" x14ac:dyDescent="0.25">
      <c r="A1838">
        <v>2007</v>
      </c>
      <c r="B1838">
        <v>11</v>
      </c>
      <c r="C1838">
        <v>500</v>
      </c>
      <c r="D1838">
        <v>-1</v>
      </c>
      <c r="E1838">
        <v>-14.17</v>
      </c>
      <c r="F1838">
        <v>8.4700000000000006</v>
      </c>
      <c r="G1838">
        <v>9.15</v>
      </c>
      <c r="K1838">
        <v>6.665</v>
      </c>
      <c r="L1838">
        <v>227.8</v>
      </c>
      <c r="M1838">
        <v>0.2</v>
      </c>
      <c r="O1838">
        <v>-11.51</v>
      </c>
      <c r="P1838">
        <v>-10.85</v>
      </c>
      <c r="Q1838">
        <v>5.423</v>
      </c>
      <c r="S1838">
        <v>4.7119999999999997</v>
      </c>
      <c r="T1838">
        <v>0</v>
      </c>
      <c r="U1838">
        <v>91.6</v>
      </c>
      <c r="V1838">
        <v>949</v>
      </c>
      <c r="W1838">
        <v>43.53</v>
      </c>
      <c r="Y1838">
        <v>12.95</v>
      </c>
    </row>
    <row r="1839" spans="1:25" x14ac:dyDescent="0.25">
      <c r="A1839">
        <v>2007</v>
      </c>
      <c r="B1839">
        <v>11</v>
      </c>
      <c r="C1839">
        <v>600</v>
      </c>
      <c r="D1839">
        <v>-0.84699999999999998</v>
      </c>
      <c r="E1839">
        <v>-18.36</v>
      </c>
      <c r="F1839">
        <v>8</v>
      </c>
      <c r="G1839">
        <v>8.25</v>
      </c>
      <c r="K1839">
        <v>6.5590000000000002</v>
      </c>
      <c r="L1839">
        <v>227.5</v>
      </c>
      <c r="M1839">
        <v>0.2</v>
      </c>
      <c r="O1839">
        <v>-11.5</v>
      </c>
      <c r="P1839">
        <v>-10.85</v>
      </c>
      <c r="Q1839">
        <v>5.4909999999999997</v>
      </c>
      <c r="S1839">
        <v>4.7770000000000001</v>
      </c>
      <c r="T1839">
        <v>0</v>
      </c>
      <c r="U1839">
        <v>96.9</v>
      </c>
      <c r="V1839">
        <v>952</v>
      </c>
      <c r="W1839">
        <v>43.83</v>
      </c>
      <c r="Y1839">
        <v>12.94</v>
      </c>
    </row>
    <row r="1840" spans="1:25" x14ac:dyDescent="0.25">
      <c r="A1840">
        <v>2007</v>
      </c>
      <c r="B1840">
        <v>11</v>
      </c>
      <c r="C1840">
        <v>700</v>
      </c>
      <c r="D1840">
        <v>-0.79400000000000004</v>
      </c>
      <c r="E1840">
        <v>-13.15</v>
      </c>
      <c r="F1840">
        <v>7.95</v>
      </c>
      <c r="G1840">
        <v>8.3800000000000008</v>
      </c>
      <c r="K1840">
        <v>5.952</v>
      </c>
      <c r="L1840">
        <v>227.4</v>
      </c>
      <c r="M1840">
        <v>0.2</v>
      </c>
      <c r="O1840">
        <v>-11.5</v>
      </c>
      <c r="P1840">
        <v>-10.85</v>
      </c>
      <c r="Q1840">
        <v>5.5389999999999997</v>
      </c>
      <c r="S1840">
        <v>4.8029999999999999</v>
      </c>
      <c r="T1840">
        <v>0</v>
      </c>
      <c r="U1840">
        <v>94.4</v>
      </c>
      <c r="V1840">
        <v>953</v>
      </c>
      <c r="W1840">
        <v>43.91</v>
      </c>
      <c r="Y1840">
        <v>12.93</v>
      </c>
    </row>
    <row r="1841" spans="1:25" x14ac:dyDescent="0.25">
      <c r="A1841">
        <v>2007</v>
      </c>
      <c r="B1841">
        <v>11</v>
      </c>
      <c r="C1841">
        <v>800</v>
      </c>
      <c r="D1841">
        <v>-1.2729999999999999</v>
      </c>
      <c r="E1841">
        <v>-14.78</v>
      </c>
      <c r="F1841">
        <v>6.9189999999999996</v>
      </c>
      <c r="G1841">
        <v>7.04</v>
      </c>
      <c r="K1841">
        <v>5.3049999999999997</v>
      </c>
      <c r="L1841">
        <v>227.5</v>
      </c>
      <c r="M1841">
        <v>0.2</v>
      </c>
      <c r="O1841">
        <v>-11.51</v>
      </c>
      <c r="P1841">
        <v>-10.85</v>
      </c>
      <c r="Q1841">
        <v>5.5190000000000001</v>
      </c>
      <c r="S1841">
        <v>4.8319999999999999</v>
      </c>
      <c r="T1841">
        <v>0</v>
      </c>
      <c r="U1841">
        <v>98.4</v>
      </c>
      <c r="V1841">
        <v>954</v>
      </c>
      <c r="W1841">
        <v>44.02</v>
      </c>
      <c r="Y1841">
        <v>12.92</v>
      </c>
    </row>
    <row r="1842" spans="1:25" x14ac:dyDescent="0.25">
      <c r="A1842">
        <v>2007</v>
      </c>
      <c r="B1842">
        <v>11</v>
      </c>
      <c r="C1842">
        <v>900</v>
      </c>
      <c r="D1842">
        <v>0.29799999999999999</v>
      </c>
      <c r="E1842">
        <v>-14.54</v>
      </c>
      <c r="F1842">
        <v>7.29</v>
      </c>
      <c r="G1842">
        <v>7.78</v>
      </c>
      <c r="H1842">
        <v>7.512833333333333</v>
      </c>
      <c r="K1842">
        <v>6.4859999999999998</v>
      </c>
      <c r="L1842">
        <v>227.4</v>
      </c>
      <c r="M1842">
        <v>0.2</v>
      </c>
      <c r="O1842">
        <v>-8.41</v>
      </c>
      <c r="P1842">
        <v>-10.130000000000001</v>
      </c>
      <c r="Q1842">
        <v>5.49</v>
      </c>
      <c r="S1842">
        <v>4.8739999999999997</v>
      </c>
      <c r="T1842">
        <v>0</v>
      </c>
      <c r="U1842">
        <v>93.6</v>
      </c>
      <c r="V1842">
        <v>954</v>
      </c>
      <c r="W1842">
        <v>44</v>
      </c>
      <c r="Y1842">
        <v>12.92</v>
      </c>
    </row>
    <row r="1843" spans="1:25" x14ac:dyDescent="0.25">
      <c r="A1843">
        <v>2007</v>
      </c>
      <c r="B1843">
        <v>11</v>
      </c>
      <c r="C1843">
        <v>1000</v>
      </c>
      <c r="D1843">
        <v>19.98</v>
      </c>
      <c r="E1843">
        <v>-1.6830000000000001</v>
      </c>
      <c r="F1843">
        <v>7.41</v>
      </c>
      <c r="G1843">
        <v>7.75</v>
      </c>
      <c r="K1843">
        <v>6.8490000000000002</v>
      </c>
      <c r="L1843">
        <v>228</v>
      </c>
      <c r="M1843">
        <v>0</v>
      </c>
      <c r="O1843">
        <v>14.13</v>
      </c>
      <c r="P1843">
        <v>-4.6360000000000001</v>
      </c>
      <c r="Q1843">
        <v>5.49</v>
      </c>
      <c r="S1843">
        <v>4.8849999999999998</v>
      </c>
      <c r="T1843">
        <v>0</v>
      </c>
      <c r="U1843">
        <v>95.4</v>
      </c>
      <c r="V1843">
        <v>955</v>
      </c>
      <c r="W1843">
        <v>44.1</v>
      </c>
      <c r="Y1843">
        <v>12.92</v>
      </c>
    </row>
    <row r="1844" spans="1:25" x14ac:dyDescent="0.25">
      <c r="A1844">
        <v>2007</v>
      </c>
      <c r="B1844">
        <v>11</v>
      </c>
      <c r="C1844">
        <v>1100</v>
      </c>
      <c r="D1844">
        <v>62.45</v>
      </c>
      <c r="E1844">
        <v>30.72</v>
      </c>
      <c r="F1844">
        <v>7.59</v>
      </c>
      <c r="G1844">
        <v>7.9</v>
      </c>
      <c r="K1844">
        <v>7.18</v>
      </c>
      <c r="L1844">
        <v>227.7</v>
      </c>
      <c r="M1844">
        <v>0</v>
      </c>
      <c r="O1844">
        <v>69.849999999999994</v>
      </c>
      <c r="P1844">
        <v>8.74</v>
      </c>
      <c r="Q1844">
        <v>5.49</v>
      </c>
      <c r="S1844">
        <v>4.8849999999999998</v>
      </c>
      <c r="T1844">
        <v>0</v>
      </c>
      <c r="U1844">
        <v>95.9</v>
      </c>
      <c r="V1844">
        <v>955</v>
      </c>
      <c r="W1844">
        <v>44.09</v>
      </c>
      <c r="Y1844">
        <v>13.39</v>
      </c>
    </row>
    <row r="1845" spans="1:25" x14ac:dyDescent="0.25">
      <c r="A1845">
        <v>2007</v>
      </c>
      <c r="B1845">
        <v>11</v>
      </c>
      <c r="C1845">
        <v>1200</v>
      </c>
      <c r="D1845">
        <v>41.21</v>
      </c>
      <c r="E1845">
        <v>13.95</v>
      </c>
      <c r="F1845">
        <v>7.44</v>
      </c>
      <c r="G1845">
        <v>7.61</v>
      </c>
      <c r="K1845">
        <v>6.6609999999999996</v>
      </c>
      <c r="L1845">
        <v>227.9</v>
      </c>
      <c r="M1845">
        <v>1</v>
      </c>
      <c r="O1845">
        <v>39.450000000000003</v>
      </c>
      <c r="P1845">
        <v>0.67900000000000005</v>
      </c>
      <c r="Q1845">
        <v>5.5190000000000001</v>
      </c>
      <c r="S1845">
        <v>4.8849999999999998</v>
      </c>
      <c r="T1845">
        <v>0</v>
      </c>
      <c r="U1845">
        <v>97.8</v>
      </c>
      <c r="V1845">
        <v>955</v>
      </c>
      <c r="W1845">
        <v>44.08</v>
      </c>
      <c r="Y1845">
        <v>13.38</v>
      </c>
    </row>
    <row r="1846" spans="1:25" x14ac:dyDescent="0.25">
      <c r="A1846">
        <v>2007</v>
      </c>
      <c r="B1846">
        <v>11</v>
      </c>
      <c r="C1846">
        <v>1300</v>
      </c>
      <c r="D1846">
        <v>75.3</v>
      </c>
      <c r="E1846">
        <v>36.54</v>
      </c>
      <c r="F1846">
        <v>7.72</v>
      </c>
      <c r="G1846">
        <v>8.08</v>
      </c>
      <c r="K1846">
        <v>6.89</v>
      </c>
      <c r="L1846">
        <v>228.1</v>
      </c>
      <c r="M1846">
        <v>0</v>
      </c>
      <c r="O1846">
        <v>79.2</v>
      </c>
      <c r="P1846">
        <v>11.96</v>
      </c>
      <c r="Q1846">
        <v>5.5860000000000003</v>
      </c>
      <c r="S1846">
        <v>4.9269999999999996</v>
      </c>
      <c r="T1846">
        <v>0</v>
      </c>
      <c r="U1846">
        <v>95.4</v>
      </c>
      <c r="V1846">
        <v>956</v>
      </c>
      <c r="W1846">
        <v>44.14</v>
      </c>
      <c r="Y1846">
        <v>13.56</v>
      </c>
    </row>
    <row r="1847" spans="1:25" x14ac:dyDescent="0.25">
      <c r="A1847">
        <v>2007</v>
      </c>
      <c r="B1847">
        <v>11</v>
      </c>
      <c r="C1847">
        <v>1400</v>
      </c>
      <c r="D1847">
        <v>95.4</v>
      </c>
      <c r="E1847">
        <v>46.04</v>
      </c>
      <c r="F1847">
        <v>8.31</v>
      </c>
      <c r="G1847">
        <v>8.77</v>
      </c>
      <c r="K1847">
        <v>7.17</v>
      </c>
      <c r="L1847">
        <v>228.8</v>
      </c>
      <c r="M1847">
        <v>0</v>
      </c>
      <c r="O1847">
        <v>100.2</v>
      </c>
      <c r="P1847">
        <v>22.82</v>
      </c>
      <c r="Q1847">
        <v>5.6950000000000003</v>
      </c>
      <c r="S1847">
        <v>4.976</v>
      </c>
      <c r="T1847">
        <v>0</v>
      </c>
      <c r="U1847">
        <v>94.2</v>
      </c>
      <c r="V1847">
        <v>955</v>
      </c>
      <c r="W1847">
        <v>44.1</v>
      </c>
      <c r="Y1847">
        <v>13.7</v>
      </c>
    </row>
    <row r="1848" spans="1:25" x14ac:dyDescent="0.25">
      <c r="A1848">
        <v>2007</v>
      </c>
      <c r="B1848">
        <v>11</v>
      </c>
      <c r="C1848">
        <v>1500</v>
      </c>
      <c r="D1848">
        <v>56.03</v>
      </c>
      <c r="E1848">
        <v>20.329999999999998</v>
      </c>
      <c r="F1848">
        <v>7.23</v>
      </c>
      <c r="G1848">
        <v>7.42</v>
      </c>
      <c r="K1848">
        <v>7.91</v>
      </c>
      <c r="L1848">
        <v>228.7</v>
      </c>
      <c r="M1848">
        <v>0.8</v>
      </c>
      <c r="O1848">
        <v>57.1</v>
      </c>
      <c r="P1848">
        <v>10.63</v>
      </c>
      <c r="Q1848">
        <v>5.734</v>
      </c>
      <c r="S1848">
        <v>4.9089999999999998</v>
      </c>
      <c r="T1848">
        <v>0</v>
      </c>
      <c r="U1848">
        <v>97.5</v>
      </c>
      <c r="V1848">
        <v>955</v>
      </c>
      <c r="W1848">
        <v>44.08</v>
      </c>
      <c r="Y1848">
        <v>13.59</v>
      </c>
    </row>
    <row r="1849" spans="1:25" x14ac:dyDescent="0.25">
      <c r="A1849">
        <v>2007</v>
      </c>
      <c r="B1849">
        <v>11</v>
      </c>
      <c r="C1849">
        <v>1600</v>
      </c>
      <c r="D1849">
        <v>42.73</v>
      </c>
      <c r="E1849">
        <v>-8.15</v>
      </c>
      <c r="F1849">
        <v>6.931</v>
      </c>
      <c r="G1849">
        <v>7.35</v>
      </c>
      <c r="K1849">
        <v>6.5570000000000004</v>
      </c>
      <c r="L1849">
        <v>229.2</v>
      </c>
      <c r="M1849">
        <v>0</v>
      </c>
      <c r="O1849">
        <v>41.95</v>
      </c>
      <c r="P1849">
        <v>10.4</v>
      </c>
      <c r="Q1849">
        <v>5.798</v>
      </c>
      <c r="S1849">
        <v>4.9809999999999999</v>
      </c>
      <c r="T1849">
        <v>0</v>
      </c>
      <c r="U1849">
        <v>94.4</v>
      </c>
      <c r="V1849">
        <v>962</v>
      </c>
      <c r="W1849">
        <v>44.85</v>
      </c>
      <c r="Y1849">
        <v>13.51</v>
      </c>
    </row>
    <row r="1850" spans="1:25" x14ac:dyDescent="0.25">
      <c r="A1850">
        <v>2007</v>
      </c>
      <c r="B1850">
        <v>11</v>
      </c>
      <c r="C1850">
        <v>1700</v>
      </c>
      <c r="D1850">
        <v>1.6659999999999999</v>
      </c>
      <c r="E1850">
        <v>-34.17</v>
      </c>
      <c r="F1850">
        <v>7.27</v>
      </c>
      <c r="G1850">
        <v>7.67</v>
      </c>
      <c r="K1850">
        <v>5.8609999999999998</v>
      </c>
      <c r="L1850">
        <v>229.6</v>
      </c>
      <c r="M1850">
        <v>0</v>
      </c>
      <c r="O1850">
        <v>-6.4889999999999999</v>
      </c>
      <c r="P1850">
        <v>-9.33</v>
      </c>
      <c r="Q1850">
        <v>5.7850000000000001</v>
      </c>
      <c r="S1850">
        <v>4.9930000000000003</v>
      </c>
      <c r="T1850">
        <v>0</v>
      </c>
      <c r="U1850">
        <v>94.8</v>
      </c>
      <c r="V1850">
        <v>955</v>
      </c>
      <c r="W1850">
        <v>44.14</v>
      </c>
      <c r="Y1850">
        <v>13.35</v>
      </c>
    </row>
    <row r="1851" spans="1:25" x14ac:dyDescent="0.25">
      <c r="A1851">
        <v>2007</v>
      </c>
      <c r="B1851">
        <v>11</v>
      </c>
      <c r="C1851">
        <v>1800</v>
      </c>
      <c r="D1851">
        <v>-1.5720000000000001</v>
      </c>
      <c r="E1851">
        <v>-19.25</v>
      </c>
      <c r="F1851">
        <v>6.657</v>
      </c>
      <c r="G1851">
        <v>6.7830000000000004</v>
      </c>
      <c r="K1851">
        <v>5.0039999999999996</v>
      </c>
      <c r="L1851">
        <v>229.5</v>
      </c>
      <c r="M1851">
        <v>0.6</v>
      </c>
      <c r="O1851">
        <v>-11.5</v>
      </c>
      <c r="P1851">
        <v>-10.84</v>
      </c>
      <c r="Q1851">
        <v>5.6849999999999996</v>
      </c>
      <c r="S1851">
        <v>4.9930000000000003</v>
      </c>
      <c r="T1851">
        <v>0</v>
      </c>
      <c r="U1851">
        <v>98.3</v>
      </c>
      <c r="V1851">
        <v>956</v>
      </c>
      <c r="W1851">
        <v>44.15</v>
      </c>
      <c r="Y1851">
        <v>13.24</v>
      </c>
    </row>
    <row r="1852" spans="1:25" x14ac:dyDescent="0.25">
      <c r="A1852">
        <v>2007</v>
      </c>
      <c r="B1852">
        <v>11</v>
      </c>
      <c r="C1852">
        <v>1900</v>
      </c>
      <c r="D1852">
        <v>-1.978</v>
      </c>
      <c r="E1852">
        <v>-36.770000000000003</v>
      </c>
      <c r="F1852">
        <v>6.1390000000000002</v>
      </c>
      <c r="G1852">
        <v>6.5129999999999999</v>
      </c>
      <c r="K1852">
        <v>4.5720000000000001</v>
      </c>
      <c r="L1852">
        <v>228.8</v>
      </c>
      <c r="M1852">
        <v>0</v>
      </c>
      <c r="O1852">
        <v>-11.5</v>
      </c>
      <c r="P1852">
        <v>-10.84</v>
      </c>
      <c r="Q1852">
        <v>5.5670000000000002</v>
      </c>
      <c r="S1852">
        <v>4.9930000000000003</v>
      </c>
      <c r="T1852">
        <v>0</v>
      </c>
      <c r="U1852">
        <v>94.9</v>
      </c>
      <c r="V1852">
        <v>957</v>
      </c>
      <c r="W1852">
        <v>44.24</v>
      </c>
      <c r="Y1852">
        <v>13.16</v>
      </c>
    </row>
    <row r="1853" spans="1:25" x14ac:dyDescent="0.25">
      <c r="A1853">
        <v>2007</v>
      </c>
      <c r="B1853">
        <v>11</v>
      </c>
      <c r="C1853">
        <v>2000</v>
      </c>
      <c r="D1853">
        <v>-2.0419999999999998</v>
      </c>
      <c r="E1853">
        <v>-41.91</v>
      </c>
      <c r="F1853">
        <v>6.0759999999999996</v>
      </c>
      <c r="G1853">
        <v>6.3490000000000002</v>
      </c>
      <c r="K1853">
        <v>4.4009999999999998</v>
      </c>
      <c r="L1853">
        <v>228.7</v>
      </c>
      <c r="M1853">
        <v>0</v>
      </c>
      <c r="O1853">
        <v>-11.5</v>
      </c>
      <c r="P1853">
        <v>-10.83</v>
      </c>
      <c r="Q1853">
        <v>5.4509999999999996</v>
      </c>
      <c r="S1853">
        <v>4.9850000000000003</v>
      </c>
      <c r="T1853">
        <v>0</v>
      </c>
      <c r="U1853">
        <v>96.2</v>
      </c>
      <c r="V1853">
        <v>960</v>
      </c>
      <c r="W1853">
        <v>44.58</v>
      </c>
      <c r="Y1853">
        <v>13.1</v>
      </c>
    </row>
    <row r="1854" spans="1:25" x14ac:dyDescent="0.25">
      <c r="A1854">
        <v>2007</v>
      </c>
      <c r="B1854">
        <v>11</v>
      </c>
      <c r="C1854">
        <v>2100</v>
      </c>
      <c r="D1854">
        <v>-2.3490000000000002</v>
      </c>
      <c r="E1854">
        <v>-45.25</v>
      </c>
      <c r="F1854">
        <v>5.7969999999999997</v>
      </c>
      <c r="G1854">
        <v>6.0780000000000003</v>
      </c>
      <c r="K1854">
        <v>3.7549999999999999</v>
      </c>
      <c r="L1854">
        <v>228.8</v>
      </c>
      <c r="M1854">
        <v>0</v>
      </c>
      <c r="O1854">
        <v>-11.49</v>
      </c>
      <c r="P1854">
        <v>-10.82</v>
      </c>
      <c r="Q1854">
        <v>5.3170000000000002</v>
      </c>
      <c r="S1854">
        <v>4.9080000000000004</v>
      </c>
      <c r="T1854">
        <v>0</v>
      </c>
      <c r="U1854">
        <v>96.1</v>
      </c>
      <c r="V1854">
        <v>958</v>
      </c>
      <c r="W1854">
        <v>44.42</v>
      </c>
      <c r="Y1854">
        <v>13.05</v>
      </c>
    </row>
    <row r="1855" spans="1:25" x14ac:dyDescent="0.25">
      <c r="A1855">
        <v>2007</v>
      </c>
      <c r="B1855">
        <v>11</v>
      </c>
      <c r="C1855">
        <v>2200</v>
      </c>
      <c r="D1855">
        <v>-1.62</v>
      </c>
      <c r="E1855">
        <v>-28.32</v>
      </c>
      <c r="F1855">
        <v>6.3010000000000002</v>
      </c>
      <c r="G1855">
        <v>6.6260000000000003</v>
      </c>
      <c r="K1855">
        <v>3.8460000000000001</v>
      </c>
      <c r="L1855">
        <v>228.7</v>
      </c>
      <c r="M1855">
        <v>0</v>
      </c>
      <c r="O1855">
        <v>-11.49</v>
      </c>
      <c r="P1855">
        <v>-10.77</v>
      </c>
      <c r="Q1855">
        <v>5.18</v>
      </c>
      <c r="S1855">
        <v>4.9029999999999996</v>
      </c>
      <c r="T1855">
        <v>0</v>
      </c>
      <c r="U1855">
        <v>95.6</v>
      </c>
      <c r="V1855">
        <v>958</v>
      </c>
      <c r="W1855">
        <v>44.35</v>
      </c>
      <c r="Y1855">
        <v>13.01</v>
      </c>
    </row>
    <row r="1856" spans="1:25" x14ac:dyDescent="0.25">
      <c r="A1856">
        <v>2007</v>
      </c>
      <c r="B1856">
        <v>11</v>
      </c>
      <c r="C1856">
        <v>2300</v>
      </c>
      <c r="D1856">
        <v>-1.98</v>
      </c>
      <c r="E1856">
        <v>-38.409999999999997</v>
      </c>
      <c r="F1856">
        <v>6.0659999999999998</v>
      </c>
      <c r="G1856">
        <v>6.335</v>
      </c>
      <c r="K1856">
        <v>3.6779999999999999</v>
      </c>
      <c r="L1856">
        <v>228.5</v>
      </c>
      <c r="M1856">
        <v>0</v>
      </c>
      <c r="O1856">
        <v>-11.49</v>
      </c>
      <c r="P1856">
        <v>-10.8</v>
      </c>
      <c r="Q1856">
        <v>5.0510000000000002</v>
      </c>
      <c r="S1856">
        <v>4.859</v>
      </c>
      <c r="T1856">
        <v>0</v>
      </c>
      <c r="U1856">
        <v>96.3</v>
      </c>
      <c r="V1856">
        <v>958</v>
      </c>
      <c r="W1856">
        <v>44.38</v>
      </c>
      <c r="Y1856">
        <v>12.98</v>
      </c>
    </row>
    <row r="1857" spans="1:25" x14ac:dyDescent="0.25">
      <c r="A1857">
        <v>2007</v>
      </c>
      <c r="B1857">
        <v>11</v>
      </c>
      <c r="C1857">
        <v>2400</v>
      </c>
      <c r="D1857">
        <v>-1.7589999999999999</v>
      </c>
      <c r="E1857">
        <v>-33.229999999999997</v>
      </c>
      <c r="F1857">
        <v>6.0510000000000002</v>
      </c>
      <c r="G1857">
        <v>6.3090000000000002</v>
      </c>
      <c r="K1857">
        <v>3.8889999999999998</v>
      </c>
      <c r="L1857">
        <v>228.2</v>
      </c>
      <c r="M1857">
        <v>0</v>
      </c>
      <c r="O1857">
        <v>-11.49</v>
      </c>
      <c r="P1857">
        <v>-10.79</v>
      </c>
      <c r="Q1857">
        <v>4.97</v>
      </c>
      <c r="S1857">
        <v>4.7830000000000004</v>
      </c>
      <c r="T1857">
        <v>0</v>
      </c>
      <c r="U1857">
        <v>96.4</v>
      </c>
      <c r="V1857">
        <v>958</v>
      </c>
      <c r="W1857">
        <v>44.42</v>
      </c>
      <c r="Y1857">
        <v>12.95</v>
      </c>
    </row>
    <row r="1858" spans="1:25" x14ac:dyDescent="0.25">
      <c r="A1858">
        <v>2007</v>
      </c>
      <c r="B1858">
        <v>12</v>
      </c>
      <c r="C1858">
        <v>100</v>
      </c>
      <c r="D1858">
        <v>-1.1000000000000001</v>
      </c>
      <c r="E1858">
        <v>-14.17</v>
      </c>
      <c r="F1858">
        <v>6.3890000000000002</v>
      </c>
      <c r="G1858">
        <v>6.6909999999999998</v>
      </c>
      <c r="K1858">
        <v>3.2509999999999999</v>
      </c>
      <c r="L1858">
        <v>225.6</v>
      </c>
      <c r="M1858">
        <v>0</v>
      </c>
      <c r="O1858">
        <v>-11.48</v>
      </c>
      <c r="P1858">
        <v>-10.79</v>
      </c>
      <c r="Q1858">
        <v>4.9089999999999998</v>
      </c>
      <c r="S1858">
        <v>4.7850000000000001</v>
      </c>
      <c r="T1858">
        <v>0</v>
      </c>
      <c r="U1858">
        <v>95.9</v>
      </c>
      <c r="V1858">
        <v>955</v>
      </c>
      <c r="W1858">
        <v>44.07</v>
      </c>
      <c r="Y1858">
        <v>12.94</v>
      </c>
    </row>
    <row r="1859" spans="1:25" x14ac:dyDescent="0.25">
      <c r="A1859">
        <v>2007</v>
      </c>
      <c r="B1859">
        <v>12</v>
      </c>
      <c r="C1859">
        <v>200</v>
      </c>
      <c r="D1859">
        <v>-0.69399999999999995</v>
      </c>
      <c r="E1859">
        <v>-5.2510000000000003</v>
      </c>
      <c r="F1859">
        <v>6.5030000000000001</v>
      </c>
      <c r="G1859">
        <v>6.758</v>
      </c>
      <c r="K1859">
        <v>3.2120000000000002</v>
      </c>
      <c r="L1859">
        <v>226</v>
      </c>
      <c r="M1859">
        <v>0</v>
      </c>
      <c r="O1859">
        <v>-11.47</v>
      </c>
      <c r="P1859">
        <v>-10.79</v>
      </c>
      <c r="Q1859">
        <v>4.8639999999999999</v>
      </c>
      <c r="S1859">
        <v>4.702</v>
      </c>
      <c r="T1859">
        <v>0</v>
      </c>
      <c r="U1859">
        <v>96.5</v>
      </c>
      <c r="V1859">
        <v>954</v>
      </c>
      <c r="W1859">
        <v>44</v>
      </c>
      <c r="Y1859">
        <v>12.92</v>
      </c>
    </row>
    <row r="1860" spans="1:25" x14ac:dyDescent="0.25">
      <c r="A1860">
        <v>2007</v>
      </c>
      <c r="B1860">
        <v>12</v>
      </c>
      <c r="C1860">
        <v>300</v>
      </c>
      <c r="D1860">
        <v>-1.603</v>
      </c>
      <c r="E1860">
        <v>-8.68</v>
      </c>
      <c r="F1860">
        <v>6.8339999999999996</v>
      </c>
      <c r="G1860">
        <v>7.1</v>
      </c>
      <c r="K1860">
        <v>3.798</v>
      </c>
      <c r="L1860">
        <v>227.7</v>
      </c>
      <c r="M1860">
        <v>0</v>
      </c>
      <c r="O1860">
        <v>-11.49</v>
      </c>
      <c r="P1860">
        <v>-10.8</v>
      </c>
      <c r="Q1860">
        <v>4.9160000000000004</v>
      </c>
      <c r="S1860">
        <v>4.6689999999999996</v>
      </c>
      <c r="T1860">
        <v>0</v>
      </c>
      <c r="U1860">
        <v>96.4</v>
      </c>
      <c r="V1860">
        <v>953</v>
      </c>
      <c r="W1860">
        <v>43.89</v>
      </c>
      <c r="Y1860">
        <v>12.91</v>
      </c>
    </row>
    <row r="1861" spans="1:25" x14ac:dyDescent="0.25">
      <c r="A1861">
        <v>2007</v>
      </c>
      <c r="B1861">
        <v>12</v>
      </c>
      <c r="C1861">
        <v>400</v>
      </c>
      <c r="D1861">
        <v>-1.113</v>
      </c>
      <c r="E1861">
        <v>-5.7649999999999997</v>
      </c>
      <c r="F1861">
        <v>6.8730000000000002</v>
      </c>
      <c r="G1861">
        <v>6.976</v>
      </c>
      <c r="K1861">
        <v>3.9260000000000002</v>
      </c>
      <c r="L1861">
        <v>221.8</v>
      </c>
      <c r="M1861">
        <v>0.2</v>
      </c>
      <c r="O1861">
        <v>-11.5</v>
      </c>
      <c r="P1861">
        <v>-10.82</v>
      </c>
      <c r="Q1861">
        <v>4.99</v>
      </c>
      <c r="S1861">
        <v>4.6680000000000001</v>
      </c>
      <c r="T1861">
        <v>0</v>
      </c>
      <c r="U1861">
        <v>98.6</v>
      </c>
      <c r="V1861">
        <v>953</v>
      </c>
      <c r="W1861">
        <v>43.89</v>
      </c>
      <c r="Y1861">
        <v>12.9</v>
      </c>
    </row>
    <row r="1862" spans="1:25" x14ac:dyDescent="0.25">
      <c r="A1862">
        <v>2007</v>
      </c>
      <c r="B1862">
        <v>12</v>
      </c>
      <c r="C1862">
        <v>500</v>
      </c>
      <c r="D1862">
        <v>-0.60499999999999998</v>
      </c>
      <c r="E1862">
        <v>-2.2799999999999998</v>
      </c>
      <c r="F1862">
        <v>6.99</v>
      </c>
      <c r="G1862">
        <v>7.12</v>
      </c>
      <c r="K1862">
        <v>4.4569999999999999</v>
      </c>
      <c r="L1862">
        <v>221.2</v>
      </c>
      <c r="M1862">
        <v>0</v>
      </c>
      <c r="O1862">
        <v>-11.5</v>
      </c>
      <c r="P1862">
        <v>-10.84</v>
      </c>
      <c r="Q1862">
        <v>5.077</v>
      </c>
      <c r="S1862">
        <v>4.6680000000000001</v>
      </c>
      <c r="T1862">
        <v>0</v>
      </c>
      <c r="U1862">
        <v>98.2</v>
      </c>
      <c r="V1862">
        <v>954</v>
      </c>
      <c r="W1862">
        <v>44.03</v>
      </c>
      <c r="Y1862">
        <v>12.89</v>
      </c>
    </row>
    <row r="1863" spans="1:25" x14ac:dyDescent="0.25">
      <c r="A1863">
        <v>2007</v>
      </c>
      <c r="B1863">
        <v>12</v>
      </c>
      <c r="C1863">
        <v>600</v>
      </c>
      <c r="D1863">
        <v>-0.92900000000000005</v>
      </c>
      <c r="E1863">
        <v>-1.1739999999999999</v>
      </c>
      <c r="F1863">
        <v>8.1300000000000008</v>
      </c>
      <c r="G1863">
        <v>8.2799999999999994</v>
      </c>
      <c r="K1863">
        <v>4.2300000000000004</v>
      </c>
      <c r="L1863">
        <v>225.8</v>
      </c>
      <c r="M1863">
        <v>0</v>
      </c>
      <c r="O1863">
        <v>-11.5</v>
      </c>
      <c r="P1863">
        <v>-10.83</v>
      </c>
      <c r="Q1863">
        <v>5.1890000000000001</v>
      </c>
      <c r="S1863">
        <v>4.6689999999999996</v>
      </c>
      <c r="T1863">
        <v>0</v>
      </c>
      <c r="U1863">
        <v>98</v>
      </c>
      <c r="V1863">
        <v>955</v>
      </c>
      <c r="W1863">
        <v>44.14</v>
      </c>
      <c r="Y1863">
        <v>12.89</v>
      </c>
    </row>
    <row r="1864" spans="1:25" x14ac:dyDescent="0.25">
      <c r="A1864">
        <v>2007</v>
      </c>
      <c r="B1864">
        <v>12</v>
      </c>
      <c r="C1864">
        <v>700</v>
      </c>
      <c r="D1864">
        <v>-1.1539999999999999</v>
      </c>
      <c r="E1864">
        <v>-1.23</v>
      </c>
      <c r="F1864">
        <v>9.9</v>
      </c>
      <c r="G1864">
        <v>10.42</v>
      </c>
      <c r="K1864">
        <v>5.1980000000000004</v>
      </c>
      <c r="L1864">
        <v>227.6</v>
      </c>
      <c r="M1864">
        <v>0.2</v>
      </c>
      <c r="O1864">
        <v>-11.5</v>
      </c>
      <c r="P1864">
        <v>-10.84</v>
      </c>
      <c r="Q1864">
        <v>5.3579999999999997</v>
      </c>
      <c r="S1864">
        <v>4.7480000000000002</v>
      </c>
      <c r="T1864">
        <v>0</v>
      </c>
      <c r="U1864">
        <v>93.9</v>
      </c>
      <c r="V1864">
        <v>954</v>
      </c>
      <c r="W1864">
        <v>44.04</v>
      </c>
      <c r="Y1864">
        <v>12.89</v>
      </c>
    </row>
    <row r="1865" spans="1:25" x14ac:dyDescent="0.25">
      <c r="A1865">
        <v>2007</v>
      </c>
      <c r="B1865">
        <v>12</v>
      </c>
      <c r="C1865">
        <v>800</v>
      </c>
      <c r="D1865">
        <v>-0.73499999999999999</v>
      </c>
      <c r="E1865">
        <v>-0.60699999999999998</v>
      </c>
      <c r="F1865">
        <v>10.86</v>
      </c>
      <c r="G1865">
        <v>11.64</v>
      </c>
      <c r="K1865">
        <v>5.6239999999999997</v>
      </c>
      <c r="L1865">
        <v>227.6</v>
      </c>
      <c r="M1865">
        <v>0</v>
      </c>
      <c r="O1865">
        <v>-11.5</v>
      </c>
      <c r="P1865">
        <v>-10.85</v>
      </c>
      <c r="Q1865">
        <v>5.5259999999999998</v>
      </c>
      <c r="S1865">
        <v>4.7539999999999996</v>
      </c>
      <c r="T1865">
        <v>0</v>
      </c>
      <c r="U1865">
        <v>91.1</v>
      </c>
      <c r="V1865">
        <v>953</v>
      </c>
      <c r="W1865">
        <v>43.88</v>
      </c>
      <c r="Y1865">
        <v>12.89</v>
      </c>
    </row>
    <row r="1866" spans="1:25" x14ac:dyDescent="0.25">
      <c r="A1866">
        <v>2007</v>
      </c>
      <c r="B1866">
        <v>12</v>
      </c>
      <c r="C1866">
        <v>900</v>
      </c>
      <c r="D1866">
        <v>0.312</v>
      </c>
      <c r="E1866">
        <v>2.3330000000000002</v>
      </c>
      <c r="F1866">
        <v>11.41</v>
      </c>
      <c r="G1866">
        <v>11.83</v>
      </c>
      <c r="H1866">
        <v>10.11125</v>
      </c>
      <c r="K1866">
        <v>5.3680000000000003</v>
      </c>
      <c r="L1866">
        <v>227.8</v>
      </c>
      <c r="M1866">
        <v>0</v>
      </c>
      <c r="O1866">
        <v>-10.45</v>
      </c>
      <c r="P1866">
        <v>-10.63</v>
      </c>
      <c r="Q1866">
        <v>5.7789999999999999</v>
      </c>
      <c r="S1866">
        <v>4.8090000000000002</v>
      </c>
      <c r="T1866">
        <v>0</v>
      </c>
      <c r="U1866">
        <v>95.3</v>
      </c>
      <c r="V1866">
        <v>948</v>
      </c>
      <c r="W1866">
        <v>43.46</v>
      </c>
      <c r="Y1866">
        <v>12.89</v>
      </c>
    </row>
    <row r="1867" spans="1:25" x14ac:dyDescent="0.25">
      <c r="A1867">
        <v>2007</v>
      </c>
      <c r="B1867">
        <v>12</v>
      </c>
      <c r="C1867">
        <v>1000</v>
      </c>
      <c r="D1867">
        <v>11.49</v>
      </c>
      <c r="E1867">
        <v>9.69</v>
      </c>
      <c r="F1867">
        <v>11.6</v>
      </c>
      <c r="G1867">
        <v>11.96</v>
      </c>
      <c r="K1867">
        <v>6.165</v>
      </c>
      <c r="L1867">
        <v>227.6</v>
      </c>
      <c r="M1867">
        <v>0</v>
      </c>
      <c r="O1867">
        <v>4.3810000000000002</v>
      </c>
      <c r="P1867">
        <v>-7.57</v>
      </c>
      <c r="Q1867">
        <v>6.0369999999999999</v>
      </c>
      <c r="S1867">
        <v>4.9039999999999999</v>
      </c>
      <c r="T1867">
        <v>0</v>
      </c>
      <c r="U1867">
        <v>95.9</v>
      </c>
      <c r="V1867">
        <v>945</v>
      </c>
      <c r="W1867">
        <v>43.13</v>
      </c>
      <c r="Y1867">
        <v>12.9</v>
      </c>
    </row>
    <row r="1868" spans="1:25" x14ac:dyDescent="0.25">
      <c r="A1868">
        <v>2007</v>
      </c>
      <c r="B1868">
        <v>12</v>
      </c>
      <c r="C1868">
        <v>1100</v>
      </c>
      <c r="D1868">
        <v>34.44</v>
      </c>
      <c r="E1868">
        <v>25.79</v>
      </c>
      <c r="F1868">
        <v>11.67</v>
      </c>
      <c r="G1868">
        <v>11.98</v>
      </c>
      <c r="K1868">
        <v>5.4909999999999997</v>
      </c>
      <c r="L1868">
        <v>227.9</v>
      </c>
      <c r="M1868">
        <v>0</v>
      </c>
      <c r="O1868">
        <v>37.26</v>
      </c>
      <c r="P1868">
        <v>-1.038</v>
      </c>
      <c r="Q1868">
        <v>6.28</v>
      </c>
      <c r="S1868">
        <v>4.9909999999999997</v>
      </c>
      <c r="T1868">
        <v>0</v>
      </c>
      <c r="U1868">
        <v>96.5</v>
      </c>
      <c r="V1868">
        <v>942</v>
      </c>
      <c r="W1868">
        <v>42.92</v>
      </c>
      <c r="Y1868">
        <v>12.93</v>
      </c>
    </row>
    <row r="1869" spans="1:25" x14ac:dyDescent="0.25">
      <c r="A1869">
        <v>2007</v>
      </c>
      <c r="B1869">
        <v>12</v>
      </c>
      <c r="C1869">
        <v>1200</v>
      </c>
      <c r="D1869">
        <v>35.01</v>
      </c>
      <c r="E1869">
        <v>25.29</v>
      </c>
      <c r="F1869">
        <v>11.72</v>
      </c>
      <c r="G1869">
        <v>11.99</v>
      </c>
      <c r="K1869">
        <v>5.59</v>
      </c>
      <c r="L1869">
        <v>227.5</v>
      </c>
      <c r="M1869">
        <v>0</v>
      </c>
      <c r="O1869">
        <v>36.56</v>
      </c>
      <c r="P1869">
        <v>-0.97799999999999998</v>
      </c>
      <c r="Q1869">
        <v>6.4889999999999999</v>
      </c>
      <c r="S1869">
        <v>5.0490000000000004</v>
      </c>
      <c r="T1869">
        <v>0</v>
      </c>
      <c r="U1869">
        <v>96.9</v>
      </c>
      <c r="V1869">
        <v>942</v>
      </c>
      <c r="W1869">
        <v>42.89</v>
      </c>
      <c r="Y1869">
        <v>13.03</v>
      </c>
    </row>
    <row r="1870" spans="1:25" x14ac:dyDescent="0.25">
      <c r="A1870">
        <v>2007</v>
      </c>
      <c r="B1870">
        <v>12</v>
      </c>
      <c r="C1870">
        <v>1300</v>
      </c>
      <c r="D1870">
        <v>65.72</v>
      </c>
      <c r="E1870">
        <v>45.98</v>
      </c>
      <c r="F1870">
        <v>11.73</v>
      </c>
      <c r="G1870">
        <v>12.23</v>
      </c>
      <c r="K1870">
        <v>5.7149999999999999</v>
      </c>
      <c r="L1870">
        <v>228.2</v>
      </c>
      <c r="M1870">
        <v>0</v>
      </c>
      <c r="O1870">
        <v>74.099999999999994</v>
      </c>
      <c r="P1870">
        <v>6.6109999999999998</v>
      </c>
      <c r="Q1870">
        <v>6.73</v>
      </c>
      <c r="S1870">
        <v>5.1440000000000001</v>
      </c>
      <c r="T1870">
        <v>0</v>
      </c>
      <c r="U1870">
        <v>94.4</v>
      </c>
      <c r="V1870">
        <v>939</v>
      </c>
      <c r="W1870">
        <v>42.63</v>
      </c>
      <c r="Y1870">
        <v>13.17</v>
      </c>
    </row>
    <row r="1871" spans="1:25" x14ac:dyDescent="0.25">
      <c r="A1871">
        <v>2007</v>
      </c>
      <c r="B1871">
        <v>12</v>
      </c>
      <c r="C1871">
        <v>1400</v>
      </c>
      <c r="D1871">
        <v>56.01</v>
      </c>
      <c r="E1871">
        <v>37.56</v>
      </c>
      <c r="F1871">
        <v>12.01</v>
      </c>
      <c r="G1871">
        <v>12.36</v>
      </c>
      <c r="K1871">
        <v>7.07</v>
      </c>
      <c r="L1871">
        <v>228.1</v>
      </c>
      <c r="M1871">
        <v>0</v>
      </c>
      <c r="O1871">
        <v>59.39</v>
      </c>
      <c r="P1871">
        <v>3.4649999999999999</v>
      </c>
      <c r="Q1871">
        <v>6.9619999999999997</v>
      </c>
      <c r="S1871">
        <v>5.2450000000000001</v>
      </c>
      <c r="T1871">
        <v>0</v>
      </c>
      <c r="U1871">
        <v>96.2</v>
      </c>
      <c r="V1871">
        <v>932</v>
      </c>
      <c r="W1871">
        <v>42</v>
      </c>
      <c r="Y1871">
        <v>13.29</v>
      </c>
    </row>
    <row r="1872" spans="1:25" x14ac:dyDescent="0.25">
      <c r="A1872">
        <v>2007</v>
      </c>
      <c r="B1872">
        <v>12</v>
      </c>
      <c r="C1872">
        <v>1500</v>
      </c>
      <c r="D1872">
        <v>90.2</v>
      </c>
      <c r="E1872">
        <v>54.09</v>
      </c>
      <c r="F1872">
        <v>12.14</v>
      </c>
      <c r="G1872">
        <v>12.67</v>
      </c>
      <c r="K1872">
        <v>6.9009999999999998</v>
      </c>
      <c r="L1872">
        <v>228.2</v>
      </c>
      <c r="M1872">
        <v>0</v>
      </c>
      <c r="O1872">
        <v>102.2</v>
      </c>
      <c r="P1872">
        <v>18.52</v>
      </c>
      <c r="Q1872">
        <v>7.2</v>
      </c>
      <c r="S1872">
        <v>5.3760000000000003</v>
      </c>
      <c r="T1872">
        <v>0</v>
      </c>
      <c r="U1872">
        <v>94.1</v>
      </c>
      <c r="V1872">
        <v>929</v>
      </c>
      <c r="W1872">
        <v>41.71</v>
      </c>
      <c r="Y1872">
        <v>13.54</v>
      </c>
    </row>
    <row r="1873" spans="1:25" x14ac:dyDescent="0.25">
      <c r="A1873">
        <v>2007</v>
      </c>
      <c r="B1873">
        <v>12</v>
      </c>
      <c r="C1873">
        <v>1600</v>
      </c>
      <c r="D1873">
        <v>8.81</v>
      </c>
      <c r="E1873">
        <v>3.2280000000000002</v>
      </c>
      <c r="F1873">
        <v>12.04</v>
      </c>
      <c r="G1873">
        <v>12.53</v>
      </c>
      <c r="K1873">
        <v>6.6230000000000002</v>
      </c>
      <c r="L1873">
        <v>228.5</v>
      </c>
      <c r="M1873">
        <v>0</v>
      </c>
      <c r="O1873">
        <v>0.86599999999999999</v>
      </c>
      <c r="P1873">
        <v>-7.91</v>
      </c>
      <c r="Q1873">
        <v>7.42</v>
      </c>
      <c r="S1873">
        <v>5.492</v>
      </c>
      <c r="T1873">
        <v>0</v>
      </c>
      <c r="U1873">
        <v>94.6</v>
      </c>
      <c r="V1873">
        <v>924</v>
      </c>
      <c r="W1873">
        <v>41.32</v>
      </c>
      <c r="Y1873">
        <v>13.35</v>
      </c>
    </row>
    <row r="1874" spans="1:25" x14ac:dyDescent="0.25">
      <c r="A1874">
        <v>2007</v>
      </c>
      <c r="B1874">
        <v>12</v>
      </c>
      <c r="C1874">
        <v>1700</v>
      </c>
      <c r="D1874">
        <v>0.33400000000000002</v>
      </c>
      <c r="E1874">
        <v>-2.5739999999999998</v>
      </c>
      <c r="F1874">
        <v>11.62</v>
      </c>
      <c r="G1874">
        <v>11.92</v>
      </c>
      <c r="K1874">
        <v>6.5979999999999999</v>
      </c>
      <c r="L1874">
        <v>228.8</v>
      </c>
      <c r="M1874">
        <v>0</v>
      </c>
      <c r="O1874">
        <v>-10.67</v>
      </c>
      <c r="P1874">
        <v>-10.7</v>
      </c>
      <c r="Q1874">
        <v>7.55</v>
      </c>
      <c r="S1874">
        <v>5.5919999999999996</v>
      </c>
      <c r="T1874">
        <v>0</v>
      </c>
      <c r="U1874">
        <v>96.6</v>
      </c>
      <c r="V1874">
        <v>920</v>
      </c>
      <c r="W1874">
        <v>40.96</v>
      </c>
      <c r="Y1874">
        <v>13.21</v>
      </c>
    </row>
    <row r="1875" spans="1:25" x14ac:dyDescent="0.25">
      <c r="A1875">
        <v>2007</v>
      </c>
      <c r="B1875">
        <v>12</v>
      </c>
      <c r="C1875">
        <v>1800</v>
      </c>
      <c r="D1875">
        <v>-0.70599999999999996</v>
      </c>
      <c r="E1875">
        <v>-11.75</v>
      </c>
      <c r="F1875">
        <v>11.04</v>
      </c>
      <c r="G1875">
        <v>11.48</v>
      </c>
      <c r="K1875">
        <v>6.7670000000000003</v>
      </c>
      <c r="L1875">
        <v>228.5</v>
      </c>
      <c r="M1875">
        <v>0</v>
      </c>
      <c r="O1875">
        <v>-11.5</v>
      </c>
      <c r="P1875">
        <v>-10.84</v>
      </c>
      <c r="Q1875">
        <v>7.58</v>
      </c>
      <c r="S1875">
        <v>5.6870000000000003</v>
      </c>
      <c r="T1875">
        <v>0</v>
      </c>
      <c r="U1875">
        <v>95</v>
      </c>
      <c r="V1875">
        <v>916</v>
      </c>
      <c r="W1875">
        <v>40.65</v>
      </c>
      <c r="Y1875">
        <v>13.12</v>
      </c>
    </row>
    <row r="1876" spans="1:25" x14ac:dyDescent="0.25">
      <c r="A1876">
        <v>2007</v>
      </c>
      <c r="B1876">
        <v>12</v>
      </c>
      <c r="C1876">
        <v>1900</v>
      </c>
      <c r="D1876">
        <v>-1.3280000000000001</v>
      </c>
      <c r="E1876">
        <v>-32.090000000000003</v>
      </c>
      <c r="F1876">
        <v>10.24</v>
      </c>
      <c r="G1876">
        <v>10.72</v>
      </c>
      <c r="K1876">
        <v>6.3319999999999999</v>
      </c>
      <c r="L1876">
        <v>228.6</v>
      </c>
      <c r="M1876">
        <v>0</v>
      </c>
      <c r="O1876">
        <v>-11.5</v>
      </c>
      <c r="P1876">
        <v>-10.84</v>
      </c>
      <c r="Q1876">
        <v>7.59</v>
      </c>
      <c r="S1876">
        <v>5.8070000000000004</v>
      </c>
      <c r="T1876">
        <v>0</v>
      </c>
      <c r="U1876">
        <v>94.4</v>
      </c>
      <c r="V1876">
        <v>909</v>
      </c>
      <c r="W1876">
        <v>40.130000000000003</v>
      </c>
      <c r="Y1876">
        <v>13.06</v>
      </c>
    </row>
    <row r="1877" spans="1:25" x14ac:dyDescent="0.25">
      <c r="A1877">
        <v>2007</v>
      </c>
      <c r="B1877">
        <v>12</v>
      </c>
      <c r="C1877">
        <v>2000</v>
      </c>
      <c r="D1877">
        <v>-1.22</v>
      </c>
      <c r="E1877">
        <v>-21.3</v>
      </c>
      <c r="F1877">
        <v>9.89</v>
      </c>
      <c r="G1877">
        <v>10.27</v>
      </c>
      <c r="K1877">
        <v>5.569</v>
      </c>
      <c r="L1877">
        <v>228.5</v>
      </c>
      <c r="M1877">
        <v>0</v>
      </c>
      <c r="O1877">
        <v>-11.5</v>
      </c>
      <c r="P1877">
        <v>-10.84</v>
      </c>
      <c r="Q1877">
        <v>7.51</v>
      </c>
      <c r="S1877">
        <v>5.8689999999999998</v>
      </c>
      <c r="T1877">
        <v>0</v>
      </c>
      <c r="U1877">
        <v>95.5</v>
      </c>
      <c r="V1877">
        <v>914</v>
      </c>
      <c r="W1877">
        <v>40.56</v>
      </c>
      <c r="Y1877">
        <v>13.02</v>
      </c>
    </row>
    <row r="1878" spans="1:25" x14ac:dyDescent="0.25">
      <c r="A1878">
        <v>2007</v>
      </c>
      <c r="B1878">
        <v>12</v>
      </c>
      <c r="C1878">
        <v>2100</v>
      </c>
      <c r="D1878">
        <v>-1.37</v>
      </c>
      <c r="E1878">
        <v>-33.380000000000003</v>
      </c>
      <c r="F1878">
        <v>9.31</v>
      </c>
      <c r="G1878">
        <v>9.68</v>
      </c>
      <c r="K1878">
        <v>5.5549999999999997</v>
      </c>
      <c r="L1878">
        <v>228.6</v>
      </c>
      <c r="M1878">
        <v>0</v>
      </c>
      <c r="O1878">
        <v>-11.5</v>
      </c>
      <c r="P1878">
        <v>-10.84</v>
      </c>
      <c r="Q1878">
        <v>7.35</v>
      </c>
      <c r="S1878">
        <v>5.9189999999999996</v>
      </c>
      <c r="T1878">
        <v>0</v>
      </c>
      <c r="U1878">
        <v>95.6</v>
      </c>
      <c r="V1878">
        <v>904</v>
      </c>
      <c r="W1878">
        <v>39.72</v>
      </c>
      <c r="Y1878">
        <v>12.98</v>
      </c>
    </row>
    <row r="1879" spans="1:25" x14ac:dyDescent="0.25">
      <c r="A1879">
        <v>2007</v>
      </c>
      <c r="B1879">
        <v>12</v>
      </c>
      <c r="C1879">
        <v>2200</v>
      </c>
      <c r="D1879">
        <v>-1.819</v>
      </c>
      <c r="E1879">
        <v>-40.96</v>
      </c>
      <c r="F1879">
        <v>8.57</v>
      </c>
      <c r="G1879">
        <v>8.91</v>
      </c>
      <c r="K1879">
        <v>6.1079999999999997</v>
      </c>
      <c r="L1879">
        <v>228.8</v>
      </c>
      <c r="M1879">
        <v>0</v>
      </c>
      <c r="O1879">
        <v>-11.5</v>
      </c>
      <c r="P1879">
        <v>-10.84</v>
      </c>
      <c r="Q1879">
        <v>7.17</v>
      </c>
      <c r="S1879">
        <v>5.891</v>
      </c>
      <c r="T1879">
        <v>0</v>
      </c>
      <c r="U1879">
        <v>95.8</v>
      </c>
      <c r="V1879">
        <v>901</v>
      </c>
      <c r="W1879">
        <v>39.5</v>
      </c>
      <c r="Y1879">
        <v>12.96</v>
      </c>
    </row>
    <row r="1880" spans="1:25" x14ac:dyDescent="0.25">
      <c r="A1880">
        <v>2007</v>
      </c>
      <c r="B1880">
        <v>12</v>
      </c>
      <c r="C1880">
        <v>2300</v>
      </c>
      <c r="D1880">
        <v>-1.9790000000000001</v>
      </c>
      <c r="E1880">
        <v>-42.72</v>
      </c>
      <c r="F1880">
        <v>7.95</v>
      </c>
      <c r="G1880">
        <v>8.23</v>
      </c>
      <c r="K1880">
        <v>4.9089999999999998</v>
      </c>
      <c r="L1880">
        <v>228.5</v>
      </c>
      <c r="M1880">
        <v>0</v>
      </c>
      <c r="O1880">
        <v>-11.5</v>
      </c>
      <c r="P1880">
        <v>-10.84</v>
      </c>
      <c r="Q1880">
        <v>6.9539999999999997</v>
      </c>
      <c r="S1880">
        <v>5.8739999999999997</v>
      </c>
      <c r="T1880">
        <v>0</v>
      </c>
      <c r="U1880">
        <v>96.4</v>
      </c>
      <c r="V1880">
        <v>914</v>
      </c>
      <c r="W1880">
        <v>40.54</v>
      </c>
      <c r="Y1880">
        <v>12.93</v>
      </c>
    </row>
    <row r="1881" spans="1:25" x14ac:dyDescent="0.25">
      <c r="A1881">
        <v>2007</v>
      </c>
      <c r="B1881">
        <v>12</v>
      </c>
      <c r="C1881">
        <v>2400</v>
      </c>
      <c r="D1881">
        <v>-2.2949999999999999</v>
      </c>
      <c r="E1881">
        <v>-42.49</v>
      </c>
      <c r="F1881">
        <v>7.53</v>
      </c>
      <c r="G1881">
        <v>7.72</v>
      </c>
      <c r="K1881">
        <v>3.3079999999999998</v>
      </c>
      <c r="L1881">
        <v>228.3</v>
      </c>
      <c r="M1881">
        <v>0</v>
      </c>
      <c r="O1881">
        <v>-11.5</v>
      </c>
      <c r="P1881">
        <v>-10.84</v>
      </c>
      <c r="Q1881">
        <v>6.8040000000000003</v>
      </c>
      <c r="S1881">
        <v>5.9160000000000004</v>
      </c>
      <c r="T1881">
        <v>0</v>
      </c>
      <c r="U1881">
        <v>97.5</v>
      </c>
      <c r="V1881">
        <v>838</v>
      </c>
      <c r="W1881">
        <v>35.39</v>
      </c>
      <c r="Y1881">
        <v>12.92</v>
      </c>
    </row>
    <row r="1882" spans="1:25" x14ac:dyDescent="0.25">
      <c r="A1882">
        <v>2007</v>
      </c>
      <c r="B1882">
        <v>13</v>
      </c>
      <c r="C1882">
        <v>100</v>
      </c>
      <c r="D1882">
        <v>-1.7669999999999999</v>
      </c>
      <c r="E1882">
        <v>-24.61</v>
      </c>
      <c r="F1882">
        <v>7.34</v>
      </c>
      <c r="G1882">
        <v>7.4</v>
      </c>
      <c r="K1882">
        <v>2.258</v>
      </c>
      <c r="L1882">
        <v>226.9</v>
      </c>
      <c r="M1882">
        <v>0</v>
      </c>
      <c r="O1882">
        <v>-11.5</v>
      </c>
      <c r="P1882">
        <v>-10.84</v>
      </c>
      <c r="Q1882">
        <v>6.5960000000000001</v>
      </c>
      <c r="S1882">
        <v>5.8630000000000004</v>
      </c>
      <c r="T1882">
        <v>0</v>
      </c>
      <c r="U1882">
        <v>99.2</v>
      </c>
      <c r="V1882">
        <v>912</v>
      </c>
      <c r="W1882">
        <v>40.33</v>
      </c>
      <c r="Y1882">
        <v>12.9</v>
      </c>
    </row>
    <row r="1883" spans="1:25" x14ac:dyDescent="0.25">
      <c r="A1883">
        <v>2007</v>
      </c>
      <c r="B1883">
        <v>13</v>
      </c>
      <c r="C1883">
        <v>200</v>
      </c>
      <c r="D1883">
        <v>-0.59399999999999997</v>
      </c>
      <c r="E1883">
        <v>-5.234</v>
      </c>
      <c r="F1883">
        <v>7.37</v>
      </c>
      <c r="G1883">
        <v>7.56</v>
      </c>
      <c r="K1883">
        <v>1.649</v>
      </c>
      <c r="L1883">
        <v>214.8</v>
      </c>
      <c r="M1883">
        <v>0</v>
      </c>
      <c r="O1883">
        <v>-11.5</v>
      </c>
      <c r="P1883">
        <v>-10.84</v>
      </c>
      <c r="Q1883">
        <v>6.4219999999999997</v>
      </c>
      <c r="S1883">
        <v>5.8230000000000004</v>
      </c>
      <c r="T1883">
        <v>0</v>
      </c>
      <c r="U1883">
        <v>97.5</v>
      </c>
      <c r="V1883">
        <v>914</v>
      </c>
      <c r="W1883">
        <v>40.49</v>
      </c>
      <c r="Y1883">
        <v>12.89</v>
      </c>
    </row>
    <row r="1884" spans="1:25" x14ac:dyDescent="0.25">
      <c r="A1884">
        <v>2007</v>
      </c>
      <c r="B1884">
        <v>13</v>
      </c>
      <c r="C1884">
        <v>300</v>
      </c>
      <c r="D1884">
        <v>-0.79900000000000004</v>
      </c>
      <c r="E1884">
        <v>-5.609</v>
      </c>
      <c r="F1884">
        <v>7.49</v>
      </c>
      <c r="G1884">
        <v>7.69</v>
      </c>
      <c r="K1884">
        <v>1.403</v>
      </c>
      <c r="L1884">
        <v>200.2</v>
      </c>
      <c r="M1884">
        <v>0</v>
      </c>
      <c r="O1884">
        <v>-11.5</v>
      </c>
      <c r="P1884">
        <v>-10.83</v>
      </c>
      <c r="Q1884">
        <v>6.335</v>
      </c>
      <c r="S1884">
        <v>5.7539999999999996</v>
      </c>
      <c r="T1884">
        <v>0</v>
      </c>
      <c r="U1884">
        <v>97.3</v>
      </c>
      <c r="V1884">
        <v>901</v>
      </c>
      <c r="W1884">
        <v>39.520000000000003</v>
      </c>
      <c r="Y1884">
        <v>12.88</v>
      </c>
    </row>
    <row r="1885" spans="1:25" x14ac:dyDescent="0.25">
      <c r="A1885">
        <v>2007</v>
      </c>
      <c r="B1885">
        <v>13</v>
      </c>
      <c r="C1885">
        <v>400</v>
      </c>
      <c r="D1885">
        <v>-1.0840000000000001</v>
      </c>
      <c r="E1885">
        <v>-4.2370000000000001</v>
      </c>
      <c r="F1885">
        <v>7.8</v>
      </c>
      <c r="G1885">
        <v>7.62</v>
      </c>
      <c r="K1885">
        <v>1.5820000000000001</v>
      </c>
      <c r="L1885">
        <v>180.2</v>
      </c>
      <c r="M1885">
        <v>0.2</v>
      </c>
      <c r="O1885">
        <v>-11.5</v>
      </c>
      <c r="P1885">
        <v>-10.84</v>
      </c>
      <c r="Q1885">
        <v>6.2889999999999997</v>
      </c>
      <c r="S1885">
        <v>5.7229999999999999</v>
      </c>
      <c r="T1885">
        <v>0</v>
      </c>
      <c r="U1885">
        <v>102.3</v>
      </c>
      <c r="V1885">
        <v>897</v>
      </c>
      <c r="W1885">
        <v>39.25</v>
      </c>
      <c r="Y1885">
        <v>12.88</v>
      </c>
    </row>
    <row r="1886" spans="1:25" x14ac:dyDescent="0.25">
      <c r="A1886">
        <v>2007</v>
      </c>
      <c r="B1886">
        <v>13</v>
      </c>
      <c r="C1886">
        <v>500</v>
      </c>
      <c r="D1886">
        <v>-0.57299999999999995</v>
      </c>
      <c r="E1886">
        <v>-1.361</v>
      </c>
      <c r="F1886">
        <v>7.72</v>
      </c>
      <c r="G1886">
        <v>7.53</v>
      </c>
      <c r="K1886">
        <v>1.4990000000000001</v>
      </c>
      <c r="L1886">
        <v>164.3</v>
      </c>
      <c r="M1886">
        <v>0.4</v>
      </c>
      <c r="O1886">
        <v>-11.5</v>
      </c>
      <c r="P1886">
        <v>-10.84</v>
      </c>
      <c r="Q1886">
        <v>6.2969999999999997</v>
      </c>
      <c r="S1886">
        <v>5.6539999999999999</v>
      </c>
      <c r="T1886">
        <v>0</v>
      </c>
      <c r="U1886">
        <v>102.5</v>
      </c>
      <c r="V1886">
        <v>907</v>
      </c>
      <c r="W1886">
        <v>39.979999999999997</v>
      </c>
      <c r="Y1886">
        <v>12.87</v>
      </c>
    </row>
    <row r="1887" spans="1:25" x14ac:dyDescent="0.25">
      <c r="A1887">
        <v>2007</v>
      </c>
      <c r="B1887">
        <v>13</v>
      </c>
      <c r="C1887">
        <v>600</v>
      </c>
      <c r="D1887">
        <v>-0.60799999999999998</v>
      </c>
      <c r="E1887">
        <v>-0.39900000000000002</v>
      </c>
      <c r="F1887">
        <v>8.89</v>
      </c>
      <c r="G1887">
        <v>8.89</v>
      </c>
      <c r="K1887">
        <v>2.6030000000000002</v>
      </c>
      <c r="L1887">
        <v>203.2</v>
      </c>
      <c r="M1887">
        <v>0</v>
      </c>
      <c r="O1887">
        <v>-11.5</v>
      </c>
      <c r="P1887">
        <v>-10.84</v>
      </c>
      <c r="Q1887">
        <v>6.3579999999999997</v>
      </c>
      <c r="S1887">
        <v>5.6459999999999999</v>
      </c>
      <c r="T1887">
        <v>0</v>
      </c>
      <c r="U1887">
        <v>100</v>
      </c>
      <c r="V1887">
        <v>911</v>
      </c>
      <c r="W1887">
        <v>40.299999999999997</v>
      </c>
      <c r="Y1887">
        <v>12.87</v>
      </c>
    </row>
    <row r="1888" spans="1:25" x14ac:dyDescent="0.25">
      <c r="A1888">
        <v>2007</v>
      </c>
      <c r="B1888">
        <v>13</v>
      </c>
      <c r="C1888">
        <v>700</v>
      </c>
      <c r="D1888">
        <v>-0.64300000000000002</v>
      </c>
      <c r="E1888">
        <v>-2.6680000000000001</v>
      </c>
      <c r="F1888">
        <v>9.4600000000000009</v>
      </c>
      <c r="G1888">
        <v>9.7200000000000006</v>
      </c>
      <c r="K1888">
        <v>2.7589999999999999</v>
      </c>
      <c r="L1888">
        <v>214.5</v>
      </c>
      <c r="M1888">
        <v>0</v>
      </c>
      <c r="O1888">
        <v>-11.5</v>
      </c>
      <c r="P1888">
        <v>-10.85</v>
      </c>
      <c r="Q1888">
        <v>6.4450000000000003</v>
      </c>
      <c r="S1888">
        <v>5.6440000000000001</v>
      </c>
      <c r="T1888">
        <v>0</v>
      </c>
      <c r="U1888">
        <v>96.8</v>
      </c>
      <c r="V1888">
        <v>912</v>
      </c>
      <c r="W1888">
        <v>40.380000000000003</v>
      </c>
      <c r="Y1888">
        <v>12.87</v>
      </c>
    </row>
    <row r="1889" spans="1:25" x14ac:dyDescent="0.25">
      <c r="A1889">
        <v>2007</v>
      </c>
      <c r="B1889">
        <v>13</v>
      </c>
      <c r="C1889">
        <v>800</v>
      </c>
      <c r="D1889">
        <v>-0.89300000000000002</v>
      </c>
      <c r="E1889">
        <v>-6.6479999999999997</v>
      </c>
      <c r="F1889">
        <v>9.43</v>
      </c>
      <c r="G1889">
        <v>9.7799999999999994</v>
      </c>
      <c r="K1889">
        <v>3.1379999999999999</v>
      </c>
      <c r="L1889">
        <v>213.8</v>
      </c>
      <c r="M1889">
        <v>0.2</v>
      </c>
      <c r="O1889">
        <v>-11.5</v>
      </c>
      <c r="P1889">
        <v>-10.85</v>
      </c>
      <c r="Q1889">
        <v>6.49</v>
      </c>
      <c r="S1889">
        <v>5.5880000000000001</v>
      </c>
      <c r="T1889">
        <v>0</v>
      </c>
      <c r="U1889">
        <v>95.7</v>
      </c>
      <c r="V1889">
        <v>915</v>
      </c>
      <c r="W1889">
        <v>40.61</v>
      </c>
      <c r="Y1889">
        <v>12.87</v>
      </c>
    </row>
    <row r="1890" spans="1:25" x14ac:dyDescent="0.25">
      <c r="A1890">
        <v>2007</v>
      </c>
      <c r="B1890">
        <v>13</v>
      </c>
      <c r="C1890">
        <v>900</v>
      </c>
      <c r="D1890">
        <v>3.2269999999999999</v>
      </c>
      <c r="E1890">
        <v>-11.99</v>
      </c>
      <c r="F1890">
        <v>9.07</v>
      </c>
      <c r="G1890">
        <v>9.5500000000000007</v>
      </c>
      <c r="H1890">
        <v>6.001666666666666</v>
      </c>
      <c r="K1890">
        <v>3.9740000000000002</v>
      </c>
      <c r="L1890">
        <v>214</v>
      </c>
      <c r="M1890">
        <v>0</v>
      </c>
      <c r="O1890">
        <v>-5.2789999999999999</v>
      </c>
      <c r="P1890">
        <v>-9.27</v>
      </c>
      <c r="Q1890">
        <v>6.577</v>
      </c>
      <c r="S1890">
        <v>5.5990000000000002</v>
      </c>
      <c r="T1890">
        <v>0</v>
      </c>
      <c r="U1890">
        <v>94.1</v>
      </c>
      <c r="V1890">
        <v>912</v>
      </c>
      <c r="W1890">
        <v>40.33</v>
      </c>
      <c r="Y1890">
        <v>12.87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5CA6-3B0C-4AFA-A07E-15223CBD9996}">
  <sheetPr codeName="Sheet4"/>
  <dimension ref="A1:BO1313"/>
  <sheetViews>
    <sheetView zoomScale="115" zoomScaleNormal="115" workbookViewId="0">
      <selection activeCell="R50" activeCellId="2" sqref="R2 R26 R50"/>
    </sheetView>
  </sheetViews>
  <sheetFormatPr defaultRowHeight="15" x14ac:dyDescent="0.25"/>
  <sheetData>
    <row r="1" spans="1:67" ht="45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75</v>
      </c>
      <c r="H1" s="8" t="s">
        <v>76</v>
      </c>
      <c r="I1" s="8" t="s">
        <v>153</v>
      </c>
      <c r="J1" s="8" t="s">
        <v>154</v>
      </c>
      <c r="K1" s="8" t="s">
        <v>77</v>
      </c>
      <c r="L1" s="8" t="s">
        <v>78</v>
      </c>
      <c r="M1" s="11" t="s">
        <v>79</v>
      </c>
      <c r="N1" s="11" t="s">
        <v>80</v>
      </c>
      <c r="O1" s="8" t="s">
        <v>85</v>
      </c>
      <c r="P1" s="18" t="s">
        <v>86</v>
      </c>
      <c r="Q1" s="18" t="s">
        <v>87</v>
      </c>
      <c r="R1" s="18" t="s">
        <v>201</v>
      </c>
      <c r="S1" s="18" t="s">
        <v>88</v>
      </c>
      <c r="T1" s="8" t="s">
        <v>89</v>
      </c>
      <c r="U1" s="11" t="s">
        <v>90</v>
      </c>
      <c r="V1" s="19" t="s">
        <v>91</v>
      </c>
      <c r="W1" s="19" t="s">
        <v>92</v>
      </c>
      <c r="X1" s="19" t="s">
        <v>202</v>
      </c>
      <c r="Y1" s="20" t="s">
        <v>93</v>
      </c>
      <c r="Z1" s="11"/>
      <c r="AA1" s="13" t="s">
        <v>64</v>
      </c>
      <c r="AB1" s="9" t="s">
        <v>81</v>
      </c>
      <c r="AC1" s="16" t="s">
        <v>84</v>
      </c>
      <c r="AD1" s="11" t="s">
        <v>80</v>
      </c>
      <c r="AF1" s="22" t="s">
        <v>164</v>
      </c>
      <c r="AG1" s="8" t="s">
        <v>155</v>
      </c>
      <c r="AH1" s="9" t="s">
        <v>156</v>
      </c>
      <c r="AI1" s="11" t="s">
        <v>157</v>
      </c>
      <c r="AJ1" s="8" t="s">
        <v>158</v>
      </c>
      <c r="AK1" s="8" t="s">
        <v>159</v>
      </c>
      <c r="AL1" s="8" t="s">
        <v>160</v>
      </c>
      <c r="AM1" s="9" t="s">
        <v>161</v>
      </c>
      <c r="AN1" s="9" t="s">
        <v>162</v>
      </c>
      <c r="AP1" s="25" t="s">
        <v>155</v>
      </c>
      <c r="AQ1" s="26" t="s">
        <v>156</v>
      </c>
      <c r="AR1" s="27" t="s">
        <v>157</v>
      </c>
      <c r="AS1" s="25" t="s">
        <v>158</v>
      </c>
      <c r="AT1" s="25" t="s">
        <v>159</v>
      </c>
      <c r="AU1" s="25" t="s">
        <v>160</v>
      </c>
      <c r="AV1" s="26" t="s">
        <v>161</v>
      </c>
      <c r="AW1" s="26" t="s">
        <v>162</v>
      </c>
      <c r="AY1" s="25" t="s">
        <v>155</v>
      </c>
      <c r="AZ1" s="26" t="s">
        <v>156</v>
      </c>
      <c r="BA1" s="27" t="s">
        <v>157</v>
      </c>
      <c r="BB1" s="25" t="s">
        <v>158</v>
      </c>
      <c r="BC1" s="25" t="s">
        <v>159</v>
      </c>
      <c r="BD1" s="25" t="s">
        <v>160</v>
      </c>
      <c r="BE1" s="26" t="s">
        <v>161</v>
      </c>
      <c r="BF1" s="26" t="s">
        <v>162</v>
      </c>
      <c r="BH1" s="25" t="s">
        <v>155</v>
      </c>
      <c r="BI1" s="26" t="s">
        <v>156</v>
      </c>
      <c r="BJ1" s="27" t="s">
        <v>157</v>
      </c>
      <c r="BK1" s="25" t="s">
        <v>158</v>
      </c>
      <c r="BL1" s="25" t="s">
        <v>159</v>
      </c>
      <c r="BM1" s="25" t="s">
        <v>160</v>
      </c>
      <c r="BN1" s="26" t="s">
        <v>161</v>
      </c>
      <c r="BO1" s="26" t="s">
        <v>162</v>
      </c>
    </row>
    <row r="2" spans="1:67" x14ac:dyDescent="0.25">
      <c r="A2">
        <v>2007</v>
      </c>
      <c r="B2">
        <v>76</v>
      </c>
      <c r="C2">
        <v>900</v>
      </c>
      <c r="D2">
        <v>62.11</v>
      </c>
      <c r="E2">
        <v>34.119999999999997</v>
      </c>
      <c r="F2">
        <v>6.2480000000000002</v>
      </c>
      <c r="G2">
        <v>8.2200000000000006</v>
      </c>
      <c r="H2">
        <f>AVERAGE(G2:G25)</f>
        <v>7.3001249999999986</v>
      </c>
      <c r="I2">
        <f>MIN(G2:G25)</f>
        <v>1.173</v>
      </c>
      <c r="J2">
        <f>MAX(F2:F25)</f>
        <v>9.7200000000000006</v>
      </c>
      <c r="K2">
        <v>4.4459999999999997</v>
      </c>
      <c r="L2">
        <v>228.9</v>
      </c>
      <c r="M2">
        <v>0</v>
      </c>
      <c r="N2">
        <f>SUM(M2:M25)</f>
        <v>1.7999999999999998</v>
      </c>
      <c r="O2">
        <v>66.88</v>
      </c>
      <c r="P2">
        <v>7.01</v>
      </c>
      <c r="Q2">
        <v>7.25</v>
      </c>
      <c r="R2">
        <f>AVERAGE(Q2:Q25)</f>
        <v>7.738666666666667</v>
      </c>
      <c r="S2">
        <v>5.9790000000000001</v>
      </c>
      <c r="T2">
        <v>0</v>
      </c>
      <c r="U2">
        <v>75.099999999999994</v>
      </c>
      <c r="V2">
        <v>937</v>
      </c>
      <c r="W2">
        <v>42.47</v>
      </c>
      <c r="X2">
        <f>AVERAGE(W2:W25)</f>
        <v>44.29791666666668</v>
      </c>
      <c r="Y2">
        <v>13.18</v>
      </c>
      <c r="AA2">
        <v>76</v>
      </c>
      <c r="AB2">
        <v>0</v>
      </c>
      <c r="AC2">
        <f ca="1">OFFSET($H$2,(ROW(AC1)*24)-24,0)</f>
        <v>7.3001249999999986</v>
      </c>
      <c r="AD2">
        <f ca="1">OFFSET($N$2,(ROW(AD1)*24)-24,0)</f>
        <v>1.7999999999999998</v>
      </c>
      <c r="AG2">
        <v>2007</v>
      </c>
      <c r="AH2">
        <v>0</v>
      </c>
      <c r="AI2">
        <v>1.7999999999999998</v>
      </c>
      <c r="AJ2">
        <v>1.173</v>
      </c>
      <c r="AK2">
        <v>9.7200000000000006</v>
      </c>
      <c r="AL2">
        <v>7.3001249999999986</v>
      </c>
      <c r="AN2">
        <v>0</v>
      </c>
      <c r="AO2" s="22" t="s">
        <v>163</v>
      </c>
      <c r="AP2">
        <v>2007</v>
      </c>
      <c r="AQ2">
        <v>1</v>
      </c>
      <c r="AR2">
        <v>1.7999999999999998</v>
      </c>
      <c r="AS2">
        <v>1.173</v>
      </c>
      <c r="AT2">
        <v>9.7200000000000006</v>
      </c>
      <c r="AU2">
        <v>7.3001249999999986</v>
      </c>
      <c r="AW2">
        <v>0</v>
      </c>
      <c r="AX2" s="22" t="s">
        <v>170</v>
      </c>
      <c r="AY2">
        <v>2007</v>
      </c>
      <c r="AZ2">
        <v>1</v>
      </c>
      <c r="BA2">
        <v>2.4</v>
      </c>
      <c r="BB2">
        <v>0.32200000000000001</v>
      </c>
      <c r="BC2">
        <v>1.8620000000000001</v>
      </c>
      <c r="BD2">
        <v>1.5908333333333333</v>
      </c>
      <c r="BF2">
        <v>0</v>
      </c>
      <c r="BG2" s="22" t="s">
        <v>172</v>
      </c>
      <c r="BH2">
        <v>2007</v>
      </c>
      <c r="BI2">
        <v>1</v>
      </c>
      <c r="BJ2">
        <v>7.2000000000000011</v>
      </c>
      <c r="BK2">
        <v>1.014</v>
      </c>
      <c r="BL2">
        <v>2.9740000000000002</v>
      </c>
      <c r="BM2">
        <v>2.4507083333333335</v>
      </c>
      <c r="BO2">
        <v>0</v>
      </c>
    </row>
    <row r="3" spans="1:67" x14ac:dyDescent="0.25">
      <c r="A3">
        <v>2007</v>
      </c>
      <c r="B3">
        <v>76</v>
      </c>
      <c r="C3">
        <v>1000</v>
      </c>
      <c r="D3">
        <v>121.7</v>
      </c>
      <c r="E3">
        <v>76</v>
      </c>
      <c r="F3">
        <v>6.3769999999999998</v>
      </c>
      <c r="G3">
        <v>8.4600000000000009</v>
      </c>
      <c r="K3">
        <v>4.3369999999999997</v>
      </c>
      <c r="L3">
        <v>228.8</v>
      </c>
      <c r="M3">
        <v>0</v>
      </c>
      <c r="O3">
        <v>143.9</v>
      </c>
      <c r="P3">
        <v>28.11</v>
      </c>
      <c r="Q3">
        <v>7.27</v>
      </c>
      <c r="S3">
        <v>6.0049999999999999</v>
      </c>
      <c r="T3">
        <v>0</v>
      </c>
      <c r="U3">
        <v>74.099999999999994</v>
      </c>
      <c r="V3">
        <v>920</v>
      </c>
      <c r="W3">
        <v>41.04</v>
      </c>
      <c r="Y3">
        <v>13.52</v>
      </c>
      <c r="AA3">
        <v>77</v>
      </c>
      <c r="AB3">
        <v>1</v>
      </c>
      <c r="AC3">
        <f t="shared" ref="AC3:AC28" ca="1" si="0">OFFSET($H$2,(ROW(AC2)*24)-24,0)</f>
        <v>1.5908333333333333</v>
      </c>
      <c r="AD3">
        <f ca="1">OFFSET($N$2,(ROW(AD2)*24)-24,0)</f>
        <v>2.4</v>
      </c>
      <c r="AG3">
        <v>2007</v>
      </c>
      <c r="AH3">
        <v>1</v>
      </c>
      <c r="AI3">
        <v>2.4</v>
      </c>
      <c r="AJ3">
        <v>0.32200000000000001</v>
      </c>
      <c r="AK3">
        <v>1.8620000000000001</v>
      </c>
      <c r="AL3">
        <v>1.5908333333333333</v>
      </c>
      <c r="AN3">
        <v>0</v>
      </c>
      <c r="AO3" s="22" t="s">
        <v>169</v>
      </c>
      <c r="AP3">
        <v>2007</v>
      </c>
      <c r="AQ3">
        <v>2</v>
      </c>
      <c r="AR3">
        <v>2.4</v>
      </c>
      <c r="AS3">
        <v>0.32200000000000001</v>
      </c>
      <c r="AT3">
        <v>1.8620000000000001</v>
      </c>
      <c r="AU3">
        <v>1.5908333333333333</v>
      </c>
      <c r="AW3">
        <v>0</v>
      </c>
      <c r="AX3" s="22" t="s">
        <v>171</v>
      </c>
      <c r="AY3">
        <v>2007</v>
      </c>
      <c r="AZ3">
        <v>2</v>
      </c>
      <c r="BA3">
        <v>7.2000000000000011</v>
      </c>
      <c r="BB3">
        <v>1.014</v>
      </c>
      <c r="BC3">
        <v>2.9740000000000002</v>
      </c>
      <c r="BD3">
        <v>2.4507083333333335</v>
      </c>
      <c r="BF3">
        <v>0</v>
      </c>
      <c r="BG3" s="22" t="s">
        <v>173</v>
      </c>
      <c r="BH3">
        <v>2007</v>
      </c>
      <c r="BI3">
        <v>2</v>
      </c>
      <c r="BJ3">
        <v>0</v>
      </c>
      <c r="BK3">
        <v>-2.7919999999999998</v>
      </c>
      <c r="BL3">
        <v>2.242</v>
      </c>
      <c r="BM3">
        <v>1.3004583333333335</v>
      </c>
      <c r="BO3">
        <v>0</v>
      </c>
    </row>
    <row r="4" spans="1:67" x14ac:dyDescent="0.25">
      <c r="A4">
        <v>2007</v>
      </c>
      <c r="B4">
        <v>76</v>
      </c>
      <c r="C4">
        <v>1100</v>
      </c>
      <c r="D4">
        <v>148.69999999999999</v>
      </c>
      <c r="E4">
        <v>91.8</v>
      </c>
      <c r="F4">
        <v>6.7910000000000004</v>
      </c>
      <c r="G4">
        <v>8.7899999999999991</v>
      </c>
      <c r="K4">
        <v>4.8479999999999999</v>
      </c>
      <c r="L4">
        <v>228.7</v>
      </c>
      <c r="M4">
        <v>0</v>
      </c>
      <c r="O4">
        <v>174.5</v>
      </c>
      <c r="P4">
        <v>37.369999999999997</v>
      </c>
      <c r="Q4">
        <v>7.37</v>
      </c>
      <c r="S4">
        <v>6.0839999999999996</v>
      </c>
      <c r="T4">
        <v>0</v>
      </c>
      <c r="U4">
        <v>75.3</v>
      </c>
      <c r="V4">
        <v>922</v>
      </c>
      <c r="W4">
        <v>41.17</v>
      </c>
      <c r="Y4">
        <v>13.68</v>
      </c>
      <c r="AA4">
        <v>78</v>
      </c>
      <c r="AB4">
        <v>2</v>
      </c>
      <c r="AC4">
        <f t="shared" ca="1" si="0"/>
        <v>2.4507083333333335</v>
      </c>
      <c r="AD4">
        <f t="shared" ref="AD4:AD28" ca="1" si="1">OFFSET($N$2,(ROW(AD3)*24)-24,0)</f>
        <v>7.2000000000000011</v>
      </c>
      <c r="AG4">
        <v>2007</v>
      </c>
      <c r="AH4">
        <v>2</v>
      </c>
      <c r="AI4">
        <v>7.2000000000000011</v>
      </c>
      <c r="AJ4">
        <v>1.014</v>
      </c>
      <c r="AK4">
        <v>2.9740000000000002</v>
      </c>
      <c r="AL4">
        <v>2.4507083333333335</v>
      </c>
      <c r="AN4">
        <v>0</v>
      </c>
      <c r="AP4">
        <v>2007</v>
      </c>
      <c r="AQ4">
        <v>3</v>
      </c>
      <c r="AR4">
        <v>27.2</v>
      </c>
      <c r="AS4">
        <v>1.014</v>
      </c>
      <c r="AT4">
        <v>2.9740000000000002</v>
      </c>
      <c r="AU4">
        <v>2.4507083333333335</v>
      </c>
      <c r="AW4">
        <v>0</v>
      </c>
      <c r="AY4">
        <v>2007</v>
      </c>
      <c r="AZ4">
        <v>3</v>
      </c>
      <c r="BA4">
        <v>20</v>
      </c>
      <c r="BB4">
        <v>-2.7919999999999998</v>
      </c>
      <c r="BC4">
        <v>2.242</v>
      </c>
      <c r="BD4">
        <v>1.3004583333333335</v>
      </c>
      <c r="BF4">
        <v>0</v>
      </c>
      <c r="BH4">
        <v>2007</v>
      </c>
      <c r="BI4">
        <v>3</v>
      </c>
      <c r="BJ4">
        <v>23.6</v>
      </c>
      <c r="BK4">
        <v>1.819</v>
      </c>
      <c r="BL4">
        <v>7.39</v>
      </c>
      <c r="BM4">
        <v>5.3364166666666675</v>
      </c>
      <c r="BO4">
        <v>0</v>
      </c>
    </row>
    <row r="5" spans="1:67" x14ac:dyDescent="0.25">
      <c r="A5">
        <v>2007</v>
      </c>
      <c r="B5">
        <v>76</v>
      </c>
      <c r="C5">
        <v>1200</v>
      </c>
      <c r="D5">
        <v>100.8</v>
      </c>
      <c r="E5">
        <v>59.29</v>
      </c>
      <c r="F5">
        <v>6.9610000000000003</v>
      </c>
      <c r="G5">
        <v>8.49</v>
      </c>
      <c r="K5">
        <v>4.2409999999999997</v>
      </c>
      <c r="L5">
        <v>228.3</v>
      </c>
      <c r="M5">
        <v>0</v>
      </c>
      <c r="O5">
        <v>121.2</v>
      </c>
      <c r="P5">
        <v>23.53</v>
      </c>
      <c r="Q5">
        <v>7.53</v>
      </c>
      <c r="S5">
        <v>6.0869999999999997</v>
      </c>
      <c r="T5">
        <v>0</v>
      </c>
      <c r="U5">
        <v>80.7</v>
      </c>
      <c r="V5">
        <v>916</v>
      </c>
      <c r="W5">
        <v>40.69</v>
      </c>
      <c r="Y5">
        <v>13.61</v>
      </c>
      <c r="AA5">
        <v>79</v>
      </c>
      <c r="AB5">
        <v>3</v>
      </c>
      <c r="AC5">
        <f t="shared" ca="1" si="0"/>
        <v>1.3004583333333335</v>
      </c>
      <c r="AD5">
        <f t="shared" ca="1" si="1"/>
        <v>0</v>
      </c>
      <c r="AG5">
        <v>2007</v>
      </c>
      <c r="AH5">
        <v>3</v>
      </c>
      <c r="AI5">
        <v>0</v>
      </c>
      <c r="AJ5">
        <v>-2.7919999999999998</v>
      </c>
      <c r="AK5">
        <v>2.242</v>
      </c>
      <c r="AL5">
        <v>1.3004583333333335</v>
      </c>
      <c r="AN5">
        <v>0</v>
      </c>
      <c r="AP5">
        <v>2007</v>
      </c>
      <c r="AQ5">
        <v>4</v>
      </c>
      <c r="AR5">
        <v>0</v>
      </c>
      <c r="AS5">
        <v>-2.7919999999999998</v>
      </c>
      <c r="AT5">
        <v>2.242</v>
      </c>
      <c r="AU5">
        <v>1.3004583333333335</v>
      </c>
      <c r="AW5">
        <v>0</v>
      </c>
      <c r="AY5">
        <v>2007</v>
      </c>
      <c r="AZ5">
        <v>4</v>
      </c>
      <c r="BA5">
        <v>3.6</v>
      </c>
      <c r="BB5">
        <v>1.819</v>
      </c>
      <c r="BC5">
        <v>7.39</v>
      </c>
      <c r="BD5">
        <v>5.3364166666666675</v>
      </c>
      <c r="BF5">
        <v>0</v>
      </c>
      <c r="BH5">
        <v>2007</v>
      </c>
      <c r="BI5">
        <v>4</v>
      </c>
      <c r="BJ5">
        <v>0</v>
      </c>
      <c r="BK5">
        <v>3.8879999999999999</v>
      </c>
      <c r="BL5">
        <v>8.91</v>
      </c>
      <c r="BM5">
        <v>7.7535833333333342</v>
      </c>
      <c r="BO5">
        <v>0</v>
      </c>
    </row>
    <row r="6" spans="1:67" x14ac:dyDescent="0.25">
      <c r="A6">
        <v>2007</v>
      </c>
      <c r="B6">
        <v>76</v>
      </c>
      <c r="C6">
        <v>1300</v>
      </c>
      <c r="D6">
        <v>172.7</v>
      </c>
      <c r="E6">
        <v>106.4</v>
      </c>
      <c r="F6">
        <v>7.32</v>
      </c>
      <c r="G6">
        <v>8.91</v>
      </c>
      <c r="K6">
        <v>4.8979999999999997</v>
      </c>
      <c r="L6">
        <v>227.9</v>
      </c>
      <c r="M6">
        <v>0</v>
      </c>
      <c r="O6">
        <v>210.6</v>
      </c>
      <c r="P6">
        <v>47.76</v>
      </c>
      <c r="Q6">
        <v>7.67</v>
      </c>
      <c r="S6">
        <v>6.1529999999999996</v>
      </c>
      <c r="T6">
        <v>0</v>
      </c>
      <c r="U6">
        <v>80.3</v>
      </c>
      <c r="V6">
        <v>915</v>
      </c>
      <c r="W6">
        <v>40.57</v>
      </c>
      <c r="Y6">
        <v>13.72</v>
      </c>
      <c r="AA6">
        <v>80</v>
      </c>
      <c r="AB6">
        <v>4</v>
      </c>
      <c r="AC6">
        <f t="shared" ca="1" si="0"/>
        <v>5.3364166666666675</v>
      </c>
      <c r="AD6">
        <f t="shared" ca="1" si="1"/>
        <v>3.6</v>
      </c>
      <c r="AG6">
        <v>2007</v>
      </c>
      <c r="AH6">
        <v>4</v>
      </c>
      <c r="AI6">
        <v>3.6</v>
      </c>
      <c r="AJ6">
        <v>1.819</v>
      </c>
      <c r="AK6">
        <v>7.39</v>
      </c>
      <c r="AL6">
        <v>5.3364166666666675</v>
      </c>
      <c r="AN6">
        <v>0</v>
      </c>
      <c r="AP6">
        <v>2007</v>
      </c>
      <c r="AQ6">
        <v>5</v>
      </c>
      <c r="AR6">
        <v>3.6</v>
      </c>
      <c r="AS6">
        <v>1.819</v>
      </c>
      <c r="AT6">
        <v>7.39</v>
      </c>
      <c r="AU6">
        <v>5.3364166666666675</v>
      </c>
      <c r="AW6">
        <v>0</v>
      </c>
      <c r="AY6">
        <v>2007</v>
      </c>
      <c r="AZ6">
        <v>5</v>
      </c>
      <c r="BA6">
        <v>0</v>
      </c>
      <c r="BB6">
        <v>3.8879999999999999</v>
      </c>
      <c r="BC6">
        <v>8.91</v>
      </c>
      <c r="BD6">
        <v>7.7535833333333342</v>
      </c>
      <c r="BF6">
        <v>0</v>
      </c>
      <c r="BH6">
        <v>2007</v>
      </c>
      <c r="BI6">
        <v>5</v>
      </c>
      <c r="BJ6">
        <v>0</v>
      </c>
      <c r="BK6">
        <v>0.94599999999999995</v>
      </c>
      <c r="BL6">
        <v>7.08</v>
      </c>
      <c r="BM6">
        <v>5.5307083333333331</v>
      </c>
      <c r="BO6">
        <v>0</v>
      </c>
    </row>
    <row r="7" spans="1:67" x14ac:dyDescent="0.25">
      <c r="A7">
        <v>2007</v>
      </c>
      <c r="B7">
        <v>76</v>
      </c>
      <c r="C7">
        <v>1400</v>
      </c>
      <c r="D7">
        <v>190.6</v>
      </c>
      <c r="E7">
        <v>118.4</v>
      </c>
      <c r="F7">
        <v>8.0500000000000007</v>
      </c>
      <c r="G7">
        <v>9.76</v>
      </c>
      <c r="K7">
        <v>5.4429999999999996</v>
      </c>
      <c r="L7">
        <v>226.3</v>
      </c>
      <c r="M7">
        <v>0</v>
      </c>
      <c r="O7">
        <v>225</v>
      </c>
      <c r="P7">
        <v>51.36</v>
      </c>
      <c r="Q7">
        <v>7.88</v>
      </c>
      <c r="S7">
        <v>6.2430000000000003</v>
      </c>
      <c r="T7">
        <v>0</v>
      </c>
      <c r="U7">
        <v>79.599999999999994</v>
      </c>
      <c r="V7">
        <v>911</v>
      </c>
      <c r="W7">
        <v>40.25</v>
      </c>
      <c r="Y7">
        <v>13.81</v>
      </c>
      <c r="AA7">
        <v>81</v>
      </c>
      <c r="AB7">
        <v>5</v>
      </c>
      <c r="AC7">
        <f t="shared" ca="1" si="0"/>
        <v>7.7535833333333342</v>
      </c>
      <c r="AD7">
        <f t="shared" ca="1" si="1"/>
        <v>0</v>
      </c>
      <c r="AG7">
        <v>2007</v>
      </c>
      <c r="AH7">
        <v>5</v>
      </c>
      <c r="AI7">
        <v>0</v>
      </c>
      <c r="AJ7">
        <v>3.8879999999999999</v>
      </c>
      <c r="AK7">
        <v>8.91</v>
      </c>
      <c r="AL7">
        <v>7.7535833333333342</v>
      </c>
      <c r="AN7">
        <v>0</v>
      </c>
      <c r="AP7">
        <v>2007</v>
      </c>
      <c r="AQ7">
        <v>6</v>
      </c>
      <c r="AR7">
        <v>0</v>
      </c>
      <c r="AS7">
        <v>3.8879999999999999</v>
      </c>
      <c r="AT7">
        <v>8.91</v>
      </c>
      <c r="AU7">
        <v>7.7535833333333342</v>
      </c>
      <c r="AW7">
        <v>0</v>
      </c>
      <c r="AY7">
        <v>2007</v>
      </c>
      <c r="AZ7">
        <v>6</v>
      </c>
      <c r="BA7">
        <v>0</v>
      </c>
      <c r="BB7">
        <v>0.94599999999999995</v>
      </c>
      <c r="BC7">
        <v>7.08</v>
      </c>
      <c r="BD7">
        <v>5.5307083333333331</v>
      </c>
      <c r="BF7">
        <v>0</v>
      </c>
      <c r="BH7">
        <v>2007</v>
      </c>
      <c r="BI7">
        <v>6</v>
      </c>
      <c r="BJ7">
        <v>0</v>
      </c>
      <c r="BK7">
        <v>-1.8740000000000001</v>
      </c>
      <c r="BL7">
        <v>8.59</v>
      </c>
      <c r="BM7">
        <v>4.1948333333333334</v>
      </c>
      <c r="BO7">
        <v>0</v>
      </c>
    </row>
    <row r="8" spans="1:67" x14ac:dyDescent="0.25">
      <c r="A8">
        <v>2007</v>
      </c>
      <c r="B8">
        <v>76</v>
      </c>
      <c r="C8">
        <v>1500</v>
      </c>
      <c r="D8">
        <v>122.6</v>
      </c>
      <c r="E8">
        <v>73.8</v>
      </c>
      <c r="F8">
        <v>8.7200000000000006</v>
      </c>
      <c r="G8">
        <v>10.19</v>
      </c>
      <c r="K8">
        <v>4.9370000000000003</v>
      </c>
      <c r="L8">
        <v>225.2</v>
      </c>
      <c r="M8">
        <v>0</v>
      </c>
      <c r="O8">
        <v>148</v>
      </c>
      <c r="P8">
        <v>31.12</v>
      </c>
      <c r="Q8">
        <v>8.1300000000000008</v>
      </c>
      <c r="S8">
        <v>6.3120000000000003</v>
      </c>
      <c r="T8">
        <v>0</v>
      </c>
      <c r="U8">
        <v>82.6</v>
      </c>
      <c r="V8">
        <v>910</v>
      </c>
      <c r="W8">
        <v>40.229999999999997</v>
      </c>
      <c r="Y8">
        <v>13.66</v>
      </c>
      <c r="AA8">
        <v>82</v>
      </c>
      <c r="AB8">
        <v>6</v>
      </c>
      <c r="AC8">
        <f t="shared" ca="1" si="0"/>
        <v>5.5307083333333331</v>
      </c>
      <c r="AD8">
        <f t="shared" ca="1" si="1"/>
        <v>0</v>
      </c>
      <c r="AG8">
        <v>2007</v>
      </c>
      <c r="AH8">
        <v>6</v>
      </c>
      <c r="AI8">
        <v>0</v>
      </c>
      <c r="AJ8">
        <v>0.94599999999999995</v>
      </c>
      <c r="AK8">
        <v>7.08</v>
      </c>
      <c r="AL8">
        <v>5.5307083333333331</v>
      </c>
      <c r="AN8">
        <v>0</v>
      </c>
      <c r="AP8">
        <v>2007</v>
      </c>
      <c r="AQ8">
        <v>7</v>
      </c>
      <c r="AR8">
        <v>0</v>
      </c>
      <c r="AS8">
        <v>0.94599999999999995</v>
      </c>
      <c r="AT8">
        <v>7.08</v>
      </c>
      <c r="AU8">
        <v>5.5307083333333331</v>
      </c>
      <c r="AW8">
        <v>0</v>
      </c>
      <c r="AY8">
        <v>2007</v>
      </c>
      <c r="AZ8">
        <v>7</v>
      </c>
      <c r="BA8">
        <v>0</v>
      </c>
      <c r="BB8">
        <v>-1.8740000000000001</v>
      </c>
      <c r="BC8">
        <v>8.59</v>
      </c>
      <c r="BD8">
        <v>4.1948333333333334</v>
      </c>
      <c r="BF8">
        <v>0</v>
      </c>
      <c r="BH8">
        <v>2007</v>
      </c>
      <c r="BI8">
        <v>7</v>
      </c>
      <c r="BJ8">
        <v>0</v>
      </c>
      <c r="BK8">
        <v>1.6930000000000001</v>
      </c>
      <c r="BL8">
        <v>8.81</v>
      </c>
      <c r="BM8">
        <v>6.7417083333333316</v>
      </c>
      <c r="BO8">
        <v>0</v>
      </c>
    </row>
    <row r="9" spans="1:67" x14ac:dyDescent="0.25">
      <c r="A9">
        <v>2007</v>
      </c>
      <c r="B9">
        <v>76</v>
      </c>
      <c r="C9">
        <v>1600</v>
      </c>
      <c r="D9">
        <v>120.3</v>
      </c>
      <c r="E9">
        <v>71.900000000000006</v>
      </c>
      <c r="F9">
        <v>9.3000000000000007</v>
      </c>
      <c r="G9">
        <v>10.61</v>
      </c>
      <c r="K9">
        <v>5.5380000000000003</v>
      </c>
      <c r="L9">
        <v>226.7</v>
      </c>
      <c r="M9">
        <v>0</v>
      </c>
      <c r="O9">
        <v>134</v>
      </c>
      <c r="P9">
        <v>26.66</v>
      </c>
      <c r="Q9">
        <v>8.32</v>
      </c>
      <c r="S9">
        <v>6.4009999999999998</v>
      </c>
      <c r="T9">
        <v>0</v>
      </c>
      <c r="U9">
        <v>84.6</v>
      </c>
      <c r="V9">
        <v>910</v>
      </c>
      <c r="W9">
        <v>40.18</v>
      </c>
      <c r="Y9">
        <v>13.67</v>
      </c>
      <c r="AA9">
        <v>83</v>
      </c>
      <c r="AB9">
        <v>7</v>
      </c>
      <c r="AC9">
        <f t="shared" ca="1" si="0"/>
        <v>4.1948333333333334</v>
      </c>
      <c r="AD9">
        <f t="shared" ca="1" si="1"/>
        <v>0</v>
      </c>
      <c r="AG9">
        <v>2007</v>
      </c>
      <c r="AH9">
        <v>7</v>
      </c>
      <c r="AI9">
        <v>0</v>
      </c>
      <c r="AJ9">
        <v>-1.8740000000000001</v>
      </c>
      <c r="AK9">
        <v>8.59</v>
      </c>
      <c r="AL9">
        <v>4.1948333333333334</v>
      </c>
      <c r="AN9">
        <v>0</v>
      </c>
      <c r="AP9">
        <v>2007</v>
      </c>
      <c r="AQ9">
        <v>8</v>
      </c>
      <c r="AR9">
        <v>0</v>
      </c>
      <c r="AS9">
        <v>-1.8740000000000001</v>
      </c>
      <c r="AT9">
        <v>8.59</v>
      </c>
      <c r="AU9">
        <v>4.1948333333333334</v>
      </c>
      <c r="AW9">
        <v>0</v>
      </c>
      <c r="AY9">
        <v>2007</v>
      </c>
      <c r="AZ9">
        <v>8</v>
      </c>
      <c r="BA9">
        <v>0</v>
      </c>
      <c r="BB9">
        <v>1.6930000000000001</v>
      </c>
      <c r="BC9">
        <v>8.81</v>
      </c>
      <c r="BD9">
        <v>6.7417083333333316</v>
      </c>
      <c r="BF9">
        <v>0</v>
      </c>
      <c r="BH9">
        <v>2007</v>
      </c>
      <c r="BI9">
        <v>8</v>
      </c>
      <c r="BJ9">
        <v>0</v>
      </c>
      <c r="BK9">
        <v>0.95299999999999996</v>
      </c>
      <c r="BL9">
        <v>9.09</v>
      </c>
      <c r="BM9">
        <v>6.2319999999999993</v>
      </c>
      <c r="BO9">
        <v>0</v>
      </c>
    </row>
    <row r="10" spans="1:67" x14ac:dyDescent="0.25">
      <c r="A10">
        <v>2007</v>
      </c>
      <c r="B10">
        <v>76</v>
      </c>
      <c r="C10">
        <v>1700</v>
      </c>
      <c r="D10">
        <v>68.72</v>
      </c>
      <c r="E10">
        <v>39.26</v>
      </c>
      <c r="F10">
        <v>9.5</v>
      </c>
      <c r="G10">
        <v>10.88</v>
      </c>
      <c r="K10">
        <v>5.6079999999999997</v>
      </c>
      <c r="L10">
        <v>226.5</v>
      </c>
      <c r="M10">
        <v>0</v>
      </c>
      <c r="O10">
        <v>71.900000000000006</v>
      </c>
      <c r="P10">
        <v>10.57</v>
      </c>
      <c r="Q10">
        <v>8.48</v>
      </c>
      <c r="S10">
        <v>6.4930000000000003</v>
      </c>
      <c r="T10">
        <v>0</v>
      </c>
      <c r="U10">
        <v>84</v>
      </c>
      <c r="V10">
        <v>913</v>
      </c>
      <c r="W10">
        <v>40.43</v>
      </c>
      <c r="Y10">
        <v>13.57</v>
      </c>
      <c r="AA10">
        <v>84</v>
      </c>
      <c r="AB10">
        <v>8</v>
      </c>
      <c r="AC10">
        <f t="shared" ca="1" si="0"/>
        <v>6.7417083333333316</v>
      </c>
      <c r="AD10">
        <f t="shared" ca="1" si="1"/>
        <v>0</v>
      </c>
      <c r="AG10">
        <v>2007</v>
      </c>
      <c r="AH10">
        <v>8</v>
      </c>
      <c r="AI10">
        <v>0</v>
      </c>
      <c r="AJ10">
        <v>1.6930000000000001</v>
      </c>
      <c r="AK10">
        <v>8.81</v>
      </c>
      <c r="AL10">
        <v>6.7417083333333316</v>
      </c>
      <c r="AN10">
        <v>0</v>
      </c>
      <c r="AP10">
        <v>2007</v>
      </c>
      <c r="AQ10">
        <v>9</v>
      </c>
      <c r="AR10">
        <v>0</v>
      </c>
      <c r="AS10">
        <v>1.6930000000000001</v>
      </c>
      <c r="AT10">
        <v>8.81</v>
      </c>
      <c r="AU10">
        <v>6.7417083333333316</v>
      </c>
      <c r="AW10">
        <v>0</v>
      </c>
      <c r="AY10">
        <v>2007</v>
      </c>
      <c r="AZ10">
        <v>9</v>
      </c>
      <c r="BA10">
        <v>0</v>
      </c>
      <c r="BB10">
        <v>0.95299999999999996</v>
      </c>
      <c r="BC10">
        <v>9.09</v>
      </c>
      <c r="BD10">
        <v>6.2319999999999993</v>
      </c>
      <c r="BF10">
        <v>0</v>
      </c>
      <c r="BH10">
        <v>2007</v>
      </c>
      <c r="BI10">
        <v>9</v>
      </c>
      <c r="BJ10">
        <v>0</v>
      </c>
      <c r="BK10">
        <v>0.39400000000000002</v>
      </c>
      <c r="BL10">
        <v>11</v>
      </c>
      <c r="BM10">
        <v>5.7971250000000003</v>
      </c>
      <c r="BO10">
        <v>0</v>
      </c>
    </row>
    <row r="11" spans="1:67" x14ac:dyDescent="0.25">
      <c r="A11">
        <v>2007</v>
      </c>
      <c r="B11">
        <v>76</v>
      </c>
      <c r="C11">
        <v>1800</v>
      </c>
      <c r="D11">
        <v>16.14</v>
      </c>
      <c r="E11">
        <v>5.4359999999999999</v>
      </c>
      <c r="F11">
        <v>9.69</v>
      </c>
      <c r="G11">
        <v>11</v>
      </c>
      <c r="K11">
        <v>5.4139999999999997</v>
      </c>
      <c r="L11">
        <v>226.7</v>
      </c>
      <c r="M11">
        <v>0</v>
      </c>
      <c r="O11">
        <v>9.48</v>
      </c>
      <c r="P11">
        <v>-5.6429999999999998</v>
      </c>
      <c r="Q11">
        <v>8.59</v>
      </c>
      <c r="S11">
        <v>6.5759999999999996</v>
      </c>
      <c r="T11">
        <v>0</v>
      </c>
      <c r="U11">
        <v>84.9</v>
      </c>
      <c r="V11">
        <v>922</v>
      </c>
      <c r="W11">
        <v>41.19</v>
      </c>
      <c r="Y11">
        <v>13.46</v>
      </c>
      <c r="AA11">
        <v>85</v>
      </c>
      <c r="AB11">
        <v>9</v>
      </c>
      <c r="AC11">
        <f t="shared" ca="1" si="0"/>
        <v>6.2319999999999993</v>
      </c>
      <c r="AD11">
        <f t="shared" ca="1" si="1"/>
        <v>0</v>
      </c>
      <c r="AG11">
        <v>2007</v>
      </c>
      <c r="AH11">
        <v>9</v>
      </c>
      <c r="AI11">
        <v>0</v>
      </c>
      <c r="AJ11">
        <v>0.95299999999999996</v>
      </c>
      <c r="AK11">
        <v>9.09</v>
      </c>
      <c r="AL11">
        <v>6.2319999999999993</v>
      </c>
      <c r="AN11">
        <v>0</v>
      </c>
      <c r="AP11">
        <v>2007</v>
      </c>
      <c r="AQ11">
        <v>10</v>
      </c>
      <c r="AR11">
        <v>20</v>
      </c>
      <c r="AS11">
        <v>0.95299999999999996</v>
      </c>
      <c r="AT11">
        <v>9.09</v>
      </c>
      <c r="AU11">
        <v>6.2319999999999993</v>
      </c>
      <c r="AW11">
        <v>0</v>
      </c>
      <c r="AY11">
        <v>2007</v>
      </c>
      <c r="AZ11">
        <v>10</v>
      </c>
      <c r="BA11">
        <v>20</v>
      </c>
      <c r="BB11">
        <v>0.39400000000000002</v>
      </c>
      <c r="BC11">
        <v>11</v>
      </c>
      <c r="BD11">
        <v>5.7971250000000003</v>
      </c>
      <c r="BF11">
        <v>0</v>
      </c>
      <c r="BH11">
        <v>2007</v>
      </c>
      <c r="BI11">
        <v>10</v>
      </c>
      <c r="BJ11">
        <v>21.2</v>
      </c>
      <c r="BK11">
        <v>-0.80300000000000005</v>
      </c>
      <c r="BL11">
        <v>7.34</v>
      </c>
      <c r="BM11">
        <v>4.2461250000000001</v>
      </c>
      <c r="BO11">
        <v>0</v>
      </c>
    </row>
    <row r="12" spans="1:67" x14ac:dyDescent="0.25">
      <c r="A12">
        <v>2007</v>
      </c>
      <c r="B12">
        <v>76</v>
      </c>
      <c r="C12">
        <v>1900</v>
      </c>
      <c r="D12">
        <v>1.262</v>
      </c>
      <c r="E12">
        <v>-2.5619999999999998</v>
      </c>
      <c r="F12">
        <v>9.7200000000000006</v>
      </c>
      <c r="G12">
        <v>10.7</v>
      </c>
      <c r="K12">
        <v>5.5979999999999999</v>
      </c>
      <c r="L12">
        <v>226.7</v>
      </c>
      <c r="M12">
        <v>0.4</v>
      </c>
      <c r="O12">
        <v>-9.41</v>
      </c>
      <c r="P12">
        <v>-10.46</v>
      </c>
      <c r="Q12">
        <v>8.6199999999999992</v>
      </c>
      <c r="S12">
        <v>6.6470000000000002</v>
      </c>
      <c r="T12">
        <v>0</v>
      </c>
      <c r="U12">
        <v>88.5</v>
      </c>
      <c r="V12">
        <v>920</v>
      </c>
      <c r="W12">
        <v>41.01</v>
      </c>
      <c r="Y12">
        <v>13.35</v>
      </c>
      <c r="AA12">
        <v>86</v>
      </c>
      <c r="AB12">
        <v>10</v>
      </c>
      <c r="AC12">
        <f t="shared" ca="1" si="0"/>
        <v>5.7971250000000003</v>
      </c>
      <c r="AD12">
        <f t="shared" ca="1" si="1"/>
        <v>0</v>
      </c>
      <c r="AG12">
        <v>2007</v>
      </c>
      <c r="AH12">
        <v>10</v>
      </c>
      <c r="AI12">
        <v>0</v>
      </c>
      <c r="AJ12">
        <v>0.39400000000000002</v>
      </c>
      <c r="AK12">
        <v>11</v>
      </c>
      <c r="AL12">
        <v>5.7971250000000003</v>
      </c>
      <c r="AN12">
        <v>0</v>
      </c>
      <c r="AP12">
        <v>2007</v>
      </c>
      <c r="AQ12">
        <v>11</v>
      </c>
      <c r="AR12">
        <v>0</v>
      </c>
      <c r="AS12">
        <v>0.39400000000000002</v>
      </c>
      <c r="AT12">
        <v>11</v>
      </c>
      <c r="AU12">
        <v>5.7971250000000003</v>
      </c>
      <c r="AW12">
        <v>0</v>
      </c>
      <c r="AY12">
        <v>2007</v>
      </c>
      <c r="AZ12">
        <v>11</v>
      </c>
      <c r="BA12">
        <v>1.2</v>
      </c>
      <c r="BB12">
        <v>-0.80300000000000005</v>
      </c>
      <c r="BC12">
        <v>7.34</v>
      </c>
      <c r="BD12">
        <v>4.2461250000000001</v>
      </c>
      <c r="BF12">
        <v>0</v>
      </c>
      <c r="BH12">
        <v>2007</v>
      </c>
      <c r="BI12">
        <v>11</v>
      </c>
      <c r="BJ12">
        <v>3.4000000000000004</v>
      </c>
      <c r="BK12">
        <v>3.6379999999999999</v>
      </c>
      <c r="BL12">
        <v>5.3540000000000001</v>
      </c>
      <c r="BM12">
        <v>5.3984999999999994</v>
      </c>
      <c r="BO12">
        <v>0</v>
      </c>
    </row>
    <row r="13" spans="1:67" x14ac:dyDescent="0.25">
      <c r="A13">
        <v>2007</v>
      </c>
      <c r="B13">
        <v>76</v>
      </c>
      <c r="C13">
        <v>2000</v>
      </c>
      <c r="D13">
        <v>-0.48399999999999999</v>
      </c>
      <c r="E13">
        <v>-3.3690000000000002</v>
      </c>
      <c r="F13">
        <v>9.6300000000000008</v>
      </c>
      <c r="G13">
        <v>10.53</v>
      </c>
      <c r="K13">
        <v>5.22</v>
      </c>
      <c r="L13">
        <v>227</v>
      </c>
      <c r="M13">
        <v>0.4</v>
      </c>
      <c r="O13">
        <v>-11.5</v>
      </c>
      <c r="P13">
        <v>-10.84</v>
      </c>
      <c r="Q13">
        <v>8.6199999999999992</v>
      </c>
      <c r="S13">
        <v>6.7359999999999998</v>
      </c>
      <c r="T13">
        <v>0</v>
      </c>
      <c r="U13">
        <v>89.5</v>
      </c>
      <c r="V13">
        <v>921</v>
      </c>
      <c r="W13">
        <v>41.05</v>
      </c>
      <c r="Y13">
        <v>13.27</v>
      </c>
      <c r="AA13">
        <v>87</v>
      </c>
      <c r="AB13">
        <v>11</v>
      </c>
      <c r="AC13">
        <f t="shared" ca="1" si="0"/>
        <v>4.2461250000000001</v>
      </c>
      <c r="AD13">
        <f t="shared" ca="1" si="1"/>
        <v>1.2</v>
      </c>
      <c r="AG13">
        <v>2007</v>
      </c>
      <c r="AH13">
        <v>11</v>
      </c>
      <c r="AI13">
        <v>1.2</v>
      </c>
      <c r="AJ13">
        <v>-0.80300000000000005</v>
      </c>
      <c r="AK13">
        <v>7.34</v>
      </c>
      <c r="AL13">
        <v>4.2461250000000001</v>
      </c>
      <c r="AN13">
        <v>0</v>
      </c>
      <c r="AP13">
        <v>2007</v>
      </c>
      <c r="AQ13">
        <v>12</v>
      </c>
      <c r="AR13">
        <v>1.2</v>
      </c>
      <c r="AS13">
        <v>-0.80300000000000005</v>
      </c>
      <c r="AT13">
        <v>7.34</v>
      </c>
      <c r="AU13">
        <v>4.2461250000000001</v>
      </c>
      <c r="AW13">
        <v>0</v>
      </c>
      <c r="AY13">
        <v>2007</v>
      </c>
      <c r="AZ13">
        <v>12</v>
      </c>
      <c r="BA13">
        <v>3.4000000000000004</v>
      </c>
      <c r="BB13">
        <v>3.6379999999999999</v>
      </c>
      <c r="BC13">
        <v>5.3540000000000001</v>
      </c>
      <c r="BD13">
        <v>5.3984999999999994</v>
      </c>
      <c r="BF13">
        <v>0</v>
      </c>
      <c r="BH13">
        <v>2007</v>
      </c>
      <c r="BI13">
        <v>12</v>
      </c>
      <c r="BJ13">
        <v>0</v>
      </c>
      <c r="BK13">
        <v>4.5179999999999998</v>
      </c>
      <c r="BL13">
        <v>8.85</v>
      </c>
      <c r="BM13">
        <v>7.5514583333333336</v>
      </c>
      <c r="BO13">
        <v>0</v>
      </c>
    </row>
    <row r="14" spans="1:67" x14ac:dyDescent="0.25">
      <c r="A14">
        <v>2007</v>
      </c>
      <c r="B14">
        <v>76</v>
      </c>
      <c r="C14">
        <v>2100</v>
      </c>
      <c r="D14">
        <v>-0.33700000000000002</v>
      </c>
      <c r="E14">
        <v>-6.883</v>
      </c>
      <c r="F14">
        <v>9.39</v>
      </c>
      <c r="G14">
        <v>10.5</v>
      </c>
      <c r="K14">
        <v>5.0759999999999996</v>
      </c>
      <c r="L14">
        <v>227.1</v>
      </c>
      <c r="M14">
        <v>0</v>
      </c>
      <c r="O14">
        <v>-11.5</v>
      </c>
      <c r="P14">
        <v>-10.85</v>
      </c>
      <c r="Q14">
        <v>8.6199999999999992</v>
      </c>
      <c r="S14">
        <v>6.7720000000000002</v>
      </c>
      <c r="T14">
        <v>0</v>
      </c>
      <c r="U14">
        <v>86.9</v>
      </c>
      <c r="V14">
        <v>922</v>
      </c>
      <c r="W14">
        <v>41.16</v>
      </c>
      <c r="Y14">
        <v>13.19</v>
      </c>
      <c r="AA14">
        <v>88</v>
      </c>
      <c r="AB14">
        <v>12</v>
      </c>
      <c r="AC14">
        <f t="shared" ca="1" si="0"/>
        <v>5.3984999999999994</v>
      </c>
      <c r="AD14">
        <f t="shared" ca="1" si="1"/>
        <v>3.4000000000000004</v>
      </c>
      <c r="AG14">
        <v>2007</v>
      </c>
      <c r="AH14">
        <v>12</v>
      </c>
      <c r="AI14">
        <v>3.4000000000000004</v>
      </c>
      <c r="AJ14">
        <v>3.6379999999999999</v>
      </c>
      <c r="AK14">
        <v>5.3540000000000001</v>
      </c>
      <c r="AL14">
        <v>5.3984999999999994</v>
      </c>
      <c r="AN14">
        <v>0</v>
      </c>
      <c r="AP14">
        <v>2007</v>
      </c>
      <c r="AQ14">
        <v>13</v>
      </c>
      <c r="AR14">
        <v>3.4000000000000004</v>
      </c>
      <c r="AS14">
        <v>3.6379999999999999</v>
      </c>
      <c r="AT14">
        <v>5.3540000000000001</v>
      </c>
      <c r="AU14">
        <v>5.3984999999999994</v>
      </c>
      <c r="AW14">
        <v>0</v>
      </c>
      <c r="AY14">
        <v>2007</v>
      </c>
      <c r="AZ14">
        <v>13</v>
      </c>
      <c r="BA14">
        <v>0</v>
      </c>
      <c r="BB14">
        <v>4.5179999999999998</v>
      </c>
      <c r="BC14">
        <v>8.85</v>
      </c>
      <c r="BD14">
        <v>7.5514583333333336</v>
      </c>
      <c r="BF14">
        <v>0</v>
      </c>
      <c r="BH14">
        <v>2007</v>
      </c>
      <c r="BI14">
        <v>13</v>
      </c>
      <c r="BJ14">
        <v>0</v>
      </c>
      <c r="BK14">
        <v>2.2490000000000001</v>
      </c>
      <c r="BL14">
        <v>10.3</v>
      </c>
      <c r="BM14">
        <v>6.6047499999999992</v>
      </c>
      <c r="BO14">
        <v>0</v>
      </c>
    </row>
    <row r="15" spans="1:67" x14ac:dyDescent="0.25">
      <c r="A15">
        <v>2007</v>
      </c>
      <c r="B15">
        <v>76</v>
      </c>
      <c r="C15">
        <v>2200</v>
      </c>
      <c r="D15">
        <v>-0.83199999999999996</v>
      </c>
      <c r="E15">
        <v>-10.59</v>
      </c>
      <c r="F15">
        <v>8.42</v>
      </c>
      <c r="G15">
        <v>10.029999999999999</v>
      </c>
      <c r="K15">
        <v>6.3250000000000002</v>
      </c>
      <c r="L15">
        <v>227.7</v>
      </c>
      <c r="M15">
        <v>0.2</v>
      </c>
      <c r="O15">
        <v>-11.51</v>
      </c>
      <c r="P15">
        <v>-10.85</v>
      </c>
      <c r="Q15">
        <v>8.6</v>
      </c>
      <c r="S15">
        <v>6.8460000000000001</v>
      </c>
      <c r="T15">
        <v>0</v>
      </c>
      <c r="U15">
        <v>80.900000000000006</v>
      </c>
      <c r="V15">
        <v>921</v>
      </c>
      <c r="W15">
        <v>41.09</v>
      </c>
      <c r="Y15">
        <v>13.11</v>
      </c>
      <c r="AA15">
        <v>89</v>
      </c>
      <c r="AB15">
        <v>13</v>
      </c>
      <c r="AC15">
        <f t="shared" ca="1" si="0"/>
        <v>7.5514583333333336</v>
      </c>
      <c r="AD15">
        <f t="shared" ca="1" si="1"/>
        <v>0</v>
      </c>
      <c r="AG15">
        <v>2007</v>
      </c>
      <c r="AH15">
        <v>13</v>
      </c>
      <c r="AI15">
        <v>0</v>
      </c>
      <c r="AJ15">
        <v>4.5179999999999998</v>
      </c>
      <c r="AK15">
        <v>8.85</v>
      </c>
      <c r="AL15">
        <v>7.5514583333333336</v>
      </c>
      <c r="AN15">
        <v>0</v>
      </c>
      <c r="AP15">
        <v>2007</v>
      </c>
      <c r="AQ15">
        <v>14</v>
      </c>
      <c r="AR15">
        <v>0</v>
      </c>
      <c r="AS15">
        <v>4.5179999999999998</v>
      </c>
      <c r="AT15">
        <v>8.85</v>
      </c>
      <c r="AU15">
        <v>7.5514583333333336</v>
      </c>
      <c r="AW15">
        <v>0</v>
      </c>
      <c r="AY15">
        <v>2007</v>
      </c>
      <c r="AZ15">
        <v>14</v>
      </c>
      <c r="BA15">
        <v>0</v>
      </c>
      <c r="BB15">
        <v>2.2490000000000001</v>
      </c>
      <c r="BC15">
        <v>10.3</v>
      </c>
      <c r="BD15">
        <v>6.6047499999999992</v>
      </c>
      <c r="BF15">
        <v>0</v>
      </c>
      <c r="BH15">
        <v>2007</v>
      </c>
      <c r="BI15">
        <v>14</v>
      </c>
      <c r="BJ15">
        <v>0</v>
      </c>
      <c r="BK15">
        <v>0.52300000000000002</v>
      </c>
      <c r="BL15">
        <v>8.7899999999999991</v>
      </c>
      <c r="BM15">
        <v>6.5909999999999984</v>
      </c>
      <c r="BO15">
        <v>0</v>
      </c>
    </row>
    <row r="16" spans="1:67" x14ac:dyDescent="0.25">
      <c r="A16">
        <v>2007</v>
      </c>
      <c r="B16">
        <v>76</v>
      </c>
      <c r="C16">
        <v>2300</v>
      </c>
      <c r="D16">
        <v>-0.96599999999999997</v>
      </c>
      <c r="E16">
        <v>-21.97</v>
      </c>
      <c r="F16">
        <v>6.524</v>
      </c>
      <c r="G16">
        <v>8.89</v>
      </c>
      <c r="K16">
        <v>7.14</v>
      </c>
      <c r="L16">
        <v>228.5</v>
      </c>
      <c r="M16">
        <v>0</v>
      </c>
      <c r="O16">
        <v>-11.5</v>
      </c>
      <c r="P16">
        <v>-10.85</v>
      </c>
      <c r="Q16">
        <v>8.52</v>
      </c>
      <c r="S16">
        <v>6.8470000000000004</v>
      </c>
      <c r="T16">
        <v>0</v>
      </c>
      <c r="U16">
        <v>71.099999999999994</v>
      </c>
      <c r="V16">
        <v>932</v>
      </c>
      <c r="W16">
        <v>41.97</v>
      </c>
      <c r="Y16">
        <v>13.05</v>
      </c>
      <c r="AA16">
        <v>90</v>
      </c>
      <c r="AB16">
        <v>14</v>
      </c>
      <c r="AC16">
        <f t="shared" ca="1" si="0"/>
        <v>6.6047499999999992</v>
      </c>
      <c r="AD16">
        <f t="shared" ca="1" si="1"/>
        <v>0</v>
      </c>
      <c r="AG16">
        <v>2007</v>
      </c>
      <c r="AH16">
        <v>14</v>
      </c>
      <c r="AI16">
        <v>0</v>
      </c>
      <c r="AJ16">
        <v>2.2490000000000001</v>
      </c>
      <c r="AK16">
        <v>10.3</v>
      </c>
      <c r="AL16">
        <v>6.6047499999999992</v>
      </c>
      <c r="AN16">
        <v>0</v>
      </c>
      <c r="AP16">
        <v>2007</v>
      </c>
      <c r="AQ16">
        <v>15</v>
      </c>
      <c r="AR16">
        <v>0</v>
      </c>
      <c r="AS16">
        <v>2.2490000000000001</v>
      </c>
      <c r="AT16">
        <v>10.3</v>
      </c>
      <c r="AU16">
        <v>6.6047499999999992</v>
      </c>
      <c r="AW16">
        <v>0</v>
      </c>
      <c r="AY16">
        <v>2007</v>
      </c>
      <c r="AZ16">
        <v>15</v>
      </c>
      <c r="BA16">
        <v>0</v>
      </c>
      <c r="BB16">
        <v>0.52300000000000002</v>
      </c>
      <c r="BC16">
        <v>8.7899999999999991</v>
      </c>
      <c r="BD16">
        <v>6.5909999999999984</v>
      </c>
      <c r="BF16">
        <v>0</v>
      </c>
      <c r="BH16">
        <v>2007</v>
      </c>
      <c r="BI16">
        <v>15</v>
      </c>
      <c r="BJ16">
        <v>0</v>
      </c>
      <c r="BK16">
        <v>1.3340000000000001</v>
      </c>
      <c r="BL16">
        <v>10.130000000000001</v>
      </c>
      <c r="BM16">
        <v>7.9332916666666664</v>
      </c>
      <c r="BO16">
        <v>0</v>
      </c>
    </row>
    <row r="17" spans="1:67" x14ac:dyDescent="0.25">
      <c r="A17">
        <v>2007</v>
      </c>
      <c r="B17">
        <v>76</v>
      </c>
      <c r="C17">
        <v>2400</v>
      </c>
      <c r="D17">
        <v>-0.59799999999999998</v>
      </c>
      <c r="E17">
        <v>-16.89</v>
      </c>
      <c r="F17">
        <v>5.1079999999999997</v>
      </c>
      <c r="G17">
        <v>7.05</v>
      </c>
      <c r="K17">
        <v>7.44</v>
      </c>
      <c r="L17">
        <v>229.3</v>
      </c>
      <c r="M17">
        <v>0</v>
      </c>
      <c r="O17">
        <v>-11.5</v>
      </c>
      <c r="P17">
        <v>-10.86</v>
      </c>
      <c r="Q17">
        <v>8.33</v>
      </c>
      <c r="S17">
        <v>6.8280000000000003</v>
      </c>
      <c r="T17">
        <v>0</v>
      </c>
      <c r="U17">
        <v>74.5</v>
      </c>
      <c r="V17">
        <v>921</v>
      </c>
      <c r="W17">
        <v>41.06</v>
      </c>
      <c r="Y17">
        <v>12.99</v>
      </c>
      <c r="AA17">
        <v>91</v>
      </c>
      <c r="AB17">
        <v>15</v>
      </c>
      <c r="AC17">
        <f t="shared" ca="1" si="0"/>
        <v>6.5909999999999984</v>
      </c>
      <c r="AD17">
        <f t="shared" ca="1" si="1"/>
        <v>0</v>
      </c>
      <c r="AG17">
        <v>2007</v>
      </c>
      <c r="AH17">
        <v>15</v>
      </c>
      <c r="AI17">
        <v>0</v>
      </c>
      <c r="AJ17">
        <v>0.52300000000000002</v>
      </c>
      <c r="AK17">
        <v>8.7899999999999991</v>
      </c>
      <c r="AL17">
        <v>6.5909999999999984</v>
      </c>
      <c r="AN17">
        <v>0</v>
      </c>
      <c r="AP17">
        <v>2007</v>
      </c>
      <c r="AQ17">
        <v>16</v>
      </c>
      <c r="AR17">
        <v>0</v>
      </c>
      <c r="AS17">
        <v>0.52300000000000002</v>
      </c>
      <c r="AT17">
        <v>8.7899999999999991</v>
      </c>
      <c r="AU17">
        <v>6.5909999999999984</v>
      </c>
      <c r="AW17">
        <v>0</v>
      </c>
      <c r="AY17">
        <v>2007</v>
      </c>
      <c r="AZ17">
        <v>16</v>
      </c>
      <c r="BA17">
        <v>0</v>
      </c>
      <c r="BB17">
        <v>1.3340000000000001</v>
      </c>
      <c r="BC17">
        <v>10.130000000000001</v>
      </c>
      <c r="BD17">
        <v>7.9332916666666664</v>
      </c>
      <c r="BF17">
        <v>0</v>
      </c>
      <c r="BH17">
        <v>2007</v>
      </c>
      <c r="BI17">
        <v>16</v>
      </c>
      <c r="BJ17">
        <v>0</v>
      </c>
      <c r="BK17">
        <v>-1.0249999999999999</v>
      </c>
      <c r="BL17">
        <v>8.36</v>
      </c>
      <c r="BM17">
        <v>5.2946250000000008</v>
      </c>
      <c r="BO17">
        <v>0</v>
      </c>
    </row>
    <row r="18" spans="1:67" x14ac:dyDescent="0.25">
      <c r="A18">
        <v>2007</v>
      </c>
      <c r="B18">
        <v>77</v>
      </c>
      <c r="C18">
        <v>100</v>
      </c>
      <c r="D18">
        <v>-1.401</v>
      </c>
      <c r="E18">
        <v>-26.62</v>
      </c>
      <c r="F18">
        <v>3.7879999999999998</v>
      </c>
      <c r="G18">
        <v>5.2309999999999999</v>
      </c>
      <c r="K18">
        <v>6.2530000000000001</v>
      </c>
      <c r="L18">
        <v>229.7</v>
      </c>
      <c r="M18">
        <v>0.4</v>
      </c>
      <c r="O18">
        <v>-11.51</v>
      </c>
      <c r="P18">
        <v>-10.86</v>
      </c>
      <c r="Q18">
        <v>8.14</v>
      </c>
      <c r="S18">
        <v>6.83</v>
      </c>
      <c r="T18">
        <v>0</v>
      </c>
      <c r="U18">
        <v>79.5</v>
      </c>
      <c r="V18">
        <v>938</v>
      </c>
      <c r="W18">
        <v>42.54</v>
      </c>
      <c r="Y18">
        <v>12.95</v>
      </c>
      <c r="AA18">
        <v>92</v>
      </c>
      <c r="AB18">
        <v>16</v>
      </c>
      <c r="AC18">
        <f t="shared" ca="1" si="0"/>
        <v>7.9332916666666664</v>
      </c>
      <c r="AD18">
        <f t="shared" ca="1" si="1"/>
        <v>0</v>
      </c>
      <c r="AG18">
        <v>2007</v>
      </c>
      <c r="AH18">
        <v>16</v>
      </c>
      <c r="AI18">
        <v>0</v>
      </c>
      <c r="AJ18">
        <v>1.3340000000000001</v>
      </c>
      <c r="AK18">
        <v>10.130000000000001</v>
      </c>
      <c r="AL18">
        <v>7.9332916666666664</v>
      </c>
      <c r="AN18">
        <v>0</v>
      </c>
      <c r="AP18">
        <v>2007</v>
      </c>
      <c r="AQ18">
        <v>17</v>
      </c>
      <c r="AR18">
        <v>0</v>
      </c>
      <c r="AS18">
        <v>1.3340000000000001</v>
      </c>
      <c r="AT18">
        <v>10.130000000000001</v>
      </c>
      <c r="AU18">
        <v>7.9332916666666664</v>
      </c>
      <c r="AW18">
        <v>0</v>
      </c>
      <c r="AY18">
        <v>2007</v>
      </c>
      <c r="AZ18">
        <v>17</v>
      </c>
      <c r="BA18">
        <v>0</v>
      </c>
      <c r="BB18">
        <v>-1.0249999999999999</v>
      </c>
      <c r="BC18">
        <v>8.36</v>
      </c>
      <c r="BD18">
        <v>5.2946250000000008</v>
      </c>
      <c r="BF18">
        <v>0</v>
      </c>
      <c r="BH18">
        <v>2007</v>
      </c>
      <c r="BI18">
        <v>17</v>
      </c>
      <c r="BJ18">
        <v>0</v>
      </c>
      <c r="BK18">
        <v>5.4429999999999996</v>
      </c>
      <c r="BL18">
        <v>10.65</v>
      </c>
      <c r="BM18">
        <v>8.5283333333333342</v>
      </c>
      <c r="BO18">
        <v>0</v>
      </c>
    </row>
    <row r="19" spans="1:67" x14ac:dyDescent="0.25">
      <c r="A19">
        <v>2007</v>
      </c>
      <c r="B19">
        <v>77</v>
      </c>
      <c r="C19">
        <v>200</v>
      </c>
      <c r="D19">
        <v>-1.375</v>
      </c>
      <c r="E19">
        <v>-22.26</v>
      </c>
      <c r="F19">
        <v>2.9969999999999999</v>
      </c>
      <c r="G19">
        <v>4.5579999999999998</v>
      </c>
      <c r="K19">
        <v>6.2549999999999999</v>
      </c>
      <c r="L19">
        <v>228.5</v>
      </c>
      <c r="M19">
        <v>0</v>
      </c>
      <c r="O19">
        <v>-11.5</v>
      </c>
      <c r="P19">
        <v>-10.85</v>
      </c>
      <c r="Q19">
        <v>7.83</v>
      </c>
      <c r="S19">
        <v>6.7720000000000002</v>
      </c>
      <c r="T19">
        <v>0</v>
      </c>
      <c r="U19">
        <v>77.2</v>
      </c>
      <c r="V19">
        <v>991</v>
      </c>
      <c r="W19">
        <v>47.96</v>
      </c>
      <c r="Y19">
        <v>12.91</v>
      </c>
      <c r="AA19">
        <v>93</v>
      </c>
      <c r="AB19">
        <v>17</v>
      </c>
      <c r="AC19">
        <f t="shared" ca="1" si="0"/>
        <v>5.2946250000000008</v>
      </c>
      <c r="AD19">
        <f t="shared" ca="1" si="1"/>
        <v>0</v>
      </c>
      <c r="AG19">
        <v>2007</v>
      </c>
      <c r="AH19">
        <v>17</v>
      </c>
      <c r="AI19">
        <v>0</v>
      </c>
      <c r="AJ19">
        <v>-1.0249999999999999</v>
      </c>
      <c r="AK19">
        <v>8.36</v>
      </c>
      <c r="AL19">
        <v>5.2946250000000008</v>
      </c>
      <c r="AN19">
        <v>0</v>
      </c>
      <c r="AP19">
        <v>2007</v>
      </c>
      <c r="AQ19">
        <v>18</v>
      </c>
      <c r="AR19">
        <v>0</v>
      </c>
      <c r="AS19">
        <v>-1.0249999999999999</v>
      </c>
      <c r="AT19">
        <v>8.36</v>
      </c>
      <c r="AU19">
        <v>5.2946250000000008</v>
      </c>
      <c r="AW19">
        <v>0</v>
      </c>
      <c r="AY19">
        <v>2007</v>
      </c>
      <c r="AZ19">
        <v>18</v>
      </c>
      <c r="BA19">
        <v>0</v>
      </c>
      <c r="BB19">
        <v>5.4429999999999996</v>
      </c>
      <c r="BC19">
        <v>10.65</v>
      </c>
      <c r="BD19">
        <v>8.5283333333333342</v>
      </c>
      <c r="BF19">
        <v>0</v>
      </c>
      <c r="BH19">
        <v>2007</v>
      </c>
      <c r="BI19">
        <v>18</v>
      </c>
      <c r="BJ19">
        <v>0</v>
      </c>
      <c r="BK19">
        <v>0.43</v>
      </c>
      <c r="BL19">
        <v>11.66</v>
      </c>
      <c r="BM19">
        <v>7.4543333333333344</v>
      </c>
      <c r="BO19">
        <v>0</v>
      </c>
    </row>
    <row r="20" spans="1:67" x14ac:dyDescent="0.25">
      <c r="A20">
        <v>2007</v>
      </c>
      <c r="B20">
        <v>77</v>
      </c>
      <c r="C20">
        <v>300</v>
      </c>
      <c r="D20">
        <v>-1.605</v>
      </c>
      <c r="E20">
        <v>-30.71</v>
      </c>
      <c r="F20">
        <v>1.6930000000000001</v>
      </c>
      <c r="G20">
        <v>3.5720000000000001</v>
      </c>
      <c r="K20">
        <v>6.8339999999999996</v>
      </c>
      <c r="L20">
        <v>228.7</v>
      </c>
      <c r="M20">
        <v>0</v>
      </c>
      <c r="O20">
        <v>-11.51</v>
      </c>
      <c r="P20">
        <v>-10.85</v>
      </c>
      <c r="Q20">
        <v>7.57</v>
      </c>
      <c r="S20">
        <v>6.766</v>
      </c>
      <c r="T20">
        <v>0</v>
      </c>
      <c r="U20">
        <v>71.599999999999994</v>
      </c>
      <c r="V20">
        <v>1017</v>
      </c>
      <c r="W20">
        <v>51.2</v>
      </c>
      <c r="Y20">
        <v>12.89</v>
      </c>
      <c r="AA20">
        <v>94</v>
      </c>
      <c r="AB20">
        <v>18</v>
      </c>
      <c r="AC20">
        <f t="shared" ca="1" si="0"/>
        <v>8.5283333333333342</v>
      </c>
      <c r="AD20">
        <f t="shared" ca="1" si="1"/>
        <v>0</v>
      </c>
      <c r="AG20">
        <v>2007</v>
      </c>
      <c r="AH20">
        <v>18</v>
      </c>
      <c r="AI20">
        <v>0</v>
      </c>
      <c r="AJ20">
        <v>5.4429999999999996</v>
      </c>
      <c r="AK20">
        <v>10.65</v>
      </c>
      <c r="AL20">
        <v>8.5283333333333342</v>
      </c>
      <c r="AN20">
        <v>0</v>
      </c>
      <c r="AP20">
        <v>2007</v>
      </c>
      <c r="AQ20">
        <v>19</v>
      </c>
      <c r="AR20">
        <v>0</v>
      </c>
      <c r="AS20">
        <v>5.4429999999999996</v>
      </c>
      <c r="AT20">
        <v>10.65</v>
      </c>
      <c r="AU20">
        <v>8.5283333333333342</v>
      </c>
      <c r="AW20">
        <v>0</v>
      </c>
      <c r="AY20">
        <v>2007</v>
      </c>
      <c r="AZ20">
        <v>19</v>
      </c>
      <c r="BA20">
        <v>0</v>
      </c>
      <c r="BB20">
        <v>0.43</v>
      </c>
      <c r="BC20">
        <v>11.66</v>
      </c>
      <c r="BD20">
        <v>7.4543333333333344</v>
      </c>
      <c r="BF20">
        <v>0</v>
      </c>
      <c r="BH20">
        <v>2007</v>
      </c>
      <c r="BI20">
        <v>19</v>
      </c>
      <c r="BJ20">
        <v>0</v>
      </c>
      <c r="BK20">
        <v>0.96699999999999997</v>
      </c>
      <c r="BL20">
        <v>9.39</v>
      </c>
      <c r="BM20">
        <v>7.3905833333333311</v>
      </c>
      <c r="BO20">
        <v>0</v>
      </c>
    </row>
    <row r="21" spans="1:67" x14ac:dyDescent="0.25">
      <c r="A21">
        <v>2007</v>
      </c>
      <c r="B21">
        <v>77</v>
      </c>
      <c r="C21">
        <v>400</v>
      </c>
      <c r="D21">
        <v>-1.77</v>
      </c>
      <c r="E21">
        <v>-41.44</v>
      </c>
      <c r="F21">
        <v>0.65400000000000003</v>
      </c>
      <c r="G21">
        <v>2.3580000000000001</v>
      </c>
      <c r="K21">
        <v>6.1260000000000003</v>
      </c>
      <c r="L21">
        <v>228.5</v>
      </c>
      <c r="M21">
        <v>0</v>
      </c>
      <c r="O21">
        <v>-11.51</v>
      </c>
      <c r="P21">
        <v>-10.85</v>
      </c>
      <c r="Q21">
        <v>7.2</v>
      </c>
      <c r="S21">
        <v>6.6559999999999997</v>
      </c>
      <c r="T21">
        <v>0</v>
      </c>
      <c r="U21">
        <v>72.8</v>
      </c>
      <c r="V21">
        <v>1111</v>
      </c>
      <c r="W21">
        <v>67.239999999999995</v>
      </c>
      <c r="Y21">
        <v>12.86</v>
      </c>
      <c r="AA21">
        <v>95</v>
      </c>
      <c r="AB21">
        <v>19</v>
      </c>
      <c r="AC21">
        <f t="shared" ca="1" si="0"/>
        <v>7.4543333333333344</v>
      </c>
      <c r="AD21">
        <f t="shared" ca="1" si="1"/>
        <v>0</v>
      </c>
      <c r="AG21">
        <v>2007</v>
      </c>
      <c r="AH21">
        <v>19</v>
      </c>
      <c r="AI21">
        <v>0</v>
      </c>
      <c r="AJ21">
        <v>0.43</v>
      </c>
      <c r="AK21">
        <v>11.66</v>
      </c>
      <c r="AL21">
        <v>7.4543333333333344</v>
      </c>
      <c r="AN21">
        <v>0</v>
      </c>
      <c r="AP21">
        <v>2007</v>
      </c>
      <c r="AQ21">
        <v>20</v>
      </c>
      <c r="AR21">
        <v>0</v>
      </c>
      <c r="AS21">
        <v>0.43</v>
      </c>
      <c r="AT21">
        <v>11.66</v>
      </c>
      <c r="AU21">
        <v>7.4543333333333344</v>
      </c>
      <c r="AW21">
        <v>0</v>
      </c>
      <c r="AY21">
        <v>2007</v>
      </c>
      <c r="AZ21">
        <v>20</v>
      </c>
      <c r="BA21">
        <v>0</v>
      </c>
      <c r="BB21">
        <v>0.96699999999999997</v>
      </c>
      <c r="BC21">
        <v>9.39</v>
      </c>
      <c r="BD21">
        <v>7.3905833333333311</v>
      </c>
      <c r="BF21">
        <v>0</v>
      </c>
      <c r="BH21">
        <v>2007</v>
      </c>
      <c r="BI21">
        <v>20</v>
      </c>
      <c r="BJ21">
        <v>0</v>
      </c>
      <c r="BK21">
        <v>4.99</v>
      </c>
      <c r="BL21">
        <v>11.17</v>
      </c>
      <c r="BM21">
        <v>9.9019166666666649</v>
      </c>
      <c r="BO21">
        <v>0</v>
      </c>
    </row>
    <row r="22" spans="1:67" x14ac:dyDescent="0.25">
      <c r="A22">
        <v>2007</v>
      </c>
      <c r="B22">
        <v>77</v>
      </c>
      <c r="C22">
        <v>500</v>
      </c>
      <c r="D22">
        <v>-0.94599999999999995</v>
      </c>
      <c r="E22">
        <v>-21.75</v>
      </c>
      <c r="F22">
        <v>0.28599999999999998</v>
      </c>
      <c r="G22">
        <v>1.173</v>
      </c>
      <c r="K22">
        <v>5.7489999999999997</v>
      </c>
      <c r="L22">
        <v>228.4</v>
      </c>
      <c r="M22">
        <v>0.2</v>
      </c>
      <c r="O22">
        <v>-11.52</v>
      </c>
      <c r="P22">
        <v>-10.85</v>
      </c>
      <c r="Q22">
        <v>6.806</v>
      </c>
      <c r="S22">
        <v>6.5529999999999999</v>
      </c>
      <c r="T22">
        <v>0</v>
      </c>
      <c r="U22">
        <v>85</v>
      </c>
      <c r="V22">
        <v>1096</v>
      </c>
      <c r="W22">
        <v>64.430000000000007</v>
      </c>
      <c r="Y22">
        <v>12.84</v>
      </c>
      <c r="AA22">
        <v>96</v>
      </c>
      <c r="AB22">
        <v>20</v>
      </c>
      <c r="AC22">
        <f t="shared" ca="1" si="0"/>
        <v>7.3905833333333311</v>
      </c>
      <c r="AD22">
        <f t="shared" ca="1" si="1"/>
        <v>0</v>
      </c>
      <c r="AG22">
        <v>2007</v>
      </c>
      <c r="AH22">
        <v>20</v>
      </c>
      <c r="AI22">
        <v>0</v>
      </c>
      <c r="AJ22">
        <v>0.96699999999999997</v>
      </c>
      <c r="AK22">
        <v>9.39</v>
      </c>
      <c r="AL22">
        <v>7.3905833333333311</v>
      </c>
      <c r="AN22">
        <v>0</v>
      </c>
      <c r="AP22">
        <v>2007</v>
      </c>
      <c r="AQ22">
        <v>21</v>
      </c>
      <c r="AR22">
        <v>0</v>
      </c>
      <c r="AS22">
        <v>0.96699999999999997</v>
      </c>
      <c r="AT22">
        <v>9.39</v>
      </c>
      <c r="AU22">
        <v>7.3905833333333311</v>
      </c>
      <c r="AW22">
        <v>0</v>
      </c>
      <c r="AY22">
        <v>2007</v>
      </c>
      <c r="AZ22">
        <v>21</v>
      </c>
      <c r="BA22">
        <v>0</v>
      </c>
      <c r="BB22">
        <v>4.99</v>
      </c>
      <c r="BC22">
        <v>11.17</v>
      </c>
      <c r="BD22">
        <v>9.9019166666666649</v>
      </c>
      <c r="BF22">
        <v>0</v>
      </c>
      <c r="BH22">
        <v>2007</v>
      </c>
      <c r="BI22">
        <v>21</v>
      </c>
      <c r="BJ22">
        <v>0</v>
      </c>
      <c r="BK22">
        <v>6.9669999999999996</v>
      </c>
      <c r="BL22">
        <v>9.6</v>
      </c>
      <c r="BM22">
        <v>9.3740416666666686</v>
      </c>
      <c r="BO22">
        <v>0</v>
      </c>
    </row>
    <row r="23" spans="1:67" x14ac:dyDescent="0.25">
      <c r="A23">
        <v>2007</v>
      </c>
      <c r="B23">
        <v>77</v>
      </c>
      <c r="C23">
        <v>600</v>
      </c>
      <c r="D23">
        <v>-1.43</v>
      </c>
      <c r="E23">
        <v>-28.27</v>
      </c>
      <c r="F23">
        <v>0.32500000000000001</v>
      </c>
      <c r="G23">
        <v>1.4930000000000001</v>
      </c>
      <c r="K23">
        <v>5.3239999999999998</v>
      </c>
      <c r="L23">
        <v>228.3</v>
      </c>
      <c r="M23">
        <v>0</v>
      </c>
      <c r="O23">
        <v>-11.51</v>
      </c>
      <c r="P23">
        <v>-10.86</v>
      </c>
      <c r="Q23">
        <v>6.4569999999999999</v>
      </c>
      <c r="S23">
        <v>6.4580000000000002</v>
      </c>
      <c r="T23">
        <v>0</v>
      </c>
      <c r="U23">
        <v>80.599999999999994</v>
      </c>
      <c r="V23">
        <v>994</v>
      </c>
      <c r="W23">
        <v>48.8</v>
      </c>
      <c r="Y23">
        <v>12.83</v>
      </c>
      <c r="AA23">
        <v>97</v>
      </c>
      <c r="AB23">
        <v>21</v>
      </c>
      <c r="AC23">
        <f t="shared" ca="1" si="0"/>
        <v>9.9019166666666649</v>
      </c>
      <c r="AD23">
        <f t="shared" ca="1" si="1"/>
        <v>0</v>
      </c>
      <c r="AG23">
        <v>2007</v>
      </c>
      <c r="AH23">
        <v>21</v>
      </c>
      <c r="AI23">
        <v>0</v>
      </c>
      <c r="AJ23">
        <v>4.99</v>
      </c>
      <c r="AK23">
        <v>11.17</v>
      </c>
      <c r="AL23">
        <v>9.9019166666666649</v>
      </c>
      <c r="AN23">
        <v>0</v>
      </c>
      <c r="AP23">
        <v>2007</v>
      </c>
      <c r="AQ23">
        <v>22</v>
      </c>
      <c r="AR23">
        <v>0</v>
      </c>
      <c r="AS23">
        <v>4.99</v>
      </c>
      <c r="AT23">
        <v>11.17</v>
      </c>
      <c r="AU23">
        <v>9.9019166666666649</v>
      </c>
      <c r="AW23">
        <v>0</v>
      </c>
      <c r="AY23">
        <v>2007</v>
      </c>
      <c r="AZ23">
        <v>22</v>
      </c>
      <c r="BA23">
        <v>0</v>
      </c>
      <c r="BB23">
        <v>6.9669999999999996</v>
      </c>
      <c r="BC23">
        <v>9.6</v>
      </c>
      <c r="BD23">
        <v>9.3740416666666686</v>
      </c>
      <c r="BF23">
        <v>0</v>
      </c>
      <c r="BH23">
        <v>2007</v>
      </c>
      <c r="BI23">
        <v>22</v>
      </c>
      <c r="BJ23">
        <v>0</v>
      </c>
      <c r="BK23">
        <v>10.01</v>
      </c>
      <c r="BL23">
        <v>10.67</v>
      </c>
      <c r="BM23">
        <v>11.205</v>
      </c>
      <c r="BO23">
        <v>0</v>
      </c>
    </row>
    <row r="24" spans="1:67" x14ac:dyDescent="0.25">
      <c r="A24">
        <v>2007</v>
      </c>
      <c r="B24">
        <v>77</v>
      </c>
      <c r="C24">
        <v>700</v>
      </c>
      <c r="D24">
        <v>2.0640000000000001</v>
      </c>
      <c r="E24">
        <v>-20.329999999999998</v>
      </c>
      <c r="F24">
        <v>0.42899999999999999</v>
      </c>
      <c r="G24">
        <v>2</v>
      </c>
      <c r="K24">
        <v>5.6029999999999998</v>
      </c>
      <c r="L24">
        <v>228.7</v>
      </c>
      <c r="M24">
        <v>0.2</v>
      </c>
      <c r="O24">
        <v>-6.4909999999999997</v>
      </c>
      <c r="P24">
        <v>-9.66</v>
      </c>
      <c r="Q24">
        <v>6.1079999999999997</v>
      </c>
      <c r="S24">
        <v>6.34</v>
      </c>
      <c r="T24">
        <v>0</v>
      </c>
      <c r="U24">
        <v>74.400000000000006</v>
      </c>
      <c r="V24">
        <v>938</v>
      </c>
      <c r="W24">
        <v>42.52</v>
      </c>
      <c r="Y24">
        <v>12.82</v>
      </c>
      <c r="AA24">
        <v>98</v>
      </c>
      <c r="AB24">
        <v>22</v>
      </c>
      <c r="AC24">
        <f t="shared" ca="1" si="0"/>
        <v>9.3740416666666686</v>
      </c>
      <c r="AD24">
        <f t="shared" ca="1" si="1"/>
        <v>0</v>
      </c>
      <c r="AG24">
        <v>2007</v>
      </c>
      <c r="AH24">
        <v>22</v>
      </c>
      <c r="AI24">
        <v>0</v>
      </c>
      <c r="AJ24">
        <v>6.9669999999999996</v>
      </c>
      <c r="AK24">
        <v>9.6</v>
      </c>
      <c r="AL24">
        <v>9.3740416666666686</v>
      </c>
      <c r="AN24">
        <v>0</v>
      </c>
      <c r="AP24">
        <v>2007</v>
      </c>
      <c r="AQ24">
        <v>23</v>
      </c>
      <c r="AR24">
        <v>0</v>
      </c>
      <c r="AS24">
        <v>6.9669999999999996</v>
      </c>
      <c r="AT24">
        <v>9.6</v>
      </c>
      <c r="AU24">
        <v>9.3740416666666686</v>
      </c>
      <c r="AW24">
        <v>0</v>
      </c>
      <c r="AY24">
        <v>2007</v>
      </c>
      <c r="AZ24">
        <v>23</v>
      </c>
      <c r="BA24">
        <v>0</v>
      </c>
      <c r="BB24">
        <v>10.01</v>
      </c>
      <c r="BC24">
        <v>10.67</v>
      </c>
      <c r="BD24">
        <v>11.205</v>
      </c>
      <c r="BF24">
        <v>0</v>
      </c>
      <c r="BH24">
        <v>2007</v>
      </c>
      <c r="BI24">
        <v>23</v>
      </c>
      <c r="BJ24">
        <v>0</v>
      </c>
      <c r="BK24">
        <v>9.07</v>
      </c>
      <c r="BL24">
        <v>11.06</v>
      </c>
      <c r="BM24">
        <v>10.84708333333333</v>
      </c>
      <c r="BO24">
        <v>0</v>
      </c>
    </row>
    <row r="25" spans="1:67" x14ac:dyDescent="0.25">
      <c r="A25">
        <v>2007</v>
      </c>
      <c r="B25">
        <v>77</v>
      </c>
      <c r="C25">
        <v>800</v>
      </c>
      <c r="D25">
        <v>57.27</v>
      </c>
      <c r="E25">
        <v>20.13</v>
      </c>
      <c r="F25">
        <v>0.59299999999999997</v>
      </c>
      <c r="G25">
        <v>1.8080000000000001</v>
      </c>
      <c r="K25">
        <v>5.7489999999999997</v>
      </c>
      <c r="L25">
        <v>228.3</v>
      </c>
      <c r="M25">
        <v>0</v>
      </c>
      <c r="O25">
        <v>67.86</v>
      </c>
      <c r="P25">
        <v>16.059999999999999</v>
      </c>
      <c r="Q25">
        <v>5.8170000000000002</v>
      </c>
      <c r="S25">
        <v>6.2030000000000003</v>
      </c>
      <c r="T25">
        <v>0</v>
      </c>
      <c r="U25">
        <v>80</v>
      </c>
      <c r="V25">
        <v>942</v>
      </c>
      <c r="W25">
        <v>42.9</v>
      </c>
      <c r="X25">
        <f>AVERAGE(W25:W48)</f>
        <v>47.307083333333338</v>
      </c>
      <c r="Y25">
        <v>13.13</v>
      </c>
      <c r="AA25">
        <v>99</v>
      </c>
      <c r="AB25">
        <v>23</v>
      </c>
      <c r="AC25">
        <f t="shared" ca="1" si="0"/>
        <v>11.205</v>
      </c>
      <c r="AD25">
        <f t="shared" ca="1" si="1"/>
        <v>0</v>
      </c>
      <c r="AG25">
        <v>2007</v>
      </c>
      <c r="AH25">
        <v>23</v>
      </c>
      <c r="AI25">
        <v>0</v>
      </c>
      <c r="AJ25">
        <v>10.01</v>
      </c>
      <c r="AK25">
        <v>10.67</v>
      </c>
      <c r="AL25">
        <v>11.205</v>
      </c>
      <c r="AN25">
        <v>0</v>
      </c>
      <c r="AP25">
        <v>2007</v>
      </c>
      <c r="AQ25">
        <v>24</v>
      </c>
      <c r="AR25">
        <v>0</v>
      </c>
      <c r="AS25">
        <v>10.01</v>
      </c>
      <c r="AT25">
        <v>10.67</v>
      </c>
      <c r="AU25">
        <v>11.205</v>
      </c>
      <c r="AW25">
        <v>0</v>
      </c>
      <c r="AY25">
        <v>2007</v>
      </c>
      <c r="AZ25">
        <v>24</v>
      </c>
      <c r="BA25">
        <v>0</v>
      </c>
      <c r="BB25">
        <v>9.07</v>
      </c>
      <c r="BC25">
        <v>11.06</v>
      </c>
      <c r="BD25">
        <v>10.84708333333333</v>
      </c>
      <c r="BF25">
        <v>0</v>
      </c>
      <c r="BH25">
        <v>2007</v>
      </c>
      <c r="BI25">
        <v>24</v>
      </c>
      <c r="BJ25">
        <v>0</v>
      </c>
      <c r="BK25">
        <v>0.48</v>
      </c>
      <c r="BL25">
        <v>10.87</v>
      </c>
      <c r="BM25">
        <v>8.5106666666666673</v>
      </c>
      <c r="BO25">
        <v>0</v>
      </c>
    </row>
    <row r="26" spans="1:67" x14ac:dyDescent="0.25">
      <c r="A26">
        <v>2007</v>
      </c>
      <c r="B26">
        <v>77</v>
      </c>
      <c r="C26">
        <v>900</v>
      </c>
      <c r="D26">
        <v>121.9</v>
      </c>
      <c r="E26">
        <v>68.22</v>
      </c>
      <c r="F26">
        <v>0.80300000000000005</v>
      </c>
      <c r="G26">
        <v>2.0089999999999999</v>
      </c>
      <c r="H26">
        <f>AVERAGE(G26:G49)</f>
        <v>1.5908333333333333</v>
      </c>
      <c r="I26">
        <f>MIN(G26:G49)</f>
        <v>0.32200000000000001</v>
      </c>
      <c r="J26">
        <f>MAX(F26:F49)</f>
        <v>1.8620000000000001</v>
      </c>
      <c r="K26">
        <v>6.5229999999999997</v>
      </c>
      <c r="L26">
        <v>228.7</v>
      </c>
      <c r="M26">
        <v>0.2</v>
      </c>
      <c r="N26">
        <f>SUM(M26:M49)</f>
        <v>2.4</v>
      </c>
      <c r="O26">
        <v>151.19999999999999</v>
      </c>
      <c r="P26">
        <v>34.39</v>
      </c>
      <c r="Q26">
        <v>5.6130000000000004</v>
      </c>
      <c r="R26">
        <f>AVERAGE(Q26:Q49)</f>
        <v>5.4819166666666668</v>
      </c>
      <c r="S26">
        <v>6.056</v>
      </c>
      <c r="T26">
        <v>0</v>
      </c>
      <c r="U26">
        <v>80.400000000000006</v>
      </c>
      <c r="V26">
        <v>929</v>
      </c>
      <c r="W26">
        <v>41.73</v>
      </c>
      <c r="Y26">
        <v>13.79</v>
      </c>
      <c r="AA26">
        <v>100</v>
      </c>
      <c r="AB26">
        <v>24</v>
      </c>
      <c r="AC26">
        <f t="shared" ca="1" si="0"/>
        <v>10.84708333333333</v>
      </c>
      <c r="AD26">
        <f t="shared" ca="1" si="1"/>
        <v>0</v>
      </c>
      <c r="AG26">
        <v>2007</v>
      </c>
      <c r="AH26">
        <v>24</v>
      </c>
      <c r="AI26">
        <v>0</v>
      </c>
      <c r="AJ26">
        <v>9.07</v>
      </c>
      <c r="AK26">
        <v>11.06</v>
      </c>
      <c r="AL26">
        <v>10.84708333333333</v>
      </c>
      <c r="AN26">
        <v>0</v>
      </c>
      <c r="AP26">
        <v>2007</v>
      </c>
      <c r="AQ26">
        <v>25</v>
      </c>
      <c r="AR26">
        <v>0</v>
      </c>
      <c r="AS26">
        <v>9.07</v>
      </c>
      <c r="AT26">
        <v>11.06</v>
      </c>
      <c r="AU26">
        <v>10.84708333333333</v>
      </c>
      <c r="AW26">
        <v>0</v>
      </c>
      <c r="AY26">
        <v>2007</v>
      </c>
      <c r="AZ26">
        <v>25</v>
      </c>
      <c r="BA26">
        <v>0</v>
      </c>
      <c r="BB26">
        <v>0.48</v>
      </c>
      <c r="BC26">
        <v>10.87</v>
      </c>
      <c r="BD26">
        <v>8.5106666666666673</v>
      </c>
      <c r="BF26">
        <v>0</v>
      </c>
      <c r="BH26">
        <v>2007</v>
      </c>
      <c r="BI26">
        <v>25</v>
      </c>
      <c r="BJ26">
        <v>0</v>
      </c>
      <c r="BK26">
        <v>1.645</v>
      </c>
      <c r="BL26">
        <v>12.97</v>
      </c>
      <c r="BM26">
        <v>9.7204583333333332</v>
      </c>
      <c r="BO26">
        <v>0</v>
      </c>
    </row>
    <row r="27" spans="1:67" x14ac:dyDescent="0.25">
      <c r="A27">
        <v>2007</v>
      </c>
      <c r="B27">
        <v>77</v>
      </c>
      <c r="C27">
        <v>1000</v>
      </c>
      <c r="D27">
        <v>233.3</v>
      </c>
      <c r="E27">
        <v>155.30000000000001</v>
      </c>
      <c r="F27">
        <v>1.0760000000000001</v>
      </c>
      <c r="G27">
        <v>2.149</v>
      </c>
      <c r="K27">
        <v>6.7450000000000001</v>
      </c>
      <c r="L27">
        <v>228.5</v>
      </c>
      <c r="M27">
        <v>0</v>
      </c>
      <c r="O27">
        <v>292.89999999999998</v>
      </c>
      <c r="P27">
        <v>66.87</v>
      </c>
      <c r="Q27">
        <v>5.5060000000000002</v>
      </c>
      <c r="S27">
        <v>5.9219999999999997</v>
      </c>
      <c r="T27">
        <v>0</v>
      </c>
      <c r="U27">
        <v>82.5</v>
      </c>
      <c r="V27">
        <v>919</v>
      </c>
      <c r="W27">
        <v>40.950000000000003</v>
      </c>
      <c r="Y27">
        <v>14.15</v>
      </c>
      <c r="AA27">
        <v>101</v>
      </c>
      <c r="AB27">
        <v>25</v>
      </c>
      <c r="AC27">
        <f t="shared" ca="1" si="0"/>
        <v>8.5106666666666673</v>
      </c>
      <c r="AD27">
        <f t="shared" ca="1" si="1"/>
        <v>0</v>
      </c>
      <c r="AG27">
        <v>2007</v>
      </c>
      <c r="AH27">
        <v>25</v>
      </c>
      <c r="AI27">
        <v>0</v>
      </c>
      <c r="AJ27">
        <v>0.48</v>
      </c>
      <c r="AK27">
        <v>10.87</v>
      </c>
      <c r="AL27">
        <v>8.5106666666666673</v>
      </c>
      <c r="AN27">
        <v>0</v>
      </c>
      <c r="AP27">
        <v>2007</v>
      </c>
      <c r="AQ27">
        <v>26</v>
      </c>
      <c r="AR27">
        <v>0</v>
      </c>
      <c r="AS27">
        <v>0.48</v>
      </c>
      <c r="AT27">
        <v>10.87</v>
      </c>
      <c r="AU27">
        <v>8.5106666666666673</v>
      </c>
      <c r="AW27">
        <v>0</v>
      </c>
      <c r="AY27">
        <v>2007</v>
      </c>
      <c r="AZ27">
        <v>26</v>
      </c>
      <c r="BA27">
        <v>0</v>
      </c>
      <c r="BB27">
        <v>1.645</v>
      </c>
      <c r="BC27">
        <v>12.97</v>
      </c>
      <c r="BD27">
        <v>9.7204583333333332</v>
      </c>
      <c r="BF27">
        <v>0</v>
      </c>
      <c r="BH27">
        <v>2007</v>
      </c>
      <c r="BI27">
        <v>26</v>
      </c>
      <c r="BJ27">
        <v>0</v>
      </c>
      <c r="BK27">
        <v>5.5960000000000001</v>
      </c>
      <c r="BL27">
        <v>12.67</v>
      </c>
      <c r="BM27">
        <v>11.727916666666665</v>
      </c>
      <c r="BO27">
        <v>0</v>
      </c>
    </row>
    <row r="28" spans="1:67" x14ac:dyDescent="0.25">
      <c r="A28">
        <v>2007</v>
      </c>
      <c r="B28">
        <v>77</v>
      </c>
      <c r="C28">
        <v>1100</v>
      </c>
      <c r="D28">
        <v>338.3</v>
      </c>
      <c r="E28">
        <v>221.4</v>
      </c>
      <c r="F28">
        <v>1.2410000000000001</v>
      </c>
      <c r="G28">
        <v>2.657</v>
      </c>
      <c r="K28">
        <v>6.859</v>
      </c>
      <c r="L28">
        <v>228.5</v>
      </c>
      <c r="M28">
        <v>0</v>
      </c>
      <c r="O28">
        <v>407.8</v>
      </c>
      <c r="P28">
        <v>91.9</v>
      </c>
      <c r="Q28">
        <v>5.59</v>
      </c>
      <c r="S28">
        <v>5.8479999999999999</v>
      </c>
      <c r="T28">
        <v>0</v>
      </c>
      <c r="U28">
        <v>77.8</v>
      </c>
      <c r="V28">
        <v>913</v>
      </c>
      <c r="W28">
        <v>40.47</v>
      </c>
      <c r="Y28">
        <v>14.46</v>
      </c>
      <c r="AA28" s="21">
        <v>102</v>
      </c>
      <c r="AB28" s="21">
        <v>26</v>
      </c>
      <c r="AC28" s="21">
        <f t="shared" ca="1" si="0"/>
        <v>9.7204583333333332</v>
      </c>
      <c r="AD28" s="21">
        <f t="shared" ca="1" si="1"/>
        <v>0</v>
      </c>
      <c r="AE28" t="s">
        <v>94</v>
      </c>
      <c r="AG28">
        <v>2007</v>
      </c>
      <c r="AH28">
        <v>26</v>
      </c>
      <c r="AI28">
        <v>0</v>
      </c>
      <c r="AJ28">
        <v>1.645</v>
      </c>
      <c r="AK28">
        <v>12.97</v>
      </c>
      <c r="AL28">
        <v>9.7204583333333332</v>
      </c>
      <c r="AN28">
        <v>0</v>
      </c>
      <c r="AP28">
        <v>2007</v>
      </c>
      <c r="AQ28">
        <v>27</v>
      </c>
      <c r="AR28">
        <v>0</v>
      </c>
      <c r="AS28">
        <v>1.645</v>
      </c>
      <c r="AT28">
        <v>12.97</v>
      </c>
      <c r="AU28">
        <v>9.7204583333333332</v>
      </c>
      <c r="AW28">
        <v>0</v>
      </c>
      <c r="AY28">
        <v>2007</v>
      </c>
      <c r="AZ28">
        <v>27</v>
      </c>
      <c r="BA28">
        <v>0</v>
      </c>
      <c r="BB28">
        <v>5.5960000000000001</v>
      </c>
      <c r="BC28">
        <v>12.67</v>
      </c>
      <c r="BD28">
        <v>11.727916666666665</v>
      </c>
      <c r="BF28">
        <v>0</v>
      </c>
      <c r="BH28">
        <v>2007</v>
      </c>
      <c r="BI28">
        <v>27</v>
      </c>
      <c r="BJ28">
        <v>0</v>
      </c>
      <c r="BK28">
        <v>11.89</v>
      </c>
      <c r="BL28">
        <v>14.48</v>
      </c>
      <c r="BM28">
        <v>14.661250000000003</v>
      </c>
      <c r="BO28">
        <v>0</v>
      </c>
    </row>
    <row r="29" spans="1:67" x14ac:dyDescent="0.25">
      <c r="A29">
        <v>2007</v>
      </c>
      <c r="B29">
        <v>77</v>
      </c>
      <c r="C29">
        <v>1200</v>
      </c>
      <c r="D29">
        <v>356.9</v>
      </c>
      <c r="E29">
        <v>231.7</v>
      </c>
      <c r="F29">
        <v>1.6839999999999999</v>
      </c>
      <c r="G29">
        <v>3.4489999999999998</v>
      </c>
      <c r="K29">
        <v>6.5979999999999999</v>
      </c>
      <c r="L29">
        <v>229.2</v>
      </c>
      <c r="M29">
        <v>0</v>
      </c>
      <c r="O29">
        <v>430.4</v>
      </c>
      <c r="P29">
        <v>96.3</v>
      </c>
      <c r="Q29">
        <v>5.6710000000000003</v>
      </c>
      <c r="S29">
        <v>5.7030000000000003</v>
      </c>
      <c r="T29">
        <v>0</v>
      </c>
      <c r="U29">
        <v>73.2</v>
      </c>
      <c r="V29">
        <v>949</v>
      </c>
      <c r="W29">
        <v>43.54</v>
      </c>
      <c r="Y29">
        <v>14.26</v>
      </c>
      <c r="AA29">
        <v>103</v>
      </c>
      <c r="AB29">
        <v>27</v>
      </c>
      <c r="AC29">
        <v>11.631739130434781</v>
      </c>
      <c r="AD29">
        <v>0</v>
      </c>
      <c r="AE29" t="s">
        <v>95</v>
      </c>
      <c r="AG29">
        <v>2007</v>
      </c>
      <c r="AH29">
        <v>27</v>
      </c>
      <c r="AI29">
        <v>0</v>
      </c>
      <c r="AJ29">
        <v>5.5960000000000001</v>
      </c>
      <c r="AK29">
        <v>12.67</v>
      </c>
      <c r="AL29">
        <v>11.727916666666665</v>
      </c>
      <c r="AN29">
        <v>0</v>
      </c>
      <c r="AP29">
        <v>2007</v>
      </c>
      <c r="AQ29">
        <v>28</v>
      </c>
      <c r="AR29">
        <v>0</v>
      </c>
      <c r="AS29">
        <v>5.5960000000000001</v>
      </c>
      <c r="AT29">
        <v>12.67</v>
      </c>
      <c r="AU29">
        <v>11.727916666666665</v>
      </c>
      <c r="AW29">
        <v>0</v>
      </c>
      <c r="AY29">
        <v>2007</v>
      </c>
      <c r="AZ29">
        <v>28</v>
      </c>
      <c r="BA29">
        <v>0</v>
      </c>
      <c r="BB29">
        <v>11.89</v>
      </c>
      <c r="BC29">
        <v>14.48</v>
      </c>
      <c r="BD29">
        <v>14.661250000000003</v>
      </c>
      <c r="BF29">
        <v>0</v>
      </c>
      <c r="BH29">
        <v>2007</v>
      </c>
      <c r="BI29">
        <v>28</v>
      </c>
      <c r="BJ29">
        <v>0.4</v>
      </c>
      <c r="BK29">
        <v>3.3279999999999998</v>
      </c>
      <c r="BL29">
        <v>14.42</v>
      </c>
      <c r="BM29">
        <v>11.477916666666671</v>
      </c>
      <c r="BO29">
        <v>0</v>
      </c>
    </row>
    <row r="30" spans="1:67" x14ac:dyDescent="0.25">
      <c r="A30">
        <v>2007</v>
      </c>
      <c r="B30">
        <v>77</v>
      </c>
      <c r="C30">
        <v>1300</v>
      </c>
      <c r="D30">
        <v>349.7</v>
      </c>
      <c r="E30">
        <v>212.9</v>
      </c>
      <c r="F30">
        <v>1.8620000000000001</v>
      </c>
      <c r="G30">
        <v>3.9630000000000001</v>
      </c>
      <c r="K30">
        <v>6.5140000000000002</v>
      </c>
      <c r="L30">
        <v>229.4</v>
      </c>
      <c r="M30">
        <v>0</v>
      </c>
      <c r="O30">
        <v>415.9</v>
      </c>
      <c r="P30">
        <v>103.8</v>
      </c>
      <c r="Q30">
        <v>5.9039999999999999</v>
      </c>
      <c r="S30">
        <v>5.6440000000000001</v>
      </c>
      <c r="T30">
        <v>0</v>
      </c>
      <c r="U30">
        <v>68.84</v>
      </c>
      <c r="V30">
        <v>955</v>
      </c>
      <c r="W30">
        <v>44.09</v>
      </c>
      <c r="Y30">
        <v>14.29</v>
      </c>
      <c r="AA30">
        <v>104</v>
      </c>
      <c r="AB30">
        <v>28</v>
      </c>
      <c r="AC30">
        <v>14.756521739130436</v>
      </c>
      <c r="AD30">
        <v>0</v>
      </c>
      <c r="AG30">
        <v>2007</v>
      </c>
      <c r="AH30">
        <v>28</v>
      </c>
      <c r="AI30">
        <v>0</v>
      </c>
      <c r="AJ30">
        <v>11.89</v>
      </c>
      <c r="AK30">
        <v>14.48</v>
      </c>
      <c r="AL30">
        <v>14.661250000000003</v>
      </c>
      <c r="AN30">
        <v>0</v>
      </c>
      <c r="AP30">
        <v>2007</v>
      </c>
      <c r="AQ30">
        <v>29</v>
      </c>
      <c r="AR30">
        <v>20</v>
      </c>
      <c r="AS30">
        <v>11.89</v>
      </c>
      <c r="AT30">
        <v>14.48</v>
      </c>
      <c r="AU30">
        <v>14.661250000000003</v>
      </c>
      <c r="AW30">
        <v>0</v>
      </c>
      <c r="AY30">
        <v>2007</v>
      </c>
      <c r="AZ30">
        <v>29</v>
      </c>
      <c r="BA30">
        <v>20.399999999999999</v>
      </c>
      <c r="BB30">
        <v>3.3279999999999998</v>
      </c>
      <c r="BC30">
        <v>14.42</v>
      </c>
      <c r="BD30">
        <v>11.477916666666671</v>
      </c>
      <c r="BF30">
        <v>0</v>
      </c>
      <c r="BH30">
        <v>2007</v>
      </c>
      <c r="BI30">
        <v>29</v>
      </c>
      <c r="BJ30">
        <v>20</v>
      </c>
      <c r="BK30">
        <v>3.419</v>
      </c>
      <c r="BL30">
        <v>9.35</v>
      </c>
      <c r="BM30">
        <v>8.5975416666666664</v>
      </c>
      <c r="BO30">
        <v>0</v>
      </c>
    </row>
    <row r="31" spans="1:67" x14ac:dyDescent="0.25">
      <c r="A31">
        <v>2007</v>
      </c>
      <c r="B31">
        <v>77</v>
      </c>
      <c r="C31">
        <v>1400</v>
      </c>
      <c r="D31">
        <v>462.2</v>
      </c>
      <c r="E31">
        <v>281.2</v>
      </c>
      <c r="F31">
        <v>1.847</v>
      </c>
      <c r="G31">
        <v>3.7229999999999999</v>
      </c>
      <c r="K31">
        <v>6.6440000000000001</v>
      </c>
      <c r="L31">
        <v>228.6</v>
      </c>
      <c r="M31">
        <v>0</v>
      </c>
      <c r="O31">
        <v>550.4</v>
      </c>
      <c r="P31">
        <v>157.6</v>
      </c>
      <c r="Q31">
        <v>6.2519999999999998</v>
      </c>
      <c r="S31">
        <v>5.6980000000000004</v>
      </c>
      <c r="T31">
        <v>0</v>
      </c>
      <c r="U31">
        <v>72</v>
      </c>
      <c r="V31">
        <v>957</v>
      </c>
      <c r="W31">
        <v>44.25</v>
      </c>
      <c r="Y31">
        <v>14.37</v>
      </c>
      <c r="AA31">
        <v>105</v>
      </c>
      <c r="AB31">
        <v>29</v>
      </c>
      <c r="AC31">
        <v>11.578695652173916</v>
      </c>
      <c r="AD31">
        <v>0.4</v>
      </c>
      <c r="AG31">
        <v>2007</v>
      </c>
      <c r="AH31">
        <v>29</v>
      </c>
      <c r="AI31">
        <v>0.4</v>
      </c>
      <c r="AJ31">
        <v>3.3279999999999998</v>
      </c>
      <c r="AK31">
        <v>14.42</v>
      </c>
      <c r="AL31">
        <v>11.477916666666671</v>
      </c>
      <c r="AN31">
        <v>0</v>
      </c>
      <c r="AP31">
        <v>2007</v>
      </c>
      <c r="AQ31">
        <v>30</v>
      </c>
      <c r="AR31">
        <v>0.4</v>
      </c>
      <c r="AS31">
        <v>3.3279999999999998</v>
      </c>
      <c r="AT31">
        <v>14.42</v>
      </c>
      <c r="AU31">
        <v>11.477916666666671</v>
      </c>
      <c r="AW31">
        <v>0</v>
      </c>
      <c r="AY31">
        <v>2007</v>
      </c>
      <c r="AZ31">
        <v>30</v>
      </c>
      <c r="BA31">
        <v>0</v>
      </c>
      <c r="BB31">
        <v>3.419</v>
      </c>
      <c r="BC31">
        <v>9.35</v>
      </c>
      <c r="BD31">
        <v>8.5975416666666664</v>
      </c>
      <c r="BF31">
        <v>0</v>
      </c>
      <c r="BH31">
        <v>2007</v>
      </c>
      <c r="BI31">
        <v>30</v>
      </c>
      <c r="BJ31">
        <v>0.2</v>
      </c>
      <c r="BK31">
        <v>1.212</v>
      </c>
      <c r="BL31">
        <v>9.32</v>
      </c>
      <c r="BM31">
        <v>7.5940833333333337</v>
      </c>
      <c r="BO31">
        <v>0</v>
      </c>
    </row>
    <row r="32" spans="1:67" x14ac:dyDescent="0.25">
      <c r="A32">
        <v>2007</v>
      </c>
      <c r="B32">
        <v>77</v>
      </c>
      <c r="C32">
        <v>1500</v>
      </c>
      <c r="D32">
        <v>395.9</v>
      </c>
      <c r="E32">
        <v>226.6</v>
      </c>
      <c r="F32">
        <v>1.617</v>
      </c>
      <c r="G32">
        <v>3.9369999999999998</v>
      </c>
      <c r="K32">
        <v>6.7679999999999998</v>
      </c>
      <c r="L32">
        <v>228.4</v>
      </c>
      <c r="M32">
        <v>0</v>
      </c>
      <c r="O32">
        <v>463.4</v>
      </c>
      <c r="P32">
        <v>150.1</v>
      </c>
      <c r="Q32">
        <v>6.5979999999999999</v>
      </c>
      <c r="S32">
        <v>5.7350000000000003</v>
      </c>
      <c r="T32">
        <v>0</v>
      </c>
      <c r="U32">
        <v>65.63</v>
      </c>
      <c r="V32">
        <v>960</v>
      </c>
      <c r="W32">
        <v>44.6</v>
      </c>
      <c r="Y32">
        <v>14.35</v>
      </c>
      <c r="AA32">
        <v>106</v>
      </c>
      <c r="AB32">
        <v>30</v>
      </c>
      <c r="AC32">
        <v>8.5774347826086945</v>
      </c>
      <c r="AD32">
        <v>0</v>
      </c>
      <c r="AG32">
        <v>2007</v>
      </c>
      <c r="AH32">
        <v>30</v>
      </c>
      <c r="AI32">
        <v>0</v>
      </c>
      <c r="AJ32">
        <v>3.419</v>
      </c>
      <c r="AK32">
        <v>9.35</v>
      </c>
      <c r="AL32">
        <v>8.5975416666666664</v>
      </c>
      <c r="AN32">
        <v>0</v>
      </c>
      <c r="AP32">
        <v>2007</v>
      </c>
      <c r="AQ32">
        <v>31</v>
      </c>
      <c r="AR32">
        <v>0</v>
      </c>
      <c r="AS32">
        <v>3.419</v>
      </c>
      <c r="AT32">
        <v>9.35</v>
      </c>
      <c r="AU32">
        <v>8.5975416666666664</v>
      </c>
      <c r="AW32">
        <v>0</v>
      </c>
      <c r="AY32">
        <v>2007</v>
      </c>
      <c r="AZ32">
        <v>31</v>
      </c>
      <c r="BA32">
        <v>0.2</v>
      </c>
      <c r="BB32">
        <v>1.212</v>
      </c>
      <c r="BC32">
        <v>9.32</v>
      </c>
      <c r="BD32">
        <v>7.5940833333333337</v>
      </c>
      <c r="BF32">
        <v>0</v>
      </c>
      <c r="BH32">
        <v>2007</v>
      </c>
      <c r="BI32">
        <v>31</v>
      </c>
      <c r="BJ32">
        <v>0</v>
      </c>
      <c r="BK32">
        <v>5.6769999999999996</v>
      </c>
      <c r="BL32">
        <v>10.81</v>
      </c>
      <c r="BM32">
        <v>9.7133333333333329</v>
      </c>
      <c r="BO32">
        <v>0</v>
      </c>
    </row>
    <row r="33" spans="1:67" x14ac:dyDescent="0.25">
      <c r="A33">
        <v>2007</v>
      </c>
      <c r="B33">
        <v>77</v>
      </c>
      <c r="C33">
        <v>1600</v>
      </c>
      <c r="D33">
        <v>319.7</v>
      </c>
      <c r="E33">
        <v>177.3</v>
      </c>
      <c r="F33">
        <v>1.46</v>
      </c>
      <c r="G33">
        <v>3.5840000000000001</v>
      </c>
      <c r="K33">
        <v>6.2770000000000001</v>
      </c>
      <c r="L33">
        <v>228.6</v>
      </c>
      <c r="M33">
        <v>0</v>
      </c>
      <c r="O33">
        <v>371.6</v>
      </c>
      <c r="P33">
        <v>141.6</v>
      </c>
      <c r="Q33">
        <v>6.8170000000000002</v>
      </c>
      <c r="S33">
        <v>5.7679999999999998</v>
      </c>
      <c r="T33">
        <v>0</v>
      </c>
      <c r="U33">
        <v>67.95</v>
      </c>
      <c r="V33">
        <v>973</v>
      </c>
      <c r="W33">
        <v>45.92</v>
      </c>
      <c r="Y33">
        <v>14.32</v>
      </c>
      <c r="AA33">
        <v>107</v>
      </c>
      <c r="AB33">
        <v>31</v>
      </c>
      <c r="AC33">
        <v>7.5312173913043488</v>
      </c>
      <c r="AD33">
        <v>0.2</v>
      </c>
      <c r="AG33">
        <v>2007</v>
      </c>
      <c r="AH33">
        <v>31</v>
      </c>
      <c r="AI33">
        <v>0.2</v>
      </c>
      <c r="AJ33">
        <v>1.212</v>
      </c>
      <c r="AK33">
        <v>9.32</v>
      </c>
      <c r="AL33">
        <v>7.5940833333333337</v>
      </c>
      <c r="AN33">
        <v>0</v>
      </c>
      <c r="AP33">
        <v>2007</v>
      </c>
      <c r="AQ33">
        <v>32</v>
      </c>
      <c r="AR33">
        <v>0.2</v>
      </c>
      <c r="AS33">
        <v>1.212</v>
      </c>
      <c r="AT33">
        <v>9.32</v>
      </c>
      <c r="AU33">
        <v>7.5940833333333337</v>
      </c>
      <c r="AW33">
        <v>0</v>
      </c>
      <c r="AY33">
        <v>2007</v>
      </c>
      <c r="AZ33">
        <v>32</v>
      </c>
      <c r="BA33">
        <v>0</v>
      </c>
      <c r="BB33">
        <v>5.6769999999999996</v>
      </c>
      <c r="BC33">
        <v>10.81</v>
      </c>
      <c r="BD33">
        <v>9.7133333333333329</v>
      </c>
      <c r="BF33">
        <v>0</v>
      </c>
      <c r="BH33">
        <v>2007</v>
      </c>
      <c r="BI33">
        <v>32</v>
      </c>
      <c r="BJ33">
        <v>0.2</v>
      </c>
      <c r="BK33">
        <v>7.11</v>
      </c>
      <c r="BL33">
        <v>10.47</v>
      </c>
      <c r="BM33">
        <v>9.4970833333333324</v>
      </c>
      <c r="BO33">
        <v>0</v>
      </c>
    </row>
    <row r="34" spans="1:67" x14ac:dyDescent="0.25">
      <c r="A34">
        <v>2007</v>
      </c>
      <c r="B34">
        <v>77</v>
      </c>
      <c r="C34">
        <v>1700</v>
      </c>
      <c r="D34">
        <v>137.5</v>
      </c>
      <c r="E34">
        <v>49.22</v>
      </c>
      <c r="F34">
        <v>0.91800000000000004</v>
      </c>
      <c r="G34">
        <v>2.75</v>
      </c>
      <c r="K34">
        <v>5.28</v>
      </c>
      <c r="L34">
        <v>228.5</v>
      </c>
      <c r="M34">
        <v>0</v>
      </c>
      <c r="O34">
        <v>149.6</v>
      </c>
      <c r="P34">
        <v>63.29</v>
      </c>
      <c r="Q34">
        <v>6.8470000000000004</v>
      </c>
      <c r="S34">
        <v>5.7789999999999999</v>
      </c>
      <c r="T34">
        <v>0</v>
      </c>
      <c r="U34">
        <v>71.3</v>
      </c>
      <c r="V34">
        <v>991</v>
      </c>
      <c r="W34">
        <v>47.9</v>
      </c>
      <c r="Y34">
        <v>13.91</v>
      </c>
      <c r="AA34">
        <v>108</v>
      </c>
      <c r="AB34">
        <v>32</v>
      </c>
      <c r="AC34">
        <v>9.688695652173914</v>
      </c>
      <c r="AD34">
        <v>0</v>
      </c>
      <c r="AG34">
        <v>2007</v>
      </c>
      <c r="AH34">
        <v>32</v>
      </c>
      <c r="AI34">
        <v>0</v>
      </c>
      <c r="AJ34">
        <v>5.6769999999999996</v>
      </c>
      <c r="AK34">
        <v>10.81</v>
      </c>
      <c r="AL34">
        <v>9.7133333333333329</v>
      </c>
      <c r="AN34">
        <v>0</v>
      </c>
      <c r="AP34">
        <v>2007</v>
      </c>
      <c r="AQ34">
        <v>33</v>
      </c>
      <c r="AR34">
        <v>0</v>
      </c>
      <c r="AS34">
        <v>5.6769999999999996</v>
      </c>
      <c r="AT34">
        <v>10.81</v>
      </c>
      <c r="AU34">
        <v>9.7133333333333329</v>
      </c>
      <c r="AW34">
        <v>0</v>
      </c>
      <c r="AY34">
        <v>2007</v>
      </c>
      <c r="AZ34">
        <v>33</v>
      </c>
      <c r="BA34">
        <v>0.2</v>
      </c>
      <c r="BB34">
        <v>7.11</v>
      </c>
      <c r="BC34">
        <v>10.47</v>
      </c>
      <c r="BD34">
        <v>9.4970833333333324</v>
      </c>
      <c r="BF34">
        <v>0</v>
      </c>
      <c r="BH34">
        <v>2007</v>
      </c>
      <c r="BI34">
        <v>33</v>
      </c>
      <c r="BJ34">
        <v>0</v>
      </c>
      <c r="BK34">
        <v>9.66</v>
      </c>
      <c r="BL34">
        <v>12.5</v>
      </c>
      <c r="BM34">
        <v>12.532083333333333</v>
      </c>
      <c r="BO34">
        <v>0</v>
      </c>
    </row>
    <row r="35" spans="1:67" x14ac:dyDescent="0.25">
      <c r="A35">
        <v>2007</v>
      </c>
      <c r="B35">
        <v>77</v>
      </c>
      <c r="C35">
        <v>1800</v>
      </c>
      <c r="D35">
        <v>15.31</v>
      </c>
      <c r="E35">
        <v>0.90700000000000003</v>
      </c>
      <c r="F35">
        <v>-3.3000000000000002E-2</v>
      </c>
      <c r="G35">
        <v>0.78800000000000003</v>
      </c>
      <c r="K35">
        <v>5.9290000000000003</v>
      </c>
      <c r="L35">
        <v>228.7</v>
      </c>
      <c r="M35">
        <v>0.2</v>
      </c>
      <c r="O35">
        <v>8.58</v>
      </c>
      <c r="P35">
        <v>-5.9210000000000003</v>
      </c>
      <c r="Q35">
        <v>6.6719999999999997</v>
      </c>
      <c r="S35">
        <v>5.7990000000000004</v>
      </c>
      <c r="T35">
        <v>0</v>
      </c>
      <c r="U35">
        <v>85.8</v>
      </c>
      <c r="V35">
        <v>1025</v>
      </c>
      <c r="W35">
        <v>52.17</v>
      </c>
      <c r="Y35">
        <v>13.73</v>
      </c>
      <c r="AA35">
        <v>109</v>
      </c>
      <c r="AB35">
        <v>33</v>
      </c>
      <c r="AC35">
        <v>9.4899999999999984</v>
      </c>
      <c r="AD35">
        <v>0.2</v>
      </c>
      <c r="AG35">
        <v>2007</v>
      </c>
      <c r="AH35">
        <v>33</v>
      </c>
      <c r="AI35">
        <v>0.2</v>
      </c>
      <c r="AJ35">
        <v>7.11</v>
      </c>
      <c r="AK35">
        <v>10.47</v>
      </c>
      <c r="AL35">
        <v>9.4970833333333324</v>
      </c>
      <c r="AN35">
        <v>0</v>
      </c>
      <c r="AP35">
        <v>2007</v>
      </c>
      <c r="AQ35">
        <v>34</v>
      </c>
      <c r="AR35">
        <v>0.2</v>
      </c>
      <c r="AS35">
        <v>7.11</v>
      </c>
      <c r="AT35">
        <v>10.47</v>
      </c>
      <c r="AU35">
        <v>9.4970833333333324</v>
      </c>
      <c r="AW35">
        <v>0</v>
      </c>
      <c r="AY35">
        <v>2007</v>
      </c>
      <c r="AZ35">
        <v>34</v>
      </c>
      <c r="BA35">
        <v>0</v>
      </c>
      <c r="BB35">
        <v>9.66</v>
      </c>
      <c r="BC35">
        <v>12.5</v>
      </c>
      <c r="BD35">
        <v>12.532083333333333</v>
      </c>
      <c r="BF35">
        <v>0</v>
      </c>
      <c r="BH35">
        <v>2007</v>
      </c>
      <c r="BI35">
        <v>34</v>
      </c>
      <c r="BJ35">
        <v>2.4000000000000004</v>
      </c>
      <c r="BK35">
        <v>11</v>
      </c>
      <c r="BL35">
        <v>12.44</v>
      </c>
      <c r="BM35">
        <v>13.030833333333334</v>
      </c>
      <c r="BO35">
        <v>0</v>
      </c>
    </row>
    <row r="36" spans="1:67" x14ac:dyDescent="0.25">
      <c r="A36">
        <v>2007</v>
      </c>
      <c r="B36">
        <v>77</v>
      </c>
      <c r="C36">
        <v>1900</v>
      </c>
      <c r="D36">
        <v>3.1909999999999998</v>
      </c>
      <c r="E36">
        <v>-8.17</v>
      </c>
      <c r="F36">
        <v>-0.23899999999999999</v>
      </c>
      <c r="G36">
        <v>0.35899999999999999</v>
      </c>
      <c r="K36">
        <v>5.0650000000000004</v>
      </c>
      <c r="L36">
        <v>228.6</v>
      </c>
      <c r="M36">
        <v>0</v>
      </c>
      <c r="O36">
        <v>-6.859</v>
      </c>
      <c r="P36">
        <v>-9.5500000000000007</v>
      </c>
      <c r="Q36">
        <v>6.3449999999999998</v>
      </c>
      <c r="S36">
        <v>5.7880000000000003</v>
      </c>
      <c r="T36">
        <v>0</v>
      </c>
      <c r="U36">
        <v>89.4</v>
      </c>
      <c r="V36">
        <v>1048</v>
      </c>
      <c r="W36">
        <v>55.4</v>
      </c>
      <c r="Y36">
        <v>13.6</v>
      </c>
      <c r="AA36">
        <v>110</v>
      </c>
      <c r="AB36">
        <v>34</v>
      </c>
      <c r="AC36">
        <v>12.532083333333333</v>
      </c>
      <c r="AD36">
        <v>0</v>
      </c>
      <c r="AG36">
        <v>2007</v>
      </c>
      <c r="AH36">
        <v>34</v>
      </c>
      <c r="AI36">
        <v>0</v>
      </c>
      <c r="AJ36">
        <v>9.66</v>
      </c>
      <c r="AK36">
        <v>12.5</v>
      </c>
      <c r="AL36">
        <v>12.532083333333333</v>
      </c>
      <c r="AN36">
        <v>0</v>
      </c>
      <c r="AP36">
        <v>2007</v>
      </c>
      <c r="AQ36">
        <v>35</v>
      </c>
      <c r="AR36">
        <v>0</v>
      </c>
      <c r="AS36">
        <v>9.66</v>
      </c>
      <c r="AT36">
        <v>12.5</v>
      </c>
      <c r="AU36">
        <v>12.532083333333333</v>
      </c>
      <c r="AW36">
        <v>0</v>
      </c>
      <c r="AY36">
        <v>2007</v>
      </c>
      <c r="AZ36">
        <v>35</v>
      </c>
      <c r="BA36">
        <v>2.4000000000000004</v>
      </c>
      <c r="BB36">
        <v>11</v>
      </c>
      <c r="BC36">
        <v>12.44</v>
      </c>
      <c r="BD36">
        <v>13.030833333333334</v>
      </c>
      <c r="BF36">
        <v>0</v>
      </c>
      <c r="BH36">
        <v>2007</v>
      </c>
      <c r="BI36">
        <v>35</v>
      </c>
      <c r="BJ36">
        <v>0.6</v>
      </c>
      <c r="BK36">
        <v>12.75</v>
      </c>
      <c r="BL36">
        <v>15.29</v>
      </c>
      <c r="BM36">
        <v>14.790416666666667</v>
      </c>
      <c r="BO36">
        <v>0</v>
      </c>
    </row>
    <row r="37" spans="1:67" x14ac:dyDescent="0.25">
      <c r="A37">
        <v>2007</v>
      </c>
      <c r="B37">
        <v>77</v>
      </c>
      <c r="C37">
        <v>2000</v>
      </c>
      <c r="D37">
        <v>-0.85699999999999998</v>
      </c>
      <c r="E37">
        <v>-17.690000000000001</v>
      </c>
      <c r="F37">
        <v>-0.24099999999999999</v>
      </c>
      <c r="G37">
        <v>0.377</v>
      </c>
      <c r="K37">
        <v>4.2169999999999996</v>
      </c>
      <c r="L37">
        <v>228</v>
      </c>
      <c r="M37">
        <v>0</v>
      </c>
      <c r="O37">
        <v>-11.51</v>
      </c>
      <c r="P37">
        <v>-10.85</v>
      </c>
      <c r="Q37">
        <v>6.0339999999999998</v>
      </c>
      <c r="S37">
        <v>5.8369999999999997</v>
      </c>
      <c r="T37">
        <v>0</v>
      </c>
      <c r="U37">
        <v>89</v>
      </c>
      <c r="V37">
        <v>1039</v>
      </c>
      <c r="W37">
        <v>54.09</v>
      </c>
      <c r="Y37">
        <v>13.5</v>
      </c>
      <c r="AA37">
        <v>111</v>
      </c>
      <c r="AB37">
        <v>35</v>
      </c>
      <c r="AC37">
        <v>13.03</v>
      </c>
      <c r="AD37">
        <v>2.4000000000000004</v>
      </c>
      <c r="AG37">
        <v>2007</v>
      </c>
      <c r="AH37">
        <v>35</v>
      </c>
      <c r="AI37">
        <v>2.4000000000000004</v>
      </c>
      <c r="AJ37">
        <v>11</v>
      </c>
      <c r="AK37">
        <v>12.44</v>
      </c>
      <c r="AL37">
        <v>13.030833333333334</v>
      </c>
      <c r="AN37">
        <v>0</v>
      </c>
      <c r="AP37">
        <v>2007</v>
      </c>
      <c r="AQ37">
        <v>36</v>
      </c>
      <c r="AR37">
        <v>2.4000000000000004</v>
      </c>
      <c r="AS37">
        <v>11</v>
      </c>
      <c r="AT37">
        <v>12.44</v>
      </c>
      <c r="AU37">
        <v>13.030833333333334</v>
      </c>
      <c r="AW37">
        <v>0</v>
      </c>
      <c r="AY37">
        <v>2007</v>
      </c>
      <c r="AZ37">
        <v>36</v>
      </c>
      <c r="BA37">
        <v>0.6</v>
      </c>
      <c r="BB37">
        <v>12.75</v>
      </c>
      <c r="BC37">
        <v>15.29</v>
      </c>
      <c r="BD37">
        <v>14.790416666666667</v>
      </c>
      <c r="BF37">
        <v>0</v>
      </c>
      <c r="BH37">
        <v>2007</v>
      </c>
      <c r="BI37">
        <v>36</v>
      </c>
      <c r="BJ37">
        <v>3.4000000000000004</v>
      </c>
      <c r="BK37">
        <v>12.32</v>
      </c>
      <c r="BL37">
        <v>14.11</v>
      </c>
      <c r="BM37">
        <v>13.900833333333331</v>
      </c>
      <c r="BO37">
        <v>0</v>
      </c>
    </row>
    <row r="38" spans="1:67" x14ac:dyDescent="0.25">
      <c r="A38">
        <v>2007</v>
      </c>
      <c r="B38">
        <v>77</v>
      </c>
      <c r="C38">
        <v>2100</v>
      </c>
      <c r="D38">
        <v>5.6000000000000001E-2</v>
      </c>
      <c r="E38">
        <v>-2.6019999999999999</v>
      </c>
      <c r="F38">
        <v>-0.17299999999999999</v>
      </c>
      <c r="G38">
        <v>0.32200000000000001</v>
      </c>
      <c r="K38">
        <v>4.8099999999999996</v>
      </c>
      <c r="L38">
        <v>229.8</v>
      </c>
      <c r="M38">
        <v>0</v>
      </c>
      <c r="O38">
        <v>-11.51</v>
      </c>
      <c r="P38">
        <v>-10.85</v>
      </c>
      <c r="Q38">
        <v>5.702</v>
      </c>
      <c r="S38">
        <v>5.7380000000000004</v>
      </c>
      <c r="T38">
        <v>0</v>
      </c>
      <c r="U38">
        <v>91.2</v>
      </c>
      <c r="V38">
        <v>1023</v>
      </c>
      <c r="W38">
        <v>51.9</v>
      </c>
      <c r="Y38">
        <v>13.42</v>
      </c>
      <c r="AA38">
        <v>112</v>
      </c>
      <c r="AB38">
        <v>36</v>
      </c>
      <c r="AC38">
        <v>14.851739130434783</v>
      </c>
      <c r="AD38">
        <v>0.6</v>
      </c>
      <c r="AG38">
        <v>2007</v>
      </c>
      <c r="AH38">
        <v>36</v>
      </c>
      <c r="AI38">
        <v>0.6</v>
      </c>
      <c r="AJ38">
        <v>12.75</v>
      </c>
      <c r="AK38">
        <v>15.29</v>
      </c>
      <c r="AL38">
        <v>14.790416666666667</v>
      </c>
      <c r="AN38">
        <v>0</v>
      </c>
      <c r="AP38">
        <v>2007</v>
      </c>
      <c r="AQ38">
        <v>37</v>
      </c>
      <c r="AR38">
        <v>0.6</v>
      </c>
      <c r="AS38">
        <v>12.75</v>
      </c>
      <c r="AT38">
        <v>15.29</v>
      </c>
      <c r="AU38">
        <v>14.790416666666667</v>
      </c>
      <c r="AW38">
        <v>0</v>
      </c>
      <c r="AY38">
        <v>2007</v>
      </c>
      <c r="AZ38">
        <v>37</v>
      </c>
      <c r="BA38">
        <v>3.4000000000000004</v>
      </c>
      <c r="BB38">
        <v>12.32</v>
      </c>
      <c r="BC38">
        <v>14.11</v>
      </c>
      <c r="BD38">
        <v>13.900833333333331</v>
      </c>
      <c r="BF38">
        <v>0</v>
      </c>
      <c r="BH38">
        <v>2007</v>
      </c>
      <c r="BI38">
        <v>37</v>
      </c>
      <c r="BJ38">
        <v>4.2</v>
      </c>
      <c r="BK38">
        <v>10.73</v>
      </c>
      <c r="BL38">
        <v>13.93</v>
      </c>
      <c r="BM38">
        <v>12.680833333333332</v>
      </c>
      <c r="BO38">
        <v>0</v>
      </c>
    </row>
    <row r="39" spans="1:67" x14ac:dyDescent="0.25">
      <c r="A39">
        <v>2007</v>
      </c>
      <c r="B39">
        <v>77</v>
      </c>
      <c r="C39">
        <v>2200</v>
      </c>
      <c r="D39">
        <v>-0.77100000000000002</v>
      </c>
      <c r="E39">
        <v>-9.89</v>
      </c>
      <c r="F39">
        <v>-3.5999999999999997E-2</v>
      </c>
      <c r="G39">
        <v>0.73499999999999999</v>
      </c>
      <c r="K39">
        <v>3.7589999999999999</v>
      </c>
      <c r="L39">
        <v>228</v>
      </c>
      <c r="M39">
        <v>0</v>
      </c>
      <c r="O39">
        <v>-11.5</v>
      </c>
      <c r="P39">
        <v>-10.84</v>
      </c>
      <c r="Q39">
        <v>5.4210000000000003</v>
      </c>
      <c r="S39">
        <v>5.6440000000000001</v>
      </c>
      <c r="T39">
        <v>0</v>
      </c>
      <c r="U39">
        <v>86.6</v>
      </c>
      <c r="V39">
        <v>1014</v>
      </c>
      <c r="W39">
        <v>50.65</v>
      </c>
      <c r="Y39">
        <v>13.34</v>
      </c>
      <c r="AA39">
        <v>113</v>
      </c>
      <c r="AB39">
        <v>37</v>
      </c>
      <c r="AC39">
        <v>13.909565217391302</v>
      </c>
      <c r="AD39">
        <v>3.4000000000000004</v>
      </c>
      <c r="AG39">
        <v>2007</v>
      </c>
      <c r="AH39">
        <v>37</v>
      </c>
      <c r="AI39">
        <v>3.4000000000000004</v>
      </c>
      <c r="AJ39">
        <v>12.32</v>
      </c>
      <c r="AK39">
        <v>14.11</v>
      </c>
      <c r="AL39">
        <v>13.900833333333331</v>
      </c>
      <c r="AN39">
        <v>0</v>
      </c>
      <c r="AP39">
        <v>2007</v>
      </c>
      <c r="AQ39">
        <v>38</v>
      </c>
      <c r="AR39">
        <v>3.4000000000000004</v>
      </c>
      <c r="AS39">
        <v>12.32</v>
      </c>
      <c r="AT39">
        <v>14.11</v>
      </c>
      <c r="AU39">
        <v>13.900833333333331</v>
      </c>
      <c r="AW39">
        <v>0</v>
      </c>
      <c r="AY39">
        <v>2007</v>
      </c>
      <c r="AZ39">
        <v>38</v>
      </c>
      <c r="BA39">
        <v>4.2</v>
      </c>
      <c r="BB39">
        <v>10.73</v>
      </c>
      <c r="BC39">
        <v>13.93</v>
      </c>
      <c r="BD39">
        <v>12.680833333333332</v>
      </c>
      <c r="BF39">
        <v>0</v>
      </c>
      <c r="BH39">
        <v>2007</v>
      </c>
      <c r="BI39">
        <v>38</v>
      </c>
      <c r="BJ39">
        <v>1.5999999999999999</v>
      </c>
      <c r="BK39">
        <v>0.91600000000000004</v>
      </c>
      <c r="BL39">
        <v>11.94</v>
      </c>
      <c r="BM39">
        <v>7.9086249999999998</v>
      </c>
      <c r="BO39">
        <v>0</v>
      </c>
    </row>
    <row r="40" spans="1:67" x14ac:dyDescent="0.25">
      <c r="A40">
        <v>2007</v>
      </c>
      <c r="B40">
        <v>77</v>
      </c>
      <c r="C40">
        <v>2300</v>
      </c>
      <c r="D40">
        <v>-1.365</v>
      </c>
      <c r="E40">
        <v>-13.28</v>
      </c>
      <c r="F40">
        <v>-0.123</v>
      </c>
      <c r="G40">
        <v>0.58199999999999996</v>
      </c>
      <c r="K40">
        <v>2.7570000000000001</v>
      </c>
      <c r="L40">
        <v>226.6</v>
      </c>
      <c r="M40">
        <v>0</v>
      </c>
      <c r="O40">
        <v>-11.51</v>
      </c>
      <c r="P40">
        <v>-10.83</v>
      </c>
      <c r="Q40">
        <v>5.2160000000000002</v>
      </c>
      <c r="S40">
        <v>5.5369999999999999</v>
      </c>
      <c r="T40">
        <v>0</v>
      </c>
      <c r="U40">
        <v>87.6</v>
      </c>
      <c r="V40">
        <v>1008</v>
      </c>
      <c r="W40">
        <v>49.92</v>
      </c>
      <c r="Y40">
        <v>13.26</v>
      </c>
      <c r="AA40">
        <v>114</v>
      </c>
      <c r="AB40">
        <v>38</v>
      </c>
      <c r="AC40">
        <v>12.730434782608693</v>
      </c>
      <c r="AD40">
        <v>4.2</v>
      </c>
      <c r="AG40">
        <v>2007</v>
      </c>
      <c r="AH40">
        <v>38</v>
      </c>
      <c r="AI40">
        <v>4.2</v>
      </c>
      <c r="AJ40">
        <v>10.73</v>
      </c>
      <c r="AK40">
        <v>13.93</v>
      </c>
      <c r="AL40">
        <v>12.680833333333332</v>
      </c>
      <c r="AN40">
        <v>0</v>
      </c>
      <c r="AP40">
        <v>2007</v>
      </c>
      <c r="AQ40">
        <v>39</v>
      </c>
      <c r="AR40">
        <v>4.2</v>
      </c>
      <c r="AS40">
        <v>10.73</v>
      </c>
      <c r="AT40">
        <v>13.93</v>
      </c>
      <c r="AU40">
        <v>12.680833333333332</v>
      </c>
      <c r="AW40">
        <v>0</v>
      </c>
      <c r="AY40">
        <v>2007</v>
      </c>
      <c r="AZ40">
        <v>39</v>
      </c>
      <c r="BA40">
        <v>1.5999999999999999</v>
      </c>
      <c r="BB40">
        <v>0.91600000000000004</v>
      </c>
      <c r="BC40">
        <v>11.94</v>
      </c>
      <c r="BD40">
        <v>7.9086249999999998</v>
      </c>
      <c r="BF40">
        <v>0</v>
      </c>
      <c r="BH40">
        <v>2007</v>
      </c>
      <c r="BI40">
        <v>39</v>
      </c>
      <c r="BJ40">
        <v>0</v>
      </c>
      <c r="BK40">
        <v>3.4649999999999999</v>
      </c>
      <c r="BL40">
        <v>9.68</v>
      </c>
      <c r="BM40">
        <v>9.849124999999999</v>
      </c>
      <c r="BO40">
        <v>0</v>
      </c>
    </row>
    <row r="41" spans="1:67" x14ac:dyDescent="0.25">
      <c r="A41">
        <v>2007</v>
      </c>
      <c r="B41">
        <v>77</v>
      </c>
      <c r="C41">
        <v>2400</v>
      </c>
      <c r="D41">
        <v>-0.82799999999999996</v>
      </c>
      <c r="E41">
        <v>-4.18</v>
      </c>
      <c r="F41">
        <v>0.01</v>
      </c>
      <c r="G41">
        <v>0.57699999999999996</v>
      </c>
      <c r="K41">
        <v>1.81</v>
      </c>
      <c r="L41">
        <v>229.4</v>
      </c>
      <c r="M41">
        <v>0</v>
      </c>
      <c r="O41">
        <v>-11.48</v>
      </c>
      <c r="P41">
        <v>-10.82</v>
      </c>
      <c r="Q41">
        <v>5.04</v>
      </c>
      <c r="S41">
        <v>5.4240000000000004</v>
      </c>
      <c r="T41">
        <v>0</v>
      </c>
      <c r="U41">
        <v>90</v>
      </c>
      <c r="V41">
        <v>993</v>
      </c>
      <c r="W41">
        <v>48.12</v>
      </c>
      <c r="Y41">
        <v>13.19</v>
      </c>
      <c r="AA41">
        <v>115</v>
      </c>
      <c r="AB41">
        <v>39</v>
      </c>
      <c r="AC41">
        <v>7.7737826086956519</v>
      </c>
      <c r="AD41">
        <v>1.5999999999999999</v>
      </c>
      <c r="AG41">
        <v>2007</v>
      </c>
      <c r="AH41">
        <v>39</v>
      </c>
      <c r="AI41">
        <v>1.5999999999999999</v>
      </c>
      <c r="AJ41">
        <v>0.91600000000000004</v>
      </c>
      <c r="AK41">
        <v>11.94</v>
      </c>
      <c r="AL41">
        <v>7.9086249999999998</v>
      </c>
      <c r="AN41">
        <v>0</v>
      </c>
      <c r="AP41">
        <v>2007</v>
      </c>
      <c r="AQ41">
        <v>40</v>
      </c>
      <c r="AR41">
        <v>1.5999999999999999</v>
      </c>
      <c r="AS41">
        <v>0.91600000000000004</v>
      </c>
      <c r="AT41">
        <v>11.94</v>
      </c>
      <c r="AU41">
        <v>7.9086249999999998</v>
      </c>
      <c r="AW41">
        <v>0</v>
      </c>
      <c r="AY41">
        <v>2007</v>
      </c>
      <c r="AZ41">
        <v>40</v>
      </c>
      <c r="BA41">
        <v>0</v>
      </c>
      <c r="BB41">
        <v>3.4649999999999999</v>
      </c>
      <c r="BC41">
        <v>9.68</v>
      </c>
      <c r="BD41">
        <v>9.849124999999999</v>
      </c>
      <c r="BF41">
        <v>0</v>
      </c>
      <c r="BH41">
        <v>2007</v>
      </c>
      <c r="BI41">
        <v>40</v>
      </c>
      <c r="BJ41">
        <v>0</v>
      </c>
      <c r="BK41">
        <v>7.87</v>
      </c>
      <c r="BL41">
        <v>10.77</v>
      </c>
      <c r="BM41">
        <v>11.087916666666667</v>
      </c>
      <c r="BO41">
        <v>0</v>
      </c>
    </row>
    <row r="42" spans="1:67" x14ac:dyDescent="0.25">
      <c r="A42">
        <v>2007</v>
      </c>
      <c r="B42">
        <v>78</v>
      </c>
      <c r="C42">
        <v>100</v>
      </c>
      <c r="D42">
        <v>-0.51400000000000001</v>
      </c>
      <c r="E42">
        <v>-4.1399999999999997</v>
      </c>
      <c r="F42">
        <v>1.0999999999999999E-2</v>
      </c>
      <c r="G42">
        <v>0.53800000000000003</v>
      </c>
      <c r="K42">
        <v>3.7829999999999999</v>
      </c>
      <c r="L42">
        <v>238</v>
      </c>
      <c r="M42">
        <v>0</v>
      </c>
      <c r="O42">
        <v>-11.49</v>
      </c>
      <c r="P42">
        <v>-10.81</v>
      </c>
      <c r="Q42">
        <v>4.899</v>
      </c>
      <c r="S42">
        <v>5.3150000000000004</v>
      </c>
      <c r="T42">
        <v>0</v>
      </c>
      <c r="U42">
        <v>90.7</v>
      </c>
      <c r="V42">
        <v>990</v>
      </c>
      <c r="W42">
        <v>47.79</v>
      </c>
      <c r="Y42">
        <v>13.12</v>
      </c>
      <c r="AA42">
        <v>116</v>
      </c>
      <c r="AB42">
        <v>40</v>
      </c>
      <c r="AC42">
        <v>9.7656086956521726</v>
      </c>
      <c r="AD42">
        <v>0</v>
      </c>
      <c r="AG42">
        <v>2007</v>
      </c>
      <c r="AH42">
        <v>40</v>
      </c>
      <c r="AI42">
        <v>0</v>
      </c>
      <c r="AJ42">
        <v>3.4649999999999999</v>
      </c>
      <c r="AK42">
        <v>9.68</v>
      </c>
      <c r="AL42">
        <v>9.849124999999999</v>
      </c>
      <c r="AN42">
        <v>0</v>
      </c>
      <c r="AP42">
        <v>2007</v>
      </c>
      <c r="AQ42">
        <v>41</v>
      </c>
      <c r="AR42">
        <v>0</v>
      </c>
      <c r="AS42">
        <v>3.4649999999999999</v>
      </c>
      <c r="AT42">
        <v>9.68</v>
      </c>
      <c r="AU42">
        <v>9.849124999999999</v>
      </c>
      <c r="AW42">
        <v>0</v>
      </c>
      <c r="AY42">
        <v>2007</v>
      </c>
      <c r="AZ42">
        <v>41</v>
      </c>
      <c r="BA42">
        <v>0</v>
      </c>
      <c r="BB42">
        <v>7.87</v>
      </c>
      <c r="BC42">
        <v>10.77</v>
      </c>
      <c r="BD42">
        <v>11.087916666666667</v>
      </c>
      <c r="BF42">
        <v>0</v>
      </c>
      <c r="BH42">
        <v>2007</v>
      </c>
      <c r="BI42">
        <v>41</v>
      </c>
      <c r="BJ42">
        <v>0</v>
      </c>
      <c r="BK42">
        <v>7.47</v>
      </c>
      <c r="BL42">
        <v>11.14</v>
      </c>
      <c r="BM42">
        <v>11.294583333333335</v>
      </c>
      <c r="BO42">
        <v>0</v>
      </c>
    </row>
    <row r="43" spans="1:67" x14ac:dyDescent="0.25">
      <c r="A43">
        <v>2007</v>
      </c>
      <c r="B43">
        <v>78</v>
      </c>
      <c r="C43">
        <v>200</v>
      </c>
      <c r="D43">
        <v>-1.081</v>
      </c>
      <c r="E43">
        <v>-9.02</v>
      </c>
      <c r="F43">
        <v>-1.6E-2</v>
      </c>
      <c r="G43">
        <v>1.0720000000000001</v>
      </c>
      <c r="K43">
        <v>4.6829999999999998</v>
      </c>
      <c r="L43">
        <v>268.8</v>
      </c>
      <c r="M43">
        <v>0.4</v>
      </c>
      <c r="O43">
        <v>-11.48</v>
      </c>
      <c r="P43">
        <v>-10.8</v>
      </c>
      <c r="Q43">
        <v>4.7850000000000001</v>
      </c>
      <c r="S43">
        <v>5.2160000000000002</v>
      </c>
      <c r="T43">
        <v>0</v>
      </c>
      <c r="U43">
        <v>81.5</v>
      </c>
      <c r="V43">
        <v>993</v>
      </c>
      <c r="W43">
        <v>48.14</v>
      </c>
      <c r="Y43">
        <v>13.05</v>
      </c>
      <c r="AA43">
        <v>117</v>
      </c>
      <c r="AB43">
        <v>41</v>
      </c>
      <c r="AC43">
        <v>11.144782608695653</v>
      </c>
      <c r="AD43">
        <v>0</v>
      </c>
      <c r="AG43">
        <v>2007</v>
      </c>
      <c r="AH43">
        <v>41</v>
      </c>
      <c r="AI43">
        <v>0</v>
      </c>
      <c r="AJ43">
        <v>7.87</v>
      </c>
      <c r="AK43">
        <v>10.77</v>
      </c>
      <c r="AL43">
        <v>11.087916666666667</v>
      </c>
      <c r="AN43">
        <v>0</v>
      </c>
      <c r="AP43">
        <v>2007</v>
      </c>
      <c r="AQ43">
        <v>42</v>
      </c>
      <c r="AR43">
        <v>0</v>
      </c>
      <c r="AS43">
        <v>7.87</v>
      </c>
      <c r="AT43">
        <v>10.77</v>
      </c>
      <c r="AU43">
        <v>11.087916666666667</v>
      </c>
      <c r="AW43">
        <v>0</v>
      </c>
      <c r="AY43">
        <v>2007</v>
      </c>
      <c r="AZ43">
        <v>42</v>
      </c>
      <c r="BA43">
        <v>0</v>
      </c>
      <c r="BB43">
        <v>7.47</v>
      </c>
      <c r="BC43">
        <v>11.14</v>
      </c>
      <c r="BD43">
        <v>11.294583333333335</v>
      </c>
      <c r="BF43">
        <v>0</v>
      </c>
      <c r="BH43">
        <v>2007</v>
      </c>
      <c r="BI43">
        <v>42</v>
      </c>
      <c r="BJ43">
        <v>0</v>
      </c>
      <c r="BK43">
        <v>8.5399999999999991</v>
      </c>
      <c r="BL43">
        <v>11.02</v>
      </c>
      <c r="BM43">
        <v>11.433333333333335</v>
      </c>
      <c r="BO43">
        <v>0</v>
      </c>
    </row>
    <row r="44" spans="1:67" x14ac:dyDescent="0.25">
      <c r="A44">
        <v>2007</v>
      </c>
      <c r="B44">
        <v>78</v>
      </c>
      <c r="C44">
        <v>300</v>
      </c>
      <c r="D44">
        <v>-1.7070000000000001</v>
      </c>
      <c r="E44">
        <v>-10.59</v>
      </c>
      <c r="F44">
        <v>0.246</v>
      </c>
      <c r="G44">
        <v>1.264</v>
      </c>
      <c r="K44">
        <v>3.4489999999999998</v>
      </c>
      <c r="L44">
        <v>254.5</v>
      </c>
      <c r="M44">
        <v>0.2</v>
      </c>
      <c r="O44">
        <v>-11.49</v>
      </c>
      <c r="P44">
        <v>-10.82</v>
      </c>
      <c r="Q44">
        <v>4.6719999999999997</v>
      </c>
      <c r="S44">
        <v>5.1210000000000004</v>
      </c>
      <c r="T44">
        <v>0</v>
      </c>
      <c r="U44">
        <v>82.7</v>
      </c>
      <c r="V44">
        <v>993</v>
      </c>
      <c r="W44">
        <v>48.1</v>
      </c>
      <c r="Y44">
        <v>12.99</v>
      </c>
      <c r="AA44">
        <v>118</v>
      </c>
      <c r="AB44">
        <v>42</v>
      </c>
      <c r="AC44">
        <v>11.346086956521741</v>
      </c>
      <c r="AD44">
        <v>0</v>
      </c>
      <c r="AG44">
        <v>2007</v>
      </c>
      <c r="AH44">
        <v>42</v>
      </c>
      <c r="AI44">
        <v>0</v>
      </c>
      <c r="AJ44">
        <v>7.47</v>
      </c>
      <c r="AK44">
        <v>11.14</v>
      </c>
      <c r="AL44">
        <v>11.294583333333335</v>
      </c>
      <c r="AN44">
        <v>0</v>
      </c>
      <c r="AP44">
        <v>2007</v>
      </c>
      <c r="AQ44">
        <v>43</v>
      </c>
      <c r="AR44">
        <v>0</v>
      </c>
      <c r="AS44">
        <v>7.47</v>
      </c>
      <c r="AT44">
        <v>11.14</v>
      </c>
      <c r="AU44">
        <v>11.294583333333335</v>
      </c>
      <c r="AW44">
        <v>0</v>
      </c>
      <c r="AY44">
        <v>2007</v>
      </c>
      <c r="AZ44">
        <v>43</v>
      </c>
      <c r="BA44">
        <v>0</v>
      </c>
      <c r="BB44">
        <v>8.5399999999999991</v>
      </c>
      <c r="BC44">
        <v>11.02</v>
      </c>
      <c r="BD44">
        <v>11.433333333333335</v>
      </c>
      <c r="BF44">
        <v>0</v>
      </c>
      <c r="BH44">
        <v>2007</v>
      </c>
      <c r="BI44">
        <v>43</v>
      </c>
      <c r="BJ44">
        <v>0</v>
      </c>
      <c r="BK44">
        <v>7.41</v>
      </c>
      <c r="BL44">
        <v>10.09</v>
      </c>
      <c r="BM44">
        <v>11.385833333333332</v>
      </c>
      <c r="BO44">
        <v>0</v>
      </c>
    </row>
    <row r="45" spans="1:67" x14ac:dyDescent="0.25">
      <c r="A45">
        <v>2007</v>
      </c>
      <c r="B45">
        <v>78</v>
      </c>
      <c r="C45">
        <v>400</v>
      </c>
      <c r="D45">
        <v>-0.47899999999999998</v>
      </c>
      <c r="E45">
        <v>-5.8209999999999997</v>
      </c>
      <c r="F45">
        <v>-0.33600000000000002</v>
      </c>
      <c r="G45">
        <v>0.48699999999999999</v>
      </c>
      <c r="K45">
        <v>3.3849999999999998</v>
      </c>
      <c r="L45">
        <v>264.3</v>
      </c>
      <c r="M45">
        <v>0.2</v>
      </c>
      <c r="O45">
        <v>-11.5</v>
      </c>
      <c r="P45">
        <v>-10.8</v>
      </c>
      <c r="Q45">
        <v>4.5659999999999998</v>
      </c>
      <c r="S45">
        <v>5.0330000000000004</v>
      </c>
      <c r="T45">
        <v>0</v>
      </c>
      <c r="U45">
        <v>85.5</v>
      </c>
      <c r="V45">
        <v>991</v>
      </c>
      <c r="W45">
        <v>47.92</v>
      </c>
      <c r="Y45">
        <v>12.94</v>
      </c>
      <c r="AA45">
        <v>119</v>
      </c>
      <c r="AB45">
        <v>43</v>
      </c>
      <c r="AC45">
        <v>11.420434782608696</v>
      </c>
      <c r="AD45">
        <v>0</v>
      </c>
      <c r="AG45">
        <v>2007</v>
      </c>
      <c r="AH45">
        <v>43</v>
      </c>
      <c r="AI45">
        <v>0</v>
      </c>
      <c r="AJ45">
        <v>8.5399999999999991</v>
      </c>
      <c r="AK45">
        <v>11.02</v>
      </c>
      <c r="AL45">
        <v>11.433333333333335</v>
      </c>
      <c r="AN45">
        <v>0</v>
      </c>
      <c r="AP45">
        <v>2007</v>
      </c>
      <c r="AQ45">
        <v>44</v>
      </c>
      <c r="AR45">
        <v>0</v>
      </c>
      <c r="AS45">
        <v>8.5399999999999991</v>
      </c>
      <c r="AT45">
        <v>11.02</v>
      </c>
      <c r="AU45">
        <v>11.433333333333335</v>
      </c>
      <c r="AW45">
        <v>0</v>
      </c>
      <c r="AY45">
        <v>2007</v>
      </c>
      <c r="AZ45">
        <v>44</v>
      </c>
      <c r="BA45">
        <v>0</v>
      </c>
      <c r="BB45">
        <v>7.41</v>
      </c>
      <c r="BC45">
        <v>10.09</v>
      </c>
      <c r="BD45">
        <v>11.385833333333332</v>
      </c>
      <c r="BF45">
        <v>0</v>
      </c>
      <c r="BH45">
        <v>2007</v>
      </c>
      <c r="BI45">
        <v>44</v>
      </c>
      <c r="BJ45">
        <v>0</v>
      </c>
      <c r="BK45">
        <v>5.0380000000000003</v>
      </c>
      <c r="BL45">
        <v>11.66</v>
      </c>
      <c r="BM45">
        <v>11.827083333333333</v>
      </c>
      <c r="BO45">
        <v>0</v>
      </c>
    </row>
    <row r="46" spans="1:67" x14ac:dyDescent="0.25">
      <c r="A46">
        <v>2007</v>
      </c>
      <c r="B46">
        <v>78</v>
      </c>
      <c r="C46">
        <v>500</v>
      </c>
      <c r="D46">
        <v>-0.73299999999999998</v>
      </c>
      <c r="E46">
        <v>-5.3</v>
      </c>
      <c r="F46">
        <v>-0.20300000000000001</v>
      </c>
      <c r="G46">
        <v>0.52500000000000002</v>
      </c>
      <c r="K46">
        <v>3.137</v>
      </c>
      <c r="L46">
        <v>241</v>
      </c>
      <c r="M46">
        <v>0</v>
      </c>
      <c r="O46">
        <v>-11.48</v>
      </c>
      <c r="P46">
        <v>-10.77</v>
      </c>
      <c r="Q46">
        <v>4.4640000000000004</v>
      </c>
      <c r="S46">
        <v>4.9420000000000002</v>
      </c>
      <c r="T46">
        <v>0</v>
      </c>
      <c r="U46">
        <v>87.2</v>
      </c>
      <c r="V46">
        <v>994</v>
      </c>
      <c r="W46">
        <v>48.17</v>
      </c>
      <c r="Y46">
        <v>12.9</v>
      </c>
      <c r="AA46">
        <v>120</v>
      </c>
      <c r="AB46">
        <v>44</v>
      </c>
      <c r="AC46">
        <v>11.335652173913042</v>
      </c>
      <c r="AD46">
        <v>0</v>
      </c>
      <c r="AG46">
        <v>2007</v>
      </c>
      <c r="AH46">
        <v>44</v>
      </c>
      <c r="AI46">
        <v>0</v>
      </c>
      <c r="AJ46">
        <v>7.41</v>
      </c>
      <c r="AK46">
        <v>10.09</v>
      </c>
      <c r="AL46">
        <v>11.385833333333332</v>
      </c>
      <c r="AN46">
        <v>0</v>
      </c>
      <c r="AP46">
        <v>2007</v>
      </c>
      <c r="AQ46">
        <v>45</v>
      </c>
      <c r="AR46">
        <v>0</v>
      </c>
      <c r="AS46">
        <v>7.41</v>
      </c>
      <c r="AT46">
        <v>10.09</v>
      </c>
      <c r="AU46">
        <v>11.385833333333332</v>
      </c>
      <c r="AW46">
        <v>0</v>
      </c>
      <c r="AY46">
        <v>2007</v>
      </c>
      <c r="AZ46">
        <v>45</v>
      </c>
      <c r="BA46">
        <v>0</v>
      </c>
      <c r="BB46">
        <v>5.0380000000000003</v>
      </c>
      <c r="BC46">
        <v>11.66</v>
      </c>
      <c r="BD46">
        <v>11.827083333333333</v>
      </c>
      <c r="BF46">
        <v>0</v>
      </c>
      <c r="BH46">
        <v>2007</v>
      </c>
      <c r="BI46">
        <v>45</v>
      </c>
      <c r="BJ46">
        <v>0</v>
      </c>
      <c r="BK46">
        <v>1.677</v>
      </c>
      <c r="BL46">
        <v>11.85</v>
      </c>
      <c r="BM46">
        <v>11.1335</v>
      </c>
      <c r="BO46">
        <v>0</v>
      </c>
    </row>
    <row r="47" spans="1:67" x14ac:dyDescent="0.25">
      <c r="A47">
        <v>2007</v>
      </c>
      <c r="B47">
        <v>78</v>
      </c>
      <c r="C47">
        <v>600</v>
      </c>
      <c r="D47">
        <v>-1.9319999999999999</v>
      </c>
      <c r="E47">
        <v>-11.17</v>
      </c>
      <c r="F47">
        <v>-0.20699999999999999</v>
      </c>
      <c r="G47">
        <v>0.65300000000000002</v>
      </c>
      <c r="K47">
        <v>3.556</v>
      </c>
      <c r="L47">
        <v>230.5</v>
      </c>
      <c r="M47">
        <v>0</v>
      </c>
      <c r="O47">
        <v>-11.4</v>
      </c>
      <c r="P47">
        <v>-10.7</v>
      </c>
      <c r="Q47">
        <v>4.3979999999999997</v>
      </c>
      <c r="S47">
        <v>4.8819999999999997</v>
      </c>
      <c r="T47">
        <v>0</v>
      </c>
      <c r="U47">
        <v>85</v>
      </c>
      <c r="V47">
        <v>995</v>
      </c>
      <c r="W47">
        <v>48.38</v>
      </c>
      <c r="Y47">
        <v>12.87</v>
      </c>
      <c r="AA47">
        <v>121</v>
      </c>
      <c r="AB47">
        <v>45</v>
      </c>
      <c r="AC47">
        <v>11.796521739130435</v>
      </c>
      <c r="AD47">
        <v>0</v>
      </c>
      <c r="AG47">
        <v>2007</v>
      </c>
      <c r="AH47">
        <v>45</v>
      </c>
      <c r="AI47">
        <v>0</v>
      </c>
      <c r="AJ47">
        <v>5.0380000000000003</v>
      </c>
      <c r="AK47">
        <v>11.66</v>
      </c>
      <c r="AL47">
        <v>11.827083333333333</v>
      </c>
      <c r="AN47">
        <v>0</v>
      </c>
      <c r="AP47">
        <v>2007</v>
      </c>
      <c r="AQ47">
        <v>46</v>
      </c>
      <c r="AR47">
        <v>0</v>
      </c>
      <c r="AS47">
        <v>5.0380000000000003</v>
      </c>
      <c r="AT47">
        <v>11.66</v>
      </c>
      <c r="AU47">
        <v>11.827083333333333</v>
      </c>
      <c r="AW47">
        <v>0</v>
      </c>
      <c r="AY47">
        <v>2007</v>
      </c>
      <c r="AZ47">
        <v>46</v>
      </c>
      <c r="BA47">
        <v>0</v>
      </c>
      <c r="BB47">
        <v>1.677</v>
      </c>
      <c r="BC47">
        <v>11.85</v>
      </c>
      <c r="BD47">
        <v>11.1335</v>
      </c>
      <c r="BF47">
        <v>0</v>
      </c>
      <c r="BH47">
        <v>2007</v>
      </c>
      <c r="BI47">
        <v>46</v>
      </c>
      <c r="BJ47">
        <v>0</v>
      </c>
      <c r="BK47">
        <v>2.1789999999999998</v>
      </c>
      <c r="BL47">
        <v>14.31</v>
      </c>
      <c r="BM47">
        <v>12.193625000000003</v>
      </c>
      <c r="BO47">
        <v>0</v>
      </c>
    </row>
    <row r="48" spans="1:67" x14ac:dyDescent="0.25">
      <c r="A48">
        <v>2007</v>
      </c>
      <c r="B48">
        <v>78</v>
      </c>
      <c r="C48">
        <v>700</v>
      </c>
      <c r="D48">
        <v>8.4499999999999993</v>
      </c>
      <c r="E48">
        <v>-3.2909999999999999</v>
      </c>
      <c r="F48">
        <v>-1.6E-2</v>
      </c>
      <c r="G48">
        <v>0.57899999999999996</v>
      </c>
      <c r="K48">
        <v>4.2779999999999996</v>
      </c>
      <c r="L48">
        <v>235.9</v>
      </c>
      <c r="M48">
        <v>0.2</v>
      </c>
      <c r="O48">
        <v>4.5960000000000001</v>
      </c>
      <c r="P48">
        <v>0.377</v>
      </c>
      <c r="Q48">
        <v>4.327</v>
      </c>
      <c r="S48">
        <v>4.7949999999999999</v>
      </c>
      <c r="T48">
        <v>0</v>
      </c>
      <c r="U48">
        <v>89.6</v>
      </c>
      <c r="V48">
        <v>994</v>
      </c>
      <c r="W48">
        <v>48.27</v>
      </c>
      <c r="Y48">
        <v>12.86</v>
      </c>
      <c r="AA48">
        <v>122</v>
      </c>
      <c r="AB48">
        <v>46</v>
      </c>
      <c r="AC48">
        <v>10.979304347826087</v>
      </c>
      <c r="AD48">
        <v>0</v>
      </c>
      <c r="AG48">
        <v>2007</v>
      </c>
      <c r="AH48">
        <v>46</v>
      </c>
      <c r="AI48">
        <v>0</v>
      </c>
      <c r="AJ48">
        <v>1.677</v>
      </c>
      <c r="AK48">
        <v>11.85</v>
      </c>
      <c r="AL48">
        <v>11.1335</v>
      </c>
      <c r="AN48">
        <v>0</v>
      </c>
      <c r="AP48">
        <v>2007</v>
      </c>
      <c r="AQ48">
        <v>47</v>
      </c>
      <c r="AR48">
        <v>0</v>
      </c>
      <c r="AS48">
        <v>1.677</v>
      </c>
      <c r="AT48">
        <v>11.85</v>
      </c>
      <c r="AU48">
        <v>11.1335</v>
      </c>
      <c r="AW48">
        <v>0</v>
      </c>
      <c r="AY48">
        <v>2007</v>
      </c>
      <c r="AZ48">
        <v>47</v>
      </c>
      <c r="BA48">
        <v>0</v>
      </c>
      <c r="BB48">
        <v>2.1789999999999998</v>
      </c>
      <c r="BC48">
        <v>14.31</v>
      </c>
      <c r="BD48">
        <v>12.193625000000003</v>
      </c>
      <c r="BF48">
        <v>0</v>
      </c>
      <c r="BH48">
        <v>2007</v>
      </c>
      <c r="BI48">
        <v>47</v>
      </c>
      <c r="BJ48">
        <v>0</v>
      </c>
      <c r="BK48">
        <v>1.5880000000000001</v>
      </c>
      <c r="BL48">
        <v>11.61</v>
      </c>
      <c r="BM48">
        <v>9.8250000000000011</v>
      </c>
      <c r="BO48">
        <v>0</v>
      </c>
    </row>
    <row r="49" spans="1:67" x14ac:dyDescent="0.25">
      <c r="A49">
        <v>2007</v>
      </c>
      <c r="B49">
        <v>78</v>
      </c>
      <c r="C49">
        <v>800</v>
      </c>
      <c r="D49">
        <v>70.400000000000006</v>
      </c>
      <c r="E49">
        <v>17.75</v>
      </c>
      <c r="F49">
        <v>0.46700000000000003</v>
      </c>
      <c r="G49">
        <v>1.101</v>
      </c>
      <c r="K49">
        <v>4.4180000000000001</v>
      </c>
      <c r="L49">
        <v>238.1</v>
      </c>
      <c r="M49">
        <v>1</v>
      </c>
      <c r="O49">
        <v>93.4</v>
      </c>
      <c r="P49">
        <v>64.33</v>
      </c>
      <c r="Q49">
        <v>4.2270000000000003</v>
      </c>
      <c r="S49">
        <v>4.7060000000000004</v>
      </c>
      <c r="T49">
        <v>0</v>
      </c>
      <c r="U49">
        <v>89.2</v>
      </c>
      <c r="V49">
        <v>995</v>
      </c>
      <c r="W49">
        <v>48.37</v>
      </c>
      <c r="Y49">
        <v>13.34</v>
      </c>
      <c r="AA49">
        <v>123</v>
      </c>
      <c r="AB49">
        <v>47</v>
      </c>
      <c r="AC49">
        <v>12.307260869565221</v>
      </c>
      <c r="AD49">
        <v>0</v>
      </c>
      <c r="AG49">
        <v>2007</v>
      </c>
      <c r="AH49">
        <v>47</v>
      </c>
      <c r="AI49">
        <v>0</v>
      </c>
      <c r="AJ49">
        <v>2.1789999999999998</v>
      </c>
      <c r="AK49">
        <v>14.31</v>
      </c>
      <c r="AL49">
        <v>12.193625000000003</v>
      </c>
      <c r="AN49">
        <v>0</v>
      </c>
      <c r="AP49">
        <v>2007</v>
      </c>
      <c r="AQ49">
        <v>48</v>
      </c>
      <c r="AR49">
        <v>0</v>
      </c>
      <c r="AS49">
        <v>2.1789999999999998</v>
      </c>
      <c r="AT49">
        <v>14.31</v>
      </c>
      <c r="AU49">
        <v>12.193625000000003</v>
      </c>
      <c r="AW49">
        <v>0</v>
      </c>
      <c r="AY49">
        <v>2007</v>
      </c>
      <c r="AZ49">
        <v>48</v>
      </c>
      <c r="BA49">
        <v>0</v>
      </c>
      <c r="BB49">
        <v>1.5880000000000001</v>
      </c>
      <c r="BC49">
        <v>11.61</v>
      </c>
      <c r="BD49">
        <v>9.8250000000000011</v>
      </c>
      <c r="BF49">
        <v>0</v>
      </c>
      <c r="BH49">
        <v>2007</v>
      </c>
      <c r="BI49">
        <v>48</v>
      </c>
      <c r="BJ49">
        <v>0</v>
      </c>
      <c r="BK49">
        <v>9.75</v>
      </c>
      <c r="BL49">
        <v>12.99</v>
      </c>
      <c r="BM49">
        <v>14.322083333333332</v>
      </c>
      <c r="BO49">
        <v>0</v>
      </c>
    </row>
    <row r="50" spans="1:67" x14ac:dyDescent="0.25">
      <c r="A50">
        <v>2007</v>
      </c>
      <c r="B50">
        <v>78</v>
      </c>
      <c r="C50">
        <v>900</v>
      </c>
      <c r="D50">
        <v>120.4</v>
      </c>
      <c r="E50">
        <v>37.25</v>
      </c>
      <c r="F50">
        <v>0.78</v>
      </c>
      <c r="G50">
        <v>1.6839999999999999</v>
      </c>
      <c r="H50">
        <f>AVERAGE(G50:G73)</f>
        <v>2.4507083333333335</v>
      </c>
      <c r="I50">
        <f>MIN(G50:G73)</f>
        <v>1.014</v>
      </c>
      <c r="J50">
        <f>MAX(F50:F73)</f>
        <v>2.9740000000000002</v>
      </c>
      <c r="K50">
        <v>4.2930000000000001</v>
      </c>
      <c r="L50">
        <v>263.10000000000002</v>
      </c>
      <c r="M50">
        <v>2</v>
      </c>
      <c r="N50">
        <f>SUM(M50:M73)</f>
        <v>7.2000000000000011</v>
      </c>
      <c r="O50">
        <v>152.1</v>
      </c>
      <c r="P50">
        <v>92.4</v>
      </c>
      <c r="Q50">
        <v>4.2190000000000003</v>
      </c>
      <c r="R50">
        <f>AVERAGE(Q50:Q73)</f>
        <v>4.2051249999999998</v>
      </c>
      <c r="S50">
        <v>4.6929999999999996</v>
      </c>
      <c r="T50">
        <v>0</v>
      </c>
      <c r="U50">
        <v>85</v>
      </c>
      <c r="V50">
        <v>997</v>
      </c>
      <c r="W50">
        <v>48.58</v>
      </c>
      <c r="X50">
        <f>AVERAGE(W50:W73)</f>
        <v>54.568749999999994</v>
      </c>
      <c r="Y50">
        <v>13.92</v>
      </c>
      <c r="AA50">
        <v>124</v>
      </c>
      <c r="AB50">
        <v>48</v>
      </c>
      <c r="AC50">
        <v>9.6091304347826103</v>
      </c>
      <c r="AD50">
        <v>0</v>
      </c>
      <c r="AG50">
        <v>2007</v>
      </c>
      <c r="AH50">
        <v>48</v>
      </c>
      <c r="AI50">
        <v>0</v>
      </c>
      <c r="AJ50">
        <v>1.5880000000000001</v>
      </c>
      <c r="AK50">
        <v>11.61</v>
      </c>
      <c r="AL50">
        <v>9.8250000000000011</v>
      </c>
      <c r="AN50">
        <v>0</v>
      </c>
      <c r="AP50">
        <v>2007</v>
      </c>
      <c r="AQ50">
        <v>49</v>
      </c>
      <c r="AR50">
        <v>0</v>
      </c>
      <c r="AS50">
        <v>1.5880000000000001</v>
      </c>
      <c r="AT50">
        <v>11.61</v>
      </c>
      <c r="AU50">
        <v>9.8250000000000011</v>
      </c>
      <c r="AW50">
        <v>0</v>
      </c>
      <c r="AY50">
        <v>2007</v>
      </c>
      <c r="AZ50">
        <v>49</v>
      </c>
      <c r="BA50">
        <v>0</v>
      </c>
      <c r="BB50">
        <v>9.75</v>
      </c>
      <c r="BC50">
        <v>12.99</v>
      </c>
      <c r="BD50">
        <v>14.322083333333332</v>
      </c>
      <c r="BF50">
        <v>0</v>
      </c>
      <c r="BH50">
        <v>2007</v>
      </c>
      <c r="BI50">
        <v>49</v>
      </c>
      <c r="BJ50">
        <v>1.2000000000000002</v>
      </c>
      <c r="BK50">
        <v>7.68</v>
      </c>
      <c r="BL50">
        <v>9.4499999999999993</v>
      </c>
      <c r="BM50">
        <v>10.037083333333332</v>
      </c>
      <c r="BO50">
        <v>0</v>
      </c>
    </row>
    <row r="51" spans="1:67" x14ac:dyDescent="0.25">
      <c r="A51">
        <v>2007</v>
      </c>
      <c r="B51">
        <v>78</v>
      </c>
      <c r="C51">
        <v>1000</v>
      </c>
      <c r="D51">
        <v>226.8</v>
      </c>
      <c r="E51">
        <v>114.1</v>
      </c>
      <c r="F51">
        <v>1.2949999999999999</v>
      </c>
      <c r="G51">
        <v>2.258</v>
      </c>
      <c r="K51">
        <v>3.9710000000000001</v>
      </c>
      <c r="L51">
        <v>271.8</v>
      </c>
      <c r="M51">
        <v>1.6</v>
      </c>
      <c r="O51">
        <v>287.89999999999998</v>
      </c>
      <c r="P51">
        <v>135.9</v>
      </c>
      <c r="Q51">
        <v>4.1769999999999996</v>
      </c>
      <c r="S51">
        <v>4.6310000000000002</v>
      </c>
      <c r="T51">
        <v>0</v>
      </c>
      <c r="U51">
        <v>84.4</v>
      </c>
      <c r="V51">
        <v>999</v>
      </c>
      <c r="W51">
        <v>48.8</v>
      </c>
      <c r="Y51">
        <v>14.33</v>
      </c>
      <c r="AA51">
        <v>125</v>
      </c>
      <c r="AB51">
        <v>49</v>
      </c>
      <c r="AC51">
        <v>14.472173913043477</v>
      </c>
      <c r="AD51">
        <v>0</v>
      </c>
      <c r="AG51">
        <v>2007</v>
      </c>
      <c r="AH51">
        <v>49</v>
      </c>
      <c r="AI51">
        <v>0</v>
      </c>
      <c r="AJ51">
        <v>9.75</v>
      </c>
      <c r="AK51">
        <v>12.99</v>
      </c>
      <c r="AL51">
        <v>14.322083333333332</v>
      </c>
      <c r="AN51">
        <v>0</v>
      </c>
      <c r="AP51">
        <v>2007</v>
      </c>
      <c r="AQ51">
        <v>50</v>
      </c>
      <c r="AR51">
        <v>20</v>
      </c>
      <c r="AS51">
        <v>9.75</v>
      </c>
      <c r="AT51">
        <v>12.99</v>
      </c>
      <c r="AU51">
        <v>14.322083333333332</v>
      </c>
      <c r="AW51">
        <v>0</v>
      </c>
      <c r="AY51">
        <v>2007</v>
      </c>
      <c r="AZ51">
        <v>50</v>
      </c>
      <c r="BA51">
        <v>21.2</v>
      </c>
      <c r="BB51">
        <v>7.68</v>
      </c>
      <c r="BC51">
        <v>9.4499999999999993</v>
      </c>
      <c r="BD51">
        <v>10.037083333333332</v>
      </c>
      <c r="BF51">
        <v>0</v>
      </c>
      <c r="BH51">
        <v>2007</v>
      </c>
      <c r="BI51">
        <v>50</v>
      </c>
      <c r="BJ51">
        <v>26.2</v>
      </c>
      <c r="BK51">
        <v>7.61</v>
      </c>
      <c r="BL51">
        <v>9.9499999999999993</v>
      </c>
      <c r="BM51">
        <v>10.168333333333335</v>
      </c>
      <c r="BO51">
        <v>0</v>
      </c>
    </row>
    <row r="52" spans="1:67" x14ac:dyDescent="0.25">
      <c r="A52">
        <v>2007</v>
      </c>
      <c r="B52">
        <v>78</v>
      </c>
      <c r="C52">
        <v>1100</v>
      </c>
      <c r="D52">
        <v>196.2</v>
      </c>
      <c r="E52">
        <v>103.3</v>
      </c>
      <c r="F52">
        <v>1.22</v>
      </c>
      <c r="G52">
        <v>2.0169999999999999</v>
      </c>
      <c r="K52">
        <v>2.9460000000000002</v>
      </c>
      <c r="L52">
        <v>273.60000000000002</v>
      </c>
      <c r="M52">
        <v>1.2</v>
      </c>
      <c r="O52">
        <v>237.1</v>
      </c>
      <c r="P52">
        <v>93.6</v>
      </c>
      <c r="Q52">
        <v>4.133</v>
      </c>
      <c r="S52">
        <v>4.5439999999999996</v>
      </c>
      <c r="T52">
        <v>0</v>
      </c>
      <c r="U52">
        <v>86.9</v>
      </c>
      <c r="V52">
        <v>1005</v>
      </c>
      <c r="W52">
        <v>49.49</v>
      </c>
      <c r="Y52">
        <v>14.03</v>
      </c>
      <c r="AA52">
        <v>126</v>
      </c>
      <c r="AB52">
        <v>50</v>
      </c>
      <c r="AC52">
        <v>9.9682608695652153</v>
      </c>
      <c r="AD52">
        <v>1.2000000000000002</v>
      </c>
      <c r="AG52">
        <v>2007</v>
      </c>
      <c r="AH52">
        <v>50</v>
      </c>
      <c r="AI52">
        <v>1.2000000000000002</v>
      </c>
      <c r="AJ52">
        <v>7.68</v>
      </c>
      <c r="AK52">
        <v>9.4499999999999993</v>
      </c>
      <c r="AL52">
        <v>10.037083333333332</v>
      </c>
    </row>
    <row r="53" spans="1:67" x14ac:dyDescent="0.25">
      <c r="A53">
        <v>2007</v>
      </c>
      <c r="B53">
        <v>78</v>
      </c>
      <c r="C53">
        <v>1200</v>
      </c>
      <c r="D53">
        <v>408</v>
      </c>
      <c r="E53">
        <v>262.5</v>
      </c>
      <c r="F53">
        <v>1.591</v>
      </c>
      <c r="G53">
        <v>2.5099999999999998</v>
      </c>
      <c r="K53">
        <v>4.05</v>
      </c>
      <c r="L53">
        <v>281.10000000000002</v>
      </c>
      <c r="M53">
        <v>0.4</v>
      </c>
      <c r="O53">
        <v>514.5</v>
      </c>
      <c r="P53">
        <v>161.19999999999999</v>
      </c>
      <c r="Q53">
        <v>4.1529999999999996</v>
      </c>
      <c r="S53">
        <v>4.4779999999999998</v>
      </c>
      <c r="T53">
        <v>0</v>
      </c>
      <c r="U53">
        <v>85.3</v>
      </c>
      <c r="V53">
        <v>1019</v>
      </c>
      <c r="W53">
        <v>51.39</v>
      </c>
      <c r="Y53">
        <v>14.4</v>
      </c>
      <c r="AD53">
        <v>6.2000000000000011</v>
      </c>
      <c r="AG53">
        <v>2007</v>
      </c>
      <c r="AH53">
        <v>51</v>
      </c>
      <c r="AI53">
        <v>6.2000000000000011</v>
      </c>
      <c r="AJ53">
        <v>7.61</v>
      </c>
      <c r="AK53">
        <v>9.9499999999999993</v>
      </c>
      <c r="AL53">
        <v>10.168333333333335</v>
      </c>
    </row>
    <row r="54" spans="1:67" x14ac:dyDescent="0.25">
      <c r="A54">
        <v>2007</v>
      </c>
      <c r="B54">
        <v>78</v>
      </c>
      <c r="C54">
        <v>1300</v>
      </c>
      <c r="D54">
        <v>441.6</v>
      </c>
      <c r="E54">
        <v>290.2</v>
      </c>
      <c r="F54">
        <v>2.0939999999999999</v>
      </c>
      <c r="G54">
        <v>3.391</v>
      </c>
      <c r="K54">
        <v>4.6580000000000004</v>
      </c>
      <c r="L54">
        <v>258.7</v>
      </c>
      <c r="M54">
        <v>0</v>
      </c>
      <c r="O54">
        <v>538.1</v>
      </c>
      <c r="P54">
        <v>135.1</v>
      </c>
      <c r="Q54">
        <v>4.181</v>
      </c>
      <c r="S54">
        <v>4.3159999999999998</v>
      </c>
      <c r="T54">
        <v>0</v>
      </c>
      <c r="U54">
        <v>80.099999999999994</v>
      </c>
      <c r="V54">
        <v>1022</v>
      </c>
      <c r="W54">
        <v>51.69</v>
      </c>
      <c r="Y54">
        <v>14.52</v>
      </c>
      <c r="AG54">
        <v>2007</v>
      </c>
      <c r="AH54">
        <v>52</v>
      </c>
      <c r="AI54">
        <v>0.8</v>
      </c>
      <c r="AJ54">
        <v>5.8040000000000003</v>
      </c>
      <c r="AK54">
        <v>9.83</v>
      </c>
      <c r="AL54">
        <v>9.8430000000000017</v>
      </c>
    </row>
    <row r="55" spans="1:67" x14ac:dyDescent="0.25">
      <c r="A55">
        <v>2007</v>
      </c>
      <c r="B55">
        <v>78</v>
      </c>
      <c r="C55">
        <v>1400</v>
      </c>
      <c r="D55">
        <v>365</v>
      </c>
      <c r="E55">
        <v>239.5</v>
      </c>
      <c r="F55">
        <v>2.7229999999999999</v>
      </c>
      <c r="G55">
        <v>4.8929999999999998</v>
      </c>
      <c r="K55">
        <v>5.234</v>
      </c>
      <c r="L55">
        <v>273.39999999999998</v>
      </c>
      <c r="M55">
        <v>0</v>
      </c>
      <c r="O55">
        <v>429.7</v>
      </c>
      <c r="P55">
        <v>103.8</v>
      </c>
      <c r="Q55">
        <v>4.3920000000000003</v>
      </c>
      <c r="S55">
        <v>4.335</v>
      </c>
      <c r="T55">
        <v>0</v>
      </c>
      <c r="U55">
        <v>69.11</v>
      </c>
      <c r="V55">
        <v>1023</v>
      </c>
      <c r="W55">
        <v>51.8</v>
      </c>
      <c r="Y55">
        <v>14.29</v>
      </c>
      <c r="AG55">
        <v>2007</v>
      </c>
      <c r="AH55">
        <v>53</v>
      </c>
      <c r="AI55">
        <v>4</v>
      </c>
      <c r="AJ55">
        <v>8.1199999999999992</v>
      </c>
      <c r="AK55">
        <v>10.23</v>
      </c>
      <c r="AL55">
        <v>10.641666666666667</v>
      </c>
    </row>
    <row r="56" spans="1:67" x14ac:dyDescent="0.25">
      <c r="A56">
        <v>2007</v>
      </c>
      <c r="B56">
        <v>78</v>
      </c>
      <c r="C56">
        <v>1500</v>
      </c>
      <c r="D56">
        <v>310</v>
      </c>
      <c r="E56">
        <v>204.9</v>
      </c>
      <c r="F56">
        <v>2.9740000000000002</v>
      </c>
      <c r="G56">
        <v>5.0309999999999997</v>
      </c>
      <c r="K56">
        <v>3.8050000000000002</v>
      </c>
      <c r="L56">
        <v>292.2</v>
      </c>
      <c r="M56">
        <v>0.2</v>
      </c>
      <c r="O56">
        <v>374.5</v>
      </c>
      <c r="P56">
        <v>97</v>
      </c>
      <c r="Q56">
        <v>4.67</v>
      </c>
      <c r="S56">
        <v>4.3460000000000001</v>
      </c>
      <c r="T56">
        <v>0</v>
      </c>
      <c r="U56">
        <v>70.900000000000006</v>
      </c>
      <c r="V56">
        <v>1043</v>
      </c>
      <c r="W56">
        <v>54.73</v>
      </c>
      <c r="Y56">
        <v>14.27</v>
      </c>
      <c r="AG56">
        <v>2007</v>
      </c>
      <c r="AH56">
        <v>54</v>
      </c>
      <c r="AI56">
        <v>3.5999999999999996</v>
      </c>
      <c r="AJ56">
        <v>7.48</v>
      </c>
      <c r="AK56">
        <v>10.41</v>
      </c>
      <c r="AL56">
        <v>10.314166666666667</v>
      </c>
    </row>
    <row r="57" spans="1:67" x14ac:dyDescent="0.25">
      <c r="A57">
        <v>2007</v>
      </c>
      <c r="B57">
        <v>78</v>
      </c>
      <c r="C57">
        <v>1600</v>
      </c>
      <c r="D57">
        <v>239.2</v>
      </c>
      <c r="E57">
        <v>151.69999999999999</v>
      </c>
      <c r="F57">
        <v>2.8660000000000001</v>
      </c>
      <c r="G57">
        <v>4.75</v>
      </c>
      <c r="K57">
        <v>3.96</v>
      </c>
      <c r="L57">
        <v>300.60000000000002</v>
      </c>
      <c r="M57">
        <v>0</v>
      </c>
      <c r="O57">
        <v>285.89999999999998</v>
      </c>
      <c r="P57">
        <v>77.900000000000006</v>
      </c>
      <c r="Q57">
        <v>4.976</v>
      </c>
      <c r="S57">
        <v>4.3970000000000002</v>
      </c>
      <c r="T57">
        <v>0</v>
      </c>
      <c r="U57">
        <v>73.2</v>
      </c>
      <c r="V57">
        <v>1052</v>
      </c>
      <c r="W57">
        <v>56.11</v>
      </c>
      <c r="Y57">
        <v>14.23</v>
      </c>
    </row>
    <row r="58" spans="1:67" x14ac:dyDescent="0.25">
      <c r="A58">
        <v>2007</v>
      </c>
      <c r="B58">
        <v>78</v>
      </c>
      <c r="C58">
        <v>1700</v>
      </c>
      <c r="D58">
        <v>175.7</v>
      </c>
      <c r="E58">
        <v>101</v>
      </c>
      <c r="F58">
        <v>2.4369999999999998</v>
      </c>
      <c r="G58">
        <v>4.1529999999999996</v>
      </c>
      <c r="K58">
        <v>4.1900000000000004</v>
      </c>
      <c r="L58">
        <v>285.60000000000002</v>
      </c>
      <c r="M58">
        <v>0.2</v>
      </c>
      <c r="O58">
        <v>205.1</v>
      </c>
      <c r="P58">
        <v>69.2</v>
      </c>
      <c r="Q58">
        <v>5.3159999999999998</v>
      </c>
      <c r="S58">
        <v>4.4690000000000003</v>
      </c>
      <c r="T58">
        <v>0</v>
      </c>
      <c r="U58">
        <v>74.599999999999994</v>
      </c>
      <c r="V58">
        <v>1059</v>
      </c>
      <c r="W58">
        <v>57.17</v>
      </c>
      <c r="Y58">
        <v>14.05</v>
      </c>
    </row>
    <row r="59" spans="1:67" x14ac:dyDescent="0.25">
      <c r="A59">
        <v>2007</v>
      </c>
      <c r="B59">
        <v>78</v>
      </c>
      <c r="C59">
        <v>1800</v>
      </c>
      <c r="D59">
        <v>45.03</v>
      </c>
      <c r="E59">
        <v>13.09</v>
      </c>
      <c r="F59">
        <v>1.65</v>
      </c>
      <c r="G59">
        <v>2.762</v>
      </c>
      <c r="K59">
        <v>3.2029999999999998</v>
      </c>
      <c r="L59">
        <v>295.39999999999998</v>
      </c>
      <c r="M59">
        <v>1</v>
      </c>
      <c r="O59">
        <v>52.25</v>
      </c>
      <c r="P59">
        <v>7.1</v>
      </c>
      <c r="Q59">
        <v>5.4160000000000004</v>
      </c>
      <c r="S59">
        <v>4.5650000000000004</v>
      </c>
      <c r="T59">
        <v>0</v>
      </c>
      <c r="U59">
        <v>82.5</v>
      </c>
      <c r="V59">
        <v>1078</v>
      </c>
      <c r="W59">
        <v>60.37</v>
      </c>
      <c r="Y59">
        <v>13.74</v>
      </c>
    </row>
    <row r="60" spans="1:67" x14ac:dyDescent="0.25">
      <c r="A60">
        <v>2007</v>
      </c>
      <c r="B60">
        <v>78</v>
      </c>
      <c r="C60">
        <v>1900</v>
      </c>
      <c r="D60">
        <v>7.22</v>
      </c>
      <c r="E60">
        <v>-11.49</v>
      </c>
      <c r="F60">
        <v>1.4530000000000001</v>
      </c>
      <c r="G60">
        <v>2.5270000000000001</v>
      </c>
      <c r="K60">
        <v>2.3530000000000002</v>
      </c>
      <c r="L60">
        <v>286.89999999999998</v>
      </c>
      <c r="M60">
        <v>0.2</v>
      </c>
      <c r="O60">
        <v>2.0070000000000001</v>
      </c>
      <c r="P60">
        <v>-7.88</v>
      </c>
      <c r="Q60">
        <v>5.3019999999999996</v>
      </c>
      <c r="S60">
        <v>4.6509999999999998</v>
      </c>
      <c r="T60">
        <v>0</v>
      </c>
      <c r="U60">
        <v>82.8</v>
      </c>
      <c r="V60">
        <v>1077</v>
      </c>
      <c r="W60">
        <v>60.29</v>
      </c>
      <c r="Y60">
        <v>13.61</v>
      </c>
    </row>
    <row r="61" spans="1:67" x14ac:dyDescent="0.25">
      <c r="A61">
        <v>2007</v>
      </c>
      <c r="B61">
        <v>78</v>
      </c>
      <c r="C61">
        <v>2000</v>
      </c>
      <c r="D61">
        <v>-1.6</v>
      </c>
      <c r="E61">
        <v>-23.04</v>
      </c>
      <c r="F61">
        <v>0.95799999999999996</v>
      </c>
      <c r="G61">
        <v>1.996</v>
      </c>
      <c r="K61">
        <v>2.2130000000000001</v>
      </c>
      <c r="L61">
        <v>302.3</v>
      </c>
      <c r="M61">
        <v>0.2</v>
      </c>
      <c r="O61">
        <v>-11.49</v>
      </c>
      <c r="P61">
        <v>-10.85</v>
      </c>
      <c r="Q61">
        <v>5.0650000000000004</v>
      </c>
      <c r="S61">
        <v>4.6589999999999998</v>
      </c>
      <c r="T61">
        <v>0</v>
      </c>
      <c r="U61">
        <v>83</v>
      </c>
      <c r="V61">
        <v>1074</v>
      </c>
      <c r="W61">
        <v>59.79</v>
      </c>
      <c r="Y61">
        <v>13.51</v>
      </c>
    </row>
    <row r="62" spans="1:67" x14ac:dyDescent="0.25">
      <c r="A62">
        <v>2007</v>
      </c>
      <c r="B62">
        <v>78</v>
      </c>
      <c r="C62">
        <v>2100</v>
      </c>
      <c r="D62">
        <v>-1.8759999999999999</v>
      </c>
      <c r="E62">
        <v>-30.84</v>
      </c>
      <c r="F62">
        <v>0.66500000000000004</v>
      </c>
      <c r="G62">
        <v>1.8380000000000001</v>
      </c>
      <c r="K62">
        <v>2.6459999999999999</v>
      </c>
      <c r="L62">
        <v>280.2</v>
      </c>
      <c r="M62">
        <v>0</v>
      </c>
      <c r="O62">
        <v>-11.51</v>
      </c>
      <c r="P62">
        <v>-10.85</v>
      </c>
      <c r="Q62">
        <v>4.8639999999999999</v>
      </c>
      <c r="S62">
        <v>4.7119999999999997</v>
      </c>
      <c r="T62">
        <v>0</v>
      </c>
      <c r="U62">
        <v>80.7</v>
      </c>
      <c r="V62">
        <v>1073</v>
      </c>
      <c r="W62">
        <v>59.6</v>
      </c>
      <c r="Y62">
        <v>13.42</v>
      </c>
    </row>
    <row r="63" spans="1:67" x14ac:dyDescent="0.25">
      <c r="A63">
        <v>2007</v>
      </c>
      <c r="B63">
        <v>78</v>
      </c>
      <c r="C63">
        <v>2200</v>
      </c>
      <c r="D63">
        <v>-2.246</v>
      </c>
      <c r="E63">
        <v>-35.979999999999997</v>
      </c>
      <c r="F63">
        <v>0.64900000000000002</v>
      </c>
      <c r="G63">
        <v>1.931</v>
      </c>
      <c r="K63">
        <v>2.5430000000000001</v>
      </c>
      <c r="L63">
        <v>260.60000000000002</v>
      </c>
      <c r="M63">
        <v>0</v>
      </c>
      <c r="O63">
        <v>-11.51</v>
      </c>
      <c r="P63">
        <v>-10.85</v>
      </c>
      <c r="Q63">
        <v>4.6449999999999996</v>
      </c>
      <c r="S63">
        <v>4.6669999999999998</v>
      </c>
      <c r="T63">
        <v>0</v>
      </c>
      <c r="U63">
        <v>79</v>
      </c>
      <c r="V63">
        <v>1073</v>
      </c>
      <c r="W63">
        <v>59.65</v>
      </c>
      <c r="Y63">
        <v>13.34</v>
      </c>
    </row>
    <row r="64" spans="1:67" x14ac:dyDescent="0.25">
      <c r="A64">
        <v>2007</v>
      </c>
      <c r="B64">
        <v>78</v>
      </c>
      <c r="C64">
        <v>2300</v>
      </c>
      <c r="D64">
        <v>-2.649</v>
      </c>
      <c r="E64">
        <v>-44.51</v>
      </c>
      <c r="F64">
        <v>0.45900000000000002</v>
      </c>
      <c r="G64">
        <v>2.0529999999999999</v>
      </c>
      <c r="K64">
        <v>3.379</v>
      </c>
      <c r="L64">
        <v>264.3</v>
      </c>
      <c r="M64">
        <v>0</v>
      </c>
      <c r="O64">
        <v>-11.51</v>
      </c>
      <c r="P64">
        <v>-10.86</v>
      </c>
      <c r="Q64">
        <v>4.3869999999999996</v>
      </c>
      <c r="S64">
        <v>4.6180000000000003</v>
      </c>
      <c r="T64">
        <v>0</v>
      </c>
      <c r="U64">
        <v>74.099999999999994</v>
      </c>
      <c r="V64">
        <v>1069</v>
      </c>
      <c r="W64">
        <v>58.83</v>
      </c>
      <c r="Y64">
        <v>13.26</v>
      </c>
    </row>
    <row r="65" spans="1:25" x14ac:dyDescent="0.25">
      <c r="A65">
        <v>2007</v>
      </c>
      <c r="B65">
        <v>78</v>
      </c>
      <c r="C65">
        <v>2400</v>
      </c>
      <c r="D65">
        <v>-2.9180000000000001</v>
      </c>
      <c r="E65">
        <v>-42.42</v>
      </c>
      <c r="F65">
        <v>0.38100000000000001</v>
      </c>
      <c r="G65">
        <v>2.1589999999999998</v>
      </c>
      <c r="K65">
        <v>1.819</v>
      </c>
      <c r="L65">
        <v>277.7</v>
      </c>
      <c r="M65">
        <v>0</v>
      </c>
      <c r="O65">
        <v>-11.51</v>
      </c>
      <c r="P65">
        <v>-10.85</v>
      </c>
      <c r="Q65">
        <v>4.1280000000000001</v>
      </c>
      <c r="S65">
        <v>4.5279999999999996</v>
      </c>
      <c r="T65">
        <v>0</v>
      </c>
      <c r="U65">
        <v>71.400000000000006</v>
      </c>
      <c r="V65">
        <v>1065</v>
      </c>
      <c r="W65">
        <v>58.25</v>
      </c>
      <c r="Y65">
        <v>13.19</v>
      </c>
    </row>
    <row r="66" spans="1:25" x14ac:dyDescent="0.25">
      <c r="A66">
        <v>2007</v>
      </c>
      <c r="B66">
        <v>79</v>
      </c>
      <c r="C66">
        <v>100</v>
      </c>
      <c r="D66">
        <v>-1.675</v>
      </c>
      <c r="E66">
        <v>-23.51</v>
      </c>
      <c r="F66">
        <v>0.46899999999999997</v>
      </c>
      <c r="G66">
        <v>1.9990000000000001</v>
      </c>
      <c r="K66">
        <v>1.5640000000000001</v>
      </c>
      <c r="L66">
        <v>250</v>
      </c>
      <c r="M66">
        <v>0</v>
      </c>
      <c r="O66">
        <v>-11.51</v>
      </c>
      <c r="P66">
        <v>-10.85</v>
      </c>
      <c r="Q66">
        <v>3.895</v>
      </c>
      <c r="S66">
        <v>4.4260000000000002</v>
      </c>
      <c r="T66">
        <v>0</v>
      </c>
      <c r="U66">
        <v>75.099999999999994</v>
      </c>
      <c r="V66">
        <v>1058</v>
      </c>
      <c r="W66">
        <v>57.01</v>
      </c>
      <c r="Y66">
        <v>13.12</v>
      </c>
    </row>
    <row r="67" spans="1:25" x14ac:dyDescent="0.25">
      <c r="A67">
        <v>2007</v>
      </c>
      <c r="B67">
        <v>79</v>
      </c>
      <c r="C67">
        <v>200</v>
      </c>
      <c r="D67">
        <v>-2.198</v>
      </c>
      <c r="E67">
        <v>-35.979999999999997</v>
      </c>
      <c r="F67">
        <v>0.40300000000000002</v>
      </c>
      <c r="G67">
        <v>1.871</v>
      </c>
      <c r="K67">
        <v>1.139</v>
      </c>
      <c r="L67">
        <v>2.8479999999999999</v>
      </c>
      <c r="M67">
        <v>0</v>
      </c>
      <c r="O67">
        <v>-11.51</v>
      </c>
      <c r="P67">
        <v>-10.85</v>
      </c>
      <c r="Q67">
        <v>3.7269999999999999</v>
      </c>
      <c r="S67">
        <v>4.3120000000000003</v>
      </c>
      <c r="T67">
        <v>0</v>
      </c>
      <c r="U67">
        <v>75.900000000000006</v>
      </c>
      <c r="V67">
        <v>1055</v>
      </c>
      <c r="W67">
        <v>56.62</v>
      </c>
      <c r="Y67">
        <v>13.05</v>
      </c>
    </row>
    <row r="68" spans="1:25" x14ac:dyDescent="0.25">
      <c r="A68">
        <v>2007</v>
      </c>
      <c r="B68">
        <v>79</v>
      </c>
      <c r="C68">
        <v>300</v>
      </c>
      <c r="D68">
        <v>-2.8010000000000002</v>
      </c>
      <c r="E68">
        <v>-45.05</v>
      </c>
      <c r="F68">
        <v>-2.4E-2</v>
      </c>
      <c r="G68">
        <v>1.948</v>
      </c>
      <c r="K68">
        <v>1.617</v>
      </c>
      <c r="L68">
        <v>293.10000000000002</v>
      </c>
      <c r="M68">
        <v>0</v>
      </c>
      <c r="O68">
        <v>-11.51</v>
      </c>
      <c r="P68">
        <v>-10.85</v>
      </c>
      <c r="Q68">
        <v>3.5859999999999999</v>
      </c>
      <c r="S68">
        <v>4.2039999999999997</v>
      </c>
      <c r="T68">
        <v>0</v>
      </c>
      <c r="U68">
        <v>68.010000000000005</v>
      </c>
      <c r="V68">
        <v>1051</v>
      </c>
      <c r="W68">
        <v>55.97</v>
      </c>
      <c r="Y68">
        <v>13</v>
      </c>
    </row>
    <row r="69" spans="1:25" x14ac:dyDescent="0.25">
      <c r="A69">
        <v>2007</v>
      </c>
      <c r="B69">
        <v>79</v>
      </c>
      <c r="C69">
        <v>400</v>
      </c>
      <c r="D69">
        <v>-3.294</v>
      </c>
      <c r="E69">
        <v>-53.49</v>
      </c>
      <c r="F69">
        <v>-0.26800000000000002</v>
      </c>
      <c r="G69">
        <v>1.7290000000000001</v>
      </c>
      <c r="K69">
        <v>1.6379999999999999</v>
      </c>
      <c r="L69">
        <v>297.2</v>
      </c>
      <c r="M69">
        <v>0</v>
      </c>
      <c r="O69">
        <v>-11.51</v>
      </c>
      <c r="P69">
        <v>-10.84</v>
      </c>
      <c r="Q69">
        <v>3.4279999999999999</v>
      </c>
      <c r="S69">
        <v>4.1050000000000004</v>
      </c>
      <c r="T69">
        <v>0</v>
      </c>
      <c r="U69">
        <v>67.31</v>
      </c>
      <c r="V69">
        <v>1031</v>
      </c>
      <c r="W69">
        <v>52.99</v>
      </c>
      <c r="Y69">
        <v>12.95</v>
      </c>
    </row>
    <row r="70" spans="1:25" x14ac:dyDescent="0.25">
      <c r="A70">
        <v>2007</v>
      </c>
      <c r="B70">
        <v>79</v>
      </c>
      <c r="C70">
        <v>500</v>
      </c>
      <c r="D70">
        <v>-3.1739999999999999</v>
      </c>
      <c r="E70">
        <v>-54.77</v>
      </c>
      <c r="F70">
        <v>-0.52600000000000002</v>
      </c>
      <c r="G70">
        <v>1.5129999999999999</v>
      </c>
      <c r="K70">
        <v>1.9390000000000001</v>
      </c>
      <c r="L70">
        <v>260.39999999999998</v>
      </c>
      <c r="M70">
        <v>0</v>
      </c>
      <c r="O70">
        <v>-11.5</v>
      </c>
      <c r="P70">
        <v>-10.84</v>
      </c>
      <c r="Q70">
        <v>3.2730000000000001</v>
      </c>
      <c r="S70">
        <v>4.0049999999999999</v>
      </c>
      <c r="T70">
        <v>0</v>
      </c>
      <c r="U70">
        <v>66.290000000000006</v>
      </c>
      <c r="V70">
        <v>1017</v>
      </c>
      <c r="W70">
        <v>51.06</v>
      </c>
      <c r="Y70">
        <v>12.91</v>
      </c>
    </row>
    <row r="71" spans="1:25" x14ac:dyDescent="0.25">
      <c r="A71">
        <v>2007</v>
      </c>
      <c r="B71">
        <v>79</v>
      </c>
      <c r="C71">
        <v>600</v>
      </c>
      <c r="D71">
        <v>-3.2109999999999999</v>
      </c>
      <c r="E71">
        <v>-54.67</v>
      </c>
      <c r="F71">
        <v>-0.76100000000000001</v>
      </c>
      <c r="G71">
        <v>1.113</v>
      </c>
      <c r="K71">
        <v>1.8260000000000001</v>
      </c>
      <c r="L71">
        <v>271.89999999999998</v>
      </c>
      <c r="M71">
        <v>0</v>
      </c>
      <c r="O71">
        <v>-11.44</v>
      </c>
      <c r="P71">
        <v>-10.81</v>
      </c>
      <c r="Q71">
        <v>3.1230000000000002</v>
      </c>
      <c r="S71">
        <v>3.9289999999999998</v>
      </c>
      <c r="T71">
        <v>0</v>
      </c>
      <c r="U71">
        <v>68.41</v>
      </c>
      <c r="V71">
        <v>1012</v>
      </c>
      <c r="W71">
        <v>50.47</v>
      </c>
      <c r="Y71">
        <v>12.87</v>
      </c>
    </row>
    <row r="72" spans="1:25" x14ac:dyDescent="0.25">
      <c r="A72">
        <v>2007</v>
      </c>
      <c r="B72">
        <v>79</v>
      </c>
      <c r="C72">
        <v>700</v>
      </c>
      <c r="D72">
        <v>3.7130000000000001</v>
      </c>
      <c r="E72">
        <v>-49.93</v>
      </c>
      <c r="F72">
        <v>-0.88100000000000001</v>
      </c>
      <c r="G72">
        <v>1.014</v>
      </c>
      <c r="K72">
        <v>1.9830000000000001</v>
      </c>
      <c r="L72">
        <v>289.2</v>
      </c>
      <c r="M72">
        <v>0</v>
      </c>
      <c r="O72">
        <v>-3.4729999999999999</v>
      </c>
      <c r="P72">
        <v>-8.11</v>
      </c>
      <c r="Q72">
        <v>2.9790000000000001</v>
      </c>
      <c r="S72">
        <v>3.83</v>
      </c>
      <c r="T72">
        <v>0</v>
      </c>
      <c r="U72">
        <v>67.91</v>
      </c>
      <c r="V72">
        <v>1007</v>
      </c>
      <c r="W72">
        <v>49.8</v>
      </c>
      <c r="Y72">
        <v>12.85</v>
      </c>
    </row>
    <row r="73" spans="1:25" x14ac:dyDescent="0.25">
      <c r="A73">
        <v>2007</v>
      </c>
      <c r="B73">
        <v>79</v>
      </c>
      <c r="C73">
        <v>800</v>
      </c>
      <c r="D73">
        <v>86.7</v>
      </c>
      <c r="E73">
        <v>15.44</v>
      </c>
      <c r="F73">
        <v>-0.52</v>
      </c>
      <c r="G73">
        <v>1.677</v>
      </c>
      <c r="K73">
        <v>2.0750000000000002</v>
      </c>
      <c r="L73">
        <v>278.8</v>
      </c>
      <c r="M73">
        <v>0.2</v>
      </c>
      <c r="O73">
        <v>106.7</v>
      </c>
      <c r="P73">
        <v>44.67</v>
      </c>
      <c r="Q73">
        <v>2.8879999999999999</v>
      </c>
      <c r="S73">
        <v>3.7839999999999998</v>
      </c>
      <c r="T73">
        <v>0</v>
      </c>
      <c r="U73">
        <v>64.03</v>
      </c>
      <c r="V73">
        <v>1002</v>
      </c>
      <c r="W73">
        <v>49.19</v>
      </c>
      <c r="Y73">
        <v>13.58</v>
      </c>
    </row>
    <row r="74" spans="1:25" x14ac:dyDescent="0.25">
      <c r="A74">
        <v>2007</v>
      </c>
      <c r="B74">
        <v>79</v>
      </c>
      <c r="C74">
        <v>900</v>
      </c>
      <c r="D74">
        <v>236.9</v>
      </c>
      <c r="E74">
        <v>145.9</v>
      </c>
      <c r="F74">
        <v>0.33500000000000002</v>
      </c>
      <c r="G74">
        <v>2.6930000000000001</v>
      </c>
      <c r="H74">
        <f>AVERAGE(G74:G97)</f>
        <v>1.3004583333333335</v>
      </c>
      <c r="I74">
        <f>MIN(G74:G97)</f>
        <v>-2.7919999999999998</v>
      </c>
      <c r="J74">
        <f>MAX(F74:F97)</f>
        <v>2.242</v>
      </c>
      <c r="K74">
        <v>2.17</v>
      </c>
      <c r="L74">
        <v>286.60000000000002</v>
      </c>
      <c r="M74">
        <v>0</v>
      </c>
      <c r="N74">
        <f>SUM(M74:M97)</f>
        <v>0</v>
      </c>
      <c r="O74">
        <v>311.3</v>
      </c>
      <c r="P74">
        <v>103.4</v>
      </c>
      <c r="Q74">
        <v>2.8519999999999999</v>
      </c>
      <c r="S74">
        <v>3.7759999999999998</v>
      </c>
      <c r="T74">
        <v>0</v>
      </c>
      <c r="U74">
        <v>63.18</v>
      </c>
      <c r="V74">
        <v>1003</v>
      </c>
      <c r="W74">
        <v>49.24</v>
      </c>
      <c r="Y74">
        <v>14.61</v>
      </c>
    </row>
    <row r="75" spans="1:25" x14ac:dyDescent="0.25">
      <c r="A75">
        <v>2007</v>
      </c>
      <c r="B75">
        <v>79</v>
      </c>
      <c r="C75">
        <v>1000</v>
      </c>
      <c r="D75">
        <v>382.6</v>
      </c>
      <c r="E75">
        <v>255.4</v>
      </c>
      <c r="F75">
        <v>1.1000000000000001</v>
      </c>
      <c r="G75">
        <v>3.718</v>
      </c>
      <c r="K75">
        <v>2.6850000000000001</v>
      </c>
      <c r="L75">
        <v>284.3</v>
      </c>
      <c r="M75">
        <v>0</v>
      </c>
      <c r="O75">
        <v>481.7</v>
      </c>
      <c r="P75">
        <v>137.6</v>
      </c>
      <c r="Q75">
        <v>2.8029999999999999</v>
      </c>
      <c r="S75">
        <v>3.7170000000000001</v>
      </c>
      <c r="T75">
        <v>0</v>
      </c>
      <c r="U75">
        <v>61.01</v>
      </c>
      <c r="V75">
        <v>1009</v>
      </c>
      <c r="W75">
        <v>50.07</v>
      </c>
      <c r="Y75">
        <v>14.95</v>
      </c>
    </row>
    <row r="76" spans="1:25" x14ac:dyDescent="0.25">
      <c r="A76">
        <v>2007</v>
      </c>
      <c r="B76">
        <v>79</v>
      </c>
      <c r="C76">
        <v>1100</v>
      </c>
      <c r="D76">
        <v>516.79999999999995</v>
      </c>
      <c r="E76">
        <v>344.4</v>
      </c>
      <c r="F76">
        <v>1.9119999999999999</v>
      </c>
      <c r="G76">
        <v>4.7169999999999996</v>
      </c>
      <c r="K76">
        <v>2.5249999999999999</v>
      </c>
      <c r="L76">
        <v>320.5</v>
      </c>
      <c r="M76">
        <v>0</v>
      </c>
      <c r="O76">
        <v>638.29999999999995</v>
      </c>
      <c r="P76">
        <v>171.6</v>
      </c>
      <c r="Q76">
        <v>2.8969999999999998</v>
      </c>
      <c r="S76">
        <v>3.6070000000000002</v>
      </c>
      <c r="T76">
        <v>0</v>
      </c>
      <c r="U76">
        <v>60.01</v>
      </c>
      <c r="V76">
        <v>1016</v>
      </c>
      <c r="W76">
        <v>50.9</v>
      </c>
      <c r="Y76">
        <v>14.92</v>
      </c>
    </row>
    <row r="77" spans="1:25" x14ac:dyDescent="0.25">
      <c r="A77">
        <v>2007</v>
      </c>
      <c r="B77">
        <v>79</v>
      </c>
      <c r="C77">
        <v>1200</v>
      </c>
      <c r="D77">
        <v>441.2</v>
      </c>
      <c r="E77">
        <v>267.7</v>
      </c>
      <c r="F77">
        <v>1.6779999999999999</v>
      </c>
      <c r="G77">
        <v>4.6159999999999997</v>
      </c>
      <c r="K77">
        <v>2.5390000000000001</v>
      </c>
      <c r="L77">
        <v>285.39999999999998</v>
      </c>
      <c r="M77">
        <v>0</v>
      </c>
      <c r="O77">
        <v>525.1</v>
      </c>
      <c r="P77">
        <v>137.6</v>
      </c>
      <c r="Q77">
        <v>3.0739999999999998</v>
      </c>
      <c r="S77">
        <v>3.5379999999999998</v>
      </c>
      <c r="T77">
        <v>0</v>
      </c>
      <c r="U77">
        <v>58.04</v>
      </c>
      <c r="V77">
        <v>1014</v>
      </c>
      <c r="W77">
        <v>50.64</v>
      </c>
      <c r="Y77">
        <v>14.38</v>
      </c>
    </row>
    <row r="78" spans="1:25" x14ac:dyDescent="0.25">
      <c r="A78">
        <v>2007</v>
      </c>
      <c r="B78">
        <v>79</v>
      </c>
      <c r="C78">
        <v>1300</v>
      </c>
      <c r="D78">
        <v>551.6</v>
      </c>
      <c r="E78">
        <v>345.6</v>
      </c>
      <c r="F78">
        <v>2.242</v>
      </c>
      <c r="G78">
        <v>5.2720000000000002</v>
      </c>
      <c r="K78">
        <v>2.6389999999999998</v>
      </c>
      <c r="L78">
        <v>19.649999999999999</v>
      </c>
      <c r="M78">
        <v>0</v>
      </c>
      <c r="O78">
        <v>672.2</v>
      </c>
      <c r="P78">
        <v>184</v>
      </c>
      <c r="Q78">
        <v>3.5369999999999999</v>
      </c>
      <c r="S78">
        <v>3.5569999999999999</v>
      </c>
      <c r="T78">
        <v>0</v>
      </c>
      <c r="U78">
        <v>57.91</v>
      </c>
      <c r="V78">
        <v>1010</v>
      </c>
      <c r="W78">
        <v>50.14</v>
      </c>
      <c r="Y78">
        <v>14.56</v>
      </c>
    </row>
    <row r="79" spans="1:25" x14ac:dyDescent="0.25">
      <c r="A79">
        <v>2007</v>
      </c>
      <c r="B79">
        <v>79</v>
      </c>
      <c r="C79">
        <v>1400</v>
      </c>
      <c r="D79">
        <v>364.7</v>
      </c>
      <c r="E79">
        <v>210.2</v>
      </c>
      <c r="F79">
        <v>1.8779999999999999</v>
      </c>
      <c r="G79">
        <v>5.0049999999999999</v>
      </c>
      <c r="K79">
        <v>2.9729999999999999</v>
      </c>
      <c r="L79">
        <v>297.10000000000002</v>
      </c>
      <c r="M79">
        <v>0</v>
      </c>
      <c r="O79">
        <v>434.3</v>
      </c>
      <c r="P79">
        <v>121</v>
      </c>
      <c r="Q79">
        <v>4.21</v>
      </c>
      <c r="S79">
        <v>3.6070000000000002</v>
      </c>
      <c r="T79">
        <v>0</v>
      </c>
      <c r="U79">
        <v>56.18</v>
      </c>
      <c r="V79">
        <v>1001</v>
      </c>
      <c r="W79">
        <v>49.03</v>
      </c>
      <c r="Y79">
        <v>14.23</v>
      </c>
    </row>
    <row r="80" spans="1:25" x14ac:dyDescent="0.25">
      <c r="A80">
        <v>2007</v>
      </c>
      <c r="B80">
        <v>79</v>
      </c>
      <c r="C80">
        <v>1500</v>
      </c>
      <c r="D80">
        <v>476.7</v>
      </c>
      <c r="E80">
        <v>288.5</v>
      </c>
      <c r="F80">
        <v>2.1440000000000001</v>
      </c>
      <c r="G80">
        <v>5.4279999999999999</v>
      </c>
      <c r="K80">
        <v>3.419</v>
      </c>
      <c r="L80">
        <v>282.5</v>
      </c>
      <c r="M80">
        <v>0</v>
      </c>
      <c r="O80">
        <v>573.9</v>
      </c>
      <c r="P80">
        <v>185.2</v>
      </c>
      <c r="Q80">
        <v>4.8380000000000001</v>
      </c>
      <c r="S80">
        <v>3.823</v>
      </c>
      <c r="T80">
        <v>0</v>
      </c>
      <c r="U80">
        <v>54.85</v>
      </c>
      <c r="V80">
        <v>1008</v>
      </c>
      <c r="W80">
        <v>49.95</v>
      </c>
      <c r="Y80">
        <v>14.36</v>
      </c>
    </row>
    <row r="81" spans="1:25" x14ac:dyDescent="0.25">
      <c r="A81">
        <v>2007</v>
      </c>
      <c r="B81">
        <v>79</v>
      </c>
      <c r="C81">
        <v>1600</v>
      </c>
      <c r="D81">
        <v>313.7</v>
      </c>
      <c r="E81">
        <v>177.3</v>
      </c>
      <c r="F81">
        <v>1.7330000000000001</v>
      </c>
      <c r="G81">
        <v>4.9249999999999998</v>
      </c>
      <c r="K81">
        <v>3.298</v>
      </c>
      <c r="L81">
        <v>278.10000000000002</v>
      </c>
      <c r="M81">
        <v>0</v>
      </c>
      <c r="O81">
        <v>381.2</v>
      </c>
      <c r="P81">
        <v>132.30000000000001</v>
      </c>
      <c r="Q81">
        <v>5.27</v>
      </c>
      <c r="S81">
        <v>3.9620000000000002</v>
      </c>
      <c r="T81">
        <v>0</v>
      </c>
      <c r="U81">
        <v>55.14</v>
      </c>
      <c r="V81">
        <v>1009</v>
      </c>
      <c r="W81">
        <v>50.08</v>
      </c>
      <c r="Y81">
        <v>14.21</v>
      </c>
    </row>
    <row r="82" spans="1:25" x14ac:dyDescent="0.25">
      <c r="A82">
        <v>2007</v>
      </c>
      <c r="B82">
        <v>79</v>
      </c>
      <c r="C82">
        <v>1700</v>
      </c>
      <c r="D82">
        <v>222.1</v>
      </c>
      <c r="E82">
        <v>115.1</v>
      </c>
      <c r="F82">
        <v>1.835</v>
      </c>
      <c r="G82">
        <v>4.5599999999999996</v>
      </c>
      <c r="K82">
        <v>2.6749999999999998</v>
      </c>
      <c r="L82">
        <v>339.2</v>
      </c>
      <c r="M82">
        <v>0</v>
      </c>
      <c r="O82">
        <v>268.60000000000002</v>
      </c>
      <c r="P82">
        <v>129.69999999999999</v>
      </c>
      <c r="Q82">
        <v>5.5359999999999996</v>
      </c>
      <c r="S82">
        <v>4.141</v>
      </c>
      <c r="T82">
        <v>0</v>
      </c>
      <c r="U82">
        <v>60.94</v>
      </c>
      <c r="V82">
        <v>1008</v>
      </c>
      <c r="W82">
        <v>49.93</v>
      </c>
      <c r="Y82">
        <v>13.99</v>
      </c>
    </row>
    <row r="83" spans="1:25" x14ac:dyDescent="0.25">
      <c r="A83">
        <v>2007</v>
      </c>
      <c r="B83">
        <v>79</v>
      </c>
      <c r="C83">
        <v>1800</v>
      </c>
      <c r="D83">
        <v>84.6</v>
      </c>
      <c r="E83">
        <v>21.06</v>
      </c>
      <c r="F83">
        <v>1.157</v>
      </c>
      <c r="G83">
        <v>3.847</v>
      </c>
      <c r="K83">
        <v>2.4300000000000002</v>
      </c>
      <c r="L83">
        <v>262</v>
      </c>
      <c r="M83">
        <v>0</v>
      </c>
      <c r="O83">
        <v>94.8</v>
      </c>
      <c r="P83">
        <v>38.79</v>
      </c>
      <c r="Q83">
        <v>5.5830000000000002</v>
      </c>
      <c r="S83">
        <v>4.2569999999999997</v>
      </c>
      <c r="T83">
        <v>0</v>
      </c>
      <c r="U83">
        <v>60.24</v>
      </c>
      <c r="V83">
        <v>1011</v>
      </c>
      <c r="W83">
        <v>50.26</v>
      </c>
      <c r="Y83">
        <v>13.74</v>
      </c>
    </row>
    <row r="84" spans="1:25" x14ac:dyDescent="0.25">
      <c r="A84">
        <v>2007</v>
      </c>
      <c r="B84">
        <v>79</v>
      </c>
      <c r="C84">
        <v>1900</v>
      </c>
      <c r="D84">
        <v>8.07</v>
      </c>
      <c r="E84">
        <v>-40.96</v>
      </c>
      <c r="F84">
        <v>0.35599999999999998</v>
      </c>
      <c r="G84">
        <v>2.4609999999999999</v>
      </c>
      <c r="K84">
        <v>1.671</v>
      </c>
      <c r="L84">
        <v>270</v>
      </c>
      <c r="M84">
        <v>0</v>
      </c>
      <c r="O84">
        <v>1.7490000000000001</v>
      </c>
      <c r="P84">
        <v>-5.6420000000000003</v>
      </c>
      <c r="Q84">
        <v>5.468</v>
      </c>
      <c r="S84">
        <v>4.3380000000000001</v>
      </c>
      <c r="T84">
        <v>0</v>
      </c>
      <c r="U84">
        <v>66.680000000000007</v>
      </c>
      <c r="V84">
        <v>1020</v>
      </c>
      <c r="W84">
        <v>51.48</v>
      </c>
      <c r="Y84">
        <v>13.59</v>
      </c>
    </row>
    <row r="85" spans="1:25" x14ac:dyDescent="0.25">
      <c r="A85">
        <v>2007</v>
      </c>
      <c r="B85">
        <v>79</v>
      </c>
      <c r="C85">
        <v>2000</v>
      </c>
      <c r="D85">
        <v>-1.9139999999999999</v>
      </c>
      <c r="E85">
        <v>-37.81</v>
      </c>
      <c r="F85">
        <v>0.14000000000000001</v>
      </c>
      <c r="G85">
        <v>1.8120000000000001</v>
      </c>
      <c r="K85">
        <v>1.0089999999999999</v>
      </c>
      <c r="L85">
        <v>240.3</v>
      </c>
      <c r="M85">
        <v>0</v>
      </c>
      <c r="O85">
        <v>-11.51</v>
      </c>
      <c r="P85">
        <v>-10.85</v>
      </c>
      <c r="Q85">
        <v>5.2510000000000003</v>
      </c>
      <c r="S85">
        <v>4.4219999999999997</v>
      </c>
      <c r="T85">
        <v>0</v>
      </c>
      <c r="U85">
        <v>72.599999999999994</v>
      </c>
      <c r="V85">
        <v>1046</v>
      </c>
      <c r="W85">
        <v>55.12</v>
      </c>
      <c r="Y85">
        <v>13.49</v>
      </c>
    </row>
    <row r="86" spans="1:25" x14ac:dyDescent="0.25">
      <c r="A86">
        <v>2007</v>
      </c>
      <c r="B86">
        <v>79</v>
      </c>
      <c r="C86">
        <v>2100</v>
      </c>
      <c r="D86">
        <v>-2.9220000000000002</v>
      </c>
      <c r="E86">
        <v>-52.54</v>
      </c>
      <c r="F86">
        <v>-1.008</v>
      </c>
      <c r="G86">
        <v>-1.6E-2</v>
      </c>
      <c r="K86">
        <v>1.002</v>
      </c>
      <c r="L86">
        <v>227.9</v>
      </c>
      <c r="M86">
        <v>0</v>
      </c>
      <c r="O86">
        <v>-11.51</v>
      </c>
      <c r="P86">
        <v>-10.85</v>
      </c>
      <c r="Q86">
        <v>4.9470000000000001</v>
      </c>
      <c r="S86">
        <v>4.4509999999999996</v>
      </c>
      <c r="T86">
        <v>0</v>
      </c>
      <c r="U86">
        <v>82.3</v>
      </c>
      <c r="V86">
        <v>1044</v>
      </c>
      <c r="W86">
        <v>54.88</v>
      </c>
      <c r="Y86">
        <v>13.4</v>
      </c>
    </row>
    <row r="87" spans="1:25" x14ac:dyDescent="0.25">
      <c r="A87">
        <v>2007</v>
      </c>
      <c r="B87">
        <v>79</v>
      </c>
      <c r="C87">
        <v>2200</v>
      </c>
      <c r="D87">
        <v>-2.3330000000000002</v>
      </c>
      <c r="E87">
        <v>-43.11</v>
      </c>
      <c r="F87">
        <v>-0.73599999999999999</v>
      </c>
      <c r="G87">
        <v>0.218</v>
      </c>
      <c r="K87">
        <v>1.0109999999999999</v>
      </c>
      <c r="L87">
        <v>234</v>
      </c>
      <c r="M87">
        <v>0</v>
      </c>
      <c r="O87">
        <v>-11.51</v>
      </c>
      <c r="P87">
        <v>-10.85</v>
      </c>
      <c r="Q87">
        <v>4.6630000000000003</v>
      </c>
      <c r="S87">
        <v>4.4720000000000004</v>
      </c>
      <c r="T87">
        <v>0</v>
      </c>
      <c r="U87">
        <v>83.1</v>
      </c>
      <c r="V87">
        <v>1043</v>
      </c>
      <c r="W87">
        <v>54.64</v>
      </c>
      <c r="Y87">
        <v>13.32</v>
      </c>
    </row>
    <row r="88" spans="1:25" x14ac:dyDescent="0.25">
      <c r="A88">
        <v>2007</v>
      </c>
      <c r="B88">
        <v>79</v>
      </c>
      <c r="C88">
        <v>2300</v>
      </c>
      <c r="D88">
        <v>-2.9079999999999999</v>
      </c>
      <c r="E88">
        <v>-49.75</v>
      </c>
      <c r="F88">
        <v>-1.7290000000000001</v>
      </c>
      <c r="G88">
        <v>-1.1379999999999999</v>
      </c>
      <c r="K88">
        <v>0.66900000000000004</v>
      </c>
      <c r="L88">
        <v>209.9</v>
      </c>
      <c r="M88">
        <v>0</v>
      </c>
      <c r="O88">
        <v>-11.51</v>
      </c>
      <c r="P88">
        <v>-10.84</v>
      </c>
      <c r="Q88">
        <v>4.351</v>
      </c>
      <c r="S88">
        <v>4.3970000000000002</v>
      </c>
      <c r="T88">
        <v>0</v>
      </c>
      <c r="U88">
        <v>88.8</v>
      </c>
      <c r="V88">
        <v>1030</v>
      </c>
      <c r="W88">
        <v>52.76</v>
      </c>
      <c r="Y88">
        <v>13.25</v>
      </c>
    </row>
    <row r="89" spans="1:25" x14ac:dyDescent="0.25">
      <c r="A89">
        <v>2007</v>
      </c>
      <c r="B89">
        <v>79</v>
      </c>
      <c r="C89">
        <v>2400</v>
      </c>
      <c r="D89">
        <v>-3.0409999999999999</v>
      </c>
      <c r="E89">
        <v>-45.29</v>
      </c>
      <c r="F89">
        <v>-2.5630000000000002</v>
      </c>
      <c r="G89">
        <v>-2.0819999999999999</v>
      </c>
      <c r="K89">
        <v>0.66300000000000003</v>
      </c>
      <c r="L89">
        <v>227.1</v>
      </c>
      <c r="M89">
        <v>0</v>
      </c>
      <c r="O89">
        <v>-11.41</v>
      </c>
      <c r="P89">
        <v>-10.75</v>
      </c>
      <c r="Q89">
        <v>4.0890000000000004</v>
      </c>
      <c r="S89">
        <v>4.3220000000000001</v>
      </c>
      <c r="T89">
        <v>0</v>
      </c>
      <c r="U89">
        <v>90.5</v>
      </c>
      <c r="V89">
        <v>1018</v>
      </c>
      <c r="W89">
        <v>51.25</v>
      </c>
      <c r="Y89">
        <v>13.17</v>
      </c>
    </row>
    <row r="90" spans="1:25" x14ac:dyDescent="0.25">
      <c r="A90">
        <v>2007</v>
      </c>
      <c r="B90">
        <v>80</v>
      </c>
      <c r="C90">
        <v>100</v>
      </c>
      <c r="D90">
        <v>-2.766</v>
      </c>
      <c r="E90">
        <v>-31.26</v>
      </c>
      <c r="F90">
        <v>-2.0099999999999998</v>
      </c>
      <c r="G90">
        <v>-2.7919999999999998</v>
      </c>
      <c r="K90">
        <v>0.32400000000000001</v>
      </c>
      <c r="L90">
        <v>188.1</v>
      </c>
      <c r="M90">
        <v>0</v>
      </c>
      <c r="O90">
        <v>-11.22</v>
      </c>
      <c r="P90">
        <v>-10.54</v>
      </c>
      <c r="Q90">
        <v>3.839</v>
      </c>
      <c r="S90">
        <v>4.2439999999999998</v>
      </c>
      <c r="T90">
        <v>0</v>
      </c>
      <c r="U90">
        <v>116.9</v>
      </c>
      <c r="V90">
        <v>1006</v>
      </c>
      <c r="W90">
        <v>49.61</v>
      </c>
      <c r="Y90">
        <v>13.1</v>
      </c>
    </row>
    <row r="91" spans="1:25" x14ac:dyDescent="0.25">
      <c r="A91">
        <v>2007</v>
      </c>
      <c r="B91">
        <v>80</v>
      </c>
      <c r="C91">
        <v>200</v>
      </c>
      <c r="D91">
        <v>-0.81899999999999995</v>
      </c>
      <c r="E91">
        <v>-13.2</v>
      </c>
      <c r="F91">
        <v>-2.0169999999999999</v>
      </c>
      <c r="G91">
        <v>-1.5780000000000001</v>
      </c>
      <c r="K91">
        <v>0.45900000000000002</v>
      </c>
      <c r="L91">
        <v>216.8</v>
      </c>
      <c r="M91">
        <v>0</v>
      </c>
      <c r="O91">
        <v>-10.98</v>
      </c>
      <c r="P91">
        <v>-10.36</v>
      </c>
      <c r="Q91">
        <v>3.5880000000000001</v>
      </c>
      <c r="S91">
        <v>4.1399999999999997</v>
      </c>
      <c r="T91">
        <v>0</v>
      </c>
      <c r="U91">
        <v>91.5</v>
      </c>
      <c r="V91">
        <v>996</v>
      </c>
      <c r="W91">
        <v>48.48</v>
      </c>
      <c r="Y91">
        <v>13.03</v>
      </c>
    </row>
    <row r="92" spans="1:25" x14ac:dyDescent="0.25">
      <c r="A92">
        <v>2007</v>
      </c>
      <c r="B92">
        <v>80</v>
      </c>
      <c r="C92">
        <v>300</v>
      </c>
      <c r="D92">
        <v>-2.7389999999999999</v>
      </c>
      <c r="E92">
        <v>-27.11</v>
      </c>
      <c r="F92">
        <v>-2.5230000000000001</v>
      </c>
      <c r="G92">
        <v>-2.1960000000000002</v>
      </c>
      <c r="K92">
        <v>0.33900000000000002</v>
      </c>
      <c r="L92">
        <v>222.2</v>
      </c>
      <c r="M92">
        <v>0</v>
      </c>
      <c r="O92">
        <v>-11.09</v>
      </c>
      <c r="P92">
        <v>-10.4</v>
      </c>
      <c r="Q92">
        <v>3.39</v>
      </c>
      <c r="S92">
        <v>4.0369999999999999</v>
      </c>
      <c r="T92">
        <v>0</v>
      </c>
      <c r="U92">
        <v>93.4</v>
      </c>
      <c r="V92">
        <v>991</v>
      </c>
      <c r="W92">
        <v>47.91</v>
      </c>
      <c r="Y92">
        <v>12.97</v>
      </c>
    </row>
    <row r="93" spans="1:25" x14ac:dyDescent="0.25">
      <c r="A93">
        <v>2007</v>
      </c>
      <c r="B93">
        <v>80</v>
      </c>
      <c r="C93">
        <v>400</v>
      </c>
      <c r="D93">
        <v>-2.621</v>
      </c>
      <c r="E93">
        <v>-24.06</v>
      </c>
      <c r="F93">
        <v>-2.8290000000000002</v>
      </c>
      <c r="G93">
        <v>-2.4390000000000001</v>
      </c>
      <c r="K93">
        <v>0.53</v>
      </c>
      <c r="L93">
        <v>223.7</v>
      </c>
      <c r="M93">
        <v>0</v>
      </c>
      <c r="O93">
        <v>-10.93</v>
      </c>
      <c r="P93">
        <v>-10.32</v>
      </c>
      <c r="Q93">
        <v>3.2130000000000001</v>
      </c>
      <c r="S93">
        <v>3.9279999999999999</v>
      </c>
      <c r="T93">
        <v>0</v>
      </c>
      <c r="U93">
        <v>92.1</v>
      </c>
      <c r="V93">
        <v>986</v>
      </c>
      <c r="W93">
        <v>47.26</v>
      </c>
      <c r="Y93">
        <v>12.92</v>
      </c>
    </row>
    <row r="94" spans="1:25" x14ac:dyDescent="0.25">
      <c r="A94">
        <v>2007</v>
      </c>
      <c r="B94">
        <v>80</v>
      </c>
      <c r="C94">
        <v>500</v>
      </c>
      <c r="D94">
        <v>-2.5990000000000002</v>
      </c>
      <c r="E94">
        <v>-21.26</v>
      </c>
      <c r="F94">
        <v>-2.9390000000000001</v>
      </c>
      <c r="G94">
        <v>-2.5339999999999998</v>
      </c>
      <c r="K94">
        <v>0.77300000000000002</v>
      </c>
      <c r="L94">
        <v>227.3</v>
      </c>
      <c r="M94">
        <v>0</v>
      </c>
      <c r="O94">
        <v>-10.91</v>
      </c>
      <c r="P94">
        <v>-10.28</v>
      </c>
      <c r="Q94">
        <v>3.0640000000000001</v>
      </c>
      <c r="S94">
        <v>3.8370000000000002</v>
      </c>
      <c r="T94">
        <v>0</v>
      </c>
      <c r="U94">
        <v>91.8</v>
      </c>
      <c r="V94">
        <v>985</v>
      </c>
      <c r="W94">
        <v>47.22</v>
      </c>
      <c r="Y94">
        <v>12.88</v>
      </c>
    </row>
    <row r="95" spans="1:25" x14ac:dyDescent="0.25">
      <c r="A95">
        <v>2007</v>
      </c>
      <c r="B95">
        <v>80</v>
      </c>
      <c r="C95">
        <v>600</v>
      </c>
      <c r="D95">
        <v>-2.4319999999999999</v>
      </c>
      <c r="E95">
        <v>-17.04</v>
      </c>
      <c r="F95">
        <v>-2.4740000000000002</v>
      </c>
      <c r="G95">
        <v>-1.9179999999999999</v>
      </c>
      <c r="K95">
        <v>1.139</v>
      </c>
      <c r="L95">
        <v>224.6</v>
      </c>
      <c r="M95">
        <v>0</v>
      </c>
      <c r="O95">
        <v>-10.86</v>
      </c>
      <c r="P95">
        <v>-10.25</v>
      </c>
      <c r="Q95">
        <v>2.9140000000000001</v>
      </c>
      <c r="S95">
        <v>3.7389999999999999</v>
      </c>
      <c r="T95">
        <v>0</v>
      </c>
      <c r="U95">
        <v>89</v>
      </c>
      <c r="V95">
        <v>982</v>
      </c>
      <c r="W95">
        <v>46.91</v>
      </c>
      <c r="Y95">
        <v>12.85</v>
      </c>
    </row>
    <row r="96" spans="1:25" x14ac:dyDescent="0.25">
      <c r="A96">
        <v>2007</v>
      </c>
      <c r="B96">
        <v>80</v>
      </c>
      <c r="C96">
        <v>700</v>
      </c>
      <c r="D96">
        <v>12.04</v>
      </c>
      <c r="E96">
        <v>-3.1469999999999998</v>
      </c>
      <c r="F96">
        <v>-1.9810000000000001</v>
      </c>
      <c r="G96">
        <v>-1.395</v>
      </c>
      <c r="K96">
        <v>1.177</v>
      </c>
      <c r="L96">
        <v>225.1</v>
      </c>
      <c r="M96">
        <v>0</v>
      </c>
      <c r="O96">
        <v>10.74</v>
      </c>
      <c r="P96">
        <v>-3.992</v>
      </c>
      <c r="Q96">
        <v>2.7879999999999998</v>
      </c>
      <c r="S96">
        <v>3.6669999999999998</v>
      </c>
      <c r="T96">
        <v>0</v>
      </c>
      <c r="U96">
        <v>88.7</v>
      </c>
      <c r="V96">
        <v>981</v>
      </c>
      <c r="W96">
        <v>46.74</v>
      </c>
      <c r="Y96">
        <v>12.83</v>
      </c>
    </row>
    <row r="97" spans="1:25" x14ac:dyDescent="0.25">
      <c r="A97">
        <v>2007</v>
      </c>
      <c r="B97">
        <v>80</v>
      </c>
      <c r="C97">
        <v>800</v>
      </c>
      <c r="D97">
        <v>98.8</v>
      </c>
      <c r="E97">
        <v>47.38</v>
      </c>
      <c r="F97">
        <v>-0.86699999999999999</v>
      </c>
      <c r="G97">
        <v>2.7E-2</v>
      </c>
      <c r="K97">
        <v>1.5</v>
      </c>
      <c r="L97">
        <v>213.2</v>
      </c>
      <c r="M97">
        <v>0</v>
      </c>
      <c r="O97">
        <v>115.1</v>
      </c>
      <c r="P97">
        <v>31.21</v>
      </c>
      <c r="Q97">
        <v>2.6869999999999998</v>
      </c>
      <c r="S97">
        <v>3.5670000000000002</v>
      </c>
      <c r="T97">
        <v>0</v>
      </c>
      <c r="U97">
        <v>84</v>
      </c>
      <c r="V97">
        <v>982</v>
      </c>
      <c r="W97">
        <v>46.9</v>
      </c>
      <c r="Y97">
        <v>13.36</v>
      </c>
    </row>
    <row r="98" spans="1:25" x14ac:dyDescent="0.25">
      <c r="A98">
        <v>2007</v>
      </c>
      <c r="B98">
        <v>80</v>
      </c>
      <c r="C98">
        <v>900</v>
      </c>
      <c r="D98">
        <v>184.4</v>
      </c>
      <c r="E98">
        <v>116.3</v>
      </c>
      <c r="F98">
        <v>3.5999999999999997E-2</v>
      </c>
      <c r="G98">
        <v>1.819</v>
      </c>
      <c r="H98">
        <f>AVERAGE(G98:G121)</f>
        <v>5.3364166666666675</v>
      </c>
      <c r="I98">
        <f>MIN(G98:G121)</f>
        <v>1.819</v>
      </c>
      <c r="J98">
        <f>MAX(F98:F121)</f>
        <v>7.39</v>
      </c>
      <c r="K98">
        <v>1.5069999999999999</v>
      </c>
      <c r="L98">
        <v>206.2</v>
      </c>
      <c r="M98">
        <v>0</v>
      </c>
      <c r="N98">
        <f>SUM(M98:M121)</f>
        <v>3.6</v>
      </c>
      <c r="O98">
        <v>226.6</v>
      </c>
      <c r="P98">
        <v>63.67</v>
      </c>
      <c r="Q98">
        <v>2.6480000000000001</v>
      </c>
      <c r="S98">
        <v>3.5760000000000001</v>
      </c>
      <c r="T98">
        <v>0</v>
      </c>
      <c r="U98">
        <v>70.900000000000006</v>
      </c>
      <c r="V98">
        <v>980</v>
      </c>
      <c r="W98">
        <v>46.68</v>
      </c>
      <c r="Y98">
        <v>14.01</v>
      </c>
    </row>
    <row r="99" spans="1:25" x14ac:dyDescent="0.25">
      <c r="A99">
        <v>2007</v>
      </c>
      <c r="B99">
        <v>80</v>
      </c>
      <c r="C99">
        <v>1000</v>
      </c>
      <c r="D99">
        <v>207.8</v>
      </c>
      <c r="E99">
        <v>131.30000000000001</v>
      </c>
      <c r="F99">
        <v>1.607</v>
      </c>
      <c r="G99">
        <v>3.169</v>
      </c>
      <c r="K99">
        <v>1.883</v>
      </c>
      <c r="L99">
        <v>223.9</v>
      </c>
      <c r="M99">
        <v>0</v>
      </c>
      <c r="O99">
        <v>255.1</v>
      </c>
      <c r="P99">
        <v>63.21</v>
      </c>
      <c r="Q99">
        <v>2.625</v>
      </c>
      <c r="S99">
        <v>3.4849999999999999</v>
      </c>
      <c r="T99">
        <v>0</v>
      </c>
      <c r="U99">
        <v>75.900000000000006</v>
      </c>
      <c r="V99">
        <v>985</v>
      </c>
      <c r="W99">
        <v>47.23</v>
      </c>
      <c r="Y99">
        <v>13.93</v>
      </c>
    </row>
    <row r="100" spans="1:25" x14ac:dyDescent="0.25">
      <c r="A100">
        <v>2007</v>
      </c>
      <c r="B100">
        <v>80</v>
      </c>
      <c r="C100">
        <v>1100</v>
      </c>
      <c r="D100">
        <v>182.3</v>
      </c>
      <c r="E100">
        <v>110.9</v>
      </c>
      <c r="F100">
        <v>2.2370000000000001</v>
      </c>
      <c r="G100">
        <v>4.0960000000000001</v>
      </c>
      <c r="K100">
        <v>1.9019999999999999</v>
      </c>
      <c r="L100">
        <v>219.1</v>
      </c>
      <c r="M100">
        <v>0</v>
      </c>
      <c r="O100">
        <v>222.6</v>
      </c>
      <c r="P100">
        <v>51.78</v>
      </c>
      <c r="Q100">
        <v>2.738</v>
      </c>
      <c r="S100">
        <v>3.395</v>
      </c>
      <c r="T100">
        <v>0</v>
      </c>
      <c r="U100">
        <v>72.5</v>
      </c>
      <c r="V100">
        <v>986</v>
      </c>
      <c r="W100">
        <v>47.28</v>
      </c>
      <c r="Y100">
        <v>13.79</v>
      </c>
    </row>
    <row r="101" spans="1:25" x14ac:dyDescent="0.25">
      <c r="A101">
        <v>2007</v>
      </c>
      <c r="B101">
        <v>80</v>
      </c>
      <c r="C101">
        <v>1200</v>
      </c>
      <c r="D101">
        <v>258.10000000000002</v>
      </c>
      <c r="E101">
        <v>161.69999999999999</v>
      </c>
      <c r="F101">
        <v>2.82</v>
      </c>
      <c r="G101">
        <v>4.9219999999999997</v>
      </c>
      <c r="K101">
        <v>2.419</v>
      </c>
      <c r="L101">
        <v>218.3</v>
      </c>
      <c r="M101">
        <v>0</v>
      </c>
      <c r="O101">
        <v>316.5</v>
      </c>
      <c r="P101">
        <v>76.8</v>
      </c>
      <c r="Q101">
        <v>3.0649999999999999</v>
      </c>
      <c r="S101">
        <v>3.3660000000000001</v>
      </c>
      <c r="T101">
        <v>0</v>
      </c>
      <c r="U101">
        <v>70</v>
      </c>
      <c r="V101">
        <v>980</v>
      </c>
      <c r="W101">
        <v>46.65</v>
      </c>
      <c r="Y101">
        <v>13.87</v>
      </c>
    </row>
    <row r="102" spans="1:25" x14ac:dyDescent="0.25">
      <c r="A102">
        <v>2007</v>
      </c>
      <c r="B102">
        <v>80</v>
      </c>
      <c r="C102">
        <v>1300</v>
      </c>
      <c r="D102">
        <v>280.7</v>
      </c>
      <c r="E102">
        <v>173.7</v>
      </c>
      <c r="F102">
        <v>3.4430000000000001</v>
      </c>
      <c r="G102">
        <v>5.7119999999999997</v>
      </c>
      <c r="K102">
        <v>2.64</v>
      </c>
      <c r="L102">
        <v>216.9</v>
      </c>
      <c r="M102">
        <v>0</v>
      </c>
      <c r="O102">
        <v>341.4</v>
      </c>
      <c r="P102">
        <v>83.3</v>
      </c>
      <c r="Q102">
        <v>3.56</v>
      </c>
      <c r="S102">
        <v>3.4460000000000002</v>
      </c>
      <c r="T102">
        <v>0</v>
      </c>
      <c r="U102">
        <v>68.69</v>
      </c>
      <c r="V102">
        <v>977</v>
      </c>
      <c r="W102">
        <v>46.33</v>
      </c>
      <c r="Y102">
        <v>13.95</v>
      </c>
    </row>
    <row r="103" spans="1:25" x14ac:dyDescent="0.25">
      <c r="A103">
        <v>2007</v>
      </c>
      <c r="B103">
        <v>80</v>
      </c>
      <c r="C103">
        <v>1400</v>
      </c>
      <c r="D103">
        <v>231.6</v>
      </c>
      <c r="E103">
        <v>138.80000000000001</v>
      </c>
      <c r="F103">
        <v>3.798</v>
      </c>
      <c r="G103">
        <v>5.9139999999999997</v>
      </c>
      <c r="K103">
        <v>2.536</v>
      </c>
      <c r="L103">
        <v>220</v>
      </c>
      <c r="M103">
        <v>0</v>
      </c>
      <c r="O103">
        <v>286.10000000000002</v>
      </c>
      <c r="P103">
        <v>69.239999999999995</v>
      </c>
      <c r="Q103">
        <v>4.0579999999999998</v>
      </c>
      <c r="S103">
        <v>3.456</v>
      </c>
      <c r="T103">
        <v>0</v>
      </c>
      <c r="U103">
        <v>71</v>
      </c>
      <c r="V103">
        <v>980</v>
      </c>
      <c r="W103">
        <v>46.61</v>
      </c>
      <c r="Y103">
        <v>13.91</v>
      </c>
    </row>
    <row r="104" spans="1:25" x14ac:dyDescent="0.25">
      <c r="A104">
        <v>2007</v>
      </c>
      <c r="B104">
        <v>80</v>
      </c>
      <c r="C104">
        <v>1500</v>
      </c>
      <c r="D104">
        <v>141.19999999999999</v>
      </c>
      <c r="E104">
        <v>81.2</v>
      </c>
      <c r="F104">
        <v>3.8450000000000002</v>
      </c>
      <c r="G104">
        <v>5.17</v>
      </c>
      <c r="K104">
        <v>1.7729999999999999</v>
      </c>
      <c r="L104">
        <v>214</v>
      </c>
      <c r="M104">
        <v>0.2</v>
      </c>
      <c r="O104">
        <v>178.1</v>
      </c>
      <c r="P104">
        <v>27.59</v>
      </c>
      <c r="Q104">
        <v>4.5449999999999999</v>
      </c>
      <c r="S104">
        <v>3.5219999999999998</v>
      </c>
      <c r="T104">
        <v>0</v>
      </c>
      <c r="U104">
        <v>81.099999999999994</v>
      </c>
      <c r="V104">
        <v>988</v>
      </c>
      <c r="W104">
        <v>47.51</v>
      </c>
      <c r="Y104">
        <v>13.75</v>
      </c>
    </row>
    <row r="105" spans="1:25" x14ac:dyDescent="0.25">
      <c r="A105">
        <v>2007</v>
      </c>
      <c r="B105">
        <v>80</v>
      </c>
      <c r="C105">
        <v>1600</v>
      </c>
      <c r="D105">
        <v>124.4</v>
      </c>
      <c r="E105">
        <v>73.400000000000006</v>
      </c>
      <c r="F105">
        <v>3.7879999999999998</v>
      </c>
      <c r="G105">
        <v>4.7839999999999998</v>
      </c>
      <c r="K105">
        <v>2.0169999999999999</v>
      </c>
      <c r="L105">
        <v>210</v>
      </c>
      <c r="M105">
        <v>0.2</v>
      </c>
      <c r="O105">
        <v>155.6</v>
      </c>
      <c r="P105">
        <v>22.42</v>
      </c>
      <c r="Q105">
        <v>4.9610000000000003</v>
      </c>
      <c r="S105">
        <v>3.7149999999999999</v>
      </c>
      <c r="T105">
        <v>0</v>
      </c>
      <c r="U105">
        <v>85.5</v>
      </c>
      <c r="V105">
        <v>992</v>
      </c>
      <c r="W105">
        <v>48.04</v>
      </c>
      <c r="Y105">
        <v>13.68</v>
      </c>
    </row>
    <row r="106" spans="1:25" x14ac:dyDescent="0.25">
      <c r="A106">
        <v>2007</v>
      </c>
      <c r="B106">
        <v>80</v>
      </c>
      <c r="C106">
        <v>1700</v>
      </c>
      <c r="D106">
        <v>39.6</v>
      </c>
      <c r="E106">
        <v>15.87</v>
      </c>
      <c r="F106">
        <v>3.1669999999999998</v>
      </c>
      <c r="G106">
        <v>3.98</v>
      </c>
      <c r="K106">
        <v>2.2400000000000002</v>
      </c>
      <c r="L106">
        <v>216.7</v>
      </c>
      <c r="M106">
        <v>1.8</v>
      </c>
      <c r="O106">
        <v>44.87</v>
      </c>
      <c r="P106">
        <v>0.434</v>
      </c>
      <c r="Q106">
        <v>5.1909999999999998</v>
      </c>
      <c r="S106">
        <v>3.8279999999999998</v>
      </c>
      <c r="T106">
        <v>0</v>
      </c>
      <c r="U106">
        <v>87.7</v>
      </c>
      <c r="V106">
        <v>999</v>
      </c>
      <c r="W106">
        <v>48.83</v>
      </c>
      <c r="Y106">
        <v>13.59</v>
      </c>
    </row>
    <row r="107" spans="1:25" x14ac:dyDescent="0.25">
      <c r="A107">
        <v>2007</v>
      </c>
      <c r="B107">
        <v>80</v>
      </c>
      <c r="C107">
        <v>1800</v>
      </c>
      <c r="D107">
        <v>41.9</v>
      </c>
      <c r="E107">
        <v>20.87</v>
      </c>
      <c r="F107">
        <v>3.133</v>
      </c>
      <c r="G107">
        <v>3.8889999999999998</v>
      </c>
      <c r="K107">
        <v>2.6859999999999999</v>
      </c>
      <c r="L107">
        <v>215.8</v>
      </c>
      <c r="M107">
        <v>0</v>
      </c>
      <c r="O107">
        <v>44.76</v>
      </c>
      <c r="P107">
        <v>0.27600000000000002</v>
      </c>
      <c r="Q107">
        <v>5.2850000000000001</v>
      </c>
      <c r="S107">
        <v>3.9510000000000001</v>
      </c>
      <c r="T107">
        <v>0</v>
      </c>
      <c r="U107">
        <v>88.5</v>
      </c>
      <c r="V107">
        <v>1017</v>
      </c>
      <c r="W107">
        <v>51.07</v>
      </c>
      <c r="Y107">
        <v>13.49</v>
      </c>
    </row>
    <row r="108" spans="1:25" x14ac:dyDescent="0.25">
      <c r="A108">
        <v>2007</v>
      </c>
      <c r="B108">
        <v>80</v>
      </c>
      <c r="C108">
        <v>1900</v>
      </c>
      <c r="D108">
        <v>3.7090000000000001</v>
      </c>
      <c r="E108">
        <v>-2.871</v>
      </c>
      <c r="F108">
        <v>3.2240000000000002</v>
      </c>
      <c r="G108">
        <v>3.9860000000000002</v>
      </c>
      <c r="K108">
        <v>2.621</v>
      </c>
      <c r="L108">
        <v>215.1</v>
      </c>
      <c r="M108">
        <v>0</v>
      </c>
      <c r="O108">
        <v>-6.0979999999999999</v>
      </c>
      <c r="P108">
        <v>-9.74</v>
      </c>
      <c r="Q108">
        <v>5.3339999999999996</v>
      </c>
      <c r="S108">
        <v>4.1029999999999998</v>
      </c>
      <c r="T108">
        <v>0</v>
      </c>
      <c r="U108">
        <v>88.5</v>
      </c>
      <c r="V108">
        <v>1038</v>
      </c>
      <c r="W108">
        <v>53.9</v>
      </c>
      <c r="Y108">
        <v>13.4</v>
      </c>
    </row>
    <row r="109" spans="1:25" x14ac:dyDescent="0.25">
      <c r="A109">
        <v>2007</v>
      </c>
      <c r="B109">
        <v>80</v>
      </c>
      <c r="C109">
        <v>2000</v>
      </c>
      <c r="D109">
        <v>-0.57199999999999995</v>
      </c>
      <c r="E109">
        <v>-5.6180000000000003</v>
      </c>
      <c r="F109">
        <v>3.4260000000000002</v>
      </c>
      <c r="G109">
        <v>4.04</v>
      </c>
      <c r="K109">
        <v>2.5489999999999999</v>
      </c>
      <c r="L109">
        <v>218.2</v>
      </c>
      <c r="M109">
        <v>0.6</v>
      </c>
      <c r="O109">
        <v>-11.51</v>
      </c>
      <c r="P109">
        <v>-10.85</v>
      </c>
      <c r="Q109">
        <v>5.2969999999999997</v>
      </c>
      <c r="S109">
        <v>4.22</v>
      </c>
      <c r="T109">
        <v>0</v>
      </c>
      <c r="U109">
        <v>90.7</v>
      </c>
      <c r="V109">
        <v>1036</v>
      </c>
      <c r="W109">
        <v>53.63</v>
      </c>
      <c r="Y109">
        <v>13.31</v>
      </c>
    </row>
    <row r="110" spans="1:25" x14ac:dyDescent="0.25">
      <c r="A110">
        <v>2007</v>
      </c>
      <c r="B110">
        <v>80</v>
      </c>
      <c r="C110">
        <v>2100</v>
      </c>
      <c r="D110">
        <v>-0.42199999999999999</v>
      </c>
      <c r="E110">
        <v>-3.8420000000000001</v>
      </c>
      <c r="F110">
        <v>3.702</v>
      </c>
      <c r="G110">
        <v>4.24</v>
      </c>
      <c r="K110">
        <v>1.9730000000000001</v>
      </c>
      <c r="L110">
        <v>222.8</v>
      </c>
      <c r="M110">
        <v>0</v>
      </c>
      <c r="O110">
        <v>-11.5</v>
      </c>
      <c r="P110">
        <v>-10.85</v>
      </c>
      <c r="Q110">
        <v>5.2290000000000001</v>
      </c>
      <c r="S110">
        <v>4.2530000000000001</v>
      </c>
      <c r="T110">
        <v>0</v>
      </c>
      <c r="U110">
        <v>91.9</v>
      </c>
      <c r="V110">
        <v>1037</v>
      </c>
      <c r="W110">
        <v>53.78</v>
      </c>
      <c r="Y110">
        <v>13.24</v>
      </c>
    </row>
    <row r="111" spans="1:25" x14ac:dyDescent="0.25">
      <c r="A111">
        <v>2007</v>
      </c>
      <c r="B111">
        <v>80</v>
      </c>
      <c r="C111">
        <v>2200</v>
      </c>
      <c r="D111">
        <v>-9.9000000000000005E-2</v>
      </c>
      <c r="E111">
        <v>-2.387</v>
      </c>
      <c r="F111">
        <v>4.1509999999999998</v>
      </c>
      <c r="G111">
        <v>4.657</v>
      </c>
      <c r="K111">
        <v>1.702</v>
      </c>
      <c r="L111">
        <v>223.2</v>
      </c>
      <c r="M111">
        <v>0</v>
      </c>
      <c r="O111">
        <v>-11.5</v>
      </c>
      <c r="P111">
        <v>-10.85</v>
      </c>
      <c r="Q111">
        <v>5.1660000000000004</v>
      </c>
      <c r="S111">
        <v>4.3319999999999999</v>
      </c>
      <c r="T111">
        <v>0</v>
      </c>
      <c r="U111">
        <v>92.5</v>
      </c>
      <c r="V111">
        <v>1044</v>
      </c>
      <c r="W111">
        <v>54.81</v>
      </c>
      <c r="Y111">
        <v>13.16</v>
      </c>
    </row>
    <row r="112" spans="1:25" x14ac:dyDescent="0.25">
      <c r="A112">
        <v>2007</v>
      </c>
      <c r="B112">
        <v>80</v>
      </c>
      <c r="C112">
        <v>2300</v>
      </c>
      <c r="D112">
        <v>-0.48199999999999998</v>
      </c>
      <c r="E112">
        <v>-3.8180000000000001</v>
      </c>
      <c r="F112">
        <v>4.556</v>
      </c>
      <c r="G112">
        <v>5.0609999999999999</v>
      </c>
      <c r="K112">
        <v>1.756</v>
      </c>
      <c r="L112">
        <v>223.5</v>
      </c>
      <c r="M112">
        <v>0</v>
      </c>
      <c r="O112">
        <v>-11.5</v>
      </c>
      <c r="P112">
        <v>-10.85</v>
      </c>
      <c r="Q112">
        <v>5.149</v>
      </c>
      <c r="S112">
        <v>4.3330000000000002</v>
      </c>
      <c r="T112">
        <v>0</v>
      </c>
      <c r="U112">
        <v>92.7</v>
      </c>
      <c r="V112">
        <v>1037</v>
      </c>
      <c r="W112">
        <v>53.78</v>
      </c>
      <c r="Y112">
        <v>13.09</v>
      </c>
    </row>
    <row r="113" spans="1:25" x14ac:dyDescent="0.25">
      <c r="A113">
        <v>2007</v>
      </c>
      <c r="B113">
        <v>80</v>
      </c>
      <c r="C113">
        <v>2400</v>
      </c>
      <c r="D113">
        <v>-0.58399999999999996</v>
      </c>
      <c r="E113">
        <v>-4.306</v>
      </c>
      <c r="F113">
        <v>5.0730000000000004</v>
      </c>
      <c r="G113">
        <v>5.5670000000000002</v>
      </c>
      <c r="K113">
        <v>1.9359999999999999</v>
      </c>
      <c r="L113">
        <v>224.8</v>
      </c>
      <c r="M113">
        <v>0</v>
      </c>
      <c r="O113">
        <v>-11.51</v>
      </c>
      <c r="P113">
        <v>-10.85</v>
      </c>
      <c r="Q113">
        <v>5.1150000000000002</v>
      </c>
      <c r="S113">
        <v>4.3470000000000004</v>
      </c>
      <c r="T113">
        <v>0</v>
      </c>
      <c r="U113">
        <v>93</v>
      </c>
      <c r="V113">
        <v>1023</v>
      </c>
      <c r="W113">
        <v>51.83</v>
      </c>
      <c r="Y113">
        <v>13.03</v>
      </c>
    </row>
    <row r="114" spans="1:25" x14ac:dyDescent="0.25">
      <c r="A114">
        <v>2007</v>
      </c>
      <c r="B114">
        <v>81</v>
      </c>
      <c r="C114">
        <v>100</v>
      </c>
      <c r="D114">
        <v>-0.11799999999999999</v>
      </c>
      <c r="E114">
        <v>1.0409999999999999</v>
      </c>
      <c r="F114">
        <v>5.9139999999999997</v>
      </c>
      <c r="G114">
        <v>6.4160000000000004</v>
      </c>
      <c r="K114">
        <v>1.3660000000000001</v>
      </c>
      <c r="L114">
        <v>226.8</v>
      </c>
      <c r="M114">
        <v>0</v>
      </c>
      <c r="O114">
        <v>-11.5</v>
      </c>
      <c r="P114">
        <v>-10.85</v>
      </c>
      <c r="Q114">
        <v>5.1139999999999999</v>
      </c>
      <c r="S114">
        <v>4.4219999999999997</v>
      </c>
      <c r="T114">
        <v>0</v>
      </c>
      <c r="U114">
        <v>93.1</v>
      </c>
      <c r="V114">
        <v>1021</v>
      </c>
      <c r="W114">
        <v>51.6</v>
      </c>
      <c r="Y114">
        <v>12.98</v>
      </c>
    </row>
    <row r="115" spans="1:25" x14ac:dyDescent="0.25">
      <c r="A115">
        <v>2007</v>
      </c>
      <c r="B115">
        <v>81</v>
      </c>
      <c r="C115">
        <v>200</v>
      </c>
      <c r="D115">
        <v>-0.21</v>
      </c>
      <c r="E115">
        <v>1.0740000000000001</v>
      </c>
      <c r="F115">
        <v>6.2359999999999998</v>
      </c>
      <c r="G115">
        <v>6.7210000000000001</v>
      </c>
      <c r="K115">
        <v>1.355</v>
      </c>
      <c r="L115">
        <v>226.7</v>
      </c>
      <c r="M115">
        <v>0</v>
      </c>
      <c r="O115">
        <v>-11.5</v>
      </c>
      <c r="P115">
        <v>-10.85</v>
      </c>
      <c r="Q115">
        <v>5.0999999999999996</v>
      </c>
      <c r="S115">
        <v>4.3689999999999998</v>
      </c>
      <c r="T115">
        <v>0</v>
      </c>
      <c r="U115">
        <v>93.4</v>
      </c>
      <c r="V115">
        <v>1018</v>
      </c>
      <c r="W115">
        <v>51.18</v>
      </c>
      <c r="Y115">
        <v>12.93</v>
      </c>
    </row>
    <row r="116" spans="1:25" x14ac:dyDescent="0.25">
      <c r="A116">
        <v>2007</v>
      </c>
      <c r="B116">
        <v>81</v>
      </c>
      <c r="C116">
        <v>300</v>
      </c>
      <c r="D116">
        <v>-0.40600000000000003</v>
      </c>
      <c r="E116">
        <v>0.73899999999999999</v>
      </c>
      <c r="F116">
        <v>6.7050000000000001</v>
      </c>
      <c r="G116">
        <v>7.17</v>
      </c>
      <c r="K116">
        <v>1.6519999999999999</v>
      </c>
      <c r="L116">
        <v>227.3</v>
      </c>
      <c r="M116">
        <v>0.4</v>
      </c>
      <c r="O116">
        <v>-11.5</v>
      </c>
      <c r="P116">
        <v>-10.84</v>
      </c>
      <c r="Q116">
        <v>5.1340000000000003</v>
      </c>
      <c r="S116">
        <v>4.3419999999999996</v>
      </c>
      <c r="T116">
        <v>0</v>
      </c>
      <c r="U116">
        <v>93.8</v>
      </c>
      <c r="V116">
        <v>1019</v>
      </c>
      <c r="W116">
        <v>51.27</v>
      </c>
      <c r="Y116">
        <v>12.9</v>
      </c>
    </row>
    <row r="117" spans="1:25" x14ac:dyDescent="0.25">
      <c r="A117">
        <v>2007</v>
      </c>
      <c r="B117">
        <v>81</v>
      </c>
      <c r="C117">
        <v>400</v>
      </c>
      <c r="D117">
        <v>-0.113</v>
      </c>
      <c r="E117">
        <v>1.7729999999999999</v>
      </c>
      <c r="F117">
        <v>7.21</v>
      </c>
      <c r="G117">
        <v>7.66</v>
      </c>
      <c r="K117">
        <v>1.51</v>
      </c>
      <c r="L117">
        <v>227.6</v>
      </c>
      <c r="M117">
        <v>0.4</v>
      </c>
      <c r="O117">
        <v>-11.5</v>
      </c>
      <c r="P117">
        <v>-10.84</v>
      </c>
      <c r="Q117">
        <v>5.2050000000000001</v>
      </c>
      <c r="S117">
        <v>4.4109999999999996</v>
      </c>
      <c r="T117">
        <v>0</v>
      </c>
      <c r="U117">
        <v>94.1</v>
      </c>
      <c r="V117">
        <v>1020</v>
      </c>
      <c r="W117">
        <v>51.41</v>
      </c>
      <c r="Y117">
        <v>12.87</v>
      </c>
    </row>
    <row r="118" spans="1:25" x14ac:dyDescent="0.25">
      <c r="A118">
        <v>2007</v>
      </c>
      <c r="B118">
        <v>81</v>
      </c>
      <c r="C118">
        <v>500</v>
      </c>
      <c r="D118">
        <v>-0.215</v>
      </c>
      <c r="E118">
        <v>0.81</v>
      </c>
      <c r="F118">
        <v>7.39</v>
      </c>
      <c r="G118">
        <v>7.85</v>
      </c>
      <c r="K118">
        <v>2.1739999999999999</v>
      </c>
      <c r="L118">
        <v>228.7</v>
      </c>
      <c r="M118">
        <v>0</v>
      </c>
      <c r="O118">
        <v>-11.5</v>
      </c>
      <c r="P118">
        <v>-10.84</v>
      </c>
      <c r="Q118">
        <v>5.2990000000000004</v>
      </c>
      <c r="S118">
        <v>4.45</v>
      </c>
      <c r="T118">
        <v>0</v>
      </c>
      <c r="U118">
        <v>93.9</v>
      </c>
      <c r="V118">
        <v>1020</v>
      </c>
      <c r="W118">
        <v>51.46</v>
      </c>
      <c r="Y118">
        <v>12.86</v>
      </c>
    </row>
    <row r="119" spans="1:25" x14ac:dyDescent="0.25">
      <c r="A119">
        <v>2007</v>
      </c>
      <c r="B119">
        <v>81</v>
      </c>
      <c r="C119">
        <v>600</v>
      </c>
      <c r="D119">
        <v>-5.0000000000000001E-3</v>
      </c>
      <c r="E119">
        <v>-0.98</v>
      </c>
      <c r="F119">
        <v>6.8380000000000001</v>
      </c>
      <c r="G119">
        <v>7.29</v>
      </c>
      <c r="K119">
        <v>2.3849999999999998</v>
      </c>
      <c r="L119">
        <v>265.39999999999998</v>
      </c>
      <c r="M119">
        <v>0</v>
      </c>
      <c r="O119">
        <v>-11.5</v>
      </c>
      <c r="P119">
        <v>-10.84</v>
      </c>
      <c r="Q119">
        <v>5.3810000000000002</v>
      </c>
      <c r="S119">
        <v>4.45</v>
      </c>
      <c r="T119">
        <v>0</v>
      </c>
      <c r="U119">
        <v>93.9</v>
      </c>
      <c r="V119">
        <v>997</v>
      </c>
      <c r="W119">
        <v>48.62</v>
      </c>
      <c r="Y119">
        <v>12.85</v>
      </c>
    </row>
    <row r="120" spans="1:25" x14ac:dyDescent="0.25">
      <c r="A120">
        <v>2007</v>
      </c>
      <c r="B120">
        <v>81</v>
      </c>
      <c r="C120">
        <v>700</v>
      </c>
      <c r="D120">
        <v>4.2110000000000003</v>
      </c>
      <c r="E120">
        <v>0.89</v>
      </c>
      <c r="F120">
        <v>6.4610000000000003</v>
      </c>
      <c r="G120">
        <v>6.9880000000000004</v>
      </c>
      <c r="K120">
        <v>1.08</v>
      </c>
      <c r="L120">
        <v>240.3</v>
      </c>
      <c r="M120">
        <v>0</v>
      </c>
      <c r="O120">
        <v>-4.2549999999999999</v>
      </c>
      <c r="P120">
        <v>-9.32</v>
      </c>
      <c r="Q120">
        <v>5.4539999999999997</v>
      </c>
      <c r="S120">
        <v>4.47</v>
      </c>
      <c r="T120">
        <v>0</v>
      </c>
      <c r="U120">
        <v>92.9</v>
      </c>
      <c r="V120">
        <v>988</v>
      </c>
      <c r="W120">
        <v>47.58</v>
      </c>
      <c r="Y120">
        <v>12.85</v>
      </c>
    </row>
    <row r="121" spans="1:25" x14ac:dyDescent="0.25">
      <c r="A121">
        <v>2007</v>
      </c>
      <c r="B121">
        <v>81</v>
      </c>
      <c r="C121">
        <v>800</v>
      </c>
      <c r="D121">
        <v>42.66</v>
      </c>
      <c r="E121">
        <v>25.02</v>
      </c>
      <c r="F121">
        <v>6.1429999999999998</v>
      </c>
      <c r="G121">
        <v>6.9729999999999999</v>
      </c>
      <c r="K121">
        <v>2.621</v>
      </c>
      <c r="L121">
        <v>273.2</v>
      </c>
      <c r="M121">
        <v>0</v>
      </c>
      <c r="O121">
        <v>46.81</v>
      </c>
      <c r="P121">
        <v>0.32400000000000001</v>
      </c>
      <c r="Q121">
        <v>5.508</v>
      </c>
      <c r="S121">
        <v>4.5430000000000001</v>
      </c>
      <c r="T121">
        <v>0</v>
      </c>
      <c r="U121">
        <v>88.9</v>
      </c>
      <c r="V121">
        <v>992</v>
      </c>
      <c r="W121">
        <v>47.94</v>
      </c>
      <c r="Y121">
        <v>12.93</v>
      </c>
    </row>
    <row r="122" spans="1:25" x14ac:dyDescent="0.25">
      <c r="A122">
        <v>2007</v>
      </c>
      <c r="B122">
        <v>81</v>
      </c>
      <c r="C122">
        <v>900</v>
      </c>
      <c r="D122">
        <v>91.8</v>
      </c>
      <c r="E122">
        <v>58.92</v>
      </c>
      <c r="F122">
        <v>6.306</v>
      </c>
      <c r="G122">
        <v>7.36</v>
      </c>
      <c r="H122">
        <f>AVERAGE(G122:G145)</f>
        <v>7.7535833333333342</v>
      </c>
      <c r="I122">
        <f>MIN(G122:G145)</f>
        <v>3.8879999999999999</v>
      </c>
      <c r="J122">
        <f>MAX(F122:F145)</f>
        <v>8.91</v>
      </c>
      <c r="K122">
        <v>2.4500000000000002</v>
      </c>
      <c r="L122">
        <v>298</v>
      </c>
      <c r="M122">
        <v>0</v>
      </c>
      <c r="N122">
        <f>SUM(M122:M145)</f>
        <v>0</v>
      </c>
      <c r="O122">
        <v>111.1</v>
      </c>
      <c r="P122">
        <v>13.76</v>
      </c>
      <c r="Q122">
        <v>5.5949999999999998</v>
      </c>
      <c r="S122">
        <v>4.5629999999999997</v>
      </c>
      <c r="T122">
        <v>0</v>
      </c>
      <c r="U122">
        <v>86.1</v>
      </c>
      <c r="V122">
        <v>985</v>
      </c>
      <c r="W122">
        <v>47.18</v>
      </c>
      <c r="Y122">
        <v>13.33</v>
      </c>
    </row>
    <row r="123" spans="1:25" x14ac:dyDescent="0.25">
      <c r="A123">
        <v>2007</v>
      </c>
      <c r="B123">
        <v>81</v>
      </c>
      <c r="C123">
        <v>1000</v>
      </c>
      <c r="D123">
        <v>254.5</v>
      </c>
      <c r="E123">
        <v>167</v>
      </c>
      <c r="F123">
        <v>6.9630000000000001</v>
      </c>
      <c r="G123">
        <v>8.35</v>
      </c>
      <c r="K123">
        <v>2.839</v>
      </c>
      <c r="L123">
        <v>287.60000000000002</v>
      </c>
      <c r="M123">
        <v>0</v>
      </c>
      <c r="O123">
        <v>315.3</v>
      </c>
      <c r="P123">
        <v>68.28</v>
      </c>
      <c r="Q123">
        <v>5.7880000000000003</v>
      </c>
      <c r="S123">
        <v>4.6760000000000002</v>
      </c>
      <c r="T123">
        <v>0</v>
      </c>
      <c r="U123">
        <v>82.5</v>
      </c>
      <c r="V123">
        <v>974</v>
      </c>
      <c r="W123">
        <v>45.97</v>
      </c>
      <c r="Y123">
        <v>14.19</v>
      </c>
    </row>
    <row r="124" spans="1:25" x14ac:dyDescent="0.25">
      <c r="A124">
        <v>2007</v>
      </c>
      <c r="B124">
        <v>81</v>
      </c>
      <c r="C124">
        <v>1100</v>
      </c>
      <c r="D124">
        <v>296.2</v>
      </c>
      <c r="E124">
        <v>192</v>
      </c>
      <c r="F124">
        <v>7.84</v>
      </c>
      <c r="G124">
        <v>9.5299999999999994</v>
      </c>
      <c r="K124">
        <v>1.9139999999999999</v>
      </c>
      <c r="L124">
        <v>279.3</v>
      </c>
      <c r="M124">
        <v>0</v>
      </c>
      <c r="O124">
        <v>361.6</v>
      </c>
      <c r="P124">
        <v>84.3</v>
      </c>
      <c r="Q124">
        <v>6.0860000000000003</v>
      </c>
      <c r="S124">
        <v>4.7290000000000001</v>
      </c>
      <c r="T124">
        <v>0</v>
      </c>
      <c r="U124">
        <v>79.7</v>
      </c>
      <c r="V124">
        <v>968</v>
      </c>
      <c r="W124">
        <v>45.35</v>
      </c>
      <c r="Y124">
        <v>14.21</v>
      </c>
    </row>
    <row r="125" spans="1:25" x14ac:dyDescent="0.25">
      <c r="A125">
        <v>2007</v>
      </c>
      <c r="B125">
        <v>81</v>
      </c>
      <c r="C125">
        <v>1200</v>
      </c>
      <c r="D125">
        <v>140.4</v>
      </c>
      <c r="E125">
        <v>84.5</v>
      </c>
      <c r="F125">
        <v>8.0500000000000007</v>
      </c>
      <c r="G125">
        <v>9.6</v>
      </c>
      <c r="K125">
        <v>1.423</v>
      </c>
      <c r="L125">
        <v>24.15</v>
      </c>
      <c r="M125">
        <v>0</v>
      </c>
      <c r="O125">
        <v>174.1</v>
      </c>
      <c r="P125">
        <v>36.67</v>
      </c>
      <c r="Q125">
        <v>6.4450000000000003</v>
      </c>
      <c r="S125">
        <v>4.7759999999999998</v>
      </c>
      <c r="T125">
        <v>0</v>
      </c>
      <c r="U125">
        <v>81.3</v>
      </c>
      <c r="V125">
        <v>980</v>
      </c>
      <c r="W125">
        <v>46.68</v>
      </c>
      <c r="Y125">
        <v>13.77</v>
      </c>
    </row>
    <row r="126" spans="1:25" x14ac:dyDescent="0.25">
      <c r="A126">
        <v>2007</v>
      </c>
      <c r="B126">
        <v>81</v>
      </c>
      <c r="C126">
        <v>1300</v>
      </c>
      <c r="D126">
        <v>120.4</v>
      </c>
      <c r="E126">
        <v>71.2</v>
      </c>
      <c r="F126">
        <v>8.3699999999999992</v>
      </c>
      <c r="G126">
        <v>9.81</v>
      </c>
      <c r="K126">
        <v>1.157</v>
      </c>
      <c r="L126">
        <v>71.2</v>
      </c>
      <c r="M126">
        <v>0</v>
      </c>
      <c r="O126">
        <v>148.19999999999999</v>
      </c>
      <c r="P126">
        <v>29.82</v>
      </c>
      <c r="Q126">
        <v>6.782</v>
      </c>
      <c r="S126">
        <v>4.843</v>
      </c>
      <c r="T126">
        <v>0</v>
      </c>
      <c r="U126">
        <v>82.8</v>
      </c>
      <c r="V126">
        <v>985</v>
      </c>
      <c r="W126">
        <v>47.19</v>
      </c>
      <c r="Y126">
        <v>13.66</v>
      </c>
    </row>
    <row r="127" spans="1:25" x14ac:dyDescent="0.25">
      <c r="A127">
        <v>2007</v>
      </c>
      <c r="B127">
        <v>81</v>
      </c>
      <c r="C127">
        <v>1400</v>
      </c>
      <c r="D127">
        <v>213.3</v>
      </c>
      <c r="E127">
        <v>135.19999999999999</v>
      </c>
      <c r="F127">
        <v>8.52</v>
      </c>
      <c r="G127">
        <v>10.25</v>
      </c>
      <c r="K127">
        <v>1.37</v>
      </c>
      <c r="L127">
        <v>67.58</v>
      </c>
      <c r="M127">
        <v>0</v>
      </c>
      <c r="O127">
        <v>261.39999999999998</v>
      </c>
      <c r="P127">
        <v>60.85</v>
      </c>
      <c r="Q127">
        <v>7.05</v>
      </c>
      <c r="S127">
        <v>4.9969999999999999</v>
      </c>
      <c r="T127">
        <v>0</v>
      </c>
      <c r="U127">
        <v>79.7</v>
      </c>
      <c r="V127">
        <v>984</v>
      </c>
      <c r="W127">
        <v>47.12</v>
      </c>
      <c r="Y127">
        <v>13.83</v>
      </c>
    </row>
    <row r="128" spans="1:25" x14ac:dyDescent="0.25">
      <c r="A128">
        <v>2007</v>
      </c>
      <c r="B128">
        <v>81</v>
      </c>
      <c r="C128">
        <v>1500</v>
      </c>
      <c r="D128">
        <v>223.5</v>
      </c>
      <c r="E128">
        <v>138.30000000000001</v>
      </c>
      <c r="F128">
        <v>8.91</v>
      </c>
      <c r="G128">
        <v>10.75</v>
      </c>
      <c r="K128">
        <v>1.252</v>
      </c>
      <c r="L128">
        <v>60.48</v>
      </c>
      <c r="M128">
        <v>0</v>
      </c>
      <c r="O128">
        <v>268.60000000000002</v>
      </c>
      <c r="P128">
        <v>61.25</v>
      </c>
      <c r="Q128">
        <v>7.36</v>
      </c>
      <c r="S128">
        <v>5.1719999999999997</v>
      </c>
      <c r="T128">
        <v>0</v>
      </c>
      <c r="U128">
        <v>78.8</v>
      </c>
      <c r="V128">
        <v>984</v>
      </c>
      <c r="W128">
        <v>47.06</v>
      </c>
      <c r="Y128">
        <v>13.85</v>
      </c>
    </row>
    <row r="129" spans="1:25" x14ac:dyDescent="0.25">
      <c r="A129">
        <v>2007</v>
      </c>
      <c r="B129">
        <v>81</v>
      </c>
      <c r="C129">
        <v>1600</v>
      </c>
      <c r="D129">
        <v>132.4</v>
      </c>
      <c r="E129">
        <v>76.5</v>
      </c>
      <c r="F129">
        <v>8.66</v>
      </c>
      <c r="G129">
        <v>10.38</v>
      </c>
      <c r="K129">
        <v>1.359</v>
      </c>
      <c r="L129">
        <v>79.3</v>
      </c>
      <c r="M129">
        <v>0</v>
      </c>
      <c r="O129">
        <v>158</v>
      </c>
      <c r="P129">
        <v>34.340000000000003</v>
      </c>
      <c r="Q129">
        <v>7.73</v>
      </c>
      <c r="S129">
        <v>5.31</v>
      </c>
      <c r="T129">
        <v>0</v>
      </c>
      <c r="U129">
        <v>79.8</v>
      </c>
      <c r="V129">
        <v>983</v>
      </c>
      <c r="W129">
        <v>46.94</v>
      </c>
      <c r="Y129">
        <v>13.73</v>
      </c>
    </row>
    <row r="130" spans="1:25" x14ac:dyDescent="0.25">
      <c r="A130">
        <v>2007</v>
      </c>
      <c r="B130">
        <v>81</v>
      </c>
      <c r="C130">
        <v>1700</v>
      </c>
      <c r="D130">
        <v>58.62</v>
      </c>
      <c r="E130">
        <v>27.74</v>
      </c>
      <c r="F130">
        <v>8.1199999999999992</v>
      </c>
      <c r="G130">
        <v>9.7200000000000006</v>
      </c>
      <c r="K130">
        <v>1.24</v>
      </c>
      <c r="L130">
        <v>89.5</v>
      </c>
      <c r="M130">
        <v>0</v>
      </c>
      <c r="O130">
        <v>65.88</v>
      </c>
      <c r="P130">
        <v>9.24</v>
      </c>
      <c r="Q130">
        <v>7.96</v>
      </c>
      <c r="S130">
        <v>5.4130000000000003</v>
      </c>
      <c r="T130">
        <v>0</v>
      </c>
      <c r="U130">
        <v>80.900000000000006</v>
      </c>
      <c r="V130">
        <v>980</v>
      </c>
      <c r="W130">
        <v>46.66</v>
      </c>
      <c r="Y130">
        <v>13.57</v>
      </c>
    </row>
    <row r="131" spans="1:25" x14ac:dyDescent="0.25">
      <c r="A131">
        <v>2007</v>
      </c>
      <c r="B131">
        <v>81</v>
      </c>
      <c r="C131">
        <v>1800</v>
      </c>
      <c r="D131">
        <v>20.87</v>
      </c>
      <c r="E131">
        <v>4.1310000000000002</v>
      </c>
      <c r="F131">
        <v>8.11</v>
      </c>
      <c r="G131">
        <v>9.34</v>
      </c>
      <c r="K131">
        <v>0.82499999999999996</v>
      </c>
      <c r="L131">
        <v>92.7</v>
      </c>
      <c r="M131">
        <v>0</v>
      </c>
      <c r="O131">
        <v>16.510000000000002</v>
      </c>
      <c r="P131">
        <v>-3.617</v>
      </c>
      <c r="Q131">
        <v>8.07</v>
      </c>
      <c r="S131">
        <v>5.577</v>
      </c>
      <c r="T131">
        <v>0</v>
      </c>
      <c r="U131">
        <v>85</v>
      </c>
      <c r="V131">
        <v>984</v>
      </c>
      <c r="W131">
        <v>47.13</v>
      </c>
      <c r="Y131">
        <v>13.46</v>
      </c>
    </row>
    <row r="132" spans="1:25" x14ac:dyDescent="0.25">
      <c r="A132">
        <v>2007</v>
      </c>
      <c r="B132">
        <v>81</v>
      </c>
      <c r="C132">
        <v>1900</v>
      </c>
      <c r="D132">
        <v>2.7490000000000001</v>
      </c>
      <c r="E132">
        <v>-8.44</v>
      </c>
      <c r="F132">
        <v>7.91</v>
      </c>
      <c r="G132">
        <v>8.8800000000000008</v>
      </c>
      <c r="K132">
        <v>0.436</v>
      </c>
      <c r="L132">
        <v>101.5</v>
      </c>
      <c r="M132">
        <v>0</v>
      </c>
      <c r="O132">
        <v>-6.7670000000000003</v>
      </c>
      <c r="P132">
        <v>-9.73</v>
      </c>
      <c r="Q132">
        <v>8.09</v>
      </c>
      <c r="S132">
        <v>5.7249999999999996</v>
      </c>
      <c r="T132">
        <v>0</v>
      </c>
      <c r="U132">
        <v>87.9</v>
      </c>
      <c r="V132">
        <v>993</v>
      </c>
      <c r="W132">
        <v>48.15</v>
      </c>
      <c r="Y132">
        <v>13.36</v>
      </c>
    </row>
    <row r="133" spans="1:25" x14ac:dyDescent="0.25">
      <c r="A133">
        <v>2007</v>
      </c>
      <c r="B133">
        <v>81</v>
      </c>
      <c r="C133">
        <v>2000</v>
      </c>
      <c r="D133">
        <v>-0.97699999999999998</v>
      </c>
      <c r="E133">
        <v>-10.56</v>
      </c>
      <c r="F133">
        <v>7.54</v>
      </c>
      <c r="G133">
        <v>8.06</v>
      </c>
      <c r="K133">
        <v>0.183</v>
      </c>
      <c r="L133">
        <v>147.9</v>
      </c>
      <c r="M133">
        <v>0</v>
      </c>
      <c r="O133">
        <v>-11.5</v>
      </c>
      <c r="P133">
        <v>-10.84</v>
      </c>
      <c r="Q133">
        <v>7.99</v>
      </c>
      <c r="S133">
        <v>5.7830000000000004</v>
      </c>
      <c r="T133">
        <v>0</v>
      </c>
      <c r="U133">
        <v>93.3</v>
      </c>
      <c r="V133">
        <v>1000</v>
      </c>
      <c r="W133">
        <v>48.89</v>
      </c>
      <c r="Y133">
        <v>13.27</v>
      </c>
    </row>
    <row r="134" spans="1:25" x14ac:dyDescent="0.25">
      <c r="A134">
        <v>2007</v>
      </c>
      <c r="B134">
        <v>81</v>
      </c>
      <c r="C134">
        <v>2100</v>
      </c>
      <c r="D134">
        <v>-0.59199999999999997</v>
      </c>
      <c r="E134">
        <v>-9.5</v>
      </c>
      <c r="F134">
        <v>7.15</v>
      </c>
      <c r="G134">
        <v>7.62</v>
      </c>
      <c r="K134">
        <v>0.17100000000000001</v>
      </c>
      <c r="L134">
        <v>143.5</v>
      </c>
      <c r="M134">
        <v>0</v>
      </c>
      <c r="O134">
        <v>-11.5</v>
      </c>
      <c r="P134">
        <v>-10.84</v>
      </c>
      <c r="Q134">
        <v>7.85</v>
      </c>
      <c r="S134">
        <v>5.8650000000000002</v>
      </c>
      <c r="T134">
        <v>0</v>
      </c>
      <c r="U134">
        <v>93.9</v>
      </c>
      <c r="V134">
        <v>996</v>
      </c>
      <c r="W134">
        <v>48.4</v>
      </c>
      <c r="Y134">
        <v>13.19</v>
      </c>
    </row>
    <row r="135" spans="1:25" x14ac:dyDescent="0.25">
      <c r="A135">
        <v>2007</v>
      </c>
      <c r="B135">
        <v>81</v>
      </c>
      <c r="C135">
        <v>2200</v>
      </c>
      <c r="D135">
        <v>-0.55100000000000005</v>
      </c>
      <c r="E135">
        <v>-8.35</v>
      </c>
      <c r="F135">
        <v>6.88</v>
      </c>
      <c r="G135">
        <v>7.49</v>
      </c>
      <c r="K135">
        <v>0.39300000000000002</v>
      </c>
      <c r="L135">
        <v>171</v>
      </c>
      <c r="M135">
        <v>0</v>
      </c>
      <c r="O135">
        <v>-11.5</v>
      </c>
      <c r="P135">
        <v>-10.84</v>
      </c>
      <c r="Q135">
        <v>7.73</v>
      </c>
      <c r="S135">
        <v>5.8819999999999997</v>
      </c>
      <c r="T135">
        <v>0</v>
      </c>
      <c r="U135">
        <v>92</v>
      </c>
      <c r="V135">
        <v>996</v>
      </c>
      <c r="W135">
        <v>48.42</v>
      </c>
      <c r="Y135">
        <v>13.12</v>
      </c>
    </row>
    <row r="136" spans="1:25" x14ac:dyDescent="0.25">
      <c r="A136">
        <v>2007</v>
      </c>
      <c r="B136">
        <v>81</v>
      </c>
      <c r="C136">
        <v>2300</v>
      </c>
      <c r="D136">
        <v>-0.57299999999999995</v>
      </c>
      <c r="E136">
        <v>-8.64</v>
      </c>
      <c r="F136">
        <v>6.77</v>
      </c>
      <c r="G136">
        <v>7.35</v>
      </c>
      <c r="K136">
        <v>0.24199999999999999</v>
      </c>
      <c r="L136">
        <v>178.1</v>
      </c>
      <c r="M136">
        <v>0</v>
      </c>
      <c r="O136">
        <v>-11.5</v>
      </c>
      <c r="P136">
        <v>-10.85</v>
      </c>
      <c r="Q136">
        <v>7.67</v>
      </c>
      <c r="S136">
        <v>5.9589999999999996</v>
      </c>
      <c r="T136">
        <v>0</v>
      </c>
      <c r="U136">
        <v>92.4</v>
      </c>
      <c r="V136">
        <v>1004</v>
      </c>
      <c r="W136">
        <v>49.42</v>
      </c>
      <c r="Y136">
        <v>13.06</v>
      </c>
    </row>
    <row r="137" spans="1:25" x14ac:dyDescent="0.25">
      <c r="A137">
        <v>2007</v>
      </c>
      <c r="B137">
        <v>81</v>
      </c>
      <c r="C137">
        <v>2400</v>
      </c>
      <c r="D137">
        <v>-0.57299999999999995</v>
      </c>
      <c r="E137">
        <v>-8.5</v>
      </c>
      <c r="F137">
        <v>6.5259999999999998</v>
      </c>
      <c r="G137">
        <v>6.9790000000000001</v>
      </c>
      <c r="K137">
        <v>0.17699999999999999</v>
      </c>
      <c r="L137">
        <v>146.80000000000001</v>
      </c>
      <c r="M137">
        <v>0</v>
      </c>
      <c r="O137">
        <v>-11.5</v>
      </c>
      <c r="P137">
        <v>-10.84</v>
      </c>
      <c r="Q137">
        <v>7.56</v>
      </c>
      <c r="S137">
        <v>5.97</v>
      </c>
      <c r="T137">
        <v>0</v>
      </c>
      <c r="U137">
        <v>93.9</v>
      </c>
      <c r="V137">
        <v>1004</v>
      </c>
      <c r="W137">
        <v>49.42</v>
      </c>
      <c r="Y137">
        <v>13</v>
      </c>
    </row>
    <row r="138" spans="1:25" x14ac:dyDescent="0.25">
      <c r="A138">
        <v>2007</v>
      </c>
      <c r="B138">
        <v>82</v>
      </c>
      <c r="C138">
        <v>100</v>
      </c>
      <c r="D138">
        <v>-0.627</v>
      </c>
      <c r="E138">
        <v>-11.11</v>
      </c>
      <c r="F138">
        <v>6.2460000000000004</v>
      </c>
      <c r="G138">
        <v>6.6710000000000003</v>
      </c>
      <c r="K138">
        <v>0.17599999999999999</v>
      </c>
      <c r="L138">
        <v>135.9</v>
      </c>
      <c r="M138">
        <v>0</v>
      </c>
      <c r="O138">
        <v>-11.5</v>
      </c>
      <c r="P138">
        <v>-10.84</v>
      </c>
      <c r="Q138">
        <v>7.44</v>
      </c>
      <c r="S138">
        <v>5.97</v>
      </c>
      <c r="T138">
        <v>0</v>
      </c>
      <c r="U138">
        <v>94.2</v>
      </c>
      <c r="V138">
        <v>1002</v>
      </c>
      <c r="W138">
        <v>49.19</v>
      </c>
      <c r="Y138">
        <v>12.95</v>
      </c>
    </row>
    <row r="139" spans="1:25" x14ac:dyDescent="0.25">
      <c r="A139">
        <v>2007</v>
      </c>
      <c r="B139">
        <v>82</v>
      </c>
      <c r="C139">
        <v>200</v>
      </c>
      <c r="D139">
        <v>-1.226</v>
      </c>
      <c r="E139">
        <v>-17.11</v>
      </c>
      <c r="F139">
        <v>5.391</v>
      </c>
      <c r="G139">
        <v>5.7480000000000002</v>
      </c>
      <c r="K139">
        <v>0.223</v>
      </c>
      <c r="L139">
        <v>181.8</v>
      </c>
      <c r="M139">
        <v>0</v>
      </c>
      <c r="O139">
        <v>-11.5</v>
      </c>
      <c r="P139">
        <v>-10.84</v>
      </c>
      <c r="Q139">
        <v>7.31</v>
      </c>
      <c r="S139">
        <v>5.96</v>
      </c>
      <c r="T139">
        <v>0</v>
      </c>
      <c r="U139">
        <v>94.9</v>
      </c>
      <c r="V139">
        <v>992</v>
      </c>
      <c r="W139">
        <v>48.11</v>
      </c>
      <c r="Y139">
        <v>12.92</v>
      </c>
    </row>
    <row r="140" spans="1:25" x14ac:dyDescent="0.25">
      <c r="A140">
        <v>2007</v>
      </c>
      <c r="B140">
        <v>82</v>
      </c>
      <c r="C140">
        <v>300</v>
      </c>
      <c r="D140">
        <v>-0.63300000000000001</v>
      </c>
      <c r="E140">
        <v>-9.83</v>
      </c>
      <c r="F140">
        <v>5.1189999999999998</v>
      </c>
      <c r="G140">
        <v>5.5110000000000001</v>
      </c>
      <c r="K140">
        <v>0.129</v>
      </c>
      <c r="L140">
        <v>181.8</v>
      </c>
      <c r="M140">
        <v>0</v>
      </c>
      <c r="O140">
        <v>-11.5</v>
      </c>
      <c r="P140">
        <v>-10.84</v>
      </c>
      <c r="Q140">
        <v>7.16</v>
      </c>
      <c r="S140">
        <v>5.8780000000000001</v>
      </c>
      <c r="T140">
        <v>0</v>
      </c>
      <c r="U140">
        <v>94.4</v>
      </c>
      <c r="V140">
        <v>1019</v>
      </c>
      <c r="W140">
        <v>51.36</v>
      </c>
      <c r="Y140">
        <v>12.89</v>
      </c>
    </row>
    <row r="141" spans="1:25" x14ac:dyDescent="0.25">
      <c r="A141">
        <v>2007</v>
      </c>
      <c r="B141">
        <v>82</v>
      </c>
      <c r="C141">
        <v>400</v>
      </c>
      <c r="D141">
        <v>-0.60499999999999998</v>
      </c>
      <c r="E141">
        <v>-8.44</v>
      </c>
      <c r="F141">
        <v>5.6760000000000002</v>
      </c>
      <c r="G141">
        <v>6.5750000000000002</v>
      </c>
      <c r="K141">
        <v>0.94599999999999995</v>
      </c>
      <c r="L141">
        <v>116.2</v>
      </c>
      <c r="M141">
        <v>0</v>
      </c>
      <c r="O141">
        <v>-11.5</v>
      </c>
      <c r="P141">
        <v>-10.84</v>
      </c>
      <c r="Q141">
        <v>7.03</v>
      </c>
      <c r="S141">
        <v>5.8609999999999998</v>
      </c>
      <c r="T141">
        <v>0</v>
      </c>
      <c r="U141">
        <v>87.8</v>
      </c>
      <c r="V141">
        <v>1002</v>
      </c>
      <c r="W141">
        <v>49.44</v>
      </c>
      <c r="Y141">
        <v>12.87</v>
      </c>
    </row>
    <row r="142" spans="1:25" x14ac:dyDescent="0.25">
      <c r="A142">
        <v>2007</v>
      </c>
      <c r="B142">
        <v>82</v>
      </c>
      <c r="C142">
        <v>500</v>
      </c>
      <c r="D142">
        <v>-1.0349999999999999</v>
      </c>
      <c r="E142">
        <v>-16.34</v>
      </c>
      <c r="F142">
        <v>5.4180000000000001</v>
      </c>
      <c r="G142">
        <v>6.46</v>
      </c>
      <c r="K142">
        <v>0.56100000000000005</v>
      </c>
      <c r="L142">
        <v>119.5</v>
      </c>
      <c r="M142">
        <v>0</v>
      </c>
      <c r="O142">
        <v>-11.5</v>
      </c>
      <c r="P142">
        <v>-10.84</v>
      </c>
      <c r="Q142">
        <v>6.9320000000000004</v>
      </c>
      <c r="S142">
        <v>5.8609999999999998</v>
      </c>
      <c r="T142">
        <v>0</v>
      </c>
      <c r="U142">
        <v>85.8</v>
      </c>
      <c r="V142">
        <v>1012</v>
      </c>
      <c r="W142">
        <v>50.56</v>
      </c>
      <c r="Y142">
        <v>12.85</v>
      </c>
    </row>
    <row r="143" spans="1:25" x14ac:dyDescent="0.25">
      <c r="A143">
        <v>2007</v>
      </c>
      <c r="B143">
        <v>82</v>
      </c>
      <c r="C143">
        <v>600</v>
      </c>
      <c r="D143">
        <v>-1.9370000000000001</v>
      </c>
      <c r="E143">
        <v>-28.52</v>
      </c>
      <c r="F143">
        <v>4.7140000000000004</v>
      </c>
      <c r="G143">
        <v>5.46</v>
      </c>
      <c r="K143">
        <v>0.41799999999999998</v>
      </c>
      <c r="L143">
        <v>118.4</v>
      </c>
      <c r="M143">
        <v>0</v>
      </c>
      <c r="O143">
        <v>-11.44</v>
      </c>
      <c r="P143">
        <v>-10.84</v>
      </c>
      <c r="Q143">
        <v>6.8140000000000001</v>
      </c>
      <c r="S143">
        <v>5.7969999999999997</v>
      </c>
      <c r="T143">
        <v>0</v>
      </c>
      <c r="U143">
        <v>89.4</v>
      </c>
      <c r="V143">
        <v>1045</v>
      </c>
      <c r="W143">
        <v>54.98</v>
      </c>
      <c r="Y143">
        <v>12.84</v>
      </c>
    </row>
    <row r="144" spans="1:25" x14ac:dyDescent="0.25">
      <c r="A144">
        <v>2007</v>
      </c>
      <c r="B144">
        <v>82</v>
      </c>
      <c r="C144">
        <v>700</v>
      </c>
      <c r="D144">
        <v>10.029999999999999</v>
      </c>
      <c r="E144">
        <v>-35.89</v>
      </c>
      <c r="F144">
        <v>3.5609999999999999</v>
      </c>
      <c r="G144">
        <v>4.3040000000000003</v>
      </c>
      <c r="K144">
        <v>0.56699999999999995</v>
      </c>
      <c r="L144">
        <v>112.1</v>
      </c>
      <c r="M144">
        <v>0</v>
      </c>
      <c r="O144">
        <v>4.7080000000000002</v>
      </c>
      <c r="P144">
        <v>-5.4009999999999998</v>
      </c>
      <c r="Q144">
        <v>6.67</v>
      </c>
      <c r="S144">
        <v>5.7770000000000001</v>
      </c>
      <c r="T144">
        <v>0</v>
      </c>
      <c r="U144">
        <v>89</v>
      </c>
      <c r="V144">
        <v>1017</v>
      </c>
      <c r="W144">
        <v>51.21</v>
      </c>
      <c r="Y144">
        <v>12.84</v>
      </c>
    </row>
    <row r="145" spans="1:25" x14ac:dyDescent="0.25">
      <c r="A145">
        <v>2007</v>
      </c>
      <c r="B145">
        <v>82</v>
      </c>
      <c r="C145">
        <v>800</v>
      </c>
      <c r="D145">
        <v>81.099999999999994</v>
      </c>
      <c r="E145">
        <v>29.3</v>
      </c>
      <c r="F145">
        <v>3.3079999999999998</v>
      </c>
      <c r="G145">
        <v>3.8879999999999999</v>
      </c>
      <c r="K145">
        <v>0.64600000000000002</v>
      </c>
      <c r="L145">
        <v>130.6</v>
      </c>
      <c r="M145">
        <v>0</v>
      </c>
      <c r="O145">
        <v>93.2</v>
      </c>
      <c r="P145">
        <v>20.67</v>
      </c>
      <c r="Q145">
        <v>6.4980000000000002</v>
      </c>
      <c r="S145">
        <v>5.7430000000000003</v>
      </c>
      <c r="T145">
        <v>0</v>
      </c>
      <c r="U145">
        <v>91.3</v>
      </c>
      <c r="V145">
        <v>1073</v>
      </c>
      <c r="W145">
        <v>60.56</v>
      </c>
      <c r="Y145">
        <v>13.34</v>
      </c>
    </row>
    <row r="146" spans="1:25" x14ac:dyDescent="0.25">
      <c r="A146">
        <v>2007</v>
      </c>
      <c r="B146">
        <v>82</v>
      </c>
      <c r="C146">
        <v>900</v>
      </c>
      <c r="D146">
        <v>173.3</v>
      </c>
      <c r="E146">
        <v>95.4</v>
      </c>
      <c r="F146">
        <v>4.9950000000000001</v>
      </c>
      <c r="G146">
        <v>5.9640000000000004</v>
      </c>
      <c r="H146">
        <f>AVERAGE(G146:G169)</f>
        <v>5.5307083333333331</v>
      </c>
      <c r="I146">
        <f>MIN(G146:G169)</f>
        <v>0.94599999999999995</v>
      </c>
      <c r="J146">
        <f>MAX(F146:F169)</f>
        <v>7.08</v>
      </c>
      <c r="K146">
        <v>2.4129999999999998</v>
      </c>
      <c r="L146">
        <v>106.5</v>
      </c>
      <c r="M146">
        <v>0</v>
      </c>
      <c r="N146">
        <f>SUM(M146:M169)</f>
        <v>0</v>
      </c>
      <c r="O146">
        <v>208.6</v>
      </c>
      <c r="P146">
        <v>54.74</v>
      </c>
      <c r="Q146">
        <v>6.3419999999999996</v>
      </c>
      <c r="S146">
        <v>5.7789999999999999</v>
      </c>
      <c r="T146">
        <v>0</v>
      </c>
      <c r="U146">
        <v>86.5</v>
      </c>
      <c r="V146">
        <v>1083</v>
      </c>
      <c r="W146">
        <v>61.71</v>
      </c>
      <c r="Y146">
        <v>13.87</v>
      </c>
    </row>
    <row r="147" spans="1:25" x14ac:dyDescent="0.25">
      <c r="A147">
        <v>2007</v>
      </c>
      <c r="B147">
        <v>82</v>
      </c>
      <c r="C147">
        <v>1000</v>
      </c>
      <c r="D147">
        <v>254</v>
      </c>
      <c r="E147">
        <v>148.6</v>
      </c>
      <c r="F147">
        <v>5.3959999999999999</v>
      </c>
      <c r="G147">
        <v>6.6269999999999998</v>
      </c>
      <c r="K147">
        <v>2.7480000000000002</v>
      </c>
      <c r="L147">
        <v>107</v>
      </c>
      <c r="M147">
        <v>0</v>
      </c>
      <c r="O147">
        <v>304.5</v>
      </c>
      <c r="P147">
        <v>80.8</v>
      </c>
      <c r="Q147">
        <v>6.3849999999999998</v>
      </c>
      <c r="S147">
        <v>5.726</v>
      </c>
      <c r="T147">
        <v>0</v>
      </c>
      <c r="U147">
        <v>83.4</v>
      </c>
      <c r="V147">
        <v>1028</v>
      </c>
      <c r="W147">
        <v>52.56</v>
      </c>
      <c r="Y147">
        <v>14.13</v>
      </c>
    </row>
    <row r="148" spans="1:25" x14ac:dyDescent="0.25">
      <c r="A148">
        <v>2007</v>
      </c>
      <c r="B148">
        <v>82</v>
      </c>
      <c r="C148">
        <v>1100</v>
      </c>
      <c r="D148">
        <v>409.6</v>
      </c>
      <c r="E148">
        <v>254.8</v>
      </c>
      <c r="F148">
        <v>6.6260000000000003</v>
      </c>
      <c r="G148">
        <v>8.01</v>
      </c>
      <c r="K148">
        <v>2.0419999999999998</v>
      </c>
      <c r="L148">
        <v>100.7</v>
      </c>
      <c r="M148">
        <v>0</v>
      </c>
      <c r="O148">
        <v>496.8</v>
      </c>
      <c r="P148">
        <v>134.6</v>
      </c>
      <c r="Q148">
        <v>6.569</v>
      </c>
      <c r="S148">
        <v>5.6950000000000003</v>
      </c>
      <c r="T148">
        <v>0</v>
      </c>
      <c r="U148">
        <v>82.3</v>
      </c>
      <c r="V148">
        <v>1001</v>
      </c>
      <c r="W148">
        <v>49.1</v>
      </c>
      <c r="Y148">
        <v>14.55</v>
      </c>
    </row>
    <row r="149" spans="1:25" x14ac:dyDescent="0.25">
      <c r="A149">
        <v>2007</v>
      </c>
      <c r="B149">
        <v>82</v>
      </c>
      <c r="C149">
        <v>1200</v>
      </c>
      <c r="D149">
        <v>493.3</v>
      </c>
      <c r="E149">
        <v>302.2</v>
      </c>
      <c r="F149">
        <v>6.9749999999999996</v>
      </c>
      <c r="G149">
        <v>8.56</v>
      </c>
      <c r="K149">
        <v>2.089</v>
      </c>
      <c r="L149">
        <v>95.2</v>
      </c>
      <c r="M149">
        <v>0</v>
      </c>
      <c r="O149">
        <v>585.70000000000005</v>
      </c>
      <c r="P149">
        <v>162.69999999999999</v>
      </c>
      <c r="Q149">
        <v>6.9809999999999999</v>
      </c>
      <c r="S149">
        <v>5.7030000000000003</v>
      </c>
      <c r="T149">
        <v>0</v>
      </c>
      <c r="U149">
        <v>80.2</v>
      </c>
      <c r="V149">
        <v>992</v>
      </c>
      <c r="W149">
        <v>47.96</v>
      </c>
      <c r="Y149">
        <v>14.54</v>
      </c>
    </row>
    <row r="150" spans="1:25" x14ac:dyDescent="0.25">
      <c r="A150">
        <v>2007</v>
      </c>
      <c r="B150">
        <v>82</v>
      </c>
      <c r="C150">
        <v>1300</v>
      </c>
      <c r="D150">
        <v>323.2</v>
      </c>
      <c r="E150">
        <v>191</v>
      </c>
      <c r="F150">
        <v>6.8109999999999999</v>
      </c>
      <c r="G150">
        <v>8.4499999999999993</v>
      </c>
      <c r="K150">
        <v>1.379</v>
      </c>
      <c r="L150">
        <v>97.2</v>
      </c>
      <c r="M150">
        <v>0</v>
      </c>
      <c r="O150">
        <v>392.3</v>
      </c>
      <c r="P150">
        <v>102.9</v>
      </c>
      <c r="Q150">
        <v>7.55</v>
      </c>
      <c r="S150">
        <v>5.7539999999999996</v>
      </c>
      <c r="T150">
        <v>0</v>
      </c>
      <c r="U150">
        <v>79.400000000000006</v>
      </c>
      <c r="V150">
        <v>990</v>
      </c>
      <c r="W150">
        <v>47.74</v>
      </c>
      <c r="Y150">
        <v>14.15</v>
      </c>
    </row>
    <row r="151" spans="1:25" x14ac:dyDescent="0.25">
      <c r="A151">
        <v>2007</v>
      </c>
      <c r="B151">
        <v>82</v>
      </c>
      <c r="C151">
        <v>1400</v>
      </c>
      <c r="D151">
        <v>269.2</v>
      </c>
      <c r="E151">
        <v>155.1</v>
      </c>
      <c r="F151">
        <v>7.08</v>
      </c>
      <c r="G151">
        <v>8.84</v>
      </c>
      <c r="K151">
        <v>1.1200000000000001</v>
      </c>
      <c r="L151">
        <v>91.7</v>
      </c>
      <c r="M151">
        <v>0</v>
      </c>
      <c r="O151">
        <v>326.5</v>
      </c>
      <c r="P151">
        <v>84.5</v>
      </c>
      <c r="Q151">
        <v>8.09</v>
      </c>
      <c r="S151">
        <v>5.859</v>
      </c>
      <c r="T151">
        <v>0</v>
      </c>
      <c r="U151">
        <v>78.2</v>
      </c>
      <c r="V151">
        <v>986</v>
      </c>
      <c r="W151">
        <v>47.32</v>
      </c>
      <c r="Y151">
        <v>13.95</v>
      </c>
    </row>
    <row r="152" spans="1:25" x14ac:dyDescent="0.25">
      <c r="A152">
        <v>2007</v>
      </c>
      <c r="B152">
        <v>82</v>
      </c>
      <c r="C152">
        <v>1500</v>
      </c>
      <c r="D152">
        <v>411.4</v>
      </c>
      <c r="E152">
        <v>242.6</v>
      </c>
      <c r="F152">
        <v>6.8410000000000002</v>
      </c>
      <c r="G152">
        <v>8.84</v>
      </c>
      <c r="K152">
        <v>2.105</v>
      </c>
      <c r="L152">
        <v>103.7</v>
      </c>
      <c r="M152">
        <v>0</v>
      </c>
      <c r="O152">
        <v>491.4</v>
      </c>
      <c r="P152">
        <v>154.5</v>
      </c>
      <c r="Q152">
        <v>8.49</v>
      </c>
      <c r="S152">
        <v>6.03</v>
      </c>
      <c r="T152">
        <v>0</v>
      </c>
      <c r="U152">
        <v>75.400000000000006</v>
      </c>
      <c r="V152">
        <v>983</v>
      </c>
      <c r="W152">
        <v>46.95</v>
      </c>
      <c r="Y152">
        <v>14.27</v>
      </c>
    </row>
    <row r="153" spans="1:25" x14ac:dyDescent="0.25">
      <c r="A153">
        <v>2007</v>
      </c>
      <c r="B153">
        <v>82</v>
      </c>
      <c r="C153">
        <v>1600</v>
      </c>
      <c r="D153">
        <v>341.6</v>
      </c>
      <c r="E153">
        <v>194.8</v>
      </c>
      <c r="F153">
        <v>6.415</v>
      </c>
      <c r="G153">
        <v>8.4</v>
      </c>
      <c r="K153">
        <v>2.0680000000000001</v>
      </c>
      <c r="L153">
        <v>99.5</v>
      </c>
      <c r="M153">
        <v>0</v>
      </c>
      <c r="O153">
        <v>402.5</v>
      </c>
      <c r="P153">
        <v>145.80000000000001</v>
      </c>
      <c r="Q153">
        <v>8.83</v>
      </c>
      <c r="S153">
        <v>6.2009999999999996</v>
      </c>
      <c r="T153">
        <v>0</v>
      </c>
      <c r="U153">
        <v>75.2</v>
      </c>
      <c r="V153">
        <v>982</v>
      </c>
      <c r="W153">
        <v>46.81</v>
      </c>
      <c r="Y153">
        <v>14.24</v>
      </c>
    </row>
    <row r="154" spans="1:25" x14ac:dyDescent="0.25">
      <c r="A154">
        <v>2007</v>
      </c>
      <c r="B154">
        <v>82</v>
      </c>
      <c r="C154">
        <v>1700</v>
      </c>
      <c r="D154">
        <v>228.4</v>
      </c>
      <c r="E154">
        <v>109</v>
      </c>
      <c r="F154">
        <v>6.4020000000000001</v>
      </c>
      <c r="G154">
        <v>8.3000000000000007</v>
      </c>
      <c r="K154">
        <v>1.6</v>
      </c>
      <c r="L154">
        <v>101.9</v>
      </c>
      <c r="M154">
        <v>0</v>
      </c>
      <c r="O154">
        <v>261.89999999999998</v>
      </c>
      <c r="P154">
        <v>120.9</v>
      </c>
      <c r="Q154">
        <v>9.0399999999999991</v>
      </c>
      <c r="S154">
        <v>6.3529999999999998</v>
      </c>
      <c r="T154">
        <v>0</v>
      </c>
      <c r="U154">
        <v>76.099999999999994</v>
      </c>
      <c r="V154">
        <v>981</v>
      </c>
      <c r="W154">
        <v>46.74</v>
      </c>
      <c r="Y154">
        <v>13.99</v>
      </c>
    </row>
    <row r="155" spans="1:25" x14ac:dyDescent="0.25">
      <c r="A155">
        <v>2007</v>
      </c>
      <c r="B155">
        <v>82</v>
      </c>
      <c r="C155">
        <v>1800</v>
      </c>
      <c r="D155">
        <v>99</v>
      </c>
      <c r="E155">
        <v>19.66</v>
      </c>
      <c r="F155">
        <v>5.9039999999999999</v>
      </c>
      <c r="G155">
        <v>7.8</v>
      </c>
      <c r="K155">
        <v>1.681</v>
      </c>
      <c r="L155">
        <v>113.4</v>
      </c>
      <c r="M155">
        <v>0</v>
      </c>
      <c r="O155">
        <v>110.6</v>
      </c>
      <c r="P155">
        <v>79.599999999999994</v>
      </c>
      <c r="Q155">
        <v>9.0299999999999994</v>
      </c>
      <c r="S155">
        <v>6.4279999999999999</v>
      </c>
      <c r="T155">
        <v>0</v>
      </c>
      <c r="U155">
        <v>75.8</v>
      </c>
      <c r="V155">
        <v>981</v>
      </c>
      <c r="W155">
        <v>46.74</v>
      </c>
      <c r="Y155">
        <v>13.69</v>
      </c>
    </row>
    <row r="156" spans="1:25" x14ac:dyDescent="0.25">
      <c r="A156">
        <v>2007</v>
      </c>
      <c r="B156">
        <v>82</v>
      </c>
      <c r="C156">
        <v>1900</v>
      </c>
      <c r="D156">
        <v>12.82</v>
      </c>
      <c r="E156">
        <v>-52.62</v>
      </c>
      <c r="F156">
        <v>4.2949999999999999</v>
      </c>
      <c r="G156">
        <v>4.9489999999999998</v>
      </c>
      <c r="K156">
        <v>0.45200000000000001</v>
      </c>
      <c r="L156">
        <v>156.30000000000001</v>
      </c>
      <c r="M156">
        <v>0</v>
      </c>
      <c r="O156">
        <v>4.8959999999999999</v>
      </c>
      <c r="P156">
        <v>5.0979999999999999</v>
      </c>
      <c r="Q156">
        <v>8.85</v>
      </c>
      <c r="S156">
        <v>6.532</v>
      </c>
      <c r="T156">
        <v>0</v>
      </c>
      <c r="U156">
        <v>91</v>
      </c>
      <c r="V156">
        <v>986</v>
      </c>
      <c r="W156">
        <v>47.27</v>
      </c>
      <c r="Y156">
        <v>13.54</v>
      </c>
    </row>
    <row r="157" spans="1:25" x14ac:dyDescent="0.25">
      <c r="A157">
        <v>2007</v>
      </c>
      <c r="B157">
        <v>82</v>
      </c>
      <c r="C157">
        <v>2000</v>
      </c>
      <c r="D157">
        <v>-3.7029999999999998</v>
      </c>
      <c r="E157">
        <v>-51.02</v>
      </c>
      <c r="F157">
        <v>1.202</v>
      </c>
      <c r="G157">
        <v>1.36</v>
      </c>
      <c r="K157">
        <v>0.16500000000000001</v>
      </c>
      <c r="L157">
        <v>181.8</v>
      </c>
      <c r="M157">
        <v>0</v>
      </c>
      <c r="O157">
        <v>-11.44</v>
      </c>
      <c r="P157">
        <v>-10.84</v>
      </c>
      <c r="Q157">
        <v>8.48</v>
      </c>
      <c r="S157">
        <v>6.5839999999999996</v>
      </c>
      <c r="T157">
        <v>0</v>
      </c>
      <c r="U157">
        <v>97.3</v>
      </c>
      <c r="V157">
        <v>996</v>
      </c>
      <c r="W157">
        <v>48.51</v>
      </c>
      <c r="Y157">
        <v>13.43</v>
      </c>
    </row>
    <row r="158" spans="1:25" x14ac:dyDescent="0.25">
      <c r="A158">
        <v>2007</v>
      </c>
      <c r="B158">
        <v>82</v>
      </c>
      <c r="C158">
        <v>2100</v>
      </c>
      <c r="D158">
        <v>-3.2109999999999999</v>
      </c>
      <c r="E158">
        <v>-38.01</v>
      </c>
      <c r="F158">
        <v>0.51900000000000002</v>
      </c>
      <c r="G158">
        <v>0.94599999999999995</v>
      </c>
      <c r="K158">
        <v>0.32200000000000001</v>
      </c>
      <c r="L158">
        <v>125.3</v>
      </c>
      <c r="M158">
        <v>0</v>
      </c>
      <c r="O158">
        <v>-11.5</v>
      </c>
      <c r="P158">
        <v>-10.85</v>
      </c>
      <c r="Q158">
        <v>8.0399999999999991</v>
      </c>
      <c r="S158">
        <v>6.5979999999999999</v>
      </c>
      <c r="T158">
        <v>0</v>
      </c>
      <c r="U158">
        <v>92.9</v>
      </c>
      <c r="V158">
        <v>1033</v>
      </c>
      <c r="W158">
        <v>53.31</v>
      </c>
      <c r="Y158">
        <v>13.35</v>
      </c>
    </row>
    <row r="159" spans="1:25" x14ac:dyDescent="0.25">
      <c r="A159">
        <v>2007</v>
      </c>
      <c r="B159">
        <v>82</v>
      </c>
      <c r="C159">
        <v>2200</v>
      </c>
      <c r="D159">
        <v>-2.367</v>
      </c>
      <c r="E159">
        <v>-22.05</v>
      </c>
      <c r="F159">
        <v>2.4020000000000001</v>
      </c>
      <c r="G159">
        <v>3.12</v>
      </c>
      <c r="K159">
        <v>0.68899999999999995</v>
      </c>
      <c r="L159">
        <v>92.1</v>
      </c>
      <c r="M159">
        <v>0</v>
      </c>
      <c r="O159">
        <v>-11.51</v>
      </c>
      <c r="P159">
        <v>-10.85</v>
      </c>
      <c r="Q159">
        <v>7.57</v>
      </c>
      <c r="S159">
        <v>6.593</v>
      </c>
      <c r="T159">
        <v>0</v>
      </c>
      <c r="U159">
        <v>88.8</v>
      </c>
      <c r="V159">
        <v>1063</v>
      </c>
      <c r="W159">
        <v>57.86</v>
      </c>
      <c r="Y159">
        <v>13.27</v>
      </c>
    </row>
    <row r="160" spans="1:25" x14ac:dyDescent="0.25">
      <c r="A160">
        <v>2007</v>
      </c>
      <c r="B160">
        <v>82</v>
      </c>
      <c r="C160">
        <v>2300</v>
      </c>
      <c r="D160">
        <v>-1.081</v>
      </c>
      <c r="E160">
        <v>-14.05</v>
      </c>
      <c r="F160">
        <v>2.9860000000000002</v>
      </c>
      <c r="G160">
        <v>3.4950000000000001</v>
      </c>
      <c r="K160">
        <v>0.219</v>
      </c>
      <c r="L160">
        <v>81.099999999999994</v>
      </c>
      <c r="M160">
        <v>0</v>
      </c>
      <c r="O160">
        <v>-11.5</v>
      </c>
      <c r="P160">
        <v>-10.85</v>
      </c>
      <c r="Q160">
        <v>7.18</v>
      </c>
      <c r="S160">
        <v>6.5060000000000002</v>
      </c>
      <c r="T160">
        <v>0</v>
      </c>
      <c r="U160">
        <v>92.1</v>
      </c>
      <c r="V160">
        <v>1087</v>
      </c>
      <c r="W160">
        <v>62.12</v>
      </c>
      <c r="Y160">
        <v>13.19</v>
      </c>
    </row>
    <row r="161" spans="1:25" x14ac:dyDescent="0.25">
      <c r="A161">
        <v>2007</v>
      </c>
      <c r="B161">
        <v>82</v>
      </c>
      <c r="C161">
        <v>2400</v>
      </c>
      <c r="D161">
        <v>-0.57299999999999995</v>
      </c>
      <c r="E161">
        <v>-9.7799999999999994</v>
      </c>
      <c r="F161">
        <v>3.47</v>
      </c>
      <c r="G161">
        <v>4.0620000000000003</v>
      </c>
      <c r="K161">
        <v>0.25900000000000001</v>
      </c>
      <c r="L161">
        <v>134.1</v>
      </c>
      <c r="M161">
        <v>0</v>
      </c>
      <c r="O161">
        <v>-11.5</v>
      </c>
      <c r="P161">
        <v>-10.84</v>
      </c>
      <c r="Q161">
        <v>6.9269999999999996</v>
      </c>
      <c r="S161">
        <v>6.4109999999999996</v>
      </c>
      <c r="T161">
        <v>0</v>
      </c>
      <c r="U161">
        <v>91</v>
      </c>
      <c r="V161">
        <v>1061</v>
      </c>
      <c r="W161">
        <v>57.58</v>
      </c>
      <c r="Y161">
        <v>13.12</v>
      </c>
    </row>
    <row r="162" spans="1:25" x14ac:dyDescent="0.25">
      <c r="A162">
        <v>2007</v>
      </c>
      <c r="B162">
        <v>83</v>
      </c>
      <c r="C162">
        <v>100</v>
      </c>
      <c r="D162">
        <v>-0.874</v>
      </c>
      <c r="E162">
        <v>-10.18</v>
      </c>
      <c r="F162">
        <v>3.9820000000000002</v>
      </c>
      <c r="G162">
        <v>4.7640000000000002</v>
      </c>
      <c r="K162">
        <v>0.98899999999999999</v>
      </c>
      <c r="L162">
        <v>118.3</v>
      </c>
      <c r="M162">
        <v>0</v>
      </c>
      <c r="O162">
        <v>-11.5</v>
      </c>
      <c r="P162">
        <v>-10.85</v>
      </c>
      <c r="Q162">
        <v>6.7679999999999998</v>
      </c>
      <c r="S162">
        <v>6.3170000000000002</v>
      </c>
      <c r="T162">
        <v>0</v>
      </c>
      <c r="U162">
        <v>88.5</v>
      </c>
      <c r="V162">
        <v>1038</v>
      </c>
      <c r="W162">
        <v>53.97</v>
      </c>
      <c r="Y162">
        <v>13.06</v>
      </c>
    </row>
    <row r="163" spans="1:25" x14ac:dyDescent="0.25">
      <c r="A163">
        <v>2007</v>
      </c>
      <c r="B163">
        <v>83</v>
      </c>
      <c r="C163">
        <v>200</v>
      </c>
      <c r="D163">
        <v>-0.76600000000000001</v>
      </c>
      <c r="E163">
        <v>-8.84</v>
      </c>
      <c r="F163">
        <v>4.3360000000000003</v>
      </c>
      <c r="G163">
        <v>5.1040000000000001</v>
      </c>
      <c r="K163">
        <v>1.0129999999999999</v>
      </c>
      <c r="L163">
        <v>122.7</v>
      </c>
      <c r="M163">
        <v>0</v>
      </c>
      <c r="O163">
        <v>-11.51</v>
      </c>
      <c r="P163">
        <v>-10.85</v>
      </c>
      <c r="Q163">
        <v>6.67</v>
      </c>
      <c r="S163">
        <v>6.2290000000000001</v>
      </c>
      <c r="T163">
        <v>0</v>
      </c>
      <c r="U163">
        <v>88.9</v>
      </c>
      <c r="V163">
        <v>1035</v>
      </c>
      <c r="W163">
        <v>53.53</v>
      </c>
      <c r="Y163">
        <v>13</v>
      </c>
    </row>
    <row r="164" spans="1:25" x14ac:dyDescent="0.25">
      <c r="A164">
        <v>2007</v>
      </c>
      <c r="B164">
        <v>83</v>
      </c>
      <c r="C164">
        <v>300</v>
      </c>
      <c r="D164">
        <v>-0.70199999999999996</v>
      </c>
      <c r="E164">
        <v>-8.8699999999999992</v>
      </c>
      <c r="F164">
        <v>4.6159999999999997</v>
      </c>
      <c r="G164">
        <v>5.3559999999999999</v>
      </c>
      <c r="K164">
        <v>1.9059999999999999</v>
      </c>
      <c r="L164">
        <v>107.9</v>
      </c>
      <c r="M164">
        <v>0</v>
      </c>
      <c r="O164">
        <v>-11.5</v>
      </c>
      <c r="P164">
        <v>-10.85</v>
      </c>
      <c r="Q164">
        <v>6.5979999999999999</v>
      </c>
      <c r="S164">
        <v>6.1719999999999997</v>
      </c>
      <c r="T164">
        <v>0</v>
      </c>
      <c r="U164">
        <v>89.4</v>
      </c>
      <c r="V164">
        <v>1033</v>
      </c>
      <c r="W164">
        <v>53.21</v>
      </c>
      <c r="Y164">
        <v>12.95</v>
      </c>
    </row>
    <row r="165" spans="1:25" x14ac:dyDescent="0.25">
      <c r="A165">
        <v>2007</v>
      </c>
      <c r="B165">
        <v>83</v>
      </c>
      <c r="C165">
        <v>400</v>
      </c>
      <c r="D165">
        <v>-2.044</v>
      </c>
      <c r="E165">
        <v>-32.35</v>
      </c>
      <c r="F165">
        <v>4.4249999999999998</v>
      </c>
      <c r="G165">
        <v>5.1420000000000003</v>
      </c>
      <c r="K165">
        <v>1.3180000000000001</v>
      </c>
      <c r="L165">
        <v>112.1</v>
      </c>
      <c r="M165">
        <v>0</v>
      </c>
      <c r="O165">
        <v>-11.51</v>
      </c>
      <c r="P165">
        <v>-10.85</v>
      </c>
      <c r="Q165">
        <v>6.5229999999999997</v>
      </c>
      <c r="S165">
        <v>6.0730000000000004</v>
      </c>
      <c r="T165">
        <v>0</v>
      </c>
      <c r="U165">
        <v>89.6</v>
      </c>
      <c r="V165">
        <v>1024</v>
      </c>
      <c r="W165">
        <v>52.01</v>
      </c>
      <c r="Y165">
        <v>12.91</v>
      </c>
    </row>
    <row r="166" spans="1:25" x14ac:dyDescent="0.25">
      <c r="A166">
        <v>2007</v>
      </c>
      <c r="B166">
        <v>83</v>
      </c>
      <c r="C166">
        <v>500</v>
      </c>
      <c r="D166">
        <v>-2.7029999999999998</v>
      </c>
      <c r="E166">
        <v>-33.4</v>
      </c>
      <c r="F166">
        <v>3.4350000000000001</v>
      </c>
      <c r="G166">
        <v>4.0579999999999998</v>
      </c>
      <c r="K166">
        <v>1.1559999999999999</v>
      </c>
      <c r="L166">
        <v>103.5</v>
      </c>
      <c r="M166">
        <v>0</v>
      </c>
      <c r="O166">
        <v>-11.5</v>
      </c>
      <c r="P166">
        <v>-10.85</v>
      </c>
      <c r="Q166">
        <v>6.3970000000000002</v>
      </c>
      <c r="S166">
        <v>5.9790000000000001</v>
      </c>
      <c r="T166">
        <v>0</v>
      </c>
      <c r="U166">
        <v>90.6</v>
      </c>
      <c r="V166">
        <v>1002</v>
      </c>
      <c r="W166">
        <v>49.32</v>
      </c>
      <c r="Y166">
        <v>12.89</v>
      </c>
    </row>
    <row r="167" spans="1:25" x14ac:dyDescent="0.25">
      <c r="A167">
        <v>2007</v>
      </c>
      <c r="B167">
        <v>83</v>
      </c>
      <c r="C167">
        <v>600</v>
      </c>
      <c r="D167">
        <v>-2.7930000000000001</v>
      </c>
      <c r="E167">
        <v>-24.02</v>
      </c>
      <c r="F167">
        <v>2.7530000000000001</v>
      </c>
      <c r="G167">
        <v>3.3149999999999999</v>
      </c>
      <c r="K167">
        <v>1.109</v>
      </c>
      <c r="L167">
        <v>126.4</v>
      </c>
      <c r="M167">
        <v>0</v>
      </c>
      <c r="O167">
        <v>-11.36</v>
      </c>
      <c r="P167">
        <v>-10.78</v>
      </c>
      <c r="Q167">
        <v>6.1790000000000003</v>
      </c>
      <c r="S167">
        <v>5.8819999999999997</v>
      </c>
      <c r="T167">
        <v>0</v>
      </c>
      <c r="U167">
        <v>91.2</v>
      </c>
      <c r="V167">
        <v>1012</v>
      </c>
      <c r="W167">
        <v>50.36</v>
      </c>
      <c r="Y167">
        <v>12.86</v>
      </c>
    </row>
    <row r="168" spans="1:25" x14ac:dyDescent="0.25">
      <c r="A168">
        <v>2007</v>
      </c>
      <c r="B168">
        <v>83</v>
      </c>
      <c r="C168">
        <v>700</v>
      </c>
      <c r="D168">
        <v>11.41</v>
      </c>
      <c r="E168">
        <v>-10.62</v>
      </c>
      <c r="F168">
        <v>2.544</v>
      </c>
      <c r="G168">
        <v>3.18</v>
      </c>
      <c r="K168">
        <v>1.429</v>
      </c>
      <c r="L168">
        <v>121.6</v>
      </c>
      <c r="M168">
        <v>0</v>
      </c>
      <c r="O168">
        <v>5.3109999999999999</v>
      </c>
      <c r="P168">
        <v>-4.7949999999999999</v>
      </c>
      <c r="Q168">
        <v>5.9260000000000002</v>
      </c>
      <c r="S168">
        <v>5.7889999999999997</v>
      </c>
      <c r="T168">
        <v>0</v>
      </c>
      <c r="U168">
        <v>90</v>
      </c>
      <c r="V168">
        <v>1009</v>
      </c>
      <c r="W168">
        <v>49.99</v>
      </c>
      <c r="Y168">
        <v>12.85</v>
      </c>
    </row>
    <row r="169" spans="1:25" x14ac:dyDescent="0.25">
      <c r="A169">
        <v>2007</v>
      </c>
      <c r="B169">
        <v>83</v>
      </c>
      <c r="C169">
        <v>800</v>
      </c>
      <c r="D169">
        <v>88</v>
      </c>
      <c r="E169">
        <v>44.86</v>
      </c>
      <c r="F169">
        <v>3.2989999999999999</v>
      </c>
      <c r="G169">
        <v>4.0949999999999998</v>
      </c>
      <c r="K169">
        <v>2.5449999999999999</v>
      </c>
      <c r="L169">
        <v>110.1</v>
      </c>
      <c r="M169">
        <v>0</v>
      </c>
      <c r="O169">
        <v>105.5</v>
      </c>
      <c r="P169">
        <v>39.83</v>
      </c>
      <c r="Q169">
        <v>5.7279999999999998</v>
      </c>
      <c r="S169">
        <v>5.7450000000000001</v>
      </c>
      <c r="T169">
        <v>0</v>
      </c>
      <c r="U169">
        <v>88</v>
      </c>
      <c r="V169">
        <v>1003</v>
      </c>
      <c r="W169">
        <v>49.33</v>
      </c>
      <c r="Y169">
        <v>13.67</v>
      </c>
    </row>
    <row r="170" spans="1:25" x14ac:dyDescent="0.25">
      <c r="A170">
        <v>2007</v>
      </c>
      <c r="B170">
        <v>83</v>
      </c>
      <c r="C170">
        <v>900</v>
      </c>
      <c r="D170">
        <v>140.6</v>
      </c>
      <c r="E170">
        <v>78.8</v>
      </c>
      <c r="F170">
        <v>4.0190000000000001</v>
      </c>
      <c r="G170">
        <v>4.9130000000000003</v>
      </c>
      <c r="H170">
        <f>AVERAGE(G170:G193)</f>
        <v>4.1948333333333334</v>
      </c>
      <c r="I170">
        <f>MIN(G170:G193)</f>
        <v>-1.8740000000000001</v>
      </c>
      <c r="J170">
        <f>MAX(F170:F193)</f>
        <v>8.59</v>
      </c>
      <c r="K170">
        <v>2.9929999999999999</v>
      </c>
      <c r="L170">
        <v>108.3</v>
      </c>
      <c r="M170">
        <v>0</v>
      </c>
      <c r="N170">
        <f>SUM(M170:M193)</f>
        <v>0</v>
      </c>
      <c r="O170">
        <v>162</v>
      </c>
      <c r="P170">
        <v>38.22</v>
      </c>
      <c r="Q170">
        <v>5.625</v>
      </c>
      <c r="S170">
        <v>5.718</v>
      </c>
      <c r="T170">
        <v>0</v>
      </c>
      <c r="U170">
        <v>87</v>
      </c>
      <c r="V170">
        <v>992</v>
      </c>
      <c r="W170">
        <v>48.03</v>
      </c>
      <c r="Y170">
        <v>13.8</v>
      </c>
    </row>
    <row r="171" spans="1:25" x14ac:dyDescent="0.25">
      <c r="A171">
        <v>2007</v>
      </c>
      <c r="B171">
        <v>83</v>
      </c>
      <c r="C171">
        <v>1000</v>
      </c>
      <c r="D171">
        <v>311.2</v>
      </c>
      <c r="E171">
        <v>195.5</v>
      </c>
      <c r="F171">
        <v>5.4279999999999999</v>
      </c>
      <c r="G171">
        <v>6.7789999999999999</v>
      </c>
      <c r="K171">
        <v>3.2450000000000001</v>
      </c>
      <c r="L171">
        <v>119.3</v>
      </c>
      <c r="M171">
        <v>0</v>
      </c>
      <c r="O171">
        <v>384.8</v>
      </c>
      <c r="P171">
        <v>104.3</v>
      </c>
      <c r="Q171">
        <v>5.62</v>
      </c>
      <c r="S171">
        <v>5.649</v>
      </c>
      <c r="T171">
        <v>0</v>
      </c>
      <c r="U171">
        <v>82</v>
      </c>
      <c r="V171">
        <v>983</v>
      </c>
      <c r="W171">
        <v>46.92</v>
      </c>
      <c r="Y171">
        <v>14.28</v>
      </c>
    </row>
    <row r="172" spans="1:25" x14ac:dyDescent="0.25">
      <c r="A172">
        <v>2007</v>
      </c>
      <c r="B172">
        <v>83</v>
      </c>
      <c r="C172">
        <v>1100</v>
      </c>
      <c r="D172">
        <v>507.5</v>
      </c>
      <c r="E172">
        <v>319</v>
      </c>
      <c r="F172">
        <v>6.5350000000000001</v>
      </c>
      <c r="G172">
        <v>8.1999999999999993</v>
      </c>
      <c r="K172">
        <v>2.919</v>
      </c>
      <c r="L172">
        <v>118.2</v>
      </c>
      <c r="M172">
        <v>0</v>
      </c>
      <c r="O172">
        <v>622.6</v>
      </c>
      <c r="P172">
        <v>173.3</v>
      </c>
      <c r="Q172">
        <v>5.9109999999999996</v>
      </c>
      <c r="S172">
        <v>5.6189999999999998</v>
      </c>
      <c r="T172">
        <v>0</v>
      </c>
      <c r="U172">
        <v>78.900000000000006</v>
      </c>
      <c r="V172">
        <v>978</v>
      </c>
      <c r="W172">
        <v>46.39</v>
      </c>
      <c r="Y172">
        <v>14.9</v>
      </c>
    </row>
    <row r="173" spans="1:25" x14ac:dyDescent="0.25">
      <c r="A173">
        <v>2007</v>
      </c>
      <c r="B173">
        <v>83</v>
      </c>
      <c r="C173">
        <v>1200</v>
      </c>
      <c r="D173">
        <v>576.5</v>
      </c>
      <c r="E173">
        <v>348.3</v>
      </c>
      <c r="F173">
        <v>6.3490000000000002</v>
      </c>
      <c r="G173">
        <v>8.2799999999999994</v>
      </c>
      <c r="K173">
        <v>3.4060000000000001</v>
      </c>
      <c r="L173">
        <v>115.5</v>
      </c>
      <c r="M173">
        <v>0</v>
      </c>
      <c r="O173">
        <v>694.6</v>
      </c>
      <c r="P173">
        <v>187.6</v>
      </c>
      <c r="Q173">
        <v>6.359</v>
      </c>
      <c r="S173">
        <v>5.5970000000000004</v>
      </c>
      <c r="T173">
        <v>0</v>
      </c>
      <c r="U173">
        <v>75.8</v>
      </c>
      <c r="V173">
        <v>975</v>
      </c>
      <c r="W173">
        <v>46.12</v>
      </c>
      <c r="Y173">
        <v>14.64</v>
      </c>
    </row>
    <row r="174" spans="1:25" x14ac:dyDescent="0.25">
      <c r="A174">
        <v>2007</v>
      </c>
      <c r="B174">
        <v>83</v>
      </c>
      <c r="C174">
        <v>1300</v>
      </c>
      <c r="D174">
        <v>617.1</v>
      </c>
      <c r="E174">
        <v>366.7</v>
      </c>
      <c r="F174">
        <v>6.59</v>
      </c>
      <c r="G174">
        <v>8.7799999999999994</v>
      </c>
      <c r="K174">
        <v>2.657</v>
      </c>
      <c r="L174">
        <v>120</v>
      </c>
      <c r="M174">
        <v>0</v>
      </c>
      <c r="O174">
        <v>736</v>
      </c>
      <c r="P174">
        <v>202.9</v>
      </c>
      <c r="Q174">
        <v>7.02</v>
      </c>
      <c r="S174">
        <v>5.681</v>
      </c>
      <c r="T174">
        <v>0</v>
      </c>
      <c r="U174">
        <v>73</v>
      </c>
      <c r="V174">
        <v>979</v>
      </c>
      <c r="W174">
        <v>46.6</v>
      </c>
      <c r="Y174">
        <v>14.69</v>
      </c>
    </row>
    <row r="175" spans="1:25" x14ac:dyDescent="0.25">
      <c r="A175">
        <v>2007</v>
      </c>
      <c r="B175">
        <v>83</v>
      </c>
      <c r="C175">
        <v>1400</v>
      </c>
      <c r="D175">
        <v>600.9</v>
      </c>
      <c r="E175">
        <v>354.1</v>
      </c>
      <c r="F175">
        <v>7.51</v>
      </c>
      <c r="G175">
        <v>9.6</v>
      </c>
      <c r="K175">
        <v>1.4750000000000001</v>
      </c>
      <c r="L175">
        <v>142.5</v>
      </c>
      <c r="M175">
        <v>0</v>
      </c>
      <c r="O175">
        <v>703</v>
      </c>
      <c r="P175">
        <v>215.2</v>
      </c>
      <c r="Q175">
        <v>7.71</v>
      </c>
      <c r="S175">
        <v>5.7960000000000003</v>
      </c>
      <c r="T175">
        <v>0</v>
      </c>
      <c r="U175">
        <v>75</v>
      </c>
      <c r="V175">
        <v>973</v>
      </c>
      <c r="W175">
        <v>45.86</v>
      </c>
      <c r="Y175">
        <v>14.47</v>
      </c>
    </row>
    <row r="176" spans="1:25" x14ac:dyDescent="0.25">
      <c r="A176">
        <v>2007</v>
      </c>
      <c r="B176">
        <v>83</v>
      </c>
      <c r="C176">
        <v>1500</v>
      </c>
      <c r="D176">
        <v>518.4</v>
      </c>
      <c r="E176">
        <v>303.2</v>
      </c>
      <c r="F176">
        <v>8.59</v>
      </c>
      <c r="G176">
        <v>10.52</v>
      </c>
      <c r="K176">
        <v>0.94399999999999995</v>
      </c>
      <c r="L176">
        <v>124.9</v>
      </c>
      <c r="M176">
        <v>0</v>
      </c>
      <c r="O176">
        <v>613.79999999999995</v>
      </c>
      <c r="P176">
        <v>210.1</v>
      </c>
      <c r="Q176">
        <v>8.4700000000000006</v>
      </c>
      <c r="S176">
        <v>6.0049999999999999</v>
      </c>
      <c r="T176">
        <v>0</v>
      </c>
      <c r="U176">
        <v>77.599999999999994</v>
      </c>
      <c r="V176">
        <v>974</v>
      </c>
      <c r="W176">
        <v>45.99</v>
      </c>
      <c r="Y176">
        <v>14.37</v>
      </c>
    </row>
    <row r="177" spans="1:25" x14ac:dyDescent="0.25">
      <c r="A177">
        <v>2007</v>
      </c>
      <c r="B177">
        <v>83</v>
      </c>
      <c r="C177">
        <v>1600</v>
      </c>
      <c r="D177">
        <v>410.1</v>
      </c>
      <c r="E177">
        <v>233.4</v>
      </c>
      <c r="F177">
        <v>8.3800000000000008</v>
      </c>
      <c r="G177">
        <v>10.7</v>
      </c>
      <c r="K177">
        <v>1.181</v>
      </c>
      <c r="L177">
        <v>110.8</v>
      </c>
      <c r="M177">
        <v>0</v>
      </c>
      <c r="O177">
        <v>483.2</v>
      </c>
      <c r="P177">
        <v>198.1</v>
      </c>
      <c r="Q177">
        <v>9.09</v>
      </c>
      <c r="S177">
        <v>6.2080000000000002</v>
      </c>
      <c r="T177">
        <v>0</v>
      </c>
      <c r="U177">
        <v>73.400000000000006</v>
      </c>
      <c r="V177">
        <v>980</v>
      </c>
      <c r="W177">
        <v>46.7</v>
      </c>
      <c r="Y177">
        <v>14.35</v>
      </c>
    </row>
    <row r="178" spans="1:25" x14ac:dyDescent="0.25">
      <c r="A178">
        <v>2007</v>
      </c>
      <c r="B178">
        <v>83</v>
      </c>
      <c r="C178">
        <v>1700</v>
      </c>
      <c r="D178">
        <v>277.5</v>
      </c>
      <c r="E178">
        <v>142.30000000000001</v>
      </c>
      <c r="F178">
        <v>7.85</v>
      </c>
      <c r="G178">
        <v>10.1</v>
      </c>
      <c r="K178">
        <v>1.6240000000000001</v>
      </c>
      <c r="L178">
        <v>103.6</v>
      </c>
      <c r="M178">
        <v>0</v>
      </c>
      <c r="O178">
        <v>325.7</v>
      </c>
      <c r="P178">
        <v>165.3</v>
      </c>
      <c r="Q178">
        <v>9.4499999999999993</v>
      </c>
      <c r="S178">
        <v>6.4109999999999996</v>
      </c>
      <c r="T178">
        <v>0</v>
      </c>
      <c r="U178">
        <v>73.599999999999994</v>
      </c>
      <c r="V178">
        <v>981</v>
      </c>
      <c r="W178">
        <v>46.73</v>
      </c>
      <c r="Y178">
        <v>13.99</v>
      </c>
    </row>
    <row r="179" spans="1:25" x14ac:dyDescent="0.25">
      <c r="A179">
        <v>2007</v>
      </c>
      <c r="B179">
        <v>83</v>
      </c>
      <c r="C179">
        <v>1800</v>
      </c>
      <c r="D179">
        <v>108.6</v>
      </c>
      <c r="E179">
        <v>15.27</v>
      </c>
      <c r="F179">
        <v>6.6310000000000002</v>
      </c>
      <c r="G179">
        <v>8.44</v>
      </c>
      <c r="K179">
        <v>1.4490000000000001</v>
      </c>
      <c r="L179">
        <v>105.1</v>
      </c>
      <c r="M179">
        <v>0</v>
      </c>
      <c r="O179">
        <v>119.5</v>
      </c>
      <c r="P179">
        <v>77.7</v>
      </c>
      <c r="Q179">
        <v>9.52</v>
      </c>
      <c r="S179">
        <v>6.6150000000000002</v>
      </c>
      <c r="T179">
        <v>0</v>
      </c>
      <c r="U179">
        <v>77.400000000000006</v>
      </c>
      <c r="V179">
        <v>976</v>
      </c>
      <c r="W179">
        <v>46.27</v>
      </c>
      <c r="Y179">
        <v>13.67</v>
      </c>
    </row>
    <row r="180" spans="1:25" x14ac:dyDescent="0.25">
      <c r="A180">
        <v>2007</v>
      </c>
      <c r="B180">
        <v>83</v>
      </c>
      <c r="C180">
        <v>1900</v>
      </c>
      <c r="D180">
        <v>12.69</v>
      </c>
      <c r="E180">
        <v>-55.81</v>
      </c>
      <c r="F180">
        <v>4.8479999999999999</v>
      </c>
      <c r="G180">
        <v>5.4420000000000002</v>
      </c>
      <c r="K180">
        <v>0.44400000000000001</v>
      </c>
      <c r="L180">
        <v>158.6</v>
      </c>
      <c r="M180">
        <v>0</v>
      </c>
      <c r="O180">
        <v>6.7389999999999999</v>
      </c>
      <c r="P180">
        <v>1.1020000000000001</v>
      </c>
      <c r="Q180">
        <v>9.35</v>
      </c>
      <c r="S180">
        <v>6.7430000000000003</v>
      </c>
      <c r="T180">
        <v>0</v>
      </c>
      <c r="U180">
        <v>91.9</v>
      </c>
      <c r="V180">
        <v>982</v>
      </c>
      <c r="W180">
        <v>46.84</v>
      </c>
      <c r="Y180">
        <v>13.5</v>
      </c>
    </row>
    <row r="181" spans="1:25" x14ac:dyDescent="0.25">
      <c r="A181">
        <v>2007</v>
      </c>
      <c r="B181">
        <v>83</v>
      </c>
      <c r="C181">
        <v>2000</v>
      </c>
      <c r="D181">
        <v>-3.7450000000000001</v>
      </c>
      <c r="E181">
        <v>-53.84</v>
      </c>
      <c r="F181">
        <v>1.452</v>
      </c>
      <c r="G181">
        <v>1.6160000000000001</v>
      </c>
      <c r="K181">
        <v>0.30099999999999999</v>
      </c>
      <c r="L181">
        <v>186</v>
      </c>
      <c r="M181">
        <v>0</v>
      </c>
      <c r="O181">
        <v>-11.44</v>
      </c>
      <c r="P181">
        <v>-10.84</v>
      </c>
      <c r="Q181">
        <v>8.98</v>
      </c>
      <c r="S181">
        <v>6.8570000000000002</v>
      </c>
      <c r="T181">
        <v>0</v>
      </c>
      <c r="U181">
        <v>97.2</v>
      </c>
      <c r="V181">
        <v>988</v>
      </c>
      <c r="W181">
        <v>47.49</v>
      </c>
      <c r="Y181">
        <v>13.39</v>
      </c>
    </row>
    <row r="182" spans="1:25" x14ac:dyDescent="0.25">
      <c r="A182">
        <v>2007</v>
      </c>
      <c r="B182">
        <v>83</v>
      </c>
      <c r="C182">
        <v>2100</v>
      </c>
      <c r="D182">
        <v>-3.411</v>
      </c>
      <c r="E182">
        <v>-43.32</v>
      </c>
      <c r="F182">
        <v>8.1000000000000003E-2</v>
      </c>
      <c r="G182">
        <v>0.32900000000000001</v>
      </c>
      <c r="K182">
        <v>0.24</v>
      </c>
      <c r="L182">
        <v>194.6</v>
      </c>
      <c r="M182">
        <v>0</v>
      </c>
      <c r="O182">
        <v>-11.5</v>
      </c>
      <c r="P182">
        <v>-10.85</v>
      </c>
      <c r="Q182">
        <v>8.5</v>
      </c>
      <c r="S182">
        <v>6.89</v>
      </c>
      <c r="T182">
        <v>0</v>
      </c>
      <c r="U182">
        <v>95.6</v>
      </c>
      <c r="V182">
        <v>987</v>
      </c>
      <c r="W182">
        <v>47.46</v>
      </c>
      <c r="Y182">
        <v>13.31</v>
      </c>
    </row>
    <row r="183" spans="1:25" x14ac:dyDescent="0.25">
      <c r="A183">
        <v>2007</v>
      </c>
      <c r="B183">
        <v>83</v>
      </c>
      <c r="C183">
        <v>2200</v>
      </c>
      <c r="D183">
        <v>-2.9820000000000002</v>
      </c>
      <c r="E183">
        <v>-39.07</v>
      </c>
      <c r="F183">
        <v>-0.76400000000000001</v>
      </c>
      <c r="G183">
        <v>-0.60499999999999998</v>
      </c>
      <c r="K183">
        <v>0.28699999999999998</v>
      </c>
      <c r="L183">
        <v>209.6</v>
      </c>
      <c r="M183">
        <v>0</v>
      </c>
      <c r="O183">
        <v>-11.5</v>
      </c>
      <c r="P183">
        <v>-10.85</v>
      </c>
      <c r="Q183">
        <v>8</v>
      </c>
      <c r="S183">
        <v>6.8810000000000002</v>
      </c>
      <c r="T183">
        <v>0</v>
      </c>
      <c r="U183">
        <v>97.1</v>
      </c>
      <c r="V183">
        <v>1007</v>
      </c>
      <c r="W183">
        <v>49.81</v>
      </c>
      <c r="Y183">
        <v>13.23</v>
      </c>
    </row>
    <row r="184" spans="1:25" x14ac:dyDescent="0.25">
      <c r="A184">
        <v>2007</v>
      </c>
      <c r="B184">
        <v>83</v>
      </c>
      <c r="C184">
        <v>2300</v>
      </c>
      <c r="D184">
        <v>-2.9590000000000001</v>
      </c>
      <c r="E184">
        <v>-31.68</v>
      </c>
      <c r="F184">
        <v>-0.51</v>
      </c>
      <c r="G184">
        <v>-1.0820000000000001</v>
      </c>
      <c r="K184">
        <v>0.14699999999999999</v>
      </c>
      <c r="L184">
        <v>194.7</v>
      </c>
      <c r="M184">
        <v>0</v>
      </c>
      <c r="O184">
        <v>-11.49</v>
      </c>
      <c r="P184">
        <v>-10.82</v>
      </c>
      <c r="Q184">
        <v>7.51</v>
      </c>
      <c r="S184">
        <v>6.83</v>
      </c>
      <c r="T184">
        <v>0</v>
      </c>
      <c r="U184">
        <v>111.1</v>
      </c>
      <c r="V184">
        <v>1035</v>
      </c>
      <c r="W184">
        <v>53.74</v>
      </c>
      <c r="Y184">
        <v>13.16</v>
      </c>
    </row>
    <row r="185" spans="1:25" x14ac:dyDescent="0.25">
      <c r="A185">
        <v>2007</v>
      </c>
      <c r="B185">
        <v>83</v>
      </c>
      <c r="C185">
        <v>2400</v>
      </c>
      <c r="D185">
        <v>-2.8159999999999998</v>
      </c>
      <c r="E185">
        <v>-29.42</v>
      </c>
      <c r="F185">
        <v>-1.7869999999999999</v>
      </c>
      <c r="G185">
        <v>-1.597</v>
      </c>
      <c r="K185">
        <v>0.156</v>
      </c>
      <c r="L185">
        <v>184.1</v>
      </c>
      <c r="M185">
        <v>0</v>
      </c>
      <c r="O185">
        <v>-11.34</v>
      </c>
      <c r="P185">
        <v>-10.66</v>
      </c>
      <c r="Q185">
        <v>7.03</v>
      </c>
      <c r="S185">
        <v>6.6779999999999999</v>
      </c>
      <c r="T185">
        <v>0</v>
      </c>
      <c r="U185">
        <v>96.3</v>
      </c>
      <c r="V185">
        <v>1071</v>
      </c>
      <c r="W185">
        <v>59.29</v>
      </c>
      <c r="Y185">
        <v>13.09</v>
      </c>
    </row>
    <row r="186" spans="1:25" x14ac:dyDescent="0.25">
      <c r="A186">
        <v>2007</v>
      </c>
      <c r="B186">
        <v>84</v>
      </c>
      <c r="C186">
        <v>100</v>
      </c>
      <c r="D186">
        <v>-2.67</v>
      </c>
      <c r="E186">
        <v>-27.02</v>
      </c>
      <c r="F186">
        <v>-2.246</v>
      </c>
      <c r="G186">
        <v>-1.8740000000000001</v>
      </c>
      <c r="K186">
        <v>0.19500000000000001</v>
      </c>
      <c r="L186">
        <v>195.4</v>
      </c>
      <c r="M186">
        <v>0</v>
      </c>
      <c r="O186">
        <v>-11.06</v>
      </c>
      <c r="P186">
        <v>-10.44</v>
      </c>
      <c r="Q186">
        <v>6.6020000000000003</v>
      </c>
      <c r="S186">
        <v>6.5579999999999998</v>
      </c>
      <c r="T186">
        <v>0</v>
      </c>
      <c r="U186">
        <v>92.7</v>
      </c>
      <c r="V186">
        <v>1017</v>
      </c>
      <c r="W186">
        <v>51.03</v>
      </c>
      <c r="Y186">
        <v>13.02</v>
      </c>
    </row>
    <row r="187" spans="1:25" x14ac:dyDescent="0.25">
      <c r="A187">
        <v>2007</v>
      </c>
      <c r="B187">
        <v>84</v>
      </c>
      <c r="C187">
        <v>200</v>
      </c>
      <c r="D187">
        <v>-2.6920000000000002</v>
      </c>
      <c r="E187">
        <v>-19.54</v>
      </c>
      <c r="F187">
        <v>-0.44800000000000001</v>
      </c>
      <c r="G187">
        <v>1.2390000000000001</v>
      </c>
      <c r="K187">
        <v>0.56799999999999995</v>
      </c>
      <c r="L187">
        <v>132</v>
      </c>
      <c r="M187">
        <v>0</v>
      </c>
      <c r="O187">
        <v>-10.98</v>
      </c>
      <c r="P187">
        <v>-10.3</v>
      </c>
      <c r="Q187">
        <v>6.2359999999999998</v>
      </c>
      <c r="S187">
        <v>6.4359999999999999</v>
      </c>
      <c r="T187">
        <v>0</v>
      </c>
      <c r="U187">
        <v>72</v>
      </c>
      <c r="V187">
        <v>994</v>
      </c>
      <c r="W187">
        <v>48.28</v>
      </c>
      <c r="Y187">
        <v>12.96</v>
      </c>
    </row>
    <row r="188" spans="1:25" x14ac:dyDescent="0.25">
      <c r="A188">
        <v>2007</v>
      </c>
      <c r="B188">
        <v>84</v>
      </c>
      <c r="C188">
        <v>300</v>
      </c>
      <c r="D188">
        <v>-2.33</v>
      </c>
      <c r="E188">
        <v>-20.57</v>
      </c>
      <c r="F188">
        <v>-0.49199999999999999</v>
      </c>
      <c r="G188">
        <v>-0.57999999999999996</v>
      </c>
      <c r="K188">
        <v>0.23100000000000001</v>
      </c>
      <c r="L188">
        <v>159.6</v>
      </c>
      <c r="M188">
        <v>0</v>
      </c>
      <c r="O188">
        <v>-11.07</v>
      </c>
      <c r="P188">
        <v>-10.4</v>
      </c>
      <c r="Q188">
        <v>5.8769999999999998</v>
      </c>
      <c r="S188">
        <v>6.2549999999999999</v>
      </c>
      <c r="T188">
        <v>0</v>
      </c>
      <c r="U188">
        <v>101.8</v>
      </c>
      <c r="V188">
        <v>984</v>
      </c>
      <c r="W188">
        <v>47.05</v>
      </c>
      <c r="Y188">
        <v>12.91</v>
      </c>
    </row>
    <row r="189" spans="1:25" x14ac:dyDescent="0.25">
      <c r="A189">
        <v>2007</v>
      </c>
      <c r="B189">
        <v>84</v>
      </c>
      <c r="C189">
        <v>400</v>
      </c>
      <c r="D189">
        <v>-2.097</v>
      </c>
      <c r="E189">
        <v>-18.600000000000001</v>
      </c>
      <c r="F189">
        <v>-1.429</v>
      </c>
      <c r="G189">
        <v>-1.258</v>
      </c>
      <c r="K189">
        <v>0.26700000000000002</v>
      </c>
      <c r="L189">
        <v>181</v>
      </c>
      <c r="M189">
        <v>0</v>
      </c>
      <c r="O189">
        <v>-10.9</v>
      </c>
      <c r="P189">
        <v>-10.27</v>
      </c>
      <c r="Q189">
        <v>5.5860000000000003</v>
      </c>
      <c r="S189">
        <v>6.0940000000000003</v>
      </c>
      <c r="T189">
        <v>0</v>
      </c>
      <c r="U189">
        <v>96.8</v>
      </c>
      <c r="V189">
        <v>975</v>
      </c>
      <c r="W189">
        <v>46.1</v>
      </c>
      <c r="Y189">
        <v>12.87</v>
      </c>
    </row>
    <row r="190" spans="1:25" x14ac:dyDescent="0.25">
      <c r="A190">
        <v>2007</v>
      </c>
      <c r="B190">
        <v>84</v>
      </c>
      <c r="C190">
        <v>500</v>
      </c>
      <c r="D190">
        <v>0.252</v>
      </c>
      <c r="E190">
        <v>-6.6319999999999997</v>
      </c>
      <c r="F190">
        <v>-0.38700000000000001</v>
      </c>
      <c r="G190">
        <v>1.1200000000000001</v>
      </c>
      <c r="K190">
        <v>0.32200000000000001</v>
      </c>
      <c r="L190">
        <v>129.19999999999999</v>
      </c>
      <c r="M190">
        <v>0</v>
      </c>
      <c r="O190">
        <v>-10.86</v>
      </c>
      <c r="P190">
        <v>-10.23</v>
      </c>
      <c r="Q190">
        <v>5.3339999999999996</v>
      </c>
      <c r="S190">
        <v>5.9660000000000002</v>
      </c>
      <c r="T190">
        <v>0</v>
      </c>
      <c r="U190">
        <v>75.400000000000006</v>
      </c>
      <c r="V190">
        <v>963</v>
      </c>
      <c r="W190">
        <v>44.86</v>
      </c>
      <c r="Y190">
        <v>12.85</v>
      </c>
    </row>
    <row r="191" spans="1:25" x14ac:dyDescent="0.25">
      <c r="A191">
        <v>2007</v>
      </c>
      <c r="B191">
        <v>84</v>
      </c>
      <c r="C191">
        <v>600</v>
      </c>
      <c r="D191">
        <v>-0.46700000000000003</v>
      </c>
      <c r="E191">
        <v>-8.64</v>
      </c>
      <c r="F191">
        <v>2.1379999999999999</v>
      </c>
      <c r="G191">
        <v>2.8290000000000002</v>
      </c>
      <c r="K191">
        <v>0.23699999999999999</v>
      </c>
      <c r="L191">
        <v>55.49</v>
      </c>
      <c r="M191">
        <v>0</v>
      </c>
      <c r="O191">
        <v>-10.92</v>
      </c>
      <c r="P191">
        <v>-10.33</v>
      </c>
      <c r="Q191">
        <v>5.141</v>
      </c>
      <c r="S191">
        <v>5.806</v>
      </c>
      <c r="T191">
        <v>0</v>
      </c>
      <c r="U191">
        <v>89.1</v>
      </c>
      <c r="V191">
        <v>953</v>
      </c>
      <c r="W191">
        <v>43.91</v>
      </c>
      <c r="Y191">
        <v>12.83</v>
      </c>
    </row>
    <row r="192" spans="1:25" x14ac:dyDescent="0.25">
      <c r="A192">
        <v>2007</v>
      </c>
      <c r="B192">
        <v>84</v>
      </c>
      <c r="C192">
        <v>700</v>
      </c>
      <c r="D192">
        <v>15.26</v>
      </c>
      <c r="E192">
        <v>-4.4400000000000004</v>
      </c>
      <c r="F192">
        <v>3.4630000000000001</v>
      </c>
      <c r="G192">
        <v>4.0940000000000003</v>
      </c>
      <c r="K192">
        <v>0.69599999999999995</v>
      </c>
      <c r="L192">
        <v>86.3</v>
      </c>
      <c r="M192">
        <v>0</v>
      </c>
      <c r="O192">
        <v>10.5</v>
      </c>
      <c r="P192">
        <v>-4.2380000000000004</v>
      </c>
      <c r="Q192">
        <v>5.0510000000000002</v>
      </c>
      <c r="S192">
        <v>5.6829999999999998</v>
      </c>
      <c r="T192">
        <v>0</v>
      </c>
      <c r="U192">
        <v>90.5</v>
      </c>
      <c r="V192">
        <v>949</v>
      </c>
      <c r="W192">
        <v>43.52</v>
      </c>
      <c r="Y192">
        <v>12.83</v>
      </c>
    </row>
    <row r="193" spans="1:25" x14ac:dyDescent="0.25">
      <c r="A193">
        <v>2007</v>
      </c>
      <c r="B193">
        <v>84</v>
      </c>
      <c r="C193">
        <v>800</v>
      </c>
      <c r="D193">
        <v>27.27</v>
      </c>
      <c r="E193">
        <v>12.61</v>
      </c>
      <c r="F193">
        <v>4.0410000000000004</v>
      </c>
      <c r="G193">
        <v>4.6909999999999998</v>
      </c>
      <c r="K193">
        <v>1.327</v>
      </c>
      <c r="L193">
        <v>96</v>
      </c>
      <c r="M193">
        <v>0</v>
      </c>
      <c r="O193">
        <v>23.37</v>
      </c>
      <c r="P193">
        <v>-1.661</v>
      </c>
      <c r="Q193">
        <v>5.0170000000000003</v>
      </c>
      <c r="S193">
        <v>5.5759999999999996</v>
      </c>
      <c r="T193">
        <v>0</v>
      </c>
      <c r="U193">
        <v>90.4</v>
      </c>
      <c r="V193">
        <v>947</v>
      </c>
      <c r="W193">
        <v>43.3</v>
      </c>
      <c r="Y193">
        <v>12.9</v>
      </c>
    </row>
    <row r="194" spans="1:25" x14ac:dyDescent="0.25">
      <c r="A194">
        <v>2007</v>
      </c>
      <c r="B194">
        <v>84</v>
      </c>
      <c r="C194">
        <v>900</v>
      </c>
      <c r="D194">
        <v>56.31</v>
      </c>
      <c r="E194">
        <v>31.26</v>
      </c>
      <c r="F194">
        <v>4.726</v>
      </c>
      <c r="G194">
        <v>5.5069999999999997</v>
      </c>
      <c r="H194">
        <f>AVERAGE(G194:G217)</f>
        <v>6.7417083333333316</v>
      </c>
      <c r="I194">
        <f>MIN(G194:G217)</f>
        <v>1.6930000000000001</v>
      </c>
      <c r="J194">
        <f>MAX(F194:F217)</f>
        <v>8.81</v>
      </c>
      <c r="K194">
        <v>1.752</v>
      </c>
      <c r="L194">
        <v>94.2</v>
      </c>
      <c r="M194">
        <v>0</v>
      </c>
      <c r="N194">
        <f>SUM(M194:M217)</f>
        <v>0</v>
      </c>
      <c r="O194">
        <v>63.09</v>
      </c>
      <c r="P194">
        <v>8.5299999999999994</v>
      </c>
      <c r="Q194">
        <v>5.0599999999999996</v>
      </c>
      <c r="S194">
        <v>5.4370000000000003</v>
      </c>
      <c r="T194">
        <v>0</v>
      </c>
      <c r="U194">
        <v>88.9</v>
      </c>
      <c r="V194">
        <v>944</v>
      </c>
      <c r="W194">
        <v>43.09</v>
      </c>
      <c r="Y194">
        <v>12.99</v>
      </c>
    </row>
    <row r="195" spans="1:25" x14ac:dyDescent="0.25">
      <c r="A195">
        <v>2007</v>
      </c>
      <c r="B195">
        <v>84</v>
      </c>
      <c r="C195">
        <v>1000</v>
      </c>
      <c r="D195">
        <v>111.4</v>
      </c>
      <c r="E195">
        <v>64.400000000000006</v>
      </c>
      <c r="F195">
        <v>5.2190000000000003</v>
      </c>
      <c r="G195">
        <v>6.4889999999999999</v>
      </c>
      <c r="K195">
        <v>1.972</v>
      </c>
      <c r="L195">
        <v>91.3</v>
      </c>
      <c r="M195">
        <v>0</v>
      </c>
      <c r="O195">
        <v>134.6</v>
      </c>
      <c r="P195">
        <v>28.43</v>
      </c>
      <c r="Q195">
        <v>5.2210000000000001</v>
      </c>
      <c r="S195">
        <v>5.4119999999999999</v>
      </c>
      <c r="T195">
        <v>0</v>
      </c>
      <c r="U195">
        <v>82.7</v>
      </c>
      <c r="V195">
        <v>941</v>
      </c>
      <c r="W195">
        <v>42.81</v>
      </c>
      <c r="Y195">
        <v>13.5</v>
      </c>
    </row>
    <row r="196" spans="1:25" x14ac:dyDescent="0.25">
      <c r="A196">
        <v>2007</v>
      </c>
      <c r="B196">
        <v>84</v>
      </c>
      <c r="C196">
        <v>1100</v>
      </c>
      <c r="D196">
        <v>165.4</v>
      </c>
      <c r="E196">
        <v>98.2</v>
      </c>
      <c r="F196">
        <v>5.6289999999999996</v>
      </c>
      <c r="G196">
        <v>7.17</v>
      </c>
      <c r="K196">
        <v>2.9630000000000001</v>
      </c>
      <c r="L196">
        <v>93.9</v>
      </c>
      <c r="M196">
        <v>0</v>
      </c>
      <c r="O196">
        <v>201.6</v>
      </c>
      <c r="P196">
        <v>47.01</v>
      </c>
      <c r="Q196">
        <v>5.415</v>
      </c>
      <c r="S196">
        <v>5.359</v>
      </c>
      <c r="T196">
        <v>0</v>
      </c>
      <c r="U196">
        <v>79.7</v>
      </c>
      <c r="V196">
        <v>941</v>
      </c>
      <c r="W196">
        <v>42.82</v>
      </c>
      <c r="Y196">
        <v>13.69</v>
      </c>
    </row>
    <row r="197" spans="1:25" x14ac:dyDescent="0.25">
      <c r="A197">
        <v>2007</v>
      </c>
      <c r="B197">
        <v>84</v>
      </c>
      <c r="C197">
        <v>1200</v>
      </c>
      <c r="D197">
        <v>315.2</v>
      </c>
      <c r="E197">
        <v>192.1</v>
      </c>
      <c r="F197">
        <v>6.3049999999999997</v>
      </c>
      <c r="G197">
        <v>8.2200000000000006</v>
      </c>
      <c r="K197">
        <v>3.399</v>
      </c>
      <c r="L197">
        <v>94.6</v>
      </c>
      <c r="M197">
        <v>0</v>
      </c>
      <c r="O197">
        <v>385.8</v>
      </c>
      <c r="P197">
        <v>101</v>
      </c>
      <c r="Q197">
        <v>5.7409999999999997</v>
      </c>
      <c r="S197">
        <v>5.4189999999999996</v>
      </c>
      <c r="T197">
        <v>0</v>
      </c>
      <c r="U197">
        <v>75.900000000000006</v>
      </c>
      <c r="V197">
        <v>943</v>
      </c>
      <c r="W197">
        <v>42.94</v>
      </c>
      <c r="Y197">
        <v>14.05</v>
      </c>
    </row>
    <row r="198" spans="1:25" x14ac:dyDescent="0.25">
      <c r="A198">
        <v>2007</v>
      </c>
      <c r="B198">
        <v>84</v>
      </c>
      <c r="C198">
        <v>1300</v>
      </c>
      <c r="D198">
        <v>498</v>
      </c>
      <c r="E198">
        <v>294.89999999999998</v>
      </c>
      <c r="F198">
        <v>7.32</v>
      </c>
      <c r="G198">
        <v>9.69</v>
      </c>
      <c r="K198">
        <v>3.36</v>
      </c>
      <c r="L198">
        <v>93.7</v>
      </c>
      <c r="M198">
        <v>0</v>
      </c>
      <c r="O198">
        <v>599.5</v>
      </c>
      <c r="P198">
        <v>166.7</v>
      </c>
      <c r="Q198">
        <v>6.1639999999999997</v>
      </c>
      <c r="S198">
        <v>5.4790000000000001</v>
      </c>
      <c r="T198">
        <v>0</v>
      </c>
      <c r="U198">
        <v>71.900000000000006</v>
      </c>
      <c r="V198">
        <v>949</v>
      </c>
      <c r="W198">
        <v>43.49</v>
      </c>
      <c r="Y198">
        <v>14.58</v>
      </c>
    </row>
    <row r="199" spans="1:25" x14ac:dyDescent="0.25">
      <c r="A199">
        <v>2007</v>
      </c>
      <c r="B199">
        <v>84</v>
      </c>
      <c r="C199">
        <v>1400</v>
      </c>
      <c r="D199">
        <v>496.9</v>
      </c>
      <c r="E199">
        <v>287.3</v>
      </c>
      <c r="F199">
        <v>8.07</v>
      </c>
      <c r="G199">
        <v>10.56</v>
      </c>
      <c r="K199">
        <v>2.5009999999999999</v>
      </c>
      <c r="L199">
        <v>91.3</v>
      </c>
      <c r="M199">
        <v>0</v>
      </c>
      <c r="O199">
        <v>585.4</v>
      </c>
      <c r="P199">
        <v>175.3</v>
      </c>
      <c r="Q199">
        <v>6.7640000000000002</v>
      </c>
      <c r="S199">
        <v>5.5419999999999998</v>
      </c>
      <c r="T199">
        <v>0</v>
      </c>
      <c r="U199">
        <v>71.400000000000006</v>
      </c>
      <c r="V199">
        <v>954</v>
      </c>
      <c r="W199">
        <v>44.02</v>
      </c>
      <c r="Y199">
        <v>14.48</v>
      </c>
    </row>
    <row r="200" spans="1:25" x14ac:dyDescent="0.25">
      <c r="A200">
        <v>2007</v>
      </c>
      <c r="B200">
        <v>84</v>
      </c>
      <c r="C200">
        <v>1500</v>
      </c>
      <c r="D200">
        <v>473.8</v>
      </c>
      <c r="E200">
        <v>275.7</v>
      </c>
      <c r="F200">
        <v>8.81</v>
      </c>
      <c r="G200">
        <v>11.28</v>
      </c>
      <c r="K200">
        <v>2.2490000000000001</v>
      </c>
      <c r="L200">
        <v>91.8</v>
      </c>
      <c r="M200">
        <v>0</v>
      </c>
      <c r="O200">
        <v>567.1</v>
      </c>
      <c r="P200">
        <v>187.4</v>
      </c>
      <c r="Q200">
        <v>7.4</v>
      </c>
      <c r="S200">
        <v>5.6689999999999996</v>
      </c>
      <c r="T200">
        <v>0</v>
      </c>
      <c r="U200">
        <v>72.3</v>
      </c>
      <c r="V200">
        <v>954</v>
      </c>
      <c r="W200">
        <v>43.96</v>
      </c>
      <c r="Y200">
        <v>14.42</v>
      </c>
    </row>
    <row r="201" spans="1:25" x14ac:dyDescent="0.25">
      <c r="A201">
        <v>2007</v>
      </c>
      <c r="B201">
        <v>84</v>
      </c>
      <c r="C201">
        <v>1600</v>
      </c>
      <c r="D201">
        <v>386.8</v>
      </c>
      <c r="E201">
        <v>217.3</v>
      </c>
      <c r="F201">
        <v>8.52</v>
      </c>
      <c r="G201">
        <v>11.32</v>
      </c>
      <c r="K201">
        <v>2.7170000000000001</v>
      </c>
      <c r="L201">
        <v>96.9</v>
      </c>
      <c r="M201">
        <v>0</v>
      </c>
      <c r="O201">
        <v>458.7</v>
      </c>
      <c r="P201">
        <v>181.1</v>
      </c>
      <c r="Q201">
        <v>7.99</v>
      </c>
      <c r="S201">
        <v>5.8220000000000001</v>
      </c>
      <c r="T201">
        <v>0</v>
      </c>
      <c r="U201">
        <v>68.78</v>
      </c>
      <c r="V201">
        <v>957</v>
      </c>
      <c r="W201">
        <v>44.3</v>
      </c>
      <c r="Y201">
        <v>14.34</v>
      </c>
    </row>
    <row r="202" spans="1:25" x14ac:dyDescent="0.25">
      <c r="A202">
        <v>2007</v>
      </c>
      <c r="B202">
        <v>84</v>
      </c>
      <c r="C202">
        <v>1700</v>
      </c>
      <c r="D202">
        <v>248.6</v>
      </c>
      <c r="E202">
        <v>124.4</v>
      </c>
      <c r="F202">
        <v>8.61</v>
      </c>
      <c r="G202">
        <v>11.13</v>
      </c>
      <c r="K202">
        <v>2.39</v>
      </c>
      <c r="L202">
        <v>95.4</v>
      </c>
      <c r="M202">
        <v>0</v>
      </c>
      <c r="O202">
        <v>293.39999999999998</v>
      </c>
      <c r="P202">
        <v>138.80000000000001</v>
      </c>
      <c r="Q202">
        <v>8.3800000000000008</v>
      </c>
      <c r="S202">
        <v>6.0049999999999999</v>
      </c>
      <c r="T202">
        <v>0</v>
      </c>
      <c r="U202">
        <v>71.599999999999994</v>
      </c>
      <c r="V202">
        <v>959</v>
      </c>
      <c r="W202">
        <v>44.51</v>
      </c>
      <c r="Y202">
        <v>13.95</v>
      </c>
    </row>
    <row r="203" spans="1:25" x14ac:dyDescent="0.25">
      <c r="A203">
        <v>2007</v>
      </c>
      <c r="B203">
        <v>84</v>
      </c>
      <c r="C203">
        <v>1800</v>
      </c>
      <c r="D203">
        <v>97.5</v>
      </c>
      <c r="E203">
        <v>15.21</v>
      </c>
      <c r="F203">
        <v>7.89</v>
      </c>
      <c r="G203">
        <v>9.99</v>
      </c>
      <c r="K203">
        <v>1.9350000000000001</v>
      </c>
      <c r="L203">
        <v>92.6</v>
      </c>
      <c r="M203">
        <v>0</v>
      </c>
      <c r="O203">
        <v>108.5</v>
      </c>
      <c r="P203">
        <v>56.73</v>
      </c>
      <c r="Q203">
        <v>8.5500000000000007</v>
      </c>
      <c r="S203">
        <v>6.1520000000000001</v>
      </c>
      <c r="T203">
        <v>0</v>
      </c>
      <c r="U203">
        <v>75.3</v>
      </c>
      <c r="V203">
        <v>961</v>
      </c>
      <c r="W203">
        <v>44.67</v>
      </c>
      <c r="Y203">
        <v>13.68</v>
      </c>
    </row>
    <row r="204" spans="1:25" x14ac:dyDescent="0.25">
      <c r="A204">
        <v>2007</v>
      </c>
      <c r="B204">
        <v>84</v>
      </c>
      <c r="C204">
        <v>1900</v>
      </c>
      <c r="D204">
        <v>12.88</v>
      </c>
      <c r="E204">
        <v>-45.49</v>
      </c>
      <c r="F204">
        <v>6.4359999999999999</v>
      </c>
      <c r="G204">
        <v>7.53</v>
      </c>
      <c r="K204">
        <v>0.76800000000000002</v>
      </c>
      <c r="L204">
        <v>93.7</v>
      </c>
      <c r="M204">
        <v>0</v>
      </c>
      <c r="O204">
        <v>7.87</v>
      </c>
      <c r="P204">
        <v>-1.27</v>
      </c>
      <c r="Q204">
        <v>8.48</v>
      </c>
      <c r="S204">
        <v>6.3140000000000001</v>
      </c>
      <c r="T204">
        <v>0</v>
      </c>
      <c r="U204">
        <v>85.9</v>
      </c>
      <c r="V204">
        <v>967</v>
      </c>
      <c r="W204">
        <v>45.28</v>
      </c>
      <c r="Y204">
        <v>13.52</v>
      </c>
    </row>
    <row r="205" spans="1:25" x14ac:dyDescent="0.25">
      <c r="A205">
        <v>2007</v>
      </c>
      <c r="B205">
        <v>84</v>
      </c>
      <c r="C205">
        <v>2000</v>
      </c>
      <c r="D205">
        <v>-3.57</v>
      </c>
      <c r="E205">
        <v>-49.14</v>
      </c>
      <c r="F205">
        <v>3.2040000000000002</v>
      </c>
      <c r="G205">
        <v>3.4969999999999999</v>
      </c>
      <c r="K205">
        <v>0.25600000000000001</v>
      </c>
      <c r="L205">
        <v>176.1</v>
      </c>
      <c r="M205">
        <v>0</v>
      </c>
      <c r="O205">
        <v>-11.43</v>
      </c>
      <c r="P205">
        <v>-10.84</v>
      </c>
      <c r="Q205">
        <v>8.25</v>
      </c>
      <c r="S205">
        <v>6.41</v>
      </c>
      <c r="T205">
        <v>0</v>
      </c>
      <c r="U205">
        <v>95.5</v>
      </c>
      <c r="V205">
        <v>978</v>
      </c>
      <c r="W205">
        <v>46.39</v>
      </c>
      <c r="Y205">
        <v>13.41</v>
      </c>
    </row>
    <row r="206" spans="1:25" x14ac:dyDescent="0.25">
      <c r="A206">
        <v>2007</v>
      </c>
      <c r="B206">
        <v>84</v>
      </c>
      <c r="C206">
        <v>2100</v>
      </c>
      <c r="D206">
        <v>-2.8980000000000001</v>
      </c>
      <c r="E206">
        <v>-37.35</v>
      </c>
      <c r="F206">
        <v>1.5189999999999999</v>
      </c>
      <c r="G206">
        <v>1.6930000000000001</v>
      </c>
      <c r="K206">
        <v>0.19700000000000001</v>
      </c>
      <c r="L206">
        <v>181.6</v>
      </c>
      <c r="M206">
        <v>0</v>
      </c>
      <c r="O206">
        <v>-11.5</v>
      </c>
      <c r="P206">
        <v>-10.84</v>
      </c>
      <c r="Q206">
        <v>7.9</v>
      </c>
      <c r="S206">
        <v>6.4610000000000003</v>
      </c>
      <c r="T206">
        <v>0</v>
      </c>
      <c r="U206">
        <v>97.1</v>
      </c>
      <c r="V206">
        <v>989</v>
      </c>
      <c r="W206">
        <v>47.64</v>
      </c>
      <c r="Y206">
        <v>13.32</v>
      </c>
    </row>
    <row r="207" spans="1:25" x14ac:dyDescent="0.25">
      <c r="A207">
        <v>2007</v>
      </c>
      <c r="B207">
        <v>84</v>
      </c>
      <c r="C207">
        <v>2200</v>
      </c>
      <c r="D207">
        <v>-3.0950000000000002</v>
      </c>
      <c r="E207">
        <v>-25.82</v>
      </c>
      <c r="F207">
        <v>4.1749999999999998</v>
      </c>
      <c r="G207">
        <v>5.2249999999999996</v>
      </c>
      <c r="K207">
        <v>1.2989999999999999</v>
      </c>
      <c r="L207">
        <v>108</v>
      </c>
      <c r="M207">
        <v>0</v>
      </c>
      <c r="O207">
        <v>-11.5</v>
      </c>
      <c r="P207">
        <v>-10.85</v>
      </c>
      <c r="Q207">
        <v>7.54</v>
      </c>
      <c r="S207">
        <v>6.4870000000000001</v>
      </c>
      <c r="T207">
        <v>0</v>
      </c>
      <c r="U207">
        <v>85</v>
      </c>
      <c r="V207">
        <v>1004</v>
      </c>
      <c r="W207">
        <v>49.4</v>
      </c>
      <c r="Y207">
        <v>13.24</v>
      </c>
    </row>
    <row r="208" spans="1:25" x14ac:dyDescent="0.25">
      <c r="A208">
        <v>2007</v>
      </c>
      <c r="B208">
        <v>84</v>
      </c>
      <c r="C208">
        <v>2300</v>
      </c>
      <c r="D208">
        <v>-2.9590000000000001</v>
      </c>
      <c r="E208">
        <v>-25.56</v>
      </c>
      <c r="F208">
        <v>5.1269999999999998</v>
      </c>
      <c r="G208">
        <v>6.0720000000000001</v>
      </c>
      <c r="K208">
        <v>1.603</v>
      </c>
      <c r="L208">
        <v>110.3</v>
      </c>
      <c r="M208">
        <v>0</v>
      </c>
      <c r="O208">
        <v>-11.5</v>
      </c>
      <c r="P208">
        <v>-10.85</v>
      </c>
      <c r="Q208">
        <v>7.2</v>
      </c>
      <c r="S208">
        <v>6.4779999999999998</v>
      </c>
      <c r="T208">
        <v>0</v>
      </c>
      <c r="U208">
        <v>86.9</v>
      </c>
      <c r="V208">
        <v>1014</v>
      </c>
      <c r="W208">
        <v>50.64</v>
      </c>
      <c r="Y208">
        <v>13.17</v>
      </c>
    </row>
    <row r="209" spans="1:25" x14ac:dyDescent="0.25">
      <c r="A209">
        <v>2007</v>
      </c>
      <c r="B209">
        <v>84</v>
      </c>
      <c r="C209">
        <v>2400</v>
      </c>
      <c r="D209">
        <v>-2.6840000000000002</v>
      </c>
      <c r="E209">
        <v>-25.94</v>
      </c>
      <c r="F209">
        <v>4.8550000000000004</v>
      </c>
      <c r="G209">
        <v>5.5789999999999997</v>
      </c>
      <c r="K209">
        <v>1.657</v>
      </c>
      <c r="L209">
        <v>100.9</v>
      </c>
      <c r="M209">
        <v>0</v>
      </c>
      <c r="O209">
        <v>-11.5</v>
      </c>
      <c r="P209">
        <v>-10.85</v>
      </c>
      <c r="Q209">
        <v>6.899</v>
      </c>
      <c r="S209">
        <v>6.3959999999999999</v>
      </c>
      <c r="T209">
        <v>0</v>
      </c>
      <c r="U209">
        <v>89.8</v>
      </c>
      <c r="V209">
        <v>1014</v>
      </c>
      <c r="W209">
        <v>50.74</v>
      </c>
      <c r="Y209">
        <v>13.1</v>
      </c>
    </row>
    <row r="210" spans="1:25" x14ac:dyDescent="0.25">
      <c r="A210">
        <v>2007</v>
      </c>
      <c r="B210">
        <v>85</v>
      </c>
      <c r="C210">
        <v>100</v>
      </c>
      <c r="D210">
        <v>-2.4740000000000002</v>
      </c>
      <c r="E210">
        <v>-23.48</v>
      </c>
      <c r="F210">
        <v>4.3769999999999998</v>
      </c>
      <c r="G210">
        <v>4.9960000000000004</v>
      </c>
      <c r="K210">
        <v>1.5940000000000001</v>
      </c>
      <c r="L210">
        <v>98.8</v>
      </c>
      <c r="M210">
        <v>0</v>
      </c>
      <c r="O210">
        <v>-11.51</v>
      </c>
      <c r="P210">
        <v>-10.85</v>
      </c>
      <c r="Q210">
        <v>6.6840000000000002</v>
      </c>
      <c r="S210">
        <v>6.3259999999999996</v>
      </c>
      <c r="T210">
        <v>0</v>
      </c>
      <c r="U210">
        <v>91</v>
      </c>
      <c r="V210">
        <v>1000</v>
      </c>
      <c r="W210">
        <v>48.94</v>
      </c>
      <c r="Y210">
        <v>13.04</v>
      </c>
    </row>
    <row r="211" spans="1:25" x14ac:dyDescent="0.25">
      <c r="A211">
        <v>2007</v>
      </c>
      <c r="B211">
        <v>85</v>
      </c>
      <c r="C211">
        <v>200</v>
      </c>
      <c r="D211">
        <v>-2.4929999999999999</v>
      </c>
      <c r="E211">
        <v>-21.43</v>
      </c>
      <c r="F211">
        <v>4.37</v>
      </c>
      <c r="G211">
        <v>4.9980000000000002</v>
      </c>
      <c r="K211">
        <v>1.8340000000000001</v>
      </c>
      <c r="L211">
        <v>105.5</v>
      </c>
      <c r="M211">
        <v>0</v>
      </c>
      <c r="O211">
        <v>-11.51</v>
      </c>
      <c r="P211">
        <v>-10.85</v>
      </c>
      <c r="Q211">
        <v>6.4720000000000004</v>
      </c>
      <c r="S211">
        <v>6.2469999999999999</v>
      </c>
      <c r="T211">
        <v>0</v>
      </c>
      <c r="U211">
        <v>90.9</v>
      </c>
      <c r="V211">
        <v>996</v>
      </c>
      <c r="W211">
        <v>48.44</v>
      </c>
      <c r="Y211">
        <v>12.98</v>
      </c>
    </row>
    <row r="212" spans="1:25" x14ac:dyDescent="0.25">
      <c r="A212">
        <v>2007</v>
      </c>
      <c r="B212">
        <v>85</v>
      </c>
      <c r="C212">
        <v>300</v>
      </c>
      <c r="D212">
        <v>-2.2989999999999999</v>
      </c>
      <c r="E212">
        <v>-18.02</v>
      </c>
      <c r="F212">
        <v>3.6920000000000002</v>
      </c>
      <c r="G212">
        <v>4.2610000000000001</v>
      </c>
      <c r="K212">
        <v>0.73</v>
      </c>
      <c r="L212">
        <v>97</v>
      </c>
      <c r="M212">
        <v>0</v>
      </c>
      <c r="O212">
        <v>-11.51</v>
      </c>
      <c r="P212">
        <v>-10.85</v>
      </c>
      <c r="Q212">
        <v>6.2510000000000003</v>
      </c>
      <c r="S212">
        <v>6.13</v>
      </c>
      <c r="T212">
        <v>0</v>
      </c>
      <c r="U212">
        <v>91.5</v>
      </c>
      <c r="V212">
        <v>994</v>
      </c>
      <c r="W212">
        <v>48.28</v>
      </c>
      <c r="Y212">
        <v>12.93</v>
      </c>
    </row>
    <row r="213" spans="1:25" x14ac:dyDescent="0.25">
      <c r="A213">
        <v>2007</v>
      </c>
      <c r="B213">
        <v>85</v>
      </c>
      <c r="C213">
        <v>400</v>
      </c>
      <c r="D213">
        <v>-0.66200000000000003</v>
      </c>
      <c r="E213">
        <v>-4.1500000000000004</v>
      </c>
      <c r="F213">
        <v>4.5019999999999998</v>
      </c>
      <c r="G213">
        <v>5.0720000000000001</v>
      </c>
      <c r="K213">
        <v>1.5089999999999999</v>
      </c>
      <c r="L213">
        <v>110.1</v>
      </c>
      <c r="M213">
        <v>0</v>
      </c>
      <c r="O213">
        <v>-11.5</v>
      </c>
      <c r="P213">
        <v>-10.85</v>
      </c>
      <c r="Q213">
        <v>6.048</v>
      </c>
      <c r="S213">
        <v>6.0570000000000004</v>
      </c>
      <c r="T213">
        <v>0</v>
      </c>
      <c r="U213">
        <v>91.7</v>
      </c>
      <c r="V213">
        <v>989</v>
      </c>
      <c r="W213">
        <v>47.6</v>
      </c>
      <c r="Y213">
        <v>12.9</v>
      </c>
    </row>
    <row r="214" spans="1:25" x14ac:dyDescent="0.25">
      <c r="A214">
        <v>2007</v>
      </c>
      <c r="B214">
        <v>85</v>
      </c>
      <c r="C214">
        <v>500</v>
      </c>
      <c r="D214">
        <v>-0.63400000000000001</v>
      </c>
      <c r="E214">
        <v>-4.7539999999999996</v>
      </c>
      <c r="F214">
        <v>4.7309999999999999</v>
      </c>
      <c r="G214">
        <v>5.2619999999999996</v>
      </c>
      <c r="K214">
        <v>1.23</v>
      </c>
      <c r="L214">
        <v>94.4</v>
      </c>
      <c r="M214">
        <v>0</v>
      </c>
      <c r="O214">
        <v>-11.5</v>
      </c>
      <c r="P214">
        <v>-10.85</v>
      </c>
      <c r="Q214">
        <v>5.9560000000000004</v>
      </c>
      <c r="S214">
        <v>5.9619999999999997</v>
      </c>
      <c r="T214">
        <v>0</v>
      </c>
      <c r="U214">
        <v>92.3</v>
      </c>
      <c r="V214">
        <v>980</v>
      </c>
      <c r="W214">
        <v>46.6</v>
      </c>
      <c r="Y214">
        <v>12.87</v>
      </c>
    </row>
    <row r="215" spans="1:25" x14ac:dyDescent="0.25">
      <c r="A215">
        <v>2007</v>
      </c>
      <c r="B215">
        <v>85</v>
      </c>
      <c r="C215">
        <v>600</v>
      </c>
      <c r="D215">
        <v>-1.006</v>
      </c>
      <c r="E215">
        <v>-11.57</v>
      </c>
      <c r="F215">
        <v>4.6340000000000003</v>
      </c>
      <c r="G215">
        <v>5.2610000000000001</v>
      </c>
      <c r="K215">
        <v>1.913</v>
      </c>
      <c r="L215">
        <v>103.5</v>
      </c>
      <c r="M215">
        <v>0</v>
      </c>
      <c r="O215">
        <v>-11.29</v>
      </c>
      <c r="P215">
        <v>-10.78</v>
      </c>
      <c r="Q215">
        <v>5.9080000000000004</v>
      </c>
      <c r="S215">
        <v>5.8760000000000003</v>
      </c>
      <c r="T215">
        <v>0</v>
      </c>
      <c r="U215">
        <v>91</v>
      </c>
      <c r="V215">
        <v>972</v>
      </c>
      <c r="W215">
        <v>45.74</v>
      </c>
      <c r="Y215">
        <v>12.85</v>
      </c>
    </row>
    <row r="216" spans="1:25" x14ac:dyDescent="0.25">
      <c r="A216">
        <v>2007</v>
      </c>
      <c r="B216">
        <v>85</v>
      </c>
      <c r="C216">
        <v>700</v>
      </c>
      <c r="D216">
        <v>10.220000000000001</v>
      </c>
      <c r="E216">
        <v>-3.496</v>
      </c>
      <c r="F216">
        <v>4.6269999999999998</v>
      </c>
      <c r="G216">
        <v>5.34</v>
      </c>
      <c r="K216">
        <v>1.8149999999999999</v>
      </c>
      <c r="L216">
        <v>106</v>
      </c>
      <c r="M216">
        <v>0</v>
      </c>
      <c r="O216">
        <v>2.7149999999999999</v>
      </c>
      <c r="P216">
        <v>-7.02</v>
      </c>
      <c r="Q216">
        <v>5.9059999999999997</v>
      </c>
      <c r="S216">
        <v>5.83</v>
      </c>
      <c r="T216">
        <v>0</v>
      </c>
      <c r="U216">
        <v>89.8</v>
      </c>
      <c r="V216">
        <v>970</v>
      </c>
      <c r="W216">
        <v>45.6</v>
      </c>
      <c r="Y216">
        <v>12.84</v>
      </c>
    </row>
    <row r="217" spans="1:25" x14ac:dyDescent="0.25">
      <c r="A217">
        <v>2007</v>
      </c>
      <c r="B217">
        <v>85</v>
      </c>
      <c r="C217">
        <v>800</v>
      </c>
      <c r="D217">
        <v>73.599999999999994</v>
      </c>
      <c r="E217">
        <v>36.19</v>
      </c>
      <c r="F217">
        <v>5.0860000000000003</v>
      </c>
      <c r="G217">
        <v>5.6589999999999998</v>
      </c>
      <c r="K217">
        <v>1.276</v>
      </c>
      <c r="L217">
        <v>100.6</v>
      </c>
      <c r="M217">
        <v>0</v>
      </c>
      <c r="O217">
        <v>84.3</v>
      </c>
      <c r="P217">
        <v>19.11</v>
      </c>
      <c r="Q217">
        <v>5.9050000000000002</v>
      </c>
      <c r="S217">
        <v>5.7450000000000001</v>
      </c>
      <c r="T217">
        <v>0</v>
      </c>
      <c r="U217">
        <v>91.9</v>
      </c>
      <c r="V217">
        <v>969</v>
      </c>
      <c r="W217">
        <v>45.45</v>
      </c>
      <c r="Y217">
        <v>13.07</v>
      </c>
    </row>
    <row r="218" spans="1:25" x14ac:dyDescent="0.25">
      <c r="A218">
        <v>2007</v>
      </c>
      <c r="B218">
        <v>85</v>
      </c>
      <c r="C218">
        <v>900</v>
      </c>
      <c r="D218">
        <v>227.2</v>
      </c>
      <c r="E218">
        <v>135.5</v>
      </c>
      <c r="F218">
        <v>6.1829999999999998</v>
      </c>
      <c r="G218">
        <v>6.976</v>
      </c>
      <c r="H218">
        <f>AVERAGE(G218:G241)</f>
        <v>6.2319999999999993</v>
      </c>
      <c r="I218">
        <f>MIN(G218:G241)</f>
        <v>0.95299999999999996</v>
      </c>
      <c r="J218">
        <f>MAX(F218:F241)</f>
        <v>9.09</v>
      </c>
      <c r="K218">
        <v>1.4850000000000001</v>
      </c>
      <c r="L218">
        <v>96.4</v>
      </c>
      <c r="M218">
        <v>0</v>
      </c>
      <c r="N218">
        <f>SUM(M218:M241)</f>
        <v>0</v>
      </c>
      <c r="O218">
        <v>287.3</v>
      </c>
      <c r="P218">
        <v>87.4</v>
      </c>
      <c r="Q218">
        <v>5.9450000000000003</v>
      </c>
      <c r="S218">
        <v>5.7569999999999997</v>
      </c>
      <c r="T218">
        <v>0</v>
      </c>
      <c r="U218">
        <v>89.4</v>
      </c>
      <c r="V218">
        <v>966</v>
      </c>
      <c r="W218">
        <v>45.18</v>
      </c>
      <c r="Y218">
        <v>14.2</v>
      </c>
    </row>
    <row r="219" spans="1:25" x14ac:dyDescent="0.25">
      <c r="A219">
        <v>2007</v>
      </c>
      <c r="B219">
        <v>85</v>
      </c>
      <c r="C219">
        <v>1000</v>
      </c>
      <c r="D219">
        <v>229.4</v>
      </c>
      <c r="E219">
        <v>137.1</v>
      </c>
      <c r="F219">
        <v>6.444</v>
      </c>
      <c r="G219">
        <v>7.65</v>
      </c>
      <c r="K219">
        <v>2.4350000000000001</v>
      </c>
      <c r="L219">
        <v>99</v>
      </c>
      <c r="M219">
        <v>0</v>
      </c>
      <c r="O219">
        <v>277.7</v>
      </c>
      <c r="P219">
        <v>70.900000000000006</v>
      </c>
      <c r="Q219">
        <v>6.0890000000000004</v>
      </c>
      <c r="S219">
        <v>5.7480000000000002</v>
      </c>
      <c r="T219">
        <v>0</v>
      </c>
      <c r="U219">
        <v>84.3</v>
      </c>
      <c r="V219">
        <v>966</v>
      </c>
      <c r="W219">
        <v>45.13</v>
      </c>
      <c r="Y219">
        <v>14.05</v>
      </c>
    </row>
    <row r="220" spans="1:25" x14ac:dyDescent="0.25">
      <c r="A220">
        <v>2007</v>
      </c>
      <c r="B220">
        <v>85</v>
      </c>
      <c r="C220">
        <v>1100</v>
      </c>
      <c r="D220">
        <v>385.9</v>
      </c>
      <c r="E220">
        <v>238.5</v>
      </c>
      <c r="F220">
        <v>7.18</v>
      </c>
      <c r="G220">
        <v>8.67</v>
      </c>
      <c r="K220">
        <v>2.6429999999999998</v>
      </c>
      <c r="L220">
        <v>99.9</v>
      </c>
      <c r="M220">
        <v>0</v>
      </c>
      <c r="O220">
        <v>474.3</v>
      </c>
      <c r="P220">
        <v>129.69999999999999</v>
      </c>
      <c r="Q220">
        <v>6.3710000000000004</v>
      </c>
      <c r="S220">
        <v>5.7560000000000002</v>
      </c>
      <c r="T220">
        <v>0</v>
      </c>
      <c r="U220">
        <v>81.5</v>
      </c>
      <c r="V220">
        <v>966</v>
      </c>
      <c r="W220">
        <v>45.13</v>
      </c>
      <c r="Y220">
        <v>14.43</v>
      </c>
    </row>
    <row r="221" spans="1:25" x14ac:dyDescent="0.25">
      <c r="A221">
        <v>2007</v>
      </c>
      <c r="B221">
        <v>85</v>
      </c>
      <c r="C221">
        <v>1200</v>
      </c>
      <c r="D221">
        <v>402.3</v>
      </c>
      <c r="E221">
        <v>233.9</v>
      </c>
      <c r="F221">
        <v>7.48</v>
      </c>
      <c r="G221">
        <v>9.24</v>
      </c>
      <c r="K221">
        <v>2.843</v>
      </c>
      <c r="L221">
        <v>104.2</v>
      </c>
      <c r="M221">
        <v>0</v>
      </c>
      <c r="O221">
        <v>482.3</v>
      </c>
      <c r="P221">
        <v>131.9</v>
      </c>
      <c r="Q221">
        <v>6.8140000000000001</v>
      </c>
      <c r="S221">
        <v>5.774</v>
      </c>
      <c r="T221">
        <v>0</v>
      </c>
      <c r="U221">
        <v>78.599999999999994</v>
      </c>
      <c r="V221">
        <v>962</v>
      </c>
      <c r="W221">
        <v>44.79</v>
      </c>
      <c r="Y221">
        <v>14.34</v>
      </c>
    </row>
    <row r="222" spans="1:25" x14ac:dyDescent="0.25">
      <c r="A222">
        <v>2007</v>
      </c>
      <c r="B222">
        <v>85</v>
      </c>
      <c r="C222">
        <v>1300</v>
      </c>
      <c r="D222">
        <v>590</v>
      </c>
      <c r="E222">
        <v>349.3</v>
      </c>
      <c r="F222">
        <v>8.4600000000000009</v>
      </c>
      <c r="G222">
        <v>10.58</v>
      </c>
      <c r="K222">
        <v>2.4889999999999999</v>
      </c>
      <c r="L222">
        <v>111</v>
      </c>
      <c r="M222">
        <v>0</v>
      </c>
      <c r="O222">
        <v>709</v>
      </c>
      <c r="P222">
        <v>195.5</v>
      </c>
      <c r="Q222">
        <v>7.4</v>
      </c>
      <c r="S222">
        <v>5.8949999999999996</v>
      </c>
      <c r="T222">
        <v>0</v>
      </c>
      <c r="U222">
        <v>75.5</v>
      </c>
      <c r="V222">
        <v>964</v>
      </c>
      <c r="W222">
        <v>45</v>
      </c>
      <c r="Y222">
        <v>14.69</v>
      </c>
    </row>
    <row r="223" spans="1:25" x14ac:dyDescent="0.25">
      <c r="A223">
        <v>2007</v>
      </c>
      <c r="B223">
        <v>85</v>
      </c>
      <c r="C223">
        <v>1400</v>
      </c>
      <c r="D223">
        <v>580.6</v>
      </c>
      <c r="E223">
        <v>336.4</v>
      </c>
      <c r="F223">
        <v>9.09</v>
      </c>
      <c r="G223">
        <v>11.45</v>
      </c>
      <c r="K223">
        <v>2.1819999999999999</v>
      </c>
      <c r="L223">
        <v>104</v>
      </c>
      <c r="M223">
        <v>0</v>
      </c>
      <c r="O223">
        <v>684.5</v>
      </c>
      <c r="P223">
        <v>205.4</v>
      </c>
      <c r="Q223">
        <v>8.1</v>
      </c>
      <c r="S223">
        <v>6.0270000000000001</v>
      </c>
      <c r="T223">
        <v>0</v>
      </c>
      <c r="U223">
        <v>73.599999999999994</v>
      </c>
      <c r="V223">
        <v>961</v>
      </c>
      <c r="W223">
        <v>44.72</v>
      </c>
      <c r="Y223">
        <v>14.52</v>
      </c>
    </row>
    <row r="224" spans="1:25" x14ac:dyDescent="0.25">
      <c r="A224">
        <v>2007</v>
      </c>
      <c r="B224">
        <v>85</v>
      </c>
      <c r="C224">
        <v>1500</v>
      </c>
      <c r="D224">
        <v>347.7</v>
      </c>
      <c r="E224">
        <v>191</v>
      </c>
      <c r="F224">
        <v>8.94</v>
      </c>
      <c r="G224">
        <v>11.33</v>
      </c>
      <c r="K224">
        <v>2.2509999999999999</v>
      </c>
      <c r="L224">
        <v>105.4</v>
      </c>
      <c r="M224">
        <v>0</v>
      </c>
      <c r="O224">
        <v>418.2</v>
      </c>
      <c r="P224">
        <v>124.7</v>
      </c>
      <c r="Q224">
        <v>8.82</v>
      </c>
      <c r="S224">
        <v>6.1630000000000003</v>
      </c>
      <c r="T224">
        <v>0</v>
      </c>
      <c r="U224">
        <v>73.2</v>
      </c>
      <c r="V224">
        <v>961</v>
      </c>
      <c r="W224">
        <v>44.66</v>
      </c>
      <c r="Y224">
        <v>14.15</v>
      </c>
    </row>
    <row r="225" spans="1:25" x14ac:dyDescent="0.25">
      <c r="A225">
        <v>2007</v>
      </c>
      <c r="B225">
        <v>85</v>
      </c>
      <c r="C225">
        <v>1600</v>
      </c>
      <c r="D225">
        <v>378.4</v>
      </c>
      <c r="E225">
        <v>207.6</v>
      </c>
      <c r="F225">
        <v>8.81</v>
      </c>
      <c r="G225">
        <v>11.01</v>
      </c>
      <c r="K225">
        <v>2.1509999999999998</v>
      </c>
      <c r="L225">
        <v>108.2</v>
      </c>
      <c r="M225">
        <v>0</v>
      </c>
      <c r="O225">
        <v>450.6</v>
      </c>
      <c r="P225">
        <v>173.3</v>
      </c>
      <c r="Q225">
        <v>9.33</v>
      </c>
      <c r="S225">
        <v>6.391</v>
      </c>
      <c r="T225">
        <v>0</v>
      </c>
      <c r="U225">
        <v>75</v>
      </c>
      <c r="V225">
        <v>960</v>
      </c>
      <c r="W225">
        <v>44.62</v>
      </c>
      <c r="Y225">
        <v>14.22</v>
      </c>
    </row>
    <row r="226" spans="1:25" x14ac:dyDescent="0.25">
      <c r="A226">
        <v>2007</v>
      </c>
      <c r="B226">
        <v>85</v>
      </c>
      <c r="C226">
        <v>1700</v>
      </c>
      <c r="D226">
        <v>250.4</v>
      </c>
      <c r="E226">
        <v>120.8</v>
      </c>
      <c r="F226">
        <v>8.5399999999999991</v>
      </c>
      <c r="G226">
        <v>10.66</v>
      </c>
      <c r="K226">
        <v>2.06</v>
      </c>
      <c r="L226">
        <v>106.8</v>
      </c>
      <c r="M226">
        <v>0</v>
      </c>
      <c r="O226">
        <v>294.5</v>
      </c>
      <c r="P226">
        <v>136.5</v>
      </c>
      <c r="Q226">
        <v>9.57</v>
      </c>
      <c r="S226">
        <v>6.6210000000000004</v>
      </c>
      <c r="T226">
        <v>0</v>
      </c>
      <c r="U226">
        <v>75.5</v>
      </c>
      <c r="V226">
        <v>959</v>
      </c>
      <c r="W226">
        <v>44.45</v>
      </c>
      <c r="Y226">
        <v>13.94</v>
      </c>
    </row>
    <row r="227" spans="1:25" x14ac:dyDescent="0.25">
      <c r="A227">
        <v>2007</v>
      </c>
      <c r="B227">
        <v>85</v>
      </c>
      <c r="C227">
        <v>1800</v>
      </c>
      <c r="D227">
        <v>98.3</v>
      </c>
      <c r="E227">
        <v>12.7</v>
      </c>
      <c r="F227">
        <v>7.98</v>
      </c>
      <c r="G227">
        <v>9.85</v>
      </c>
      <c r="K227">
        <v>1.407</v>
      </c>
      <c r="L227">
        <v>103.8</v>
      </c>
      <c r="M227">
        <v>0</v>
      </c>
      <c r="O227">
        <v>110</v>
      </c>
      <c r="P227">
        <v>57.49</v>
      </c>
      <c r="Q227">
        <v>9.6</v>
      </c>
      <c r="S227">
        <v>6.7789999999999999</v>
      </c>
      <c r="T227">
        <v>0</v>
      </c>
      <c r="U227">
        <v>77.7</v>
      </c>
      <c r="V227">
        <v>960</v>
      </c>
      <c r="W227">
        <v>44.62</v>
      </c>
      <c r="Y227">
        <v>13.67</v>
      </c>
    </row>
    <row r="228" spans="1:25" x14ac:dyDescent="0.25">
      <c r="A228">
        <v>2007</v>
      </c>
      <c r="B228">
        <v>85</v>
      </c>
      <c r="C228">
        <v>1900</v>
      </c>
      <c r="D228">
        <v>14.27</v>
      </c>
      <c r="E228">
        <v>-48.39</v>
      </c>
      <c r="F228">
        <v>6.9039999999999999</v>
      </c>
      <c r="G228">
        <v>8.2899999999999991</v>
      </c>
      <c r="K228">
        <v>0.93200000000000005</v>
      </c>
      <c r="L228">
        <v>107.3</v>
      </c>
      <c r="M228">
        <v>0</v>
      </c>
      <c r="O228">
        <v>9.1300000000000008</v>
      </c>
      <c r="P228">
        <v>0.995</v>
      </c>
      <c r="Q228">
        <v>9.4700000000000006</v>
      </c>
      <c r="S228">
        <v>6.9539999999999997</v>
      </c>
      <c r="T228">
        <v>0</v>
      </c>
      <c r="U228">
        <v>82.4</v>
      </c>
      <c r="V228">
        <v>964</v>
      </c>
      <c r="W228">
        <v>44.93</v>
      </c>
      <c r="Y228">
        <v>13.51</v>
      </c>
    </row>
    <row r="229" spans="1:25" x14ac:dyDescent="0.25">
      <c r="A229">
        <v>2007</v>
      </c>
      <c r="B229">
        <v>85</v>
      </c>
      <c r="C229">
        <v>2000</v>
      </c>
      <c r="D229">
        <v>-4.3319999999999999</v>
      </c>
      <c r="E229">
        <v>-54.72</v>
      </c>
      <c r="F229">
        <v>3.8969999999999998</v>
      </c>
      <c r="G229">
        <v>4.0949999999999998</v>
      </c>
      <c r="K229">
        <v>0.13600000000000001</v>
      </c>
      <c r="L229">
        <v>136.9</v>
      </c>
      <c r="M229">
        <v>0</v>
      </c>
      <c r="O229">
        <v>-11.39</v>
      </c>
      <c r="P229">
        <v>-10.83</v>
      </c>
      <c r="Q229">
        <v>9.17</v>
      </c>
      <c r="S229">
        <v>7.04</v>
      </c>
      <c r="T229">
        <v>0</v>
      </c>
      <c r="U229">
        <v>97.1</v>
      </c>
      <c r="V229">
        <v>967</v>
      </c>
      <c r="W229">
        <v>45.3</v>
      </c>
      <c r="Y229">
        <v>13.41</v>
      </c>
    </row>
    <row r="230" spans="1:25" x14ac:dyDescent="0.25">
      <c r="A230">
        <v>2007</v>
      </c>
      <c r="B230">
        <v>85</v>
      </c>
      <c r="C230">
        <v>2100</v>
      </c>
      <c r="D230">
        <v>-3.226</v>
      </c>
      <c r="E230">
        <v>-36.22</v>
      </c>
      <c r="F230">
        <v>3.6040000000000001</v>
      </c>
      <c r="G230">
        <v>4.1619999999999999</v>
      </c>
      <c r="K230">
        <v>0.31</v>
      </c>
      <c r="L230">
        <v>136.69999999999999</v>
      </c>
      <c r="M230">
        <v>0</v>
      </c>
      <c r="O230">
        <v>-11.5</v>
      </c>
      <c r="P230">
        <v>-10.84</v>
      </c>
      <c r="Q230">
        <v>8.76</v>
      </c>
      <c r="S230">
        <v>7.05</v>
      </c>
      <c r="T230">
        <v>0</v>
      </c>
      <c r="U230">
        <v>91.7</v>
      </c>
      <c r="V230">
        <v>970</v>
      </c>
      <c r="W230">
        <v>45.59</v>
      </c>
      <c r="Y230">
        <v>13.32</v>
      </c>
    </row>
    <row r="231" spans="1:25" x14ac:dyDescent="0.25">
      <c r="A231">
        <v>2007</v>
      </c>
      <c r="B231">
        <v>85</v>
      </c>
      <c r="C231">
        <v>2200</v>
      </c>
      <c r="D231">
        <v>-2.8889999999999998</v>
      </c>
      <c r="E231">
        <v>-32.89</v>
      </c>
      <c r="F231">
        <v>1.417</v>
      </c>
      <c r="G231">
        <v>1.659</v>
      </c>
      <c r="K231">
        <v>0.20399999999999999</v>
      </c>
      <c r="L231">
        <v>175.8</v>
      </c>
      <c r="M231">
        <v>0</v>
      </c>
      <c r="O231">
        <v>-11.5</v>
      </c>
      <c r="P231">
        <v>-10.85</v>
      </c>
      <c r="Q231">
        <v>8.3000000000000007</v>
      </c>
      <c r="S231">
        <v>7.05</v>
      </c>
      <c r="T231">
        <v>0</v>
      </c>
      <c r="U231">
        <v>95.9</v>
      </c>
      <c r="V231">
        <v>985</v>
      </c>
      <c r="W231">
        <v>47.24</v>
      </c>
      <c r="Y231">
        <v>13.24</v>
      </c>
    </row>
    <row r="232" spans="1:25" x14ac:dyDescent="0.25">
      <c r="A232">
        <v>2007</v>
      </c>
      <c r="B232">
        <v>85</v>
      </c>
      <c r="C232">
        <v>2300</v>
      </c>
      <c r="D232">
        <v>-2.4340000000000002</v>
      </c>
      <c r="E232">
        <v>-31.01</v>
      </c>
      <c r="F232">
        <v>0.64300000000000002</v>
      </c>
      <c r="G232">
        <v>0.95299999999999996</v>
      </c>
      <c r="K232">
        <v>0.14799999999999999</v>
      </c>
      <c r="L232">
        <v>181.7</v>
      </c>
      <c r="M232">
        <v>0</v>
      </c>
      <c r="O232">
        <v>-11.5</v>
      </c>
      <c r="P232">
        <v>-10.85</v>
      </c>
      <c r="Q232">
        <v>7.88</v>
      </c>
      <c r="S232">
        <v>6.9960000000000004</v>
      </c>
      <c r="T232">
        <v>0</v>
      </c>
      <c r="U232">
        <v>94.7</v>
      </c>
      <c r="V232">
        <v>1020</v>
      </c>
      <c r="W232">
        <v>51.52</v>
      </c>
      <c r="Y232">
        <v>13.17</v>
      </c>
    </row>
    <row r="233" spans="1:25" x14ac:dyDescent="0.25">
      <c r="A233">
        <v>2007</v>
      </c>
      <c r="B233">
        <v>85</v>
      </c>
      <c r="C233">
        <v>2400</v>
      </c>
      <c r="D233">
        <v>-2.5249999999999999</v>
      </c>
      <c r="E233">
        <v>-21.82</v>
      </c>
      <c r="F233">
        <v>2.2930000000000001</v>
      </c>
      <c r="G233">
        <v>2.907</v>
      </c>
      <c r="K233">
        <v>0.47199999999999998</v>
      </c>
      <c r="L233">
        <v>100.3</v>
      </c>
      <c r="M233">
        <v>0</v>
      </c>
      <c r="O233">
        <v>-11.5</v>
      </c>
      <c r="P233">
        <v>-10.85</v>
      </c>
      <c r="Q233">
        <v>7.46</v>
      </c>
      <c r="S233">
        <v>6.9050000000000002</v>
      </c>
      <c r="T233">
        <v>0</v>
      </c>
      <c r="U233">
        <v>90.4</v>
      </c>
      <c r="V233">
        <v>1076</v>
      </c>
      <c r="W233">
        <v>60.06</v>
      </c>
      <c r="Y233">
        <v>13.1</v>
      </c>
    </row>
    <row r="234" spans="1:25" x14ac:dyDescent="0.25">
      <c r="A234">
        <v>2007</v>
      </c>
      <c r="B234">
        <v>86</v>
      </c>
      <c r="C234">
        <v>100</v>
      </c>
      <c r="D234">
        <v>-2.3210000000000002</v>
      </c>
      <c r="E234">
        <v>-18.79</v>
      </c>
      <c r="F234">
        <v>2.7839999999999998</v>
      </c>
      <c r="G234">
        <v>3.3450000000000002</v>
      </c>
      <c r="K234">
        <v>0.79800000000000004</v>
      </c>
      <c r="L234">
        <v>93.6</v>
      </c>
      <c r="M234">
        <v>0</v>
      </c>
      <c r="O234">
        <v>-11.5</v>
      </c>
      <c r="P234">
        <v>-10.85</v>
      </c>
      <c r="Q234">
        <v>7.08</v>
      </c>
      <c r="S234">
        <v>6.7869999999999999</v>
      </c>
      <c r="T234">
        <v>0</v>
      </c>
      <c r="U234">
        <v>91.3</v>
      </c>
      <c r="V234">
        <v>1028</v>
      </c>
      <c r="W234">
        <v>52.78</v>
      </c>
      <c r="Y234">
        <v>13.03</v>
      </c>
    </row>
    <row r="235" spans="1:25" x14ac:dyDescent="0.25">
      <c r="A235">
        <v>2007</v>
      </c>
      <c r="B235">
        <v>86</v>
      </c>
      <c r="C235">
        <v>200</v>
      </c>
      <c r="D235">
        <v>-2.673</v>
      </c>
      <c r="E235">
        <v>-23.77</v>
      </c>
      <c r="F235">
        <v>1.784</v>
      </c>
      <c r="G235">
        <v>2.1800000000000002</v>
      </c>
      <c r="K235">
        <v>0.21299999999999999</v>
      </c>
      <c r="L235">
        <v>80.5</v>
      </c>
      <c r="M235">
        <v>0</v>
      </c>
      <c r="O235">
        <v>-11.5</v>
      </c>
      <c r="P235">
        <v>-10.84</v>
      </c>
      <c r="Q235">
        <v>6.7549999999999999</v>
      </c>
      <c r="S235">
        <v>6.6559999999999997</v>
      </c>
      <c r="T235">
        <v>0</v>
      </c>
      <c r="U235">
        <v>93.5</v>
      </c>
      <c r="V235">
        <v>995</v>
      </c>
      <c r="W235">
        <v>48.29</v>
      </c>
      <c r="Y235">
        <v>12.97</v>
      </c>
    </row>
    <row r="236" spans="1:25" x14ac:dyDescent="0.25">
      <c r="A236">
        <v>2007</v>
      </c>
      <c r="B236">
        <v>86</v>
      </c>
      <c r="C236">
        <v>300</v>
      </c>
      <c r="D236">
        <v>-2.3140000000000001</v>
      </c>
      <c r="E236">
        <v>-17.100000000000001</v>
      </c>
      <c r="F236">
        <v>2.036</v>
      </c>
      <c r="G236">
        <v>2.633</v>
      </c>
      <c r="K236">
        <v>0.64400000000000002</v>
      </c>
      <c r="L236">
        <v>90.3</v>
      </c>
      <c r="M236">
        <v>0</v>
      </c>
      <c r="O236">
        <v>-11.5</v>
      </c>
      <c r="P236">
        <v>-10.8</v>
      </c>
      <c r="Q236">
        <v>6.4939999999999998</v>
      </c>
      <c r="S236">
        <v>6.5570000000000004</v>
      </c>
      <c r="T236">
        <v>0</v>
      </c>
      <c r="U236">
        <v>90.5</v>
      </c>
      <c r="V236">
        <v>1001</v>
      </c>
      <c r="W236">
        <v>48.99</v>
      </c>
      <c r="Y236">
        <v>12.93</v>
      </c>
    </row>
    <row r="237" spans="1:25" x14ac:dyDescent="0.25">
      <c r="A237">
        <v>2007</v>
      </c>
      <c r="B237">
        <v>86</v>
      </c>
      <c r="C237">
        <v>400</v>
      </c>
      <c r="D237">
        <v>-0.38900000000000001</v>
      </c>
      <c r="E237">
        <v>-3.0739999999999998</v>
      </c>
      <c r="F237">
        <v>3.5590000000000002</v>
      </c>
      <c r="G237">
        <v>4.1079999999999997</v>
      </c>
      <c r="K237">
        <v>0.53500000000000003</v>
      </c>
      <c r="L237">
        <v>89.3</v>
      </c>
      <c r="M237">
        <v>0</v>
      </c>
      <c r="O237">
        <v>-11.49</v>
      </c>
      <c r="P237">
        <v>-10.8</v>
      </c>
      <c r="Q237">
        <v>6.2249999999999996</v>
      </c>
      <c r="S237">
        <v>6.4610000000000003</v>
      </c>
      <c r="T237">
        <v>0</v>
      </c>
      <c r="U237">
        <v>91.7</v>
      </c>
      <c r="V237">
        <v>994</v>
      </c>
      <c r="W237">
        <v>48.28</v>
      </c>
      <c r="Y237">
        <v>12.89</v>
      </c>
    </row>
    <row r="238" spans="1:25" x14ac:dyDescent="0.25">
      <c r="A238">
        <v>2007</v>
      </c>
      <c r="B238">
        <v>86</v>
      </c>
      <c r="C238">
        <v>500</v>
      </c>
      <c r="D238">
        <v>-0.20899999999999999</v>
      </c>
      <c r="E238">
        <v>-1.9970000000000001</v>
      </c>
      <c r="F238">
        <v>4.3140000000000001</v>
      </c>
      <c r="G238">
        <v>4.726</v>
      </c>
      <c r="K238">
        <v>1.014</v>
      </c>
      <c r="L238">
        <v>104.7</v>
      </c>
      <c r="M238">
        <v>0</v>
      </c>
      <c r="O238">
        <v>-11.51</v>
      </c>
      <c r="P238">
        <v>-10.84</v>
      </c>
      <c r="Q238">
        <v>6.0369999999999999</v>
      </c>
      <c r="S238">
        <v>6.298</v>
      </c>
      <c r="T238">
        <v>0</v>
      </c>
      <c r="U238">
        <v>93.9</v>
      </c>
      <c r="V238">
        <v>986</v>
      </c>
      <c r="W238">
        <v>47.36</v>
      </c>
      <c r="Y238">
        <v>12.86</v>
      </c>
    </row>
    <row r="239" spans="1:25" x14ac:dyDescent="0.25">
      <c r="A239">
        <v>2007</v>
      </c>
      <c r="B239">
        <v>86</v>
      </c>
      <c r="C239">
        <v>600</v>
      </c>
      <c r="D239">
        <v>0.127</v>
      </c>
      <c r="E239">
        <v>-3.0190000000000001</v>
      </c>
      <c r="F239">
        <v>4.0830000000000002</v>
      </c>
      <c r="G239">
        <v>4.4219999999999997</v>
      </c>
      <c r="K239">
        <v>1.0720000000000001</v>
      </c>
      <c r="L239">
        <v>103.5</v>
      </c>
      <c r="M239">
        <v>0</v>
      </c>
      <c r="O239">
        <v>-11.15</v>
      </c>
      <c r="P239">
        <v>-10.73</v>
      </c>
      <c r="Q239">
        <v>6.0129999999999999</v>
      </c>
      <c r="S239">
        <v>6.1829999999999998</v>
      </c>
      <c r="T239">
        <v>0</v>
      </c>
      <c r="U239">
        <v>94.9</v>
      </c>
      <c r="V239">
        <v>980</v>
      </c>
      <c r="W239">
        <v>46.65</v>
      </c>
      <c r="Y239">
        <v>12.84</v>
      </c>
    </row>
    <row r="240" spans="1:25" x14ac:dyDescent="0.25">
      <c r="A240">
        <v>2007</v>
      </c>
      <c r="B240">
        <v>86</v>
      </c>
      <c r="C240">
        <v>700</v>
      </c>
      <c r="D240">
        <v>14.94</v>
      </c>
      <c r="E240">
        <v>1.772</v>
      </c>
      <c r="F240">
        <v>3.5750000000000002</v>
      </c>
      <c r="G240">
        <v>3.8679999999999999</v>
      </c>
      <c r="K240">
        <v>1.349</v>
      </c>
      <c r="L240">
        <v>100.1</v>
      </c>
      <c r="M240">
        <v>0</v>
      </c>
      <c r="O240">
        <v>9.89</v>
      </c>
      <c r="P240">
        <v>-4.9240000000000004</v>
      </c>
      <c r="Q240">
        <v>6.0069999999999997</v>
      </c>
      <c r="S240">
        <v>6.0759999999999996</v>
      </c>
      <c r="T240">
        <v>0</v>
      </c>
      <c r="U240">
        <v>95.5</v>
      </c>
      <c r="V240">
        <v>976</v>
      </c>
      <c r="W240">
        <v>46.2</v>
      </c>
      <c r="Y240">
        <v>12.83</v>
      </c>
    </row>
    <row r="241" spans="1:25" x14ac:dyDescent="0.25">
      <c r="A241">
        <v>2007</v>
      </c>
      <c r="B241">
        <v>86</v>
      </c>
      <c r="C241">
        <v>800</v>
      </c>
      <c r="D241">
        <v>59.33</v>
      </c>
      <c r="E241">
        <v>33.85</v>
      </c>
      <c r="F241">
        <v>4.4850000000000003</v>
      </c>
      <c r="G241">
        <v>4.8040000000000003</v>
      </c>
      <c r="K241">
        <v>1.1120000000000001</v>
      </c>
      <c r="L241">
        <v>99.2</v>
      </c>
      <c r="M241">
        <v>0</v>
      </c>
      <c r="O241">
        <v>65.28</v>
      </c>
      <c r="P241">
        <v>9.09</v>
      </c>
      <c r="Q241">
        <v>5.9939999999999998</v>
      </c>
      <c r="S241">
        <v>6.0090000000000003</v>
      </c>
      <c r="T241">
        <v>0</v>
      </c>
      <c r="U241">
        <v>95.3</v>
      </c>
      <c r="V241">
        <v>972</v>
      </c>
      <c r="W241">
        <v>45.79</v>
      </c>
      <c r="Y241">
        <v>13.01</v>
      </c>
    </row>
    <row r="242" spans="1:25" x14ac:dyDescent="0.25">
      <c r="A242">
        <v>2007</v>
      </c>
      <c r="B242">
        <v>86</v>
      </c>
      <c r="C242">
        <v>900</v>
      </c>
      <c r="D242">
        <v>102.6</v>
      </c>
      <c r="E242">
        <v>60.81</v>
      </c>
      <c r="F242">
        <v>5.8949999999999996</v>
      </c>
      <c r="G242">
        <v>6.2389999999999999</v>
      </c>
      <c r="H242">
        <f>AVERAGE(G242:G265)</f>
        <v>5.7971250000000003</v>
      </c>
      <c r="I242">
        <f>MIN(G242:G265)</f>
        <v>0.39400000000000002</v>
      </c>
      <c r="J242">
        <f>MAX(F242:F265)</f>
        <v>11</v>
      </c>
      <c r="K242">
        <v>1.6539999999999999</v>
      </c>
      <c r="L242">
        <v>98.3</v>
      </c>
      <c r="M242">
        <v>0</v>
      </c>
      <c r="N242">
        <f>SUM(M242:M265)</f>
        <v>0</v>
      </c>
      <c r="O242">
        <v>120.3</v>
      </c>
      <c r="P242">
        <v>23.8</v>
      </c>
      <c r="Q242">
        <v>6.0789999999999997</v>
      </c>
      <c r="S242">
        <v>5.9649999999999999</v>
      </c>
      <c r="T242">
        <v>0</v>
      </c>
      <c r="U242">
        <v>95.2</v>
      </c>
      <c r="V242">
        <v>968</v>
      </c>
      <c r="W242">
        <v>45.42</v>
      </c>
      <c r="Y242">
        <v>13.46</v>
      </c>
    </row>
    <row r="243" spans="1:25" x14ac:dyDescent="0.25">
      <c r="A243">
        <v>2007</v>
      </c>
      <c r="B243">
        <v>86</v>
      </c>
      <c r="C243">
        <v>1000</v>
      </c>
      <c r="D243">
        <v>153.9</v>
      </c>
      <c r="E243">
        <v>91.1</v>
      </c>
      <c r="F243">
        <v>6.5419999999999998</v>
      </c>
      <c r="G243">
        <v>7.16</v>
      </c>
      <c r="K243">
        <v>1.657</v>
      </c>
      <c r="L243">
        <v>98.3</v>
      </c>
      <c r="M243">
        <v>0</v>
      </c>
      <c r="O243">
        <v>186.9</v>
      </c>
      <c r="P243">
        <v>42.84</v>
      </c>
      <c r="Q243">
        <v>6.2320000000000002</v>
      </c>
      <c r="S243">
        <v>5.9630000000000001</v>
      </c>
      <c r="T243">
        <v>0</v>
      </c>
      <c r="U243">
        <v>91.7</v>
      </c>
      <c r="V243">
        <v>964</v>
      </c>
      <c r="W243">
        <v>44.98</v>
      </c>
      <c r="Y243">
        <v>13.65</v>
      </c>
    </row>
    <row r="244" spans="1:25" x14ac:dyDescent="0.25">
      <c r="A244">
        <v>2007</v>
      </c>
      <c r="B244">
        <v>86</v>
      </c>
      <c r="C244">
        <v>1100</v>
      </c>
      <c r="D244">
        <v>243.1</v>
      </c>
      <c r="E244">
        <v>146</v>
      </c>
      <c r="F244">
        <v>7.41</v>
      </c>
      <c r="G244">
        <v>8.4600000000000009</v>
      </c>
      <c r="K244">
        <v>1.9079999999999999</v>
      </c>
      <c r="L244">
        <v>97.2</v>
      </c>
      <c r="M244">
        <v>0</v>
      </c>
      <c r="O244">
        <v>297.89999999999998</v>
      </c>
      <c r="P244">
        <v>75</v>
      </c>
      <c r="Q244">
        <v>6.5490000000000004</v>
      </c>
      <c r="S244">
        <v>5.97</v>
      </c>
      <c r="T244">
        <v>0</v>
      </c>
      <c r="U244">
        <v>86.7</v>
      </c>
      <c r="V244">
        <v>960</v>
      </c>
      <c r="W244">
        <v>44.56</v>
      </c>
      <c r="Y244">
        <v>13.9</v>
      </c>
    </row>
    <row r="245" spans="1:25" x14ac:dyDescent="0.25">
      <c r="A245">
        <v>2007</v>
      </c>
      <c r="B245">
        <v>86</v>
      </c>
      <c r="C245">
        <v>1200</v>
      </c>
      <c r="D245">
        <v>408.2</v>
      </c>
      <c r="E245">
        <v>244.2</v>
      </c>
      <c r="F245">
        <v>8.3000000000000007</v>
      </c>
      <c r="G245">
        <v>9.6</v>
      </c>
      <c r="K245">
        <v>1.851</v>
      </c>
      <c r="L245">
        <v>103.4</v>
      </c>
      <c r="M245">
        <v>0</v>
      </c>
      <c r="O245">
        <v>497.9</v>
      </c>
      <c r="P245">
        <v>133.6</v>
      </c>
      <c r="Q245">
        <v>6.9710000000000001</v>
      </c>
      <c r="S245">
        <v>6.0259999999999998</v>
      </c>
      <c r="T245">
        <v>0</v>
      </c>
      <c r="U245">
        <v>84.3</v>
      </c>
      <c r="V245">
        <v>958</v>
      </c>
      <c r="W245">
        <v>44.37</v>
      </c>
      <c r="Y245">
        <v>14.33</v>
      </c>
    </row>
    <row r="246" spans="1:25" x14ac:dyDescent="0.25">
      <c r="A246">
        <v>2007</v>
      </c>
      <c r="B246">
        <v>86</v>
      </c>
      <c r="C246">
        <v>1300</v>
      </c>
      <c r="D246">
        <v>515.1</v>
      </c>
      <c r="E246">
        <v>302.7</v>
      </c>
      <c r="F246">
        <v>9.36</v>
      </c>
      <c r="G246">
        <v>10.87</v>
      </c>
      <c r="K246">
        <v>1.6919999999999999</v>
      </c>
      <c r="L246">
        <v>86.8</v>
      </c>
      <c r="M246">
        <v>0</v>
      </c>
      <c r="O246">
        <v>625.5</v>
      </c>
      <c r="P246">
        <v>174.6</v>
      </c>
      <c r="Q246">
        <v>7.57</v>
      </c>
      <c r="S246">
        <v>6.1340000000000003</v>
      </c>
      <c r="T246">
        <v>0</v>
      </c>
      <c r="U246">
        <v>82.6</v>
      </c>
      <c r="V246">
        <v>957</v>
      </c>
      <c r="W246">
        <v>44.3</v>
      </c>
      <c r="Y246">
        <v>14.65</v>
      </c>
    </row>
    <row r="247" spans="1:25" x14ac:dyDescent="0.25">
      <c r="A247">
        <v>2007</v>
      </c>
      <c r="B247">
        <v>86</v>
      </c>
      <c r="C247">
        <v>1400</v>
      </c>
      <c r="D247">
        <v>512.6</v>
      </c>
      <c r="E247">
        <v>292.7</v>
      </c>
      <c r="F247">
        <v>10.029999999999999</v>
      </c>
      <c r="G247">
        <v>11.67</v>
      </c>
      <c r="K247">
        <v>1.282</v>
      </c>
      <c r="L247">
        <v>99.6</v>
      </c>
      <c r="M247">
        <v>0</v>
      </c>
      <c r="O247">
        <v>608.6</v>
      </c>
      <c r="P247">
        <v>183.8</v>
      </c>
      <c r="Q247">
        <v>8.3000000000000007</v>
      </c>
      <c r="S247">
        <v>6.2530000000000001</v>
      </c>
      <c r="T247">
        <v>0</v>
      </c>
      <c r="U247">
        <v>81.5</v>
      </c>
      <c r="V247">
        <v>960</v>
      </c>
      <c r="W247">
        <v>44.61</v>
      </c>
      <c r="Y247">
        <v>14.56</v>
      </c>
    </row>
    <row r="248" spans="1:25" x14ac:dyDescent="0.25">
      <c r="A248">
        <v>2007</v>
      </c>
      <c r="B248">
        <v>86</v>
      </c>
      <c r="C248">
        <v>1500</v>
      </c>
      <c r="D248">
        <v>414</v>
      </c>
      <c r="E248">
        <v>230.8</v>
      </c>
      <c r="F248">
        <v>11</v>
      </c>
      <c r="G248">
        <v>12.65</v>
      </c>
      <c r="K248">
        <v>0.80500000000000005</v>
      </c>
      <c r="L248">
        <v>85.7</v>
      </c>
      <c r="M248">
        <v>0</v>
      </c>
      <c r="O248">
        <v>490.7</v>
      </c>
      <c r="P248">
        <v>160.5</v>
      </c>
      <c r="Q248">
        <v>9.0399999999999991</v>
      </c>
      <c r="S248">
        <v>6.4260000000000002</v>
      </c>
      <c r="T248">
        <v>0</v>
      </c>
      <c r="U248">
        <v>82</v>
      </c>
      <c r="V248">
        <v>961</v>
      </c>
      <c r="W248">
        <v>44.64</v>
      </c>
      <c r="Y248">
        <v>14.31</v>
      </c>
    </row>
    <row r="249" spans="1:25" x14ac:dyDescent="0.25">
      <c r="A249">
        <v>2007</v>
      </c>
      <c r="B249">
        <v>86</v>
      </c>
      <c r="C249">
        <v>1600</v>
      </c>
      <c r="D249">
        <v>243.5</v>
      </c>
      <c r="E249">
        <v>117.4</v>
      </c>
      <c r="F249">
        <v>10.71</v>
      </c>
      <c r="G249">
        <v>12.59</v>
      </c>
      <c r="K249">
        <v>0.88700000000000001</v>
      </c>
      <c r="L249">
        <v>98.7</v>
      </c>
      <c r="M249">
        <v>0</v>
      </c>
      <c r="O249">
        <v>281.8</v>
      </c>
      <c r="P249">
        <v>95.1</v>
      </c>
      <c r="Q249">
        <v>9.6300000000000008</v>
      </c>
      <c r="S249">
        <v>6.6059999999999999</v>
      </c>
      <c r="T249">
        <v>0</v>
      </c>
      <c r="U249">
        <v>79.599999999999994</v>
      </c>
      <c r="V249">
        <v>961</v>
      </c>
      <c r="W249">
        <v>44.66</v>
      </c>
      <c r="Y249">
        <v>14.01</v>
      </c>
    </row>
    <row r="250" spans="1:25" x14ac:dyDescent="0.25">
      <c r="A250">
        <v>2007</v>
      </c>
      <c r="B250">
        <v>86</v>
      </c>
      <c r="C250">
        <v>1700</v>
      </c>
      <c r="D250">
        <v>188.9</v>
      </c>
      <c r="E250">
        <v>78.400000000000006</v>
      </c>
      <c r="F250">
        <v>10.3</v>
      </c>
      <c r="G250">
        <v>12.13</v>
      </c>
      <c r="K250">
        <v>0.89500000000000002</v>
      </c>
      <c r="L250">
        <v>68.959999999999994</v>
      </c>
      <c r="M250">
        <v>0</v>
      </c>
      <c r="O250">
        <v>218.1</v>
      </c>
      <c r="P250">
        <v>83.6</v>
      </c>
      <c r="Q250">
        <v>9.94</v>
      </c>
      <c r="S250">
        <v>6.827</v>
      </c>
      <c r="T250">
        <v>0</v>
      </c>
      <c r="U250">
        <v>79.8</v>
      </c>
      <c r="V250">
        <v>959</v>
      </c>
      <c r="W250">
        <v>44.47</v>
      </c>
      <c r="Y250">
        <v>13.82</v>
      </c>
    </row>
    <row r="251" spans="1:25" x14ac:dyDescent="0.25">
      <c r="A251">
        <v>2007</v>
      </c>
      <c r="B251">
        <v>86</v>
      </c>
      <c r="C251">
        <v>1800</v>
      </c>
      <c r="D251">
        <v>88.4</v>
      </c>
      <c r="E251">
        <v>7.89</v>
      </c>
      <c r="F251">
        <v>9.5</v>
      </c>
      <c r="G251">
        <v>11.07</v>
      </c>
      <c r="K251">
        <v>0.999</v>
      </c>
      <c r="L251">
        <v>86.7</v>
      </c>
      <c r="M251">
        <v>0</v>
      </c>
      <c r="O251">
        <v>99.3</v>
      </c>
      <c r="P251">
        <v>36.93</v>
      </c>
      <c r="Q251">
        <v>10.039999999999999</v>
      </c>
      <c r="S251">
        <v>7.05</v>
      </c>
      <c r="T251">
        <v>0</v>
      </c>
      <c r="U251">
        <v>82</v>
      </c>
      <c r="V251">
        <v>959</v>
      </c>
      <c r="W251">
        <v>44.48</v>
      </c>
      <c r="Y251">
        <v>13.65</v>
      </c>
    </row>
    <row r="252" spans="1:25" x14ac:dyDescent="0.25">
      <c r="A252">
        <v>2007</v>
      </c>
      <c r="B252">
        <v>86</v>
      </c>
      <c r="C252">
        <v>1900</v>
      </c>
      <c r="D252">
        <v>12.45</v>
      </c>
      <c r="E252">
        <v>-45.5</v>
      </c>
      <c r="F252">
        <v>7.46</v>
      </c>
      <c r="G252">
        <v>8.43</v>
      </c>
      <c r="K252">
        <v>0.80300000000000005</v>
      </c>
      <c r="L252">
        <v>97.2</v>
      </c>
      <c r="M252">
        <v>0</v>
      </c>
      <c r="O252">
        <v>7.32</v>
      </c>
      <c r="P252">
        <v>-4.3120000000000003</v>
      </c>
      <c r="Q252">
        <v>9.92</v>
      </c>
      <c r="S252">
        <v>7.15</v>
      </c>
      <c r="T252">
        <v>0</v>
      </c>
      <c r="U252">
        <v>87.9</v>
      </c>
      <c r="V252">
        <v>962</v>
      </c>
      <c r="W252">
        <v>44.79</v>
      </c>
      <c r="Y252">
        <v>13.49</v>
      </c>
    </row>
    <row r="253" spans="1:25" x14ac:dyDescent="0.25">
      <c r="A253">
        <v>2007</v>
      </c>
      <c r="B253">
        <v>86</v>
      </c>
      <c r="C253">
        <v>2000</v>
      </c>
      <c r="D253">
        <v>-3.649</v>
      </c>
      <c r="E253">
        <v>-46.78</v>
      </c>
      <c r="F253">
        <v>4.3259999999999996</v>
      </c>
      <c r="G253">
        <v>4.5170000000000003</v>
      </c>
      <c r="K253">
        <v>0.21299999999999999</v>
      </c>
      <c r="L253">
        <v>179.4</v>
      </c>
      <c r="M253">
        <v>0</v>
      </c>
      <c r="O253">
        <v>-11.39</v>
      </c>
      <c r="P253">
        <v>-10.84</v>
      </c>
      <c r="Q253">
        <v>9.64</v>
      </c>
      <c r="S253">
        <v>7.25</v>
      </c>
      <c r="T253">
        <v>0</v>
      </c>
      <c r="U253">
        <v>97.2</v>
      </c>
      <c r="V253">
        <v>960</v>
      </c>
      <c r="W253">
        <v>44.59</v>
      </c>
      <c r="Y253">
        <v>13.38</v>
      </c>
    </row>
    <row r="254" spans="1:25" x14ac:dyDescent="0.25">
      <c r="A254">
        <v>2007</v>
      </c>
      <c r="B254">
        <v>86</v>
      </c>
      <c r="C254">
        <v>2100</v>
      </c>
      <c r="D254">
        <v>-3.0510000000000002</v>
      </c>
      <c r="E254">
        <v>-37.75</v>
      </c>
      <c r="F254">
        <v>2.488</v>
      </c>
      <c r="G254">
        <v>2.6429999999999998</v>
      </c>
      <c r="K254">
        <v>0.11700000000000001</v>
      </c>
      <c r="L254">
        <v>155.9</v>
      </c>
      <c r="M254">
        <v>0</v>
      </c>
      <c r="O254">
        <v>-11.5</v>
      </c>
      <c r="P254">
        <v>-10.84</v>
      </c>
      <c r="Q254">
        <v>9.23</v>
      </c>
      <c r="S254">
        <v>7.34</v>
      </c>
      <c r="T254">
        <v>0</v>
      </c>
      <c r="U254">
        <v>97.5</v>
      </c>
      <c r="V254">
        <v>964</v>
      </c>
      <c r="W254">
        <v>44.99</v>
      </c>
      <c r="Y254">
        <v>13.29</v>
      </c>
    </row>
    <row r="255" spans="1:25" x14ac:dyDescent="0.25">
      <c r="A255">
        <v>2007</v>
      </c>
      <c r="B255">
        <v>86</v>
      </c>
      <c r="C255">
        <v>2200</v>
      </c>
      <c r="D255">
        <v>-2.4780000000000002</v>
      </c>
      <c r="E255">
        <v>-33.03</v>
      </c>
      <c r="F255">
        <v>1.639</v>
      </c>
      <c r="G255">
        <v>1.881</v>
      </c>
      <c r="K255">
        <v>0.13500000000000001</v>
      </c>
      <c r="L255">
        <v>181.8</v>
      </c>
      <c r="M255">
        <v>0</v>
      </c>
      <c r="O255">
        <v>-11.5</v>
      </c>
      <c r="P255">
        <v>-10.85</v>
      </c>
      <c r="Q255">
        <v>8.77</v>
      </c>
      <c r="S255">
        <v>7.33</v>
      </c>
      <c r="T255">
        <v>0</v>
      </c>
      <c r="U255">
        <v>96</v>
      </c>
      <c r="V255">
        <v>970</v>
      </c>
      <c r="W255">
        <v>45.6</v>
      </c>
      <c r="Y255">
        <v>13.22</v>
      </c>
    </row>
    <row r="256" spans="1:25" x14ac:dyDescent="0.25">
      <c r="A256">
        <v>2007</v>
      </c>
      <c r="B256">
        <v>86</v>
      </c>
      <c r="C256">
        <v>2300</v>
      </c>
      <c r="D256">
        <v>-2.4929999999999999</v>
      </c>
      <c r="E256">
        <v>-30.81</v>
      </c>
      <c r="F256">
        <v>1.077</v>
      </c>
      <c r="G256">
        <v>1.409</v>
      </c>
      <c r="K256">
        <v>0.14699999999999999</v>
      </c>
      <c r="L256">
        <v>159.5</v>
      </c>
      <c r="M256">
        <v>0</v>
      </c>
      <c r="O256">
        <v>-11.5</v>
      </c>
      <c r="P256">
        <v>-10.85</v>
      </c>
      <c r="Q256">
        <v>8.35</v>
      </c>
      <c r="S256">
        <v>7.31</v>
      </c>
      <c r="T256">
        <v>0</v>
      </c>
      <c r="U256">
        <v>94.4</v>
      </c>
      <c r="V256">
        <v>991</v>
      </c>
      <c r="W256">
        <v>47.92</v>
      </c>
      <c r="Y256">
        <v>13.14</v>
      </c>
    </row>
    <row r="257" spans="1:25" x14ac:dyDescent="0.25">
      <c r="A257">
        <v>2007</v>
      </c>
      <c r="B257">
        <v>86</v>
      </c>
      <c r="C257">
        <v>2400</v>
      </c>
      <c r="D257">
        <v>-2.262</v>
      </c>
      <c r="E257">
        <v>-28.24</v>
      </c>
      <c r="F257">
        <v>0.621</v>
      </c>
      <c r="G257">
        <v>0.90200000000000002</v>
      </c>
      <c r="K257">
        <v>0.183</v>
      </c>
      <c r="L257">
        <v>167.4</v>
      </c>
      <c r="M257">
        <v>0</v>
      </c>
      <c r="O257">
        <v>-11.51</v>
      </c>
      <c r="P257">
        <v>-10.85</v>
      </c>
      <c r="Q257">
        <v>7.9</v>
      </c>
      <c r="S257">
        <v>7.2</v>
      </c>
      <c r="T257">
        <v>0</v>
      </c>
      <c r="U257">
        <v>95.2</v>
      </c>
      <c r="V257">
        <v>1008</v>
      </c>
      <c r="W257">
        <v>49.87</v>
      </c>
      <c r="Y257">
        <v>13.08</v>
      </c>
    </row>
    <row r="258" spans="1:25" x14ac:dyDescent="0.25">
      <c r="A258">
        <v>2007</v>
      </c>
      <c r="B258">
        <v>87</v>
      </c>
      <c r="C258">
        <v>100</v>
      </c>
      <c r="D258">
        <v>-2.15</v>
      </c>
      <c r="E258">
        <v>-25.25</v>
      </c>
      <c r="F258">
        <v>0.377</v>
      </c>
      <c r="G258">
        <v>0.73899999999999999</v>
      </c>
      <c r="K258">
        <v>0.2</v>
      </c>
      <c r="L258">
        <v>200.3</v>
      </c>
      <c r="M258">
        <v>0</v>
      </c>
      <c r="O258">
        <v>-11.49</v>
      </c>
      <c r="P258">
        <v>-10.81</v>
      </c>
      <c r="Q258">
        <v>7.53</v>
      </c>
      <c r="S258">
        <v>7.1</v>
      </c>
      <c r="T258">
        <v>0</v>
      </c>
      <c r="U258">
        <v>93.7</v>
      </c>
      <c r="V258">
        <v>1033</v>
      </c>
      <c r="W258">
        <v>53.35</v>
      </c>
      <c r="Y258">
        <v>13.01</v>
      </c>
    </row>
    <row r="259" spans="1:25" x14ac:dyDescent="0.25">
      <c r="A259">
        <v>2007</v>
      </c>
      <c r="B259">
        <v>87</v>
      </c>
      <c r="C259">
        <v>200</v>
      </c>
      <c r="D259">
        <v>-2.0070000000000001</v>
      </c>
      <c r="E259">
        <v>-24.28</v>
      </c>
      <c r="F259">
        <v>4.4999999999999998E-2</v>
      </c>
      <c r="G259">
        <v>0.39400000000000002</v>
      </c>
      <c r="K259">
        <v>0.159</v>
      </c>
      <c r="L259">
        <v>200.2</v>
      </c>
      <c r="M259">
        <v>0</v>
      </c>
      <c r="O259">
        <v>-11.41</v>
      </c>
      <c r="P259">
        <v>-10.71</v>
      </c>
      <c r="Q259">
        <v>7.16</v>
      </c>
      <c r="S259">
        <v>6.9820000000000002</v>
      </c>
      <c r="T259">
        <v>0</v>
      </c>
      <c r="U259">
        <v>93.8</v>
      </c>
      <c r="V259">
        <v>980</v>
      </c>
      <c r="W259">
        <v>46.69</v>
      </c>
      <c r="Y259">
        <v>12.95</v>
      </c>
    </row>
    <row r="260" spans="1:25" x14ac:dyDescent="0.25">
      <c r="A260">
        <v>2007</v>
      </c>
      <c r="B260">
        <v>87</v>
      </c>
      <c r="C260">
        <v>300</v>
      </c>
      <c r="D260">
        <v>-1.2090000000000001</v>
      </c>
      <c r="E260">
        <v>-16.52</v>
      </c>
      <c r="F260">
        <v>1.2549999999999999</v>
      </c>
      <c r="G260">
        <v>1.7290000000000001</v>
      </c>
      <c r="K260">
        <v>0.222</v>
      </c>
      <c r="L260">
        <v>229.2</v>
      </c>
      <c r="M260">
        <v>0</v>
      </c>
      <c r="O260">
        <v>-11.29</v>
      </c>
      <c r="P260">
        <v>-10.61</v>
      </c>
      <c r="Q260">
        <v>6.8239999999999998</v>
      </c>
      <c r="S260">
        <v>6.8440000000000003</v>
      </c>
      <c r="T260">
        <v>0</v>
      </c>
      <c r="U260">
        <v>92.1</v>
      </c>
      <c r="V260">
        <v>975</v>
      </c>
      <c r="W260">
        <v>46.14</v>
      </c>
      <c r="Y260">
        <v>12.91</v>
      </c>
    </row>
    <row r="261" spans="1:25" x14ac:dyDescent="0.25">
      <c r="A261">
        <v>2007</v>
      </c>
      <c r="B261">
        <v>87</v>
      </c>
      <c r="C261">
        <v>400</v>
      </c>
      <c r="D261">
        <v>-1.827</v>
      </c>
      <c r="E261">
        <v>-21.93</v>
      </c>
      <c r="F261">
        <v>1.2949999999999999</v>
      </c>
      <c r="G261">
        <v>1.663</v>
      </c>
      <c r="K261">
        <v>0.53700000000000003</v>
      </c>
      <c r="L261">
        <v>222.4</v>
      </c>
      <c r="M261">
        <v>0</v>
      </c>
      <c r="O261">
        <v>-11.4</v>
      </c>
      <c r="P261">
        <v>-10.66</v>
      </c>
      <c r="Q261">
        <v>6.569</v>
      </c>
      <c r="S261">
        <v>6.7110000000000003</v>
      </c>
      <c r="T261">
        <v>0</v>
      </c>
      <c r="U261">
        <v>93.9</v>
      </c>
      <c r="V261">
        <v>974</v>
      </c>
      <c r="W261">
        <v>46.01</v>
      </c>
      <c r="Y261">
        <v>12.87</v>
      </c>
    </row>
    <row r="262" spans="1:25" x14ac:dyDescent="0.25">
      <c r="A262">
        <v>2007</v>
      </c>
      <c r="B262">
        <v>87</v>
      </c>
      <c r="C262">
        <v>500</v>
      </c>
      <c r="D262">
        <v>-0.93300000000000005</v>
      </c>
      <c r="E262">
        <v>-12.32</v>
      </c>
      <c r="F262">
        <v>2.5990000000000002</v>
      </c>
      <c r="G262">
        <v>2.9340000000000002</v>
      </c>
      <c r="K262">
        <v>0.53900000000000003</v>
      </c>
      <c r="L262">
        <v>246.7</v>
      </c>
      <c r="M262">
        <v>0</v>
      </c>
      <c r="O262">
        <v>-11.38</v>
      </c>
      <c r="P262">
        <v>-10.67</v>
      </c>
      <c r="Q262">
        <v>6.359</v>
      </c>
      <c r="S262">
        <v>6.5970000000000004</v>
      </c>
      <c r="T262">
        <v>0</v>
      </c>
      <c r="U262">
        <v>94.7</v>
      </c>
      <c r="V262">
        <v>967</v>
      </c>
      <c r="W262">
        <v>45.26</v>
      </c>
      <c r="Y262">
        <v>12.84</v>
      </c>
    </row>
    <row r="263" spans="1:25" x14ac:dyDescent="0.25">
      <c r="A263">
        <v>2007</v>
      </c>
      <c r="B263">
        <v>87</v>
      </c>
      <c r="C263">
        <v>600</v>
      </c>
      <c r="D263">
        <v>-0.33800000000000002</v>
      </c>
      <c r="E263">
        <v>-10.32</v>
      </c>
      <c r="F263">
        <v>2.5659999999999998</v>
      </c>
      <c r="G263">
        <v>2.8570000000000002</v>
      </c>
      <c r="K263">
        <v>1.1479999999999999</v>
      </c>
      <c r="L263">
        <v>228.4</v>
      </c>
      <c r="M263">
        <v>0</v>
      </c>
      <c r="O263">
        <v>-11.07</v>
      </c>
      <c r="P263">
        <v>-10.59</v>
      </c>
      <c r="Q263">
        <v>6.2130000000000001</v>
      </c>
      <c r="S263">
        <v>6.4820000000000002</v>
      </c>
      <c r="T263">
        <v>0</v>
      </c>
      <c r="U263">
        <v>95.4</v>
      </c>
      <c r="V263">
        <v>963</v>
      </c>
      <c r="W263">
        <v>44.92</v>
      </c>
      <c r="Y263">
        <v>12.82</v>
      </c>
    </row>
    <row r="264" spans="1:25" x14ac:dyDescent="0.25">
      <c r="A264">
        <v>2007</v>
      </c>
      <c r="B264">
        <v>87</v>
      </c>
      <c r="C264">
        <v>700</v>
      </c>
      <c r="D264">
        <v>15.71</v>
      </c>
      <c r="E264">
        <v>-5.5170000000000003</v>
      </c>
      <c r="F264">
        <v>2.25</v>
      </c>
      <c r="G264">
        <v>2.5470000000000002</v>
      </c>
      <c r="K264">
        <v>0.80300000000000005</v>
      </c>
      <c r="L264">
        <v>235.6</v>
      </c>
      <c r="M264">
        <v>0</v>
      </c>
      <c r="O264">
        <v>10.02</v>
      </c>
      <c r="P264">
        <v>-4.915</v>
      </c>
      <c r="Q264">
        <v>6.0880000000000001</v>
      </c>
      <c r="S264">
        <v>6.35</v>
      </c>
      <c r="T264">
        <v>0</v>
      </c>
      <c r="U264">
        <v>95.2</v>
      </c>
      <c r="V264">
        <v>962</v>
      </c>
      <c r="W264">
        <v>44.82</v>
      </c>
      <c r="Y264">
        <v>12.82</v>
      </c>
    </row>
    <row r="265" spans="1:25" x14ac:dyDescent="0.25">
      <c r="A265">
        <v>2007</v>
      </c>
      <c r="B265">
        <v>87</v>
      </c>
      <c r="C265">
        <v>800</v>
      </c>
      <c r="D265">
        <v>103.5</v>
      </c>
      <c r="E265">
        <v>51.68</v>
      </c>
      <c r="F265">
        <v>3.7229999999999999</v>
      </c>
      <c r="G265">
        <v>4.0469999999999997</v>
      </c>
      <c r="K265">
        <v>0.98499999999999999</v>
      </c>
      <c r="L265">
        <v>230</v>
      </c>
      <c r="M265">
        <v>0</v>
      </c>
      <c r="O265">
        <v>126.8</v>
      </c>
      <c r="P265">
        <v>27.84</v>
      </c>
      <c r="Q265">
        <v>5.98</v>
      </c>
      <c r="S265">
        <v>6.234</v>
      </c>
      <c r="T265">
        <v>0</v>
      </c>
      <c r="U265">
        <v>95.1</v>
      </c>
      <c r="V265">
        <v>969</v>
      </c>
      <c r="W265">
        <v>45.47</v>
      </c>
      <c r="Y265">
        <v>13.29</v>
      </c>
    </row>
    <row r="266" spans="1:25" x14ac:dyDescent="0.25">
      <c r="A266">
        <v>2007</v>
      </c>
      <c r="B266">
        <v>87</v>
      </c>
      <c r="C266">
        <v>900</v>
      </c>
      <c r="D266">
        <v>60.45</v>
      </c>
      <c r="E266">
        <v>32.93</v>
      </c>
      <c r="F266">
        <v>5.0519999999999996</v>
      </c>
      <c r="G266">
        <v>5.4649999999999999</v>
      </c>
      <c r="H266">
        <f>AVERAGE(G266:G289)</f>
        <v>4.2461250000000001</v>
      </c>
      <c r="I266">
        <f>MIN(G266:G289)</f>
        <v>-0.80300000000000005</v>
      </c>
      <c r="J266">
        <f>MAX(F266:F289)</f>
        <v>7.34</v>
      </c>
      <c r="K266">
        <v>1.492</v>
      </c>
      <c r="L266">
        <v>228.7</v>
      </c>
      <c r="M266">
        <v>0.6</v>
      </c>
      <c r="N266">
        <f>SUM(M266:M289)</f>
        <v>1.2</v>
      </c>
      <c r="O266">
        <v>73.5</v>
      </c>
      <c r="P266">
        <v>12.21</v>
      </c>
      <c r="Q266">
        <v>6.0350000000000001</v>
      </c>
      <c r="S266">
        <v>6.1840000000000002</v>
      </c>
      <c r="T266">
        <v>0</v>
      </c>
      <c r="U266">
        <v>94.1</v>
      </c>
      <c r="V266">
        <v>956</v>
      </c>
      <c r="W266">
        <v>44.23</v>
      </c>
      <c r="Y266">
        <v>13.55</v>
      </c>
    </row>
    <row r="267" spans="1:25" x14ac:dyDescent="0.25">
      <c r="A267">
        <v>2007</v>
      </c>
      <c r="B267">
        <v>87</v>
      </c>
      <c r="C267">
        <v>1000</v>
      </c>
      <c r="D267">
        <v>120.3</v>
      </c>
      <c r="E267">
        <v>72.2</v>
      </c>
      <c r="F267">
        <v>5.3760000000000003</v>
      </c>
      <c r="G267">
        <v>5.96</v>
      </c>
      <c r="K267">
        <v>1.4019999999999999</v>
      </c>
      <c r="L267">
        <v>229.3</v>
      </c>
      <c r="M267">
        <v>0.4</v>
      </c>
      <c r="O267">
        <v>146.19999999999999</v>
      </c>
      <c r="P267">
        <v>25.86</v>
      </c>
      <c r="Q267">
        <v>6.1909999999999998</v>
      </c>
      <c r="S267">
        <v>6.1539999999999999</v>
      </c>
      <c r="T267">
        <v>0</v>
      </c>
      <c r="U267">
        <v>91.8</v>
      </c>
      <c r="V267">
        <v>964</v>
      </c>
      <c r="W267">
        <v>44.95</v>
      </c>
      <c r="Y267">
        <v>13.55</v>
      </c>
    </row>
    <row r="268" spans="1:25" x14ac:dyDescent="0.25">
      <c r="A268">
        <v>2007</v>
      </c>
      <c r="B268">
        <v>87</v>
      </c>
      <c r="C268">
        <v>1100</v>
      </c>
      <c r="D268">
        <v>376.7</v>
      </c>
      <c r="E268">
        <v>242.3</v>
      </c>
      <c r="F268">
        <v>6.9359999999999999</v>
      </c>
      <c r="G268">
        <v>7.86</v>
      </c>
      <c r="K268">
        <v>2.3809999999999998</v>
      </c>
      <c r="L268">
        <v>234.1</v>
      </c>
      <c r="M268">
        <v>0</v>
      </c>
      <c r="O268">
        <v>468.3</v>
      </c>
      <c r="P268">
        <v>106.9</v>
      </c>
      <c r="Q268">
        <v>6.3970000000000002</v>
      </c>
      <c r="S268">
        <v>6.1260000000000003</v>
      </c>
      <c r="T268">
        <v>0</v>
      </c>
      <c r="U268">
        <v>88</v>
      </c>
      <c r="V268">
        <v>967</v>
      </c>
      <c r="W268">
        <v>45.29</v>
      </c>
      <c r="Y268">
        <v>14.39</v>
      </c>
    </row>
    <row r="269" spans="1:25" x14ac:dyDescent="0.25">
      <c r="A269">
        <v>2007</v>
      </c>
      <c r="B269">
        <v>87</v>
      </c>
      <c r="C269">
        <v>1200</v>
      </c>
      <c r="D269">
        <v>292.5</v>
      </c>
      <c r="E269">
        <v>181</v>
      </c>
      <c r="F269">
        <v>7.34</v>
      </c>
      <c r="G269">
        <v>8.8800000000000008</v>
      </c>
      <c r="K269">
        <v>2.536</v>
      </c>
      <c r="L269">
        <v>245.1</v>
      </c>
      <c r="M269">
        <v>0</v>
      </c>
      <c r="O269">
        <v>355</v>
      </c>
      <c r="P269">
        <v>80.099999999999994</v>
      </c>
      <c r="Q269">
        <v>6.8959999999999999</v>
      </c>
      <c r="S269">
        <v>6.1130000000000004</v>
      </c>
      <c r="T269">
        <v>0</v>
      </c>
      <c r="U269">
        <v>80.900000000000006</v>
      </c>
      <c r="V269">
        <v>968</v>
      </c>
      <c r="W269">
        <v>45.38</v>
      </c>
      <c r="Y269">
        <v>14.05</v>
      </c>
    </row>
    <row r="270" spans="1:25" x14ac:dyDescent="0.25">
      <c r="A270">
        <v>2007</v>
      </c>
      <c r="B270">
        <v>87</v>
      </c>
      <c r="C270">
        <v>1300</v>
      </c>
      <c r="D270">
        <v>276.60000000000002</v>
      </c>
      <c r="E270">
        <v>161.80000000000001</v>
      </c>
      <c r="F270">
        <v>7.22</v>
      </c>
      <c r="G270">
        <v>8.7100000000000009</v>
      </c>
      <c r="K270">
        <v>2.907</v>
      </c>
      <c r="L270">
        <v>263.5</v>
      </c>
      <c r="M270">
        <v>0</v>
      </c>
      <c r="O270">
        <v>333.7</v>
      </c>
      <c r="P270">
        <v>79.8</v>
      </c>
      <c r="Q270">
        <v>7.4</v>
      </c>
      <c r="S270">
        <v>6.1219999999999999</v>
      </c>
      <c r="T270">
        <v>0</v>
      </c>
      <c r="U270">
        <v>81.400000000000006</v>
      </c>
      <c r="V270">
        <v>964</v>
      </c>
      <c r="W270">
        <v>44.99</v>
      </c>
      <c r="Y270">
        <v>14</v>
      </c>
    </row>
    <row r="271" spans="1:25" x14ac:dyDescent="0.25">
      <c r="A271">
        <v>2007</v>
      </c>
      <c r="B271">
        <v>87</v>
      </c>
      <c r="C271">
        <v>1400</v>
      </c>
      <c r="D271">
        <v>374</v>
      </c>
      <c r="E271">
        <v>221.7</v>
      </c>
      <c r="F271">
        <v>7.34</v>
      </c>
      <c r="G271">
        <v>9.24</v>
      </c>
      <c r="K271">
        <v>3.2029999999999998</v>
      </c>
      <c r="L271">
        <v>0</v>
      </c>
      <c r="M271">
        <v>0</v>
      </c>
      <c r="O271">
        <v>450.1</v>
      </c>
      <c r="P271">
        <v>120.5</v>
      </c>
      <c r="Q271">
        <v>7.88</v>
      </c>
      <c r="S271">
        <v>6.2320000000000002</v>
      </c>
      <c r="T271">
        <v>0</v>
      </c>
      <c r="U271">
        <v>76.900000000000006</v>
      </c>
      <c r="V271">
        <v>959</v>
      </c>
      <c r="W271">
        <v>44.5</v>
      </c>
      <c r="Y271">
        <v>14.2</v>
      </c>
    </row>
    <row r="272" spans="1:25" x14ac:dyDescent="0.25">
      <c r="A272">
        <v>2007</v>
      </c>
      <c r="B272">
        <v>87</v>
      </c>
      <c r="C272">
        <v>1500</v>
      </c>
      <c r="D272">
        <v>365.2</v>
      </c>
      <c r="E272">
        <v>214.9</v>
      </c>
      <c r="F272">
        <v>7.26</v>
      </c>
      <c r="G272">
        <v>9.2899999999999991</v>
      </c>
      <c r="K272">
        <v>3.319</v>
      </c>
      <c r="L272">
        <v>0</v>
      </c>
      <c r="M272">
        <v>0</v>
      </c>
      <c r="O272">
        <v>431.4</v>
      </c>
      <c r="P272">
        <v>121.2</v>
      </c>
      <c r="Q272">
        <v>8.41</v>
      </c>
      <c r="S272">
        <v>6.4029999999999996</v>
      </c>
      <c r="T272">
        <v>0</v>
      </c>
      <c r="U272">
        <v>75.400000000000006</v>
      </c>
      <c r="V272">
        <v>956</v>
      </c>
      <c r="W272">
        <v>44.22</v>
      </c>
      <c r="Y272">
        <v>14.2</v>
      </c>
    </row>
    <row r="273" spans="1:25" x14ac:dyDescent="0.25">
      <c r="A273">
        <v>2007</v>
      </c>
      <c r="B273">
        <v>87</v>
      </c>
      <c r="C273">
        <v>1600</v>
      </c>
      <c r="D273">
        <v>177.4</v>
      </c>
      <c r="E273">
        <v>92.1</v>
      </c>
      <c r="F273">
        <v>6.2880000000000003</v>
      </c>
      <c r="G273">
        <v>8.1999999999999993</v>
      </c>
      <c r="K273">
        <v>2.8889999999999998</v>
      </c>
      <c r="L273">
        <v>0</v>
      </c>
      <c r="M273">
        <v>0</v>
      </c>
      <c r="O273">
        <v>212.6</v>
      </c>
      <c r="P273">
        <v>53.4</v>
      </c>
      <c r="Q273">
        <v>8.83</v>
      </c>
      <c r="S273">
        <v>6.5170000000000003</v>
      </c>
      <c r="T273">
        <v>0</v>
      </c>
      <c r="U273">
        <v>75.8</v>
      </c>
      <c r="V273">
        <v>955</v>
      </c>
      <c r="W273">
        <v>44.07</v>
      </c>
      <c r="Y273">
        <v>13.87</v>
      </c>
    </row>
    <row r="274" spans="1:25" x14ac:dyDescent="0.25">
      <c r="A274">
        <v>2007</v>
      </c>
      <c r="B274">
        <v>87</v>
      </c>
      <c r="C274">
        <v>1700</v>
      </c>
      <c r="D274">
        <v>98.4</v>
      </c>
      <c r="E274">
        <v>44.66</v>
      </c>
      <c r="F274">
        <v>5.8579999999999997</v>
      </c>
      <c r="G274">
        <v>7.69</v>
      </c>
      <c r="K274">
        <v>2.7519999999999998</v>
      </c>
      <c r="L274">
        <v>0</v>
      </c>
      <c r="M274">
        <v>0</v>
      </c>
      <c r="O274">
        <v>121.8</v>
      </c>
      <c r="P274">
        <v>27.75</v>
      </c>
      <c r="Q274">
        <v>9.01</v>
      </c>
      <c r="S274">
        <v>6.63</v>
      </c>
      <c r="T274">
        <v>0</v>
      </c>
      <c r="U274">
        <v>76.400000000000006</v>
      </c>
      <c r="V274">
        <v>954</v>
      </c>
      <c r="W274">
        <v>43.98</v>
      </c>
      <c r="Y274">
        <v>13.71</v>
      </c>
    </row>
    <row r="275" spans="1:25" x14ac:dyDescent="0.25">
      <c r="A275">
        <v>2007</v>
      </c>
      <c r="B275">
        <v>87</v>
      </c>
      <c r="C275">
        <v>1800</v>
      </c>
      <c r="D275">
        <v>46.22</v>
      </c>
      <c r="E275">
        <v>7.96</v>
      </c>
      <c r="F275">
        <v>5.3550000000000004</v>
      </c>
      <c r="G275">
        <v>7.15</v>
      </c>
      <c r="K275">
        <v>2.3479999999999999</v>
      </c>
      <c r="L275">
        <v>0</v>
      </c>
      <c r="M275">
        <v>0</v>
      </c>
      <c r="O275">
        <v>47.02</v>
      </c>
      <c r="P275">
        <v>4.8280000000000003</v>
      </c>
      <c r="Q275">
        <v>9.07</v>
      </c>
      <c r="S275">
        <v>6.8120000000000003</v>
      </c>
      <c r="T275">
        <v>0</v>
      </c>
      <c r="U275">
        <v>76.5</v>
      </c>
      <c r="V275">
        <v>954</v>
      </c>
      <c r="W275">
        <v>44.04</v>
      </c>
      <c r="Y275">
        <v>13.57</v>
      </c>
    </row>
    <row r="276" spans="1:25" x14ac:dyDescent="0.25">
      <c r="A276">
        <v>2007</v>
      </c>
      <c r="B276">
        <v>87</v>
      </c>
      <c r="C276">
        <v>1900</v>
      </c>
      <c r="D276">
        <v>10.19</v>
      </c>
      <c r="E276">
        <v>-17.14</v>
      </c>
      <c r="F276">
        <v>4.6479999999999997</v>
      </c>
      <c r="G276">
        <v>6.1130000000000004</v>
      </c>
      <c r="K276">
        <v>1.4079999999999999</v>
      </c>
      <c r="L276">
        <v>0</v>
      </c>
      <c r="M276">
        <v>0</v>
      </c>
      <c r="O276">
        <v>5.5739999999999998</v>
      </c>
      <c r="P276">
        <v>-6.4779999999999998</v>
      </c>
      <c r="Q276">
        <v>8.92</v>
      </c>
      <c r="S276">
        <v>6.85</v>
      </c>
      <c r="T276">
        <v>0</v>
      </c>
      <c r="U276">
        <v>79.900000000000006</v>
      </c>
      <c r="V276">
        <v>959</v>
      </c>
      <c r="W276">
        <v>44.43</v>
      </c>
      <c r="Y276">
        <v>13.46</v>
      </c>
    </row>
    <row r="277" spans="1:25" x14ac:dyDescent="0.25">
      <c r="A277">
        <v>2007</v>
      </c>
      <c r="B277">
        <v>87</v>
      </c>
      <c r="C277">
        <v>2000</v>
      </c>
      <c r="D277">
        <v>-1.736</v>
      </c>
      <c r="E277">
        <v>-26.25</v>
      </c>
      <c r="F277">
        <v>4.26</v>
      </c>
      <c r="G277">
        <v>5.3150000000000004</v>
      </c>
      <c r="K277">
        <v>0.83699999999999997</v>
      </c>
      <c r="L277">
        <v>302</v>
      </c>
      <c r="M277">
        <v>0</v>
      </c>
      <c r="O277">
        <v>-11.38</v>
      </c>
      <c r="P277">
        <v>-10.84</v>
      </c>
      <c r="Q277">
        <v>8.76</v>
      </c>
      <c r="S277">
        <v>6.9349999999999996</v>
      </c>
      <c r="T277">
        <v>0</v>
      </c>
      <c r="U277">
        <v>85</v>
      </c>
      <c r="V277">
        <v>962</v>
      </c>
      <c r="W277">
        <v>44.79</v>
      </c>
      <c r="Y277">
        <v>13.37</v>
      </c>
    </row>
    <row r="278" spans="1:25" x14ac:dyDescent="0.25">
      <c r="A278">
        <v>2007</v>
      </c>
      <c r="B278">
        <v>87</v>
      </c>
      <c r="C278">
        <v>2100</v>
      </c>
      <c r="D278">
        <v>-1.716</v>
      </c>
      <c r="E278">
        <v>-25.73</v>
      </c>
      <c r="F278">
        <v>4.0439999999999996</v>
      </c>
      <c r="G278">
        <v>5.1550000000000002</v>
      </c>
      <c r="K278">
        <v>0.94899999999999995</v>
      </c>
      <c r="L278">
        <v>238.3</v>
      </c>
      <c r="M278">
        <v>0</v>
      </c>
      <c r="O278">
        <v>-11.5</v>
      </c>
      <c r="P278">
        <v>-10.84</v>
      </c>
      <c r="Q278">
        <v>8.49</v>
      </c>
      <c r="S278">
        <v>6.9480000000000004</v>
      </c>
      <c r="T278">
        <v>0</v>
      </c>
      <c r="U278">
        <v>84.1</v>
      </c>
      <c r="V278">
        <v>968</v>
      </c>
      <c r="W278">
        <v>45.4</v>
      </c>
      <c r="Y278">
        <v>13.29</v>
      </c>
    </row>
    <row r="279" spans="1:25" x14ac:dyDescent="0.25">
      <c r="A279">
        <v>2007</v>
      </c>
      <c r="B279">
        <v>87</v>
      </c>
      <c r="C279">
        <v>2200</v>
      </c>
      <c r="D279">
        <v>-2.4649999999999999</v>
      </c>
      <c r="E279">
        <v>-41.26</v>
      </c>
      <c r="F279">
        <v>2.8180000000000001</v>
      </c>
      <c r="G279">
        <v>3.3860000000000001</v>
      </c>
      <c r="K279">
        <v>0.59</v>
      </c>
      <c r="L279">
        <v>228.4</v>
      </c>
      <c r="M279">
        <v>0</v>
      </c>
      <c r="O279">
        <v>-11.5</v>
      </c>
      <c r="P279">
        <v>-10.84</v>
      </c>
      <c r="Q279">
        <v>8.1999999999999993</v>
      </c>
      <c r="S279">
        <v>6.9550000000000001</v>
      </c>
      <c r="T279">
        <v>0</v>
      </c>
      <c r="U279">
        <v>91.2</v>
      </c>
      <c r="V279">
        <v>969</v>
      </c>
      <c r="W279">
        <v>45.48</v>
      </c>
      <c r="Y279">
        <v>13.21</v>
      </c>
    </row>
    <row r="280" spans="1:25" x14ac:dyDescent="0.25">
      <c r="A280">
        <v>2007</v>
      </c>
      <c r="B280">
        <v>87</v>
      </c>
      <c r="C280">
        <v>2300</v>
      </c>
      <c r="D280">
        <v>-2.9390000000000001</v>
      </c>
      <c r="E280">
        <v>-38.97</v>
      </c>
      <c r="F280">
        <v>0.97499999999999998</v>
      </c>
      <c r="G280">
        <v>1.395</v>
      </c>
      <c r="K280">
        <v>0.48799999999999999</v>
      </c>
      <c r="L280">
        <v>228.7</v>
      </c>
      <c r="M280">
        <v>0</v>
      </c>
      <c r="O280">
        <v>-11.51</v>
      </c>
      <c r="P280">
        <v>-10.85</v>
      </c>
      <c r="Q280">
        <v>7.92</v>
      </c>
      <c r="S280">
        <v>6.9329999999999998</v>
      </c>
      <c r="T280">
        <v>0</v>
      </c>
      <c r="U280">
        <v>92.9</v>
      </c>
      <c r="V280">
        <v>994</v>
      </c>
      <c r="W280">
        <v>48.23</v>
      </c>
      <c r="Y280">
        <v>13.14</v>
      </c>
    </row>
    <row r="281" spans="1:25" x14ac:dyDescent="0.25">
      <c r="A281">
        <v>2007</v>
      </c>
      <c r="B281">
        <v>87</v>
      </c>
      <c r="C281">
        <v>2400</v>
      </c>
      <c r="D281">
        <v>-3.0430000000000001</v>
      </c>
      <c r="E281">
        <v>-35.39</v>
      </c>
      <c r="F281">
        <v>0.17499999999999999</v>
      </c>
      <c r="G281">
        <v>0.56499999999999995</v>
      </c>
      <c r="K281">
        <v>0.41699999999999998</v>
      </c>
      <c r="L281">
        <v>228.9</v>
      </c>
      <c r="M281">
        <v>0</v>
      </c>
      <c r="O281">
        <v>-11.51</v>
      </c>
      <c r="P281">
        <v>-10.85</v>
      </c>
      <c r="Q281">
        <v>7.51</v>
      </c>
      <c r="S281">
        <v>6.8440000000000003</v>
      </c>
      <c r="T281">
        <v>0</v>
      </c>
      <c r="U281">
        <v>93.1</v>
      </c>
      <c r="V281">
        <v>1051</v>
      </c>
      <c r="W281">
        <v>55.99</v>
      </c>
      <c r="Y281">
        <v>13.07</v>
      </c>
    </row>
    <row r="282" spans="1:25" x14ac:dyDescent="0.25">
      <c r="A282">
        <v>2007</v>
      </c>
      <c r="B282">
        <v>88</v>
      </c>
      <c r="C282">
        <v>100</v>
      </c>
      <c r="D282">
        <v>-3.0470000000000002</v>
      </c>
      <c r="E282">
        <v>-30.85</v>
      </c>
      <c r="F282">
        <v>-0.21</v>
      </c>
      <c r="G282">
        <v>0.30299999999999999</v>
      </c>
      <c r="K282">
        <v>0.71</v>
      </c>
      <c r="L282">
        <v>228.1</v>
      </c>
      <c r="M282">
        <v>0</v>
      </c>
      <c r="O282">
        <v>-11.51</v>
      </c>
      <c r="P282">
        <v>-10.84</v>
      </c>
      <c r="Q282">
        <v>7.13</v>
      </c>
      <c r="S282">
        <v>6.7859999999999996</v>
      </c>
      <c r="T282">
        <v>0</v>
      </c>
      <c r="U282">
        <v>90.9</v>
      </c>
      <c r="V282">
        <v>1071</v>
      </c>
      <c r="W282">
        <v>59.24</v>
      </c>
      <c r="Y282">
        <v>13.01</v>
      </c>
    </row>
    <row r="283" spans="1:25" x14ac:dyDescent="0.25">
      <c r="A283">
        <v>2007</v>
      </c>
      <c r="B283">
        <v>88</v>
      </c>
      <c r="C283">
        <v>200</v>
      </c>
      <c r="D283">
        <v>-2.9340000000000002</v>
      </c>
      <c r="E283">
        <v>-27.21</v>
      </c>
      <c r="F283">
        <v>-0.122</v>
      </c>
      <c r="G283">
        <v>0.42799999999999999</v>
      </c>
      <c r="K283">
        <v>0.73</v>
      </c>
      <c r="L283">
        <v>228.1</v>
      </c>
      <c r="M283">
        <v>0</v>
      </c>
      <c r="O283">
        <v>-11.49</v>
      </c>
      <c r="P283">
        <v>-10.82</v>
      </c>
      <c r="Q283">
        <v>6.7130000000000001</v>
      </c>
      <c r="S283">
        <v>6.665</v>
      </c>
      <c r="T283">
        <v>0</v>
      </c>
      <c r="U283">
        <v>90.3</v>
      </c>
      <c r="V283">
        <v>1054</v>
      </c>
      <c r="W283">
        <v>56.53</v>
      </c>
      <c r="Y283">
        <v>12.95</v>
      </c>
    </row>
    <row r="284" spans="1:25" x14ac:dyDescent="0.25">
      <c r="A284">
        <v>2007</v>
      </c>
      <c r="B284">
        <v>88</v>
      </c>
      <c r="C284">
        <v>300</v>
      </c>
      <c r="D284">
        <v>-2.2250000000000001</v>
      </c>
      <c r="E284">
        <v>-22.13</v>
      </c>
      <c r="F284">
        <v>-0.45500000000000002</v>
      </c>
      <c r="G284">
        <v>-0.186</v>
      </c>
      <c r="K284">
        <v>0.47699999999999998</v>
      </c>
      <c r="L284">
        <v>228.6</v>
      </c>
      <c r="M284">
        <v>0</v>
      </c>
      <c r="O284">
        <v>-11.47</v>
      </c>
      <c r="P284">
        <v>-10.77</v>
      </c>
      <c r="Q284">
        <v>6.3390000000000004</v>
      </c>
      <c r="S284">
        <v>6.5339999999999998</v>
      </c>
      <c r="T284">
        <v>0</v>
      </c>
      <c r="U284">
        <v>95.1</v>
      </c>
      <c r="V284">
        <v>1007</v>
      </c>
      <c r="W284">
        <v>49.82</v>
      </c>
      <c r="Y284">
        <v>12.9</v>
      </c>
    </row>
    <row r="285" spans="1:25" x14ac:dyDescent="0.25">
      <c r="A285">
        <v>2007</v>
      </c>
      <c r="B285">
        <v>88</v>
      </c>
      <c r="C285">
        <v>400</v>
      </c>
      <c r="D285">
        <v>-2.2719999999999998</v>
      </c>
      <c r="E285">
        <v>-20.309999999999999</v>
      </c>
      <c r="F285">
        <v>-0.45600000000000002</v>
      </c>
      <c r="G285">
        <v>-7.3999999999999996E-2</v>
      </c>
      <c r="K285">
        <v>0.93799999999999994</v>
      </c>
      <c r="L285">
        <v>228.4</v>
      </c>
      <c r="M285">
        <v>0</v>
      </c>
      <c r="O285">
        <v>-11.38</v>
      </c>
      <c r="P285">
        <v>-10.68</v>
      </c>
      <c r="Q285">
        <v>6.0369999999999999</v>
      </c>
      <c r="S285">
        <v>6.4009999999999998</v>
      </c>
      <c r="T285">
        <v>0</v>
      </c>
      <c r="U285">
        <v>93.2</v>
      </c>
      <c r="V285">
        <v>994</v>
      </c>
      <c r="W285">
        <v>48.2</v>
      </c>
      <c r="Y285">
        <v>12.86</v>
      </c>
    </row>
    <row r="286" spans="1:25" x14ac:dyDescent="0.25">
      <c r="A286">
        <v>2007</v>
      </c>
      <c r="B286">
        <v>88</v>
      </c>
      <c r="C286">
        <v>500</v>
      </c>
      <c r="D286">
        <v>-2.7970000000000002</v>
      </c>
      <c r="E286">
        <v>-24.6</v>
      </c>
      <c r="F286">
        <v>-0.79900000000000004</v>
      </c>
      <c r="G286">
        <v>-0.71599999999999997</v>
      </c>
      <c r="K286">
        <v>0.73199999999999998</v>
      </c>
      <c r="L286">
        <v>229.1</v>
      </c>
      <c r="M286">
        <v>0</v>
      </c>
      <c r="O286">
        <v>-11.37</v>
      </c>
      <c r="P286">
        <v>-10.66</v>
      </c>
      <c r="Q286">
        <v>5.7569999999999997</v>
      </c>
      <c r="S286">
        <v>6.26</v>
      </c>
      <c r="T286">
        <v>0</v>
      </c>
      <c r="U286">
        <v>98.5</v>
      </c>
      <c r="V286">
        <v>993</v>
      </c>
      <c r="W286">
        <v>48.16</v>
      </c>
      <c r="Y286">
        <v>12.83</v>
      </c>
    </row>
    <row r="287" spans="1:25" x14ac:dyDescent="0.25">
      <c r="A287">
        <v>2007</v>
      </c>
      <c r="B287">
        <v>88</v>
      </c>
      <c r="C287">
        <v>600</v>
      </c>
      <c r="D287">
        <v>-1.5680000000000001</v>
      </c>
      <c r="E287">
        <v>-16.690000000000001</v>
      </c>
      <c r="F287">
        <v>-1.232</v>
      </c>
      <c r="G287">
        <v>-0.80300000000000005</v>
      </c>
      <c r="K287">
        <v>0.621</v>
      </c>
      <c r="L287">
        <v>228.6</v>
      </c>
      <c r="M287">
        <v>0</v>
      </c>
      <c r="O287">
        <v>-10.71</v>
      </c>
      <c r="P287">
        <v>-10.37</v>
      </c>
      <c r="Q287">
        <v>5.4950000000000001</v>
      </c>
      <c r="S287">
        <v>6.1159999999999997</v>
      </c>
      <c r="T287">
        <v>0</v>
      </c>
      <c r="U287">
        <v>92</v>
      </c>
      <c r="V287">
        <v>990</v>
      </c>
      <c r="W287">
        <v>47.71</v>
      </c>
      <c r="Y287">
        <v>12.81</v>
      </c>
    </row>
    <row r="288" spans="1:25" x14ac:dyDescent="0.25">
      <c r="A288">
        <v>2007</v>
      </c>
      <c r="B288">
        <v>88</v>
      </c>
      <c r="C288">
        <v>700</v>
      </c>
      <c r="D288">
        <v>43.39</v>
      </c>
      <c r="E288">
        <v>14.11</v>
      </c>
      <c r="F288">
        <v>-0.56999999999999995</v>
      </c>
      <c r="G288">
        <v>0.245</v>
      </c>
      <c r="K288">
        <v>1.075</v>
      </c>
      <c r="L288">
        <v>228.3</v>
      </c>
      <c r="M288">
        <v>0</v>
      </c>
      <c r="O288">
        <v>52.24</v>
      </c>
      <c r="P288">
        <v>15.65</v>
      </c>
      <c r="Q288">
        <v>5.2469999999999999</v>
      </c>
      <c r="S288">
        <v>5.99</v>
      </c>
      <c r="T288">
        <v>0</v>
      </c>
      <c r="U288">
        <v>85.7</v>
      </c>
      <c r="V288">
        <v>982</v>
      </c>
      <c r="W288">
        <v>46.88</v>
      </c>
      <c r="Y288">
        <v>12.98</v>
      </c>
    </row>
    <row r="289" spans="1:25" x14ac:dyDescent="0.25">
      <c r="A289">
        <v>2007</v>
      </c>
      <c r="B289">
        <v>88</v>
      </c>
      <c r="C289">
        <v>800</v>
      </c>
      <c r="D289">
        <v>166.2</v>
      </c>
      <c r="E289">
        <v>103</v>
      </c>
      <c r="F289">
        <v>1.59</v>
      </c>
      <c r="G289">
        <v>2.3359999999999999</v>
      </c>
      <c r="K289">
        <v>1.742</v>
      </c>
      <c r="L289">
        <v>228.6</v>
      </c>
      <c r="M289">
        <v>0.2</v>
      </c>
      <c r="O289">
        <v>220.4</v>
      </c>
      <c r="P289">
        <v>81.7</v>
      </c>
      <c r="Q289">
        <v>5.0990000000000002</v>
      </c>
      <c r="S289">
        <v>5.8949999999999996</v>
      </c>
      <c r="T289">
        <v>0</v>
      </c>
      <c r="U289">
        <v>87.8</v>
      </c>
      <c r="V289">
        <v>978</v>
      </c>
      <c r="W289">
        <v>46.48</v>
      </c>
      <c r="Y289">
        <v>14.09</v>
      </c>
    </row>
    <row r="290" spans="1:25" x14ac:dyDescent="0.25">
      <c r="A290">
        <v>2007</v>
      </c>
      <c r="B290">
        <v>88</v>
      </c>
      <c r="C290">
        <v>900</v>
      </c>
      <c r="D290">
        <v>183.7</v>
      </c>
      <c r="E290">
        <v>115.7</v>
      </c>
      <c r="F290">
        <v>2.9329999999999998</v>
      </c>
      <c r="G290">
        <v>3.6379999999999999</v>
      </c>
      <c r="H290">
        <f>AVERAGE(G290:G313)</f>
        <v>5.3984999999999994</v>
      </c>
      <c r="I290">
        <f>MIN(G290:G313)</f>
        <v>3.6379999999999999</v>
      </c>
      <c r="J290">
        <f>MAX(F290:F313)</f>
        <v>5.3540000000000001</v>
      </c>
      <c r="K290">
        <v>2.75</v>
      </c>
      <c r="L290">
        <v>230.8</v>
      </c>
      <c r="M290">
        <v>0</v>
      </c>
      <c r="N290">
        <f>SUM(M290:M313)</f>
        <v>3.4000000000000004</v>
      </c>
      <c r="O290">
        <v>228</v>
      </c>
      <c r="P290">
        <v>64.78</v>
      </c>
      <c r="Q290">
        <v>5.0750000000000002</v>
      </c>
      <c r="S290">
        <v>5.7919999999999998</v>
      </c>
      <c r="T290">
        <v>0</v>
      </c>
      <c r="U290">
        <v>89.2</v>
      </c>
      <c r="V290">
        <v>977</v>
      </c>
      <c r="W290">
        <v>46.35</v>
      </c>
      <c r="Y290">
        <v>14.24</v>
      </c>
    </row>
    <row r="291" spans="1:25" x14ac:dyDescent="0.25">
      <c r="A291">
        <v>2007</v>
      </c>
      <c r="B291">
        <v>88</v>
      </c>
      <c r="C291">
        <v>1000</v>
      </c>
      <c r="D291">
        <v>257.3</v>
      </c>
      <c r="E291">
        <v>159.6</v>
      </c>
      <c r="F291">
        <v>3.7719999999999998</v>
      </c>
      <c r="G291">
        <v>4.7640000000000002</v>
      </c>
      <c r="K291">
        <v>2.621</v>
      </c>
      <c r="L291">
        <v>236.3</v>
      </c>
      <c r="M291">
        <v>0</v>
      </c>
      <c r="O291">
        <v>319.10000000000002</v>
      </c>
      <c r="P291">
        <v>77.8</v>
      </c>
      <c r="Q291">
        <v>5.1189999999999998</v>
      </c>
      <c r="S291">
        <v>5.6609999999999996</v>
      </c>
      <c r="T291">
        <v>0</v>
      </c>
      <c r="U291">
        <v>85.6</v>
      </c>
      <c r="V291">
        <v>975</v>
      </c>
      <c r="W291">
        <v>46.06</v>
      </c>
      <c r="Y291">
        <v>14.06</v>
      </c>
    </row>
    <row r="292" spans="1:25" x14ac:dyDescent="0.25">
      <c r="A292">
        <v>2007</v>
      </c>
      <c r="B292">
        <v>88</v>
      </c>
      <c r="C292">
        <v>1100</v>
      </c>
      <c r="D292">
        <v>109.6</v>
      </c>
      <c r="E292">
        <v>61.5</v>
      </c>
      <c r="F292">
        <v>4.133</v>
      </c>
      <c r="G292">
        <v>5.367</v>
      </c>
      <c r="K292">
        <v>2.7810000000000001</v>
      </c>
      <c r="L292">
        <v>268</v>
      </c>
      <c r="M292">
        <v>0.2</v>
      </c>
      <c r="O292">
        <v>139.30000000000001</v>
      </c>
      <c r="P292">
        <v>27.06</v>
      </c>
      <c r="Q292">
        <v>5.4219999999999997</v>
      </c>
      <c r="S292">
        <v>5.5659999999999998</v>
      </c>
      <c r="T292">
        <v>0</v>
      </c>
      <c r="U292">
        <v>82.5</v>
      </c>
      <c r="V292">
        <v>972</v>
      </c>
      <c r="W292">
        <v>45.8</v>
      </c>
      <c r="Y292">
        <v>13.9</v>
      </c>
    </row>
    <row r="293" spans="1:25" x14ac:dyDescent="0.25">
      <c r="A293">
        <v>2007</v>
      </c>
      <c r="B293">
        <v>88</v>
      </c>
      <c r="C293">
        <v>1200</v>
      </c>
      <c r="D293">
        <v>109.2</v>
      </c>
      <c r="E293">
        <v>65.95</v>
      </c>
      <c r="F293">
        <v>4.1369999999999996</v>
      </c>
      <c r="G293">
        <v>4.9320000000000004</v>
      </c>
      <c r="K293">
        <v>1.9870000000000001</v>
      </c>
      <c r="L293">
        <v>281.60000000000002</v>
      </c>
      <c r="M293">
        <v>0.2</v>
      </c>
      <c r="O293">
        <v>144.5</v>
      </c>
      <c r="P293">
        <v>22.7</v>
      </c>
      <c r="Q293">
        <v>5.78</v>
      </c>
      <c r="S293">
        <v>5.53</v>
      </c>
      <c r="T293">
        <v>0</v>
      </c>
      <c r="U293">
        <v>88.4</v>
      </c>
      <c r="V293">
        <v>967</v>
      </c>
      <c r="W293">
        <v>45.3</v>
      </c>
      <c r="Y293">
        <v>13.7</v>
      </c>
    </row>
    <row r="294" spans="1:25" x14ac:dyDescent="0.25">
      <c r="A294">
        <v>2007</v>
      </c>
      <c r="B294">
        <v>88</v>
      </c>
      <c r="C294">
        <v>1300</v>
      </c>
      <c r="D294">
        <v>126.5</v>
      </c>
      <c r="E294">
        <v>78.599999999999994</v>
      </c>
      <c r="F294">
        <v>4.2670000000000003</v>
      </c>
      <c r="G294">
        <v>4.97</v>
      </c>
      <c r="K294">
        <v>1.7410000000000001</v>
      </c>
      <c r="L294">
        <v>323.3</v>
      </c>
      <c r="M294">
        <v>1.4</v>
      </c>
      <c r="O294">
        <v>165.1</v>
      </c>
      <c r="P294">
        <v>28.35</v>
      </c>
      <c r="Q294">
        <v>6.0030000000000001</v>
      </c>
      <c r="S294">
        <v>5.5460000000000003</v>
      </c>
      <c r="T294">
        <v>0</v>
      </c>
      <c r="U294">
        <v>89.8</v>
      </c>
      <c r="V294">
        <v>969</v>
      </c>
      <c r="W294">
        <v>45.5</v>
      </c>
      <c r="Y294">
        <v>13.67</v>
      </c>
    </row>
    <row r="295" spans="1:25" x14ac:dyDescent="0.25">
      <c r="A295">
        <v>2007</v>
      </c>
      <c r="B295">
        <v>88</v>
      </c>
      <c r="C295">
        <v>1400</v>
      </c>
      <c r="D295">
        <v>107.6</v>
      </c>
      <c r="E295">
        <v>63.25</v>
      </c>
      <c r="F295">
        <v>4.3410000000000002</v>
      </c>
      <c r="G295">
        <v>5.1130000000000004</v>
      </c>
      <c r="K295">
        <v>1.597</v>
      </c>
      <c r="L295">
        <v>19.14</v>
      </c>
      <c r="M295">
        <v>0.6</v>
      </c>
      <c r="O295">
        <v>139.30000000000001</v>
      </c>
      <c r="P295">
        <v>22.72</v>
      </c>
      <c r="Q295">
        <v>6.2169999999999996</v>
      </c>
      <c r="S295">
        <v>5.633</v>
      </c>
      <c r="T295">
        <v>0</v>
      </c>
      <c r="U295">
        <v>88.9</v>
      </c>
      <c r="V295">
        <v>975</v>
      </c>
      <c r="W295">
        <v>46.06</v>
      </c>
      <c r="Y295">
        <v>13.65</v>
      </c>
    </row>
    <row r="296" spans="1:25" x14ac:dyDescent="0.25">
      <c r="A296">
        <v>2007</v>
      </c>
      <c r="B296">
        <v>88</v>
      </c>
      <c r="C296">
        <v>1500</v>
      </c>
      <c r="D296">
        <v>76.400000000000006</v>
      </c>
      <c r="E296">
        <v>42.6</v>
      </c>
      <c r="F296">
        <v>4.4610000000000003</v>
      </c>
      <c r="G296">
        <v>5.1529999999999996</v>
      </c>
      <c r="K296">
        <v>1.3959999999999999</v>
      </c>
      <c r="L296">
        <v>12.15</v>
      </c>
      <c r="M296">
        <v>0.6</v>
      </c>
      <c r="O296">
        <v>98.5</v>
      </c>
      <c r="P296">
        <v>13.02</v>
      </c>
      <c r="Q296">
        <v>6.4059999999999997</v>
      </c>
      <c r="S296">
        <v>5.6449999999999996</v>
      </c>
      <c r="T296">
        <v>0</v>
      </c>
      <c r="U296">
        <v>90</v>
      </c>
      <c r="V296">
        <v>983</v>
      </c>
      <c r="W296">
        <v>47.03</v>
      </c>
      <c r="Y296">
        <v>13.6</v>
      </c>
    </row>
    <row r="297" spans="1:25" x14ac:dyDescent="0.25">
      <c r="A297">
        <v>2007</v>
      </c>
      <c r="B297">
        <v>88</v>
      </c>
      <c r="C297">
        <v>1600</v>
      </c>
      <c r="D297">
        <v>47.08</v>
      </c>
      <c r="E297">
        <v>22.71</v>
      </c>
      <c r="F297">
        <v>4.5999999999999996</v>
      </c>
      <c r="G297">
        <v>5.26</v>
      </c>
      <c r="K297">
        <v>1.3149999999999999</v>
      </c>
      <c r="L297">
        <v>277.5</v>
      </c>
      <c r="M297">
        <v>0.2</v>
      </c>
      <c r="O297">
        <v>56.54</v>
      </c>
      <c r="P297">
        <v>4.3520000000000003</v>
      </c>
      <c r="Q297">
        <v>6.5449999999999999</v>
      </c>
      <c r="S297">
        <v>5.681</v>
      </c>
      <c r="T297">
        <v>0</v>
      </c>
      <c r="U297">
        <v>90.5</v>
      </c>
      <c r="V297">
        <v>986</v>
      </c>
      <c r="W297">
        <v>47.33</v>
      </c>
      <c r="Y297">
        <v>13.52</v>
      </c>
    </row>
    <row r="298" spans="1:25" x14ac:dyDescent="0.25">
      <c r="A298">
        <v>2007</v>
      </c>
      <c r="B298">
        <v>88</v>
      </c>
      <c r="C298">
        <v>1700</v>
      </c>
      <c r="D298">
        <v>26.13</v>
      </c>
      <c r="E298">
        <v>8.56</v>
      </c>
      <c r="F298">
        <v>4.7990000000000004</v>
      </c>
      <c r="G298">
        <v>5.4669999999999996</v>
      </c>
      <c r="K298">
        <v>1.153</v>
      </c>
      <c r="L298">
        <v>257.3</v>
      </c>
      <c r="M298">
        <v>0</v>
      </c>
      <c r="O298">
        <v>26.93</v>
      </c>
      <c r="P298">
        <v>-2.2240000000000002</v>
      </c>
      <c r="Q298">
        <v>6.62</v>
      </c>
      <c r="S298">
        <v>5.7530000000000001</v>
      </c>
      <c r="T298">
        <v>0</v>
      </c>
      <c r="U298">
        <v>90.5</v>
      </c>
      <c r="V298">
        <v>983</v>
      </c>
      <c r="W298">
        <v>46.97</v>
      </c>
      <c r="Y298">
        <v>13.43</v>
      </c>
    </row>
    <row r="299" spans="1:25" x14ac:dyDescent="0.25">
      <c r="A299">
        <v>2007</v>
      </c>
      <c r="B299">
        <v>88</v>
      </c>
      <c r="C299">
        <v>1800</v>
      </c>
      <c r="D299">
        <v>11</v>
      </c>
      <c r="E299">
        <v>-1.494</v>
      </c>
      <c r="F299">
        <v>4.9850000000000003</v>
      </c>
      <c r="G299">
        <v>5.7229999999999999</v>
      </c>
      <c r="K299">
        <v>0.76200000000000001</v>
      </c>
      <c r="L299">
        <v>301.5</v>
      </c>
      <c r="M299">
        <v>0.2</v>
      </c>
      <c r="O299">
        <v>5.6980000000000004</v>
      </c>
      <c r="P299">
        <v>-6.8150000000000004</v>
      </c>
      <c r="Q299">
        <v>6.6550000000000002</v>
      </c>
      <c r="S299">
        <v>5.7549999999999999</v>
      </c>
      <c r="T299">
        <v>0</v>
      </c>
      <c r="U299">
        <v>89.6</v>
      </c>
      <c r="V299">
        <v>983</v>
      </c>
      <c r="W299">
        <v>47.03</v>
      </c>
      <c r="Y299">
        <v>13.35</v>
      </c>
    </row>
    <row r="300" spans="1:25" x14ac:dyDescent="0.25">
      <c r="A300">
        <v>2007</v>
      </c>
      <c r="B300">
        <v>88</v>
      </c>
      <c r="C300">
        <v>1900</v>
      </c>
      <c r="D300">
        <v>2.879</v>
      </c>
      <c r="E300">
        <v>-7.57</v>
      </c>
      <c r="F300">
        <v>4.9969999999999999</v>
      </c>
      <c r="G300">
        <v>5.76</v>
      </c>
      <c r="K300">
        <v>0.79500000000000004</v>
      </c>
      <c r="L300">
        <v>7.83</v>
      </c>
      <c r="M300">
        <v>0</v>
      </c>
      <c r="O300">
        <v>-6.1280000000000001</v>
      </c>
      <c r="P300">
        <v>-9.66</v>
      </c>
      <c r="Q300">
        <v>6.6539999999999999</v>
      </c>
      <c r="S300">
        <v>5.8369999999999997</v>
      </c>
      <c r="T300">
        <v>0</v>
      </c>
      <c r="U300">
        <v>89.3</v>
      </c>
      <c r="V300">
        <v>985</v>
      </c>
      <c r="W300">
        <v>47.19</v>
      </c>
      <c r="Y300">
        <v>13.27</v>
      </c>
    </row>
    <row r="301" spans="1:25" x14ac:dyDescent="0.25">
      <c r="A301">
        <v>2007</v>
      </c>
      <c r="B301">
        <v>88</v>
      </c>
      <c r="C301">
        <v>2000</v>
      </c>
      <c r="D301">
        <v>-0.93400000000000005</v>
      </c>
      <c r="E301">
        <v>-13.8</v>
      </c>
      <c r="F301">
        <v>5.0179999999999998</v>
      </c>
      <c r="G301">
        <v>5.8029999999999999</v>
      </c>
      <c r="K301">
        <v>0.89900000000000002</v>
      </c>
      <c r="L301">
        <v>241.4</v>
      </c>
      <c r="M301">
        <v>0</v>
      </c>
      <c r="O301">
        <v>-11.34</v>
      </c>
      <c r="P301">
        <v>-10.84</v>
      </c>
      <c r="Q301">
        <v>6.6079999999999997</v>
      </c>
      <c r="S301">
        <v>5.8620000000000001</v>
      </c>
      <c r="T301">
        <v>0</v>
      </c>
      <c r="U301">
        <v>89</v>
      </c>
      <c r="V301">
        <v>983</v>
      </c>
      <c r="W301">
        <v>46.95</v>
      </c>
      <c r="Y301">
        <v>13.19</v>
      </c>
    </row>
    <row r="302" spans="1:25" x14ac:dyDescent="0.25">
      <c r="A302">
        <v>2007</v>
      </c>
      <c r="B302">
        <v>88</v>
      </c>
      <c r="C302">
        <v>2100</v>
      </c>
      <c r="D302">
        <v>-0.97899999999999998</v>
      </c>
      <c r="E302">
        <v>-12.92</v>
      </c>
      <c r="F302">
        <v>4.9210000000000003</v>
      </c>
      <c r="G302">
        <v>5.6440000000000001</v>
      </c>
      <c r="K302">
        <v>1.278</v>
      </c>
      <c r="L302">
        <v>231.2</v>
      </c>
      <c r="M302">
        <v>0</v>
      </c>
      <c r="O302">
        <v>-11.5</v>
      </c>
      <c r="P302">
        <v>-10.85</v>
      </c>
      <c r="Q302">
        <v>6.5659999999999998</v>
      </c>
      <c r="S302">
        <v>5.883</v>
      </c>
      <c r="T302">
        <v>0</v>
      </c>
      <c r="U302">
        <v>89.8</v>
      </c>
      <c r="V302">
        <v>978</v>
      </c>
      <c r="W302">
        <v>46.47</v>
      </c>
      <c r="Y302">
        <v>13.12</v>
      </c>
    </row>
    <row r="303" spans="1:25" x14ac:dyDescent="0.25">
      <c r="A303">
        <v>2007</v>
      </c>
      <c r="B303">
        <v>88</v>
      </c>
      <c r="C303">
        <v>2200</v>
      </c>
      <c r="D303">
        <v>-0.74199999999999999</v>
      </c>
      <c r="E303">
        <v>-11.37</v>
      </c>
      <c r="F303">
        <v>5.1219999999999999</v>
      </c>
      <c r="G303">
        <v>5.8250000000000002</v>
      </c>
      <c r="K303">
        <v>1.224</v>
      </c>
      <c r="L303">
        <v>229.4</v>
      </c>
      <c r="M303">
        <v>0</v>
      </c>
      <c r="O303">
        <v>-11.5</v>
      </c>
      <c r="P303">
        <v>-10.85</v>
      </c>
      <c r="Q303">
        <v>6.5129999999999999</v>
      </c>
      <c r="S303">
        <v>5.907</v>
      </c>
      <c r="T303">
        <v>0</v>
      </c>
      <c r="U303">
        <v>90.1</v>
      </c>
      <c r="V303">
        <v>979</v>
      </c>
      <c r="W303">
        <v>46.54</v>
      </c>
      <c r="Y303">
        <v>13.05</v>
      </c>
    </row>
    <row r="304" spans="1:25" x14ac:dyDescent="0.25">
      <c r="A304">
        <v>2007</v>
      </c>
      <c r="B304">
        <v>88</v>
      </c>
      <c r="C304">
        <v>2300</v>
      </c>
      <c r="D304">
        <v>-1.9770000000000001</v>
      </c>
      <c r="E304">
        <v>-29.31</v>
      </c>
      <c r="F304">
        <v>4.6760000000000002</v>
      </c>
      <c r="G304">
        <v>5.3620000000000001</v>
      </c>
      <c r="K304">
        <v>0.96099999999999997</v>
      </c>
      <c r="L304">
        <v>248.9</v>
      </c>
      <c r="M304">
        <v>0</v>
      </c>
      <c r="O304">
        <v>-11.5</v>
      </c>
      <c r="P304">
        <v>-10.85</v>
      </c>
      <c r="Q304">
        <v>6.44</v>
      </c>
      <c r="S304">
        <v>5.8959999999999999</v>
      </c>
      <c r="T304">
        <v>0</v>
      </c>
      <c r="U304">
        <v>90.2</v>
      </c>
      <c r="V304">
        <v>977</v>
      </c>
      <c r="W304">
        <v>46.27</v>
      </c>
      <c r="Y304">
        <v>12.99</v>
      </c>
    </row>
    <row r="305" spans="1:25" x14ac:dyDescent="0.25">
      <c r="A305">
        <v>2007</v>
      </c>
      <c r="B305">
        <v>88</v>
      </c>
      <c r="C305">
        <v>2400</v>
      </c>
      <c r="D305">
        <v>-2.431</v>
      </c>
      <c r="E305">
        <v>-28.17</v>
      </c>
      <c r="F305">
        <v>3.391</v>
      </c>
      <c r="G305">
        <v>3.9119999999999999</v>
      </c>
      <c r="K305">
        <v>0.35</v>
      </c>
      <c r="L305">
        <v>230.8</v>
      </c>
      <c r="M305">
        <v>0</v>
      </c>
      <c r="O305">
        <v>-11.5</v>
      </c>
      <c r="P305">
        <v>-10.85</v>
      </c>
      <c r="Q305">
        <v>6.3440000000000003</v>
      </c>
      <c r="S305">
        <v>5.84</v>
      </c>
      <c r="T305">
        <v>0</v>
      </c>
      <c r="U305">
        <v>92.1</v>
      </c>
      <c r="V305">
        <v>975</v>
      </c>
      <c r="W305">
        <v>46.06</v>
      </c>
      <c r="Y305">
        <v>12.94</v>
      </c>
    </row>
    <row r="306" spans="1:25" x14ac:dyDescent="0.25">
      <c r="A306">
        <v>2007</v>
      </c>
      <c r="B306">
        <v>89</v>
      </c>
      <c r="C306">
        <v>100</v>
      </c>
      <c r="D306">
        <v>-1.1180000000000001</v>
      </c>
      <c r="E306">
        <v>-13.33</v>
      </c>
      <c r="F306">
        <v>3.9239999999999999</v>
      </c>
      <c r="G306">
        <v>4.5030000000000001</v>
      </c>
      <c r="K306">
        <v>0.66300000000000003</v>
      </c>
      <c r="L306">
        <v>236.7</v>
      </c>
      <c r="M306">
        <v>0</v>
      </c>
      <c r="O306">
        <v>-11.5</v>
      </c>
      <c r="P306">
        <v>-10.85</v>
      </c>
      <c r="Q306">
        <v>6.17</v>
      </c>
      <c r="S306">
        <v>5.8540000000000001</v>
      </c>
      <c r="T306">
        <v>0</v>
      </c>
      <c r="U306">
        <v>91.4</v>
      </c>
      <c r="V306">
        <v>976</v>
      </c>
      <c r="W306">
        <v>46.21</v>
      </c>
      <c r="Y306">
        <v>12.9</v>
      </c>
    </row>
    <row r="307" spans="1:25" x14ac:dyDescent="0.25">
      <c r="A307">
        <v>2007</v>
      </c>
      <c r="B307">
        <v>89</v>
      </c>
      <c r="C307">
        <v>200</v>
      </c>
      <c r="D307">
        <v>-1.1619999999999999</v>
      </c>
      <c r="E307">
        <v>-12.49</v>
      </c>
      <c r="F307">
        <v>3.282</v>
      </c>
      <c r="G307">
        <v>3.8359999999999999</v>
      </c>
      <c r="K307">
        <v>0.58099999999999996</v>
      </c>
      <c r="L307">
        <v>273.89999999999998</v>
      </c>
      <c r="M307">
        <v>0</v>
      </c>
      <c r="O307">
        <v>-11.5</v>
      </c>
      <c r="P307">
        <v>-10.85</v>
      </c>
      <c r="Q307">
        <v>6.02</v>
      </c>
      <c r="S307">
        <v>5.766</v>
      </c>
      <c r="T307">
        <v>0</v>
      </c>
      <c r="U307">
        <v>91.6</v>
      </c>
      <c r="V307">
        <v>977</v>
      </c>
      <c r="W307">
        <v>46.33</v>
      </c>
      <c r="Y307">
        <v>12.87</v>
      </c>
    </row>
    <row r="308" spans="1:25" x14ac:dyDescent="0.25">
      <c r="A308">
        <v>2007</v>
      </c>
      <c r="B308">
        <v>89</v>
      </c>
      <c r="C308">
        <v>300</v>
      </c>
      <c r="D308">
        <v>-0.94699999999999995</v>
      </c>
      <c r="E308">
        <v>-10.83</v>
      </c>
      <c r="F308">
        <v>4.8029999999999999</v>
      </c>
      <c r="G308">
        <v>5.9429999999999996</v>
      </c>
      <c r="K308">
        <v>1.153</v>
      </c>
      <c r="L308">
        <v>84</v>
      </c>
      <c r="M308">
        <v>0</v>
      </c>
      <c r="O308">
        <v>-11.51</v>
      </c>
      <c r="P308">
        <v>-10.85</v>
      </c>
      <c r="Q308">
        <v>5.9130000000000003</v>
      </c>
      <c r="S308">
        <v>5.7450000000000001</v>
      </c>
      <c r="T308">
        <v>0</v>
      </c>
      <c r="U308">
        <v>84.3</v>
      </c>
      <c r="V308">
        <v>975</v>
      </c>
      <c r="W308">
        <v>46.15</v>
      </c>
      <c r="Y308">
        <v>12.84</v>
      </c>
    </row>
    <row r="309" spans="1:25" x14ac:dyDescent="0.25">
      <c r="A309">
        <v>2007</v>
      </c>
      <c r="B309">
        <v>89</v>
      </c>
      <c r="C309">
        <v>400</v>
      </c>
      <c r="D309">
        <v>-0.60299999999999998</v>
      </c>
      <c r="E309">
        <v>-5.4630000000000001</v>
      </c>
      <c r="F309">
        <v>5.2569999999999997</v>
      </c>
      <c r="G309">
        <v>6.5369999999999999</v>
      </c>
      <c r="K309">
        <v>0.96399999999999997</v>
      </c>
      <c r="L309">
        <v>52.88</v>
      </c>
      <c r="M309">
        <v>0</v>
      </c>
      <c r="O309">
        <v>-11.51</v>
      </c>
      <c r="P309">
        <v>-10.85</v>
      </c>
      <c r="Q309">
        <v>5.9</v>
      </c>
      <c r="S309">
        <v>5.7389999999999999</v>
      </c>
      <c r="T309">
        <v>0</v>
      </c>
      <c r="U309">
        <v>82.7</v>
      </c>
      <c r="V309">
        <v>973</v>
      </c>
      <c r="W309">
        <v>45.94</v>
      </c>
      <c r="Y309">
        <v>12.83</v>
      </c>
    </row>
    <row r="310" spans="1:25" x14ac:dyDescent="0.25">
      <c r="A310">
        <v>2007</v>
      </c>
      <c r="B310">
        <v>89</v>
      </c>
      <c r="C310">
        <v>500</v>
      </c>
      <c r="D310">
        <v>-0.57299999999999995</v>
      </c>
      <c r="E310">
        <v>-5.7220000000000004</v>
      </c>
      <c r="F310">
        <v>4.9480000000000004</v>
      </c>
      <c r="G310">
        <v>5.9539999999999997</v>
      </c>
      <c r="K310">
        <v>0.58899999999999997</v>
      </c>
      <c r="L310">
        <v>260.8</v>
      </c>
      <c r="M310">
        <v>0</v>
      </c>
      <c r="O310">
        <v>-11.5</v>
      </c>
      <c r="P310">
        <v>-10.85</v>
      </c>
      <c r="Q310">
        <v>5.8579999999999997</v>
      </c>
      <c r="S310">
        <v>5.6859999999999999</v>
      </c>
      <c r="T310">
        <v>0</v>
      </c>
      <c r="U310">
        <v>86</v>
      </c>
      <c r="V310">
        <v>972</v>
      </c>
      <c r="W310">
        <v>45.76</v>
      </c>
      <c r="Y310">
        <v>12.82</v>
      </c>
    </row>
    <row r="311" spans="1:25" x14ac:dyDescent="0.25">
      <c r="A311">
        <v>2007</v>
      </c>
      <c r="B311">
        <v>89</v>
      </c>
      <c r="C311">
        <v>600</v>
      </c>
      <c r="D311">
        <v>-0.42499999999999999</v>
      </c>
      <c r="E311">
        <v>-6.11</v>
      </c>
      <c r="F311">
        <v>5.1840000000000002</v>
      </c>
      <c r="G311">
        <v>6.5549999999999997</v>
      </c>
      <c r="K311">
        <v>0.92600000000000005</v>
      </c>
      <c r="L311">
        <v>57.06</v>
      </c>
      <c r="M311">
        <v>0</v>
      </c>
      <c r="O311">
        <v>-11.33</v>
      </c>
      <c r="P311">
        <v>-10.84</v>
      </c>
      <c r="Q311">
        <v>5.8460000000000001</v>
      </c>
      <c r="S311">
        <v>5.585</v>
      </c>
      <c r="T311">
        <v>0</v>
      </c>
      <c r="U311">
        <v>81.400000000000006</v>
      </c>
      <c r="V311">
        <v>971</v>
      </c>
      <c r="W311">
        <v>45.64</v>
      </c>
      <c r="Y311">
        <v>12.82</v>
      </c>
    </row>
    <row r="312" spans="1:25" x14ac:dyDescent="0.25">
      <c r="A312">
        <v>2007</v>
      </c>
      <c r="B312">
        <v>89</v>
      </c>
      <c r="C312">
        <v>700</v>
      </c>
      <c r="D312">
        <v>5.6740000000000004</v>
      </c>
      <c r="E312">
        <v>-1.88</v>
      </c>
      <c r="F312">
        <v>5.2110000000000003</v>
      </c>
      <c r="G312">
        <v>6.65</v>
      </c>
      <c r="K312">
        <v>1.093</v>
      </c>
      <c r="L312">
        <v>50.13</v>
      </c>
      <c r="M312">
        <v>0</v>
      </c>
      <c r="O312">
        <v>-2.774</v>
      </c>
      <c r="P312">
        <v>-8.92</v>
      </c>
      <c r="Q312">
        <v>5.8170000000000002</v>
      </c>
      <c r="S312">
        <v>5.5430000000000001</v>
      </c>
      <c r="T312">
        <v>0</v>
      </c>
      <c r="U312">
        <v>80.599999999999994</v>
      </c>
      <c r="V312">
        <v>970</v>
      </c>
      <c r="W312">
        <v>45.55</v>
      </c>
      <c r="Y312">
        <v>12.82</v>
      </c>
    </row>
    <row r="313" spans="1:25" x14ac:dyDescent="0.25">
      <c r="A313">
        <v>2007</v>
      </c>
      <c r="B313">
        <v>89</v>
      </c>
      <c r="C313">
        <v>800</v>
      </c>
      <c r="D313">
        <v>39.94</v>
      </c>
      <c r="E313">
        <v>18.63</v>
      </c>
      <c r="F313">
        <v>5.3540000000000001</v>
      </c>
      <c r="G313">
        <v>6.8929999999999998</v>
      </c>
      <c r="K313">
        <v>1.258</v>
      </c>
      <c r="L313">
        <v>65.39</v>
      </c>
      <c r="M313">
        <v>0</v>
      </c>
      <c r="O313">
        <v>39.619999999999997</v>
      </c>
      <c r="P313">
        <v>0.70199999999999996</v>
      </c>
      <c r="Q313">
        <v>5.859</v>
      </c>
      <c r="S313">
        <v>5.5359999999999996</v>
      </c>
      <c r="T313">
        <v>0</v>
      </c>
      <c r="U313">
        <v>79.5</v>
      </c>
      <c r="V313">
        <v>969</v>
      </c>
      <c r="W313">
        <v>45.45</v>
      </c>
      <c r="Y313">
        <v>12.88</v>
      </c>
    </row>
    <row r="314" spans="1:25" x14ac:dyDescent="0.25">
      <c r="A314">
        <v>2007</v>
      </c>
      <c r="B314">
        <v>89</v>
      </c>
      <c r="C314">
        <v>900</v>
      </c>
      <c r="D314">
        <v>34.9</v>
      </c>
      <c r="E314">
        <v>16.989999999999998</v>
      </c>
      <c r="F314">
        <v>5.6159999999999997</v>
      </c>
      <c r="G314">
        <v>7.2</v>
      </c>
      <c r="H314">
        <f>AVERAGE(G314:G337)</f>
        <v>7.5514583333333336</v>
      </c>
      <c r="I314">
        <f>MIN(G314:G337)</f>
        <v>4.5179999999999998</v>
      </c>
      <c r="J314">
        <f>MAX(F314:F337)</f>
        <v>8.85</v>
      </c>
      <c r="K314">
        <v>1.3260000000000001</v>
      </c>
      <c r="L314">
        <v>71.2</v>
      </c>
      <c r="M314">
        <v>0</v>
      </c>
      <c r="N314">
        <f>SUM(M314:M337)</f>
        <v>0</v>
      </c>
      <c r="O314">
        <v>36.44</v>
      </c>
      <c r="P314">
        <v>0.505</v>
      </c>
      <c r="Q314">
        <v>5.923</v>
      </c>
      <c r="S314">
        <v>5.5359999999999996</v>
      </c>
      <c r="T314">
        <v>0</v>
      </c>
      <c r="U314">
        <v>79.2</v>
      </c>
      <c r="V314">
        <v>968</v>
      </c>
      <c r="W314">
        <v>45.4</v>
      </c>
      <c r="Y314">
        <v>12.95</v>
      </c>
    </row>
    <row r="315" spans="1:25" x14ac:dyDescent="0.25">
      <c r="A315">
        <v>2007</v>
      </c>
      <c r="B315">
        <v>89</v>
      </c>
      <c r="C315">
        <v>1000</v>
      </c>
      <c r="D315">
        <v>60.29</v>
      </c>
      <c r="E315">
        <v>33.270000000000003</v>
      </c>
      <c r="F315">
        <v>5.8</v>
      </c>
      <c r="G315">
        <v>7.4</v>
      </c>
      <c r="K315">
        <v>1.601</v>
      </c>
      <c r="L315">
        <v>77.5</v>
      </c>
      <c r="M315">
        <v>0</v>
      </c>
      <c r="O315">
        <v>69.5</v>
      </c>
      <c r="P315">
        <v>8.8699999999999992</v>
      </c>
      <c r="Q315">
        <v>6.0140000000000002</v>
      </c>
      <c r="S315">
        <v>5.5369999999999999</v>
      </c>
      <c r="T315">
        <v>0</v>
      </c>
      <c r="U315">
        <v>79.099999999999994</v>
      </c>
      <c r="V315">
        <v>967</v>
      </c>
      <c r="W315">
        <v>45.28</v>
      </c>
      <c r="Y315">
        <v>13.02</v>
      </c>
    </row>
    <row r="316" spans="1:25" x14ac:dyDescent="0.25">
      <c r="A316">
        <v>2007</v>
      </c>
      <c r="B316">
        <v>89</v>
      </c>
      <c r="C316">
        <v>1100</v>
      </c>
      <c r="D316">
        <v>145.80000000000001</v>
      </c>
      <c r="E316">
        <v>87.1</v>
      </c>
      <c r="F316">
        <v>6.452</v>
      </c>
      <c r="G316">
        <v>8.26</v>
      </c>
      <c r="K316">
        <v>1.8340000000000001</v>
      </c>
      <c r="L316">
        <v>68.63</v>
      </c>
      <c r="M316">
        <v>0</v>
      </c>
      <c r="O316">
        <v>177.8</v>
      </c>
      <c r="P316">
        <v>38.25</v>
      </c>
      <c r="Q316">
        <v>6.1470000000000002</v>
      </c>
      <c r="S316">
        <v>5.6139999999999999</v>
      </c>
      <c r="T316">
        <v>0</v>
      </c>
      <c r="U316">
        <v>77.2</v>
      </c>
      <c r="V316">
        <v>966</v>
      </c>
      <c r="W316">
        <v>45.12</v>
      </c>
      <c r="Y316">
        <v>13.61</v>
      </c>
    </row>
    <row r="317" spans="1:25" x14ac:dyDescent="0.25">
      <c r="A317">
        <v>2007</v>
      </c>
      <c r="B317">
        <v>89</v>
      </c>
      <c r="C317">
        <v>1200</v>
      </c>
      <c r="D317">
        <v>101</v>
      </c>
      <c r="E317">
        <v>60.15</v>
      </c>
      <c r="F317">
        <v>6.4569999999999999</v>
      </c>
      <c r="G317">
        <v>8.3000000000000007</v>
      </c>
      <c r="K317">
        <v>1.823</v>
      </c>
      <c r="L317">
        <v>64.27</v>
      </c>
      <c r="M317">
        <v>0</v>
      </c>
      <c r="O317">
        <v>122.4</v>
      </c>
      <c r="P317">
        <v>24.94</v>
      </c>
      <c r="Q317">
        <v>6.3220000000000001</v>
      </c>
      <c r="S317">
        <v>5.5730000000000004</v>
      </c>
      <c r="T317">
        <v>0</v>
      </c>
      <c r="U317">
        <v>76.8</v>
      </c>
      <c r="V317">
        <v>967</v>
      </c>
      <c r="W317">
        <v>45.23</v>
      </c>
      <c r="Y317">
        <v>13.61</v>
      </c>
    </row>
    <row r="318" spans="1:25" x14ac:dyDescent="0.25">
      <c r="A318">
        <v>2007</v>
      </c>
      <c r="B318">
        <v>89</v>
      </c>
      <c r="C318">
        <v>1300</v>
      </c>
      <c r="D318">
        <v>249.4</v>
      </c>
      <c r="E318">
        <v>155.80000000000001</v>
      </c>
      <c r="F318">
        <v>6.8479999999999999</v>
      </c>
      <c r="G318">
        <v>8.75</v>
      </c>
      <c r="K318">
        <v>1.9470000000000001</v>
      </c>
      <c r="L318">
        <v>55.36</v>
      </c>
      <c r="M318">
        <v>0</v>
      </c>
      <c r="O318">
        <v>309</v>
      </c>
      <c r="P318">
        <v>76.400000000000006</v>
      </c>
      <c r="Q318">
        <v>6.5250000000000004</v>
      </c>
      <c r="S318">
        <v>5.5940000000000003</v>
      </c>
      <c r="T318">
        <v>0</v>
      </c>
      <c r="U318">
        <v>76.5</v>
      </c>
      <c r="V318">
        <v>961</v>
      </c>
      <c r="W318">
        <v>44.65</v>
      </c>
      <c r="Y318">
        <v>13.84</v>
      </c>
    </row>
    <row r="319" spans="1:25" x14ac:dyDescent="0.25">
      <c r="A319">
        <v>2007</v>
      </c>
      <c r="B319">
        <v>89</v>
      </c>
      <c r="C319">
        <v>1400</v>
      </c>
      <c r="D319">
        <v>323</v>
      </c>
      <c r="E319">
        <v>195.9</v>
      </c>
      <c r="F319">
        <v>7.73</v>
      </c>
      <c r="G319">
        <v>9.76</v>
      </c>
      <c r="K319">
        <v>2.0680000000000001</v>
      </c>
      <c r="L319">
        <v>60</v>
      </c>
      <c r="M319">
        <v>0</v>
      </c>
      <c r="O319">
        <v>390.8</v>
      </c>
      <c r="P319">
        <v>98.8</v>
      </c>
      <c r="Q319">
        <v>6.8710000000000004</v>
      </c>
      <c r="S319">
        <v>5.7229999999999999</v>
      </c>
      <c r="T319">
        <v>0</v>
      </c>
      <c r="U319">
        <v>75.8</v>
      </c>
      <c r="V319">
        <v>959</v>
      </c>
      <c r="W319">
        <v>44.5</v>
      </c>
      <c r="Y319">
        <v>14.1</v>
      </c>
    </row>
    <row r="320" spans="1:25" x14ac:dyDescent="0.25">
      <c r="A320">
        <v>2007</v>
      </c>
      <c r="B320">
        <v>89</v>
      </c>
      <c r="C320">
        <v>1500</v>
      </c>
      <c r="D320">
        <v>286.2</v>
      </c>
      <c r="E320">
        <v>168.1</v>
      </c>
      <c r="F320">
        <v>7.91</v>
      </c>
      <c r="G320">
        <v>9.98</v>
      </c>
      <c r="K320">
        <v>2.0299999999999998</v>
      </c>
      <c r="L320">
        <v>73.2</v>
      </c>
      <c r="M320">
        <v>0</v>
      </c>
      <c r="O320">
        <v>347.5</v>
      </c>
      <c r="P320">
        <v>95</v>
      </c>
      <c r="Q320">
        <v>7.28</v>
      </c>
      <c r="S320">
        <v>5.734</v>
      </c>
      <c r="T320">
        <v>0</v>
      </c>
      <c r="U320">
        <v>75.599999999999994</v>
      </c>
      <c r="V320">
        <v>957</v>
      </c>
      <c r="W320">
        <v>44.33</v>
      </c>
      <c r="Y320">
        <v>14.03</v>
      </c>
    </row>
    <row r="321" spans="1:25" x14ac:dyDescent="0.25">
      <c r="A321">
        <v>2007</v>
      </c>
      <c r="B321">
        <v>89</v>
      </c>
      <c r="C321">
        <v>1600</v>
      </c>
      <c r="D321">
        <v>366.5</v>
      </c>
      <c r="E321">
        <v>206.2</v>
      </c>
      <c r="F321">
        <v>8.82</v>
      </c>
      <c r="G321">
        <v>11.01</v>
      </c>
      <c r="K321">
        <v>2.0779999999999998</v>
      </c>
      <c r="L321">
        <v>66.44</v>
      </c>
      <c r="M321">
        <v>0</v>
      </c>
      <c r="O321">
        <v>434.6</v>
      </c>
      <c r="P321">
        <v>154.19999999999999</v>
      </c>
      <c r="Q321">
        <v>7.73</v>
      </c>
      <c r="S321">
        <v>5.931</v>
      </c>
      <c r="T321">
        <v>0</v>
      </c>
      <c r="U321">
        <v>75.099999999999994</v>
      </c>
      <c r="V321">
        <v>953</v>
      </c>
      <c r="W321">
        <v>43.94</v>
      </c>
      <c r="Y321">
        <v>14.27</v>
      </c>
    </row>
    <row r="322" spans="1:25" x14ac:dyDescent="0.25">
      <c r="A322">
        <v>2007</v>
      </c>
      <c r="B322">
        <v>89</v>
      </c>
      <c r="C322">
        <v>1700</v>
      </c>
      <c r="D322">
        <v>234.3</v>
      </c>
      <c r="E322">
        <v>115.5</v>
      </c>
      <c r="F322">
        <v>8.85</v>
      </c>
      <c r="G322">
        <v>10.89</v>
      </c>
      <c r="K322">
        <v>1.7130000000000001</v>
      </c>
      <c r="L322">
        <v>71.900000000000006</v>
      </c>
      <c r="M322">
        <v>0</v>
      </c>
      <c r="O322">
        <v>274.10000000000002</v>
      </c>
      <c r="P322">
        <v>109.1</v>
      </c>
      <c r="Q322">
        <v>8.09</v>
      </c>
      <c r="S322">
        <v>6.032</v>
      </c>
      <c r="T322">
        <v>0</v>
      </c>
      <c r="U322">
        <v>76.599999999999994</v>
      </c>
      <c r="V322">
        <v>952</v>
      </c>
      <c r="W322">
        <v>43.83</v>
      </c>
      <c r="Y322">
        <v>13.91</v>
      </c>
    </row>
    <row r="323" spans="1:25" x14ac:dyDescent="0.25">
      <c r="A323">
        <v>2007</v>
      </c>
      <c r="B323">
        <v>89</v>
      </c>
      <c r="C323">
        <v>1800</v>
      </c>
      <c r="D323">
        <v>99.2</v>
      </c>
      <c r="E323">
        <v>21.74</v>
      </c>
      <c r="F323">
        <v>8.39</v>
      </c>
      <c r="G323">
        <v>10.25</v>
      </c>
      <c r="K323">
        <v>1.522</v>
      </c>
      <c r="L323">
        <v>74</v>
      </c>
      <c r="M323">
        <v>0</v>
      </c>
      <c r="O323">
        <v>115.9</v>
      </c>
      <c r="P323">
        <v>44.08</v>
      </c>
      <c r="Q323">
        <v>8.31</v>
      </c>
      <c r="S323">
        <v>6.1710000000000003</v>
      </c>
      <c r="T323">
        <v>0</v>
      </c>
      <c r="U323">
        <v>78.2</v>
      </c>
      <c r="V323">
        <v>950</v>
      </c>
      <c r="W323">
        <v>43.64</v>
      </c>
      <c r="Y323">
        <v>13.68</v>
      </c>
    </row>
    <row r="324" spans="1:25" x14ac:dyDescent="0.25">
      <c r="A324">
        <v>2007</v>
      </c>
      <c r="B324">
        <v>89</v>
      </c>
      <c r="C324">
        <v>1900</v>
      </c>
      <c r="D324">
        <v>19.5</v>
      </c>
      <c r="E324">
        <v>-21.83</v>
      </c>
      <c r="F324">
        <v>7.65</v>
      </c>
      <c r="G324">
        <v>9.41</v>
      </c>
      <c r="K324">
        <v>1.4970000000000001</v>
      </c>
      <c r="L324">
        <v>72.400000000000006</v>
      </c>
      <c r="M324">
        <v>0</v>
      </c>
      <c r="O324">
        <v>15.63</v>
      </c>
      <c r="P324">
        <v>-1.399</v>
      </c>
      <c r="Q324">
        <v>8.2899999999999991</v>
      </c>
      <c r="S324">
        <v>6.2270000000000003</v>
      </c>
      <c r="T324">
        <v>0</v>
      </c>
      <c r="U324">
        <v>78.7</v>
      </c>
      <c r="V324">
        <v>951</v>
      </c>
      <c r="W324">
        <v>43.72</v>
      </c>
      <c r="Y324">
        <v>13.53</v>
      </c>
    </row>
    <row r="325" spans="1:25" x14ac:dyDescent="0.25">
      <c r="A325">
        <v>2007</v>
      </c>
      <c r="B325">
        <v>89</v>
      </c>
      <c r="C325">
        <v>2000</v>
      </c>
      <c r="D325">
        <v>-1.7949999999999999</v>
      </c>
      <c r="E325">
        <v>-31.43</v>
      </c>
      <c r="F325">
        <v>7.21</v>
      </c>
      <c r="G325">
        <v>8.7200000000000006</v>
      </c>
      <c r="K325">
        <v>1.466</v>
      </c>
      <c r="L325">
        <v>79.400000000000006</v>
      </c>
      <c r="M325">
        <v>0</v>
      </c>
      <c r="O325">
        <v>-11.19</v>
      </c>
      <c r="P325">
        <v>-10.79</v>
      </c>
      <c r="Q325">
        <v>8.2100000000000009</v>
      </c>
      <c r="S325">
        <v>6.3970000000000002</v>
      </c>
      <c r="T325">
        <v>0</v>
      </c>
      <c r="U325">
        <v>81.3</v>
      </c>
      <c r="V325">
        <v>954</v>
      </c>
      <c r="W325">
        <v>43.98</v>
      </c>
      <c r="Y325">
        <v>13.42</v>
      </c>
    </row>
    <row r="326" spans="1:25" x14ac:dyDescent="0.25">
      <c r="A326">
        <v>2007</v>
      </c>
      <c r="B326">
        <v>89</v>
      </c>
      <c r="C326">
        <v>2100</v>
      </c>
      <c r="D326">
        <v>-2.1920000000000002</v>
      </c>
      <c r="E326">
        <v>-33.950000000000003</v>
      </c>
      <c r="F326">
        <v>6.8689999999999998</v>
      </c>
      <c r="G326">
        <v>8.17</v>
      </c>
      <c r="K326">
        <v>1.327</v>
      </c>
      <c r="L326">
        <v>83.2</v>
      </c>
      <c r="M326">
        <v>0</v>
      </c>
      <c r="O326">
        <v>-11.5</v>
      </c>
      <c r="P326">
        <v>-10.84</v>
      </c>
      <c r="Q326">
        <v>8.02</v>
      </c>
      <c r="S326">
        <v>6.4130000000000003</v>
      </c>
      <c r="T326">
        <v>0</v>
      </c>
      <c r="U326">
        <v>83.4</v>
      </c>
      <c r="V326">
        <v>956</v>
      </c>
      <c r="W326">
        <v>44.15</v>
      </c>
      <c r="Y326">
        <v>13.33</v>
      </c>
    </row>
    <row r="327" spans="1:25" x14ac:dyDescent="0.25">
      <c r="A327">
        <v>2007</v>
      </c>
      <c r="B327">
        <v>89</v>
      </c>
      <c r="C327">
        <v>2200</v>
      </c>
      <c r="D327">
        <v>-2.2160000000000002</v>
      </c>
      <c r="E327">
        <v>-33.119999999999997</v>
      </c>
      <c r="F327">
        <v>6.4989999999999997</v>
      </c>
      <c r="G327">
        <v>7.59</v>
      </c>
      <c r="K327">
        <v>1.0660000000000001</v>
      </c>
      <c r="L327">
        <v>83.2</v>
      </c>
      <c r="M327">
        <v>0</v>
      </c>
      <c r="O327">
        <v>-11.5</v>
      </c>
      <c r="P327">
        <v>-10.84</v>
      </c>
      <c r="Q327">
        <v>7.81</v>
      </c>
      <c r="S327">
        <v>6.42</v>
      </c>
      <c r="T327">
        <v>0</v>
      </c>
      <c r="U327">
        <v>85.7</v>
      </c>
      <c r="V327">
        <v>962</v>
      </c>
      <c r="W327">
        <v>44.79</v>
      </c>
      <c r="Y327">
        <v>13.24</v>
      </c>
    </row>
    <row r="328" spans="1:25" x14ac:dyDescent="0.25">
      <c r="A328">
        <v>2007</v>
      </c>
      <c r="B328">
        <v>89</v>
      </c>
      <c r="C328">
        <v>2300</v>
      </c>
      <c r="D328">
        <v>-2.2679999999999998</v>
      </c>
      <c r="E328">
        <v>-36.270000000000003</v>
      </c>
      <c r="F328">
        <v>6.27</v>
      </c>
      <c r="G328">
        <v>7.25</v>
      </c>
      <c r="K328">
        <v>1.208</v>
      </c>
      <c r="L328">
        <v>83.9</v>
      </c>
      <c r="M328">
        <v>0</v>
      </c>
      <c r="O328">
        <v>-11.5</v>
      </c>
      <c r="P328">
        <v>-10.84</v>
      </c>
      <c r="Q328">
        <v>7.67</v>
      </c>
      <c r="S328">
        <v>6.5</v>
      </c>
      <c r="T328">
        <v>0</v>
      </c>
      <c r="U328">
        <v>87</v>
      </c>
      <c r="V328">
        <v>968</v>
      </c>
      <c r="W328">
        <v>45.35</v>
      </c>
      <c r="Y328">
        <v>13.17</v>
      </c>
    </row>
    <row r="329" spans="1:25" x14ac:dyDescent="0.25">
      <c r="A329">
        <v>2007</v>
      </c>
      <c r="B329">
        <v>89</v>
      </c>
      <c r="C329">
        <v>2400</v>
      </c>
      <c r="D329">
        <v>-2.871</v>
      </c>
      <c r="E329">
        <v>-44.69</v>
      </c>
      <c r="F329">
        <v>5.6319999999999997</v>
      </c>
      <c r="G329">
        <v>6.5030000000000001</v>
      </c>
      <c r="K329">
        <v>1.131</v>
      </c>
      <c r="L329">
        <v>87</v>
      </c>
      <c r="M329">
        <v>0</v>
      </c>
      <c r="O329">
        <v>-11.5</v>
      </c>
      <c r="P329">
        <v>-10.84</v>
      </c>
      <c r="Q329">
        <v>7.47</v>
      </c>
      <c r="S329">
        <v>6.4450000000000003</v>
      </c>
      <c r="T329">
        <v>0</v>
      </c>
      <c r="U329">
        <v>88.1</v>
      </c>
      <c r="V329">
        <v>991</v>
      </c>
      <c r="W329">
        <v>47.86</v>
      </c>
      <c r="Y329">
        <v>13.1</v>
      </c>
    </row>
    <row r="330" spans="1:25" x14ac:dyDescent="0.25">
      <c r="A330">
        <v>2007</v>
      </c>
      <c r="B330">
        <v>90</v>
      </c>
      <c r="C330">
        <v>100</v>
      </c>
      <c r="D330">
        <v>-2.87</v>
      </c>
      <c r="E330">
        <v>-38.18</v>
      </c>
      <c r="F330">
        <v>5.1050000000000004</v>
      </c>
      <c r="G330">
        <v>5.88</v>
      </c>
      <c r="K330">
        <v>1.069</v>
      </c>
      <c r="L330">
        <v>96</v>
      </c>
      <c r="M330">
        <v>0</v>
      </c>
      <c r="O330">
        <v>-11.5</v>
      </c>
      <c r="P330">
        <v>-10.85</v>
      </c>
      <c r="Q330">
        <v>7.23</v>
      </c>
      <c r="S330">
        <v>6.399</v>
      </c>
      <c r="T330">
        <v>0</v>
      </c>
      <c r="U330">
        <v>89.1</v>
      </c>
      <c r="V330">
        <v>1001</v>
      </c>
      <c r="W330">
        <v>49.01</v>
      </c>
      <c r="Y330">
        <v>13.03</v>
      </c>
    </row>
    <row r="331" spans="1:25" x14ac:dyDescent="0.25">
      <c r="A331">
        <v>2007</v>
      </c>
      <c r="B331">
        <v>90</v>
      </c>
      <c r="C331">
        <v>200</v>
      </c>
      <c r="D331">
        <v>-2.9079999999999999</v>
      </c>
      <c r="E331">
        <v>-32.68</v>
      </c>
      <c r="F331">
        <v>4.6449999999999996</v>
      </c>
      <c r="G331">
        <v>5.36</v>
      </c>
      <c r="K331">
        <v>0.77600000000000002</v>
      </c>
      <c r="L331">
        <v>84.2</v>
      </c>
      <c r="M331">
        <v>0</v>
      </c>
      <c r="O331">
        <v>-11.5</v>
      </c>
      <c r="P331">
        <v>-10.85</v>
      </c>
      <c r="Q331">
        <v>6.968</v>
      </c>
      <c r="S331">
        <v>6.3029999999999999</v>
      </c>
      <c r="T331">
        <v>0</v>
      </c>
      <c r="U331">
        <v>89.8</v>
      </c>
      <c r="V331">
        <v>1023</v>
      </c>
      <c r="W331">
        <v>51.83</v>
      </c>
      <c r="Y331">
        <v>12.98</v>
      </c>
    </row>
    <row r="332" spans="1:25" x14ac:dyDescent="0.25">
      <c r="A332">
        <v>2007</v>
      </c>
      <c r="B332">
        <v>90</v>
      </c>
      <c r="C332">
        <v>300</v>
      </c>
      <c r="D332">
        <v>-2.8769999999999998</v>
      </c>
      <c r="E332">
        <v>-23.53</v>
      </c>
      <c r="F332">
        <v>4.2770000000000001</v>
      </c>
      <c r="G332">
        <v>5.0049999999999999</v>
      </c>
      <c r="K332">
        <v>1.127</v>
      </c>
      <c r="L332">
        <v>100.5</v>
      </c>
      <c r="M332">
        <v>0</v>
      </c>
      <c r="O332">
        <v>-11.5</v>
      </c>
      <c r="P332">
        <v>-10.85</v>
      </c>
      <c r="Q332">
        <v>6.7629999999999999</v>
      </c>
      <c r="S332">
        <v>6.2830000000000004</v>
      </c>
      <c r="T332">
        <v>0</v>
      </c>
      <c r="U332">
        <v>89.4</v>
      </c>
      <c r="V332">
        <v>1027</v>
      </c>
      <c r="W332">
        <v>52.42</v>
      </c>
      <c r="Y332">
        <v>12.93</v>
      </c>
    </row>
    <row r="333" spans="1:25" x14ac:dyDescent="0.25">
      <c r="A333">
        <v>2007</v>
      </c>
      <c r="B333">
        <v>90</v>
      </c>
      <c r="C333">
        <v>400</v>
      </c>
      <c r="D333">
        <v>-2.8610000000000002</v>
      </c>
      <c r="E333">
        <v>-20.88</v>
      </c>
      <c r="F333">
        <v>4.1870000000000003</v>
      </c>
      <c r="G333">
        <v>4.87</v>
      </c>
      <c r="K333">
        <v>0.95799999999999996</v>
      </c>
      <c r="L333">
        <v>94.2</v>
      </c>
      <c r="M333">
        <v>0</v>
      </c>
      <c r="O333">
        <v>-11.5</v>
      </c>
      <c r="P333">
        <v>-10.85</v>
      </c>
      <c r="Q333">
        <v>6.5350000000000001</v>
      </c>
      <c r="S333">
        <v>6.2279999999999998</v>
      </c>
      <c r="T333">
        <v>0</v>
      </c>
      <c r="U333">
        <v>90</v>
      </c>
      <c r="V333">
        <v>1004</v>
      </c>
      <c r="W333">
        <v>49.43</v>
      </c>
      <c r="Y333">
        <v>12.89</v>
      </c>
    </row>
    <row r="334" spans="1:25" x14ac:dyDescent="0.25">
      <c r="A334">
        <v>2007</v>
      </c>
      <c r="B334">
        <v>90</v>
      </c>
      <c r="C334">
        <v>500</v>
      </c>
      <c r="D334">
        <v>-2.8290000000000002</v>
      </c>
      <c r="E334">
        <v>-19.22</v>
      </c>
      <c r="F334">
        <v>3.8330000000000002</v>
      </c>
      <c r="G334">
        <v>4.5179999999999998</v>
      </c>
      <c r="K334">
        <v>0.83</v>
      </c>
      <c r="L334">
        <v>93.7</v>
      </c>
      <c r="M334">
        <v>0</v>
      </c>
      <c r="O334">
        <v>-11.5</v>
      </c>
      <c r="P334">
        <v>-10.85</v>
      </c>
      <c r="Q334">
        <v>6.2910000000000004</v>
      </c>
      <c r="S334">
        <v>6.125</v>
      </c>
      <c r="T334">
        <v>0</v>
      </c>
      <c r="U334">
        <v>89.8</v>
      </c>
      <c r="V334">
        <v>995</v>
      </c>
      <c r="W334">
        <v>48.32</v>
      </c>
      <c r="Y334">
        <v>12.87</v>
      </c>
    </row>
    <row r="335" spans="1:25" x14ac:dyDescent="0.25">
      <c r="A335">
        <v>2007</v>
      </c>
      <c r="B335">
        <v>90</v>
      </c>
      <c r="C335">
        <v>600</v>
      </c>
      <c r="D335">
        <v>-1.7230000000000001</v>
      </c>
      <c r="E335">
        <v>-12.06</v>
      </c>
      <c r="F335">
        <v>4.0919999999999996</v>
      </c>
      <c r="G335">
        <v>4.8470000000000004</v>
      </c>
      <c r="K335">
        <v>0.748</v>
      </c>
      <c r="L335">
        <v>100.8</v>
      </c>
      <c r="M335">
        <v>0</v>
      </c>
      <c r="O335">
        <v>-10.78</v>
      </c>
      <c r="P335">
        <v>-10.65</v>
      </c>
      <c r="Q335">
        <v>6.0650000000000004</v>
      </c>
      <c r="S335">
        <v>6.0270000000000001</v>
      </c>
      <c r="T335">
        <v>0</v>
      </c>
      <c r="U335">
        <v>89</v>
      </c>
      <c r="V335">
        <v>989</v>
      </c>
      <c r="W335">
        <v>47.6</v>
      </c>
      <c r="Y335">
        <v>12.85</v>
      </c>
    </row>
    <row r="336" spans="1:25" x14ac:dyDescent="0.25">
      <c r="A336">
        <v>2007</v>
      </c>
      <c r="B336">
        <v>90</v>
      </c>
      <c r="C336">
        <v>700</v>
      </c>
      <c r="D336">
        <v>24.54</v>
      </c>
      <c r="E336">
        <v>8.11</v>
      </c>
      <c r="F336">
        <v>4.6479999999999997</v>
      </c>
      <c r="G336">
        <v>5.3689999999999998</v>
      </c>
      <c r="K336">
        <v>0.54300000000000004</v>
      </c>
      <c r="L336">
        <v>78.5</v>
      </c>
      <c r="M336">
        <v>0</v>
      </c>
      <c r="O336">
        <v>20.98</v>
      </c>
      <c r="P336">
        <v>-1.2829999999999999</v>
      </c>
      <c r="Q336">
        <v>5.8940000000000001</v>
      </c>
      <c r="S336">
        <v>5.9589999999999996</v>
      </c>
      <c r="T336">
        <v>0</v>
      </c>
      <c r="U336">
        <v>89.7</v>
      </c>
      <c r="V336">
        <v>981</v>
      </c>
      <c r="W336">
        <v>46.7</v>
      </c>
      <c r="Y336">
        <v>12.87</v>
      </c>
    </row>
    <row r="337" spans="1:25" x14ac:dyDescent="0.25">
      <c r="A337">
        <v>2007</v>
      </c>
      <c r="B337">
        <v>90</v>
      </c>
      <c r="C337">
        <v>800</v>
      </c>
      <c r="D337">
        <v>86.6</v>
      </c>
      <c r="E337">
        <v>46.66</v>
      </c>
      <c r="F337">
        <v>5.1520000000000001</v>
      </c>
      <c r="G337">
        <v>5.9429999999999996</v>
      </c>
      <c r="K337">
        <v>1.1080000000000001</v>
      </c>
      <c r="L337">
        <v>82.5</v>
      </c>
      <c r="M337">
        <v>0</v>
      </c>
      <c r="O337">
        <v>98.1</v>
      </c>
      <c r="P337">
        <v>19.36</v>
      </c>
      <c r="Q337">
        <v>5.8460000000000001</v>
      </c>
      <c r="S337">
        <v>5.8550000000000004</v>
      </c>
      <c r="T337">
        <v>0</v>
      </c>
      <c r="U337">
        <v>88.9</v>
      </c>
      <c r="V337">
        <v>976</v>
      </c>
      <c r="W337">
        <v>46.18</v>
      </c>
      <c r="Y337">
        <v>13.38</v>
      </c>
    </row>
    <row r="338" spans="1:25" x14ac:dyDescent="0.25">
      <c r="A338">
        <v>2007</v>
      </c>
      <c r="B338">
        <v>90</v>
      </c>
      <c r="C338">
        <v>900</v>
      </c>
      <c r="D338">
        <v>193.9</v>
      </c>
      <c r="E338">
        <v>119.6</v>
      </c>
      <c r="F338">
        <v>6.1879999999999997</v>
      </c>
      <c r="G338">
        <v>7.12</v>
      </c>
      <c r="H338">
        <f>AVERAGE(G338:G361)</f>
        <v>6.6047499999999992</v>
      </c>
      <c r="I338">
        <f>MIN(G338:G361)</f>
        <v>2.2490000000000001</v>
      </c>
      <c r="J338">
        <f>MAX(F338:F361)</f>
        <v>10.3</v>
      </c>
      <c r="K338">
        <v>1.36</v>
      </c>
      <c r="L338">
        <v>71.7</v>
      </c>
      <c r="M338">
        <v>0</v>
      </c>
      <c r="N338">
        <f>SUM(M338:M361)</f>
        <v>0</v>
      </c>
      <c r="O338">
        <v>239</v>
      </c>
      <c r="P338">
        <v>63.14</v>
      </c>
      <c r="Q338">
        <v>5.859</v>
      </c>
      <c r="S338">
        <v>5.8</v>
      </c>
      <c r="T338">
        <v>0</v>
      </c>
      <c r="U338">
        <v>87.6</v>
      </c>
      <c r="V338">
        <v>974</v>
      </c>
      <c r="W338">
        <v>45.95</v>
      </c>
      <c r="Y338">
        <v>13.95</v>
      </c>
    </row>
    <row r="339" spans="1:25" x14ac:dyDescent="0.25">
      <c r="A339">
        <v>2007</v>
      </c>
      <c r="B339">
        <v>90</v>
      </c>
      <c r="C339">
        <v>1000</v>
      </c>
      <c r="D339">
        <v>317.10000000000002</v>
      </c>
      <c r="E339">
        <v>195.5</v>
      </c>
      <c r="F339">
        <v>7.13</v>
      </c>
      <c r="G339">
        <v>8.3699999999999992</v>
      </c>
      <c r="K339">
        <v>1.532</v>
      </c>
      <c r="L339">
        <v>71.3</v>
      </c>
      <c r="M339">
        <v>0</v>
      </c>
      <c r="O339">
        <v>395.5</v>
      </c>
      <c r="P339">
        <v>105.5</v>
      </c>
      <c r="Q339">
        <v>6.0709999999999997</v>
      </c>
      <c r="S339">
        <v>5.7910000000000004</v>
      </c>
      <c r="T339">
        <v>0</v>
      </c>
      <c r="U339">
        <v>84.3</v>
      </c>
      <c r="V339">
        <v>972</v>
      </c>
      <c r="W339">
        <v>45.77</v>
      </c>
      <c r="Y339">
        <v>14.48</v>
      </c>
    </row>
    <row r="340" spans="1:25" x14ac:dyDescent="0.25">
      <c r="A340">
        <v>2007</v>
      </c>
      <c r="B340">
        <v>90</v>
      </c>
      <c r="C340">
        <v>1100</v>
      </c>
      <c r="D340">
        <v>439.5</v>
      </c>
      <c r="E340">
        <v>267</v>
      </c>
      <c r="F340">
        <v>7.78</v>
      </c>
      <c r="G340">
        <v>9.1999999999999993</v>
      </c>
      <c r="K340">
        <v>1.6919999999999999</v>
      </c>
      <c r="L340">
        <v>84.4</v>
      </c>
      <c r="M340">
        <v>0</v>
      </c>
      <c r="O340">
        <v>538.4</v>
      </c>
      <c r="P340">
        <v>142.1</v>
      </c>
      <c r="Q340">
        <v>6.4850000000000003</v>
      </c>
      <c r="S340">
        <v>5.7969999999999997</v>
      </c>
      <c r="T340">
        <v>0</v>
      </c>
      <c r="U340">
        <v>82.7</v>
      </c>
      <c r="V340">
        <v>970</v>
      </c>
      <c r="W340">
        <v>45.61</v>
      </c>
      <c r="Y340">
        <v>14.66</v>
      </c>
    </row>
    <row r="341" spans="1:25" x14ac:dyDescent="0.25">
      <c r="A341">
        <v>2007</v>
      </c>
      <c r="B341">
        <v>90</v>
      </c>
      <c r="C341">
        <v>1200</v>
      </c>
      <c r="D341">
        <v>588.5</v>
      </c>
      <c r="E341">
        <v>357.4</v>
      </c>
      <c r="F341">
        <v>8.8800000000000008</v>
      </c>
      <c r="G341">
        <v>10.75</v>
      </c>
      <c r="K341">
        <v>1.833</v>
      </c>
      <c r="L341">
        <v>64.930000000000007</v>
      </c>
      <c r="M341">
        <v>0</v>
      </c>
      <c r="O341">
        <v>719</v>
      </c>
      <c r="P341">
        <v>185.5</v>
      </c>
      <c r="Q341">
        <v>7.09</v>
      </c>
      <c r="S341">
        <v>5.8440000000000003</v>
      </c>
      <c r="T341">
        <v>0</v>
      </c>
      <c r="U341">
        <v>78.5</v>
      </c>
      <c r="V341">
        <v>970</v>
      </c>
      <c r="W341">
        <v>45.55</v>
      </c>
      <c r="Y341">
        <v>14.69</v>
      </c>
    </row>
    <row r="342" spans="1:25" x14ac:dyDescent="0.25">
      <c r="A342">
        <v>2007</v>
      </c>
      <c r="B342">
        <v>90</v>
      </c>
      <c r="C342">
        <v>1300</v>
      </c>
      <c r="D342">
        <v>622</v>
      </c>
      <c r="E342">
        <v>370.4</v>
      </c>
      <c r="F342">
        <v>9.35</v>
      </c>
      <c r="G342">
        <v>11.34</v>
      </c>
      <c r="K342">
        <v>1.7250000000000001</v>
      </c>
      <c r="L342">
        <v>60.12</v>
      </c>
      <c r="M342">
        <v>0</v>
      </c>
      <c r="O342">
        <v>752</v>
      </c>
      <c r="P342">
        <v>197.3</v>
      </c>
      <c r="Q342">
        <v>7.95</v>
      </c>
      <c r="S342">
        <v>5.9640000000000004</v>
      </c>
      <c r="T342">
        <v>0</v>
      </c>
      <c r="U342">
        <v>77.599999999999994</v>
      </c>
      <c r="V342">
        <v>966</v>
      </c>
      <c r="W342">
        <v>45.14</v>
      </c>
      <c r="Y342">
        <v>14.72</v>
      </c>
    </row>
    <row r="343" spans="1:25" x14ac:dyDescent="0.25">
      <c r="A343">
        <v>2007</v>
      </c>
      <c r="B343">
        <v>90</v>
      </c>
      <c r="C343">
        <v>1400</v>
      </c>
      <c r="D343">
        <v>598.4</v>
      </c>
      <c r="E343">
        <v>348.6</v>
      </c>
      <c r="F343">
        <v>9.66</v>
      </c>
      <c r="G343">
        <v>11.77</v>
      </c>
      <c r="K343">
        <v>1.546</v>
      </c>
      <c r="L343">
        <v>22.86</v>
      </c>
      <c r="M343">
        <v>0</v>
      </c>
      <c r="O343">
        <v>707</v>
      </c>
      <c r="P343">
        <v>201.5</v>
      </c>
      <c r="Q343">
        <v>8.83</v>
      </c>
      <c r="S343">
        <v>6.1219999999999999</v>
      </c>
      <c r="T343">
        <v>0</v>
      </c>
      <c r="U343">
        <v>76.599999999999994</v>
      </c>
      <c r="V343">
        <v>963</v>
      </c>
      <c r="W343">
        <v>44.87</v>
      </c>
      <c r="Y343">
        <v>14.48</v>
      </c>
    </row>
    <row r="344" spans="1:25" x14ac:dyDescent="0.25">
      <c r="A344">
        <v>2007</v>
      </c>
      <c r="B344">
        <v>90</v>
      </c>
      <c r="C344">
        <v>1500</v>
      </c>
      <c r="D344">
        <v>521.79999999999995</v>
      </c>
      <c r="E344">
        <v>302.3</v>
      </c>
      <c r="F344">
        <v>9.99</v>
      </c>
      <c r="G344">
        <v>12.42</v>
      </c>
      <c r="K344">
        <v>1.413</v>
      </c>
      <c r="L344">
        <v>0</v>
      </c>
      <c r="M344">
        <v>0</v>
      </c>
      <c r="O344">
        <v>622.9</v>
      </c>
      <c r="P344">
        <v>198.6</v>
      </c>
      <c r="Q344">
        <v>9.64</v>
      </c>
      <c r="S344">
        <v>6.3479999999999999</v>
      </c>
      <c r="T344">
        <v>0</v>
      </c>
      <c r="U344">
        <v>73.8</v>
      </c>
      <c r="V344">
        <v>962</v>
      </c>
      <c r="W344">
        <v>44.74</v>
      </c>
      <c r="Y344">
        <v>14.35</v>
      </c>
    </row>
    <row r="345" spans="1:25" x14ac:dyDescent="0.25">
      <c r="A345">
        <v>2007</v>
      </c>
      <c r="B345">
        <v>90</v>
      </c>
      <c r="C345">
        <v>1600</v>
      </c>
      <c r="D345">
        <v>409</v>
      </c>
      <c r="E345">
        <v>230.4</v>
      </c>
      <c r="F345">
        <v>10.3</v>
      </c>
      <c r="G345">
        <v>12.73</v>
      </c>
      <c r="K345">
        <v>1.321</v>
      </c>
      <c r="L345">
        <v>0</v>
      </c>
      <c r="M345">
        <v>0</v>
      </c>
      <c r="O345">
        <v>487.5</v>
      </c>
      <c r="P345">
        <v>182.8</v>
      </c>
      <c r="Q345">
        <v>10.27</v>
      </c>
      <c r="S345">
        <v>6.6440000000000001</v>
      </c>
      <c r="T345">
        <v>0</v>
      </c>
      <c r="U345">
        <v>74</v>
      </c>
      <c r="V345">
        <v>960</v>
      </c>
      <c r="W345">
        <v>44.6</v>
      </c>
      <c r="Y345">
        <v>14.26</v>
      </c>
    </row>
    <row r="346" spans="1:25" x14ac:dyDescent="0.25">
      <c r="A346">
        <v>2007</v>
      </c>
      <c r="B346">
        <v>90</v>
      </c>
      <c r="C346">
        <v>1700</v>
      </c>
      <c r="D346">
        <v>250.2</v>
      </c>
      <c r="E346">
        <v>120.6</v>
      </c>
      <c r="F346">
        <v>9.15</v>
      </c>
      <c r="G346">
        <v>11.58</v>
      </c>
      <c r="K346">
        <v>1.4510000000000001</v>
      </c>
      <c r="L346">
        <v>0</v>
      </c>
      <c r="M346">
        <v>0</v>
      </c>
      <c r="O346">
        <v>294.10000000000002</v>
      </c>
      <c r="P346">
        <v>130</v>
      </c>
      <c r="Q346">
        <v>10.61</v>
      </c>
      <c r="S346">
        <v>6.8780000000000001</v>
      </c>
      <c r="T346">
        <v>0</v>
      </c>
      <c r="U346">
        <v>73</v>
      </c>
      <c r="V346">
        <v>959</v>
      </c>
      <c r="W346">
        <v>44.49</v>
      </c>
      <c r="Y346">
        <v>13.91</v>
      </c>
    </row>
    <row r="347" spans="1:25" x14ac:dyDescent="0.25">
      <c r="A347">
        <v>2007</v>
      </c>
      <c r="B347">
        <v>90</v>
      </c>
      <c r="C347">
        <v>1800</v>
      </c>
      <c r="D347">
        <v>112.4</v>
      </c>
      <c r="E347">
        <v>29.61</v>
      </c>
      <c r="F347">
        <v>8.83</v>
      </c>
      <c r="G347">
        <v>10.97</v>
      </c>
      <c r="K347">
        <v>0.79700000000000004</v>
      </c>
      <c r="L347">
        <v>0.626</v>
      </c>
      <c r="M347">
        <v>0</v>
      </c>
      <c r="O347">
        <v>136.19999999999999</v>
      </c>
      <c r="P347">
        <v>70.7</v>
      </c>
      <c r="Q347">
        <v>10.66</v>
      </c>
      <c r="S347">
        <v>7.12</v>
      </c>
      <c r="T347">
        <v>0</v>
      </c>
      <c r="U347">
        <v>75.599999999999994</v>
      </c>
      <c r="V347">
        <v>958</v>
      </c>
      <c r="W347">
        <v>44.36</v>
      </c>
      <c r="Y347">
        <v>13.67</v>
      </c>
    </row>
    <row r="348" spans="1:25" x14ac:dyDescent="0.25">
      <c r="A348">
        <v>2007</v>
      </c>
      <c r="B348">
        <v>90</v>
      </c>
      <c r="C348">
        <v>1900</v>
      </c>
      <c r="D348">
        <v>24.36</v>
      </c>
      <c r="E348">
        <v>-40.840000000000003</v>
      </c>
      <c r="F348">
        <v>7.28</v>
      </c>
      <c r="G348">
        <v>8.5399999999999991</v>
      </c>
      <c r="K348">
        <v>0.48899999999999999</v>
      </c>
      <c r="L348">
        <v>148.30000000000001</v>
      </c>
      <c r="M348">
        <v>0</v>
      </c>
      <c r="O348">
        <v>22.66</v>
      </c>
      <c r="P348">
        <v>11.44</v>
      </c>
      <c r="Q348">
        <v>10.46</v>
      </c>
      <c r="S348">
        <v>7.3</v>
      </c>
      <c r="T348">
        <v>0</v>
      </c>
      <c r="U348">
        <v>84.7</v>
      </c>
      <c r="V348">
        <v>956</v>
      </c>
      <c r="W348">
        <v>44.23</v>
      </c>
      <c r="Y348">
        <v>13.49</v>
      </c>
    </row>
    <row r="349" spans="1:25" x14ac:dyDescent="0.25">
      <c r="A349">
        <v>2007</v>
      </c>
      <c r="B349">
        <v>90</v>
      </c>
      <c r="C349">
        <v>2000</v>
      </c>
      <c r="D349">
        <v>-3.4689999999999999</v>
      </c>
      <c r="E349">
        <v>-57.91</v>
      </c>
      <c r="F349">
        <v>4.2629999999999999</v>
      </c>
      <c r="G349">
        <v>4.7519999999999998</v>
      </c>
      <c r="K349">
        <v>0.38100000000000001</v>
      </c>
      <c r="L349">
        <v>192</v>
      </c>
      <c r="M349">
        <v>0</v>
      </c>
      <c r="O349">
        <v>-10.93</v>
      </c>
      <c r="P349">
        <v>-10.7</v>
      </c>
      <c r="Q349">
        <v>10.11</v>
      </c>
      <c r="S349">
        <v>7.41</v>
      </c>
      <c r="T349">
        <v>0</v>
      </c>
      <c r="U349">
        <v>92.8</v>
      </c>
      <c r="V349">
        <v>956</v>
      </c>
      <c r="W349">
        <v>44.18</v>
      </c>
      <c r="Y349">
        <v>13.38</v>
      </c>
    </row>
    <row r="350" spans="1:25" x14ac:dyDescent="0.25">
      <c r="A350">
        <v>2007</v>
      </c>
      <c r="B350">
        <v>90</v>
      </c>
      <c r="C350">
        <v>2100</v>
      </c>
      <c r="D350">
        <v>-3.0379999999999998</v>
      </c>
      <c r="E350">
        <v>-46.03</v>
      </c>
      <c r="F350">
        <v>2.887</v>
      </c>
      <c r="G350">
        <v>3.3460000000000001</v>
      </c>
      <c r="K350">
        <v>0.435</v>
      </c>
      <c r="L350">
        <v>197.4</v>
      </c>
      <c r="M350">
        <v>0</v>
      </c>
      <c r="O350">
        <v>-11.5</v>
      </c>
      <c r="P350">
        <v>-10.84</v>
      </c>
      <c r="Q350">
        <v>9.65</v>
      </c>
      <c r="S350">
        <v>7.43</v>
      </c>
      <c r="T350">
        <v>0</v>
      </c>
      <c r="U350">
        <v>92.9</v>
      </c>
      <c r="V350">
        <v>958</v>
      </c>
      <c r="W350">
        <v>44.4</v>
      </c>
      <c r="Y350">
        <v>13.29</v>
      </c>
    </row>
    <row r="351" spans="1:25" x14ac:dyDescent="0.25">
      <c r="A351">
        <v>2007</v>
      </c>
      <c r="B351">
        <v>90</v>
      </c>
      <c r="C351">
        <v>2200</v>
      </c>
      <c r="D351">
        <v>-2.7490000000000001</v>
      </c>
      <c r="E351">
        <v>-37.200000000000003</v>
      </c>
      <c r="F351">
        <v>1.893</v>
      </c>
      <c r="G351">
        <v>2.2519999999999998</v>
      </c>
      <c r="K351">
        <v>0.29799999999999999</v>
      </c>
      <c r="L351">
        <v>198.4</v>
      </c>
      <c r="M351">
        <v>0</v>
      </c>
      <c r="O351">
        <v>-11.5</v>
      </c>
      <c r="P351">
        <v>-10.84</v>
      </c>
      <c r="Q351">
        <v>9.16</v>
      </c>
      <c r="S351">
        <v>7.45</v>
      </c>
      <c r="T351">
        <v>0</v>
      </c>
      <c r="U351">
        <v>94.1</v>
      </c>
      <c r="V351">
        <v>966</v>
      </c>
      <c r="W351">
        <v>45.15</v>
      </c>
      <c r="Y351">
        <v>13.21</v>
      </c>
    </row>
    <row r="352" spans="1:25" x14ac:dyDescent="0.25">
      <c r="A352">
        <v>2007</v>
      </c>
      <c r="B352">
        <v>90</v>
      </c>
      <c r="C352">
        <v>2300</v>
      </c>
      <c r="D352">
        <v>-2.7730000000000001</v>
      </c>
      <c r="E352">
        <v>-32.619999999999997</v>
      </c>
      <c r="F352">
        <v>1.952</v>
      </c>
      <c r="G352">
        <v>2.6360000000000001</v>
      </c>
      <c r="K352">
        <v>0.252</v>
      </c>
      <c r="L352">
        <v>110.5</v>
      </c>
      <c r="M352">
        <v>0</v>
      </c>
      <c r="O352">
        <v>-11.5</v>
      </c>
      <c r="P352">
        <v>-10.85</v>
      </c>
      <c r="Q352">
        <v>8.7100000000000009</v>
      </c>
      <c r="S352">
        <v>7.43</v>
      </c>
      <c r="T352">
        <v>0</v>
      </c>
      <c r="U352">
        <v>89.3</v>
      </c>
      <c r="V352">
        <v>975</v>
      </c>
      <c r="W352">
        <v>46.06</v>
      </c>
      <c r="Y352">
        <v>13.14</v>
      </c>
    </row>
    <row r="353" spans="1:25" x14ac:dyDescent="0.25">
      <c r="A353">
        <v>2007</v>
      </c>
      <c r="B353">
        <v>90</v>
      </c>
      <c r="C353">
        <v>2400</v>
      </c>
      <c r="D353">
        <v>-3.2919999999999998</v>
      </c>
      <c r="E353">
        <v>-27.32</v>
      </c>
      <c r="F353">
        <v>3.069</v>
      </c>
      <c r="G353">
        <v>3.9769999999999999</v>
      </c>
      <c r="K353">
        <v>0.63500000000000001</v>
      </c>
      <c r="L353">
        <v>83.1</v>
      </c>
      <c r="M353">
        <v>0</v>
      </c>
      <c r="O353">
        <v>-11.51</v>
      </c>
      <c r="P353">
        <v>-10.85</v>
      </c>
      <c r="Q353">
        <v>8.25</v>
      </c>
      <c r="S353">
        <v>7.34</v>
      </c>
      <c r="T353">
        <v>0</v>
      </c>
      <c r="U353">
        <v>86.4</v>
      </c>
      <c r="V353">
        <v>981</v>
      </c>
      <c r="W353">
        <v>46.8</v>
      </c>
      <c r="Y353">
        <v>13.07</v>
      </c>
    </row>
    <row r="354" spans="1:25" x14ac:dyDescent="0.25">
      <c r="A354">
        <v>2007</v>
      </c>
      <c r="B354">
        <v>91</v>
      </c>
      <c r="C354">
        <v>100</v>
      </c>
      <c r="D354">
        <v>-3.0379999999999998</v>
      </c>
      <c r="E354">
        <v>-23.94</v>
      </c>
      <c r="F354">
        <v>3.3149999999999999</v>
      </c>
      <c r="G354">
        <v>4.1879999999999997</v>
      </c>
      <c r="K354">
        <v>0.96599999999999997</v>
      </c>
      <c r="L354">
        <v>91.5</v>
      </c>
      <c r="M354">
        <v>0</v>
      </c>
      <c r="O354">
        <v>-11.5</v>
      </c>
      <c r="P354">
        <v>-10.85</v>
      </c>
      <c r="Q354">
        <v>7.84</v>
      </c>
      <c r="S354">
        <v>7.23</v>
      </c>
      <c r="T354">
        <v>0</v>
      </c>
      <c r="U354">
        <v>86.9</v>
      </c>
      <c r="V354">
        <v>987</v>
      </c>
      <c r="W354">
        <v>47.37</v>
      </c>
      <c r="Y354">
        <v>13.01</v>
      </c>
    </row>
    <row r="355" spans="1:25" x14ac:dyDescent="0.25">
      <c r="A355">
        <v>2007</v>
      </c>
      <c r="B355">
        <v>91</v>
      </c>
      <c r="C355">
        <v>200</v>
      </c>
      <c r="D355">
        <v>-2.863</v>
      </c>
      <c r="E355">
        <v>-23.52</v>
      </c>
      <c r="F355">
        <v>2.5</v>
      </c>
      <c r="G355">
        <v>3.1589999999999998</v>
      </c>
      <c r="K355">
        <v>0.84599999999999997</v>
      </c>
      <c r="L355">
        <v>105.8</v>
      </c>
      <c r="M355">
        <v>0</v>
      </c>
      <c r="O355">
        <v>-11.5</v>
      </c>
      <c r="P355">
        <v>-10.85</v>
      </c>
      <c r="Q355">
        <v>7.49</v>
      </c>
      <c r="S355">
        <v>7.09</v>
      </c>
      <c r="T355">
        <v>0</v>
      </c>
      <c r="U355">
        <v>89.8</v>
      </c>
      <c r="V355">
        <v>986</v>
      </c>
      <c r="W355">
        <v>47.32</v>
      </c>
      <c r="Y355">
        <v>12.95</v>
      </c>
    </row>
    <row r="356" spans="1:25" x14ac:dyDescent="0.25">
      <c r="A356">
        <v>2007</v>
      </c>
      <c r="B356">
        <v>91</v>
      </c>
      <c r="C356">
        <v>300</v>
      </c>
      <c r="D356">
        <v>-1.9379999999999999</v>
      </c>
      <c r="E356">
        <v>-18.27</v>
      </c>
      <c r="F356">
        <v>1.6180000000000001</v>
      </c>
      <c r="G356">
        <v>2.2490000000000001</v>
      </c>
      <c r="K356">
        <v>0.27800000000000002</v>
      </c>
      <c r="L356">
        <v>106.1</v>
      </c>
      <c r="M356">
        <v>0</v>
      </c>
      <c r="O356">
        <v>-11.51</v>
      </c>
      <c r="P356">
        <v>-10.85</v>
      </c>
      <c r="Q356">
        <v>7.14</v>
      </c>
      <c r="S356">
        <v>6.9249999999999998</v>
      </c>
      <c r="T356">
        <v>0</v>
      </c>
      <c r="U356">
        <v>89.8</v>
      </c>
      <c r="V356">
        <v>982</v>
      </c>
      <c r="W356">
        <v>46.85</v>
      </c>
      <c r="Y356">
        <v>12.91</v>
      </c>
    </row>
    <row r="357" spans="1:25" x14ac:dyDescent="0.25">
      <c r="A357">
        <v>2007</v>
      </c>
      <c r="B357">
        <v>91</v>
      </c>
      <c r="C357">
        <v>400</v>
      </c>
      <c r="D357">
        <v>-0.433</v>
      </c>
      <c r="E357">
        <v>-7.85</v>
      </c>
      <c r="F357">
        <v>3.06</v>
      </c>
      <c r="G357">
        <v>3.6989999999999998</v>
      </c>
      <c r="K357">
        <v>0.55100000000000005</v>
      </c>
      <c r="L357">
        <v>87.3</v>
      </c>
      <c r="M357">
        <v>0</v>
      </c>
      <c r="O357">
        <v>-11.51</v>
      </c>
      <c r="P357">
        <v>-10.85</v>
      </c>
      <c r="Q357">
        <v>6.8860000000000001</v>
      </c>
      <c r="S357">
        <v>6.8369999999999997</v>
      </c>
      <c r="T357">
        <v>0</v>
      </c>
      <c r="U357">
        <v>90.2</v>
      </c>
      <c r="V357">
        <v>974</v>
      </c>
      <c r="W357">
        <v>46.04</v>
      </c>
      <c r="Y357">
        <v>12.87</v>
      </c>
    </row>
    <row r="358" spans="1:25" x14ac:dyDescent="0.25">
      <c r="A358">
        <v>2007</v>
      </c>
      <c r="B358">
        <v>91</v>
      </c>
      <c r="C358">
        <v>500</v>
      </c>
      <c r="D358">
        <v>-1.3340000000000001</v>
      </c>
      <c r="E358">
        <v>-14.89</v>
      </c>
      <c r="F358">
        <v>3.18</v>
      </c>
      <c r="G358">
        <v>3.9820000000000002</v>
      </c>
      <c r="K358">
        <v>0.53700000000000003</v>
      </c>
      <c r="L358">
        <v>85.4</v>
      </c>
      <c r="M358">
        <v>0</v>
      </c>
      <c r="O358">
        <v>-11.51</v>
      </c>
      <c r="P358">
        <v>-10.85</v>
      </c>
      <c r="Q358">
        <v>6.7110000000000003</v>
      </c>
      <c r="S358">
        <v>6.6849999999999996</v>
      </c>
      <c r="T358">
        <v>0</v>
      </c>
      <c r="U358">
        <v>87.9</v>
      </c>
      <c r="V358">
        <v>970</v>
      </c>
      <c r="W358">
        <v>45.63</v>
      </c>
      <c r="Y358">
        <v>12.85</v>
      </c>
    </row>
    <row r="359" spans="1:25" x14ac:dyDescent="0.25">
      <c r="A359">
        <v>2007</v>
      </c>
      <c r="B359">
        <v>91</v>
      </c>
      <c r="C359">
        <v>600</v>
      </c>
      <c r="D359">
        <v>-1.82</v>
      </c>
      <c r="E359">
        <v>-26.52</v>
      </c>
      <c r="F359">
        <v>2.1379999999999999</v>
      </c>
      <c r="G359">
        <v>2.8570000000000002</v>
      </c>
      <c r="K359">
        <v>0.48</v>
      </c>
      <c r="L359">
        <v>101.1</v>
      </c>
      <c r="M359">
        <v>0</v>
      </c>
      <c r="O359">
        <v>-9.84</v>
      </c>
      <c r="P359">
        <v>-10.28</v>
      </c>
      <c r="Q359">
        <v>6.6</v>
      </c>
      <c r="S359">
        <v>6.5449999999999999</v>
      </c>
      <c r="T359">
        <v>0</v>
      </c>
      <c r="U359">
        <v>88.6</v>
      </c>
      <c r="V359">
        <v>970</v>
      </c>
      <c r="W359">
        <v>45.63</v>
      </c>
      <c r="Y359">
        <v>12.83</v>
      </c>
    </row>
    <row r="360" spans="1:25" x14ac:dyDescent="0.25">
      <c r="A360">
        <v>2007</v>
      </c>
      <c r="B360">
        <v>91</v>
      </c>
      <c r="C360">
        <v>700</v>
      </c>
      <c r="D360">
        <v>35.81</v>
      </c>
      <c r="E360">
        <v>-2.7090000000000001</v>
      </c>
      <c r="F360">
        <v>1.542</v>
      </c>
      <c r="G360">
        <v>2.3420000000000001</v>
      </c>
      <c r="K360">
        <v>0.77600000000000002</v>
      </c>
      <c r="L360">
        <v>100.3</v>
      </c>
      <c r="M360">
        <v>0</v>
      </c>
      <c r="O360">
        <v>36.65</v>
      </c>
      <c r="P360">
        <v>14.78</v>
      </c>
      <c r="Q360">
        <v>6.4269999999999996</v>
      </c>
      <c r="S360">
        <v>6.4329999999999998</v>
      </c>
      <c r="T360">
        <v>0</v>
      </c>
      <c r="U360">
        <v>87</v>
      </c>
      <c r="V360">
        <v>968</v>
      </c>
      <c r="W360">
        <v>45.4</v>
      </c>
      <c r="Y360">
        <v>13.02</v>
      </c>
    </row>
    <row r="361" spans="1:25" x14ac:dyDescent="0.25">
      <c r="A361">
        <v>2007</v>
      </c>
      <c r="B361">
        <v>91</v>
      </c>
      <c r="C361">
        <v>800</v>
      </c>
      <c r="D361">
        <v>159.4</v>
      </c>
      <c r="E361">
        <v>102.6</v>
      </c>
      <c r="F361">
        <v>3.3290000000000002</v>
      </c>
      <c r="G361">
        <v>4.2850000000000001</v>
      </c>
      <c r="K361">
        <v>0.82</v>
      </c>
      <c r="L361">
        <v>97.2</v>
      </c>
      <c r="M361">
        <v>0</v>
      </c>
      <c r="O361">
        <v>219.5</v>
      </c>
      <c r="P361">
        <v>81.7</v>
      </c>
      <c r="Q361">
        <v>6.274</v>
      </c>
      <c r="S361">
        <v>6.4269999999999996</v>
      </c>
      <c r="T361">
        <v>0</v>
      </c>
      <c r="U361">
        <v>85.8</v>
      </c>
      <c r="V361">
        <v>968</v>
      </c>
      <c r="W361">
        <v>45.4</v>
      </c>
      <c r="Y361">
        <v>14.08</v>
      </c>
    </row>
    <row r="362" spans="1:25" x14ac:dyDescent="0.25">
      <c r="A362">
        <v>2007</v>
      </c>
      <c r="B362">
        <v>91</v>
      </c>
      <c r="C362">
        <v>900</v>
      </c>
      <c r="D362">
        <v>307.60000000000002</v>
      </c>
      <c r="E362">
        <v>202.1</v>
      </c>
      <c r="F362">
        <v>4.82</v>
      </c>
      <c r="G362">
        <v>6.2869999999999999</v>
      </c>
      <c r="H362">
        <f>AVERAGE(G362:G385)</f>
        <v>6.5909999999999984</v>
      </c>
      <c r="I362">
        <f>MIN(G362:G385)</f>
        <v>0.52300000000000002</v>
      </c>
      <c r="J362">
        <f>MAX(F362:F385)</f>
        <v>8.7899999999999991</v>
      </c>
      <c r="K362">
        <v>1.6539999999999999</v>
      </c>
      <c r="L362">
        <v>86.4</v>
      </c>
      <c r="M362">
        <v>0</v>
      </c>
      <c r="N362">
        <f>SUM(M362:M385)</f>
        <v>0</v>
      </c>
      <c r="O362">
        <v>401.4</v>
      </c>
      <c r="P362">
        <v>125.1</v>
      </c>
      <c r="Q362">
        <v>6.18</v>
      </c>
      <c r="S362">
        <v>6.3890000000000002</v>
      </c>
      <c r="T362">
        <v>0</v>
      </c>
      <c r="U362">
        <v>80</v>
      </c>
      <c r="V362">
        <v>966</v>
      </c>
      <c r="W362">
        <v>45.22</v>
      </c>
      <c r="Y362">
        <v>14.68</v>
      </c>
    </row>
    <row r="363" spans="1:25" x14ac:dyDescent="0.25">
      <c r="A363">
        <v>2007</v>
      </c>
      <c r="B363">
        <v>91</v>
      </c>
      <c r="C363">
        <v>1000</v>
      </c>
      <c r="D363">
        <v>443.2</v>
      </c>
      <c r="E363">
        <v>277.7</v>
      </c>
      <c r="F363">
        <v>5.548</v>
      </c>
      <c r="G363">
        <v>7.52</v>
      </c>
      <c r="K363">
        <v>2.4529999999999998</v>
      </c>
      <c r="L363">
        <v>95.9</v>
      </c>
      <c r="M363">
        <v>0</v>
      </c>
      <c r="O363">
        <v>556.6</v>
      </c>
      <c r="P363">
        <v>156.4</v>
      </c>
      <c r="Q363">
        <v>6.2370000000000001</v>
      </c>
      <c r="S363">
        <v>6.2839999999999998</v>
      </c>
      <c r="T363">
        <v>0</v>
      </c>
      <c r="U363">
        <v>74.5</v>
      </c>
      <c r="V363">
        <v>965</v>
      </c>
      <c r="W363">
        <v>45.05</v>
      </c>
      <c r="Y363">
        <v>14.91</v>
      </c>
    </row>
    <row r="364" spans="1:25" x14ac:dyDescent="0.25">
      <c r="A364">
        <v>2007</v>
      </c>
      <c r="B364">
        <v>91</v>
      </c>
      <c r="C364">
        <v>1100</v>
      </c>
      <c r="D364">
        <v>549.79999999999995</v>
      </c>
      <c r="E364">
        <v>337.4</v>
      </c>
      <c r="F364">
        <v>6.6710000000000003</v>
      </c>
      <c r="G364">
        <v>8.86</v>
      </c>
      <c r="K364">
        <v>2.5350000000000001</v>
      </c>
      <c r="L364">
        <v>97</v>
      </c>
      <c r="M364">
        <v>0</v>
      </c>
      <c r="O364">
        <v>676.3</v>
      </c>
      <c r="P364">
        <v>178</v>
      </c>
      <c r="Q364">
        <v>6.681</v>
      </c>
      <c r="S364">
        <v>6.26</v>
      </c>
      <c r="T364">
        <v>0</v>
      </c>
      <c r="U364">
        <v>73.2</v>
      </c>
      <c r="V364">
        <v>963</v>
      </c>
      <c r="W364">
        <v>44.85</v>
      </c>
      <c r="Y364">
        <v>14.75</v>
      </c>
    </row>
    <row r="365" spans="1:25" x14ac:dyDescent="0.25">
      <c r="A365">
        <v>2007</v>
      </c>
      <c r="B365">
        <v>91</v>
      </c>
      <c r="C365">
        <v>1200</v>
      </c>
      <c r="D365">
        <v>616.9</v>
      </c>
      <c r="E365">
        <v>367.3</v>
      </c>
      <c r="F365">
        <v>7.63</v>
      </c>
      <c r="G365">
        <v>10.19</v>
      </c>
      <c r="K365">
        <v>2.12</v>
      </c>
      <c r="L365">
        <v>87.6</v>
      </c>
      <c r="M365">
        <v>0</v>
      </c>
      <c r="O365">
        <v>749</v>
      </c>
      <c r="P365">
        <v>189.6</v>
      </c>
      <c r="Q365">
        <v>7.37</v>
      </c>
      <c r="S365">
        <v>6.2709999999999999</v>
      </c>
      <c r="T365">
        <v>0</v>
      </c>
      <c r="U365">
        <v>70.2</v>
      </c>
      <c r="V365">
        <v>959</v>
      </c>
      <c r="W365">
        <v>44.43</v>
      </c>
      <c r="Y365">
        <v>14.5</v>
      </c>
    </row>
    <row r="366" spans="1:25" x14ac:dyDescent="0.25">
      <c r="A366">
        <v>2007</v>
      </c>
      <c r="B366">
        <v>91</v>
      </c>
      <c r="C366">
        <v>1300</v>
      </c>
      <c r="D366">
        <v>644.6</v>
      </c>
      <c r="E366">
        <v>372</v>
      </c>
      <c r="F366">
        <v>7.39</v>
      </c>
      <c r="G366">
        <v>10.050000000000001</v>
      </c>
      <c r="K366">
        <v>2.645</v>
      </c>
      <c r="L366">
        <v>97.9</v>
      </c>
      <c r="M366">
        <v>0</v>
      </c>
      <c r="O366">
        <v>772</v>
      </c>
      <c r="P366">
        <v>196.8</v>
      </c>
      <c r="Q366">
        <v>8.2200000000000006</v>
      </c>
      <c r="S366">
        <v>6.3529999999999998</v>
      </c>
      <c r="T366">
        <v>0</v>
      </c>
      <c r="U366">
        <v>68.930000000000007</v>
      </c>
      <c r="V366">
        <v>954</v>
      </c>
      <c r="W366">
        <v>44.03</v>
      </c>
      <c r="Y366">
        <v>14.54</v>
      </c>
    </row>
    <row r="367" spans="1:25" x14ac:dyDescent="0.25">
      <c r="A367">
        <v>2007</v>
      </c>
      <c r="B367">
        <v>91</v>
      </c>
      <c r="C367">
        <v>1400</v>
      </c>
      <c r="D367">
        <v>626</v>
      </c>
      <c r="E367">
        <v>354.3</v>
      </c>
      <c r="F367">
        <v>8.2799999999999994</v>
      </c>
      <c r="G367">
        <v>11.12</v>
      </c>
      <c r="K367">
        <v>1.982</v>
      </c>
      <c r="L367">
        <v>72.3</v>
      </c>
      <c r="M367">
        <v>0</v>
      </c>
      <c r="O367">
        <v>730</v>
      </c>
      <c r="P367">
        <v>204.5</v>
      </c>
      <c r="Q367">
        <v>9.06</v>
      </c>
      <c r="S367">
        <v>6.5439999999999996</v>
      </c>
      <c r="T367">
        <v>0</v>
      </c>
      <c r="U367">
        <v>68.13</v>
      </c>
      <c r="V367">
        <v>953</v>
      </c>
      <c r="W367">
        <v>43.89</v>
      </c>
      <c r="Y367">
        <v>14.31</v>
      </c>
    </row>
    <row r="368" spans="1:25" x14ac:dyDescent="0.25">
      <c r="A368">
        <v>2007</v>
      </c>
      <c r="B368">
        <v>91</v>
      </c>
      <c r="C368">
        <v>1500</v>
      </c>
      <c r="D368">
        <v>570.9</v>
      </c>
      <c r="E368">
        <v>324.5</v>
      </c>
      <c r="F368">
        <v>8.5500000000000007</v>
      </c>
      <c r="G368">
        <v>11.61</v>
      </c>
      <c r="K368">
        <v>2.097</v>
      </c>
      <c r="L368">
        <v>84.3</v>
      </c>
      <c r="M368">
        <v>0</v>
      </c>
      <c r="O368">
        <v>674.6</v>
      </c>
      <c r="P368">
        <v>213.8</v>
      </c>
      <c r="Q368">
        <v>9.8000000000000007</v>
      </c>
      <c r="S368">
        <v>6.78</v>
      </c>
      <c r="T368">
        <v>0</v>
      </c>
      <c r="U368">
        <v>66.400000000000006</v>
      </c>
      <c r="V368">
        <v>955</v>
      </c>
      <c r="W368">
        <v>44.08</v>
      </c>
      <c r="Y368">
        <v>14.31</v>
      </c>
    </row>
    <row r="369" spans="1:25" x14ac:dyDescent="0.25">
      <c r="A369">
        <v>2007</v>
      </c>
      <c r="B369">
        <v>91</v>
      </c>
      <c r="C369">
        <v>1600</v>
      </c>
      <c r="D369">
        <v>459.5</v>
      </c>
      <c r="E369">
        <v>254.7</v>
      </c>
      <c r="F369">
        <v>8.44</v>
      </c>
      <c r="G369">
        <v>11.53</v>
      </c>
      <c r="K369">
        <v>2.3479999999999999</v>
      </c>
      <c r="L369">
        <v>91.2</v>
      </c>
      <c r="M369">
        <v>0</v>
      </c>
      <c r="O369">
        <v>542.1</v>
      </c>
      <c r="P369">
        <v>207</v>
      </c>
      <c r="Q369">
        <v>10.33</v>
      </c>
      <c r="S369">
        <v>6.9980000000000002</v>
      </c>
      <c r="T369">
        <v>0</v>
      </c>
      <c r="U369">
        <v>65.92</v>
      </c>
      <c r="V369">
        <v>957</v>
      </c>
      <c r="W369">
        <v>44.27</v>
      </c>
      <c r="Y369">
        <v>14.31</v>
      </c>
    </row>
    <row r="370" spans="1:25" x14ac:dyDescent="0.25">
      <c r="A370">
        <v>2007</v>
      </c>
      <c r="B370">
        <v>91</v>
      </c>
      <c r="C370">
        <v>1700</v>
      </c>
      <c r="D370">
        <v>318.2</v>
      </c>
      <c r="E370">
        <v>166</v>
      </c>
      <c r="F370">
        <v>8.7899999999999991</v>
      </c>
      <c r="G370">
        <v>11.45</v>
      </c>
      <c r="K370">
        <v>1.742</v>
      </c>
      <c r="L370">
        <v>80.8</v>
      </c>
      <c r="M370">
        <v>0</v>
      </c>
      <c r="O370">
        <v>376.6</v>
      </c>
      <c r="P370">
        <v>180</v>
      </c>
      <c r="Q370">
        <v>10.64</v>
      </c>
      <c r="S370">
        <v>7.25</v>
      </c>
      <c r="T370">
        <v>0</v>
      </c>
      <c r="U370">
        <v>70.400000000000006</v>
      </c>
      <c r="V370">
        <v>967</v>
      </c>
      <c r="W370">
        <v>45.26</v>
      </c>
      <c r="Y370">
        <v>13.99</v>
      </c>
    </row>
    <row r="371" spans="1:25" x14ac:dyDescent="0.25">
      <c r="A371">
        <v>2007</v>
      </c>
      <c r="B371">
        <v>91</v>
      </c>
      <c r="C371">
        <v>1800</v>
      </c>
      <c r="D371">
        <v>117.4</v>
      </c>
      <c r="E371">
        <v>18.75</v>
      </c>
      <c r="F371">
        <v>8.15</v>
      </c>
      <c r="G371">
        <v>10.45</v>
      </c>
      <c r="K371">
        <v>1.097</v>
      </c>
      <c r="L371">
        <v>65.41</v>
      </c>
      <c r="M371">
        <v>0</v>
      </c>
      <c r="O371">
        <v>132.4</v>
      </c>
      <c r="P371">
        <v>75.5</v>
      </c>
      <c r="Q371">
        <v>10.69</v>
      </c>
      <c r="S371">
        <v>7.47</v>
      </c>
      <c r="T371">
        <v>0</v>
      </c>
      <c r="U371">
        <v>73.400000000000006</v>
      </c>
      <c r="V371">
        <v>970</v>
      </c>
      <c r="W371">
        <v>45.62</v>
      </c>
      <c r="Y371">
        <v>13.67</v>
      </c>
    </row>
    <row r="372" spans="1:25" x14ac:dyDescent="0.25">
      <c r="A372">
        <v>2007</v>
      </c>
      <c r="B372">
        <v>91</v>
      </c>
      <c r="C372">
        <v>1900</v>
      </c>
      <c r="D372">
        <v>30.5</v>
      </c>
      <c r="E372">
        <v>-41.37</v>
      </c>
      <c r="F372">
        <v>7.05</v>
      </c>
      <c r="G372">
        <v>9.1199999999999992</v>
      </c>
      <c r="K372">
        <v>0.95299999999999996</v>
      </c>
      <c r="L372">
        <v>81.8</v>
      </c>
      <c r="M372">
        <v>0</v>
      </c>
      <c r="O372">
        <v>28.64</v>
      </c>
      <c r="P372">
        <v>23.29</v>
      </c>
      <c r="Q372">
        <v>10.5</v>
      </c>
      <c r="S372">
        <v>7.62</v>
      </c>
      <c r="T372">
        <v>0</v>
      </c>
      <c r="U372">
        <v>74.900000000000006</v>
      </c>
      <c r="V372">
        <v>973</v>
      </c>
      <c r="W372">
        <v>45.88</v>
      </c>
      <c r="Y372">
        <v>13.49</v>
      </c>
    </row>
    <row r="373" spans="1:25" x14ac:dyDescent="0.25">
      <c r="A373">
        <v>2007</v>
      </c>
      <c r="B373">
        <v>91</v>
      </c>
      <c r="C373">
        <v>2000</v>
      </c>
      <c r="D373">
        <v>-3.4369999999999998</v>
      </c>
      <c r="E373">
        <v>-62.82</v>
      </c>
      <c r="F373">
        <v>5.7919999999999998</v>
      </c>
      <c r="G373">
        <v>7.57</v>
      </c>
      <c r="K373">
        <v>0.73499999999999999</v>
      </c>
      <c r="L373">
        <v>124.2</v>
      </c>
      <c r="M373">
        <v>0</v>
      </c>
      <c r="O373">
        <v>-10.88</v>
      </c>
      <c r="P373">
        <v>-10.65</v>
      </c>
      <c r="Q373">
        <v>10.15</v>
      </c>
      <c r="S373">
        <v>7.74</v>
      </c>
      <c r="T373">
        <v>0</v>
      </c>
      <c r="U373">
        <v>77</v>
      </c>
      <c r="V373">
        <v>976</v>
      </c>
      <c r="W373">
        <v>46.26</v>
      </c>
      <c r="Y373">
        <v>13.38</v>
      </c>
    </row>
    <row r="374" spans="1:25" x14ac:dyDescent="0.25">
      <c r="A374">
        <v>2007</v>
      </c>
      <c r="B374">
        <v>91</v>
      </c>
      <c r="C374">
        <v>2100</v>
      </c>
      <c r="D374">
        <v>-3.548</v>
      </c>
      <c r="E374">
        <v>-58.03</v>
      </c>
      <c r="F374">
        <v>5.069</v>
      </c>
      <c r="G374">
        <v>6.8360000000000003</v>
      </c>
      <c r="K374">
        <v>0.86799999999999999</v>
      </c>
      <c r="L374">
        <v>115</v>
      </c>
      <c r="M374">
        <v>0</v>
      </c>
      <c r="O374">
        <v>-11.5</v>
      </c>
      <c r="P374">
        <v>-10.84</v>
      </c>
      <c r="Q374">
        <v>9.7100000000000009</v>
      </c>
      <c r="S374">
        <v>7.76</v>
      </c>
      <c r="T374">
        <v>0</v>
      </c>
      <c r="U374">
        <v>76.5</v>
      </c>
      <c r="V374">
        <v>979</v>
      </c>
      <c r="W374">
        <v>46.56</v>
      </c>
      <c r="Y374">
        <v>13.29</v>
      </c>
    </row>
    <row r="375" spans="1:25" x14ac:dyDescent="0.25">
      <c r="A375">
        <v>2007</v>
      </c>
      <c r="B375">
        <v>91</v>
      </c>
      <c r="C375">
        <v>2200</v>
      </c>
      <c r="D375">
        <v>-3.464</v>
      </c>
      <c r="E375">
        <v>-54.74</v>
      </c>
      <c r="F375">
        <v>5.0410000000000004</v>
      </c>
      <c r="G375">
        <v>6.8689999999999998</v>
      </c>
      <c r="K375">
        <v>1.0169999999999999</v>
      </c>
      <c r="L375">
        <v>111.3</v>
      </c>
      <c r="M375">
        <v>0</v>
      </c>
      <c r="O375">
        <v>-11.5</v>
      </c>
      <c r="P375">
        <v>-10.85</v>
      </c>
      <c r="Q375">
        <v>9.26</v>
      </c>
      <c r="S375">
        <v>7.77</v>
      </c>
      <c r="T375">
        <v>0</v>
      </c>
      <c r="U375">
        <v>75.7</v>
      </c>
      <c r="V375">
        <v>986</v>
      </c>
      <c r="W375">
        <v>47.26</v>
      </c>
      <c r="Y375">
        <v>13.21</v>
      </c>
    </row>
    <row r="376" spans="1:25" x14ac:dyDescent="0.25">
      <c r="A376">
        <v>2007</v>
      </c>
      <c r="B376">
        <v>91</v>
      </c>
      <c r="C376">
        <v>2300</v>
      </c>
      <c r="D376">
        <v>-3.5760000000000001</v>
      </c>
      <c r="E376">
        <v>-54.04</v>
      </c>
      <c r="F376">
        <v>3.5870000000000002</v>
      </c>
      <c r="G376">
        <v>4.4370000000000003</v>
      </c>
      <c r="K376">
        <v>0.55500000000000005</v>
      </c>
      <c r="L376">
        <v>130.9</v>
      </c>
      <c r="M376">
        <v>0</v>
      </c>
      <c r="O376">
        <v>-11.5</v>
      </c>
      <c r="P376">
        <v>-10.84</v>
      </c>
      <c r="Q376">
        <v>8.85</v>
      </c>
      <c r="S376">
        <v>7.71</v>
      </c>
      <c r="T376">
        <v>0</v>
      </c>
      <c r="U376">
        <v>87.7</v>
      </c>
      <c r="V376">
        <v>998</v>
      </c>
      <c r="W376">
        <v>48.69</v>
      </c>
      <c r="Y376">
        <v>13.14</v>
      </c>
    </row>
    <row r="377" spans="1:25" x14ac:dyDescent="0.25">
      <c r="A377">
        <v>2007</v>
      </c>
      <c r="B377">
        <v>91</v>
      </c>
      <c r="C377">
        <v>2400</v>
      </c>
      <c r="D377">
        <v>-3.1230000000000002</v>
      </c>
      <c r="E377">
        <v>-44.45</v>
      </c>
      <c r="F377">
        <v>1.05</v>
      </c>
      <c r="G377">
        <v>1.4510000000000001</v>
      </c>
      <c r="K377">
        <v>0.45500000000000002</v>
      </c>
      <c r="L377">
        <v>182.3</v>
      </c>
      <c r="M377">
        <v>0</v>
      </c>
      <c r="O377">
        <v>-11.5</v>
      </c>
      <c r="P377">
        <v>-10.85</v>
      </c>
      <c r="Q377">
        <v>8.41</v>
      </c>
      <c r="S377">
        <v>7.58</v>
      </c>
      <c r="T377">
        <v>0</v>
      </c>
      <c r="U377">
        <v>93.3</v>
      </c>
      <c r="V377">
        <v>1002</v>
      </c>
      <c r="W377">
        <v>49.12</v>
      </c>
      <c r="Y377">
        <v>13.07</v>
      </c>
    </row>
    <row r="378" spans="1:25" x14ac:dyDescent="0.25">
      <c r="A378">
        <v>2007</v>
      </c>
      <c r="B378">
        <v>92</v>
      </c>
      <c r="C378">
        <v>100</v>
      </c>
      <c r="D378">
        <v>-2.7749999999999999</v>
      </c>
      <c r="E378">
        <v>-35.26</v>
      </c>
      <c r="F378">
        <v>0.122</v>
      </c>
      <c r="G378">
        <v>0.52300000000000002</v>
      </c>
      <c r="K378">
        <v>0.41899999999999998</v>
      </c>
      <c r="L378">
        <v>191.5</v>
      </c>
      <c r="M378">
        <v>0</v>
      </c>
      <c r="O378">
        <v>-11.51</v>
      </c>
      <c r="P378">
        <v>-10.85</v>
      </c>
      <c r="Q378">
        <v>7.98</v>
      </c>
      <c r="S378">
        <v>7.46</v>
      </c>
      <c r="T378">
        <v>0</v>
      </c>
      <c r="U378">
        <v>93</v>
      </c>
      <c r="V378">
        <v>1006</v>
      </c>
      <c r="W378">
        <v>49.71</v>
      </c>
      <c r="Y378">
        <v>13.01</v>
      </c>
    </row>
    <row r="379" spans="1:25" x14ac:dyDescent="0.25">
      <c r="A379">
        <v>2007</v>
      </c>
      <c r="B379">
        <v>92</v>
      </c>
      <c r="C379">
        <v>200</v>
      </c>
      <c r="D379">
        <v>-2.766</v>
      </c>
      <c r="E379">
        <v>-29.97</v>
      </c>
      <c r="F379">
        <v>0.54500000000000004</v>
      </c>
      <c r="G379">
        <v>1.077</v>
      </c>
      <c r="K379">
        <v>0.46700000000000003</v>
      </c>
      <c r="L379">
        <v>173.9</v>
      </c>
      <c r="M379">
        <v>0</v>
      </c>
      <c r="O379">
        <v>-11.51</v>
      </c>
      <c r="P379">
        <v>-10.85</v>
      </c>
      <c r="Q379">
        <v>7.58</v>
      </c>
      <c r="S379">
        <v>7.35</v>
      </c>
      <c r="T379">
        <v>0</v>
      </c>
      <c r="U379">
        <v>91</v>
      </c>
      <c r="V379">
        <v>1004</v>
      </c>
      <c r="W379">
        <v>49.4</v>
      </c>
      <c r="Y379">
        <v>12.95</v>
      </c>
    </row>
    <row r="380" spans="1:25" x14ac:dyDescent="0.25">
      <c r="A380">
        <v>2007</v>
      </c>
      <c r="B380">
        <v>92</v>
      </c>
      <c r="C380">
        <v>300</v>
      </c>
      <c r="D380">
        <v>-2.8210000000000002</v>
      </c>
      <c r="E380">
        <v>-25.54</v>
      </c>
      <c r="F380">
        <v>1.484</v>
      </c>
      <c r="G380">
        <v>2.2370000000000001</v>
      </c>
      <c r="K380">
        <v>0.56599999999999995</v>
      </c>
      <c r="L380">
        <v>122.4</v>
      </c>
      <c r="M380">
        <v>0</v>
      </c>
      <c r="O380">
        <v>-11.51</v>
      </c>
      <c r="P380">
        <v>-10.85</v>
      </c>
      <c r="Q380">
        <v>7.22</v>
      </c>
      <c r="S380">
        <v>7.22</v>
      </c>
      <c r="T380">
        <v>0</v>
      </c>
      <c r="U380">
        <v>87.9</v>
      </c>
      <c r="V380">
        <v>996</v>
      </c>
      <c r="W380">
        <v>48.4</v>
      </c>
      <c r="Y380">
        <v>12.9</v>
      </c>
    </row>
    <row r="381" spans="1:25" x14ac:dyDescent="0.25">
      <c r="A381">
        <v>2007</v>
      </c>
      <c r="B381">
        <v>92</v>
      </c>
      <c r="C381">
        <v>400</v>
      </c>
      <c r="D381">
        <v>-3.0640000000000001</v>
      </c>
      <c r="E381">
        <v>-21.76</v>
      </c>
      <c r="F381">
        <v>2.8</v>
      </c>
      <c r="G381">
        <v>3.7839999999999998</v>
      </c>
      <c r="K381">
        <v>0.995</v>
      </c>
      <c r="L381">
        <v>108.6</v>
      </c>
      <c r="M381">
        <v>0</v>
      </c>
      <c r="O381">
        <v>-11.51</v>
      </c>
      <c r="P381">
        <v>-10.85</v>
      </c>
      <c r="Q381">
        <v>6.883</v>
      </c>
      <c r="S381">
        <v>7.1</v>
      </c>
      <c r="T381">
        <v>0</v>
      </c>
      <c r="U381">
        <v>85</v>
      </c>
      <c r="V381">
        <v>994</v>
      </c>
      <c r="W381">
        <v>48.22</v>
      </c>
      <c r="Y381">
        <v>12.86</v>
      </c>
    </row>
    <row r="382" spans="1:25" x14ac:dyDescent="0.25">
      <c r="A382">
        <v>2007</v>
      </c>
      <c r="B382">
        <v>92</v>
      </c>
      <c r="C382">
        <v>500</v>
      </c>
      <c r="D382">
        <v>-3.1230000000000002</v>
      </c>
      <c r="E382">
        <v>-19.77</v>
      </c>
      <c r="F382">
        <v>3.137</v>
      </c>
      <c r="G382">
        <v>4.0140000000000002</v>
      </c>
      <c r="K382">
        <v>1.0209999999999999</v>
      </c>
      <c r="L382">
        <v>108.2</v>
      </c>
      <c r="M382">
        <v>0</v>
      </c>
      <c r="O382">
        <v>-11.51</v>
      </c>
      <c r="P382">
        <v>-10.85</v>
      </c>
      <c r="Q382">
        <v>6.5650000000000004</v>
      </c>
      <c r="S382">
        <v>6.9290000000000003</v>
      </c>
      <c r="T382">
        <v>0</v>
      </c>
      <c r="U382">
        <v>86.8</v>
      </c>
      <c r="V382">
        <v>994</v>
      </c>
      <c r="W382">
        <v>48.21</v>
      </c>
      <c r="Y382">
        <v>12.84</v>
      </c>
    </row>
    <row r="383" spans="1:25" x14ac:dyDescent="0.25">
      <c r="A383">
        <v>2007</v>
      </c>
      <c r="B383">
        <v>92</v>
      </c>
      <c r="C383">
        <v>600</v>
      </c>
      <c r="D383">
        <v>-1.65</v>
      </c>
      <c r="E383">
        <v>-18.100000000000001</v>
      </c>
      <c r="F383">
        <v>2.8969999999999998</v>
      </c>
      <c r="G383">
        <v>3.6539999999999999</v>
      </c>
      <c r="K383">
        <v>0.84099999999999997</v>
      </c>
      <c r="L383">
        <v>111.2</v>
      </c>
      <c r="M383">
        <v>0</v>
      </c>
      <c r="O383">
        <v>-9.27</v>
      </c>
      <c r="P383">
        <v>-10.1</v>
      </c>
      <c r="Q383">
        <v>6.3040000000000003</v>
      </c>
      <c r="S383">
        <v>6.7549999999999999</v>
      </c>
      <c r="T383">
        <v>0</v>
      </c>
      <c r="U383">
        <v>88.4</v>
      </c>
      <c r="V383">
        <v>990</v>
      </c>
      <c r="W383">
        <v>47.81</v>
      </c>
      <c r="Y383">
        <v>12.82</v>
      </c>
    </row>
    <row r="384" spans="1:25" x14ac:dyDescent="0.25">
      <c r="A384">
        <v>2007</v>
      </c>
      <c r="B384">
        <v>92</v>
      </c>
      <c r="C384">
        <v>700</v>
      </c>
      <c r="D384">
        <v>33.630000000000003</v>
      </c>
      <c r="E384">
        <v>6.5819999999999999</v>
      </c>
      <c r="F384">
        <v>2.2229999999999999</v>
      </c>
      <c r="G384">
        <v>2.714</v>
      </c>
      <c r="K384">
        <v>0.41699999999999998</v>
      </c>
      <c r="L384">
        <v>148.5</v>
      </c>
      <c r="M384">
        <v>0</v>
      </c>
      <c r="O384">
        <v>37.020000000000003</v>
      </c>
      <c r="P384">
        <v>5.141</v>
      </c>
      <c r="Q384">
        <v>6.0629999999999997</v>
      </c>
      <c r="S384">
        <v>6.6070000000000002</v>
      </c>
      <c r="T384">
        <v>0</v>
      </c>
      <c r="U384">
        <v>92.3</v>
      </c>
      <c r="V384">
        <v>989</v>
      </c>
      <c r="W384">
        <v>47.66</v>
      </c>
      <c r="Y384">
        <v>12.91</v>
      </c>
    </row>
    <row r="385" spans="1:25" x14ac:dyDescent="0.25">
      <c r="A385">
        <v>2007</v>
      </c>
      <c r="B385">
        <v>92</v>
      </c>
      <c r="C385">
        <v>800</v>
      </c>
      <c r="D385">
        <v>126.2</v>
      </c>
      <c r="E385">
        <v>76.900000000000006</v>
      </c>
      <c r="F385">
        <v>4.0819999999999999</v>
      </c>
      <c r="G385">
        <v>4.8310000000000004</v>
      </c>
      <c r="K385">
        <v>0.79500000000000004</v>
      </c>
      <c r="L385">
        <v>110.3</v>
      </c>
      <c r="M385">
        <v>0</v>
      </c>
      <c r="O385">
        <v>160.9</v>
      </c>
      <c r="P385">
        <v>42.82</v>
      </c>
      <c r="Q385">
        <v>5.891</v>
      </c>
      <c r="S385">
        <v>6.5339999999999998</v>
      </c>
      <c r="T385">
        <v>0</v>
      </c>
      <c r="U385">
        <v>89.1</v>
      </c>
      <c r="V385">
        <v>989</v>
      </c>
      <c r="W385">
        <v>47.67</v>
      </c>
      <c r="Y385">
        <v>13.65</v>
      </c>
    </row>
    <row r="386" spans="1:25" x14ac:dyDescent="0.25">
      <c r="A386">
        <v>2007</v>
      </c>
      <c r="B386">
        <v>92</v>
      </c>
      <c r="C386">
        <v>900</v>
      </c>
      <c r="D386">
        <v>229.7</v>
      </c>
      <c r="E386">
        <v>147.5</v>
      </c>
      <c r="F386">
        <v>5.8319999999999999</v>
      </c>
      <c r="G386">
        <v>6.8650000000000002</v>
      </c>
      <c r="H386">
        <f>AVERAGE(G386:G409)</f>
        <v>7.9332916666666664</v>
      </c>
      <c r="I386">
        <f>MIN(G386:G409)</f>
        <v>1.3340000000000001</v>
      </c>
      <c r="J386">
        <f>MAX(F386:F409)</f>
        <v>10.130000000000001</v>
      </c>
      <c r="K386">
        <v>1.2010000000000001</v>
      </c>
      <c r="L386">
        <v>84.6</v>
      </c>
      <c r="M386">
        <v>0</v>
      </c>
      <c r="N386">
        <f>SUM(M386:M409)</f>
        <v>0</v>
      </c>
      <c r="O386">
        <v>290.39999999999998</v>
      </c>
      <c r="P386">
        <v>81.3</v>
      </c>
      <c r="Q386">
        <v>5.9039999999999999</v>
      </c>
      <c r="S386">
        <v>6.4379999999999997</v>
      </c>
      <c r="T386">
        <v>0</v>
      </c>
      <c r="U386">
        <v>86.1</v>
      </c>
      <c r="V386">
        <v>988</v>
      </c>
      <c r="W386">
        <v>47.56</v>
      </c>
      <c r="Y386">
        <v>14.08</v>
      </c>
    </row>
    <row r="387" spans="1:25" x14ac:dyDescent="0.25">
      <c r="A387">
        <v>2007</v>
      </c>
      <c r="B387">
        <v>92</v>
      </c>
      <c r="C387">
        <v>1000</v>
      </c>
      <c r="D387">
        <v>391.4</v>
      </c>
      <c r="E387">
        <v>249.2</v>
      </c>
      <c r="F387">
        <v>7.78</v>
      </c>
      <c r="G387">
        <v>9.43</v>
      </c>
      <c r="K387">
        <v>1.3779999999999999</v>
      </c>
      <c r="L387">
        <v>75.2</v>
      </c>
      <c r="M387">
        <v>0</v>
      </c>
      <c r="O387">
        <v>498</v>
      </c>
      <c r="P387">
        <v>140.1</v>
      </c>
      <c r="Q387">
        <v>6.1269999999999998</v>
      </c>
      <c r="S387">
        <v>6.3730000000000002</v>
      </c>
      <c r="T387">
        <v>0</v>
      </c>
      <c r="U387">
        <v>80.099999999999994</v>
      </c>
      <c r="V387">
        <v>986</v>
      </c>
      <c r="W387">
        <v>47.28</v>
      </c>
      <c r="Y387">
        <v>14.71</v>
      </c>
    </row>
    <row r="388" spans="1:25" x14ac:dyDescent="0.25">
      <c r="A388">
        <v>2007</v>
      </c>
      <c r="B388">
        <v>92</v>
      </c>
      <c r="C388">
        <v>1100</v>
      </c>
      <c r="D388">
        <v>535.9</v>
      </c>
      <c r="E388">
        <v>332.9</v>
      </c>
      <c r="F388">
        <v>9.31</v>
      </c>
      <c r="G388">
        <v>11.75</v>
      </c>
      <c r="K388">
        <v>1.3149999999999999</v>
      </c>
      <c r="L388">
        <v>60.93</v>
      </c>
      <c r="M388">
        <v>0</v>
      </c>
      <c r="O388">
        <v>664.5</v>
      </c>
      <c r="P388">
        <v>178.6</v>
      </c>
      <c r="Q388">
        <v>6.6550000000000002</v>
      </c>
      <c r="S388">
        <v>6.3570000000000002</v>
      </c>
      <c r="T388">
        <v>0</v>
      </c>
      <c r="U388">
        <v>73.2</v>
      </c>
      <c r="V388">
        <v>983</v>
      </c>
      <c r="W388">
        <v>46.98</v>
      </c>
      <c r="Y388">
        <v>14.71</v>
      </c>
    </row>
    <row r="389" spans="1:25" x14ac:dyDescent="0.25">
      <c r="A389">
        <v>2007</v>
      </c>
      <c r="B389">
        <v>92</v>
      </c>
      <c r="C389">
        <v>1200</v>
      </c>
      <c r="D389">
        <v>615.5</v>
      </c>
      <c r="E389">
        <v>368.5</v>
      </c>
      <c r="F389">
        <v>9.44</v>
      </c>
      <c r="G389">
        <v>13.45</v>
      </c>
      <c r="K389">
        <v>1.7430000000000001</v>
      </c>
      <c r="L389">
        <v>100.2</v>
      </c>
      <c r="M389">
        <v>0</v>
      </c>
      <c r="O389">
        <v>751</v>
      </c>
      <c r="P389">
        <v>195.4</v>
      </c>
      <c r="Q389">
        <v>7.46</v>
      </c>
      <c r="S389">
        <v>6.3609999999999998</v>
      </c>
      <c r="T389">
        <v>0</v>
      </c>
      <c r="U389">
        <v>59.11</v>
      </c>
      <c r="V389">
        <v>978</v>
      </c>
      <c r="W389">
        <v>46.47</v>
      </c>
      <c r="Y389">
        <v>14.56</v>
      </c>
    </row>
    <row r="390" spans="1:25" x14ac:dyDescent="0.25">
      <c r="A390">
        <v>2007</v>
      </c>
      <c r="B390">
        <v>92</v>
      </c>
      <c r="C390">
        <v>1300</v>
      </c>
      <c r="D390">
        <v>595.29999999999995</v>
      </c>
      <c r="E390">
        <v>341.8</v>
      </c>
      <c r="F390">
        <v>9.48</v>
      </c>
      <c r="G390">
        <v>14.01</v>
      </c>
      <c r="K390">
        <v>1.84</v>
      </c>
      <c r="L390">
        <v>87.6</v>
      </c>
      <c r="M390">
        <v>0</v>
      </c>
      <c r="O390">
        <v>715</v>
      </c>
      <c r="P390">
        <v>186.6</v>
      </c>
      <c r="Q390">
        <v>8.43</v>
      </c>
      <c r="S390">
        <v>6.4720000000000004</v>
      </c>
      <c r="T390">
        <v>0</v>
      </c>
      <c r="U390">
        <v>54.98</v>
      </c>
      <c r="V390">
        <v>977</v>
      </c>
      <c r="W390">
        <v>46.28</v>
      </c>
      <c r="Y390">
        <v>14.52</v>
      </c>
    </row>
    <row r="391" spans="1:25" x14ac:dyDescent="0.25">
      <c r="A391">
        <v>2007</v>
      </c>
      <c r="B391">
        <v>92</v>
      </c>
      <c r="C391">
        <v>1400</v>
      </c>
      <c r="D391">
        <v>612</v>
      </c>
      <c r="E391">
        <v>346.8</v>
      </c>
      <c r="F391">
        <v>10.130000000000001</v>
      </c>
      <c r="G391">
        <v>14.6</v>
      </c>
      <c r="K391">
        <v>1.492</v>
      </c>
      <c r="L391">
        <v>79.7</v>
      </c>
      <c r="M391">
        <v>0</v>
      </c>
      <c r="O391">
        <v>722</v>
      </c>
      <c r="P391">
        <v>205.2</v>
      </c>
      <c r="Q391">
        <v>9.31</v>
      </c>
      <c r="S391">
        <v>6.6689999999999996</v>
      </c>
      <c r="T391">
        <v>0</v>
      </c>
      <c r="U391">
        <v>56.32</v>
      </c>
      <c r="V391">
        <v>978</v>
      </c>
      <c r="W391">
        <v>46.46</v>
      </c>
      <c r="Y391">
        <v>14.31</v>
      </c>
    </row>
    <row r="392" spans="1:25" x14ac:dyDescent="0.25">
      <c r="A392">
        <v>2007</v>
      </c>
      <c r="B392">
        <v>92</v>
      </c>
      <c r="C392">
        <v>1500</v>
      </c>
      <c r="D392">
        <v>546.29999999999995</v>
      </c>
      <c r="E392">
        <v>309.39999999999998</v>
      </c>
      <c r="F392">
        <v>10.119999999999999</v>
      </c>
      <c r="G392">
        <v>14.78</v>
      </c>
      <c r="K392">
        <v>1.653</v>
      </c>
      <c r="L392">
        <v>75.7</v>
      </c>
      <c r="M392">
        <v>0</v>
      </c>
      <c r="O392">
        <v>654.20000000000005</v>
      </c>
      <c r="P392">
        <v>208.5</v>
      </c>
      <c r="Q392">
        <v>10.07</v>
      </c>
      <c r="S392">
        <v>6.8929999999999998</v>
      </c>
      <c r="T392">
        <v>0</v>
      </c>
      <c r="U392">
        <v>54.81</v>
      </c>
      <c r="V392">
        <v>978</v>
      </c>
      <c r="W392">
        <v>46.45</v>
      </c>
      <c r="Y392">
        <v>14.27</v>
      </c>
    </row>
    <row r="393" spans="1:25" x14ac:dyDescent="0.25">
      <c r="A393">
        <v>2007</v>
      </c>
      <c r="B393">
        <v>92</v>
      </c>
      <c r="C393">
        <v>1600</v>
      </c>
      <c r="D393">
        <v>418.2</v>
      </c>
      <c r="E393">
        <v>226.8</v>
      </c>
      <c r="F393">
        <v>9.89</v>
      </c>
      <c r="G393">
        <v>14.4</v>
      </c>
      <c r="K393">
        <v>1.639</v>
      </c>
      <c r="L393">
        <v>83.1</v>
      </c>
      <c r="M393">
        <v>0</v>
      </c>
      <c r="O393">
        <v>497.2</v>
      </c>
      <c r="P393">
        <v>184.4</v>
      </c>
      <c r="Q393">
        <v>10.65</v>
      </c>
      <c r="S393">
        <v>7.16</v>
      </c>
      <c r="T393">
        <v>0</v>
      </c>
      <c r="U393">
        <v>55.64</v>
      </c>
      <c r="V393">
        <v>977</v>
      </c>
      <c r="W393">
        <v>46.31</v>
      </c>
      <c r="Y393">
        <v>14.19</v>
      </c>
    </row>
    <row r="394" spans="1:25" x14ac:dyDescent="0.25">
      <c r="A394">
        <v>2007</v>
      </c>
      <c r="B394">
        <v>92</v>
      </c>
      <c r="C394">
        <v>1700</v>
      </c>
      <c r="D394">
        <v>302.5</v>
      </c>
      <c r="E394">
        <v>155.30000000000001</v>
      </c>
      <c r="F394">
        <v>9.73</v>
      </c>
      <c r="G394">
        <v>13.97</v>
      </c>
      <c r="K394">
        <v>1.454</v>
      </c>
      <c r="L394">
        <v>72.599999999999994</v>
      </c>
      <c r="M394">
        <v>0</v>
      </c>
      <c r="O394">
        <v>359.4</v>
      </c>
      <c r="P394">
        <v>169.5</v>
      </c>
      <c r="Q394">
        <v>10.97</v>
      </c>
      <c r="S394">
        <v>7.44</v>
      </c>
      <c r="T394">
        <v>0</v>
      </c>
      <c r="U394">
        <v>57.66</v>
      </c>
      <c r="V394">
        <v>977</v>
      </c>
      <c r="W394">
        <v>46.32</v>
      </c>
      <c r="Y394">
        <v>13.96</v>
      </c>
    </row>
    <row r="395" spans="1:25" x14ac:dyDescent="0.25">
      <c r="A395">
        <v>2007</v>
      </c>
      <c r="B395">
        <v>92</v>
      </c>
      <c r="C395">
        <v>1800</v>
      </c>
      <c r="D395">
        <v>123.1</v>
      </c>
      <c r="E395">
        <v>31.25</v>
      </c>
      <c r="F395">
        <v>9.01</v>
      </c>
      <c r="G395">
        <v>12.23</v>
      </c>
      <c r="K395">
        <v>1.5880000000000001</v>
      </c>
      <c r="L395">
        <v>284.3</v>
      </c>
      <c r="M395">
        <v>0</v>
      </c>
      <c r="O395">
        <v>142.4</v>
      </c>
      <c r="P395">
        <v>79.099999999999994</v>
      </c>
      <c r="Q395">
        <v>11.01</v>
      </c>
      <c r="S395">
        <v>7.67</v>
      </c>
      <c r="T395">
        <v>0</v>
      </c>
      <c r="U395">
        <v>65.569999999999993</v>
      </c>
      <c r="V395">
        <v>976</v>
      </c>
      <c r="W395">
        <v>46.16</v>
      </c>
      <c r="Y395">
        <v>13.65</v>
      </c>
    </row>
    <row r="396" spans="1:25" x14ac:dyDescent="0.25">
      <c r="A396">
        <v>2007</v>
      </c>
      <c r="B396">
        <v>92</v>
      </c>
      <c r="C396">
        <v>1900</v>
      </c>
      <c r="D396">
        <v>30.59</v>
      </c>
      <c r="E396">
        <v>-33.35</v>
      </c>
      <c r="F396">
        <v>7.68</v>
      </c>
      <c r="G396">
        <v>9.73</v>
      </c>
      <c r="K396">
        <v>1.476</v>
      </c>
      <c r="L396">
        <v>256.5</v>
      </c>
      <c r="M396">
        <v>0</v>
      </c>
      <c r="O396">
        <v>29.72</v>
      </c>
      <c r="P396">
        <v>19.39</v>
      </c>
      <c r="Q396">
        <v>10.83</v>
      </c>
      <c r="S396">
        <v>7.79</v>
      </c>
      <c r="T396">
        <v>0</v>
      </c>
      <c r="U396">
        <v>75.7</v>
      </c>
      <c r="V396">
        <v>974</v>
      </c>
      <c r="W396">
        <v>46.02</v>
      </c>
      <c r="Y396">
        <v>13.47</v>
      </c>
    </row>
    <row r="397" spans="1:25" x14ac:dyDescent="0.25">
      <c r="A397">
        <v>2007</v>
      </c>
      <c r="B397">
        <v>92</v>
      </c>
      <c r="C397">
        <v>2000</v>
      </c>
      <c r="D397">
        <v>-2.4620000000000002</v>
      </c>
      <c r="E397">
        <v>-52.08</v>
      </c>
      <c r="F397">
        <v>6.0810000000000004</v>
      </c>
      <c r="G397">
        <v>7.35</v>
      </c>
      <c r="K397">
        <v>1.276</v>
      </c>
      <c r="L397">
        <v>238.5</v>
      </c>
      <c r="M397">
        <v>0</v>
      </c>
      <c r="O397">
        <v>-11.23</v>
      </c>
      <c r="P397">
        <v>-10.86</v>
      </c>
      <c r="Q397">
        <v>10.52</v>
      </c>
      <c r="S397">
        <v>7.91</v>
      </c>
      <c r="T397">
        <v>0</v>
      </c>
      <c r="U397">
        <v>83.5</v>
      </c>
      <c r="V397">
        <v>971</v>
      </c>
      <c r="W397">
        <v>45.73</v>
      </c>
      <c r="Y397">
        <v>13.35</v>
      </c>
    </row>
    <row r="398" spans="1:25" x14ac:dyDescent="0.25">
      <c r="A398">
        <v>2007</v>
      </c>
      <c r="B398">
        <v>92</v>
      </c>
      <c r="C398">
        <v>2100</v>
      </c>
      <c r="D398">
        <v>-3.3410000000000002</v>
      </c>
      <c r="E398">
        <v>-52.26</v>
      </c>
      <c r="F398">
        <v>4.149</v>
      </c>
      <c r="G398">
        <v>4.6980000000000004</v>
      </c>
      <c r="K398">
        <v>0.627</v>
      </c>
      <c r="L398">
        <v>228</v>
      </c>
      <c r="M398">
        <v>0</v>
      </c>
      <c r="O398">
        <v>-11.5</v>
      </c>
      <c r="P398">
        <v>-10.85</v>
      </c>
      <c r="Q398">
        <v>10.11</v>
      </c>
      <c r="S398">
        <v>8</v>
      </c>
      <c r="T398">
        <v>0</v>
      </c>
      <c r="U398">
        <v>91.9</v>
      </c>
      <c r="V398">
        <v>974</v>
      </c>
      <c r="W398">
        <v>45.97</v>
      </c>
      <c r="Y398">
        <v>13.26</v>
      </c>
    </row>
    <row r="399" spans="1:25" x14ac:dyDescent="0.25">
      <c r="A399">
        <v>2007</v>
      </c>
      <c r="B399">
        <v>92</v>
      </c>
      <c r="C399">
        <v>2200</v>
      </c>
      <c r="D399">
        <v>-3.0169999999999999</v>
      </c>
      <c r="E399">
        <v>-38.549999999999997</v>
      </c>
      <c r="F399">
        <v>3.2450000000000001</v>
      </c>
      <c r="G399">
        <v>3.65</v>
      </c>
      <c r="K399">
        <v>0.36899999999999999</v>
      </c>
      <c r="L399">
        <v>212</v>
      </c>
      <c r="M399">
        <v>0</v>
      </c>
      <c r="O399">
        <v>-11.5</v>
      </c>
      <c r="P399">
        <v>-10.84</v>
      </c>
      <c r="Q399">
        <v>9.65</v>
      </c>
      <c r="S399">
        <v>7.99</v>
      </c>
      <c r="T399">
        <v>0</v>
      </c>
      <c r="U399">
        <v>93.8</v>
      </c>
      <c r="V399">
        <v>978</v>
      </c>
      <c r="W399">
        <v>46.47</v>
      </c>
      <c r="Y399">
        <v>13.19</v>
      </c>
    </row>
    <row r="400" spans="1:25" x14ac:dyDescent="0.25">
      <c r="A400">
        <v>2007</v>
      </c>
      <c r="B400">
        <v>92</v>
      </c>
      <c r="C400">
        <v>2300</v>
      </c>
      <c r="D400">
        <v>-2.6040000000000001</v>
      </c>
      <c r="E400">
        <v>-31.89</v>
      </c>
      <c r="F400">
        <v>2.3220000000000001</v>
      </c>
      <c r="G400">
        <v>2.855</v>
      </c>
      <c r="K400">
        <v>0.497</v>
      </c>
      <c r="L400">
        <v>192.8</v>
      </c>
      <c r="M400">
        <v>0</v>
      </c>
      <c r="O400">
        <v>-11.5</v>
      </c>
      <c r="P400">
        <v>-10.85</v>
      </c>
      <c r="Q400">
        <v>9.17</v>
      </c>
      <c r="S400">
        <v>7.94</v>
      </c>
      <c r="T400">
        <v>0</v>
      </c>
      <c r="U400">
        <v>91.6</v>
      </c>
      <c r="V400">
        <v>985</v>
      </c>
      <c r="W400">
        <v>47.17</v>
      </c>
      <c r="Y400">
        <v>13.11</v>
      </c>
    </row>
    <row r="401" spans="1:25" x14ac:dyDescent="0.25">
      <c r="A401">
        <v>2007</v>
      </c>
      <c r="B401">
        <v>92</v>
      </c>
      <c r="C401">
        <v>2400</v>
      </c>
      <c r="D401">
        <v>-1.8879999999999999</v>
      </c>
      <c r="E401">
        <v>-24.33</v>
      </c>
      <c r="F401">
        <v>2.4169999999999998</v>
      </c>
      <c r="G401">
        <v>2.887</v>
      </c>
      <c r="K401">
        <v>0.308</v>
      </c>
      <c r="L401">
        <v>202.1</v>
      </c>
      <c r="M401">
        <v>0</v>
      </c>
      <c r="O401">
        <v>-11.5</v>
      </c>
      <c r="P401">
        <v>-10.85</v>
      </c>
      <c r="Q401">
        <v>8.7799999999999994</v>
      </c>
      <c r="S401">
        <v>7.89</v>
      </c>
      <c r="T401">
        <v>0</v>
      </c>
      <c r="U401">
        <v>92.5</v>
      </c>
      <c r="V401">
        <v>992</v>
      </c>
      <c r="W401">
        <v>48</v>
      </c>
      <c r="Y401">
        <v>13.04</v>
      </c>
    </row>
    <row r="402" spans="1:25" x14ac:dyDescent="0.25">
      <c r="A402">
        <v>2007</v>
      </c>
      <c r="B402">
        <v>93</v>
      </c>
      <c r="C402">
        <v>100</v>
      </c>
      <c r="D402">
        <v>-0.40400000000000003</v>
      </c>
      <c r="E402">
        <v>-12.82</v>
      </c>
      <c r="F402">
        <v>3.5619999999999998</v>
      </c>
      <c r="G402">
        <v>4.069</v>
      </c>
      <c r="K402">
        <v>0.20200000000000001</v>
      </c>
      <c r="L402">
        <v>182.4</v>
      </c>
      <c r="M402">
        <v>0</v>
      </c>
      <c r="O402">
        <v>-11.5</v>
      </c>
      <c r="P402">
        <v>-10.85</v>
      </c>
      <c r="Q402">
        <v>8.41</v>
      </c>
      <c r="S402">
        <v>7.8</v>
      </c>
      <c r="T402">
        <v>0</v>
      </c>
      <c r="U402">
        <v>92.3</v>
      </c>
      <c r="V402">
        <v>993</v>
      </c>
      <c r="W402">
        <v>48.09</v>
      </c>
      <c r="Y402">
        <v>12.98</v>
      </c>
    </row>
    <row r="403" spans="1:25" x14ac:dyDescent="0.25">
      <c r="A403">
        <v>2007</v>
      </c>
      <c r="B403">
        <v>93</v>
      </c>
      <c r="C403">
        <v>200</v>
      </c>
      <c r="D403">
        <v>-1.3340000000000001</v>
      </c>
      <c r="E403">
        <v>-18.420000000000002</v>
      </c>
      <c r="F403">
        <v>3.552</v>
      </c>
      <c r="G403">
        <v>4.0570000000000004</v>
      </c>
      <c r="K403">
        <v>0.21299999999999999</v>
      </c>
      <c r="L403">
        <v>179.9</v>
      </c>
      <c r="M403">
        <v>0</v>
      </c>
      <c r="O403">
        <v>-11.5</v>
      </c>
      <c r="P403">
        <v>-10.85</v>
      </c>
      <c r="Q403">
        <v>8.16</v>
      </c>
      <c r="S403">
        <v>7.68</v>
      </c>
      <c r="T403">
        <v>0</v>
      </c>
      <c r="U403">
        <v>92.4</v>
      </c>
      <c r="V403">
        <v>990</v>
      </c>
      <c r="W403">
        <v>47.74</v>
      </c>
      <c r="Y403">
        <v>12.93</v>
      </c>
    </row>
    <row r="404" spans="1:25" x14ac:dyDescent="0.25">
      <c r="A404">
        <v>2007</v>
      </c>
      <c r="B404">
        <v>93</v>
      </c>
      <c r="C404">
        <v>300</v>
      </c>
      <c r="D404">
        <v>-1.7769999999999999</v>
      </c>
      <c r="E404">
        <v>-22.33</v>
      </c>
      <c r="F404">
        <v>2.9089999999999998</v>
      </c>
      <c r="G404">
        <v>3.2850000000000001</v>
      </c>
      <c r="K404">
        <v>0.184</v>
      </c>
      <c r="L404">
        <v>183.3</v>
      </c>
      <c r="M404">
        <v>0</v>
      </c>
      <c r="O404">
        <v>-11.5</v>
      </c>
      <c r="P404">
        <v>-10.85</v>
      </c>
      <c r="Q404">
        <v>7.94</v>
      </c>
      <c r="S404">
        <v>7.55</v>
      </c>
      <c r="T404">
        <v>0</v>
      </c>
      <c r="U404">
        <v>94.1</v>
      </c>
      <c r="V404">
        <v>990</v>
      </c>
      <c r="W404">
        <v>47.78</v>
      </c>
      <c r="Y404">
        <v>12.89</v>
      </c>
    </row>
    <row r="405" spans="1:25" x14ac:dyDescent="0.25">
      <c r="A405">
        <v>2007</v>
      </c>
      <c r="B405">
        <v>93</v>
      </c>
      <c r="C405">
        <v>400</v>
      </c>
      <c r="D405">
        <v>-2.1480000000000001</v>
      </c>
      <c r="E405">
        <v>-24.8</v>
      </c>
      <c r="F405">
        <v>1.8049999999999999</v>
      </c>
      <c r="G405">
        <v>2.1779999999999999</v>
      </c>
      <c r="K405">
        <v>0.22600000000000001</v>
      </c>
      <c r="L405">
        <v>194.7</v>
      </c>
      <c r="M405">
        <v>0</v>
      </c>
      <c r="O405">
        <v>-11.5</v>
      </c>
      <c r="P405">
        <v>-10.85</v>
      </c>
      <c r="Q405">
        <v>7.69</v>
      </c>
      <c r="S405">
        <v>7.41</v>
      </c>
      <c r="T405">
        <v>0</v>
      </c>
      <c r="U405">
        <v>93.9</v>
      </c>
      <c r="V405">
        <v>989</v>
      </c>
      <c r="W405">
        <v>47.67</v>
      </c>
      <c r="Y405">
        <v>12.86</v>
      </c>
    </row>
    <row r="406" spans="1:25" x14ac:dyDescent="0.25">
      <c r="A406">
        <v>2007</v>
      </c>
      <c r="B406">
        <v>93</v>
      </c>
      <c r="C406">
        <v>500</v>
      </c>
      <c r="D406">
        <v>-1.788</v>
      </c>
      <c r="E406">
        <v>-20.81</v>
      </c>
      <c r="F406">
        <v>0.94699999999999995</v>
      </c>
      <c r="G406">
        <v>1.3340000000000001</v>
      </c>
      <c r="K406">
        <v>0.18</v>
      </c>
      <c r="L406">
        <v>203.8</v>
      </c>
      <c r="M406">
        <v>0</v>
      </c>
      <c r="O406">
        <v>-11.51</v>
      </c>
      <c r="P406">
        <v>-10.85</v>
      </c>
      <c r="Q406">
        <v>7.42</v>
      </c>
      <c r="S406">
        <v>7.27</v>
      </c>
      <c r="T406">
        <v>0</v>
      </c>
      <c r="U406">
        <v>93.4</v>
      </c>
      <c r="V406">
        <v>991</v>
      </c>
      <c r="W406">
        <v>47.88</v>
      </c>
      <c r="Y406">
        <v>12.84</v>
      </c>
    </row>
    <row r="407" spans="1:25" x14ac:dyDescent="0.25">
      <c r="A407">
        <v>2007</v>
      </c>
      <c r="B407">
        <v>93</v>
      </c>
      <c r="C407">
        <v>600</v>
      </c>
      <c r="D407">
        <v>-0.38100000000000001</v>
      </c>
      <c r="E407">
        <v>-15.53</v>
      </c>
      <c r="F407">
        <v>3.8420000000000001</v>
      </c>
      <c r="G407">
        <v>4.8579999999999997</v>
      </c>
      <c r="K407">
        <v>0.754</v>
      </c>
      <c r="L407">
        <v>120.2</v>
      </c>
      <c r="M407">
        <v>0</v>
      </c>
      <c r="O407">
        <v>-9.7799999999999994</v>
      </c>
      <c r="P407">
        <v>-10.28</v>
      </c>
      <c r="Q407">
        <v>7.19</v>
      </c>
      <c r="S407">
        <v>7.21</v>
      </c>
      <c r="T407">
        <v>0</v>
      </c>
      <c r="U407">
        <v>85.4</v>
      </c>
      <c r="V407">
        <v>991</v>
      </c>
      <c r="W407">
        <v>47.92</v>
      </c>
      <c r="Y407">
        <v>12.82</v>
      </c>
    </row>
    <row r="408" spans="1:25" x14ac:dyDescent="0.25">
      <c r="A408">
        <v>2007</v>
      </c>
      <c r="B408">
        <v>93</v>
      </c>
      <c r="C408">
        <v>700</v>
      </c>
      <c r="D408">
        <v>44.03</v>
      </c>
      <c r="E408">
        <v>11.92</v>
      </c>
      <c r="F408">
        <v>5.3310000000000004</v>
      </c>
      <c r="G408">
        <v>6.4729999999999999</v>
      </c>
      <c r="K408">
        <v>1.28</v>
      </c>
      <c r="L408">
        <v>97.6</v>
      </c>
      <c r="M408">
        <v>0</v>
      </c>
      <c r="O408">
        <v>48.77</v>
      </c>
      <c r="P408">
        <v>11.53</v>
      </c>
      <c r="Q408">
        <v>7.01</v>
      </c>
      <c r="S408">
        <v>7.1</v>
      </c>
      <c r="T408">
        <v>0</v>
      </c>
      <c r="U408">
        <v>84.4</v>
      </c>
      <c r="V408">
        <v>989</v>
      </c>
      <c r="W408">
        <v>47.61</v>
      </c>
      <c r="Y408">
        <v>13</v>
      </c>
    </row>
    <row r="409" spans="1:25" x14ac:dyDescent="0.25">
      <c r="A409">
        <v>2007</v>
      </c>
      <c r="B409">
        <v>93</v>
      </c>
      <c r="C409">
        <v>800</v>
      </c>
      <c r="D409">
        <v>130.30000000000001</v>
      </c>
      <c r="E409">
        <v>75.900000000000006</v>
      </c>
      <c r="F409">
        <v>6.4610000000000003</v>
      </c>
      <c r="G409">
        <v>7.49</v>
      </c>
      <c r="K409">
        <v>1.0469999999999999</v>
      </c>
      <c r="L409">
        <v>84.4</v>
      </c>
      <c r="M409">
        <v>0</v>
      </c>
      <c r="O409">
        <v>162.69999999999999</v>
      </c>
      <c r="P409">
        <v>45.97</v>
      </c>
      <c r="Q409">
        <v>6.9180000000000001</v>
      </c>
      <c r="S409">
        <v>7.02</v>
      </c>
      <c r="T409">
        <v>0</v>
      </c>
      <c r="U409">
        <v>86.5</v>
      </c>
      <c r="V409">
        <v>988</v>
      </c>
      <c r="W409">
        <v>47.54</v>
      </c>
      <c r="Y409">
        <v>13.73</v>
      </c>
    </row>
    <row r="410" spans="1:25" x14ac:dyDescent="0.25">
      <c r="A410">
        <v>2007</v>
      </c>
      <c r="B410">
        <v>93</v>
      </c>
      <c r="C410">
        <v>900</v>
      </c>
      <c r="D410">
        <v>160.6</v>
      </c>
      <c r="E410">
        <v>93.5</v>
      </c>
      <c r="F410">
        <v>6.0759999999999996</v>
      </c>
      <c r="G410">
        <v>7.97</v>
      </c>
      <c r="H410">
        <f>AVERAGE(G410:G433)</f>
        <v>5.2946250000000008</v>
      </c>
      <c r="I410">
        <f>MIN(G410:G433)</f>
        <v>-1.0249999999999999</v>
      </c>
      <c r="J410">
        <f>MAX(F410:F433)</f>
        <v>8.36</v>
      </c>
      <c r="K410">
        <v>1.99</v>
      </c>
      <c r="L410">
        <v>90.2</v>
      </c>
      <c r="M410">
        <v>0</v>
      </c>
      <c r="N410">
        <f>SUM(M410:M433)</f>
        <v>0</v>
      </c>
      <c r="O410">
        <v>198.9</v>
      </c>
      <c r="P410">
        <v>49.53</v>
      </c>
      <c r="Q410">
        <v>6.9050000000000002</v>
      </c>
      <c r="S410">
        <v>6.9039999999999999</v>
      </c>
      <c r="T410">
        <v>0</v>
      </c>
      <c r="U410">
        <v>76</v>
      </c>
      <c r="V410">
        <v>986</v>
      </c>
      <c r="W410">
        <v>47.36</v>
      </c>
      <c r="Y410">
        <v>13.88</v>
      </c>
    </row>
    <row r="411" spans="1:25" x14ac:dyDescent="0.25">
      <c r="A411">
        <v>2007</v>
      </c>
      <c r="B411">
        <v>93</v>
      </c>
      <c r="C411">
        <v>1000</v>
      </c>
      <c r="D411">
        <v>357.8</v>
      </c>
      <c r="E411">
        <v>216.5</v>
      </c>
      <c r="F411">
        <v>6.4989999999999997</v>
      </c>
      <c r="G411">
        <v>9.19</v>
      </c>
      <c r="K411">
        <v>2.3929999999999998</v>
      </c>
      <c r="L411">
        <v>93</v>
      </c>
      <c r="M411">
        <v>0</v>
      </c>
      <c r="O411">
        <v>439</v>
      </c>
      <c r="P411">
        <v>122.3</v>
      </c>
      <c r="Q411">
        <v>7.16</v>
      </c>
      <c r="S411">
        <v>6.9139999999999997</v>
      </c>
      <c r="T411">
        <v>0</v>
      </c>
      <c r="U411">
        <v>67.63</v>
      </c>
      <c r="V411">
        <v>985</v>
      </c>
      <c r="W411">
        <v>47.2</v>
      </c>
      <c r="Y411">
        <v>14.52</v>
      </c>
    </row>
    <row r="412" spans="1:25" x14ac:dyDescent="0.25">
      <c r="A412">
        <v>2007</v>
      </c>
      <c r="B412">
        <v>93</v>
      </c>
      <c r="C412">
        <v>1100</v>
      </c>
      <c r="D412">
        <v>389</v>
      </c>
      <c r="E412">
        <v>227.3</v>
      </c>
      <c r="F412">
        <v>6.6120000000000001</v>
      </c>
      <c r="G412">
        <v>9.31</v>
      </c>
      <c r="K412">
        <v>2.6160000000000001</v>
      </c>
      <c r="L412">
        <v>97.9</v>
      </c>
      <c r="M412">
        <v>0</v>
      </c>
      <c r="O412">
        <v>467.4</v>
      </c>
      <c r="P412">
        <v>120.3</v>
      </c>
      <c r="Q412">
        <v>7.55</v>
      </c>
      <c r="S412">
        <v>6.8639999999999999</v>
      </c>
      <c r="T412">
        <v>0</v>
      </c>
      <c r="U412">
        <v>67.75</v>
      </c>
      <c r="V412">
        <v>984</v>
      </c>
      <c r="W412">
        <v>47.1</v>
      </c>
      <c r="Y412">
        <v>14.33</v>
      </c>
    </row>
    <row r="413" spans="1:25" x14ac:dyDescent="0.25">
      <c r="A413">
        <v>2007</v>
      </c>
      <c r="B413">
        <v>93</v>
      </c>
      <c r="C413">
        <v>1200</v>
      </c>
      <c r="D413">
        <v>516.6</v>
      </c>
      <c r="E413">
        <v>305.89999999999998</v>
      </c>
      <c r="F413">
        <v>7.04</v>
      </c>
      <c r="G413">
        <v>9.7799999999999994</v>
      </c>
      <c r="K413">
        <v>2.4529999999999998</v>
      </c>
      <c r="L413">
        <v>95.2</v>
      </c>
      <c r="M413">
        <v>0</v>
      </c>
      <c r="O413">
        <v>628.5</v>
      </c>
      <c r="P413">
        <v>159.4</v>
      </c>
      <c r="Q413">
        <v>8.01</v>
      </c>
      <c r="S413">
        <v>6.89</v>
      </c>
      <c r="T413">
        <v>0</v>
      </c>
      <c r="U413">
        <v>67.8</v>
      </c>
      <c r="V413">
        <v>983</v>
      </c>
      <c r="W413">
        <v>47</v>
      </c>
      <c r="Y413">
        <v>14.5</v>
      </c>
    </row>
    <row r="414" spans="1:25" x14ac:dyDescent="0.25">
      <c r="A414">
        <v>2007</v>
      </c>
      <c r="B414">
        <v>93</v>
      </c>
      <c r="C414">
        <v>1300</v>
      </c>
      <c r="D414">
        <v>586.5</v>
      </c>
      <c r="E414">
        <v>347.8</v>
      </c>
      <c r="F414">
        <v>7.61</v>
      </c>
      <c r="G414">
        <v>10.33</v>
      </c>
      <c r="K414">
        <v>2.14</v>
      </c>
      <c r="L414">
        <v>90</v>
      </c>
      <c r="M414">
        <v>0</v>
      </c>
      <c r="O414">
        <v>707</v>
      </c>
      <c r="P414">
        <v>185.6</v>
      </c>
      <c r="Q414">
        <v>8.61</v>
      </c>
      <c r="S414">
        <v>6.9960000000000004</v>
      </c>
      <c r="T414">
        <v>0</v>
      </c>
      <c r="U414">
        <v>68.66</v>
      </c>
      <c r="V414">
        <v>980</v>
      </c>
      <c r="W414">
        <v>46.65</v>
      </c>
      <c r="Y414">
        <v>14.54</v>
      </c>
    </row>
    <row r="415" spans="1:25" x14ac:dyDescent="0.25">
      <c r="A415">
        <v>2007</v>
      </c>
      <c r="B415">
        <v>93</v>
      </c>
      <c r="C415">
        <v>1400</v>
      </c>
      <c r="D415">
        <v>555.79999999999995</v>
      </c>
      <c r="E415">
        <v>324.3</v>
      </c>
      <c r="F415">
        <v>7.82</v>
      </c>
      <c r="G415">
        <v>10.64</v>
      </c>
      <c r="K415">
        <v>2.0640000000000001</v>
      </c>
      <c r="L415">
        <v>73.2</v>
      </c>
      <c r="M415">
        <v>0</v>
      </c>
      <c r="O415">
        <v>654.79999999999995</v>
      </c>
      <c r="P415">
        <v>184.6</v>
      </c>
      <c r="Q415">
        <v>9.33</v>
      </c>
      <c r="S415">
        <v>7.12</v>
      </c>
      <c r="T415">
        <v>0</v>
      </c>
      <c r="U415">
        <v>67.87</v>
      </c>
      <c r="V415">
        <v>980</v>
      </c>
      <c r="W415">
        <v>46.62</v>
      </c>
      <c r="Y415">
        <v>14.34</v>
      </c>
    </row>
    <row r="416" spans="1:25" x14ac:dyDescent="0.25">
      <c r="A416">
        <v>2007</v>
      </c>
      <c r="B416">
        <v>93</v>
      </c>
      <c r="C416">
        <v>1500</v>
      </c>
      <c r="D416">
        <v>573.9</v>
      </c>
      <c r="E416">
        <v>330.4</v>
      </c>
      <c r="F416">
        <v>8.1199999999999992</v>
      </c>
      <c r="G416">
        <v>11.18</v>
      </c>
      <c r="K416">
        <v>1.8280000000000001</v>
      </c>
      <c r="L416">
        <v>61.95</v>
      </c>
      <c r="M416">
        <v>0</v>
      </c>
      <c r="O416">
        <v>681.2</v>
      </c>
      <c r="P416">
        <v>213.5</v>
      </c>
      <c r="Q416">
        <v>10</v>
      </c>
      <c r="S416">
        <v>7.3</v>
      </c>
      <c r="T416">
        <v>0</v>
      </c>
      <c r="U416">
        <v>65.91</v>
      </c>
      <c r="V416">
        <v>979</v>
      </c>
      <c r="W416">
        <v>46.58</v>
      </c>
      <c r="Y416">
        <v>14.36</v>
      </c>
    </row>
    <row r="417" spans="1:25" x14ac:dyDescent="0.25">
      <c r="A417">
        <v>2007</v>
      </c>
      <c r="B417">
        <v>93</v>
      </c>
      <c r="C417">
        <v>1600</v>
      </c>
      <c r="D417">
        <v>464.9</v>
      </c>
      <c r="E417">
        <v>262.5</v>
      </c>
      <c r="F417">
        <v>8.36</v>
      </c>
      <c r="G417">
        <v>11.35</v>
      </c>
      <c r="K417">
        <v>1.546</v>
      </c>
      <c r="L417">
        <v>8.92</v>
      </c>
      <c r="M417">
        <v>0</v>
      </c>
      <c r="O417">
        <v>548.9</v>
      </c>
      <c r="P417">
        <v>206.7</v>
      </c>
      <c r="Q417">
        <v>10.55</v>
      </c>
      <c r="S417">
        <v>7.52</v>
      </c>
      <c r="T417">
        <v>0</v>
      </c>
      <c r="U417">
        <v>66.73</v>
      </c>
      <c r="V417">
        <v>980</v>
      </c>
      <c r="W417">
        <v>46.61</v>
      </c>
      <c r="Y417">
        <v>14.33</v>
      </c>
    </row>
    <row r="418" spans="1:25" x14ac:dyDescent="0.25">
      <c r="A418">
        <v>2007</v>
      </c>
      <c r="B418">
        <v>93</v>
      </c>
      <c r="C418">
        <v>1700</v>
      </c>
      <c r="D418">
        <v>342.3</v>
      </c>
      <c r="E418">
        <v>183.6</v>
      </c>
      <c r="F418">
        <v>7.92</v>
      </c>
      <c r="G418">
        <v>10.69</v>
      </c>
      <c r="K418">
        <v>1.907</v>
      </c>
      <c r="L418">
        <v>0</v>
      </c>
      <c r="M418">
        <v>0</v>
      </c>
      <c r="O418">
        <v>402.2</v>
      </c>
      <c r="P418">
        <v>192.4</v>
      </c>
      <c r="Q418">
        <v>10.86</v>
      </c>
      <c r="S418">
        <v>7.71</v>
      </c>
      <c r="T418">
        <v>0</v>
      </c>
      <c r="U418">
        <v>68.37</v>
      </c>
      <c r="V418">
        <v>980</v>
      </c>
      <c r="W418">
        <v>46.65</v>
      </c>
      <c r="Y418">
        <v>14.01</v>
      </c>
    </row>
    <row r="419" spans="1:25" x14ac:dyDescent="0.25">
      <c r="A419">
        <v>2007</v>
      </c>
      <c r="B419">
        <v>93</v>
      </c>
      <c r="C419">
        <v>1800</v>
      </c>
      <c r="D419">
        <v>122.7</v>
      </c>
      <c r="E419">
        <v>26.94</v>
      </c>
      <c r="F419">
        <v>7.09</v>
      </c>
      <c r="G419">
        <v>9.74</v>
      </c>
      <c r="K419">
        <v>1.4750000000000001</v>
      </c>
      <c r="L419">
        <v>43.71</v>
      </c>
      <c r="M419">
        <v>0</v>
      </c>
      <c r="O419">
        <v>137.30000000000001</v>
      </c>
      <c r="P419">
        <v>79.2</v>
      </c>
      <c r="Q419">
        <v>10.94</v>
      </c>
      <c r="S419">
        <v>7.91</v>
      </c>
      <c r="T419">
        <v>0</v>
      </c>
      <c r="U419">
        <v>68.81</v>
      </c>
      <c r="V419">
        <v>980</v>
      </c>
      <c r="W419">
        <v>46.69</v>
      </c>
      <c r="Y419">
        <v>13.68</v>
      </c>
    </row>
    <row r="420" spans="1:25" x14ac:dyDescent="0.25">
      <c r="A420">
        <v>2007</v>
      </c>
      <c r="B420">
        <v>93</v>
      </c>
      <c r="C420">
        <v>1900</v>
      </c>
      <c r="D420">
        <v>28.9</v>
      </c>
      <c r="E420">
        <v>-37.6</v>
      </c>
      <c r="F420">
        <v>6.5430000000000001</v>
      </c>
      <c r="G420">
        <v>8.2899999999999991</v>
      </c>
      <c r="K420">
        <v>0.624</v>
      </c>
      <c r="L420">
        <v>103.8</v>
      </c>
      <c r="M420">
        <v>0</v>
      </c>
      <c r="O420">
        <v>29.97</v>
      </c>
      <c r="P420">
        <v>28.07</v>
      </c>
      <c r="Q420">
        <v>10.77</v>
      </c>
      <c r="S420">
        <v>8.0399999999999991</v>
      </c>
      <c r="T420">
        <v>0</v>
      </c>
      <c r="U420">
        <v>78.099999999999994</v>
      </c>
      <c r="V420">
        <v>980</v>
      </c>
      <c r="W420">
        <v>46.61</v>
      </c>
      <c r="Y420">
        <v>13.5</v>
      </c>
    </row>
    <row r="421" spans="1:25" x14ac:dyDescent="0.25">
      <c r="A421">
        <v>2007</v>
      </c>
      <c r="B421">
        <v>93</v>
      </c>
      <c r="C421">
        <v>2000</v>
      </c>
      <c r="D421">
        <v>-3.4390000000000001</v>
      </c>
      <c r="E421">
        <v>-63.4</v>
      </c>
      <c r="F421">
        <v>3.3170000000000002</v>
      </c>
      <c r="G421">
        <v>3.8780000000000001</v>
      </c>
      <c r="K421">
        <v>0.38600000000000001</v>
      </c>
      <c r="L421">
        <v>183.1</v>
      </c>
      <c r="M421">
        <v>0</v>
      </c>
      <c r="O421">
        <v>-10.72</v>
      </c>
      <c r="P421">
        <v>-10.58</v>
      </c>
      <c r="Q421">
        <v>10.4</v>
      </c>
      <c r="S421">
        <v>8.1</v>
      </c>
      <c r="T421">
        <v>0</v>
      </c>
      <c r="U421">
        <v>91.7</v>
      </c>
      <c r="V421">
        <v>980</v>
      </c>
      <c r="W421">
        <v>46.68</v>
      </c>
      <c r="Y421">
        <v>13.39</v>
      </c>
    </row>
    <row r="422" spans="1:25" x14ac:dyDescent="0.25">
      <c r="A422">
        <v>2007</v>
      </c>
      <c r="B422">
        <v>93</v>
      </c>
      <c r="C422">
        <v>2100</v>
      </c>
      <c r="D422">
        <v>-3.2210000000000001</v>
      </c>
      <c r="E422">
        <v>-54.58</v>
      </c>
      <c r="F422">
        <v>1.335</v>
      </c>
      <c r="G422">
        <v>1.603</v>
      </c>
      <c r="K422">
        <v>0.28299999999999997</v>
      </c>
      <c r="L422">
        <v>208.1</v>
      </c>
      <c r="M422">
        <v>0</v>
      </c>
      <c r="O422">
        <v>-11.5</v>
      </c>
      <c r="P422">
        <v>-10.84</v>
      </c>
      <c r="Q422">
        <v>9.93</v>
      </c>
      <c r="S422">
        <v>8.14</v>
      </c>
      <c r="T422">
        <v>0</v>
      </c>
      <c r="U422">
        <v>95.5</v>
      </c>
      <c r="V422">
        <v>984</v>
      </c>
      <c r="W422">
        <v>47.09</v>
      </c>
      <c r="Y422">
        <v>13.3</v>
      </c>
    </row>
    <row r="423" spans="1:25" x14ac:dyDescent="0.25">
      <c r="A423">
        <v>2007</v>
      </c>
      <c r="B423">
        <v>93</v>
      </c>
      <c r="C423">
        <v>2200</v>
      </c>
      <c r="D423">
        <v>-2.7810000000000001</v>
      </c>
      <c r="E423">
        <v>-42.79</v>
      </c>
      <c r="F423">
        <v>0.44500000000000001</v>
      </c>
      <c r="G423">
        <v>0.72699999999999998</v>
      </c>
      <c r="K423">
        <v>0.28399999999999997</v>
      </c>
      <c r="L423">
        <v>210</v>
      </c>
      <c r="M423">
        <v>0</v>
      </c>
      <c r="O423">
        <v>-11.5</v>
      </c>
      <c r="P423">
        <v>-10.85</v>
      </c>
      <c r="Q423">
        <v>9.43</v>
      </c>
      <c r="S423">
        <v>8.1199999999999992</v>
      </c>
      <c r="T423">
        <v>0</v>
      </c>
      <c r="U423">
        <v>95.1</v>
      </c>
      <c r="V423">
        <v>993</v>
      </c>
      <c r="W423">
        <v>48.06</v>
      </c>
      <c r="Y423">
        <v>13.22</v>
      </c>
    </row>
    <row r="424" spans="1:25" x14ac:dyDescent="0.25">
      <c r="A424">
        <v>2007</v>
      </c>
      <c r="B424">
        <v>93</v>
      </c>
      <c r="C424">
        <v>2300</v>
      </c>
      <c r="D424">
        <v>-2.6110000000000002</v>
      </c>
      <c r="E424">
        <v>-38.11</v>
      </c>
      <c r="F424">
        <v>-0.20499999999999999</v>
      </c>
      <c r="G424">
        <v>0.126</v>
      </c>
      <c r="K424">
        <v>0.22500000000000001</v>
      </c>
      <c r="L424">
        <v>210</v>
      </c>
      <c r="M424">
        <v>0</v>
      </c>
      <c r="O424">
        <v>-11.5</v>
      </c>
      <c r="P424">
        <v>-10.85</v>
      </c>
      <c r="Q424">
        <v>8.94</v>
      </c>
      <c r="S424">
        <v>8.06</v>
      </c>
      <c r="T424">
        <v>0</v>
      </c>
      <c r="U424">
        <v>94.1</v>
      </c>
      <c r="V424">
        <v>1005</v>
      </c>
      <c r="W424">
        <v>49.5</v>
      </c>
      <c r="Y424">
        <v>13.14</v>
      </c>
    </row>
    <row r="425" spans="1:25" x14ac:dyDescent="0.25">
      <c r="A425">
        <v>2007</v>
      </c>
      <c r="B425">
        <v>93</v>
      </c>
      <c r="C425">
        <v>2400</v>
      </c>
      <c r="D425">
        <v>-2.4279999999999999</v>
      </c>
      <c r="E425">
        <v>-35.24</v>
      </c>
      <c r="F425">
        <v>-0.65600000000000003</v>
      </c>
      <c r="G425">
        <v>-0.34100000000000003</v>
      </c>
      <c r="K425">
        <v>0.23899999999999999</v>
      </c>
      <c r="L425">
        <v>212.4</v>
      </c>
      <c r="M425">
        <v>0</v>
      </c>
      <c r="O425">
        <v>-11.51</v>
      </c>
      <c r="P425">
        <v>-10.85</v>
      </c>
      <c r="Q425">
        <v>8.48</v>
      </c>
      <c r="S425">
        <v>7.93</v>
      </c>
      <c r="T425">
        <v>0</v>
      </c>
      <c r="U425">
        <v>94.2</v>
      </c>
      <c r="V425">
        <v>1004</v>
      </c>
      <c r="W425">
        <v>49.39</v>
      </c>
      <c r="Y425">
        <v>13.07</v>
      </c>
    </row>
    <row r="426" spans="1:25" x14ac:dyDescent="0.25">
      <c r="A426">
        <v>2007</v>
      </c>
      <c r="B426">
        <v>94</v>
      </c>
      <c r="C426">
        <v>100</v>
      </c>
      <c r="D426">
        <v>-2.33</v>
      </c>
      <c r="E426">
        <v>-33.14</v>
      </c>
      <c r="F426">
        <v>-0.66900000000000004</v>
      </c>
      <c r="G426">
        <v>-0.69199999999999995</v>
      </c>
      <c r="K426">
        <v>0.19700000000000001</v>
      </c>
      <c r="L426">
        <v>212</v>
      </c>
      <c r="M426">
        <v>0</v>
      </c>
      <c r="O426">
        <v>-11.51</v>
      </c>
      <c r="P426">
        <v>-10.85</v>
      </c>
      <c r="Q426">
        <v>8.07</v>
      </c>
      <c r="S426">
        <v>7.82</v>
      </c>
      <c r="T426">
        <v>0</v>
      </c>
      <c r="U426">
        <v>100.5</v>
      </c>
      <c r="V426">
        <v>1002</v>
      </c>
      <c r="W426">
        <v>49.14</v>
      </c>
      <c r="Y426">
        <v>13</v>
      </c>
    </row>
    <row r="427" spans="1:25" x14ac:dyDescent="0.25">
      <c r="A427">
        <v>2007</v>
      </c>
      <c r="B427">
        <v>94</v>
      </c>
      <c r="C427">
        <v>200</v>
      </c>
      <c r="D427">
        <v>-2.2349999999999999</v>
      </c>
      <c r="E427">
        <v>-31</v>
      </c>
      <c r="F427">
        <v>-0.72899999999999998</v>
      </c>
      <c r="G427">
        <v>-1.0249999999999999</v>
      </c>
      <c r="K427">
        <v>0.26300000000000001</v>
      </c>
      <c r="L427">
        <v>212</v>
      </c>
      <c r="M427">
        <v>0</v>
      </c>
      <c r="O427">
        <v>-11.5</v>
      </c>
      <c r="P427">
        <v>-10.84</v>
      </c>
      <c r="Q427">
        <v>7.64</v>
      </c>
      <c r="S427">
        <v>7.64</v>
      </c>
      <c r="T427">
        <v>0</v>
      </c>
      <c r="U427">
        <v>105.7</v>
      </c>
      <c r="V427">
        <v>1004</v>
      </c>
      <c r="W427">
        <v>49.36</v>
      </c>
      <c r="Y427">
        <v>12.95</v>
      </c>
    </row>
    <row r="428" spans="1:25" x14ac:dyDescent="0.25">
      <c r="A428">
        <v>2007</v>
      </c>
      <c r="B428">
        <v>94</v>
      </c>
      <c r="C428">
        <v>300</v>
      </c>
      <c r="D428">
        <v>-2.1440000000000001</v>
      </c>
      <c r="E428">
        <v>-28.97</v>
      </c>
      <c r="F428">
        <v>-1.2230000000000001</v>
      </c>
      <c r="G428">
        <v>-0.81399999999999995</v>
      </c>
      <c r="K428">
        <v>0.123</v>
      </c>
      <c r="L428">
        <v>210.6</v>
      </c>
      <c r="M428">
        <v>0</v>
      </c>
      <c r="O428">
        <v>-11.48</v>
      </c>
      <c r="P428">
        <v>-10.8</v>
      </c>
      <c r="Q428">
        <v>7.28</v>
      </c>
      <c r="S428">
        <v>7.48</v>
      </c>
      <c r="T428">
        <v>0</v>
      </c>
      <c r="U428">
        <v>92.4</v>
      </c>
      <c r="V428">
        <v>1004</v>
      </c>
      <c r="W428">
        <v>49.4</v>
      </c>
      <c r="Y428">
        <v>12.9</v>
      </c>
    </row>
    <row r="429" spans="1:25" x14ac:dyDescent="0.25">
      <c r="A429">
        <v>2007</v>
      </c>
      <c r="B429">
        <v>94</v>
      </c>
      <c r="C429">
        <v>400</v>
      </c>
      <c r="D429">
        <v>-2.1190000000000002</v>
      </c>
      <c r="E429">
        <v>-25.65</v>
      </c>
      <c r="F429">
        <v>-0.85</v>
      </c>
      <c r="G429">
        <v>-0.27500000000000002</v>
      </c>
      <c r="K429">
        <v>0.255</v>
      </c>
      <c r="L429">
        <v>221.7</v>
      </c>
      <c r="M429">
        <v>0</v>
      </c>
      <c r="O429">
        <v>-11.46</v>
      </c>
      <c r="P429">
        <v>-10.77</v>
      </c>
      <c r="Q429">
        <v>6.9530000000000003</v>
      </c>
      <c r="S429">
        <v>7.34</v>
      </c>
      <c r="T429">
        <v>0</v>
      </c>
      <c r="U429">
        <v>89.6</v>
      </c>
      <c r="V429">
        <v>1002</v>
      </c>
      <c r="W429">
        <v>49.18</v>
      </c>
      <c r="Y429">
        <v>12.86</v>
      </c>
    </row>
    <row r="430" spans="1:25" x14ac:dyDescent="0.25">
      <c r="A430">
        <v>2007</v>
      </c>
      <c r="B430">
        <v>94</v>
      </c>
      <c r="C430">
        <v>500</v>
      </c>
      <c r="D430">
        <v>-1.002</v>
      </c>
      <c r="E430">
        <v>-7.43</v>
      </c>
      <c r="F430">
        <v>0.89500000000000002</v>
      </c>
      <c r="G430">
        <v>2.1080000000000001</v>
      </c>
      <c r="K430">
        <v>1.365</v>
      </c>
      <c r="L430">
        <v>227.7</v>
      </c>
      <c r="M430">
        <v>0</v>
      </c>
      <c r="O430">
        <v>-11.43</v>
      </c>
      <c r="P430">
        <v>-10.75</v>
      </c>
      <c r="Q430">
        <v>6.6619999999999999</v>
      </c>
      <c r="S430">
        <v>7.2</v>
      </c>
      <c r="T430">
        <v>0</v>
      </c>
      <c r="U430">
        <v>80.2</v>
      </c>
      <c r="V430">
        <v>999</v>
      </c>
      <c r="W430">
        <v>48.79</v>
      </c>
      <c r="Y430">
        <v>12.83</v>
      </c>
    </row>
    <row r="431" spans="1:25" x14ac:dyDescent="0.25">
      <c r="A431">
        <v>2007</v>
      </c>
      <c r="B431">
        <v>94</v>
      </c>
      <c r="C431">
        <v>600</v>
      </c>
      <c r="D431">
        <v>0.57799999999999996</v>
      </c>
      <c r="E431">
        <v>-1.4239999999999999</v>
      </c>
      <c r="F431">
        <v>3.5550000000000002</v>
      </c>
      <c r="G431">
        <v>3.948</v>
      </c>
      <c r="K431">
        <v>2.1840000000000002</v>
      </c>
      <c r="L431">
        <v>228.6</v>
      </c>
      <c r="M431">
        <v>0</v>
      </c>
      <c r="O431">
        <v>-10.16</v>
      </c>
      <c r="P431">
        <v>-10.4</v>
      </c>
      <c r="Q431">
        <v>6.4710000000000001</v>
      </c>
      <c r="S431">
        <v>7.06</v>
      </c>
      <c r="T431">
        <v>0</v>
      </c>
      <c r="U431">
        <v>94</v>
      </c>
      <c r="V431">
        <v>995</v>
      </c>
      <c r="W431">
        <v>48.36</v>
      </c>
      <c r="Y431">
        <v>12.81</v>
      </c>
    </row>
    <row r="432" spans="1:25" x14ac:dyDescent="0.25">
      <c r="A432">
        <v>2007</v>
      </c>
      <c r="B432">
        <v>94</v>
      </c>
      <c r="C432">
        <v>700</v>
      </c>
      <c r="D432">
        <v>14.62</v>
      </c>
      <c r="E432">
        <v>7.37</v>
      </c>
      <c r="F432">
        <v>3.9769999999999999</v>
      </c>
      <c r="G432">
        <v>4.3140000000000001</v>
      </c>
      <c r="K432">
        <v>2.1339999999999999</v>
      </c>
      <c r="L432">
        <v>229.6</v>
      </c>
      <c r="M432">
        <v>0</v>
      </c>
      <c r="O432">
        <v>6.8339999999999996</v>
      </c>
      <c r="P432">
        <v>-5.851</v>
      </c>
      <c r="Q432">
        <v>6.3869999999999996</v>
      </c>
      <c r="S432">
        <v>6.915</v>
      </c>
      <c r="T432">
        <v>0</v>
      </c>
      <c r="U432">
        <v>94.9</v>
      </c>
      <c r="V432">
        <v>992</v>
      </c>
      <c r="W432">
        <v>47.96</v>
      </c>
      <c r="Y432">
        <v>12.8</v>
      </c>
    </row>
    <row r="433" spans="1:25" x14ac:dyDescent="0.25">
      <c r="A433">
        <v>2007</v>
      </c>
      <c r="B433">
        <v>94</v>
      </c>
      <c r="C433">
        <v>800</v>
      </c>
      <c r="D433">
        <v>95.9</v>
      </c>
      <c r="E433">
        <v>57.23</v>
      </c>
      <c r="F433">
        <v>4.7130000000000001</v>
      </c>
      <c r="G433">
        <v>5.0439999999999996</v>
      </c>
      <c r="K433">
        <v>2.1139999999999999</v>
      </c>
      <c r="L433">
        <v>228.9</v>
      </c>
      <c r="M433">
        <v>0</v>
      </c>
      <c r="O433">
        <v>110.8</v>
      </c>
      <c r="P433">
        <v>25.08</v>
      </c>
      <c r="Q433">
        <v>6.407</v>
      </c>
      <c r="S433">
        <v>6.819</v>
      </c>
      <c r="T433">
        <v>0</v>
      </c>
      <c r="U433">
        <v>95.2</v>
      </c>
      <c r="V433">
        <v>990</v>
      </c>
      <c r="W433">
        <v>47.7</v>
      </c>
      <c r="Y433">
        <v>13.17</v>
      </c>
    </row>
    <row r="434" spans="1:25" x14ac:dyDescent="0.25">
      <c r="A434">
        <v>2007</v>
      </c>
      <c r="B434">
        <v>94</v>
      </c>
      <c r="C434">
        <v>900</v>
      </c>
      <c r="D434">
        <v>237.7</v>
      </c>
      <c r="E434">
        <v>143.80000000000001</v>
      </c>
      <c r="F434">
        <v>6.056</v>
      </c>
      <c r="G434">
        <v>6.8170000000000002</v>
      </c>
      <c r="H434">
        <f>AVERAGE(G434:G457)</f>
        <v>8.5283333333333342</v>
      </c>
      <c r="I434">
        <f>MIN(G434:G457)</f>
        <v>5.4429999999999996</v>
      </c>
      <c r="J434">
        <f>MAX(F434:F457)</f>
        <v>10.65</v>
      </c>
      <c r="K434">
        <v>2.1840000000000002</v>
      </c>
      <c r="L434">
        <v>230</v>
      </c>
      <c r="M434">
        <v>0</v>
      </c>
      <c r="N434">
        <f>SUM(M434:M457)</f>
        <v>0</v>
      </c>
      <c r="O434">
        <v>290.8</v>
      </c>
      <c r="P434">
        <v>84.2</v>
      </c>
      <c r="Q434">
        <v>6.5739999999999998</v>
      </c>
      <c r="S434">
        <v>6.782</v>
      </c>
      <c r="T434">
        <v>0</v>
      </c>
      <c r="U434">
        <v>89.8</v>
      </c>
      <c r="V434">
        <v>987</v>
      </c>
      <c r="W434">
        <v>47.47</v>
      </c>
      <c r="Y434">
        <v>13.94</v>
      </c>
    </row>
    <row r="435" spans="1:25" x14ac:dyDescent="0.25">
      <c r="A435">
        <v>2007</v>
      </c>
      <c r="B435">
        <v>94</v>
      </c>
      <c r="C435">
        <v>1000</v>
      </c>
      <c r="D435">
        <v>371.5</v>
      </c>
      <c r="E435">
        <v>229.1</v>
      </c>
      <c r="F435">
        <v>7.05</v>
      </c>
      <c r="G435">
        <v>8.14</v>
      </c>
      <c r="K435">
        <v>2.5670000000000002</v>
      </c>
      <c r="L435">
        <v>241.1</v>
      </c>
      <c r="M435">
        <v>0</v>
      </c>
      <c r="O435">
        <v>456.4</v>
      </c>
      <c r="P435">
        <v>140.6</v>
      </c>
      <c r="Q435">
        <v>6.915</v>
      </c>
      <c r="S435">
        <v>6.7249999999999996</v>
      </c>
      <c r="T435">
        <v>0</v>
      </c>
      <c r="U435">
        <v>86.1</v>
      </c>
      <c r="V435">
        <v>983</v>
      </c>
      <c r="W435">
        <v>46.98</v>
      </c>
      <c r="Y435">
        <v>14.45</v>
      </c>
    </row>
    <row r="436" spans="1:25" x14ac:dyDescent="0.25">
      <c r="A436">
        <v>2007</v>
      </c>
      <c r="B436">
        <v>94</v>
      </c>
      <c r="C436">
        <v>1100</v>
      </c>
      <c r="D436">
        <v>569.29999999999995</v>
      </c>
      <c r="E436">
        <v>351.2</v>
      </c>
      <c r="F436">
        <v>8.23</v>
      </c>
      <c r="G436">
        <v>9.6300000000000008</v>
      </c>
      <c r="K436">
        <v>2.7789999999999999</v>
      </c>
      <c r="L436">
        <v>280.7</v>
      </c>
      <c r="M436">
        <v>0</v>
      </c>
      <c r="O436">
        <v>695.5</v>
      </c>
      <c r="P436">
        <v>191.6</v>
      </c>
      <c r="Q436">
        <v>7.49</v>
      </c>
      <c r="S436">
        <v>6.7809999999999997</v>
      </c>
      <c r="T436">
        <v>0</v>
      </c>
      <c r="U436">
        <v>83.2</v>
      </c>
      <c r="V436">
        <v>981</v>
      </c>
      <c r="W436">
        <v>46.77</v>
      </c>
      <c r="Y436">
        <v>14.74</v>
      </c>
    </row>
    <row r="437" spans="1:25" x14ac:dyDescent="0.25">
      <c r="A437">
        <v>2007</v>
      </c>
      <c r="B437">
        <v>94</v>
      </c>
      <c r="C437">
        <v>1200</v>
      </c>
      <c r="D437">
        <v>633.79999999999995</v>
      </c>
      <c r="E437">
        <v>376.7</v>
      </c>
      <c r="F437">
        <v>9.01</v>
      </c>
      <c r="G437">
        <v>11.07</v>
      </c>
      <c r="K437">
        <v>2.8919999999999999</v>
      </c>
      <c r="L437">
        <v>0</v>
      </c>
      <c r="M437">
        <v>0</v>
      </c>
      <c r="O437">
        <v>763</v>
      </c>
      <c r="P437">
        <v>188.5</v>
      </c>
      <c r="Q437">
        <v>8.31</v>
      </c>
      <c r="S437">
        <v>6.8280000000000003</v>
      </c>
      <c r="T437">
        <v>0</v>
      </c>
      <c r="U437">
        <v>76.599999999999994</v>
      </c>
      <c r="V437">
        <v>979</v>
      </c>
      <c r="W437">
        <v>46.56</v>
      </c>
      <c r="Y437">
        <v>14.5</v>
      </c>
    </row>
    <row r="438" spans="1:25" x14ac:dyDescent="0.25">
      <c r="A438">
        <v>2007</v>
      </c>
      <c r="B438">
        <v>94</v>
      </c>
      <c r="C438">
        <v>1300</v>
      </c>
      <c r="D438">
        <v>675</v>
      </c>
      <c r="E438">
        <v>392.4</v>
      </c>
      <c r="F438">
        <v>9.41</v>
      </c>
      <c r="G438">
        <v>11.98</v>
      </c>
      <c r="K438">
        <v>3.4420000000000002</v>
      </c>
      <c r="L438">
        <v>0</v>
      </c>
      <c r="M438">
        <v>0</v>
      </c>
      <c r="O438">
        <v>801</v>
      </c>
      <c r="P438">
        <v>196.9</v>
      </c>
      <c r="Q438">
        <v>9.26</v>
      </c>
      <c r="S438">
        <v>6.9480000000000004</v>
      </c>
      <c r="T438">
        <v>0</v>
      </c>
      <c r="U438">
        <v>71.8</v>
      </c>
      <c r="V438">
        <v>978</v>
      </c>
      <c r="W438">
        <v>46.44</v>
      </c>
      <c r="Y438">
        <v>14.55</v>
      </c>
    </row>
    <row r="439" spans="1:25" x14ac:dyDescent="0.25">
      <c r="A439">
        <v>2007</v>
      </c>
      <c r="B439">
        <v>94</v>
      </c>
      <c r="C439">
        <v>1400</v>
      </c>
      <c r="D439">
        <v>657</v>
      </c>
      <c r="E439">
        <v>372</v>
      </c>
      <c r="F439">
        <v>9.9700000000000006</v>
      </c>
      <c r="G439">
        <v>13.21</v>
      </c>
      <c r="K439">
        <v>3.3889999999999998</v>
      </c>
      <c r="L439">
        <v>0</v>
      </c>
      <c r="M439">
        <v>0</v>
      </c>
      <c r="O439">
        <v>758</v>
      </c>
      <c r="P439">
        <v>205.2</v>
      </c>
      <c r="Q439">
        <v>10.220000000000001</v>
      </c>
      <c r="S439">
        <v>7.18</v>
      </c>
      <c r="T439">
        <v>0</v>
      </c>
      <c r="U439">
        <v>66.31</v>
      </c>
      <c r="V439">
        <v>975</v>
      </c>
      <c r="W439">
        <v>46.08</v>
      </c>
      <c r="Y439">
        <v>14.28</v>
      </c>
    </row>
    <row r="440" spans="1:25" x14ac:dyDescent="0.25">
      <c r="A440">
        <v>2007</v>
      </c>
      <c r="B440">
        <v>94</v>
      </c>
      <c r="C440">
        <v>1500</v>
      </c>
      <c r="D440">
        <v>586</v>
      </c>
      <c r="E440">
        <v>334.1</v>
      </c>
      <c r="F440">
        <v>10.55</v>
      </c>
      <c r="G440">
        <v>13.97</v>
      </c>
      <c r="K440">
        <v>3.0529999999999999</v>
      </c>
      <c r="L440">
        <v>0</v>
      </c>
      <c r="M440">
        <v>0</v>
      </c>
      <c r="O440">
        <v>687.3</v>
      </c>
      <c r="P440">
        <v>211.5</v>
      </c>
      <c r="Q440">
        <v>11.03</v>
      </c>
      <c r="S440">
        <v>7.45</v>
      </c>
      <c r="T440">
        <v>0</v>
      </c>
      <c r="U440">
        <v>65.38</v>
      </c>
      <c r="V440">
        <v>972</v>
      </c>
      <c r="W440">
        <v>45.78</v>
      </c>
      <c r="Y440">
        <v>14.28</v>
      </c>
    </row>
    <row r="441" spans="1:25" x14ac:dyDescent="0.25">
      <c r="A441">
        <v>2007</v>
      </c>
      <c r="B441">
        <v>94</v>
      </c>
      <c r="C441">
        <v>1600</v>
      </c>
      <c r="D441">
        <v>487.6</v>
      </c>
      <c r="E441">
        <v>275.60000000000002</v>
      </c>
      <c r="F441">
        <v>10.65</v>
      </c>
      <c r="G441">
        <v>14.28</v>
      </c>
      <c r="K441">
        <v>2.8969999999999998</v>
      </c>
      <c r="L441">
        <v>0</v>
      </c>
      <c r="M441">
        <v>0</v>
      </c>
      <c r="O441">
        <v>570.6</v>
      </c>
      <c r="P441">
        <v>213.9</v>
      </c>
      <c r="Q441">
        <v>11.61</v>
      </c>
      <c r="S441">
        <v>7.74</v>
      </c>
      <c r="T441">
        <v>0</v>
      </c>
      <c r="U441">
        <v>63.67</v>
      </c>
      <c r="V441">
        <v>972</v>
      </c>
      <c r="W441">
        <v>45.8</v>
      </c>
      <c r="Y441">
        <v>14.33</v>
      </c>
    </row>
    <row r="442" spans="1:25" x14ac:dyDescent="0.25">
      <c r="A442">
        <v>2007</v>
      </c>
      <c r="B442">
        <v>94</v>
      </c>
      <c r="C442">
        <v>1700</v>
      </c>
      <c r="D442">
        <v>338.7</v>
      </c>
      <c r="E442">
        <v>179.3</v>
      </c>
      <c r="F442">
        <v>10.59</v>
      </c>
      <c r="G442">
        <v>13.58</v>
      </c>
      <c r="K442">
        <v>2.7040000000000002</v>
      </c>
      <c r="L442">
        <v>0</v>
      </c>
      <c r="M442">
        <v>0</v>
      </c>
      <c r="O442">
        <v>391.4</v>
      </c>
      <c r="P442">
        <v>187.2</v>
      </c>
      <c r="Q442">
        <v>11.92</v>
      </c>
      <c r="S442">
        <v>8</v>
      </c>
      <c r="T442">
        <v>0</v>
      </c>
      <c r="U442">
        <v>69.099999999999994</v>
      </c>
      <c r="V442">
        <v>971</v>
      </c>
      <c r="W442">
        <v>45.68</v>
      </c>
      <c r="Y442">
        <v>13.98</v>
      </c>
    </row>
    <row r="443" spans="1:25" x14ac:dyDescent="0.25">
      <c r="A443">
        <v>2007</v>
      </c>
      <c r="B443">
        <v>94</v>
      </c>
      <c r="C443">
        <v>1800</v>
      </c>
      <c r="D443">
        <v>124.5</v>
      </c>
      <c r="E443">
        <v>25.61</v>
      </c>
      <c r="F443">
        <v>9.58</v>
      </c>
      <c r="G443">
        <v>12.09</v>
      </c>
      <c r="K443">
        <v>2.4159999999999999</v>
      </c>
      <c r="L443">
        <v>0</v>
      </c>
      <c r="M443">
        <v>0</v>
      </c>
      <c r="O443">
        <v>133.80000000000001</v>
      </c>
      <c r="P443">
        <v>77.900000000000006</v>
      </c>
      <c r="Q443">
        <v>11.97</v>
      </c>
      <c r="S443">
        <v>8.23</v>
      </c>
      <c r="T443">
        <v>0</v>
      </c>
      <c r="U443">
        <v>72.599999999999994</v>
      </c>
      <c r="V443">
        <v>973</v>
      </c>
      <c r="W443">
        <v>45.94</v>
      </c>
      <c r="Y443">
        <v>13.65</v>
      </c>
    </row>
    <row r="444" spans="1:25" x14ac:dyDescent="0.25">
      <c r="A444">
        <v>2007</v>
      </c>
      <c r="B444">
        <v>94</v>
      </c>
      <c r="C444">
        <v>1900</v>
      </c>
      <c r="D444">
        <v>43.17</v>
      </c>
      <c r="E444">
        <v>-23.63</v>
      </c>
      <c r="F444">
        <v>8.6199999999999992</v>
      </c>
      <c r="G444">
        <v>10.37</v>
      </c>
      <c r="K444">
        <v>1.9319999999999999</v>
      </c>
      <c r="L444">
        <v>0</v>
      </c>
      <c r="M444">
        <v>0</v>
      </c>
      <c r="O444">
        <v>48.93</v>
      </c>
      <c r="P444">
        <v>54.19</v>
      </c>
      <c r="Q444">
        <v>11.77</v>
      </c>
      <c r="S444">
        <v>8.44</v>
      </c>
      <c r="T444">
        <v>0</v>
      </c>
      <c r="U444">
        <v>79.5</v>
      </c>
      <c r="V444">
        <v>974</v>
      </c>
      <c r="W444">
        <v>46.04</v>
      </c>
      <c r="Y444">
        <v>13.46</v>
      </c>
    </row>
    <row r="445" spans="1:25" x14ac:dyDescent="0.25">
      <c r="A445">
        <v>2007</v>
      </c>
      <c r="B445">
        <v>94</v>
      </c>
      <c r="C445">
        <v>2000</v>
      </c>
      <c r="D445">
        <v>-1.734</v>
      </c>
      <c r="E445">
        <v>-61.33</v>
      </c>
      <c r="F445">
        <v>6.8029999999999999</v>
      </c>
      <c r="G445">
        <v>8.0299999999999994</v>
      </c>
      <c r="K445">
        <v>2.6030000000000002</v>
      </c>
      <c r="L445">
        <v>0</v>
      </c>
      <c r="M445">
        <v>0</v>
      </c>
      <c r="O445">
        <v>-9.8800000000000008</v>
      </c>
      <c r="P445">
        <v>-10.24</v>
      </c>
      <c r="Q445">
        <v>11.38</v>
      </c>
      <c r="S445">
        <v>8.5500000000000007</v>
      </c>
      <c r="T445">
        <v>0</v>
      </c>
      <c r="U445">
        <v>84.3</v>
      </c>
      <c r="V445">
        <v>974</v>
      </c>
      <c r="W445">
        <v>46</v>
      </c>
      <c r="Y445">
        <v>13.34</v>
      </c>
    </row>
    <row r="446" spans="1:25" x14ac:dyDescent="0.25">
      <c r="A446">
        <v>2007</v>
      </c>
      <c r="B446">
        <v>94</v>
      </c>
      <c r="C446">
        <v>2100</v>
      </c>
      <c r="D446">
        <v>-2.7810000000000001</v>
      </c>
      <c r="E446">
        <v>-56.31</v>
      </c>
      <c r="F446">
        <v>5.7169999999999996</v>
      </c>
      <c r="G446">
        <v>6.5679999999999996</v>
      </c>
      <c r="K446">
        <v>2.4079999999999999</v>
      </c>
      <c r="L446">
        <v>0</v>
      </c>
      <c r="M446">
        <v>0</v>
      </c>
      <c r="O446">
        <v>-11.5</v>
      </c>
      <c r="P446">
        <v>-10.84</v>
      </c>
      <c r="Q446">
        <v>10.93</v>
      </c>
      <c r="S446">
        <v>8.6300000000000008</v>
      </c>
      <c r="T446">
        <v>0</v>
      </c>
      <c r="U446">
        <v>88.4</v>
      </c>
      <c r="V446">
        <v>975</v>
      </c>
      <c r="W446">
        <v>46.08</v>
      </c>
      <c r="Y446">
        <v>13.25</v>
      </c>
    </row>
    <row r="447" spans="1:25" x14ac:dyDescent="0.25">
      <c r="A447">
        <v>2007</v>
      </c>
      <c r="B447">
        <v>94</v>
      </c>
      <c r="C447">
        <v>2200</v>
      </c>
      <c r="D447">
        <v>-2.4380000000000002</v>
      </c>
      <c r="E447">
        <v>-41.09</v>
      </c>
      <c r="F447">
        <v>5.3419999999999996</v>
      </c>
      <c r="G447">
        <v>6.0910000000000002</v>
      </c>
      <c r="K447">
        <v>1.4330000000000001</v>
      </c>
      <c r="L447">
        <v>244.8</v>
      </c>
      <c r="M447">
        <v>0</v>
      </c>
      <c r="O447">
        <v>-11.5</v>
      </c>
      <c r="P447">
        <v>-10.84</v>
      </c>
      <c r="Q447">
        <v>10.44</v>
      </c>
      <c r="S447">
        <v>8.61</v>
      </c>
      <c r="T447">
        <v>0</v>
      </c>
      <c r="U447">
        <v>89.6</v>
      </c>
      <c r="V447">
        <v>978</v>
      </c>
      <c r="W447">
        <v>46.43</v>
      </c>
      <c r="Y447">
        <v>13.17</v>
      </c>
    </row>
    <row r="448" spans="1:25" x14ac:dyDescent="0.25">
      <c r="A448">
        <v>2007</v>
      </c>
      <c r="B448">
        <v>94</v>
      </c>
      <c r="C448">
        <v>2300</v>
      </c>
      <c r="D448">
        <v>-2.3130000000000002</v>
      </c>
      <c r="E448">
        <v>-38.31</v>
      </c>
      <c r="F448">
        <v>5.1139999999999999</v>
      </c>
      <c r="G448">
        <v>5.806</v>
      </c>
      <c r="K448">
        <v>1.925</v>
      </c>
      <c r="L448">
        <v>228.7</v>
      </c>
      <c r="M448">
        <v>0</v>
      </c>
      <c r="O448">
        <v>-11.5</v>
      </c>
      <c r="P448">
        <v>-10.85</v>
      </c>
      <c r="Q448">
        <v>10.029999999999999</v>
      </c>
      <c r="S448">
        <v>8.59</v>
      </c>
      <c r="T448">
        <v>0</v>
      </c>
      <c r="U448">
        <v>90.3</v>
      </c>
      <c r="V448">
        <v>982</v>
      </c>
      <c r="W448">
        <v>46.87</v>
      </c>
      <c r="Y448">
        <v>13.1</v>
      </c>
    </row>
    <row r="449" spans="1:25" x14ac:dyDescent="0.25">
      <c r="A449">
        <v>2007</v>
      </c>
      <c r="B449">
        <v>94</v>
      </c>
      <c r="C449">
        <v>2400</v>
      </c>
      <c r="D449">
        <v>-2.3130000000000002</v>
      </c>
      <c r="E449">
        <v>-35.17</v>
      </c>
      <c r="F449">
        <v>5.1509999999999998</v>
      </c>
      <c r="G449">
        <v>5.8129999999999997</v>
      </c>
      <c r="K449">
        <v>1.889</v>
      </c>
      <c r="L449">
        <v>241.1</v>
      </c>
      <c r="M449">
        <v>0</v>
      </c>
      <c r="O449">
        <v>-11.5</v>
      </c>
      <c r="P449">
        <v>-10.84</v>
      </c>
      <c r="Q449">
        <v>9.6199999999999992</v>
      </c>
      <c r="S449">
        <v>8.49</v>
      </c>
      <c r="T449">
        <v>0</v>
      </c>
      <c r="U449">
        <v>90.7</v>
      </c>
      <c r="V449">
        <v>991</v>
      </c>
      <c r="W449">
        <v>47.85</v>
      </c>
      <c r="Y449">
        <v>13.03</v>
      </c>
    </row>
    <row r="450" spans="1:25" x14ac:dyDescent="0.25">
      <c r="A450">
        <v>2007</v>
      </c>
      <c r="B450">
        <v>95</v>
      </c>
      <c r="C450">
        <v>100</v>
      </c>
      <c r="D450">
        <v>-2.2890000000000001</v>
      </c>
      <c r="E450">
        <v>-31.04</v>
      </c>
      <c r="F450">
        <v>5.1070000000000002</v>
      </c>
      <c r="G450">
        <v>5.7590000000000003</v>
      </c>
      <c r="K450">
        <v>2.0840000000000001</v>
      </c>
      <c r="L450">
        <v>234.5</v>
      </c>
      <c r="M450">
        <v>0</v>
      </c>
      <c r="O450">
        <v>-11.5</v>
      </c>
      <c r="P450">
        <v>-10.85</v>
      </c>
      <c r="Q450">
        <v>9.25</v>
      </c>
      <c r="S450">
        <v>8.3699999999999992</v>
      </c>
      <c r="T450">
        <v>0</v>
      </c>
      <c r="U450">
        <v>90.8</v>
      </c>
      <c r="V450">
        <v>992</v>
      </c>
      <c r="W450">
        <v>47.97</v>
      </c>
      <c r="Y450">
        <v>12.97</v>
      </c>
    </row>
    <row r="451" spans="1:25" x14ac:dyDescent="0.25">
      <c r="A451">
        <v>2007</v>
      </c>
      <c r="B451">
        <v>95</v>
      </c>
      <c r="C451">
        <v>200</v>
      </c>
      <c r="D451">
        <v>-2.2410000000000001</v>
      </c>
      <c r="E451">
        <v>-31.86</v>
      </c>
      <c r="F451">
        <v>4.8739999999999997</v>
      </c>
      <c r="G451">
        <v>5.51</v>
      </c>
      <c r="K451">
        <v>1.9119999999999999</v>
      </c>
      <c r="L451">
        <v>237.9</v>
      </c>
      <c r="M451">
        <v>0</v>
      </c>
      <c r="O451">
        <v>-11.51</v>
      </c>
      <c r="P451">
        <v>-10.84</v>
      </c>
      <c r="Q451">
        <v>8.91</v>
      </c>
      <c r="S451">
        <v>8.23</v>
      </c>
      <c r="T451">
        <v>0</v>
      </c>
      <c r="U451">
        <v>91</v>
      </c>
      <c r="V451">
        <v>994</v>
      </c>
      <c r="W451">
        <v>48.19</v>
      </c>
      <c r="Y451">
        <v>12.92</v>
      </c>
    </row>
    <row r="452" spans="1:25" x14ac:dyDescent="0.25">
      <c r="A452">
        <v>2007</v>
      </c>
      <c r="B452">
        <v>95</v>
      </c>
      <c r="C452">
        <v>300</v>
      </c>
      <c r="D452">
        <v>-2.093</v>
      </c>
      <c r="E452">
        <v>-28.97</v>
      </c>
      <c r="F452">
        <v>4.8360000000000003</v>
      </c>
      <c r="G452">
        <v>5.4429999999999996</v>
      </c>
      <c r="K452">
        <v>1.982</v>
      </c>
      <c r="L452">
        <v>232.4</v>
      </c>
      <c r="M452">
        <v>0</v>
      </c>
      <c r="O452">
        <v>-11.5</v>
      </c>
      <c r="P452">
        <v>-10.85</v>
      </c>
      <c r="Q452">
        <v>8.6300000000000008</v>
      </c>
      <c r="S452">
        <v>8.1300000000000008</v>
      </c>
      <c r="T452">
        <v>0</v>
      </c>
      <c r="U452">
        <v>91.3</v>
      </c>
      <c r="V452">
        <v>992</v>
      </c>
      <c r="W452">
        <v>47.98</v>
      </c>
      <c r="Y452">
        <v>12.89</v>
      </c>
    </row>
    <row r="453" spans="1:25" x14ac:dyDescent="0.25">
      <c r="A453">
        <v>2007</v>
      </c>
      <c r="B453">
        <v>95</v>
      </c>
      <c r="C453">
        <v>400</v>
      </c>
      <c r="D453">
        <v>-1.5069999999999999</v>
      </c>
      <c r="E453">
        <v>-19.760000000000002</v>
      </c>
      <c r="F453">
        <v>5.1529999999999996</v>
      </c>
      <c r="G453">
        <v>5.7519999999999998</v>
      </c>
      <c r="K453">
        <v>2.0670000000000002</v>
      </c>
      <c r="L453">
        <v>231.3</v>
      </c>
      <c r="M453">
        <v>0</v>
      </c>
      <c r="O453">
        <v>-11.51</v>
      </c>
      <c r="P453">
        <v>-10.85</v>
      </c>
      <c r="Q453">
        <v>8.3800000000000008</v>
      </c>
      <c r="S453">
        <v>8.0299999999999994</v>
      </c>
      <c r="T453">
        <v>0</v>
      </c>
      <c r="U453">
        <v>91.5</v>
      </c>
      <c r="V453">
        <v>988</v>
      </c>
      <c r="W453">
        <v>47.57</v>
      </c>
      <c r="Y453">
        <v>12.86</v>
      </c>
    </row>
    <row r="454" spans="1:25" x14ac:dyDescent="0.25">
      <c r="A454">
        <v>2007</v>
      </c>
      <c r="B454">
        <v>95</v>
      </c>
      <c r="C454">
        <v>500</v>
      </c>
      <c r="D454">
        <v>-1.2929999999999999</v>
      </c>
      <c r="E454">
        <v>-19.010000000000002</v>
      </c>
      <c r="F454">
        <v>5.125</v>
      </c>
      <c r="G454">
        <v>5.6929999999999996</v>
      </c>
      <c r="K454">
        <v>1.5369999999999999</v>
      </c>
      <c r="L454">
        <v>232.2</v>
      </c>
      <c r="M454">
        <v>0</v>
      </c>
      <c r="O454">
        <v>-11.5</v>
      </c>
      <c r="P454">
        <v>-10.85</v>
      </c>
      <c r="Q454">
        <v>8.16</v>
      </c>
      <c r="S454">
        <v>7.9</v>
      </c>
      <c r="T454">
        <v>0</v>
      </c>
      <c r="U454">
        <v>92</v>
      </c>
      <c r="V454">
        <v>987</v>
      </c>
      <c r="W454">
        <v>47.43</v>
      </c>
      <c r="Y454">
        <v>12.84</v>
      </c>
    </row>
    <row r="455" spans="1:25" x14ac:dyDescent="0.25">
      <c r="A455">
        <v>2007</v>
      </c>
      <c r="B455">
        <v>95</v>
      </c>
      <c r="C455">
        <v>600</v>
      </c>
      <c r="D455">
        <v>0.85499999999999998</v>
      </c>
      <c r="E455">
        <v>-7.14</v>
      </c>
      <c r="F455">
        <v>5.49</v>
      </c>
      <c r="G455">
        <v>6.0659999999999998</v>
      </c>
      <c r="K455">
        <v>1.921</v>
      </c>
      <c r="L455">
        <v>232.9</v>
      </c>
      <c r="M455">
        <v>0</v>
      </c>
      <c r="O455">
        <v>-9.33</v>
      </c>
      <c r="P455">
        <v>-10.27</v>
      </c>
      <c r="Q455">
        <v>8.01</v>
      </c>
      <c r="S455">
        <v>7.79</v>
      </c>
      <c r="T455">
        <v>0</v>
      </c>
      <c r="U455">
        <v>92</v>
      </c>
      <c r="V455">
        <v>989</v>
      </c>
      <c r="W455">
        <v>47.61</v>
      </c>
      <c r="Y455">
        <v>12.82</v>
      </c>
    </row>
    <row r="456" spans="1:25" x14ac:dyDescent="0.25">
      <c r="A456">
        <v>2007</v>
      </c>
      <c r="B456">
        <v>95</v>
      </c>
      <c r="C456">
        <v>700</v>
      </c>
      <c r="D456">
        <v>19.91</v>
      </c>
      <c r="E456">
        <v>8.18</v>
      </c>
      <c r="F456">
        <v>5.8049999999999997</v>
      </c>
      <c r="G456">
        <v>6.343</v>
      </c>
      <c r="K456">
        <v>2.073</v>
      </c>
      <c r="L456">
        <v>301.5</v>
      </c>
      <c r="M456">
        <v>0</v>
      </c>
      <c r="O456">
        <v>13.46</v>
      </c>
      <c r="P456">
        <v>-4.2300000000000004</v>
      </c>
      <c r="Q456">
        <v>7.89</v>
      </c>
      <c r="S456">
        <v>7.66</v>
      </c>
      <c r="T456">
        <v>0</v>
      </c>
      <c r="U456">
        <v>92.6</v>
      </c>
      <c r="V456">
        <v>986</v>
      </c>
      <c r="W456">
        <v>47.35</v>
      </c>
      <c r="Y456">
        <v>12.82</v>
      </c>
    </row>
    <row r="457" spans="1:25" x14ac:dyDescent="0.25">
      <c r="A457">
        <v>2007</v>
      </c>
      <c r="B457">
        <v>95</v>
      </c>
      <c r="C457">
        <v>800</v>
      </c>
      <c r="D457">
        <v>116.3</v>
      </c>
      <c r="E457">
        <v>70.599999999999994</v>
      </c>
      <c r="F457">
        <v>6.194</v>
      </c>
      <c r="G457">
        <v>6.6689999999999996</v>
      </c>
      <c r="K457">
        <v>2.2759999999999998</v>
      </c>
      <c r="L457">
        <v>0</v>
      </c>
      <c r="M457">
        <v>0</v>
      </c>
      <c r="O457">
        <v>141.9</v>
      </c>
      <c r="P457">
        <v>30.18</v>
      </c>
      <c r="Q457">
        <v>7.88</v>
      </c>
      <c r="S457">
        <v>7.6</v>
      </c>
      <c r="T457">
        <v>0</v>
      </c>
      <c r="U457">
        <v>93.5</v>
      </c>
      <c r="V457">
        <v>984</v>
      </c>
      <c r="W457">
        <v>47.09</v>
      </c>
      <c r="Y457">
        <v>13.24</v>
      </c>
    </row>
    <row r="458" spans="1:25" x14ac:dyDescent="0.25">
      <c r="A458">
        <v>2007</v>
      </c>
      <c r="B458">
        <v>95</v>
      </c>
      <c r="C458">
        <v>900</v>
      </c>
      <c r="D458">
        <v>167.9</v>
      </c>
      <c r="E458">
        <v>101.7</v>
      </c>
      <c r="F458">
        <v>6.5190000000000001</v>
      </c>
      <c r="G458">
        <v>7.25</v>
      </c>
      <c r="H458">
        <f>AVERAGE(G458:G481)</f>
        <v>7.4543333333333344</v>
      </c>
      <c r="I458">
        <f>MIN(G458:G481)</f>
        <v>0.43</v>
      </c>
      <c r="J458">
        <f>MAX(F458:F481)</f>
        <v>11.66</v>
      </c>
      <c r="K458">
        <v>2.4300000000000002</v>
      </c>
      <c r="L458">
        <v>0</v>
      </c>
      <c r="M458">
        <v>0</v>
      </c>
      <c r="N458">
        <f>SUM(M458:M481)</f>
        <v>0</v>
      </c>
      <c r="O458">
        <v>202.6</v>
      </c>
      <c r="P458">
        <v>47.19</v>
      </c>
      <c r="Q458">
        <v>8.02</v>
      </c>
      <c r="S458">
        <v>7.6</v>
      </c>
      <c r="T458">
        <v>0</v>
      </c>
      <c r="U458">
        <v>90.3</v>
      </c>
      <c r="V458">
        <v>982</v>
      </c>
      <c r="W458">
        <v>46.84</v>
      </c>
      <c r="Y458">
        <v>13.72</v>
      </c>
    </row>
    <row r="459" spans="1:25" x14ac:dyDescent="0.25">
      <c r="A459">
        <v>2007</v>
      </c>
      <c r="B459">
        <v>95</v>
      </c>
      <c r="C459">
        <v>1000</v>
      </c>
      <c r="D459">
        <v>242.9</v>
      </c>
      <c r="E459">
        <v>144.80000000000001</v>
      </c>
      <c r="F459">
        <v>6.875</v>
      </c>
      <c r="G459">
        <v>7.75</v>
      </c>
      <c r="K459">
        <v>2.4260000000000002</v>
      </c>
      <c r="L459">
        <v>0</v>
      </c>
      <c r="M459">
        <v>0</v>
      </c>
      <c r="O459">
        <v>289.3</v>
      </c>
      <c r="P459">
        <v>72.3</v>
      </c>
      <c r="Q459">
        <v>8.24</v>
      </c>
      <c r="S459">
        <v>7.52</v>
      </c>
      <c r="T459">
        <v>0</v>
      </c>
      <c r="U459">
        <v>88.6</v>
      </c>
      <c r="V459">
        <v>983</v>
      </c>
      <c r="W459">
        <v>46.95</v>
      </c>
      <c r="Y459">
        <v>13.92</v>
      </c>
    </row>
    <row r="460" spans="1:25" x14ac:dyDescent="0.25">
      <c r="A460">
        <v>2007</v>
      </c>
      <c r="B460">
        <v>95</v>
      </c>
      <c r="C460">
        <v>1100</v>
      </c>
      <c r="D460">
        <v>575.1</v>
      </c>
      <c r="E460">
        <v>362.5</v>
      </c>
      <c r="F460">
        <v>8.74</v>
      </c>
      <c r="G460">
        <v>10.15</v>
      </c>
      <c r="K460">
        <v>2.7410000000000001</v>
      </c>
      <c r="L460">
        <v>286.7</v>
      </c>
      <c r="M460">
        <v>0</v>
      </c>
      <c r="O460">
        <v>708</v>
      </c>
      <c r="P460">
        <v>182</v>
      </c>
      <c r="Q460">
        <v>8.66</v>
      </c>
      <c r="S460">
        <v>7.61</v>
      </c>
      <c r="T460">
        <v>0</v>
      </c>
      <c r="U460">
        <v>83.4</v>
      </c>
      <c r="V460">
        <v>981</v>
      </c>
      <c r="W460">
        <v>46.73</v>
      </c>
      <c r="Y460">
        <v>14.64</v>
      </c>
    </row>
    <row r="461" spans="1:25" x14ac:dyDescent="0.25">
      <c r="A461">
        <v>2007</v>
      </c>
      <c r="B461">
        <v>95</v>
      </c>
      <c r="C461">
        <v>1200</v>
      </c>
      <c r="D461">
        <v>649.29999999999995</v>
      </c>
      <c r="E461">
        <v>385.3</v>
      </c>
      <c r="F461">
        <v>9.57</v>
      </c>
      <c r="G461">
        <v>11.57</v>
      </c>
      <c r="K461">
        <v>2.62</v>
      </c>
      <c r="L461">
        <v>237.7</v>
      </c>
      <c r="M461">
        <v>0</v>
      </c>
      <c r="O461">
        <v>780</v>
      </c>
      <c r="P461">
        <v>190.4</v>
      </c>
      <c r="Q461">
        <v>9.3800000000000008</v>
      </c>
      <c r="S461">
        <v>7.67</v>
      </c>
      <c r="T461">
        <v>0</v>
      </c>
      <c r="U461">
        <v>77.599999999999994</v>
      </c>
      <c r="V461">
        <v>978</v>
      </c>
      <c r="W461">
        <v>46.42</v>
      </c>
      <c r="Y461">
        <v>14.52</v>
      </c>
    </row>
    <row r="462" spans="1:25" x14ac:dyDescent="0.25">
      <c r="A462">
        <v>2007</v>
      </c>
      <c r="B462">
        <v>95</v>
      </c>
      <c r="C462">
        <v>1300</v>
      </c>
      <c r="D462">
        <v>678.9</v>
      </c>
      <c r="E462">
        <v>394.9</v>
      </c>
      <c r="F462">
        <v>9.9499999999999993</v>
      </c>
      <c r="G462">
        <v>12.4</v>
      </c>
      <c r="K462">
        <v>2.2639999999999998</v>
      </c>
      <c r="L462">
        <v>359.4</v>
      </c>
      <c r="M462">
        <v>0</v>
      </c>
      <c r="O462">
        <v>807</v>
      </c>
      <c r="P462">
        <v>197.1</v>
      </c>
      <c r="Q462">
        <v>10.34</v>
      </c>
      <c r="S462">
        <v>7.77</v>
      </c>
      <c r="T462">
        <v>0</v>
      </c>
      <c r="U462">
        <v>73.5</v>
      </c>
      <c r="V462">
        <v>977</v>
      </c>
      <c r="W462">
        <v>46.32</v>
      </c>
      <c r="Y462">
        <v>14.57</v>
      </c>
    </row>
    <row r="463" spans="1:25" x14ac:dyDescent="0.25">
      <c r="A463">
        <v>2007</v>
      </c>
      <c r="B463">
        <v>95</v>
      </c>
      <c r="C463">
        <v>1400</v>
      </c>
      <c r="D463">
        <v>652.20000000000005</v>
      </c>
      <c r="E463">
        <v>373.3</v>
      </c>
      <c r="F463">
        <v>10.88</v>
      </c>
      <c r="G463">
        <v>13.65</v>
      </c>
      <c r="K463">
        <v>2.0369999999999999</v>
      </c>
      <c r="L463">
        <v>0</v>
      </c>
      <c r="M463">
        <v>0</v>
      </c>
      <c r="O463">
        <v>758</v>
      </c>
      <c r="P463">
        <v>204.7</v>
      </c>
      <c r="Q463">
        <v>11.33</v>
      </c>
      <c r="S463">
        <v>7.98</v>
      </c>
      <c r="T463">
        <v>0</v>
      </c>
      <c r="U463">
        <v>71.3</v>
      </c>
      <c r="V463">
        <v>977</v>
      </c>
      <c r="W463">
        <v>46.37</v>
      </c>
      <c r="Y463">
        <v>14.3</v>
      </c>
    </row>
    <row r="464" spans="1:25" x14ac:dyDescent="0.25">
      <c r="A464">
        <v>2007</v>
      </c>
      <c r="B464">
        <v>95</v>
      </c>
      <c r="C464">
        <v>1500</v>
      </c>
      <c r="D464">
        <v>585.4</v>
      </c>
      <c r="E464">
        <v>337.2</v>
      </c>
      <c r="F464">
        <v>11.38</v>
      </c>
      <c r="G464">
        <v>14.38</v>
      </c>
      <c r="K464">
        <v>1.952</v>
      </c>
      <c r="L464">
        <v>0</v>
      </c>
      <c r="M464">
        <v>0</v>
      </c>
      <c r="O464">
        <v>687.9</v>
      </c>
      <c r="P464">
        <v>211.6</v>
      </c>
      <c r="Q464">
        <v>12.17</v>
      </c>
      <c r="S464">
        <v>8.23</v>
      </c>
      <c r="T464">
        <v>0</v>
      </c>
      <c r="U464">
        <v>69.75</v>
      </c>
      <c r="V464">
        <v>979</v>
      </c>
      <c r="W464">
        <v>46.57</v>
      </c>
      <c r="Y464">
        <v>14.29</v>
      </c>
    </row>
    <row r="465" spans="1:25" x14ac:dyDescent="0.25">
      <c r="A465">
        <v>2007</v>
      </c>
      <c r="B465">
        <v>95</v>
      </c>
      <c r="C465">
        <v>1600</v>
      </c>
      <c r="D465">
        <v>486.8</v>
      </c>
      <c r="E465">
        <v>274.89999999999998</v>
      </c>
      <c r="F465">
        <v>11.51</v>
      </c>
      <c r="G465">
        <v>14.8</v>
      </c>
      <c r="K465">
        <v>1.921</v>
      </c>
      <c r="L465">
        <v>0</v>
      </c>
      <c r="M465">
        <v>0</v>
      </c>
      <c r="O465">
        <v>567.1</v>
      </c>
      <c r="P465">
        <v>212.7</v>
      </c>
      <c r="Q465">
        <v>12.8</v>
      </c>
      <c r="S465">
        <v>8.5399999999999991</v>
      </c>
      <c r="T465">
        <v>0</v>
      </c>
      <c r="U465">
        <v>67.37</v>
      </c>
      <c r="V465">
        <v>977</v>
      </c>
      <c r="W465">
        <v>46.33</v>
      </c>
      <c r="Y465">
        <v>14.32</v>
      </c>
    </row>
    <row r="466" spans="1:25" x14ac:dyDescent="0.25">
      <c r="A466">
        <v>2007</v>
      </c>
      <c r="B466">
        <v>95</v>
      </c>
      <c r="C466">
        <v>1700</v>
      </c>
      <c r="D466">
        <v>342.9</v>
      </c>
      <c r="E466">
        <v>184.7</v>
      </c>
      <c r="F466">
        <v>11.66</v>
      </c>
      <c r="G466">
        <v>14.97</v>
      </c>
      <c r="K466">
        <v>1.474</v>
      </c>
      <c r="L466">
        <v>0</v>
      </c>
      <c r="M466">
        <v>0</v>
      </c>
      <c r="O466">
        <v>396.2</v>
      </c>
      <c r="P466">
        <v>187.3</v>
      </c>
      <c r="Q466">
        <v>13.15</v>
      </c>
      <c r="S466">
        <v>8.83</v>
      </c>
      <c r="T466">
        <v>0</v>
      </c>
      <c r="U466">
        <v>67.44</v>
      </c>
      <c r="V466">
        <v>975</v>
      </c>
      <c r="W466">
        <v>46.12</v>
      </c>
      <c r="Y466">
        <v>13.98</v>
      </c>
    </row>
    <row r="467" spans="1:25" x14ac:dyDescent="0.25">
      <c r="A467">
        <v>2007</v>
      </c>
      <c r="B467">
        <v>95</v>
      </c>
      <c r="C467">
        <v>1800</v>
      </c>
      <c r="D467">
        <v>145.9</v>
      </c>
      <c r="E467">
        <v>52.29</v>
      </c>
      <c r="F467">
        <v>10.92</v>
      </c>
      <c r="G467">
        <v>13.61</v>
      </c>
      <c r="K467">
        <v>1.702</v>
      </c>
      <c r="L467">
        <v>0</v>
      </c>
      <c r="M467">
        <v>0</v>
      </c>
      <c r="O467">
        <v>166.9</v>
      </c>
      <c r="P467">
        <v>82</v>
      </c>
      <c r="Q467">
        <v>13.23</v>
      </c>
      <c r="S467">
        <v>9.07</v>
      </c>
      <c r="T467">
        <v>0</v>
      </c>
      <c r="U467">
        <v>72.3</v>
      </c>
      <c r="V467">
        <v>975</v>
      </c>
      <c r="W467">
        <v>46.14</v>
      </c>
      <c r="Y467">
        <v>13.66</v>
      </c>
    </row>
    <row r="468" spans="1:25" x14ac:dyDescent="0.25">
      <c r="A468">
        <v>2007</v>
      </c>
      <c r="B468">
        <v>95</v>
      </c>
      <c r="C468">
        <v>1900</v>
      </c>
      <c r="D468">
        <v>30.08</v>
      </c>
      <c r="E468">
        <v>-12.32</v>
      </c>
      <c r="F468">
        <v>9.65</v>
      </c>
      <c r="G468">
        <v>10.95</v>
      </c>
      <c r="K468">
        <v>1.0640000000000001</v>
      </c>
      <c r="L468">
        <v>18.600000000000001</v>
      </c>
      <c r="M468">
        <v>0</v>
      </c>
      <c r="O468">
        <v>28.27</v>
      </c>
      <c r="P468">
        <v>6.3230000000000004</v>
      </c>
      <c r="Q468">
        <v>13.04</v>
      </c>
      <c r="S468">
        <v>9.24</v>
      </c>
      <c r="T468">
        <v>0</v>
      </c>
      <c r="U468">
        <v>85</v>
      </c>
      <c r="V468">
        <v>974</v>
      </c>
      <c r="W468">
        <v>46.05</v>
      </c>
      <c r="Y468">
        <v>13.47</v>
      </c>
    </row>
    <row r="469" spans="1:25" x14ac:dyDescent="0.25">
      <c r="A469">
        <v>2007</v>
      </c>
      <c r="B469">
        <v>95</v>
      </c>
      <c r="C469">
        <v>2000</v>
      </c>
      <c r="D469">
        <v>-0.50700000000000001</v>
      </c>
      <c r="E469">
        <v>-29.01</v>
      </c>
      <c r="F469">
        <v>8.1999999999999993</v>
      </c>
      <c r="G469">
        <v>9.91</v>
      </c>
      <c r="K469">
        <v>1.0009999999999999</v>
      </c>
      <c r="L469">
        <v>315.2</v>
      </c>
      <c r="M469">
        <v>0</v>
      </c>
      <c r="O469">
        <v>-10.51</v>
      </c>
      <c r="P469">
        <v>-10.75</v>
      </c>
      <c r="Q469">
        <v>12.76</v>
      </c>
      <c r="S469">
        <v>9.41</v>
      </c>
      <c r="T469">
        <v>0</v>
      </c>
      <c r="U469">
        <v>79.599999999999994</v>
      </c>
      <c r="V469">
        <v>973</v>
      </c>
      <c r="W469">
        <v>45.9</v>
      </c>
      <c r="Y469">
        <v>13.34</v>
      </c>
    </row>
    <row r="470" spans="1:25" x14ac:dyDescent="0.25">
      <c r="A470">
        <v>2007</v>
      </c>
      <c r="B470">
        <v>95</v>
      </c>
      <c r="C470">
        <v>2100</v>
      </c>
      <c r="D470">
        <v>-1.6830000000000001</v>
      </c>
      <c r="E470">
        <v>-35.64</v>
      </c>
      <c r="F470">
        <v>7.35</v>
      </c>
      <c r="G470">
        <v>9.16</v>
      </c>
      <c r="K470">
        <v>0.99299999999999999</v>
      </c>
      <c r="L470">
        <v>254.2</v>
      </c>
      <c r="M470">
        <v>0</v>
      </c>
      <c r="O470">
        <v>-11.55</v>
      </c>
      <c r="P470">
        <v>-10.89</v>
      </c>
      <c r="Q470">
        <v>12.42</v>
      </c>
      <c r="S470">
        <v>9.56</v>
      </c>
      <c r="T470">
        <v>0</v>
      </c>
      <c r="U470">
        <v>78</v>
      </c>
      <c r="V470">
        <v>973</v>
      </c>
      <c r="W470">
        <v>45.87</v>
      </c>
      <c r="Y470">
        <v>13.25</v>
      </c>
    </row>
    <row r="471" spans="1:25" x14ac:dyDescent="0.25">
      <c r="A471">
        <v>2007</v>
      </c>
      <c r="B471">
        <v>95</v>
      </c>
      <c r="C471">
        <v>2200</v>
      </c>
      <c r="D471">
        <v>-3.4569999999999999</v>
      </c>
      <c r="E471">
        <v>-58.8</v>
      </c>
      <c r="F471">
        <v>6.2759999999999998</v>
      </c>
      <c r="G471">
        <v>7.61</v>
      </c>
      <c r="K471">
        <v>0.78800000000000003</v>
      </c>
      <c r="L471">
        <v>249.3</v>
      </c>
      <c r="M471">
        <v>0</v>
      </c>
      <c r="O471">
        <v>-11.5</v>
      </c>
      <c r="P471">
        <v>-10.85</v>
      </c>
      <c r="Q471">
        <v>12.01</v>
      </c>
      <c r="S471">
        <v>9.51</v>
      </c>
      <c r="T471">
        <v>0</v>
      </c>
      <c r="U471">
        <v>82.7</v>
      </c>
      <c r="V471">
        <v>973</v>
      </c>
      <c r="W471">
        <v>45.95</v>
      </c>
      <c r="Y471">
        <v>13.16</v>
      </c>
    </row>
    <row r="472" spans="1:25" x14ac:dyDescent="0.25">
      <c r="A472">
        <v>2007</v>
      </c>
      <c r="B472">
        <v>95</v>
      </c>
      <c r="C472">
        <v>2300</v>
      </c>
      <c r="D472">
        <v>-3.6659999999999999</v>
      </c>
      <c r="E472">
        <v>-58.3</v>
      </c>
      <c r="F472">
        <v>4.8499999999999996</v>
      </c>
      <c r="G472">
        <v>5.5819999999999999</v>
      </c>
      <c r="K472">
        <v>0.33300000000000002</v>
      </c>
      <c r="L472">
        <v>236.7</v>
      </c>
      <c r="M472">
        <v>0</v>
      </c>
      <c r="O472">
        <v>-11.5</v>
      </c>
      <c r="P472">
        <v>-10.84</v>
      </c>
      <c r="Q472">
        <v>11.53</v>
      </c>
      <c r="S472">
        <v>9.49</v>
      </c>
      <c r="T472">
        <v>0</v>
      </c>
      <c r="U472">
        <v>89.7</v>
      </c>
      <c r="V472">
        <v>976</v>
      </c>
      <c r="W472">
        <v>46.18</v>
      </c>
      <c r="Y472">
        <v>13.09</v>
      </c>
    </row>
    <row r="473" spans="1:25" x14ac:dyDescent="0.25">
      <c r="A473">
        <v>2007</v>
      </c>
      <c r="B473">
        <v>95</v>
      </c>
      <c r="C473">
        <v>2400</v>
      </c>
      <c r="D473">
        <v>-3.5350000000000001</v>
      </c>
      <c r="E473">
        <v>-47.47</v>
      </c>
      <c r="F473">
        <v>2.613</v>
      </c>
      <c r="G473">
        <v>2.9430000000000001</v>
      </c>
      <c r="K473">
        <v>0.124</v>
      </c>
      <c r="L473">
        <v>210.9</v>
      </c>
      <c r="M473">
        <v>0</v>
      </c>
      <c r="O473">
        <v>-11.5</v>
      </c>
      <c r="P473">
        <v>-10.84</v>
      </c>
      <c r="Q473">
        <v>11.03</v>
      </c>
      <c r="S473">
        <v>9.41</v>
      </c>
      <c r="T473">
        <v>0</v>
      </c>
      <c r="U473">
        <v>94.8</v>
      </c>
      <c r="V473">
        <v>980</v>
      </c>
      <c r="W473">
        <v>46.65</v>
      </c>
      <c r="Y473">
        <v>13.03</v>
      </c>
    </row>
    <row r="474" spans="1:25" x14ac:dyDescent="0.25">
      <c r="A474">
        <v>2007</v>
      </c>
      <c r="B474">
        <v>96</v>
      </c>
      <c r="C474">
        <v>100</v>
      </c>
      <c r="D474">
        <v>-2.9369999999999998</v>
      </c>
      <c r="E474">
        <v>-39.67</v>
      </c>
      <c r="F474">
        <v>1.427</v>
      </c>
      <c r="G474">
        <v>1.716</v>
      </c>
      <c r="K474">
        <v>0.14000000000000001</v>
      </c>
      <c r="L474">
        <v>204.6</v>
      </c>
      <c r="M474">
        <v>0</v>
      </c>
      <c r="O474">
        <v>-11.5</v>
      </c>
      <c r="P474">
        <v>-10.85</v>
      </c>
      <c r="Q474">
        <v>10.5</v>
      </c>
      <c r="S474">
        <v>9.3000000000000007</v>
      </c>
      <c r="T474">
        <v>0</v>
      </c>
      <c r="U474">
        <v>95.2</v>
      </c>
      <c r="V474">
        <v>985</v>
      </c>
      <c r="W474">
        <v>47.22</v>
      </c>
      <c r="Y474">
        <v>12.97</v>
      </c>
    </row>
    <row r="475" spans="1:25" x14ac:dyDescent="0.25">
      <c r="A475">
        <v>2007</v>
      </c>
      <c r="B475">
        <v>96</v>
      </c>
      <c r="C475">
        <v>200</v>
      </c>
      <c r="D475">
        <v>-2.7210000000000001</v>
      </c>
      <c r="E475">
        <v>-35.92</v>
      </c>
      <c r="F475">
        <v>0.66300000000000003</v>
      </c>
      <c r="G475">
        <v>0.98799999999999999</v>
      </c>
      <c r="K475">
        <v>0.152</v>
      </c>
      <c r="L475">
        <v>204.4</v>
      </c>
      <c r="M475">
        <v>0</v>
      </c>
      <c r="O475">
        <v>-11.5</v>
      </c>
      <c r="P475">
        <v>-10.85</v>
      </c>
      <c r="Q475">
        <v>10</v>
      </c>
      <c r="S475">
        <v>9.17</v>
      </c>
      <c r="T475">
        <v>0</v>
      </c>
      <c r="U475">
        <v>94.4</v>
      </c>
      <c r="V475">
        <v>990</v>
      </c>
      <c r="W475">
        <v>47.74</v>
      </c>
      <c r="Y475">
        <v>12.91</v>
      </c>
    </row>
    <row r="476" spans="1:25" x14ac:dyDescent="0.25">
      <c r="A476">
        <v>2007</v>
      </c>
      <c r="B476">
        <v>96</v>
      </c>
      <c r="C476">
        <v>300</v>
      </c>
      <c r="D476">
        <v>-2.5760000000000001</v>
      </c>
      <c r="E476">
        <v>-33.6</v>
      </c>
      <c r="F476">
        <v>0.57199999999999995</v>
      </c>
      <c r="G476">
        <v>1.0269999999999999</v>
      </c>
      <c r="K476">
        <v>0.13500000000000001</v>
      </c>
      <c r="L476">
        <v>219.9</v>
      </c>
      <c r="M476">
        <v>0</v>
      </c>
      <c r="O476">
        <v>-11.51</v>
      </c>
      <c r="P476">
        <v>-10.85</v>
      </c>
      <c r="Q476">
        <v>9.5</v>
      </c>
      <c r="S476">
        <v>9</v>
      </c>
      <c r="T476">
        <v>0</v>
      </c>
      <c r="U476">
        <v>92.2</v>
      </c>
      <c r="V476">
        <v>990</v>
      </c>
      <c r="W476">
        <v>47.8</v>
      </c>
      <c r="Y476">
        <v>12.87</v>
      </c>
    </row>
    <row r="477" spans="1:25" x14ac:dyDescent="0.25">
      <c r="A477">
        <v>2007</v>
      </c>
      <c r="B477">
        <v>96</v>
      </c>
      <c r="C477">
        <v>400</v>
      </c>
      <c r="D477">
        <v>-2.556</v>
      </c>
      <c r="E477">
        <v>-30.98</v>
      </c>
      <c r="F477">
        <v>0.996</v>
      </c>
      <c r="G477">
        <v>1.4</v>
      </c>
      <c r="K477">
        <v>0.188</v>
      </c>
      <c r="L477">
        <v>231</v>
      </c>
      <c r="M477">
        <v>0</v>
      </c>
      <c r="O477">
        <v>-11.51</v>
      </c>
      <c r="P477">
        <v>-10.85</v>
      </c>
      <c r="Q477">
        <v>9.08</v>
      </c>
      <c r="S477">
        <v>8.86</v>
      </c>
      <c r="T477">
        <v>0</v>
      </c>
      <c r="U477">
        <v>93.2</v>
      </c>
      <c r="V477">
        <v>988</v>
      </c>
      <c r="W477">
        <v>47.48</v>
      </c>
      <c r="Y477">
        <v>12.84</v>
      </c>
    </row>
    <row r="478" spans="1:25" x14ac:dyDescent="0.25">
      <c r="A478">
        <v>2007</v>
      </c>
      <c r="B478">
        <v>96</v>
      </c>
      <c r="C478">
        <v>500</v>
      </c>
      <c r="D478">
        <v>-2.637</v>
      </c>
      <c r="E478">
        <v>-30.04</v>
      </c>
      <c r="F478">
        <v>0.14099999999999999</v>
      </c>
      <c r="G478">
        <v>0.497</v>
      </c>
      <c r="K478">
        <v>0.13700000000000001</v>
      </c>
      <c r="L478">
        <v>228.6</v>
      </c>
      <c r="M478">
        <v>0</v>
      </c>
      <c r="O478">
        <v>-11.51</v>
      </c>
      <c r="P478">
        <v>-10.85</v>
      </c>
      <c r="Q478">
        <v>8.66</v>
      </c>
      <c r="S478">
        <v>8.67</v>
      </c>
      <c r="T478">
        <v>0</v>
      </c>
      <c r="U478">
        <v>93.7</v>
      </c>
      <c r="V478">
        <v>986</v>
      </c>
      <c r="W478">
        <v>47.27</v>
      </c>
      <c r="Y478">
        <v>12.82</v>
      </c>
    </row>
    <row r="479" spans="1:25" x14ac:dyDescent="0.25">
      <c r="A479">
        <v>2007</v>
      </c>
      <c r="B479">
        <v>96</v>
      </c>
      <c r="C479">
        <v>600</v>
      </c>
      <c r="D479">
        <v>1.6579999999999999</v>
      </c>
      <c r="E479">
        <v>-23.31</v>
      </c>
      <c r="F479">
        <v>0.06</v>
      </c>
      <c r="G479">
        <v>0.43</v>
      </c>
      <c r="K479">
        <v>0.23499999999999999</v>
      </c>
      <c r="L479">
        <v>227.8</v>
      </c>
      <c r="M479">
        <v>0</v>
      </c>
      <c r="O479">
        <v>-5.2220000000000004</v>
      </c>
      <c r="P479">
        <v>-8.59</v>
      </c>
      <c r="Q479">
        <v>8.25</v>
      </c>
      <c r="S479">
        <v>8.4600000000000009</v>
      </c>
      <c r="T479">
        <v>0</v>
      </c>
      <c r="U479">
        <v>93.5</v>
      </c>
      <c r="V479">
        <v>986</v>
      </c>
      <c r="W479">
        <v>47.33</v>
      </c>
      <c r="Y479">
        <v>12.8</v>
      </c>
    </row>
    <row r="480" spans="1:25" x14ac:dyDescent="0.25">
      <c r="A480">
        <v>2007</v>
      </c>
      <c r="B480">
        <v>96</v>
      </c>
      <c r="C480">
        <v>700</v>
      </c>
      <c r="D480">
        <v>46.13</v>
      </c>
      <c r="E480">
        <v>10.25</v>
      </c>
      <c r="F480">
        <v>0.46800000000000003</v>
      </c>
      <c r="G480">
        <v>0.82599999999999996</v>
      </c>
      <c r="K480">
        <v>0.23100000000000001</v>
      </c>
      <c r="L480">
        <v>206.7</v>
      </c>
      <c r="M480">
        <v>0</v>
      </c>
      <c r="O480">
        <v>52.85</v>
      </c>
      <c r="P480">
        <v>13.54</v>
      </c>
      <c r="Q480">
        <v>7.9</v>
      </c>
      <c r="S480">
        <v>8.2799999999999994</v>
      </c>
      <c r="T480">
        <v>0</v>
      </c>
      <c r="U480">
        <v>93.8</v>
      </c>
      <c r="V480">
        <v>986</v>
      </c>
      <c r="W480">
        <v>47.27</v>
      </c>
      <c r="Y480">
        <v>13.05</v>
      </c>
    </row>
    <row r="481" spans="1:25" x14ac:dyDescent="0.25">
      <c r="A481">
        <v>2007</v>
      </c>
      <c r="B481">
        <v>96</v>
      </c>
      <c r="C481">
        <v>800</v>
      </c>
      <c r="D481">
        <v>186.1</v>
      </c>
      <c r="E481">
        <v>136.69999999999999</v>
      </c>
      <c r="F481">
        <v>4.7670000000000003</v>
      </c>
      <c r="G481">
        <v>5.335</v>
      </c>
      <c r="K481">
        <v>1.0589999999999999</v>
      </c>
      <c r="L481">
        <v>227.7</v>
      </c>
      <c r="M481">
        <v>0</v>
      </c>
      <c r="O481">
        <v>256.2</v>
      </c>
      <c r="P481">
        <v>86.1</v>
      </c>
      <c r="Q481">
        <v>7.73</v>
      </c>
      <c r="S481">
        <v>8.2200000000000006</v>
      </c>
      <c r="T481">
        <v>0</v>
      </c>
      <c r="U481">
        <v>91.8</v>
      </c>
      <c r="V481">
        <v>983</v>
      </c>
      <c r="W481">
        <v>46.93</v>
      </c>
      <c r="Y481">
        <v>14</v>
      </c>
    </row>
    <row r="482" spans="1:25" x14ac:dyDescent="0.25">
      <c r="A482">
        <v>2007</v>
      </c>
      <c r="B482">
        <v>96</v>
      </c>
      <c r="C482">
        <v>900</v>
      </c>
      <c r="D482">
        <v>321.7</v>
      </c>
      <c r="E482">
        <v>227.8</v>
      </c>
      <c r="F482">
        <v>7.27</v>
      </c>
      <c r="G482">
        <v>8.33</v>
      </c>
      <c r="H482">
        <f>AVERAGE(G482:G505)</f>
        <v>7.3905833333333311</v>
      </c>
      <c r="I482">
        <f>MIN(G482:G505)</f>
        <v>0.96699999999999997</v>
      </c>
      <c r="J482">
        <f>MAX(F482:F505)</f>
        <v>9.39</v>
      </c>
      <c r="K482">
        <v>1.4139999999999999</v>
      </c>
      <c r="L482">
        <v>230.2</v>
      </c>
      <c r="M482">
        <v>0</v>
      </c>
      <c r="N482">
        <f>SUM(M482:M505)</f>
        <v>0</v>
      </c>
      <c r="O482">
        <v>432.2</v>
      </c>
      <c r="P482">
        <v>135.19999999999999</v>
      </c>
      <c r="Q482">
        <v>7.76</v>
      </c>
      <c r="S482">
        <v>8.15</v>
      </c>
      <c r="T482">
        <v>0</v>
      </c>
      <c r="U482">
        <v>86.6</v>
      </c>
      <c r="V482">
        <v>981</v>
      </c>
      <c r="W482">
        <v>46.76</v>
      </c>
      <c r="Y482">
        <v>14.61</v>
      </c>
    </row>
    <row r="483" spans="1:25" x14ac:dyDescent="0.25">
      <c r="A483">
        <v>2007</v>
      </c>
      <c r="B483">
        <v>96</v>
      </c>
      <c r="C483">
        <v>1000</v>
      </c>
      <c r="D483">
        <v>469.5</v>
      </c>
      <c r="E483">
        <v>296.5</v>
      </c>
      <c r="F483">
        <v>8.23</v>
      </c>
      <c r="G483">
        <v>9.8000000000000007</v>
      </c>
      <c r="K483">
        <v>1.5820000000000001</v>
      </c>
      <c r="L483">
        <v>229.5</v>
      </c>
      <c r="M483">
        <v>0</v>
      </c>
      <c r="O483">
        <v>588.79999999999995</v>
      </c>
      <c r="P483">
        <v>167.2</v>
      </c>
      <c r="Q483">
        <v>8.0299999999999994</v>
      </c>
      <c r="S483">
        <v>7.99</v>
      </c>
      <c r="T483">
        <v>0</v>
      </c>
      <c r="U483">
        <v>81.099999999999994</v>
      </c>
      <c r="V483">
        <v>979</v>
      </c>
      <c r="W483">
        <v>46.51</v>
      </c>
      <c r="Y483">
        <v>14.88</v>
      </c>
    </row>
    <row r="484" spans="1:25" x14ac:dyDescent="0.25">
      <c r="A484">
        <v>2007</v>
      </c>
      <c r="B484">
        <v>96</v>
      </c>
      <c r="C484">
        <v>1100</v>
      </c>
      <c r="D484">
        <v>559.29999999999995</v>
      </c>
      <c r="E484">
        <v>342.9</v>
      </c>
      <c r="F484">
        <v>9.39</v>
      </c>
      <c r="G484">
        <v>11.63</v>
      </c>
      <c r="K484">
        <v>1.3580000000000001</v>
      </c>
      <c r="L484">
        <v>241.4</v>
      </c>
      <c r="M484">
        <v>0</v>
      </c>
      <c r="O484">
        <v>685.9</v>
      </c>
      <c r="P484">
        <v>182.1</v>
      </c>
      <c r="Q484">
        <v>8.68</v>
      </c>
      <c r="S484">
        <v>7.95</v>
      </c>
      <c r="T484">
        <v>0</v>
      </c>
      <c r="U484">
        <v>75.099999999999994</v>
      </c>
      <c r="V484">
        <v>977</v>
      </c>
      <c r="W484">
        <v>46.3</v>
      </c>
      <c r="Y484">
        <v>14.67</v>
      </c>
    </row>
    <row r="485" spans="1:25" x14ac:dyDescent="0.25">
      <c r="A485">
        <v>2007</v>
      </c>
      <c r="B485">
        <v>96</v>
      </c>
      <c r="C485">
        <v>1200</v>
      </c>
      <c r="D485">
        <v>625.29999999999995</v>
      </c>
      <c r="E485">
        <v>372.9</v>
      </c>
      <c r="F485">
        <v>9.1300000000000008</v>
      </c>
      <c r="G485">
        <v>12.37</v>
      </c>
      <c r="K485">
        <v>1.3360000000000001</v>
      </c>
      <c r="L485">
        <v>230.2</v>
      </c>
      <c r="M485">
        <v>0</v>
      </c>
      <c r="O485">
        <v>757</v>
      </c>
      <c r="P485">
        <v>191.5</v>
      </c>
      <c r="Q485">
        <v>9.56</v>
      </c>
      <c r="S485">
        <v>7.95</v>
      </c>
      <c r="T485">
        <v>0</v>
      </c>
      <c r="U485">
        <v>65.34</v>
      </c>
      <c r="V485">
        <v>976</v>
      </c>
      <c r="W485">
        <v>46.22</v>
      </c>
      <c r="Y485">
        <v>14.47</v>
      </c>
    </row>
    <row r="486" spans="1:25" x14ac:dyDescent="0.25">
      <c r="A486">
        <v>2007</v>
      </c>
      <c r="B486">
        <v>96</v>
      </c>
      <c r="C486">
        <v>1300</v>
      </c>
      <c r="D486">
        <v>654.20000000000005</v>
      </c>
      <c r="E486">
        <v>385</v>
      </c>
      <c r="F486">
        <v>9.3800000000000008</v>
      </c>
      <c r="G486">
        <v>12.86</v>
      </c>
      <c r="K486">
        <v>1.613</v>
      </c>
      <c r="L486">
        <v>231.8</v>
      </c>
      <c r="M486">
        <v>0</v>
      </c>
      <c r="O486">
        <v>790</v>
      </c>
      <c r="P486">
        <v>201.1</v>
      </c>
      <c r="Q486">
        <v>10.54</v>
      </c>
      <c r="S486">
        <v>8.11</v>
      </c>
      <c r="T486">
        <v>0</v>
      </c>
      <c r="U486">
        <v>63.5</v>
      </c>
      <c r="V486">
        <v>975</v>
      </c>
      <c r="W486">
        <v>46.15</v>
      </c>
      <c r="Y486">
        <v>14.49</v>
      </c>
    </row>
    <row r="487" spans="1:25" x14ac:dyDescent="0.25">
      <c r="A487">
        <v>2007</v>
      </c>
      <c r="B487">
        <v>96</v>
      </c>
      <c r="C487">
        <v>1400</v>
      </c>
      <c r="D487">
        <v>593.29999999999995</v>
      </c>
      <c r="E487">
        <v>330.9</v>
      </c>
      <c r="F487">
        <v>9.31</v>
      </c>
      <c r="G487">
        <v>13.06</v>
      </c>
      <c r="K487">
        <v>1.75</v>
      </c>
      <c r="L487">
        <v>308.7</v>
      </c>
      <c r="M487">
        <v>0</v>
      </c>
      <c r="O487">
        <v>688.7</v>
      </c>
      <c r="P487">
        <v>189.1</v>
      </c>
      <c r="Q487">
        <v>11.44</v>
      </c>
      <c r="S487">
        <v>8.2799999999999994</v>
      </c>
      <c r="T487">
        <v>0</v>
      </c>
      <c r="U487">
        <v>61.13</v>
      </c>
      <c r="V487">
        <v>975</v>
      </c>
      <c r="W487">
        <v>46.1</v>
      </c>
      <c r="Y487">
        <v>14.24</v>
      </c>
    </row>
    <row r="488" spans="1:25" x14ac:dyDescent="0.25">
      <c r="A488">
        <v>2007</v>
      </c>
      <c r="B488">
        <v>96</v>
      </c>
      <c r="C488">
        <v>1500</v>
      </c>
      <c r="D488">
        <v>603.6</v>
      </c>
      <c r="E488">
        <v>341.8</v>
      </c>
      <c r="F488">
        <v>9.14</v>
      </c>
      <c r="G488">
        <v>13.13</v>
      </c>
      <c r="K488">
        <v>2.4129999999999998</v>
      </c>
      <c r="L488">
        <v>0</v>
      </c>
      <c r="M488">
        <v>0</v>
      </c>
      <c r="O488">
        <v>711</v>
      </c>
      <c r="P488">
        <v>219.4</v>
      </c>
      <c r="Q488">
        <v>12.17</v>
      </c>
      <c r="S488">
        <v>8.5500000000000007</v>
      </c>
      <c r="T488">
        <v>0</v>
      </c>
      <c r="U488">
        <v>58.81</v>
      </c>
      <c r="V488">
        <v>974</v>
      </c>
      <c r="W488">
        <v>46.03</v>
      </c>
      <c r="Y488">
        <v>14.26</v>
      </c>
    </row>
    <row r="489" spans="1:25" x14ac:dyDescent="0.25">
      <c r="A489">
        <v>2007</v>
      </c>
      <c r="B489">
        <v>96</v>
      </c>
      <c r="C489">
        <v>1600</v>
      </c>
      <c r="D489">
        <v>432</v>
      </c>
      <c r="E489">
        <v>231.2</v>
      </c>
      <c r="F489">
        <v>9.15</v>
      </c>
      <c r="G489">
        <v>13.01</v>
      </c>
      <c r="K489">
        <v>2.2480000000000002</v>
      </c>
      <c r="L489">
        <v>0</v>
      </c>
      <c r="M489">
        <v>0</v>
      </c>
      <c r="O489">
        <v>504</v>
      </c>
      <c r="P489">
        <v>183.7</v>
      </c>
      <c r="Q489">
        <v>12.76</v>
      </c>
      <c r="S489">
        <v>8.85</v>
      </c>
      <c r="T489">
        <v>0</v>
      </c>
      <c r="U489">
        <v>59.99</v>
      </c>
      <c r="V489">
        <v>973</v>
      </c>
      <c r="W489">
        <v>45.93</v>
      </c>
      <c r="Y489">
        <v>14.2</v>
      </c>
    </row>
    <row r="490" spans="1:25" x14ac:dyDescent="0.25">
      <c r="A490">
        <v>2007</v>
      </c>
      <c r="B490">
        <v>96</v>
      </c>
      <c r="C490">
        <v>1700</v>
      </c>
      <c r="D490">
        <v>213.6</v>
      </c>
      <c r="E490">
        <v>96.2</v>
      </c>
      <c r="F490">
        <v>9.11</v>
      </c>
      <c r="G490">
        <v>12.57</v>
      </c>
      <c r="K490">
        <v>1.5920000000000001</v>
      </c>
      <c r="L490">
        <v>0</v>
      </c>
      <c r="M490">
        <v>0</v>
      </c>
      <c r="O490">
        <v>245.3</v>
      </c>
      <c r="P490">
        <v>85.9</v>
      </c>
      <c r="Q490">
        <v>13</v>
      </c>
      <c r="S490">
        <v>9.09</v>
      </c>
      <c r="T490">
        <v>0</v>
      </c>
      <c r="U490">
        <v>63.4</v>
      </c>
      <c r="V490">
        <v>972</v>
      </c>
      <c r="W490">
        <v>45.78</v>
      </c>
      <c r="Y490">
        <v>13.87</v>
      </c>
    </row>
    <row r="491" spans="1:25" x14ac:dyDescent="0.25">
      <c r="A491">
        <v>2007</v>
      </c>
      <c r="B491">
        <v>96</v>
      </c>
      <c r="C491">
        <v>1800</v>
      </c>
      <c r="D491">
        <v>61.35</v>
      </c>
      <c r="E491">
        <v>9.9</v>
      </c>
      <c r="F491">
        <v>8.35</v>
      </c>
      <c r="G491">
        <v>11.29</v>
      </c>
      <c r="K491">
        <v>2.198</v>
      </c>
      <c r="L491">
        <v>103.8</v>
      </c>
      <c r="M491">
        <v>0</v>
      </c>
      <c r="O491">
        <v>65.849999999999994</v>
      </c>
      <c r="P491">
        <v>10.3</v>
      </c>
      <c r="Q491">
        <v>12.98</v>
      </c>
      <c r="S491">
        <v>9.2899999999999991</v>
      </c>
      <c r="T491">
        <v>0</v>
      </c>
      <c r="U491">
        <v>67.209999999999994</v>
      </c>
      <c r="V491">
        <v>970</v>
      </c>
      <c r="W491">
        <v>45.62</v>
      </c>
      <c r="Y491">
        <v>13.58</v>
      </c>
    </row>
    <row r="492" spans="1:25" x14ac:dyDescent="0.25">
      <c r="A492">
        <v>2007</v>
      </c>
      <c r="B492">
        <v>96</v>
      </c>
      <c r="C492">
        <v>1900</v>
      </c>
      <c r="D492">
        <v>22.73</v>
      </c>
      <c r="E492">
        <v>-14.53</v>
      </c>
      <c r="F492">
        <v>7.51</v>
      </c>
      <c r="G492">
        <v>10.31</v>
      </c>
      <c r="K492">
        <v>2.02</v>
      </c>
      <c r="L492">
        <v>104.9</v>
      </c>
      <c r="M492">
        <v>0</v>
      </c>
      <c r="O492">
        <v>17.87</v>
      </c>
      <c r="P492">
        <v>-2.641</v>
      </c>
      <c r="Q492">
        <v>12.76</v>
      </c>
      <c r="S492">
        <v>9.4600000000000009</v>
      </c>
      <c r="T492">
        <v>0</v>
      </c>
      <c r="U492">
        <v>67.69</v>
      </c>
      <c r="V492">
        <v>969</v>
      </c>
      <c r="W492">
        <v>45.51</v>
      </c>
      <c r="Y492">
        <v>13.42</v>
      </c>
    </row>
    <row r="493" spans="1:25" x14ac:dyDescent="0.25">
      <c r="A493">
        <v>2007</v>
      </c>
      <c r="B493">
        <v>96</v>
      </c>
      <c r="C493">
        <v>2000</v>
      </c>
      <c r="D493">
        <v>-0.66300000000000003</v>
      </c>
      <c r="E493">
        <v>-35.07</v>
      </c>
      <c r="F493">
        <v>7.03</v>
      </c>
      <c r="G493">
        <v>9.4499999999999993</v>
      </c>
      <c r="K493">
        <v>1.784</v>
      </c>
      <c r="L493">
        <v>109.8</v>
      </c>
      <c r="M493">
        <v>0</v>
      </c>
      <c r="O493">
        <v>-10.32</v>
      </c>
      <c r="P493">
        <v>-10.62</v>
      </c>
      <c r="Q493">
        <v>12.43</v>
      </c>
      <c r="S493">
        <v>9.57</v>
      </c>
      <c r="T493">
        <v>0</v>
      </c>
      <c r="U493">
        <v>71</v>
      </c>
      <c r="V493">
        <v>970</v>
      </c>
      <c r="W493">
        <v>45.56</v>
      </c>
      <c r="Y493">
        <v>13.31</v>
      </c>
    </row>
    <row r="494" spans="1:25" x14ac:dyDescent="0.25">
      <c r="A494">
        <v>2007</v>
      </c>
      <c r="B494">
        <v>96</v>
      </c>
      <c r="C494">
        <v>2100</v>
      </c>
      <c r="D494">
        <v>-3.1160000000000001</v>
      </c>
      <c r="E494">
        <v>-47.62</v>
      </c>
      <c r="F494">
        <v>6.2069999999999999</v>
      </c>
      <c r="G494">
        <v>7.31</v>
      </c>
      <c r="K494">
        <v>0.45900000000000002</v>
      </c>
      <c r="L494">
        <v>128.6</v>
      </c>
      <c r="M494">
        <v>0</v>
      </c>
      <c r="O494">
        <v>-11.51</v>
      </c>
      <c r="P494">
        <v>-10.86</v>
      </c>
      <c r="Q494">
        <v>12</v>
      </c>
      <c r="S494">
        <v>9.6</v>
      </c>
      <c r="T494">
        <v>0</v>
      </c>
      <c r="U494">
        <v>86</v>
      </c>
      <c r="V494">
        <v>970</v>
      </c>
      <c r="W494">
        <v>45.58</v>
      </c>
      <c r="Y494">
        <v>13.23</v>
      </c>
    </row>
    <row r="495" spans="1:25" x14ac:dyDescent="0.25">
      <c r="A495">
        <v>2007</v>
      </c>
      <c r="B495">
        <v>96</v>
      </c>
      <c r="C495">
        <v>2200</v>
      </c>
      <c r="D495">
        <v>-2.0760000000000001</v>
      </c>
      <c r="E495">
        <v>-39.380000000000003</v>
      </c>
      <c r="F495">
        <v>4.9029999999999996</v>
      </c>
      <c r="G495">
        <v>5.5410000000000004</v>
      </c>
      <c r="K495">
        <v>0.30499999999999999</v>
      </c>
      <c r="L495">
        <v>180.1</v>
      </c>
      <c r="M495">
        <v>0</v>
      </c>
      <c r="O495">
        <v>-11.5</v>
      </c>
      <c r="P495">
        <v>-10.84</v>
      </c>
      <c r="Q495">
        <v>11.57</v>
      </c>
      <c r="S495">
        <v>9.6199999999999992</v>
      </c>
      <c r="T495">
        <v>0</v>
      </c>
      <c r="U495">
        <v>91</v>
      </c>
      <c r="V495">
        <v>970</v>
      </c>
      <c r="W495">
        <v>45.6</v>
      </c>
      <c r="Y495">
        <v>13.15</v>
      </c>
    </row>
    <row r="496" spans="1:25" x14ac:dyDescent="0.25">
      <c r="A496">
        <v>2007</v>
      </c>
      <c r="B496">
        <v>96</v>
      </c>
      <c r="C496">
        <v>2300</v>
      </c>
      <c r="D496">
        <v>-3.0270000000000001</v>
      </c>
      <c r="E496">
        <v>-51.61</v>
      </c>
      <c r="F496">
        <v>3.5379999999999998</v>
      </c>
      <c r="G496">
        <v>3.9260000000000002</v>
      </c>
      <c r="K496">
        <v>0.32100000000000001</v>
      </c>
      <c r="L496">
        <v>193.5</v>
      </c>
      <c r="M496">
        <v>0</v>
      </c>
      <c r="O496">
        <v>-11.5</v>
      </c>
      <c r="P496">
        <v>-10.84</v>
      </c>
      <c r="Q496">
        <v>11.13</v>
      </c>
      <c r="S496">
        <v>9.5500000000000007</v>
      </c>
      <c r="T496">
        <v>0</v>
      </c>
      <c r="U496">
        <v>94.1</v>
      </c>
      <c r="V496">
        <v>973</v>
      </c>
      <c r="W496">
        <v>45.92</v>
      </c>
      <c r="Y496">
        <v>13.08</v>
      </c>
    </row>
    <row r="497" spans="1:25" x14ac:dyDescent="0.25">
      <c r="A497">
        <v>2007</v>
      </c>
      <c r="B497">
        <v>96</v>
      </c>
      <c r="C497">
        <v>2400</v>
      </c>
      <c r="D497">
        <v>-2.9649999999999999</v>
      </c>
      <c r="E497">
        <v>-45.84</v>
      </c>
      <c r="F497">
        <v>1.8819999999999999</v>
      </c>
      <c r="G497">
        <v>2.2189999999999999</v>
      </c>
      <c r="K497">
        <v>0.20799999999999999</v>
      </c>
      <c r="L497">
        <v>154.19999999999999</v>
      </c>
      <c r="M497">
        <v>0</v>
      </c>
      <c r="O497">
        <v>-11.5</v>
      </c>
      <c r="P497">
        <v>-10.84</v>
      </c>
      <c r="Q497">
        <v>10.68</v>
      </c>
      <c r="S497">
        <v>9.4499999999999993</v>
      </c>
      <c r="T497">
        <v>0</v>
      </c>
      <c r="U497">
        <v>94.5</v>
      </c>
      <c r="V497">
        <v>983</v>
      </c>
      <c r="W497">
        <v>46.93</v>
      </c>
      <c r="Y497">
        <v>13.01</v>
      </c>
    </row>
    <row r="498" spans="1:25" x14ac:dyDescent="0.25">
      <c r="A498">
        <v>2007</v>
      </c>
      <c r="B498">
        <v>97</v>
      </c>
      <c r="C498">
        <v>100</v>
      </c>
      <c r="D498">
        <v>-2.5659999999999998</v>
      </c>
      <c r="E498">
        <v>-37.99</v>
      </c>
      <c r="F498">
        <v>1.0089999999999999</v>
      </c>
      <c r="G498">
        <v>1.35</v>
      </c>
      <c r="K498">
        <v>0.13800000000000001</v>
      </c>
      <c r="L498">
        <v>159.5</v>
      </c>
      <c r="M498">
        <v>0</v>
      </c>
      <c r="O498">
        <v>-11.5</v>
      </c>
      <c r="P498">
        <v>-10.85</v>
      </c>
      <c r="Q498">
        <v>10.23</v>
      </c>
      <c r="S498">
        <v>9.35</v>
      </c>
      <c r="T498">
        <v>0</v>
      </c>
      <c r="U498">
        <v>94.2</v>
      </c>
      <c r="V498">
        <v>990</v>
      </c>
      <c r="W498">
        <v>47.79</v>
      </c>
      <c r="Y498">
        <v>12.95</v>
      </c>
    </row>
    <row r="499" spans="1:25" x14ac:dyDescent="0.25">
      <c r="A499">
        <v>2007</v>
      </c>
      <c r="B499">
        <v>97</v>
      </c>
      <c r="C499">
        <v>200</v>
      </c>
      <c r="D499">
        <v>-0.98899999999999999</v>
      </c>
      <c r="E499">
        <v>-22.12</v>
      </c>
      <c r="F499">
        <v>1.625</v>
      </c>
      <c r="G499">
        <v>2.093</v>
      </c>
      <c r="K499">
        <v>0.16800000000000001</v>
      </c>
      <c r="L499">
        <v>173.6</v>
      </c>
      <c r="M499">
        <v>0</v>
      </c>
      <c r="O499">
        <v>-11.5</v>
      </c>
      <c r="P499">
        <v>-10.85</v>
      </c>
      <c r="Q499">
        <v>9.77</v>
      </c>
      <c r="S499">
        <v>9.2200000000000006</v>
      </c>
      <c r="T499">
        <v>0</v>
      </c>
      <c r="U499">
        <v>92.3</v>
      </c>
      <c r="V499">
        <v>987</v>
      </c>
      <c r="W499">
        <v>47.45</v>
      </c>
      <c r="Y499">
        <v>12.91</v>
      </c>
    </row>
    <row r="500" spans="1:25" x14ac:dyDescent="0.25">
      <c r="A500">
        <v>2007</v>
      </c>
      <c r="B500">
        <v>97</v>
      </c>
      <c r="C500">
        <v>300</v>
      </c>
      <c r="D500">
        <v>-1.79</v>
      </c>
      <c r="E500">
        <v>-28.27</v>
      </c>
      <c r="F500">
        <v>2.0059999999999998</v>
      </c>
      <c r="G500">
        <v>2.383</v>
      </c>
      <c r="K500">
        <v>0.183</v>
      </c>
      <c r="L500">
        <v>189.4</v>
      </c>
      <c r="M500">
        <v>0</v>
      </c>
      <c r="O500">
        <v>-11.5</v>
      </c>
      <c r="P500">
        <v>-10.85</v>
      </c>
      <c r="Q500">
        <v>9.4</v>
      </c>
      <c r="S500">
        <v>9.06</v>
      </c>
      <c r="T500">
        <v>0</v>
      </c>
      <c r="U500">
        <v>93.9</v>
      </c>
      <c r="V500">
        <v>983</v>
      </c>
      <c r="W500">
        <v>46.95</v>
      </c>
      <c r="Y500">
        <v>12.87</v>
      </c>
    </row>
    <row r="501" spans="1:25" x14ac:dyDescent="0.25">
      <c r="A501">
        <v>2007</v>
      </c>
      <c r="B501">
        <v>97</v>
      </c>
      <c r="C501">
        <v>400</v>
      </c>
      <c r="D501">
        <v>-2.4039999999999999</v>
      </c>
      <c r="E501">
        <v>-30.88</v>
      </c>
      <c r="F501">
        <v>0.61299999999999999</v>
      </c>
      <c r="G501">
        <v>0.96699999999999997</v>
      </c>
      <c r="K501">
        <v>0.219</v>
      </c>
      <c r="L501">
        <v>197.6</v>
      </c>
      <c r="M501">
        <v>0</v>
      </c>
      <c r="O501">
        <v>-11.51</v>
      </c>
      <c r="P501">
        <v>-10.85</v>
      </c>
      <c r="Q501">
        <v>9.07</v>
      </c>
      <c r="S501">
        <v>8.8699999999999992</v>
      </c>
      <c r="T501">
        <v>0</v>
      </c>
      <c r="U501">
        <v>93.9</v>
      </c>
      <c r="V501">
        <v>981</v>
      </c>
      <c r="W501">
        <v>46.76</v>
      </c>
      <c r="Y501">
        <v>12.84</v>
      </c>
    </row>
    <row r="502" spans="1:25" x14ac:dyDescent="0.25">
      <c r="A502">
        <v>2007</v>
      </c>
      <c r="B502">
        <v>97</v>
      </c>
      <c r="C502">
        <v>500</v>
      </c>
      <c r="D502">
        <v>-1.151</v>
      </c>
      <c r="E502">
        <v>-20.71</v>
      </c>
      <c r="F502">
        <v>0.76400000000000001</v>
      </c>
      <c r="G502">
        <v>1.1910000000000001</v>
      </c>
      <c r="K502">
        <v>0.251</v>
      </c>
      <c r="L502">
        <v>203.9</v>
      </c>
      <c r="M502">
        <v>0</v>
      </c>
      <c r="O502">
        <v>-11.51</v>
      </c>
      <c r="P502">
        <v>-10.85</v>
      </c>
      <c r="Q502">
        <v>8.76</v>
      </c>
      <c r="S502">
        <v>8.75</v>
      </c>
      <c r="T502">
        <v>0</v>
      </c>
      <c r="U502">
        <v>92.7</v>
      </c>
      <c r="V502">
        <v>982</v>
      </c>
      <c r="W502">
        <v>46.88</v>
      </c>
      <c r="Y502">
        <v>12.81</v>
      </c>
    </row>
    <row r="503" spans="1:25" x14ac:dyDescent="0.25">
      <c r="A503">
        <v>2007</v>
      </c>
      <c r="B503">
        <v>97</v>
      </c>
      <c r="C503">
        <v>600</v>
      </c>
      <c r="D503">
        <v>2.5430000000000001</v>
      </c>
      <c r="E503">
        <v>-13.35</v>
      </c>
      <c r="F503">
        <v>2.0150000000000001</v>
      </c>
      <c r="G503">
        <v>2.5339999999999998</v>
      </c>
      <c r="K503">
        <v>0.16300000000000001</v>
      </c>
      <c r="L503">
        <v>197.2</v>
      </c>
      <c r="M503">
        <v>0</v>
      </c>
      <c r="O503">
        <v>-6.8789999999999996</v>
      </c>
      <c r="P503">
        <v>-9.3699999999999992</v>
      </c>
      <c r="Q503">
        <v>8.49</v>
      </c>
      <c r="S503">
        <v>8.6199999999999992</v>
      </c>
      <c r="T503">
        <v>0</v>
      </c>
      <c r="U503">
        <v>91.6</v>
      </c>
      <c r="V503">
        <v>982</v>
      </c>
      <c r="W503">
        <v>46.89</v>
      </c>
      <c r="Y503">
        <v>12.8</v>
      </c>
    </row>
    <row r="504" spans="1:25" x14ac:dyDescent="0.25">
      <c r="A504">
        <v>2007</v>
      </c>
      <c r="B504">
        <v>97</v>
      </c>
      <c r="C504">
        <v>700</v>
      </c>
      <c r="D504">
        <v>43.06</v>
      </c>
      <c r="E504">
        <v>9.69</v>
      </c>
      <c r="F504">
        <v>2.93</v>
      </c>
      <c r="G504">
        <v>3.42</v>
      </c>
      <c r="K504">
        <v>0.13500000000000001</v>
      </c>
      <c r="L504">
        <v>181.7</v>
      </c>
      <c r="M504">
        <v>0</v>
      </c>
      <c r="O504">
        <v>45.25</v>
      </c>
      <c r="P504">
        <v>8.1300000000000008</v>
      </c>
      <c r="Q504">
        <v>8.27</v>
      </c>
      <c r="S504">
        <v>8.4700000000000006</v>
      </c>
      <c r="T504">
        <v>0</v>
      </c>
      <c r="U504">
        <v>92.4</v>
      </c>
      <c r="V504">
        <v>980</v>
      </c>
      <c r="W504">
        <v>46.65</v>
      </c>
      <c r="Y504">
        <v>12.92</v>
      </c>
    </row>
    <row r="505" spans="1:25" x14ac:dyDescent="0.25">
      <c r="A505">
        <v>2007</v>
      </c>
      <c r="B505">
        <v>97</v>
      </c>
      <c r="C505">
        <v>800</v>
      </c>
      <c r="D505">
        <v>160.69999999999999</v>
      </c>
      <c r="E505">
        <v>120.5</v>
      </c>
      <c r="F505">
        <v>5.944</v>
      </c>
      <c r="G505">
        <v>6.63</v>
      </c>
      <c r="K505">
        <v>0.26</v>
      </c>
      <c r="L505">
        <v>211.6</v>
      </c>
      <c r="M505">
        <v>0</v>
      </c>
      <c r="O505">
        <v>228.5</v>
      </c>
      <c r="P505">
        <v>77.099999999999994</v>
      </c>
      <c r="Q505">
        <v>8.19</v>
      </c>
      <c r="S505">
        <v>8.39</v>
      </c>
      <c r="T505">
        <v>0</v>
      </c>
      <c r="U505">
        <v>90.8</v>
      </c>
      <c r="V505">
        <v>979</v>
      </c>
      <c r="W505">
        <v>46.5</v>
      </c>
      <c r="Y505">
        <v>13.93</v>
      </c>
    </row>
    <row r="506" spans="1:25" x14ac:dyDescent="0.25">
      <c r="A506">
        <v>2007</v>
      </c>
      <c r="B506">
        <v>97</v>
      </c>
      <c r="C506">
        <v>900</v>
      </c>
      <c r="D506">
        <v>327.5</v>
      </c>
      <c r="E506">
        <v>221.6</v>
      </c>
      <c r="F506">
        <v>8.27</v>
      </c>
      <c r="G506">
        <v>9.99</v>
      </c>
      <c r="H506">
        <f>AVERAGE(G506:G529)</f>
        <v>9.9019166666666649</v>
      </c>
      <c r="I506">
        <f>MIN(G506:G529)</f>
        <v>4.99</v>
      </c>
      <c r="J506">
        <f>MAX(F506:F529)</f>
        <v>11.17</v>
      </c>
      <c r="K506">
        <v>0.71299999999999997</v>
      </c>
      <c r="L506">
        <v>246.8</v>
      </c>
      <c r="M506">
        <v>0</v>
      </c>
      <c r="N506">
        <f>SUM(M506:M529)</f>
        <v>0</v>
      </c>
      <c r="O506">
        <v>427.8</v>
      </c>
      <c r="P506">
        <v>134.1</v>
      </c>
      <c r="Q506">
        <v>8.27</v>
      </c>
      <c r="S506">
        <v>8.3800000000000008</v>
      </c>
      <c r="T506">
        <v>0</v>
      </c>
      <c r="U506">
        <v>79.599999999999994</v>
      </c>
      <c r="V506">
        <v>977</v>
      </c>
      <c r="W506">
        <v>46.32</v>
      </c>
      <c r="Y506">
        <v>14.57</v>
      </c>
    </row>
    <row r="507" spans="1:25" x14ac:dyDescent="0.25">
      <c r="A507">
        <v>2007</v>
      </c>
      <c r="B507">
        <v>97</v>
      </c>
      <c r="C507">
        <v>1000</v>
      </c>
      <c r="D507">
        <v>471.3</v>
      </c>
      <c r="E507">
        <v>303.10000000000002</v>
      </c>
      <c r="F507">
        <v>9.75</v>
      </c>
      <c r="G507">
        <v>12.26</v>
      </c>
      <c r="K507">
        <v>0.70499999999999996</v>
      </c>
      <c r="L507">
        <v>265.89999999999998</v>
      </c>
      <c r="M507">
        <v>0</v>
      </c>
      <c r="O507">
        <v>594</v>
      </c>
      <c r="P507">
        <v>170.3</v>
      </c>
      <c r="Q507">
        <v>8.59</v>
      </c>
      <c r="S507">
        <v>8.3000000000000007</v>
      </c>
      <c r="T507">
        <v>0</v>
      </c>
      <c r="U507">
        <v>72.8</v>
      </c>
      <c r="V507">
        <v>975</v>
      </c>
      <c r="W507">
        <v>46.06</v>
      </c>
      <c r="Y507">
        <v>14.84</v>
      </c>
    </row>
    <row r="508" spans="1:25" x14ac:dyDescent="0.25">
      <c r="A508">
        <v>2007</v>
      </c>
      <c r="B508">
        <v>97</v>
      </c>
      <c r="C508">
        <v>1100</v>
      </c>
      <c r="D508">
        <v>458.4</v>
      </c>
      <c r="E508">
        <v>281.3</v>
      </c>
      <c r="F508">
        <v>9.5299999999999994</v>
      </c>
      <c r="G508">
        <v>12.7</v>
      </c>
      <c r="K508">
        <v>1.3959999999999999</v>
      </c>
      <c r="L508">
        <v>216.6</v>
      </c>
      <c r="M508">
        <v>0</v>
      </c>
      <c r="O508">
        <v>560.70000000000005</v>
      </c>
      <c r="P508">
        <v>150.80000000000001</v>
      </c>
      <c r="Q508">
        <v>9.23</v>
      </c>
      <c r="S508">
        <v>8.2100000000000009</v>
      </c>
      <c r="T508">
        <v>0</v>
      </c>
      <c r="U508">
        <v>66.42</v>
      </c>
      <c r="V508">
        <v>972</v>
      </c>
      <c r="W508">
        <v>45.78</v>
      </c>
      <c r="Y508">
        <v>14.46</v>
      </c>
    </row>
    <row r="509" spans="1:25" x14ac:dyDescent="0.25">
      <c r="A509">
        <v>2007</v>
      </c>
      <c r="B509">
        <v>97</v>
      </c>
      <c r="C509">
        <v>1200</v>
      </c>
      <c r="D509">
        <v>400.5</v>
      </c>
      <c r="E509">
        <v>239.5</v>
      </c>
      <c r="F509">
        <v>9.31</v>
      </c>
      <c r="G509">
        <v>12.52</v>
      </c>
      <c r="K509">
        <v>1.1220000000000001</v>
      </c>
      <c r="L509">
        <v>222.4</v>
      </c>
      <c r="M509">
        <v>0</v>
      </c>
      <c r="O509">
        <v>489.7</v>
      </c>
      <c r="P509">
        <v>128.6</v>
      </c>
      <c r="Q509">
        <v>9.98</v>
      </c>
      <c r="S509">
        <v>8.23</v>
      </c>
      <c r="T509">
        <v>0</v>
      </c>
      <c r="U509">
        <v>65.84</v>
      </c>
      <c r="V509">
        <v>970</v>
      </c>
      <c r="W509">
        <v>45.63</v>
      </c>
      <c r="Y509">
        <v>14.14</v>
      </c>
    </row>
    <row r="510" spans="1:25" x14ac:dyDescent="0.25">
      <c r="A510">
        <v>2007</v>
      </c>
      <c r="B510">
        <v>97</v>
      </c>
      <c r="C510">
        <v>1300</v>
      </c>
      <c r="D510">
        <v>574.70000000000005</v>
      </c>
      <c r="E510">
        <v>341.2</v>
      </c>
      <c r="F510">
        <v>10.35</v>
      </c>
      <c r="G510">
        <v>13.55</v>
      </c>
      <c r="K510">
        <v>1.1539999999999999</v>
      </c>
      <c r="L510">
        <v>216.1</v>
      </c>
      <c r="M510">
        <v>0</v>
      </c>
      <c r="O510">
        <v>694.8</v>
      </c>
      <c r="P510">
        <v>182.3</v>
      </c>
      <c r="Q510">
        <v>10.68</v>
      </c>
      <c r="S510">
        <v>8.42</v>
      </c>
      <c r="T510">
        <v>0</v>
      </c>
      <c r="U510">
        <v>67.02</v>
      </c>
      <c r="V510">
        <v>970</v>
      </c>
      <c r="W510">
        <v>45.6</v>
      </c>
      <c r="Y510">
        <v>14.45</v>
      </c>
    </row>
    <row r="511" spans="1:25" x14ac:dyDescent="0.25">
      <c r="A511">
        <v>2007</v>
      </c>
      <c r="B511">
        <v>97</v>
      </c>
      <c r="C511">
        <v>1400</v>
      </c>
      <c r="D511">
        <v>611.5</v>
      </c>
      <c r="E511">
        <v>360.2</v>
      </c>
      <c r="F511">
        <v>11.17</v>
      </c>
      <c r="G511">
        <v>14.53</v>
      </c>
      <c r="K511">
        <v>1.292</v>
      </c>
      <c r="L511">
        <v>213.1</v>
      </c>
      <c r="M511">
        <v>0</v>
      </c>
      <c r="O511">
        <v>728</v>
      </c>
      <c r="P511">
        <v>202.3</v>
      </c>
      <c r="Q511">
        <v>11.45</v>
      </c>
      <c r="S511">
        <v>8.65</v>
      </c>
      <c r="T511">
        <v>0</v>
      </c>
      <c r="U511">
        <v>66.47</v>
      </c>
      <c r="V511">
        <v>970</v>
      </c>
      <c r="W511">
        <v>45.61</v>
      </c>
      <c r="Y511">
        <v>14.31</v>
      </c>
    </row>
    <row r="512" spans="1:25" x14ac:dyDescent="0.25">
      <c r="A512">
        <v>2007</v>
      </c>
      <c r="B512">
        <v>97</v>
      </c>
      <c r="C512">
        <v>1500</v>
      </c>
      <c r="D512">
        <v>288.7</v>
      </c>
      <c r="E512">
        <v>153.30000000000001</v>
      </c>
      <c r="F512">
        <v>10.58</v>
      </c>
      <c r="G512">
        <v>13.91</v>
      </c>
      <c r="K512">
        <v>1.2330000000000001</v>
      </c>
      <c r="L512">
        <v>225.8</v>
      </c>
      <c r="M512">
        <v>0</v>
      </c>
      <c r="O512">
        <v>349.4</v>
      </c>
      <c r="P512">
        <v>93.7</v>
      </c>
      <c r="Q512">
        <v>12.22</v>
      </c>
      <c r="S512">
        <v>8.8000000000000007</v>
      </c>
      <c r="T512">
        <v>0</v>
      </c>
      <c r="U512">
        <v>66.180000000000007</v>
      </c>
      <c r="V512">
        <v>971</v>
      </c>
      <c r="W512">
        <v>45.7</v>
      </c>
      <c r="Y512">
        <v>13.97</v>
      </c>
    </row>
    <row r="513" spans="1:25" x14ac:dyDescent="0.25">
      <c r="A513">
        <v>2007</v>
      </c>
      <c r="B513">
        <v>97</v>
      </c>
      <c r="C513">
        <v>1600</v>
      </c>
      <c r="D513">
        <v>225.1</v>
      </c>
      <c r="E513">
        <v>115.7</v>
      </c>
      <c r="F513">
        <v>10.56</v>
      </c>
      <c r="G513">
        <v>13.91</v>
      </c>
      <c r="K513">
        <v>1.31</v>
      </c>
      <c r="L513">
        <v>220</v>
      </c>
      <c r="M513">
        <v>0</v>
      </c>
      <c r="O513">
        <v>273.7</v>
      </c>
      <c r="P513">
        <v>78.8</v>
      </c>
      <c r="Q513">
        <v>12.68</v>
      </c>
      <c r="S513">
        <v>9.0500000000000007</v>
      </c>
      <c r="T513">
        <v>0</v>
      </c>
      <c r="U513">
        <v>65.989999999999995</v>
      </c>
      <c r="V513">
        <v>970</v>
      </c>
      <c r="W513">
        <v>45.6</v>
      </c>
      <c r="Y513">
        <v>13.84</v>
      </c>
    </row>
    <row r="514" spans="1:25" x14ac:dyDescent="0.25">
      <c r="A514">
        <v>2007</v>
      </c>
      <c r="B514">
        <v>97</v>
      </c>
      <c r="C514">
        <v>1700</v>
      </c>
      <c r="D514">
        <v>214.5</v>
      </c>
      <c r="E514">
        <v>101</v>
      </c>
      <c r="F514">
        <v>10.59</v>
      </c>
      <c r="G514">
        <v>13.88</v>
      </c>
      <c r="K514">
        <v>1.54</v>
      </c>
      <c r="L514">
        <v>213.8</v>
      </c>
      <c r="M514">
        <v>0</v>
      </c>
      <c r="O514">
        <v>251.1</v>
      </c>
      <c r="P514">
        <v>79.8</v>
      </c>
      <c r="Q514">
        <v>12.87</v>
      </c>
      <c r="S514">
        <v>9.32</v>
      </c>
      <c r="T514">
        <v>0</v>
      </c>
      <c r="U514">
        <v>66.48</v>
      </c>
      <c r="V514">
        <v>969</v>
      </c>
      <c r="W514">
        <v>45.49</v>
      </c>
      <c r="Y514">
        <v>13.87</v>
      </c>
    </row>
    <row r="515" spans="1:25" x14ac:dyDescent="0.25">
      <c r="A515">
        <v>2007</v>
      </c>
      <c r="B515">
        <v>97</v>
      </c>
      <c r="C515">
        <v>1800</v>
      </c>
      <c r="D515">
        <v>87</v>
      </c>
      <c r="E515">
        <v>23.66</v>
      </c>
      <c r="F515">
        <v>10.43</v>
      </c>
      <c r="G515">
        <v>13.26</v>
      </c>
      <c r="K515">
        <v>1.2110000000000001</v>
      </c>
      <c r="L515">
        <v>215.3</v>
      </c>
      <c r="M515">
        <v>0</v>
      </c>
      <c r="O515">
        <v>100.8</v>
      </c>
      <c r="P515">
        <v>23.19</v>
      </c>
      <c r="Q515">
        <v>12.93</v>
      </c>
      <c r="S515">
        <v>9.52</v>
      </c>
      <c r="T515">
        <v>0</v>
      </c>
      <c r="U515">
        <v>70.400000000000006</v>
      </c>
      <c r="V515">
        <v>968</v>
      </c>
      <c r="W515">
        <v>45.41</v>
      </c>
      <c r="Y515">
        <v>13.64</v>
      </c>
    </row>
    <row r="516" spans="1:25" x14ac:dyDescent="0.25">
      <c r="A516">
        <v>2007</v>
      </c>
      <c r="B516">
        <v>97</v>
      </c>
      <c r="C516">
        <v>1900</v>
      </c>
      <c r="D516">
        <v>23.49</v>
      </c>
      <c r="E516">
        <v>-20.96</v>
      </c>
      <c r="F516">
        <v>9.66</v>
      </c>
      <c r="G516">
        <v>12.01</v>
      </c>
      <c r="K516">
        <v>1.147</v>
      </c>
      <c r="L516">
        <v>210.1</v>
      </c>
      <c r="M516">
        <v>0</v>
      </c>
      <c r="O516">
        <v>21.36</v>
      </c>
      <c r="P516">
        <v>-1.528</v>
      </c>
      <c r="Q516">
        <v>12.83</v>
      </c>
      <c r="S516">
        <v>9.68</v>
      </c>
      <c r="T516">
        <v>0</v>
      </c>
      <c r="U516">
        <v>74.2</v>
      </c>
      <c r="V516">
        <v>967</v>
      </c>
      <c r="W516">
        <v>45.27</v>
      </c>
      <c r="Y516">
        <v>13.47</v>
      </c>
    </row>
    <row r="517" spans="1:25" x14ac:dyDescent="0.25">
      <c r="A517">
        <v>2007</v>
      </c>
      <c r="B517">
        <v>97</v>
      </c>
      <c r="C517">
        <v>2000</v>
      </c>
      <c r="D517">
        <v>-1.7310000000000001</v>
      </c>
      <c r="E517">
        <v>-41.92</v>
      </c>
      <c r="F517">
        <v>8.3699999999999992</v>
      </c>
      <c r="G517">
        <v>10.17</v>
      </c>
      <c r="K517">
        <v>0.93799999999999994</v>
      </c>
      <c r="L517">
        <v>209</v>
      </c>
      <c r="M517">
        <v>0</v>
      </c>
      <c r="O517">
        <v>-11.05</v>
      </c>
      <c r="P517">
        <v>-11.01</v>
      </c>
      <c r="Q517">
        <v>12.59</v>
      </c>
      <c r="S517">
        <v>9.7899999999999991</v>
      </c>
      <c r="T517">
        <v>0</v>
      </c>
      <c r="U517">
        <v>78.8</v>
      </c>
      <c r="V517">
        <v>967</v>
      </c>
      <c r="W517">
        <v>45.29</v>
      </c>
      <c r="Y517">
        <v>13.35</v>
      </c>
    </row>
    <row r="518" spans="1:25" x14ac:dyDescent="0.25">
      <c r="A518">
        <v>2007</v>
      </c>
      <c r="B518">
        <v>97</v>
      </c>
      <c r="C518">
        <v>2100</v>
      </c>
      <c r="D518">
        <v>-2.0129999999999999</v>
      </c>
      <c r="E518">
        <v>-35.94</v>
      </c>
      <c r="F518">
        <v>7.58</v>
      </c>
      <c r="G518">
        <v>9.6999999999999993</v>
      </c>
      <c r="K518">
        <v>1.51</v>
      </c>
      <c r="L518">
        <v>209.3</v>
      </c>
      <c r="M518">
        <v>0</v>
      </c>
      <c r="O518">
        <v>-11.65</v>
      </c>
      <c r="P518">
        <v>-11.02</v>
      </c>
      <c r="Q518">
        <v>12.25</v>
      </c>
      <c r="S518">
        <v>9.8800000000000008</v>
      </c>
      <c r="T518">
        <v>0</v>
      </c>
      <c r="U518">
        <v>74.8</v>
      </c>
      <c r="V518">
        <v>967</v>
      </c>
      <c r="W518">
        <v>45.23</v>
      </c>
      <c r="Y518">
        <v>13.26</v>
      </c>
    </row>
    <row r="519" spans="1:25" x14ac:dyDescent="0.25">
      <c r="A519">
        <v>2007</v>
      </c>
      <c r="B519">
        <v>97</v>
      </c>
      <c r="C519">
        <v>2200</v>
      </c>
      <c r="D519">
        <v>-2.3079999999999998</v>
      </c>
      <c r="E519">
        <v>-40.380000000000003</v>
      </c>
      <c r="F519">
        <v>6.7779999999999996</v>
      </c>
      <c r="G519">
        <v>8.91</v>
      </c>
      <c r="K519">
        <v>1.2849999999999999</v>
      </c>
      <c r="L519">
        <v>217.6</v>
      </c>
      <c r="M519">
        <v>0</v>
      </c>
      <c r="O519">
        <v>-11.5</v>
      </c>
      <c r="P519">
        <v>-10.87</v>
      </c>
      <c r="Q519">
        <v>11.84</v>
      </c>
      <c r="S519">
        <v>9.83</v>
      </c>
      <c r="T519">
        <v>0</v>
      </c>
      <c r="U519">
        <v>73.900000000000006</v>
      </c>
      <c r="V519">
        <v>968</v>
      </c>
      <c r="W519">
        <v>45.37</v>
      </c>
      <c r="Y519">
        <v>13.17</v>
      </c>
    </row>
    <row r="520" spans="1:25" x14ac:dyDescent="0.25">
      <c r="A520">
        <v>2007</v>
      </c>
      <c r="B520">
        <v>97</v>
      </c>
      <c r="C520">
        <v>2300</v>
      </c>
      <c r="D520">
        <v>-2.5230000000000001</v>
      </c>
      <c r="E520">
        <v>-43.92</v>
      </c>
      <c r="F520">
        <v>6.1719999999999997</v>
      </c>
      <c r="G520">
        <v>8.34</v>
      </c>
      <c r="K520">
        <v>1.486</v>
      </c>
      <c r="L520">
        <v>223.8</v>
      </c>
      <c r="M520">
        <v>0</v>
      </c>
      <c r="O520">
        <v>-11.5</v>
      </c>
      <c r="P520">
        <v>-10.84</v>
      </c>
      <c r="Q520">
        <v>11.49</v>
      </c>
      <c r="S520">
        <v>9.85</v>
      </c>
      <c r="T520">
        <v>0</v>
      </c>
      <c r="U520">
        <v>72.900000000000006</v>
      </c>
      <c r="V520">
        <v>972</v>
      </c>
      <c r="W520">
        <v>45.76</v>
      </c>
      <c r="Y520">
        <v>13.1</v>
      </c>
    </row>
    <row r="521" spans="1:25" x14ac:dyDescent="0.25">
      <c r="A521">
        <v>2007</v>
      </c>
      <c r="B521">
        <v>97</v>
      </c>
      <c r="C521">
        <v>2400</v>
      </c>
      <c r="D521">
        <v>-2.7490000000000001</v>
      </c>
      <c r="E521">
        <v>-46.25</v>
      </c>
      <c r="F521">
        <v>5.7140000000000004</v>
      </c>
      <c r="G521">
        <v>7.74</v>
      </c>
      <c r="K521">
        <v>1.8740000000000001</v>
      </c>
      <c r="L521">
        <v>216.2</v>
      </c>
      <c r="M521">
        <v>0</v>
      </c>
      <c r="O521">
        <v>-11.5</v>
      </c>
      <c r="P521">
        <v>-10.84</v>
      </c>
      <c r="Q521">
        <v>11.06</v>
      </c>
      <c r="S521">
        <v>9.74</v>
      </c>
      <c r="T521">
        <v>0</v>
      </c>
      <c r="U521">
        <v>74.099999999999994</v>
      </c>
      <c r="V521">
        <v>978</v>
      </c>
      <c r="W521">
        <v>46.44</v>
      </c>
      <c r="Y521">
        <v>13.03</v>
      </c>
    </row>
    <row r="522" spans="1:25" x14ac:dyDescent="0.25">
      <c r="A522">
        <v>2007</v>
      </c>
      <c r="B522">
        <v>98</v>
      </c>
      <c r="C522">
        <v>100</v>
      </c>
      <c r="D522">
        <v>-2.508</v>
      </c>
      <c r="E522">
        <v>-42.77</v>
      </c>
      <c r="F522">
        <v>5.4740000000000002</v>
      </c>
      <c r="G522">
        <v>7.22</v>
      </c>
      <c r="K522">
        <v>1.5640000000000001</v>
      </c>
      <c r="L522">
        <v>221.1</v>
      </c>
      <c r="M522">
        <v>0</v>
      </c>
      <c r="O522">
        <v>-11.5</v>
      </c>
      <c r="P522">
        <v>-10.84</v>
      </c>
      <c r="Q522">
        <v>10.66</v>
      </c>
      <c r="S522">
        <v>9.64</v>
      </c>
      <c r="T522">
        <v>0</v>
      </c>
      <c r="U522">
        <v>77.099999999999994</v>
      </c>
      <c r="V522">
        <v>983</v>
      </c>
      <c r="W522">
        <v>46.98</v>
      </c>
      <c r="Y522">
        <v>12.97</v>
      </c>
    </row>
    <row r="523" spans="1:25" x14ac:dyDescent="0.25">
      <c r="A523">
        <v>2007</v>
      </c>
      <c r="B523">
        <v>98</v>
      </c>
      <c r="C523">
        <v>200</v>
      </c>
      <c r="D523">
        <v>-2.6930000000000001</v>
      </c>
      <c r="E523">
        <v>-45.65</v>
      </c>
      <c r="F523">
        <v>5.5529999999999999</v>
      </c>
      <c r="G523">
        <v>7.1</v>
      </c>
      <c r="K523">
        <v>1.6679999999999999</v>
      </c>
      <c r="L523">
        <v>225.1</v>
      </c>
      <c r="M523">
        <v>0</v>
      </c>
      <c r="O523">
        <v>-11.5</v>
      </c>
      <c r="P523">
        <v>-10.85</v>
      </c>
      <c r="Q523">
        <v>10.34</v>
      </c>
      <c r="S523">
        <v>9.58</v>
      </c>
      <c r="T523">
        <v>0</v>
      </c>
      <c r="U523">
        <v>79.599999999999994</v>
      </c>
      <c r="V523">
        <v>989</v>
      </c>
      <c r="W523">
        <v>47.68</v>
      </c>
      <c r="Y523">
        <v>12.92</v>
      </c>
    </row>
    <row r="524" spans="1:25" x14ac:dyDescent="0.25">
      <c r="A524">
        <v>2007</v>
      </c>
      <c r="B524">
        <v>98</v>
      </c>
      <c r="C524">
        <v>300</v>
      </c>
      <c r="D524">
        <v>-2.7570000000000001</v>
      </c>
      <c r="E524">
        <v>-46.72</v>
      </c>
      <c r="F524">
        <v>5.5519999999999996</v>
      </c>
      <c r="G524">
        <v>6.915</v>
      </c>
      <c r="K524">
        <v>1.96</v>
      </c>
      <c r="L524">
        <v>227.1</v>
      </c>
      <c r="M524">
        <v>0</v>
      </c>
      <c r="O524">
        <v>-11.5</v>
      </c>
      <c r="P524">
        <v>-10.84</v>
      </c>
      <c r="Q524">
        <v>9.99</v>
      </c>
      <c r="S524">
        <v>9.42</v>
      </c>
      <c r="T524">
        <v>0</v>
      </c>
      <c r="U524">
        <v>81.8</v>
      </c>
      <c r="V524">
        <v>984</v>
      </c>
      <c r="W524">
        <v>47.1</v>
      </c>
      <c r="Y524">
        <v>12.88</v>
      </c>
    </row>
    <row r="525" spans="1:25" x14ac:dyDescent="0.25">
      <c r="A525">
        <v>2007</v>
      </c>
      <c r="B525">
        <v>98</v>
      </c>
      <c r="C525">
        <v>400</v>
      </c>
      <c r="D525">
        <v>-2.5209999999999999</v>
      </c>
      <c r="E525">
        <v>-44.98</v>
      </c>
      <c r="F525">
        <v>5.0739999999999998</v>
      </c>
      <c r="G525">
        <v>6.2069999999999999</v>
      </c>
      <c r="K525">
        <v>1.833</v>
      </c>
      <c r="L525">
        <v>227.5</v>
      </c>
      <c r="M525">
        <v>0</v>
      </c>
      <c r="O525">
        <v>-11.5</v>
      </c>
      <c r="P525">
        <v>-10.84</v>
      </c>
      <c r="Q525">
        <v>9.65</v>
      </c>
      <c r="S525">
        <v>9.27</v>
      </c>
      <c r="T525">
        <v>0</v>
      </c>
      <c r="U525">
        <v>84.4</v>
      </c>
      <c r="V525">
        <v>981</v>
      </c>
      <c r="W525">
        <v>46.78</v>
      </c>
      <c r="Y525">
        <v>12.85</v>
      </c>
    </row>
    <row r="526" spans="1:25" x14ac:dyDescent="0.25">
      <c r="A526">
        <v>2007</v>
      </c>
      <c r="B526">
        <v>98</v>
      </c>
      <c r="C526">
        <v>500</v>
      </c>
      <c r="D526">
        <v>-2.4380000000000002</v>
      </c>
      <c r="E526">
        <v>-45.43</v>
      </c>
      <c r="F526">
        <v>4.5380000000000003</v>
      </c>
      <c r="G526">
        <v>5.4829999999999997</v>
      </c>
      <c r="K526">
        <v>1.756</v>
      </c>
      <c r="L526">
        <v>227.2</v>
      </c>
      <c r="M526">
        <v>0</v>
      </c>
      <c r="O526">
        <v>-11.5</v>
      </c>
      <c r="P526">
        <v>-10.85</v>
      </c>
      <c r="Q526">
        <v>9.32</v>
      </c>
      <c r="S526">
        <v>9.11</v>
      </c>
      <c r="T526">
        <v>0</v>
      </c>
      <c r="U526">
        <v>86.6</v>
      </c>
      <c r="V526">
        <v>981</v>
      </c>
      <c r="W526">
        <v>46.74</v>
      </c>
      <c r="Y526">
        <v>12.83</v>
      </c>
    </row>
    <row r="527" spans="1:25" x14ac:dyDescent="0.25">
      <c r="A527">
        <v>2007</v>
      </c>
      <c r="B527">
        <v>98</v>
      </c>
      <c r="C527">
        <v>600</v>
      </c>
      <c r="D527">
        <v>0.83299999999999996</v>
      </c>
      <c r="E527">
        <v>-41.69</v>
      </c>
      <c r="F527">
        <v>4.2169999999999996</v>
      </c>
      <c r="G527">
        <v>4.99</v>
      </c>
      <c r="K527">
        <v>2.1280000000000001</v>
      </c>
      <c r="L527">
        <v>227.3</v>
      </c>
      <c r="M527">
        <v>0</v>
      </c>
      <c r="O527">
        <v>-7.66</v>
      </c>
      <c r="P527">
        <v>-9.5299999999999994</v>
      </c>
      <c r="Q527">
        <v>9.0399999999999991</v>
      </c>
      <c r="S527">
        <v>8.98</v>
      </c>
      <c r="T527">
        <v>0</v>
      </c>
      <c r="U527">
        <v>88.8</v>
      </c>
      <c r="V527">
        <v>979</v>
      </c>
      <c r="W527">
        <v>46.56</v>
      </c>
      <c r="Y527">
        <v>12.82</v>
      </c>
    </row>
    <row r="528" spans="1:25" x14ac:dyDescent="0.25">
      <c r="A528">
        <v>2007</v>
      </c>
      <c r="B528">
        <v>98</v>
      </c>
      <c r="C528">
        <v>700</v>
      </c>
      <c r="D528">
        <v>63.77</v>
      </c>
      <c r="E528">
        <v>10.24</v>
      </c>
      <c r="F528">
        <v>4.7699999999999996</v>
      </c>
      <c r="G528">
        <v>5.4809999999999999</v>
      </c>
      <c r="K528">
        <v>2.1379999999999999</v>
      </c>
      <c r="L528">
        <v>227.2</v>
      </c>
      <c r="M528">
        <v>0</v>
      </c>
      <c r="O528">
        <v>73</v>
      </c>
      <c r="P528">
        <v>27.31</v>
      </c>
      <c r="Q528">
        <v>8.81</v>
      </c>
      <c r="S528">
        <v>8.8800000000000008</v>
      </c>
      <c r="T528">
        <v>0</v>
      </c>
      <c r="U528">
        <v>89.9</v>
      </c>
      <c r="V528">
        <v>978</v>
      </c>
      <c r="W528">
        <v>46.42</v>
      </c>
      <c r="Y528">
        <v>13.18</v>
      </c>
    </row>
    <row r="529" spans="1:25" x14ac:dyDescent="0.25">
      <c r="A529">
        <v>2007</v>
      </c>
      <c r="B529">
        <v>98</v>
      </c>
      <c r="C529">
        <v>800</v>
      </c>
      <c r="D529">
        <v>166.7</v>
      </c>
      <c r="E529">
        <v>92.3</v>
      </c>
      <c r="F529">
        <v>6.0350000000000001</v>
      </c>
      <c r="G529">
        <v>6.87</v>
      </c>
      <c r="K529">
        <v>2.319</v>
      </c>
      <c r="L529">
        <v>227.5</v>
      </c>
      <c r="M529">
        <v>0</v>
      </c>
      <c r="O529">
        <v>217.2</v>
      </c>
      <c r="P529">
        <v>71.099999999999994</v>
      </c>
      <c r="Q529">
        <v>8.6199999999999992</v>
      </c>
      <c r="S529">
        <v>8.7799999999999994</v>
      </c>
      <c r="T529">
        <v>0</v>
      </c>
      <c r="U529">
        <v>88.8</v>
      </c>
      <c r="V529">
        <v>976</v>
      </c>
      <c r="W529">
        <v>46.16</v>
      </c>
      <c r="Y529">
        <v>13.95</v>
      </c>
    </row>
    <row r="530" spans="1:25" x14ac:dyDescent="0.25">
      <c r="A530">
        <v>2007</v>
      </c>
      <c r="B530">
        <v>98</v>
      </c>
      <c r="C530">
        <v>900</v>
      </c>
      <c r="D530">
        <v>164.8</v>
      </c>
      <c r="E530">
        <v>97.1</v>
      </c>
      <c r="F530">
        <v>6.6870000000000003</v>
      </c>
      <c r="G530">
        <v>7.83</v>
      </c>
      <c r="H530">
        <f>AVERAGE(G530:G553)</f>
        <v>9.3740416666666686</v>
      </c>
      <c r="I530">
        <f>MIN(G530:G553)</f>
        <v>6.9669999999999996</v>
      </c>
      <c r="J530">
        <f>MAX(F530:F553)</f>
        <v>9.6</v>
      </c>
      <c r="K530">
        <v>3.359</v>
      </c>
      <c r="L530">
        <v>228.4</v>
      </c>
      <c r="M530">
        <v>0</v>
      </c>
      <c r="N530">
        <f>SUM(M530:M553)</f>
        <v>0</v>
      </c>
      <c r="O530">
        <v>198</v>
      </c>
      <c r="P530">
        <v>48.05</v>
      </c>
      <c r="Q530">
        <v>8.61</v>
      </c>
      <c r="S530">
        <v>8.66</v>
      </c>
      <c r="T530">
        <v>0</v>
      </c>
      <c r="U530">
        <v>85.2</v>
      </c>
      <c r="V530">
        <v>974</v>
      </c>
      <c r="W530">
        <v>45.98</v>
      </c>
      <c r="Y530">
        <v>13.86</v>
      </c>
    </row>
    <row r="531" spans="1:25" x14ac:dyDescent="0.25">
      <c r="A531">
        <v>2007</v>
      </c>
      <c r="B531">
        <v>98</v>
      </c>
      <c r="C531">
        <v>1000</v>
      </c>
      <c r="D531">
        <v>205.9</v>
      </c>
      <c r="E531">
        <v>123.4</v>
      </c>
      <c r="F531">
        <v>7.36</v>
      </c>
      <c r="G531">
        <v>8.6300000000000008</v>
      </c>
      <c r="K531">
        <v>2.89</v>
      </c>
      <c r="L531">
        <v>228.5</v>
      </c>
      <c r="M531">
        <v>0</v>
      </c>
      <c r="O531">
        <v>250.7</v>
      </c>
      <c r="P531">
        <v>62.16</v>
      </c>
      <c r="Q531">
        <v>8.77</v>
      </c>
      <c r="S531">
        <v>8.58</v>
      </c>
      <c r="T531">
        <v>0</v>
      </c>
      <c r="U531">
        <v>84.1</v>
      </c>
      <c r="V531">
        <v>972</v>
      </c>
      <c r="W531">
        <v>45.75</v>
      </c>
      <c r="Y531">
        <v>13.8</v>
      </c>
    </row>
    <row r="532" spans="1:25" x14ac:dyDescent="0.25">
      <c r="A532">
        <v>2007</v>
      </c>
      <c r="B532">
        <v>98</v>
      </c>
      <c r="C532">
        <v>1100</v>
      </c>
      <c r="D532">
        <v>307.2</v>
      </c>
      <c r="E532">
        <v>185.3</v>
      </c>
      <c r="F532">
        <v>8.02</v>
      </c>
      <c r="G532">
        <v>9.56</v>
      </c>
      <c r="K532">
        <v>3.1709999999999998</v>
      </c>
      <c r="L532">
        <v>228.6</v>
      </c>
      <c r="M532">
        <v>0</v>
      </c>
      <c r="O532">
        <v>377.2</v>
      </c>
      <c r="P532">
        <v>96.9</v>
      </c>
      <c r="Q532">
        <v>9.06</v>
      </c>
      <c r="S532">
        <v>8.51</v>
      </c>
      <c r="T532">
        <v>0</v>
      </c>
      <c r="U532">
        <v>81.599999999999994</v>
      </c>
      <c r="V532">
        <v>971</v>
      </c>
      <c r="W532">
        <v>45.64</v>
      </c>
      <c r="Y532">
        <v>14.05</v>
      </c>
    </row>
    <row r="533" spans="1:25" x14ac:dyDescent="0.25">
      <c r="A533">
        <v>2007</v>
      </c>
      <c r="B533">
        <v>98</v>
      </c>
      <c r="C533">
        <v>1200</v>
      </c>
      <c r="D533">
        <v>367.3</v>
      </c>
      <c r="E533">
        <v>218.3</v>
      </c>
      <c r="F533">
        <v>8.67</v>
      </c>
      <c r="G533">
        <v>11.01</v>
      </c>
      <c r="K533">
        <v>3.5859999999999999</v>
      </c>
      <c r="L533">
        <v>228.6</v>
      </c>
      <c r="M533">
        <v>0</v>
      </c>
      <c r="O533">
        <v>447.2</v>
      </c>
      <c r="P533">
        <v>116.8</v>
      </c>
      <c r="Q533">
        <v>9.4700000000000006</v>
      </c>
      <c r="S533">
        <v>8.5299999999999994</v>
      </c>
      <c r="T533">
        <v>0</v>
      </c>
      <c r="U533">
        <v>73.400000000000006</v>
      </c>
      <c r="V533">
        <v>969</v>
      </c>
      <c r="W533">
        <v>45.45</v>
      </c>
      <c r="Y533">
        <v>14.16</v>
      </c>
    </row>
    <row r="534" spans="1:25" x14ac:dyDescent="0.25">
      <c r="A534">
        <v>2007</v>
      </c>
      <c r="B534">
        <v>98</v>
      </c>
      <c r="C534">
        <v>1300</v>
      </c>
      <c r="D534">
        <v>231.9</v>
      </c>
      <c r="E534">
        <v>130</v>
      </c>
      <c r="F534">
        <v>8.58</v>
      </c>
      <c r="G534">
        <v>11.03</v>
      </c>
      <c r="K534">
        <v>3.508</v>
      </c>
      <c r="L534">
        <v>229</v>
      </c>
      <c r="M534">
        <v>0</v>
      </c>
      <c r="O534">
        <v>290.3</v>
      </c>
      <c r="P534">
        <v>74.2</v>
      </c>
      <c r="Q534">
        <v>9.9600000000000009</v>
      </c>
      <c r="S534">
        <v>8.52</v>
      </c>
      <c r="T534">
        <v>0</v>
      </c>
      <c r="U534">
        <v>72.3</v>
      </c>
      <c r="V534">
        <v>967</v>
      </c>
      <c r="W534">
        <v>45.3</v>
      </c>
      <c r="Y534">
        <v>13.91</v>
      </c>
    </row>
    <row r="535" spans="1:25" x14ac:dyDescent="0.25">
      <c r="A535">
        <v>2007</v>
      </c>
      <c r="B535">
        <v>98</v>
      </c>
      <c r="C535">
        <v>1400</v>
      </c>
      <c r="D535">
        <v>440</v>
      </c>
      <c r="E535">
        <v>254.7</v>
      </c>
      <c r="F535">
        <v>9.34</v>
      </c>
      <c r="G535">
        <v>12.27</v>
      </c>
      <c r="K535">
        <v>3.706</v>
      </c>
      <c r="L535">
        <v>228.2</v>
      </c>
      <c r="M535">
        <v>0</v>
      </c>
      <c r="O535">
        <v>535.6</v>
      </c>
      <c r="P535">
        <v>146.80000000000001</v>
      </c>
      <c r="Q535">
        <v>10.37</v>
      </c>
      <c r="S535">
        <v>8.6199999999999992</v>
      </c>
      <c r="T535">
        <v>0</v>
      </c>
      <c r="U535">
        <v>68.44</v>
      </c>
      <c r="V535">
        <v>966</v>
      </c>
      <c r="W535">
        <v>45.12</v>
      </c>
      <c r="Y535">
        <v>14.21</v>
      </c>
    </row>
    <row r="536" spans="1:25" x14ac:dyDescent="0.25">
      <c r="A536">
        <v>2007</v>
      </c>
      <c r="B536">
        <v>98</v>
      </c>
      <c r="C536">
        <v>1500</v>
      </c>
      <c r="D536">
        <v>407.4</v>
      </c>
      <c r="E536">
        <v>234.9</v>
      </c>
      <c r="F536">
        <v>9.57</v>
      </c>
      <c r="G536">
        <v>12.81</v>
      </c>
      <c r="K536">
        <v>3.64</v>
      </c>
      <c r="L536">
        <v>233.6</v>
      </c>
      <c r="M536">
        <v>0</v>
      </c>
      <c r="O536">
        <v>498.5</v>
      </c>
      <c r="P536">
        <v>148</v>
      </c>
      <c r="Q536">
        <v>10.84</v>
      </c>
      <c r="S536">
        <v>8.77</v>
      </c>
      <c r="T536">
        <v>0</v>
      </c>
      <c r="U536">
        <v>65.88</v>
      </c>
      <c r="V536">
        <v>966</v>
      </c>
      <c r="W536">
        <v>45.15</v>
      </c>
      <c r="Y536">
        <v>14.2</v>
      </c>
    </row>
    <row r="537" spans="1:25" x14ac:dyDescent="0.25">
      <c r="A537">
        <v>2007</v>
      </c>
      <c r="B537">
        <v>98</v>
      </c>
      <c r="C537">
        <v>1600</v>
      </c>
      <c r="D537">
        <v>332.2</v>
      </c>
      <c r="E537">
        <v>174.8</v>
      </c>
      <c r="F537">
        <v>9.6</v>
      </c>
      <c r="G537">
        <v>12.87</v>
      </c>
      <c r="K537">
        <v>3.8690000000000002</v>
      </c>
      <c r="L537">
        <v>232.7</v>
      </c>
      <c r="M537">
        <v>0</v>
      </c>
      <c r="O537">
        <v>385.3</v>
      </c>
      <c r="P537">
        <v>127.7</v>
      </c>
      <c r="Q537">
        <v>11.26</v>
      </c>
      <c r="S537">
        <v>8.9</v>
      </c>
      <c r="T537">
        <v>0</v>
      </c>
      <c r="U537">
        <v>65.66</v>
      </c>
      <c r="V537">
        <v>966</v>
      </c>
      <c r="W537">
        <v>45.14</v>
      </c>
      <c r="Y537">
        <v>14.17</v>
      </c>
    </row>
    <row r="538" spans="1:25" x14ac:dyDescent="0.25">
      <c r="A538">
        <v>2007</v>
      </c>
      <c r="B538">
        <v>98</v>
      </c>
      <c r="C538">
        <v>1700</v>
      </c>
      <c r="D538">
        <v>228.2</v>
      </c>
      <c r="E538">
        <v>111.9</v>
      </c>
      <c r="F538">
        <v>8.9700000000000006</v>
      </c>
      <c r="G538">
        <v>12.29</v>
      </c>
      <c r="K538">
        <v>4.266</v>
      </c>
      <c r="L538">
        <v>229.9</v>
      </c>
      <c r="M538">
        <v>0</v>
      </c>
      <c r="O538">
        <v>268.3</v>
      </c>
      <c r="P538">
        <v>97.9</v>
      </c>
      <c r="Q538">
        <v>11.54</v>
      </c>
      <c r="S538">
        <v>9</v>
      </c>
      <c r="T538">
        <v>0</v>
      </c>
      <c r="U538">
        <v>64.47</v>
      </c>
      <c r="V538">
        <v>965</v>
      </c>
      <c r="W538">
        <v>45.08</v>
      </c>
      <c r="Y538">
        <v>13.89</v>
      </c>
    </row>
    <row r="539" spans="1:25" x14ac:dyDescent="0.25">
      <c r="A539">
        <v>2007</v>
      </c>
      <c r="B539">
        <v>98</v>
      </c>
      <c r="C539">
        <v>1800</v>
      </c>
      <c r="D539">
        <v>138.80000000000001</v>
      </c>
      <c r="E539">
        <v>43.91</v>
      </c>
      <c r="F539">
        <v>8.09</v>
      </c>
      <c r="G539">
        <v>11.35</v>
      </c>
      <c r="K539">
        <v>3.9279999999999999</v>
      </c>
      <c r="L539">
        <v>229.3</v>
      </c>
      <c r="M539">
        <v>0</v>
      </c>
      <c r="O539">
        <v>151.9</v>
      </c>
      <c r="P539">
        <v>76.5</v>
      </c>
      <c r="Q539">
        <v>11.63</v>
      </c>
      <c r="S539">
        <v>9.14</v>
      </c>
      <c r="T539">
        <v>0</v>
      </c>
      <c r="U539">
        <v>63.98</v>
      </c>
      <c r="V539">
        <v>965</v>
      </c>
      <c r="W539">
        <v>45.08</v>
      </c>
      <c r="Y539">
        <v>13.69</v>
      </c>
    </row>
    <row r="540" spans="1:25" x14ac:dyDescent="0.25">
      <c r="A540">
        <v>2007</v>
      </c>
      <c r="B540">
        <v>98</v>
      </c>
      <c r="C540">
        <v>1900</v>
      </c>
      <c r="D540">
        <v>45.97</v>
      </c>
      <c r="E540">
        <v>-21.15</v>
      </c>
      <c r="F540">
        <v>7.07</v>
      </c>
      <c r="G540">
        <v>9.98</v>
      </c>
      <c r="K540">
        <v>3.0289999999999999</v>
      </c>
      <c r="L540">
        <v>228.8</v>
      </c>
      <c r="M540">
        <v>0</v>
      </c>
      <c r="O540">
        <v>43.78</v>
      </c>
      <c r="P540">
        <v>26.54</v>
      </c>
      <c r="Q540">
        <v>11.47</v>
      </c>
      <c r="S540">
        <v>9.2100000000000009</v>
      </c>
      <c r="T540">
        <v>0</v>
      </c>
      <c r="U540">
        <v>66.069999999999993</v>
      </c>
      <c r="V540">
        <v>964</v>
      </c>
      <c r="W540">
        <v>45.02</v>
      </c>
      <c r="Y540">
        <v>13.52</v>
      </c>
    </row>
    <row r="541" spans="1:25" x14ac:dyDescent="0.25">
      <c r="A541">
        <v>2007</v>
      </c>
      <c r="B541">
        <v>98</v>
      </c>
      <c r="C541">
        <v>2000</v>
      </c>
      <c r="D541">
        <v>-0.93200000000000005</v>
      </c>
      <c r="E541">
        <v>-43.12</v>
      </c>
      <c r="F541">
        <v>6.4020000000000001</v>
      </c>
      <c r="G541">
        <v>8.65</v>
      </c>
      <c r="K541">
        <v>2.0430000000000001</v>
      </c>
      <c r="L541">
        <v>228.4</v>
      </c>
      <c r="M541">
        <v>0</v>
      </c>
      <c r="O541">
        <v>-9.85</v>
      </c>
      <c r="P541">
        <v>-10.31</v>
      </c>
      <c r="Q541">
        <v>11.16</v>
      </c>
      <c r="S541">
        <v>9.26</v>
      </c>
      <c r="T541">
        <v>0</v>
      </c>
      <c r="U541">
        <v>72.3</v>
      </c>
      <c r="V541">
        <v>966</v>
      </c>
      <c r="W541">
        <v>45.16</v>
      </c>
      <c r="Y541">
        <v>13.4</v>
      </c>
    </row>
    <row r="542" spans="1:25" x14ac:dyDescent="0.25">
      <c r="A542">
        <v>2007</v>
      </c>
      <c r="B542">
        <v>98</v>
      </c>
      <c r="C542">
        <v>2100</v>
      </c>
      <c r="D542">
        <v>-1.0820000000000001</v>
      </c>
      <c r="E542">
        <v>-19.3</v>
      </c>
      <c r="F542">
        <v>6.6609999999999996</v>
      </c>
      <c r="G542">
        <v>8.56</v>
      </c>
      <c r="K542">
        <v>1.6919999999999999</v>
      </c>
      <c r="L542">
        <v>227.9</v>
      </c>
      <c r="M542">
        <v>0</v>
      </c>
      <c r="O542">
        <v>-11.5</v>
      </c>
      <c r="P542">
        <v>-10.85</v>
      </c>
      <c r="Q542">
        <v>10.83</v>
      </c>
      <c r="S542">
        <v>9.34</v>
      </c>
      <c r="T542">
        <v>0</v>
      </c>
      <c r="U542">
        <v>76.3</v>
      </c>
      <c r="V542">
        <v>973</v>
      </c>
      <c r="W542">
        <v>45.87</v>
      </c>
      <c r="Y542">
        <v>13.31</v>
      </c>
    </row>
    <row r="543" spans="1:25" x14ac:dyDescent="0.25">
      <c r="A543">
        <v>2007</v>
      </c>
      <c r="B543">
        <v>98</v>
      </c>
      <c r="C543">
        <v>2200</v>
      </c>
      <c r="D543">
        <v>-1.294</v>
      </c>
      <c r="E543">
        <v>-24.16</v>
      </c>
      <c r="F543">
        <v>6.7889999999999997</v>
      </c>
      <c r="G543">
        <v>8.33</v>
      </c>
      <c r="K543">
        <v>1.591</v>
      </c>
      <c r="L543">
        <v>225.2</v>
      </c>
      <c r="M543">
        <v>0</v>
      </c>
      <c r="O543">
        <v>-11.5</v>
      </c>
      <c r="P543">
        <v>-10.84</v>
      </c>
      <c r="Q543">
        <v>10.53</v>
      </c>
      <c r="S543">
        <v>9.3000000000000007</v>
      </c>
      <c r="T543">
        <v>0</v>
      </c>
      <c r="U543">
        <v>80.5</v>
      </c>
      <c r="V543">
        <v>976</v>
      </c>
      <c r="W543">
        <v>46.26</v>
      </c>
      <c r="Y543">
        <v>13.23</v>
      </c>
    </row>
    <row r="544" spans="1:25" x14ac:dyDescent="0.25">
      <c r="A544">
        <v>2007</v>
      </c>
      <c r="B544">
        <v>98</v>
      </c>
      <c r="C544">
        <v>2300</v>
      </c>
      <c r="D544">
        <v>-2.3769999999999998</v>
      </c>
      <c r="E544">
        <v>-41.92</v>
      </c>
      <c r="F544">
        <v>6.23</v>
      </c>
      <c r="G544">
        <v>7.35</v>
      </c>
      <c r="K544">
        <v>2.0449999999999999</v>
      </c>
      <c r="L544">
        <v>227.3</v>
      </c>
      <c r="M544">
        <v>0</v>
      </c>
      <c r="O544">
        <v>-11.5</v>
      </c>
      <c r="P544">
        <v>-10.85</v>
      </c>
      <c r="Q544">
        <v>10.26</v>
      </c>
      <c r="S544">
        <v>9.1999999999999993</v>
      </c>
      <c r="T544">
        <v>0</v>
      </c>
      <c r="U544">
        <v>85.2</v>
      </c>
      <c r="V544">
        <v>981</v>
      </c>
      <c r="W544">
        <v>46.81</v>
      </c>
      <c r="Y544">
        <v>13.15</v>
      </c>
    </row>
    <row r="545" spans="1:25" x14ac:dyDescent="0.25">
      <c r="A545">
        <v>2007</v>
      </c>
      <c r="B545">
        <v>98</v>
      </c>
      <c r="C545">
        <v>2400</v>
      </c>
      <c r="D545">
        <v>-1.3640000000000001</v>
      </c>
      <c r="E545">
        <v>-26.48</v>
      </c>
      <c r="F545">
        <v>6.2469999999999999</v>
      </c>
      <c r="G545">
        <v>7.36</v>
      </c>
      <c r="K545">
        <v>2.327</v>
      </c>
      <c r="L545">
        <v>227.2</v>
      </c>
      <c r="M545">
        <v>0</v>
      </c>
      <c r="O545">
        <v>-11.51</v>
      </c>
      <c r="P545">
        <v>-10.85</v>
      </c>
      <c r="Q545">
        <v>10</v>
      </c>
      <c r="S545">
        <v>9.16</v>
      </c>
      <c r="T545">
        <v>0</v>
      </c>
      <c r="U545">
        <v>85.4</v>
      </c>
      <c r="V545">
        <v>987</v>
      </c>
      <c r="W545">
        <v>47.37</v>
      </c>
      <c r="Y545">
        <v>13.08</v>
      </c>
    </row>
    <row r="546" spans="1:25" x14ac:dyDescent="0.25">
      <c r="A546">
        <v>2007</v>
      </c>
      <c r="B546">
        <v>99</v>
      </c>
      <c r="C546">
        <v>100</v>
      </c>
      <c r="D546">
        <v>-1.88</v>
      </c>
      <c r="E546">
        <v>-34.67</v>
      </c>
      <c r="F546">
        <v>5.9889999999999999</v>
      </c>
      <c r="G546">
        <v>6.9669999999999996</v>
      </c>
      <c r="K546">
        <v>2.0369999999999999</v>
      </c>
      <c r="L546">
        <v>227.5</v>
      </c>
      <c r="M546">
        <v>0</v>
      </c>
      <c r="O546">
        <v>-11.5</v>
      </c>
      <c r="P546">
        <v>-10.85</v>
      </c>
      <c r="Q546">
        <v>9.8000000000000007</v>
      </c>
      <c r="S546">
        <v>9.11</v>
      </c>
      <c r="T546">
        <v>0</v>
      </c>
      <c r="U546">
        <v>86.9</v>
      </c>
      <c r="V546">
        <v>986</v>
      </c>
      <c r="W546">
        <v>47.32</v>
      </c>
      <c r="Y546">
        <v>13.02</v>
      </c>
    </row>
    <row r="547" spans="1:25" x14ac:dyDescent="0.25">
      <c r="A547">
        <v>2007</v>
      </c>
      <c r="B547">
        <v>99</v>
      </c>
      <c r="C547">
        <v>200</v>
      </c>
      <c r="D547">
        <v>-0.78</v>
      </c>
      <c r="E547">
        <v>-9.25</v>
      </c>
      <c r="F547">
        <v>6.3959999999999999</v>
      </c>
      <c r="G547">
        <v>7.51</v>
      </c>
      <c r="K547">
        <v>1.6120000000000001</v>
      </c>
      <c r="L547">
        <v>227.5</v>
      </c>
      <c r="M547">
        <v>0</v>
      </c>
      <c r="O547">
        <v>-11.5</v>
      </c>
      <c r="P547">
        <v>-10.85</v>
      </c>
      <c r="Q547">
        <v>9.56</v>
      </c>
      <c r="S547">
        <v>9.01</v>
      </c>
      <c r="T547">
        <v>0</v>
      </c>
      <c r="U547">
        <v>85.4</v>
      </c>
      <c r="V547">
        <v>980</v>
      </c>
      <c r="W547">
        <v>46.64</v>
      </c>
      <c r="Y547">
        <v>12.96</v>
      </c>
    </row>
    <row r="548" spans="1:25" x14ac:dyDescent="0.25">
      <c r="A548">
        <v>2007</v>
      </c>
      <c r="B548">
        <v>99</v>
      </c>
      <c r="C548">
        <v>300</v>
      </c>
      <c r="D548">
        <v>-0.79400000000000004</v>
      </c>
      <c r="E548">
        <v>-14.4</v>
      </c>
      <c r="F548">
        <v>6.7460000000000004</v>
      </c>
      <c r="G548">
        <v>7.96</v>
      </c>
      <c r="K548">
        <v>2.6779999999999999</v>
      </c>
      <c r="L548">
        <v>228</v>
      </c>
      <c r="M548">
        <v>0</v>
      </c>
      <c r="O548">
        <v>-11.5</v>
      </c>
      <c r="P548">
        <v>-10.86</v>
      </c>
      <c r="Q548">
        <v>9.41</v>
      </c>
      <c r="S548">
        <v>8.94</v>
      </c>
      <c r="T548">
        <v>0</v>
      </c>
      <c r="U548">
        <v>84.4</v>
      </c>
      <c r="V548">
        <v>978</v>
      </c>
      <c r="W548">
        <v>46.42</v>
      </c>
      <c r="Y548">
        <v>12.91</v>
      </c>
    </row>
    <row r="549" spans="1:25" x14ac:dyDescent="0.25">
      <c r="A549">
        <v>2007</v>
      </c>
      <c r="B549">
        <v>99</v>
      </c>
      <c r="C549">
        <v>400</v>
      </c>
      <c r="D549">
        <v>-0.85</v>
      </c>
      <c r="E549">
        <v>-12.75</v>
      </c>
      <c r="F549">
        <v>6.7439999999999998</v>
      </c>
      <c r="G549">
        <v>7.96</v>
      </c>
      <c r="K549">
        <v>3.169</v>
      </c>
      <c r="L549">
        <v>227.8</v>
      </c>
      <c r="M549">
        <v>0</v>
      </c>
      <c r="O549">
        <v>-11.5</v>
      </c>
      <c r="P549">
        <v>-10.85</v>
      </c>
      <c r="Q549">
        <v>9.2899999999999991</v>
      </c>
      <c r="S549">
        <v>8.86</v>
      </c>
      <c r="T549">
        <v>0</v>
      </c>
      <c r="U549">
        <v>84.4</v>
      </c>
      <c r="V549">
        <v>978</v>
      </c>
      <c r="W549">
        <v>46.46</v>
      </c>
      <c r="Y549">
        <v>12.88</v>
      </c>
    </row>
    <row r="550" spans="1:25" x14ac:dyDescent="0.25">
      <c r="A550">
        <v>2007</v>
      </c>
      <c r="B550">
        <v>99</v>
      </c>
      <c r="C550">
        <v>500</v>
      </c>
      <c r="D550">
        <v>-3.5000000000000003E-2</v>
      </c>
      <c r="E550">
        <v>-2.93</v>
      </c>
      <c r="F550">
        <v>7.05</v>
      </c>
      <c r="G550">
        <v>8.27</v>
      </c>
      <c r="K550">
        <v>3.1549999999999998</v>
      </c>
      <c r="L550">
        <v>227.5</v>
      </c>
      <c r="M550">
        <v>0</v>
      </c>
      <c r="O550">
        <v>-11.5</v>
      </c>
      <c r="P550">
        <v>-10.85</v>
      </c>
      <c r="Q550">
        <v>9.19</v>
      </c>
      <c r="S550">
        <v>8.7899999999999991</v>
      </c>
      <c r="T550">
        <v>0</v>
      </c>
      <c r="U550">
        <v>84.5</v>
      </c>
      <c r="V550">
        <v>981</v>
      </c>
      <c r="W550">
        <v>46.78</v>
      </c>
      <c r="Y550">
        <v>12.85</v>
      </c>
    </row>
    <row r="551" spans="1:25" x14ac:dyDescent="0.25">
      <c r="A551">
        <v>2007</v>
      </c>
      <c r="B551">
        <v>99</v>
      </c>
      <c r="C551">
        <v>600</v>
      </c>
      <c r="D551">
        <v>2.214</v>
      </c>
      <c r="E551">
        <v>-1.528</v>
      </c>
      <c r="F551">
        <v>7.45</v>
      </c>
      <c r="G551">
        <v>8.44</v>
      </c>
      <c r="K551">
        <v>3.2629999999999999</v>
      </c>
      <c r="L551">
        <v>227.4</v>
      </c>
      <c r="M551">
        <v>0</v>
      </c>
      <c r="O551">
        <v>-8.19</v>
      </c>
      <c r="P551">
        <v>-9.9600000000000009</v>
      </c>
      <c r="Q551">
        <v>9.14</v>
      </c>
      <c r="S551">
        <v>8.69</v>
      </c>
      <c r="T551">
        <v>0</v>
      </c>
      <c r="U551">
        <v>87.4</v>
      </c>
      <c r="V551">
        <v>980</v>
      </c>
      <c r="W551">
        <v>46.61</v>
      </c>
      <c r="Y551">
        <v>12.84</v>
      </c>
    </row>
    <row r="552" spans="1:25" x14ac:dyDescent="0.25">
      <c r="A552">
        <v>2007</v>
      </c>
      <c r="B552">
        <v>99</v>
      </c>
      <c r="C552">
        <v>700</v>
      </c>
      <c r="D552">
        <v>26.72</v>
      </c>
      <c r="E552">
        <v>13.47</v>
      </c>
      <c r="F552">
        <v>7.85</v>
      </c>
      <c r="G552">
        <v>8.65</v>
      </c>
      <c r="K552">
        <v>3.3530000000000002</v>
      </c>
      <c r="L552">
        <v>227.5</v>
      </c>
      <c r="M552">
        <v>0</v>
      </c>
      <c r="O552">
        <v>22.09</v>
      </c>
      <c r="P552">
        <v>-1.625</v>
      </c>
      <c r="Q552">
        <v>9.08</v>
      </c>
      <c r="S552">
        <v>8.64</v>
      </c>
      <c r="T552">
        <v>0</v>
      </c>
      <c r="U552">
        <v>89.9</v>
      </c>
      <c r="V552">
        <v>978</v>
      </c>
      <c r="W552">
        <v>46.38</v>
      </c>
      <c r="Y552">
        <v>12.83</v>
      </c>
    </row>
    <row r="553" spans="1:25" x14ac:dyDescent="0.25">
      <c r="A553">
        <v>2007</v>
      </c>
      <c r="B553">
        <v>99</v>
      </c>
      <c r="C553">
        <v>800</v>
      </c>
      <c r="D553">
        <v>101</v>
      </c>
      <c r="E553">
        <v>61.31</v>
      </c>
      <c r="F553">
        <v>8.4700000000000006</v>
      </c>
      <c r="G553">
        <v>9.34</v>
      </c>
      <c r="K553">
        <v>2.9950000000000001</v>
      </c>
      <c r="L553">
        <v>227.4</v>
      </c>
      <c r="M553">
        <v>0</v>
      </c>
      <c r="O553">
        <v>117</v>
      </c>
      <c r="P553">
        <v>24.5</v>
      </c>
      <c r="Q553">
        <v>9.07</v>
      </c>
      <c r="S553">
        <v>8.59</v>
      </c>
      <c r="T553">
        <v>0</v>
      </c>
      <c r="U553">
        <v>89.3</v>
      </c>
      <c r="V553">
        <v>971</v>
      </c>
      <c r="W553">
        <v>45.68</v>
      </c>
      <c r="Y553">
        <v>13.27</v>
      </c>
    </row>
    <row r="554" spans="1:25" x14ac:dyDescent="0.25">
      <c r="A554">
        <v>2007</v>
      </c>
      <c r="B554">
        <v>99</v>
      </c>
      <c r="C554">
        <v>900</v>
      </c>
      <c r="D554">
        <v>103.9</v>
      </c>
      <c r="E554">
        <v>61.69</v>
      </c>
      <c r="F554">
        <v>9.11</v>
      </c>
      <c r="G554">
        <v>10.01</v>
      </c>
      <c r="H554">
        <f>AVERAGE(G554:G577)</f>
        <v>11.205</v>
      </c>
      <c r="I554">
        <f>MIN(G554:G577)</f>
        <v>10.01</v>
      </c>
      <c r="J554">
        <f>MAX(F554:F577)</f>
        <v>10.67</v>
      </c>
      <c r="K554">
        <v>3.1440000000000001</v>
      </c>
      <c r="L554">
        <v>227.6</v>
      </c>
      <c r="M554">
        <v>0</v>
      </c>
      <c r="N554">
        <f>SUM(M554:M577)</f>
        <v>0</v>
      </c>
      <c r="O554">
        <v>123</v>
      </c>
      <c r="P554">
        <v>26.2</v>
      </c>
      <c r="Q554">
        <v>9.2100000000000009</v>
      </c>
      <c r="S554">
        <v>8.58</v>
      </c>
      <c r="T554">
        <v>0</v>
      </c>
      <c r="U554">
        <v>89.2</v>
      </c>
      <c r="V554">
        <v>967</v>
      </c>
      <c r="W554">
        <v>45.25</v>
      </c>
      <c r="Y554">
        <v>13.56</v>
      </c>
    </row>
    <row r="555" spans="1:25" x14ac:dyDescent="0.25">
      <c r="A555">
        <v>2007</v>
      </c>
      <c r="B555">
        <v>99</v>
      </c>
      <c r="C555">
        <v>1000</v>
      </c>
      <c r="D555">
        <v>153.4</v>
      </c>
      <c r="E555">
        <v>91.5</v>
      </c>
      <c r="F555">
        <v>9.7100000000000009</v>
      </c>
      <c r="G555">
        <v>10.83</v>
      </c>
      <c r="K555">
        <v>4.0049999999999999</v>
      </c>
      <c r="L555">
        <v>228.2</v>
      </c>
      <c r="M555">
        <v>0</v>
      </c>
      <c r="O555">
        <v>185.2</v>
      </c>
      <c r="P555">
        <v>44.13</v>
      </c>
      <c r="Q555">
        <v>9.43</v>
      </c>
      <c r="S555">
        <v>8.58</v>
      </c>
      <c r="T555">
        <v>0</v>
      </c>
      <c r="U555">
        <v>86.9</v>
      </c>
      <c r="V555">
        <v>966</v>
      </c>
      <c r="W555">
        <v>45.19</v>
      </c>
      <c r="Y555">
        <v>13.7</v>
      </c>
    </row>
    <row r="556" spans="1:25" x14ac:dyDescent="0.25">
      <c r="A556">
        <v>2007</v>
      </c>
      <c r="B556">
        <v>99</v>
      </c>
      <c r="C556">
        <v>1100</v>
      </c>
      <c r="D556">
        <v>260.3</v>
      </c>
      <c r="E556">
        <v>157.19999999999999</v>
      </c>
      <c r="F556">
        <v>10.01</v>
      </c>
      <c r="G556">
        <v>11.62</v>
      </c>
      <c r="K556">
        <v>4.6550000000000002</v>
      </c>
      <c r="L556">
        <v>228.9</v>
      </c>
      <c r="M556">
        <v>0</v>
      </c>
      <c r="O556">
        <v>322.7</v>
      </c>
      <c r="P556">
        <v>82</v>
      </c>
      <c r="Q556">
        <v>9.64</v>
      </c>
      <c r="S556">
        <v>8.5500000000000007</v>
      </c>
      <c r="T556">
        <v>0</v>
      </c>
      <c r="U556">
        <v>81.900000000000006</v>
      </c>
      <c r="V556">
        <v>967</v>
      </c>
      <c r="W556">
        <v>45.32</v>
      </c>
      <c r="Y556">
        <v>13.9</v>
      </c>
    </row>
    <row r="557" spans="1:25" x14ac:dyDescent="0.25">
      <c r="A557">
        <v>2007</v>
      </c>
      <c r="B557">
        <v>99</v>
      </c>
      <c r="C557">
        <v>1200</v>
      </c>
      <c r="D557">
        <v>302.2</v>
      </c>
      <c r="E557">
        <v>178.6</v>
      </c>
      <c r="F557">
        <v>10.08</v>
      </c>
      <c r="G557">
        <v>11.91</v>
      </c>
      <c r="K557">
        <v>4.5380000000000003</v>
      </c>
      <c r="L557">
        <v>228.4</v>
      </c>
      <c r="M557">
        <v>0</v>
      </c>
      <c r="O557">
        <v>371.5</v>
      </c>
      <c r="P557">
        <v>95.7</v>
      </c>
      <c r="Q557">
        <v>10</v>
      </c>
      <c r="S557">
        <v>8.6199999999999992</v>
      </c>
      <c r="T557">
        <v>0</v>
      </c>
      <c r="U557">
        <v>79.7</v>
      </c>
      <c r="V557">
        <v>965</v>
      </c>
      <c r="W557">
        <v>45.09</v>
      </c>
      <c r="Y557">
        <v>14.01</v>
      </c>
    </row>
    <row r="558" spans="1:25" x14ac:dyDescent="0.25">
      <c r="A558">
        <v>2007</v>
      </c>
      <c r="B558">
        <v>99</v>
      </c>
      <c r="C558">
        <v>1300</v>
      </c>
      <c r="D558">
        <v>521.70000000000005</v>
      </c>
      <c r="E558">
        <v>312.60000000000002</v>
      </c>
      <c r="F558">
        <v>10.67</v>
      </c>
      <c r="G558">
        <v>13.16</v>
      </c>
      <c r="K558">
        <v>4.3899999999999997</v>
      </c>
      <c r="L558">
        <v>227.9</v>
      </c>
      <c r="M558">
        <v>0</v>
      </c>
      <c r="O558">
        <v>627.4</v>
      </c>
      <c r="P558">
        <v>163.6</v>
      </c>
      <c r="Q558">
        <v>10.43</v>
      </c>
      <c r="S558">
        <v>8.7200000000000006</v>
      </c>
      <c r="T558">
        <v>0</v>
      </c>
      <c r="U558">
        <v>73.7</v>
      </c>
      <c r="V558">
        <v>964</v>
      </c>
      <c r="W558">
        <v>45.02</v>
      </c>
      <c r="Y558">
        <v>14.45</v>
      </c>
    </row>
    <row r="559" spans="1:25" x14ac:dyDescent="0.25">
      <c r="A559">
        <v>2007</v>
      </c>
      <c r="B559">
        <v>99</v>
      </c>
      <c r="C559">
        <v>1400</v>
      </c>
      <c r="D559">
        <v>285.3</v>
      </c>
      <c r="E559">
        <v>159.69999999999999</v>
      </c>
      <c r="F559">
        <v>10.5</v>
      </c>
      <c r="G559">
        <v>13.28</v>
      </c>
      <c r="K559">
        <v>4.016</v>
      </c>
      <c r="L559">
        <v>228.1</v>
      </c>
      <c r="M559">
        <v>0</v>
      </c>
      <c r="O559">
        <v>347.2</v>
      </c>
      <c r="P559">
        <v>90.2</v>
      </c>
      <c r="Q559">
        <v>10.99</v>
      </c>
      <c r="S559">
        <v>8.77</v>
      </c>
      <c r="T559">
        <v>0</v>
      </c>
      <c r="U559">
        <v>70.900000000000006</v>
      </c>
      <c r="V559">
        <v>964</v>
      </c>
      <c r="W559">
        <v>44.98</v>
      </c>
      <c r="Y559">
        <v>14.06</v>
      </c>
    </row>
    <row r="560" spans="1:25" x14ac:dyDescent="0.25">
      <c r="A560">
        <v>2007</v>
      </c>
      <c r="B560">
        <v>99</v>
      </c>
      <c r="C560">
        <v>1500</v>
      </c>
      <c r="D560">
        <v>226.5</v>
      </c>
      <c r="E560">
        <v>126.6</v>
      </c>
      <c r="F560">
        <v>10.63</v>
      </c>
      <c r="G560">
        <v>13.45</v>
      </c>
      <c r="K560">
        <v>3.806</v>
      </c>
      <c r="L560">
        <v>228.1</v>
      </c>
      <c r="M560">
        <v>0</v>
      </c>
      <c r="O560">
        <v>277.89999999999998</v>
      </c>
      <c r="P560">
        <v>73</v>
      </c>
      <c r="Q560">
        <v>11.47</v>
      </c>
      <c r="S560">
        <v>8.92</v>
      </c>
      <c r="T560">
        <v>0</v>
      </c>
      <c r="U560">
        <v>70.7</v>
      </c>
      <c r="V560">
        <v>964</v>
      </c>
      <c r="W560">
        <v>44.94</v>
      </c>
      <c r="Y560">
        <v>13.9</v>
      </c>
    </row>
    <row r="561" spans="1:25" x14ac:dyDescent="0.25">
      <c r="A561">
        <v>2007</v>
      </c>
      <c r="B561">
        <v>99</v>
      </c>
      <c r="C561">
        <v>1600</v>
      </c>
      <c r="D561">
        <v>100.1</v>
      </c>
      <c r="E561">
        <v>49.07</v>
      </c>
      <c r="F561">
        <v>10.41</v>
      </c>
      <c r="G561">
        <v>12.8</v>
      </c>
      <c r="K561">
        <v>3.891</v>
      </c>
      <c r="L561">
        <v>228.2</v>
      </c>
      <c r="M561">
        <v>0</v>
      </c>
      <c r="O561">
        <v>121.4</v>
      </c>
      <c r="P561">
        <v>26.66</v>
      </c>
      <c r="Q561">
        <v>11.69</v>
      </c>
      <c r="S561">
        <v>9.07</v>
      </c>
      <c r="T561">
        <v>0</v>
      </c>
      <c r="U561">
        <v>74.5</v>
      </c>
      <c r="V561">
        <v>963</v>
      </c>
      <c r="W561">
        <v>44.88</v>
      </c>
      <c r="Y561">
        <v>13.7</v>
      </c>
    </row>
    <row r="562" spans="1:25" x14ac:dyDescent="0.25">
      <c r="A562">
        <v>2007</v>
      </c>
      <c r="B562">
        <v>99</v>
      </c>
      <c r="C562">
        <v>1700</v>
      </c>
      <c r="D562">
        <v>65.81</v>
      </c>
      <c r="E562">
        <v>28.47</v>
      </c>
      <c r="F562">
        <v>10.39</v>
      </c>
      <c r="G562">
        <v>12.17</v>
      </c>
      <c r="K562">
        <v>3.617</v>
      </c>
      <c r="L562">
        <v>228.4</v>
      </c>
      <c r="M562">
        <v>0</v>
      </c>
      <c r="O562">
        <v>74.5</v>
      </c>
      <c r="P562">
        <v>12.67</v>
      </c>
      <c r="Q562">
        <v>11.71</v>
      </c>
      <c r="S562">
        <v>9.17</v>
      </c>
      <c r="T562">
        <v>0</v>
      </c>
      <c r="U562">
        <v>80.400000000000006</v>
      </c>
      <c r="V562">
        <v>962</v>
      </c>
      <c r="W562">
        <v>44.81</v>
      </c>
      <c r="Y562">
        <v>13.58</v>
      </c>
    </row>
    <row r="563" spans="1:25" x14ac:dyDescent="0.25">
      <c r="A563">
        <v>2007</v>
      </c>
      <c r="B563">
        <v>99</v>
      </c>
      <c r="C563">
        <v>1800</v>
      </c>
      <c r="D563">
        <v>72.099999999999994</v>
      </c>
      <c r="E563">
        <v>29.49</v>
      </c>
      <c r="F563">
        <v>10.43</v>
      </c>
      <c r="G563">
        <v>12.05</v>
      </c>
      <c r="K563">
        <v>3.2</v>
      </c>
      <c r="L563">
        <v>228.4</v>
      </c>
      <c r="M563">
        <v>0</v>
      </c>
      <c r="O563">
        <v>78.8</v>
      </c>
      <c r="P563">
        <v>15.59</v>
      </c>
      <c r="Q563">
        <v>11.7</v>
      </c>
      <c r="S563">
        <v>9.32</v>
      </c>
      <c r="T563">
        <v>0</v>
      </c>
      <c r="U563">
        <v>82</v>
      </c>
      <c r="V563">
        <v>962</v>
      </c>
      <c r="W563">
        <v>44.77</v>
      </c>
      <c r="Y563">
        <v>13.53</v>
      </c>
    </row>
    <row r="564" spans="1:25" x14ac:dyDescent="0.25">
      <c r="A564">
        <v>2007</v>
      </c>
      <c r="B564">
        <v>99</v>
      </c>
      <c r="C564">
        <v>1900</v>
      </c>
      <c r="D564">
        <v>31.33</v>
      </c>
      <c r="E564">
        <v>0.39200000000000002</v>
      </c>
      <c r="F564">
        <v>10.14</v>
      </c>
      <c r="G564">
        <v>11.66</v>
      </c>
      <c r="K564">
        <v>2.7949999999999999</v>
      </c>
      <c r="L564">
        <v>228</v>
      </c>
      <c r="M564">
        <v>0</v>
      </c>
      <c r="O564">
        <v>27.42</v>
      </c>
      <c r="P564">
        <v>2.2130000000000001</v>
      </c>
      <c r="Q564">
        <v>11.66</v>
      </c>
      <c r="S564">
        <v>9.4600000000000009</v>
      </c>
      <c r="T564">
        <v>0</v>
      </c>
      <c r="U564">
        <v>82.9</v>
      </c>
      <c r="V564">
        <v>961</v>
      </c>
      <c r="W564">
        <v>44.67</v>
      </c>
      <c r="Y564">
        <v>13.45</v>
      </c>
    </row>
    <row r="565" spans="1:25" x14ac:dyDescent="0.25">
      <c r="A565">
        <v>2007</v>
      </c>
      <c r="B565">
        <v>99</v>
      </c>
      <c r="C565">
        <v>2000</v>
      </c>
      <c r="D565">
        <v>0.26400000000000001</v>
      </c>
      <c r="E565">
        <v>-16.760000000000002</v>
      </c>
      <c r="F565">
        <v>9.64</v>
      </c>
      <c r="G565">
        <v>11.15</v>
      </c>
      <c r="K565">
        <v>2.7519999999999998</v>
      </c>
      <c r="L565">
        <v>228</v>
      </c>
      <c r="M565">
        <v>0</v>
      </c>
      <c r="O565">
        <v>-10.43</v>
      </c>
      <c r="P565">
        <v>-10.62</v>
      </c>
      <c r="Q565">
        <v>11.53</v>
      </c>
      <c r="S565">
        <v>9.4600000000000009</v>
      </c>
      <c r="T565">
        <v>0</v>
      </c>
      <c r="U565">
        <v>82.7</v>
      </c>
      <c r="V565">
        <v>960</v>
      </c>
      <c r="W565">
        <v>44.62</v>
      </c>
      <c r="Y565">
        <v>13.35</v>
      </c>
    </row>
    <row r="566" spans="1:25" x14ac:dyDescent="0.25">
      <c r="A566">
        <v>2007</v>
      </c>
      <c r="B566">
        <v>99</v>
      </c>
      <c r="C566">
        <v>2100</v>
      </c>
      <c r="D566">
        <v>-0.59199999999999997</v>
      </c>
      <c r="E566">
        <v>-9.2200000000000006</v>
      </c>
      <c r="F566">
        <v>9.67</v>
      </c>
      <c r="G566">
        <v>10.98</v>
      </c>
      <c r="K566">
        <v>2.6509999999999998</v>
      </c>
      <c r="L566">
        <v>228</v>
      </c>
      <c r="M566">
        <v>0</v>
      </c>
      <c r="O566">
        <v>-11.52</v>
      </c>
      <c r="P566">
        <v>-10.87</v>
      </c>
      <c r="Q566">
        <v>11.33</v>
      </c>
      <c r="S566">
        <v>9.4600000000000009</v>
      </c>
      <c r="T566">
        <v>0</v>
      </c>
      <c r="U566">
        <v>84.9</v>
      </c>
      <c r="V566">
        <v>969</v>
      </c>
      <c r="W566">
        <v>45.47</v>
      </c>
      <c r="Y566">
        <v>13.26</v>
      </c>
    </row>
    <row r="567" spans="1:25" x14ac:dyDescent="0.25">
      <c r="A567">
        <v>2007</v>
      </c>
      <c r="B567">
        <v>99</v>
      </c>
      <c r="C567">
        <v>2200</v>
      </c>
      <c r="D567">
        <v>-0.59299999999999997</v>
      </c>
      <c r="E567">
        <v>-12.08</v>
      </c>
      <c r="F567">
        <v>9.6199999999999992</v>
      </c>
      <c r="G567">
        <v>10.71</v>
      </c>
      <c r="K567">
        <v>2.7690000000000001</v>
      </c>
      <c r="L567">
        <v>227.8</v>
      </c>
      <c r="M567">
        <v>0</v>
      </c>
      <c r="O567">
        <v>-11.52</v>
      </c>
      <c r="P567">
        <v>-10.85</v>
      </c>
      <c r="Q567">
        <v>11.15</v>
      </c>
      <c r="S567">
        <v>9.4600000000000009</v>
      </c>
      <c r="T567">
        <v>0</v>
      </c>
      <c r="U567">
        <v>87.2</v>
      </c>
      <c r="V567">
        <v>972</v>
      </c>
      <c r="W567">
        <v>45.78</v>
      </c>
      <c r="Y567">
        <v>13.18</v>
      </c>
    </row>
    <row r="568" spans="1:25" x14ac:dyDescent="0.25">
      <c r="A568">
        <v>2007</v>
      </c>
      <c r="B568">
        <v>99</v>
      </c>
      <c r="C568">
        <v>2300</v>
      </c>
      <c r="D568">
        <v>-0.67600000000000005</v>
      </c>
      <c r="E568">
        <v>-9.75</v>
      </c>
      <c r="F568">
        <v>9.51</v>
      </c>
      <c r="G568">
        <v>10.6</v>
      </c>
      <c r="K568">
        <v>2.786</v>
      </c>
      <c r="L568">
        <v>227.7</v>
      </c>
      <c r="M568">
        <v>0</v>
      </c>
      <c r="O568">
        <v>-11.5</v>
      </c>
      <c r="P568">
        <v>-10.85</v>
      </c>
      <c r="Q568">
        <v>11.03</v>
      </c>
      <c r="S568">
        <v>9.5</v>
      </c>
      <c r="T568">
        <v>0</v>
      </c>
      <c r="U568">
        <v>87.2</v>
      </c>
      <c r="V568">
        <v>972</v>
      </c>
      <c r="W568">
        <v>45.78</v>
      </c>
      <c r="Y568">
        <v>13.11</v>
      </c>
    </row>
    <row r="569" spans="1:25" x14ac:dyDescent="0.25">
      <c r="A569">
        <v>2007</v>
      </c>
      <c r="B569">
        <v>99</v>
      </c>
      <c r="C569">
        <v>2400</v>
      </c>
      <c r="D569">
        <v>-0.97699999999999998</v>
      </c>
      <c r="E569">
        <v>-10.93</v>
      </c>
      <c r="F569">
        <v>9.64</v>
      </c>
      <c r="G569">
        <v>10.54</v>
      </c>
      <c r="K569">
        <v>2.88</v>
      </c>
      <c r="L569">
        <v>227.7</v>
      </c>
      <c r="M569">
        <v>0</v>
      </c>
      <c r="O569">
        <v>-11.51</v>
      </c>
      <c r="P569">
        <v>-10.84</v>
      </c>
      <c r="Q569">
        <v>10.95</v>
      </c>
      <c r="S569">
        <v>9.52</v>
      </c>
      <c r="T569">
        <v>0</v>
      </c>
      <c r="U569">
        <v>89.4</v>
      </c>
      <c r="V569">
        <v>970</v>
      </c>
      <c r="W569">
        <v>45.61</v>
      </c>
      <c r="Y569">
        <v>13.04</v>
      </c>
    </row>
    <row r="570" spans="1:25" x14ac:dyDescent="0.25">
      <c r="A570">
        <v>2007</v>
      </c>
      <c r="B570">
        <v>100</v>
      </c>
      <c r="C570">
        <v>100</v>
      </c>
      <c r="D570">
        <v>-1.1339999999999999</v>
      </c>
      <c r="E570">
        <v>-15.36</v>
      </c>
      <c r="F570">
        <v>9.48</v>
      </c>
      <c r="G570">
        <v>10.32</v>
      </c>
      <c r="K570">
        <v>2.847</v>
      </c>
      <c r="L570">
        <v>227.8</v>
      </c>
      <c r="M570">
        <v>0</v>
      </c>
      <c r="O570">
        <v>-11.5</v>
      </c>
      <c r="P570">
        <v>-10.85</v>
      </c>
      <c r="Q570">
        <v>10.83</v>
      </c>
      <c r="S570">
        <v>9.4499999999999993</v>
      </c>
      <c r="T570">
        <v>0</v>
      </c>
      <c r="U570">
        <v>90</v>
      </c>
      <c r="V570">
        <v>970</v>
      </c>
      <c r="W570">
        <v>45.61</v>
      </c>
      <c r="Y570">
        <v>12.98</v>
      </c>
    </row>
    <row r="571" spans="1:25" x14ac:dyDescent="0.25">
      <c r="A571">
        <v>2007</v>
      </c>
      <c r="B571">
        <v>100</v>
      </c>
      <c r="C571">
        <v>200</v>
      </c>
      <c r="D571">
        <v>-1.1459999999999999</v>
      </c>
      <c r="E571">
        <v>-10.84</v>
      </c>
      <c r="F571">
        <v>9.41</v>
      </c>
      <c r="G571">
        <v>10.24</v>
      </c>
      <c r="K571">
        <v>2.5169999999999999</v>
      </c>
      <c r="L571">
        <v>227.4</v>
      </c>
      <c r="M571">
        <v>0</v>
      </c>
      <c r="O571">
        <v>-11.5</v>
      </c>
      <c r="P571">
        <v>-10.85</v>
      </c>
      <c r="Q571">
        <v>10.7</v>
      </c>
      <c r="S571">
        <v>9.4499999999999993</v>
      </c>
      <c r="T571">
        <v>0</v>
      </c>
      <c r="U571">
        <v>90.1</v>
      </c>
      <c r="V571">
        <v>974</v>
      </c>
      <c r="W571">
        <v>45.95</v>
      </c>
      <c r="Y571">
        <v>12.93</v>
      </c>
    </row>
    <row r="572" spans="1:25" x14ac:dyDescent="0.25">
      <c r="A572">
        <v>2007</v>
      </c>
      <c r="B572">
        <v>100</v>
      </c>
      <c r="C572">
        <v>300</v>
      </c>
      <c r="D572">
        <v>-0.746</v>
      </c>
      <c r="E572">
        <v>-9.15</v>
      </c>
      <c r="F572">
        <v>9.4499999999999993</v>
      </c>
      <c r="G572">
        <v>10.3</v>
      </c>
      <c r="K572">
        <v>2.472</v>
      </c>
      <c r="L572">
        <v>227.4</v>
      </c>
      <c r="M572">
        <v>0</v>
      </c>
      <c r="O572">
        <v>-11.5</v>
      </c>
      <c r="P572">
        <v>-10.85</v>
      </c>
      <c r="Q572">
        <v>10.59</v>
      </c>
      <c r="S572">
        <v>9.3800000000000008</v>
      </c>
      <c r="T572">
        <v>0</v>
      </c>
      <c r="U572">
        <v>89.9</v>
      </c>
      <c r="V572">
        <v>973</v>
      </c>
      <c r="W572">
        <v>45.86</v>
      </c>
      <c r="Y572">
        <v>12.9</v>
      </c>
    </row>
    <row r="573" spans="1:25" x14ac:dyDescent="0.25">
      <c r="A573">
        <v>2007</v>
      </c>
      <c r="B573">
        <v>100</v>
      </c>
      <c r="C573">
        <v>400</v>
      </c>
      <c r="D573">
        <v>-0.60299999999999998</v>
      </c>
      <c r="E573">
        <v>-7.78</v>
      </c>
      <c r="F573">
        <v>9.5399999999999991</v>
      </c>
      <c r="G573">
        <v>10.24</v>
      </c>
      <c r="K573">
        <v>2.456</v>
      </c>
      <c r="L573">
        <v>227.1</v>
      </c>
      <c r="M573">
        <v>0</v>
      </c>
      <c r="O573">
        <v>-11.5</v>
      </c>
      <c r="P573">
        <v>-10.84</v>
      </c>
      <c r="Q573">
        <v>10.5</v>
      </c>
      <c r="S573">
        <v>9.35</v>
      </c>
      <c r="T573">
        <v>0</v>
      </c>
      <c r="U573">
        <v>91.6</v>
      </c>
      <c r="V573">
        <v>973</v>
      </c>
      <c r="W573">
        <v>45.87</v>
      </c>
      <c r="Y573">
        <v>12.87</v>
      </c>
    </row>
    <row r="574" spans="1:25" x14ac:dyDescent="0.25">
      <c r="A574">
        <v>2007</v>
      </c>
      <c r="B574">
        <v>100</v>
      </c>
      <c r="C574">
        <v>500</v>
      </c>
      <c r="D574">
        <v>-0.82699999999999996</v>
      </c>
      <c r="E574">
        <v>-7.42</v>
      </c>
      <c r="F574">
        <v>9.4600000000000009</v>
      </c>
      <c r="G574">
        <v>10.1</v>
      </c>
      <c r="K574">
        <v>2.3959999999999999</v>
      </c>
      <c r="L574">
        <v>227.4</v>
      </c>
      <c r="M574">
        <v>0</v>
      </c>
      <c r="O574">
        <v>-11.5</v>
      </c>
      <c r="P574">
        <v>-10.84</v>
      </c>
      <c r="Q574">
        <v>10.42</v>
      </c>
      <c r="S574">
        <v>9.34</v>
      </c>
      <c r="T574">
        <v>0</v>
      </c>
      <c r="U574">
        <v>92.2</v>
      </c>
      <c r="V574">
        <v>976</v>
      </c>
      <c r="W574">
        <v>46.2</v>
      </c>
      <c r="Y574">
        <v>12.85</v>
      </c>
    </row>
    <row r="575" spans="1:25" x14ac:dyDescent="0.25">
      <c r="A575">
        <v>2007</v>
      </c>
      <c r="B575">
        <v>100</v>
      </c>
      <c r="C575">
        <v>600</v>
      </c>
      <c r="D575">
        <v>1.4339999999999999</v>
      </c>
      <c r="E575">
        <v>-4.8049999999999997</v>
      </c>
      <c r="F575">
        <v>9.3800000000000008</v>
      </c>
      <c r="G575">
        <v>10.029999999999999</v>
      </c>
      <c r="K575">
        <v>2.504</v>
      </c>
      <c r="L575">
        <v>227.2</v>
      </c>
      <c r="M575">
        <v>0</v>
      </c>
      <c r="O575">
        <v>-8.9600000000000009</v>
      </c>
      <c r="P575">
        <v>-10.35</v>
      </c>
      <c r="Q575">
        <v>10.34</v>
      </c>
      <c r="S575">
        <v>9.24</v>
      </c>
      <c r="T575">
        <v>0</v>
      </c>
      <c r="U575">
        <v>92.2</v>
      </c>
      <c r="V575">
        <v>972</v>
      </c>
      <c r="W575">
        <v>45.84</v>
      </c>
      <c r="Y575">
        <v>12.84</v>
      </c>
    </row>
    <row r="576" spans="1:25" x14ac:dyDescent="0.25">
      <c r="A576">
        <v>2007</v>
      </c>
      <c r="B576">
        <v>100</v>
      </c>
      <c r="C576">
        <v>700</v>
      </c>
      <c r="D576">
        <v>24.58</v>
      </c>
      <c r="E576">
        <v>5.3179999999999996</v>
      </c>
      <c r="F576">
        <v>9.32</v>
      </c>
      <c r="G576">
        <v>10.09</v>
      </c>
      <c r="K576">
        <v>2.5019999999999998</v>
      </c>
      <c r="L576">
        <v>227.2</v>
      </c>
      <c r="M576">
        <v>0</v>
      </c>
      <c r="O576">
        <v>19.52</v>
      </c>
      <c r="P576">
        <v>-3.004</v>
      </c>
      <c r="Q576">
        <v>10.29</v>
      </c>
      <c r="S576">
        <v>9.24</v>
      </c>
      <c r="T576">
        <v>0</v>
      </c>
      <c r="U576">
        <v>90.7</v>
      </c>
      <c r="V576">
        <v>969</v>
      </c>
      <c r="W576">
        <v>45.53</v>
      </c>
      <c r="Y576">
        <v>12.85</v>
      </c>
    </row>
    <row r="577" spans="1:25" x14ac:dyDescent="0.25">
      <c r="A577">
        <v>2007</v>
      </c>
      <c r="B577">
        <v>100</v>
      </c>
      <c r="C577">
        <v>800</v>
      </c>
      <c r="D577">
        <v>148</v>
      </c>
      <c r="E577">
        <v>92.9</v>
      </c>
      <c r="F577">
        <v>9.5299999999999994</v>
      </c>
      <c r="G577">
        <v>10.68</v>
      </c>
      <c r="K577">
        <v>3.222</v>
      </c>
      <c r="L577">
        <v>227.3</v>
      </c>
      <c r="M577">
        <v>0</v>
      </c>
      <c r="O577">
        <v>195.4</v>
      </c>
      <c r="P577">
        <v>59.99</v>
      </c>
      <c r="Q577">
        <v>10.28</v>
      </c>
      <c r="S577">
        <v>9.25</v>
      </c>
      <c r="T577">
        <v>0</v>
      </c>
      <c r="U577">
        <v>86.5</v>
      </c>
      <c r="V577">
        <v>969</v>
      </c>
      <c r="W577">
        <v>45.44</v>
      </c>
      <c r="Y577">
        <v>13.82</v>
      </c>
    </row>
    <row r="578" spans="1:25" x14ac:dyDescent="0.25">
      <c r="A578">
        <v>2007</v>
      </c>
      <c r="B578">
        <v>100</v>
      </c>
      <c r="C578">
        <v>900</v>
      </c>
      <c r="D578">
        <v>143.4</v>
      </c>
      <c r="E578">
        <v>87.8</v>
      </c>
      <c r="F578">
        <v>9.64</v>
      </c>
      <c r="G578">
        <v>11.03</v>
      </c>
      <c r="H578">
        <f>AVERAGE(G578:G601)</f>
        <v>10.84708333333333</v>
      </c>
      <c r="I578">
        <f>MIN(G578:G601)</f>
        <v>9.07</v>
      </c>
      <c r="J578">
        <f>MAX(F578:F601)</f>
        <v>11.06</v>
      </c>
      <c r="K578">
        <v>3.129</v>
      </c>
      <c r="L578">
        <v>226.9</v>
      </c>
      <c r="M578">
        <v>0</v>
      </c>
      <c r="N578">
        <f>SUM(M578:M601)</f>
        <v>0</v>
      </c>
      <c r="O578">
        <v>173.3</v>
      </c>
      <c r="P578">
        <v>35.520000000000003</v>
      </c>
      <c r="Q578">
        <v>10.33</v>
      </c>
      <c r="S578">
        <v>9.2200000000000006</v>
      </c>
      <c r="T578">
        <v>0</v>
      </c>
      <c r="U578">
        <v>84</v>
      </c>
      <c r="V578">
        <v>968</v>
      </c>
      <c r="W578">
        <v>45.39</v>
      </c>
      <c r="Y578">
        <v>13.72</v>
      </c>
    </row>
    <row r="579" spans="1:25" x14ac:dyDescent="0.25">
      <c r="A579">
        <v>2007</v>
      </c>
      <c r="B579">
        <v>100</v>
      </c>
      <c r="C579">
        <v>1000</v>
      </c>
      <c r="D579">
        <v>195</v>
      </c>
      <c r="E579">
        <v>118.3</v>
      </c>
      <c r="F579">
        <v>9.8699999999999992</v>
      </c>
      <c r="G579">
        <v>11.4</v>
      </c>
      <c r="K579">
        <v>3.1890000000000001</v>
      </c>
      <c r="L579">
        <v>227</v>
      </c>
      <c r="M579">
        <v>0</v>
      </c>
      <c r="O579">
        <v>240.2</v>
      </c>
      <c r="P579">
        <v>57.4</v>
      </c>
      <c r="Q579">
        <v>10.48</v>
      </c>
      <c r="S579">
        <v>9.2100000000000009</v>
      </c>
      <c r="T579">
        <v>0</v>
      </c>
      <c r="U579">
        <v>82.7</v>
      </c>
      <c r="V579">
        <v>964</v>
      </c>
      <c r="W579">
        <v>44.95</v>
      </c>
      <c r="Y579">
        <v>13.8</v>
      </c>
    </row>
    <row r="580" spans="1:25" x14ac:dyDescent="0.25">
      <c r="A580">
        <v>2007</v>
      </c>
      <c r="B580">
        <v>100</v>
      </c>
      <c r="C580">
        <v>1100</v>
      </c>
      <c r="D580">
        <v>261.89999999999998</v>
      </c>
      <c r="E580">
        <v>158.19999999999999</v>
      </c>
      <c r="F580">
        <v>10.23</v>
      </c>
      <c r="G580">
        <v>11.88</v>
      </c>
      <c r="K580">
        <v>3.2709999999999999</v>
      </c>
      <c r="L580">
        <v>226.4</v>
      </c>
      <c r="M580">
        <v>0</v>
      </c>
      <c r="O580">
        <v>327.5</v>
      </c>
      <c r="P580">
        <v>82.8</v>
      </c>
      <c r="Q580">
        <v>10.73</v>
      </c>
      <c r="S580">
        <v>9.24</v>
      </c>
      <c r="T580">
        <v>0</v>
      </c>
      <c r="U580">
        <v>81.599999999999994</v>
      </c>
      <c r="V580">
        <v>962</v>
      </c>
      <c r="W580">
        <v>44.76</v>
      </c>
      <c r="Y580">
        <v>13.9</v>
      </c>
    </row>
    <row r="581" spans="1:25" x14ac:dyDescent="0.25">
      <c r="A581">
        <v>2007</v>
      </c>
      <c r="B581">
        <v>100</v>
      </c>
      <c r="C581">
        <v>1200</v>
      </c>
      <c r="D581">
        <v>216.5</v>
      </c>
      <c r="E581">
        <v>127.3</v>
      </c>
      <c r="F581">
        <v>10.51</v>
      </c>
      <c r="G581">
        <v>12.45</v>
      </c>
      <c r="K581">
        <v>3.0230000000000001</v>
      </c>
      <c r="L581">
        <v>227.4</v>
      </c>
      <c r="M581">
        <v>0</v>
      </c>
      <c r="O581">
        <v>271.60000000000002</v>
      </c>
      <c r="P581">
        <v>68.180000000000007</v>
      </c>
      <c r="Q581">
        <v>10.99</v>
      </c>
      <c r="S581">
        <v>9.26</v>
      </c>
      <c r="T581">
        <v>0</v>
      </c>
      <c r="U581">
        <v>78.8</v>
      </c>
      <c r="V581">
        <v>962</v>
      </c>
      <c r="W581">
        <v>44.81</v>
      </c>
      <c r="Y581">
        <v>13.9</v>
      </c>
    </row>
    <row r="582" spans="1:25" x14ac:dyDescent="0.25">
      <c r="A582">
        <v>2007</v>
      </c>
      <c r="B582">
        <v>100</v>
      </c>
      <c r="C582">
        <v>1300</v>
      </c>
      <c r="D582">
        <v>107.3</v>
      </c>
      <c r="E582">
        <v>56.5</v>
      </c>
      <c r="F582">
        <v>10.27</v>
      </c>
      <c r="G582">
        <v>12.16</v>
      </c>
      <c r="K582">
        <v>3.024</v>
      </c>
      <c r="L582">
        <v>227.3</v>
      </c>
      <c r="M582">
        <v>0</v>
      </c>
      <c r="O582">
        <v>133.9</v>
      </c>
      <c r="P582">
        <v>29.5</v>
      </c>
      <c r="Q582">
        <v>11.28</v>
      </c>
      <c r="S582">
        <v>9.25</v>
      </c>
      <c r="T582">
        <v>0</v>
      </c>
      <c r="U582">
        <v>79.2</v>
      </c>
      <c r="V582">
        <v>961</v>
      </c>
      <c r="W582">
        <v>44.7</v>
      </c>
      <c r="Y582">
        <v>13.71</v>
      </c>
    </row>
    <row r="583" spans="1:25" x14ac:dyDescent="0.25">
      <c r="A583">
        <v>2007</v>
      </c>
      <c r="B583">
        <v>100</v>
      </c>
      <c r="C583">
        <v>1400</v>
      </c>
      <c r="D583">
        <v>199.5</v>
      </c>
      <c r="E583">
        <v>115.8</v>
      </c>
      <c r="F583">
        <v>10.51</v>
      </c>
      <c r="G583">
        <v>12.46</v>
      </c>
      <c r="K583">
        <v>3.3109999999999999</v>
      </c>
      <c r="L583">
        <v>227.6</v>
      </c>
      <c r="M583">
        <v>0</v>
      </c>
      <c r="O583">
        <v>250.8</v>
      </c>
      <c r="P583">
        <v>62.68</v>
      </c>
      <c r="Q583">
        <v>11.45</v>
      </c>
      <c r="S583">
        <v>9.3800000000000008</v>
      </c>
      <c r="T583">
        <v>0</v>
      </c>
      <c r="U583">
        <v>78.7</v>
      </c>
      <c r="V583">
        <v>961</v>
      </c>
      <c r="W583">
        <v>44.71</v>
      </c>
      <c r="Y583">
        <v>13.78</v>
      </c>
    </row>
    <row r="584" spans="1:25" x14ac:dyDescent="0.25">
      <c r="A584">
        <v>2007</v>
      </c>
      <c r="B584">
        <v>100</v>
      </c>
      <c r="C584">
        <v>1500</v>
      </c>
      <c r="D584">
        <v>217.8</v>
      </c>
      <c r="E584">
        <v>125.8</v>
      </c>
      <c r="F584">
        <v>11.06</v>
      </c>
      <c r="G584">
        <v>13.32</v>
      </c>
      <c r="K584">
        <v>3.1949999999999998</v>
      </c>
      <c r="L584">
        <v>227.9</v>
      </c>
      <c r="M584">
        <v>0</v>
      </c>
      <c r="O584">
        <v>267</v>
      </c>
      <c r="P584">
        <v>66.89</v>
      </c>
      <c r="Q584">
        <v>11.61</v>
      </c>
      <c r="S584">
        <v>9.49</v>
      </c>
      <c r="T584">
        <v>0</v>
      </c>
      <c r="U584">
        <v>76.099999999999994</v>
      </c>
      <c r="V584">
        <v>961</v>
      </c>
      <c r="W584">
        <v>44.65</v>
      </c>
      <c r="Y584">
        <v>13.88</v>
      </c>
    </row>
    <row r="585" spans="1:25" x14ac:dyDescent="0.25">
      <c r="A585">
        <v>2007</v>
      </c>
      <c r="B585">
        <v>100</v>
      </c>
      <c r="C585">
        <v>1600</v>
      </c>
      <c r="D585">
        <v>65.400000000000006</v>
      </c>
      <c r="E585">
        <v>28.24</v>
      </c>
      <c r="F585">
        <v>10.63</v>
      </c>
      <c r="G585">
        <v>12.6</v>
      </c>
      <c r="K585">
        <v>2.6739999999999999</v>
      </c>
      <c r="L585">
        <v>227.7</v>
      </c>
      <c r="M585">
        <v>0</v>
      </c>
      <c r="O585">
        <v>77.8</v>
      </c>
      <c r="P585">
        <v>13.88</v>
      </c>
      <c r="Q585">
        <v>11.82</v>
      </c>
      <c r="S585">
        <v>9.57</v>
      </c>
      <c r="T585">
        <v>0</v>
      </c>
      <c r="U585">
        <v>78.7</v>
      </c>
      <c r="V585">
        <v>960</v>
      </c>
      <c r="W585">
        <v>44.6</v>
      </c>
      <c r="Y585">
        <v>13.65</v>
      </c>
    </row>
    <row r="586" spans="1:25" x14ac:dyDescent="0.25">
      <c r="A586">
        <v>2007</v>
      </c>
      <c r="B586">
        <v>100</v>
      </c>
      <c r="C586">
        <v>1700</v>
      </c>
      <c r="D586">
        <v>84.8</v>
      </c>
      <c r="E586">
        <v>40.799999999999997</v>
      </c>
      <c r="F586">
        <v>10.63</v>
      </c>
      <c r="G586">
        <v>12.12</v>
      </c>
      <c r="K586">
        <v>2.5529999999999999</v>
      </c>
      <c r="L586">
        <v>228.3</v>
      </c>
      <c r="M586">
        <v>0</v>
      </c>
      <c r="O586">
        <v>100.1</v>
      </c>
      <c r="P586">
        <v>20.45</v>
      </c>
      <c r="Q586">
        <v>11.9</v>
      </c>
      <c r="S586">
        <v>9.6199999999999992</v>
      </c>
      <c r="T586">
        <v>0</v>
      </c>
      <c r="U586">
        <v>83.4</v>
      </c>
      <c r="V586">
        <v>959</v>
      </c>
      <c r="W586">
        <v>44.52</v>
      </c>
      <c r="Y586">
        <v>13.59</v>
      </c>
    </row>
    <row r="587" spans="1:25" x14ac:dyDescent="0.25">
      <c r="A587">
        <v>2007</v>
      </c>
      <c r="B587">
        <v>100</v>
      </c>
      <c r="C587">
        <v>1800</v>
      </c>
      <c r="D587">
        <v>83.8</v>
      </c>
      <c r="E587">
        <v>39</v>
      </c>
      <c r="F587">
        <v>10.81</v>
      </c>
      <c r="G587">
        <v>12.38</v>
      </c>
      <c r="K587">
        <v>1.8959999999999999</v>
      </c>
      <c r="L587">
        <v>227.6</v>
      </c>
      <c r="M587">
        <v>0</v>
      </c>
      <c r="O587">
        <v>93.6</v>
      </c>
      <c r="P587">
        <v>20.350000000000001</v>
      </c>
      <c r="Q587">
        <v>11.95</v>
      </c>
      <c r="S587">
        <v>9.77</v>
      </c>
      <c r="T587">
        <v>0</v>
      </c>
      <c r="U587">
        <v>82.8</v>
      </c>
      <c r="V587">
        <v>957</v>
      </c>
      <c r="W587">
        <v>44.31</v>
      </c>
      <c r="Y587">
        <v>13.6</v>
      </c>
    </row>
    <row r="588" spans="1:25" x14ac:dyDescent="0.25">
      <c r="A588">
        <v>2007</v>
      </c>
      <c r="B588">
        <v>100</v>
      </c>
      <c r="C588">
        <v>1900</v>
      </c>
      <c r="D588">
        <v>21.35</v>
      </c>
      <c r="E588">
        <v>-1.546</v>
      </c>
      <c r="F588">
        <v>10.5</v>
      </c>
      <c r="G588">
        <v>11.88</v>
      </c>
      <c r="K588">
        <v>1.52</v>
      </c>
      <c r="L588">
        <v>227.7</v>
      </c>
      <c r="M588">
        <v>0</v>
      </c>
      <c r="O588">
        <v>16.600000000000001</v>
      </c>
      <c r="P588">
        <v>-2.8650000000000002</v>
      </c>
      <c r="Q588">
        <v>11.94</v>
      </c>
      <c r="S588">
        <v>9.7799999999999994</v>
      </c>
      <c r="T588">
        <v>0</v>
      </c>
      <c r="U588">
        <v>84.5</v>
      </c>
      <c r="V588">
        <v>957</v>
      </c>
      <c r="W588">
        <v>44.3</v>
      </c>
      <c r="Y588">
        <v>13.48</v>
      </c>
    </row>
    <row r="589" spans="1:25" x14ac:dyDescent="0.25">
      <c r="A589">
        <v>2007</v>
      </c>
      <c r="B589">
        <v>100</v>
      </c>
      <c r="C589">
        <v>2000</v>
      </c>
      <c r="D589">
        <v>0.76800000000000002</v>
      </c>
      <c r="E589">
        <v>-12.06</v>
      </c>
      <c r="F589">
        <v>10.09</v>
      </c>
      <c r="G589">
        <v>11.39</v>
      </c>
      <c r="K589">
        <v>1.357</v>
      </c>
      <c r="L589">
        <v>227.9</v>
      </c>
      <c r="M589">
        <v>0</v>
      </c>
      <c r="O589">
        <v>-9.61</v>
      </c>
      <c r="P589">
        <v>-10.47</v>
      </c>
      <c r="Q589">
        <v>11.86</v>
      </c>
      <c r="S589">
        <v>9.7899999999999991</v>
      </c>
      <c r="T589">
        <v>0</v>
      </c>
      <c r="U589">
        <v>85.1</v>
      </c>
      <c r="V589">
        <v>958</v>
      </c>
      <c r="W589">
        <v>44.35</v>
      </c>
      <c r="Y589">
        <v>13.37</v>
      </c>
    </row>
    <row r="590" spans="1:25" x14ac:dyDescent="0.25">
      <c r="A590">
        <v>2007</v>
      </c>
      <c r="B590">
        <v>100</v>
      </c>
      <c r="C590">
        <v>2100</v>
      </c>
      <c r="D590">
        <v>-0.57299999999999995</v>
      </c>
      <c r="E590">
        <v>-10.54</v>
      </c>
      <c r="F590">
        <v>9.58</v>
      </c>
      <c r="G590">
        <v>10.88</v>
      </c>
      <c r="K590">
        <v>1.956</v>
      </c>
      <c r="L590">
        <v>229.4</v>
      </c>
      <c r="M590">
        <v>0</v>
      </c>
      <c r="O590">
        <v>-11.53</v>
      </c>
      <c r="P590">
        <v>-10.9</v>
      </c>
      <c r="Q590">
        <v>11.7</v>
      </c>
      <c r="S590">
        <v>9.7899999999999991</v>
      </c>
      <c r="T590">
        <v>0</v>
      </c>
      <c r="U590">
        <v>84.9</v>
      </c>
      <c r="V590">
        <v>958</v>
      </c>
      <c r="W590">
        <v>44.37</v>
      </c>
      <c r="Y590">
        <v>13.28</v>
      </c>
    </row>
    <row r="591" spans="1:25" x14ac:dyDescent="0.25">
      <c r="A591">
        <v>2007</v>
      </c>
      <c r="B591">
        <v>100</v>
      </c>
      <c r="C591">
        <v>2200</v>
      </c>
      <c r="D591">
        <v>-0.91600000000000004</v>
      </c>
      <c r="E591">
        <v>-20.22</v>
      </c>
      <c r="F591">
        <v>8.23</v>
      </c>
      <c r="G591">
        <v>9.85</v>
      </c>
      <c r="K591">
        <v>2.4729999999999999</v>
      </c>
      <c r="L591">
        <v>228.9</v>
      </c>
      <c r="M591">
        <v>0</v>
      </c>
      <c r="O591">
        <v>-11.51</v>
      </c>
      <c r="P591">
        <v>-10.85</v>
      </c>
      <c r="Q591">
        <v>11.53</v>
      </c>
      <c r="S591">
        <v>9.8000000000000007</v>
      </c>
      <c r="T591">
        <v>0</v>
      </c>
      <c r="U591">
        <v>80.7</v>
      </c>
      <c r="V591">
        <v>960</v>
      </c>
      <c r="W591">
        <v>44.59</v>
      </c>
      <c r="Y591">
        <v>13.2</v>
      </c>
    </row>
    <row r="592" spans="1:25" x14ac:dyDescent="0.25">
      <c r="A592">
        <v>2007</v>
      </c>
      <c r="B592">
        <v>100</v>
      </c>
      <c r="C592">
        <v>2300</v>
      </c>
      <c r="D592">
        <v>-0.94699999999999995</v>
      </c>
      <c r="E592">
        <v>-14.3</v>
      </c>
      <c r="F592">
        <v>8.08</v>
      </c>
      <c r="G592">
        <v>9.5</v>
      </c>
      <c r="K592">
        <v>1.4039999999999999</v>
      </c>
      <c r="L592">
        <v>227.7</v>
      </c>
      <c r="M592">
        <v>0</v>
      </c>
      <c r="O592">
        <v>-11.5</v>
      </c>
      <c r="P592">
        <v>-10.84</v>
      </c>
      <c r="Q592">
        <v>11.39</v>
      </c>
      <c r="S592">
        <v>9.8800000000000008</v>
      </c>
      <c r="T592">
        <v>0</v>
      </c>
      <c r="U592">
        <v>82.8</v>
      </c>
      <c r="V592">
        <v>962</v>
      </c>
      <c r="W592">
        <v>44.74</v>
      </c>
      <c r="Y592">
        <v>13.12</v>
      </c>
    </row>
    <row r="593" spans="1:25" x14ac:dyDescent="0.25">
      <c r="A593">
        <v>2007</v>
      </c>
      <c r="B593">
        <v>100</v>
      </c>
      <c r="C593">
        <v>2400</v>
      </c>
      <c r="D593">
        <v>-0.57299999999999995</v>
      </c>
      <c r="E593">
        <v>-11.06</v>
      </c>
      <c r="F593">
        <v>8.1300000000000008</v>
      </c>
      <c r="G593">
        <v>9.65</v>
      </c>
      <c r="K593">
        <v>1.526</v>
      </c>
      <c r="L593">
        <v>227.2</v>
      </c>
      <c r="M593">
        <v>0</v>
      </c>
      <c r="O593">
        <v>-11.5</v>
      </c>
      <c r="P593">
        <v>-10.84</v>
      </c>
      <c r="Q593">
        <v>11.19</v>
      </c>
      <c r="S593">
        <v>9.8000000000000007</v>
      </c>
      <c r="T593">
        <v>0</v>
      </c>
      <c r="U593">
        <v>81.8</v>
      </c>
      <c r="V593">
        <v>966</v>
      </c>
      <c r="W593">
        <v>45.21</v>
      </c>
      <c r="Y593">
        <v>13.05</v>
      </c>
    </row>
    <row r="594" spans="1:25" x14ac:dyDescent="0.25">
      <c r="A594">
        <v>2007</v>
      </c>
      <c r="B594">
        <v>101</v>
      </c>
      <c r="C594">
        <v>100</v>
      </c>
      <c r="D594">
        <v>-0.57299999999999995</v>
      </c>
      <c r="E594">
        <v>-10.67</v>
      </c>
      <c r="F594">
        <v>8.3000000000000007</v>
      </c>
      <c r="G594">
        <v>9.5299999999999994</v>
      </c>
      <c r="K594">
        <v>1.117</v>
      </c>
      <c r="L594">
        <v>227.6</v>
      </c>
      <c r="M594">
        <v>0</v>
      </c>
      <c r="O594">
        <v>-11.5</v>
      </c>
      <c r="P594">
        <v>-10.84</v>
      </c>
      <c r="Q594">
        <v>11.01</v>
      </c>
      <c r="S594">
        <v>9.7799999999999994</v>
      </c>
      <c r="T594">
        <v>0</v>
      </c>
      <c r="U594">
        <v>85</v>
      </c>
      <c r="V594">
        <v>972</v>
      </c>
      <c r="W594">
        <v>45.77</v>
      </c>
      <c r="Y594">
        <v>12.99</v>
      </c>
    </row>
    <row r="595" spans="1:25" x14ac:dyDescent="0.25">
      <c r="A595">
        <v>2007</v>
      </c>
      <c r="B595">
        <v>101</v>
      </c>
      <c r="C595">
        <v>200</v>
      </c>
      <c r="D595">
        <v>-0.57299999999999995</v>
      </c>
      <c r="E595">
        <v>-10.11</v>
      </c>
      <c r="F595">
        <v>8.3699999999999992</v>
      </c>
      <c r="G595">
        <v>9.5399999999999991</v>
      </c>
      <c r="K595">
        <v>0.93700000000000006</v>
      </c>
      <c r="L595">
        <v>228.1</v>
      </c>
      <c r="M595">
        <v>0</v>
      </c>
      <c r="O595">
        <v>-11.5</v>
      </c>
      <c r="P595">
        <v>-10.84</v>
      </c>
      <c r="Q595">
        <v>10.86</v>
      </c>
      <c r="S595">
        <v>9.6999999999999993</v>
      </c>
      <c r="T595">
        <v>0</v>
      </c>
      <c r="U595">
        <v>85.8</v>
      </c>
      <c r="V595">
        <v>979</v>
      </c>
      <c r="W595">
        <v>46.54</v>
      </c>
      <c r="Y595">
        <v>12.94</v>
      </c>
    </row>
    <row r="596" spans="1:25" x14ac:dyDescent="0.25">
      <c r="A596">
        <v>2007</v>
      </c>
      <c r="B596">
        <v>101</v>
      </c>
      <c r="C596">
        <v>300</v>
      </c>
      <c r="D596">
        <v>-1.0209999999999999</v>
      </c>
      <c r="E596">
        <v>-12.55</v>
      </c>
      <c r="F596">
        <v>8.18</v>
      </c>
      <c r="G596">
        <v>9.14</v>
      </c>
      <c r="K596">
        <v>1.0529999999999999</v>
      </c>
      <c r="L596">
        <v>227.8</v>
      </c>
      <c r="M596">
        <v>0</v>
      </c>
      <c r="O596">
        <v>-11.5</v>
      </c>
      <c r="P596">
        <v>-10.84</v>
      </c>
      <c r="Q596">
        <v>10.73</v>
      </c>
      <c r="S596">
        <v>9.67</v>
      </c>
      <c r="T596">
        <v>0</v>
      </c>
      <c r="U596">
        <v>88.1</v>
      </c>
      <c r="V596">
        <v>974</v>
      </c>
      <c r="W596">
        <v>46.01</v>
      </c>
      <c r="Y596">
        <v>12.9</v>
      </c>
    </row>
    <row r="597" spans="1:25" x14ac:dyDescent="0.25">
      <c r="A597">
        <v>2007</v>
      </c>
      <c r="B597">
        <v>101</v>
      </c>
      <c r="C597">
        <v>400</v>
      </c>
      <c r="D597">
        <v>-0.628</v>
      </c>
      <c r="E597">
        <v>-11.54</v>
      </c>
      <c r="F597">
        <v>8.14</v>
      </c>
      <c r="G597">
        <v>9.07</v>
      </c>
      <c r="K597">
        <v>0.76500000000000001</v>
      </c>
      <c r="L597">
        <v>222.3</v>
      </c>
      <c r="M597">
        <v>0</v>
      </c>
      <c r="O597">
        <v>-11.5</v>
      </c>
      <c r="P597">
        <v>-10.84</v>
      </c>
      <c r="Q597">
        <v>10.6</v>
      </c>
      <c r="S597">
        <v>9.57</v>
      </c>
      <c r="T597">
        <v>0</v>
      </c>
      <c r="U597">
        <v>88.4</v>
      </c>
      <c r="V597">
        <v>972</v>
      </c>
      <c r="W597">
        <v>45.77</v>
      </c>
      <c r="Y597">
        <v>12.87</v>
      </c>
    </row>
    <row r="598" spans="1:25" x14ac:dyDescent="0.25">
      <c r="A598">
        <v>2007</v>
      </c>
      <c r="B598">
        <v>101</v>
      </c>
      <c r="C598">
        <v>500</v>
      </c>
      <c r="D598">
        <v>-0.57299999999999995</v>
      </c>
      <c r="E598">
        <v>-10.44</v>
      </c>
      <c r="F598">
        <v>8.18</v>
      </c>
      <c r="G598">
        <v>9.18</v>
      </c>
      <c r="K598">
        <v>1.4179999999999999</v>
      </c>
      <c r="L598">
        <v>209.9</v>
      </c>
      <c r="M598">
        <v>0</v>
      </c>
      <c r="O598">
        <v>-11.5</v>
      </c>
      <c r="P598">
        <v>-10.84</v>
      </c>
      <c r="Q598">
        <v>10.48</v>
      </c>
      <c r="S598">
        <v>9.5399999999999991</v>
      </c>
      <c r="T598">
        <v>0</v>
      </c>
      <c r="U598">
        <v>87.6</v>
      </c>
      <c r="V598">
        <v>975</v>
      </c>
      <c r="W598">
        <v>46.11</v>
      </c>
      <c r="Y598">
        <v>12.85</v>
      </c>
    </row>
    <row r="599" spans="1:25" x14ac:dyDescent="0.25">
      <c r="A599">
        <v>2007</v>
      </c>
      <c r="B599">
        <v>101</v>
      </c>
      <c r="C599">
        <v>600</v>
      </c>
      <c r="D599">
        <v>2.2000000000000002</v>
      </c>
      <c r="E599">
        <v>-8.41</v>
      </c>
      <c r="F599">
        <v>8.1999999999999993</v>
      </c>
      <c r="G599">
        <v>9.26</v>
      </c>
      <c r="K599">
        <v>1.3660000000000001</v>
      </c>
      <c r="L599">
        <v>213.1</v>
      </c>
      <c r="M599">
        <v>0</v>
      </c>
      <c r="O599">
        <v>-7.66</v>
      </c>
      <c r="P599">
        <v>-9.91</v>
      </c>
      <c r="Q599">
        <v>10.38</v>
      </c>
      <c r="S599">
        <v>9.4499999999999993</v>
      </c>
      <c r="T599">
        <v>0</v>
      </c>
      <c r="U599">
        <v>86.9</v>
      </c>
      <c r="V599">
        <v>978</v>
      </c>
      <c r="W599">
        <v>46.4</v>
      </c>
      <c r="Y599">
        <v>12.84</v>
      </c>
    </row>
    <row r="600" spans="1:25" x14ac:dyDescent="0.25">
      <c r="A600">
        <v>2007</v>
      </c>
      <c r="B600">
        <v>101</v>
      </c>
      <c r="C600">
        <v>700</v>
      </c>
      <c r="D600">
        <v>28.02</v>
      </c>
      <c r="E600">
        <v>8.07</v>
      </c>
      <c r="F600">
        <v>8.35</v>
      </c>
      <c r="G600">
        <v>9.48</v>
      </c>
      <c r="K600">
        <v>1.28</v>
      </c>
      <c r="L600">
        <v>209.8</v>
      </c>
      <c r="M600">
        <v>0</v>
      </c>
      <c r="O600">
        <v>25.32</v>
      </c>
      <c r="P600">
        <v>-0.873</v>
      </c>
      <c r="Q600">
        <v>10.29</v>
      </c>
      <c r="S600">
        <v>9.4499999999999993</v>
      </c>
      <c r="T600">
        <v>0</v>
      </c>
      <c r="U600">
        <v>86.3</v>
      </c>
      <c r="V600">
        <v>975</v>
      </c>
      <c r="W600">
        <v>46.08</v>
      </c>
      <c r="Y600">
        <v>12.84</v>
      </c>
    </row>
    <row r="601" spans="1:25" x14ac:dyDescent="0.25">
      <c r="A601">
        <v>2007</v>
      </c>
      <c r="B601">
        <v>101</v>
      </c>
      <c r="C601">
        <v>800</v>
      </c>
      <c r="D601">
        <v>68.349999999999994</v>
      </c>
      <c r="E601">
        <v>33.93</v>
      </c>
      <c r="F601">
        <v>8.69</v>
      </c>
      <c r="G601">
        <v>10.18</v>
      </c>
      <c r="K601">
        <v>1.569</v>
      </c>
      <c r="L601">
        <v>208.2</v>
      </c>
      <c r="M601">
        <v>0</v>
      </c>
      <c r="O601">
        <v>77.900000000000006</v>
      </c>
      <c r="P601">
        <v>13.47</v>
      </c>
      <c r="Q601">
        <v>10.27</v>
      </c>
      <c r="S601">
        <v>9.3699999999999992</v>
      </c>
      <c r="T601">
        <v>0</v>
      </c>
      <c r="U601">
        <v>82.4</v>
      </c>
      <c r="V601">
        <v>971</v>
      </c>
      <c r="W601">
        <v>45.69</v>
      </c>
      <c r="Y601">
        <v>13.14</v>
      </c>
    </row>
    <row r="602" spans="1:25" x14ac:dyDescent="0.25">
      <c r="A602">
        <v>2007</v>
      </c>
      <c r="B602">
        <v>101</v>
      </c>
      <c r="C602">
        <v>900</v>
      </c>
      <c r="D602">
        <v>112.7</v>
      </c>
      <c r="E602">
        <v>62.25</v>
      </c>
      <c r="F602">
        <v>9.06</v>
      </c>
      <c r="G602">
        <v>11</v>
      </c>
      <c r="H602">
        <f>AVERAGE(G602:G625)</f>
        <v>8.5106666666666673</v>
      </c>
      <c r="I602">
        <f>MIN(G602:G625)</f>
        <v>0.48</v>
      </c>
      <c r="J602">
        <f>MAX(F602:F625)</f>
        <v>10.87</v>
      </c>
      <c r="K602">
        <v>1.4570000000000001</v>
      </c>
      <c r="L602">
        <v>212.6</v>
      </c>
      <c r="M602">
        <v>0</v>
      </c>
      <c r="N602">
        <f>SUM(M602:M625)</f>
        <v>0</v>
      </c>
      <c r="O602">
        <v>137.19999999999999</v>
      </c>
      <c r="P602">
        <v>30.32</v>
      </c>
      <c r="Q602">
        <v>10.32</v>
      </c>
      <c r="S602">
        <v>9.36</v>
      </c>
      <c r="T602">
        <v>0</v>
      </c>
      <c r="U602">
        <v>77.8</v>
      </c>
      <c r="V602">
        <v>967</v>
      </c>
      <c r="W602">
        <v>45.27</v>
      </c>
      <c r="Y602">
        <v>13.53</v>
      </c>
    </row>
    <row r="603" spans="1:25" x14ac:dyDescent="0.25">
      <c r="A603">
        <v>2007</v>
      </c>
      <c r="B603">
        <v>101</v>
      </c>
      <c r="C603">
        <v>1000</v>
      </c>
      <c r="D603">
        <v>180.4</v>
      </c>
      <c r="E603">
        <v>104.8</v>
      </c>
      <c r="F603">
        <v>9.25</v>
      </c>
      <c r="G603">
        <v>11.86</v>
      </c>
      <c r="K603">
        <v>1.8660000000000001</v>
      </c>
      <c r="L603">
        <v>211.3</v>
      </c>
      <c r="M603">
        <v>0</v>
      </c>
      <c r="O603">
        <v>224.6</v>
      </c>
      <c r="P603">
        <v>55.85</v>
      </c>
      <c r="Q603">
        <v>10.41</v>
      </c>
      <c r="S603">
        <v>9.3800000000000008</v>
      </c>
      <c r="T603">
        <v>0</v>
      </c>
      <c r="U603">
        <v>71.400000000000006</v>
      </c>
      <c r="V603">
        <v>963</v>
      </c>
      <c r="W603">
        <v>44.88</v>
      </c>
      <c r="Y603">
        <v>13.72</v>
      </c>
    </row>
    <row r="604" spans="1:25" x14ac:dyDescent="0.25">
      <c r="A604">
        <v>2007</v>
      </c>
      <c r="B604">
        <v>101</v>
      </c>
      <c r="C604">
        <v>1100</v>
      </c>
      <c r="D604">
        <v>346.9</v>
      </c>
      <c r="E604">
        <v>211.2</v>
      </c>
      <c r="F604">
        <v>9.9700000000000006</v>
      </c>
      <c r="G604">
        <v>13.13</v>
      </c>
      <c r="K604">
        <v>1.976</v>
      </c>
      <c r="L604">
        <v>212.1</v>
      </c>
      <c r="M604">
        <v>0</v>
      </c>
      <c r="O604">
        <v>424.8</v>
      </c>
      <c r="P604">
        <v>111.9</v>
      </c>
      <c r="Q604">
        <v>10.65</v>
      </c>
      <c r="S604">
        <v>9.4</v>
      </c>
      <c r="T604">
        <v>0</v>
      </c>
      <c r="U604">
        <v>66.98</v>
      </c>
      <c r="V604">
        <v>960</v>
      </c>
      <c r="W604">
        <v>44.6</v>
      </c>
      <c r="Y604">
        <v>14.06</v>
      </c>
    </row>
    <row r="605" spans="1:25" x14ac:dyDescent="0.25">
      <c r="A605">
        <v>2007</v>
      </c>
      <c r="B605">
        <v>101</v>
      </c>
      <c r="C605">
        <v>1200</v>
      </c>
      <c r="D605">
        <v>340.2</v>
      </c>
      <c r="E605">
        <v>202.8</v>
      </c>
      <c r="F605">
        <v>10.5</v>
      </c>
      <c r="G605">
        <v>13.71</v>
      </c>
      <c r="K605">
        <v>1.8049999999999999</v>
      </c>
      <c r="L605">
        <v>213.1</v>
      </c>
      <c r="M605">
        <v>0</v>
      </c>
      <c r="O605">
        <v>419.7</v>
      </c>
      <c r="P605">
        <v>110.2</v>
      </c>
      <c r="Q605">
        <v>11.06</v>
      </c>
      <c r="S605">
        <v>9.43</v>
      </c>
      <c r="T605">
        <v>0</v>
      </c>
      <c r="U605">
        <v>67.03</v>
      </c>
      <c r="V605">
        <v>959</v>
      </c>
      <c r="W605">
        <v>44.48</v>
      </c>
      <c r="Y605">
        <v>14.15</v>
      </c>
    </row>
    <row r="606" spans="1:25" x14ac:dyDescent="0.25">
      <c r="A606">
        <v>2007</v>
      </c>
      <c r="B606">
        <v>101</v>
      </c>
      <c r="C606">
        <v>1300</v>
      </c>
      <c r="D606">
        <v>209.4</v>
      </c>
      <c r="E606">
        <v>115.5</v>
      </c>
      <c r="F606">
        <v>10.18</v>
      </c>
      <c r="G606">
        <v>13.34</v>
      </c>
      <c r="K606">
        <v>1.3480000000000001</v>
      </c>
      <c r="L606">
        <v>226.2</v>
      </c>
      <c r="M606">
        <v>0</v>
      </c>
      <c r="O606">
        <v>263.7</v>
      </c>
      <c r="P606">
        <v>67.959999999999994</v>
      </c>
      <c r="Q606">
        <v>11.53</v>
      </c>
      <c r="S606">
        <v>9.4499999999999993</v>
      </c>
      <c r="T606">
        <v>0</v>
      </c>
      <c r="U606">
        <v>67.23</v>
      </c>
      <c r="V606">
        <v>958</v>
      </c>
      <c r="W606">
        <v>44.4</v>
      </c>
      <c r="Y606">
        <v>13.87</v>
      </c>
    </row>
    <row r="607" spans="1:25" x14ac:dyDescent="0.25">
      <c r="A607">
        <v>2007</v>
      </c>
      <c r="B607">
        <v>101</v>
      </c>
      <c r="C607">
        <v>1400</v>
      </c>
      <c r="D607">
        <v>205.1</v>
      </c>
      <c r="E607">
        <v>111.7</v>
      </c>
      <c r="F607">
        <v>10.39</v>
      </c>
      <c r="G607">
        <v>13.42</v>
      </c>
      <c r="K607">
        <v>1.395</v>
      </c>
      <c r="L607">
        <v>226.5</v>
      </c>
      <c r="M607">
        <v>0</v>
      </c>
      <c r="O607">
        <v>256.3</v>
      </c>
      <c r="P607">
        <v>65.040000000000006</v>
      </c>
      <c r="Q607">
        <v>11.9</v>
      </c>
      <c r="S607">
        <v>9.56</v>
      </c>
      <c r="T607">
        <v>0</v>
      </c>
      <c r="U607">
        <v>68.489999999999995</v>
      </c>
      <c r="V607">
        <v>957</v>
      </c>
      <c r="W607">
        <v>44.33</v>
      </c>
      <c r="Y607">
        <v>13.8</v>
      </c>
    </row>
    <row r="608" spans="1:25" x14ac:dyDescent="0.25">
      <c r="A608">
        <v>2007</v>
      </c>
      <c r="B608">
        <v>101</v>
      </c>
      <c r="C608">
        <v>1500</v>
      </c>
      <c r="D608">
        <v>218.5</v>
      </c>
      <c r="E608">
        <v>119.2</v>
      </c>
      <c r="F608">
        <v>10.42</v>
      </c>
      <c r="G608">
        <v>13.52</v>
      </c>
      <c r="K608">
        <v>1.742</v>
      </c>
      <c r="L608">
        <v>219.8</v>
      </c>
      <c r="M608">
        <v>0</v>
      </c>
      <c r="O608">
        <v>269.8</v>
      </c>
      <c r="P608">
        <v>68.010000000000005</v>
      </c>
      <c r="Q608">
        <v>12.17</v>
      </c>
      <c r="S608">
        <v>9.6999999999999993</v>
      </c>
      <c r="T608">
        <v>0</v>
      </c>
      <c r="U608">
        <v>68.02</v>
      </c>
      <c r="V608">
        <v>957</v>
      </c>
      <c r="W608">
        <v>44.27</v>
      </c>
      <c r="Y608">
        <v>13.83</v>
      </c>
    </row>
    <row r="609" spans="1:25" x14ac:dyDescent="0.25">
      <c r="A609">
        <v>2007</v>
      </c>
      <c r="B609">
        <v>101</v>
      </c>
      <c r="C609">
        <v>1600</v>
      </c>
      <c r="D609">
        <v>392.9</v>
      </c>
      <c r="E609">
        <v>223.8</v>
      </c>
      <c r="F609">
        <v>10.87</v>
      </c>
      <c r="G609">
        <v>14.14</v>
      </c>
      <c r="K609">
        <v>2.008</v>
      </c>
      <c r="L609">
        <v>210.8</v>
      </c>
      <c r="M609">
        <v>0</v>
      </c>
      <c r="O609">
        <v>457.4</v>
      </c>
      <c r="P609">
        <v>165.3</v>
      </c>
      <c r="Q609">
        <v>12.41</v>
      </c>
      <c r="S609">
        <v>9.8699999999999992</v>
      </c>
      <c r="T609">
        <v>0</v>
      </c>
      <c r="U609">
        <v>66.959999999999994</v>
      </c>
      <c r="V609">
        <v>956</v>
      </c>
      <c r="W609">
        <v>44.2</v>
      </c>
      <c r="Y609">
        <v>14.21</v>
      </c>
    </row>
    <row r="610" spans="1:25" x14ac:dyDescent="0.25">
      <c r="A610">
        <v>2007</v>
      </c>
      <c r="B610">
        <v>101</v>
      </c>
      <c r="C610">
        <v>1700</v>
      </c>
      <c r="D610">
        <v>272.39999999999998</v>
      </c>
      <c r="E610">
        <v>150.1</v>
      </c>
      <c r="F610">
        <v>10.8</v>
      </c>
      <c r="G610">
        <v>14.36</v>
      </c>
      <c r="K610">
        <v>1.954</v>
      </c>
      <c r="L610">
        <v>211.3</v>
      </c>
      <c r="M610">
        <v>0</v>
      </c>
      <c r="O610">
        <v>326.39999999999998</v>
      </c>
      <c r="P610">
        <v>104.6</v>
      </c>
      <c r="Q610">
        <v>12.67</v>
      </c>
      <c r="S610">
        <v>10.02</v>
      </c>
      <c r="T610">
        <v>0</v>
      </c>
      <c r="U610">
        <v>64.44</v>
      </c>
      <c r="V610">
        <v>957</v>
      </c>
      <c r="W610">
        <v>44.29</v>
      </c>
      <c r="Y610">
        <v>13.96</v>
      </c>
    </row>
    <row r="611" spans="1:25" x14ac:dyDescent="0.25">
      <c r="A611">
        <v>2007</v>
      </c>
      <c r="B611">
        <v>101</v>
      </c>
      <c r="C611">
        <v>1800</v>
      </c>
      <c r="D611">
        <v>177.6</v>
      </c>
      <c r="E611">
        <v>70.599999999999994</v>
      </c>
      <c r="F611">
        <v>10.72</v>
      </c>
      <c r="G611">
        <v>14.15</v>
      </c>
      <c r="K611">
        <v>1.4339999999999999</v>
      </c>
      <c r="L611">
        <v>210.4</v>
      </c>
      <c r="M611">
        <v>0</v>
      </c>
      <c r="O611">
        <v>195.7</v>
      </c>
      <c r="P611">
        <v>99.4</v>
      </c>
      <c r="Q611">
        <v>12.87</v>
      </c>
      <c r="S611">
        <v>10.1</v>
      </c>
      <c r="T611">
        <v>0</v>
      </c>
      <c r="U611">
        <v>65.48</v>
      </c>
      <c r="V611">
        <v>956</v>
      </c>
      <c r="W611">
        <v>44.22</v>
      </c>
      <c r="Y611">
        <v>13.73</v>
      </c>
    </row>
    <row r="612" spans="1:25" x14ac:dyDescent="0.25">
      <c r="A612">
        <v>2007</v>
      </c>
      <c r="B612">
        <v>101</v>
      </c>
      <c r="C612">
        <v>1900</v>
      </c>
      <c r="D612">
        <v>67.08</v>
      </c>
      <c r="E612">
        <v>-4.6470000000000002</v>
      </c>
      <c r="F612">
        <v>10.09</v>
      </c>
      <c r="G612">
        <v>12.39</v>
      </c>
      <c r="K612">
        <v>1.19</v>
      </c>
      <c r="L612">
        <v>201.8</v>
      </c>
      <c r="M612">
        <v>0</v>
      </c>
      <c r="O612">
        <v>65.55</v>
      </c>
      <c r="P612">
        <v>61.7</v>
      </c>
      <c r="Q612">
        <v>12.86</v>
      </c>
      <c r="S612">
        <v>10.23</v>
      </c>
      <c r="T612">
        <v>0</v>
      </c>
      <c r="U612">
        <v>75.2</v>
      </c>
      <c r="V612">
        <v>955</v>
      </c>
      <c r="W612">
        <v>44.1</v>
      </c>
      <c r="Y612">
        <v>13.51</v>
      </c>
    </row>
    <row r="613" spans="1:25" x14ac:dyDescent="0.25">
      <c r="A613">
        <v>2007</v>
      </c>
      <c r="B613">
        <v>101</v>
      </c>
      <c r="C613">
        <v>2000</v>
      </c>
      <c r="D613">
        <v>-0.23899999999999999</v>
      </c>
      <c r="E613">
        <v>-56.53</v>
      </c>
      <c r="F613">
        <v>7.87</v>
      </c>
      <c r="G613">
        <v>9.4700000000000006</v>
      </c>
      <c r="K613">
        <v>1.1220000000000001</v>
      </c>
      <c r="L613">
        <v>194.5</v>
      </c>
      <c r="M613">
        <v>0</v>
      </c>
      <c r="O613">
        <v>-7.21</v>
      </c>
      <c r="P613">
        <v>-9.06</v>
      </c>
      <c r="Q613">
        <v>12.61</v>
      </c>
      <c r="S613">
        <v>10.26</v>
      </c>
      <c r="T613">
        <v>0</v>
      </c>
      <c r="U613">
        <v>80.599999999999994</v>
      </c>
      <c r="V613">
        <v>955</v>
      </c>
      <c r="W613">
        <v>44.09</v>
      </c>
      <c r="Y613">
        <v>13.38</v>
      </c>
    </row>
    <row r="614" spans="1:25" x14ac:dyDescent="0.25">
      <c r="A614">
        <v>2007</v>
      </c>
      <c r="B614">
        <v>101</v>
      </c>
      <c r="C614">
        <v>2100</v>
      </c>
      <c r="D614">
        <v>-3.4449999999999998</v>
      </c>
      <c r="E614">
        <v>-54.82</v>
      </c>
      <c r="F614">
        <v>6.7080000000000002</v>
      </c>
      <c r="G614">
        <v>8.0500000000000007</v>
      </c>
      <c r="K614">
        <v>0.76400000000000001</v>
      </c>
      <c r="L614">
        <v>179.4</v>
      </c>
      <c r="M614">
        <v>0</v>
      </c>
      <c r="O614">
        <v>-11.75</v>
      </c>
      <c r="P614">
        <v>-11.14</v>
      </c>
      <c r="Q614">
        <v>12.23</v>
      </c>
      <c r="S614">
        <v>10.28</v>
      </c>
      <c r="T614">
        <v>0</v>
      </c>
      <c r="U614">
        <v>82.9</v>
      </c>
      <c r="V614">
        <v>958</v>
      </c>
      <c r="W614">
        <v>44.42</v>
      </c>
      <c r="Y614">
        <v>13.28</v>
      </c>
    </row>
    <row r="615" spans="1:25" x14ac:dyDescent="0.25">
      <c r="A615">
        <v>2007</v>
      </c>
      <c r="B615">
        <v>101</v>
      </c>
      <c r="C615">
        <v>2200</v>
      </c>
      <c r="D615">
        <v>-3.3839999999999999</v>
      </c>
      <c r="E615">
        <v>-52.41</v>
      </c>
      <c r="F615">
        <v>6.1429999999999998</v>
      </c>
      <c r="G615">
        <v>7.56</v>
      </c>
      <c r="K615">
        <v>0.45600000000000002</v>
      </c>
      <c r="L615">
        <v>161.80000000000001</v>
      </c>
      <c r="M615">
        <v>0</v>
      </c>
      <c r="O615">
        <v>-11.51</v>
      </c>
      <c r="P615">
        <v>-10.85</v>
      </c>
      <c r="Q615">
        <v>11.83</v>
      </c>
      <c r="S615">
        <v>10.29</v>
      </c>
      <c r="T615">
        <v>0</v>
      </c>
      <c r="U615">
        <v>81.599999999999994</v>
      </c>
      <c r="V615">
        <v>971</v>
      </c>
      <c r="W615">
        <v>45.72</v>
      </c>
      <c r="Y615">
        <v>13.2</v>
      </c>
    </row>
    <row r="616" spans="1:25" x14ac:dyDescent="0.25">
      <c r="A616">
        <v>2007</v>
      </c>
      <c r="B616">
        <v>101</v>
      </c>
      <c r="C616">
        <v>2300</v>
      </c>
      <c r="D616">
        <v>-3.3919999999999999</v>
      </c>
      <c r="E616">
        <v>-50.98</v>
      </c>
      <c r="F616">
        <v>4.99</v>
      </c>
      <c r="G616">
        <v>5.8879999999999999</v>
      </c>
      <c r="K616">
        <v>0.35</v>
      </c>
      <c r="L616">
        <v>179.1</v>
      </c>
      <c r="M616">
        <v>0</v>
      </c>
      <c r="O616">
        <v>-11.5</v>
      </c>
      <c r="P616">
        <v>-10.84</v>
      </c>
      <c r="Q616">
        <v>11.37</v>
      </c>
      <c r="S616">
        <v>10.19</v>
      </c>
      <c r="T616">
        <v>0</v>
      </c>
      <c r="U616">
        <v>87.7</v>
      </c>
      <c r="V616">
        <v>976</v>
      </c>
      <c r="W616">
        <v>46.23</v>
      </c>
      <c r="Y616">
        <v>13.12</v>
      </c>
    </row>
    <row r="617" spans="1:25" x14ac:dyDescent="0.25">
      <c r="A617">
        <v>2007</v>
      </c>
      <c r="B617">
        <v>101</v>
      </c>
      <c r="C617">
        <v>2400</v>
      </c>
      <c r="D617">
        <v>-3.04</v>
      </c>
      <c r="E617">
        <v>-42.43</v>
      </c>
      <c r="F617">
        <v>2.8010000000000002</v>
      </c>
      <c r="G617">
        <v>3.2519999999999998</v>
      </c>
      <c r="K617">
        <v>0.255</v>
      </c>
      <c r="L617">
        <v>193.8</v>
      </c>
      <c r="M617">
        <v>0</v>
      </c>
      <c r="O617">
        <v>-11.5</v>
      </c>
      <c r="P617">
        <v>-10.84</v>
      </c>
      <c r="Q617">
        <v>10.96</v>
      </c>
      <c r="S617">
        <v>10.11</v>
      </c>
      <c r="T617">
        <v>0</v>
      </c>
      <c r="U617">
        <v>93</v>
      </c>
      <c r="V617">
        <v>972</v>
      </c>
      <c r="W617">
        <v>45.83</v>
      </c>
      <c r="Y617">
        <v>13.05</v>
      </c>
    </row>
    <row r="618" spans="1:25" x14ac:dyDescent="0.25">
      <c r="A618">
        <v>2007</v>
      </c>
      <c r="B618">
        <v>102</v>
      </c>
      <c r="C618">
        <v>100</v>
      </c>
      <c r="D618">
        <v>-2.6850000000000001</v>
      </c>
      <c r="E618">
        <v>-35.74</v>
      </c>
      <c r="F618">
        <v>1.8380000000000001</v>
      </c>
      <c r="G618">
        <v>2.2349999999999999</v>
      </c>
      <c r="K618">
        <v>0.29099999999999998</v>
      </c>
      <c r="L618">
        <v>199.5</v>
      </c>
      <c r="M618">
        <v>0</v>
      </c>
      <c r="O618">
        <v>-11.5</v>
      </c>
      <c r="P618">
        <v>-10.85</v>
      </c>
      <c r="Q618">
        <v>10.54</v>
      </c>
      <c r="S618">
        <v>9.9700000000000006</v>
      </c>
      <c r="T618">
        <v>0</v>
      </c>
      <c r="U618">
        <v>93.5</v>
      </c>
      <c r="V618">
        <v>982</v>
      </c>
      <c r="W618">
        <v>46.87</v>
      </c>
      <c r="Y618">
        <v>12.99</v>
      </c>
    </row>
    <row r="619" spans="1:25" x14ac:dyDescent="0.25">
      <c r="A619">
        <v>2007</v>
      </c>
      <c r="B619">
        <v>102</v>
      </c>
      <c r="C619">
        <v>200</v>
      </c>
      <c r="D619">
        <v>-2.4340000000000002</v>
      </c>
      <c r="E619">
        <v>-30.75</v>
      </c>
      <c r="F619">
        <v>1.353</v>
      </c>
      <c r="G619">
        <v>1.8149999999999999</v>
      </c>
      <c r="K619">
        <v>0.22700000000000001</v>
      </c>
      <c r="L619">
        <v>192.2</v>
      </c>
      <c r="M619">
        <v>0</v>
      </c>
      <c r="O619">
        <v>-11.5</v>
      </c>
      <c r="P619">
        <v>-10.85</v>
      </c>
      <c r="Q619">
        <v>10.16</v>
      </c>
      <c r="S619">
        <v>9.83</v>
      </c>
      <c r="T619">
        <v>0</v>
      </c>
      <c r="U619">
        <v>92.3</v>
      </c>
      <c r="V619">
        <v>978</v>
      </c>
      <c r="W619">
        <v>46.4</v>
      </c>
      <c r="Y619">
        <v>12.93</v>
      </c>
    </row>
    <row r="620" spans="1:25" x14ac:dyDescent="0.25">
      <c r="A620">
        <v>2007</v>
      </c>
      <c r="B620">
        <v>102</v>
      </c>
      <c r="C620">
        <v>300</v>
      </c>
      <c r="D620">
        <v>-2.2719999999999998</v>
      </c>
      <c r="E620">
        <v>-29.7</v>
      </c>
      <c r="F620">
        <v>1.0449999999999999</v>
      </c>
      <c r="G620">
        <v>1.4950000000000001</v>
      </c>
      <c r="K620">
        <v>0.104</v>
      </c>
      <c r="L620">
        <v>225.6</v>
      </c>
      <c r="M620">
        <v>0</v>
      </c>
      <c r="O620">
        <v>-11.51</v>
      </c>
      <c r="P620">
        <v>-10.85</v>
      </c>
      <c r="Q620">
        <v>9.76</v>
      </c>
      <c r="S620">
        <v>9.66</v>
      </c>
      <c r="T620">
        <v>0</v>
      </c>
      <c r="U620">
        <v>92.4</v>
      </c>
      <c r="V620">
        <v>973</v>
      </c>
      <c r="W620">
        <v>45.94</v>
      </c>
      <c r="Y620">
        <v>12.89</v>
      </c>
    </row>
    <row r="621" spans="1:25" x14ac:dyDescent="0.25">
      <c r="A621">
        <v>2007</v>
      </c>
      <c r="B621">
        <v>102</v>
      </c>
      <c r="C621">
        <v>400</v>
      </c>
      <c r="D621">
        <v>-2.323</v>
      </c>
      <c r="E621">
        <v>-27.66</v>
      </c>
      <c r="F621">
        <v>0.84799999999999998</v>
      </c>
      <c r="G621">
        <v>1.345</v>
      </c>
      <c r="K621">
        <v>0.26300000000000001</v>
      </c>
      <c r="L621">
        <v>189.8</v>
      </c>
      <c r="M621">
        <v>0</v>
      </c>
      <c r="O621">
        <v>-11.51</v>
      </c>
      <c r="P621">
        <v>-10.85</v>
      </c>
      <c r="Q621">
        <v>9.42</v>
      </c>
      <c r="S621">
        <v>9.52</v>
      </c>
      <c r="T621">
        <v>0</v>
      </c>
      <c r="U621">
        <v>91.6</v>
      </c>
      <c r="V621">
        <v>973</v>
      </c>
      <c r="W621">
        <v>45.86</v>
      </c>
      <c r="Y621">
        <v>12.85</v>
      </c>
    </row>
    <row r="622" spans="1:25" x14ac:dyDescent="0.25">
      <c r="A622">
        <v>2007</v>
      </c>
      <c r="B622">
        <v>102</v>
      </c>
      <c r="C622">
        <v>500</v>
      </c>
      <c r="D622">
        <v>-2.4</v>
      </c>
      <c r="E622">
        <v>-26.85</v>
      </c>
      <c r="F622">
        <v>0.47399999999999998</v>
      </c>
      <c r="G622">
        <v>0.92300000000000004</v>
      </c>
      <c r="K622">
        <v>0.22</v>
      </c>
      <c r="L622">
        <v>193.9</v>
      </c>
      <c r="M622">
        <v>0</v>
      </c>
      <c r="O622">
        <v>-11.51</v>
      </c>
      <c r="P622">
        <v>-10.85</v>
      </c>
      <c r="Q622">
        <v>9.1</v>
      </c>
      <c r="S622">
        <v>9.36</v>
      </c>
      <c r="T622">
        <v>0</v>
      </c>
      <c r="U622">
        <v>92.2</v>
      </c>
      <c r="V622">
        <v>968</v>
      </c>
      <c r="W622">
        <v>45.42</v>
      </c>
      <c r="Y622">
        <v>12.82</v>
      </c>
    </row>
    <row r="623" spans="1:25" x14ac:dyDescent="0.25">
      <c r="A623">
        <v>2007</v>
      </c>
      <c r="B623">
        <v>102</v>
      </c>
      <c r="C623">
        <v>600</v>
      </c>
      <c r="D623">
        <v>4.8819999999999997</v>
      </c>
      <c r="E623">
        <v>-20.52</v>
      </c>
      <c r="F623">
        <v>6.0000000000000001E-3</v>
      </c>
      <c r="G623">
        <v>0.48</v>
      </c>
      <c r="K623">
        <v>0.246</v>
      </c>
      <c r="L623">
        <v>200.8</v>
      </c>
      <c r="M623">
        <v>0</v>
      </c>
      <c r="O623">
        <v>-1.431</v>
      </c>
      <c r="P623">
        <v>-6.694</v>
      </c>
      <c r="Q623">
        <v>8.7799999999999994</v>
      </c>
      <c r="S623">
        <v>9.18</v>
      </c>
      <c r="T623">
        <v>0</v>
      </c>
      <c r="U623">
        <v>91.7</v>
      </c>
      <c r="V623">
        <v>966</v>
      </c>
      <c r="W623">
        <v>45.13</v>
      </c>
      <c r="Y623">
        <v>12.81</v>
      </c>
    </row>
    <row r="624" spans="1:25" x14ac:dyDescent="0.25">
      <c r="A624">
        <v>2007</v>
      </c>
      <c r="B624">
        <v>102</v>
      </c>
      <c r="C624">
        <v>700</v>
      </c>
      <c r="D624">
        <v>78</v>
      </c>
      <c r="E624">
        <v>40.56</v>
      </c>
      <c r="F624">
        <v>4.7729999999999997</v>
      </c>
      <c r="G624">
        <v>6.2530000000000001</v>
      </c>
      <c r="K624">
        <v>0.90300000000000002</v>
      </c>
      <c r="L624">
        <v>189.6</v>
      </c>
      <c r="M624">
        <v>0</v>
      </c>
      <c r="O624">
        <v>102.3</v>
      </c>
      <c r="P624">
        <v>43.96</v>
      </c>
      <c r="Q624">
        <v>8.52</v>
      </c>
      <c r="S624">
        <v>9.09</v>
      </c>
      <c r="T624">
        <v>0</v>
      </c>
      <c r="U624">
        <v>80.099999999999994</v>
      </c>
      <c r="V624">
        <v>964</v>
      </c>
      <c r="W624">
        <v>44.95</v>
      </c>
      <c r="Y624">
        <v>13.31</v>
      </c>
    </row>
    <row r="625" spans="1:25" x14ac:dyDescent="0.25">
      <c r="A625">
        <v>2007</v>
      </c>
      <c r="B625">
        <v>102</v>
      </c>
      <c r="C625">
        <v>800</v>
      </c>
      <c r="D625">
        <v>200.9</v>
      </c>
      <c r="E625">
        <v>142.30000000000001</v>
      </c>
      <c r="F625">
        <v>8.2899999999999991</v>
      </c>
      <c r="G625">
        <v>10.47</v>
      </c>
      <c r="K625">
        <v>0.77200000000000002</v>
      </c>
      <c r="L625">
        <v>171.7</v>
      </c>
      <c r="M625">
        <v>0</v>
      </c>
      <c r="O625">
        <v>286.10000000000002</v>
      </c>
      <c r="P625">
        <v>100.8</v>
      </c>
      <c r="Q625">
        <v>8.44</v>
      </c>
      <c r="S625">
        <v>9.0399999999999991</v>
      </c>
      <c r="T625">
        <v>0</v>
      </c>
      <c r="U625">
        <v>74.7</v>
      </c>
      <c r="V625">
        <v>963</v>
      </c>
      <c r="W625">
        <v>44.86</v>
      </c>
      <c r="Y625">
        <v>14.16</v>
      </c>
    </row>
    <row r="626" spans="1:25" x14ac:dyDescent="0.25">
      <c r="A626">
        <v>2007</v>
      </c>
      <c r="B626">
        <v>102</v>
      </c>
      <c r="C626">
        <v>900</v>
      </c>
      <c r="D626">
        <v>363.3</v>
      </c>
      <c r="E626">
        <v>239.6</v>
      </c>
      <c r="F626">
        <v>9.9600000000000009</v>
      </c>
      <c r="G626">
        <v>12.73</v>
      </c>
      <c r="H626">
        <f>AVERAGE(G626:G649)</f>
        <v>9.7204583333333332</v>
      </c>
      <c r="I626">
        <f>MIN(G626:G649)</f>
        <v>1.645</v>
      </c>
      <c r="J626">
        <f>MAX(F626:F649)</f>
        <v>12.97</v>
      </c>
      <c r="K626">
        <v>1.2210000000000001</v>
      </c>
      <c r="L626">
        <v>172</v>
      </c>
      <c r="M626">
        <v>0</v>
      </c>
      <c r="N626">
        <f>SUM(M626:M649)</f>
        <v>0</v>
      </c>
      <c r="O626">
        <v>469.1</v>
      </c>
      <c r="P626">
        <v>148.19999999999999</v>
      </c>
      <c r="Q626">
        <v>8.57</v>
      </c>
      <c r="S626">
        <v>8.94</v>
      </c>
      <c r="T626">
        <v>0</v>
      </c>
      <c r="U626">
        <v>70.5</v>
      </c>
      <c r="V626">
        <v>962</v>
      </c>
      <c r="W626">
        <v>44.75</v>
      </c>
      <c r="Y626">
        <v>14.75</v>
      </c>
    </row>
    <row r="627" spans="1:25" x14ac:dyDescent="0.25">
      <c r="A627">
        <v>2007</v>
      </c>
      <c r="B627">
        <v>102</v>
      </c>
      <c r="C627">
        <v>900</v>
      </c>
      <c r="D627">
        <v>507.4</v>
      </c>
      <c r="E627">
        <v>313.89999999999998</v>
      </c>
      <c r="F627">
        <v>11.08</v>
      </c>
      <c r="G627">
        <v>14.31</v>
      </c>
      <c r="K627">
        <v>1.4339999999999999</v>
      </c>
      <c r="L627">
        <v>167.9</v>
      </c>
      <c r="M627">
        <v>0</v>
      </c>
      <c r="O627">
        <v>634.20000000000005</v>
      </c>
      <c r="P627">
        <v>179.9</v>
      </c>
      <c r="Q627">
        <v>9.01</v>
      </c>
      <c r="S627">
        <v>8.82</v>
      </c>
      <c r="T627">
        <v>0</v>
      </c>
      <c r="U627">
        <v>67.510000000000005</v>
      </c>
      <c r="V627">
        <v>959</v>
      </c>
      <c r="W627">
        <v>44.44</v>
      </c>
      <c r="Y627">
        <v>14.91</v>
      </c>
    </row>
    <row r="628" spans="1:25" x14ac:dyDescent="0.25">
      <c r="A628">
        <v>2007</v>
      </c>
      <c r="B628">
        <v>102</v>
      </c>
      <c r="C628">
        <v>900</v>
      </c>
      <c r="D628">
        <v>578.79999999999995</v>
      </c>
      <c r="E628">
        <v>348.9</v>
      </c>
      <c r="F628">
        <v>11.86</v>
      </c>
      <c r="G628">
        <v>15.3</v>
      </c>
      <c r="K628">
        <v>1.786</v>
      </c>
      <c r="L628">
        <v>161.1</v>
      </c>
      <c r="M628">
        <v>0</v>
      </c>
      <c r="O628">
        <v>710</v>
      </c>
      <c r="P628">
        <v>185.3</v>
      </c>
      <c r="Q628">
        <v>9.7200000000000006</v>
      </c>
      <c r="S628">
        <v>8.8000000000000007</v>
      </c>
      <c r="T628">
        <v>0</v>
      </c>
      <c r="U628">
        <v>66.48</v>
      </c>
      <c r="V628">
        <v>955</v>
      </c>
      <c r="W628">
        <v>44.05</v>
      </c>
      <c r="Y628">
        <v>14.61</v>
      </c>
    </row>
    <row r="629" spans="1:25" x14ac:dyDescent="0.25">
      <c r="A629">
        <v>2007</v>
      </c>
      <c r="B629">
        <v>102</v>
      </c>
      <c r="C629">
        <v>900</v>
      </c>
      <c r="D629">
        <v>680.3</v>
      </c>
      <c r="E629">
        <v>398.7</v>
      </c>
      <c r="F629">
        <v>11.5</v>
      </c>
      <c r="G629">
        <v>15.32</v>
      </c>
      <c r="K629">
        <v>2.3759999999999999</v>
      </c>
      <c r="L629">
        <v>131.5</v>
      </c>
      <c r="M629">
        <v>0</v>
      </c>
      <c r="O629">
        <v>827</v>
      </c>
      <c r="P629">
        <v>197.6</v>
      </c>
      <c r="Q629">
        <v>10.61</v>
      </c>
      <c r="S629">
        <v>8.84</v>
      </c>
      <c r="T629">
        <v>0</v>
      </c>
      <c r="U629">
        <v>63.03</v>
      </c>
      <c r="V629">
        <v>954</v>
      </c>
      <c r="W629">
        <v>44.04</v>
      </c>
      <c r="Y629">
        <v>14.47</v>
      </c>
    </row>
    <row r="630" spans="1:25" x14ac:dyDescent="0.25">
      <c r="A630">
        <v>2007</v>
      </c>
      <c r="B630">
        <v>102</v>
      </c>
      <c r="C630">
        <v>900</v>
      </c>
      <c r="D630">
        <v>707</v>
      </c>
      <c r="E630">
        <v>401.7</v>
      </c>
      <c r="F630">
        <v>11.27</v>
      </c>
      <c r="G630">
        <v>15.28</v>
      </c>
      <c r="K630">
        <v>2.8839999999999999</v>
      </c>
      <c r="L630">
        <v>118.8</v>
      </c>
      <c r="M630">
        <v>0</v>
      </c>
      <c r="O630">
        <v>847</v>
      </c>
      <c r="P630">
        <v>198.9</v>
      </c>
      <c r="Q630">
        <v>11.55</v>
      </c>
      <c r="S630">
        <v>9.02</v>
      </c>
      <c r="T630">
        <v>0</v>
      </c>
      <c r="U630">
        <v>61.33</v>
      </c>
      <c r="V630">
        <v>955</v>
      </c>
      <c r="W630">
        <v>44.09</v>
      </c>
      <c r="Y630">
        <v>14.45</v>
      </c>
    </row>
    <row r="631" spans="1:25" x14ac:dyDescent="0.25">
      <c r="A631">
        <v>2007</v>
      </c>
      <c r="B631">
        <v>102</v>
      </c>
      <c r="C631">
        <v>900</v>
      </c>
      <c r="D631">
        <v>687.3</v>
      </c>
      <c r="E631">
        <v>381.7</v>
      </c>
      <c r="F631">
        <v>12.02</v>
      </c>
      <c r="G631">
        <v>16.170000000000002</v>
      </c>
      <c r="K631">
        <v>2.2080000000000002</v>
      </c>
      <c r="L631">
        <v>130.1</v>
      </c>
      <c r="M631">
        <v>0</v>
      </c>
      <c r="O631">
        <v>799</v>
      </c>
      <c r="P631">
        <v>209</v>
      </c>
      <c r="Q631">
        <v>12.41</v>
      </c>
      <c r="S631">
        <v>9.2799999999999994</v>
      </c>
      <c r="T631">
        <v>0</v>
      </c>
      <c r="U631">
        <v>61.1</v>
      </c>
      <c r="V631">
        <v>955</v>
      </c>
      <c r="W631">
        <v>44.07</v>
      </c>
      <c r="Y631">
        <v>14.26</v>
      </c>
    </row>
    <row r="632" spans="1:25" x14ac:dyDescent="0.25">
      <c r="A632">
        <v>2007</v>
      </c>
      <c r="B632">
        <v>102</v>
      </c>
      <c r="C632">
        <v>900</v>
      </c>
      <c r="D632">
        <v>619.20000000000005</v>
      </c>
      <c r="E632">
        <v>344</v>
      </c>
      <c r="F632">
        <v>12.26</v>
      </c>
      <c r="G632">
        <v>16.29</v>
      </c>
      <c r="K632">
        <v>2.4729999999999999</v>
      </c>
      <c r="L632">
        <v>126.5</v>
      </c>
      <c r="M632">
        <v>0</v>
      </c>
      <c r="O632">
        <v>725</v>
      </c>
      <c r="P632">
        <v>220.3</v>
      </c>
      <c r="Q632">
        <v>13.12</v>
      </c>
      <c r="S632">
        <v>9.5500000000000007</v>
      </c>
      <c r="T632">
        <v>0</v>
      </c>
      <c r="U632">
        <v>62.29</v>
      </c>
      <c r="V632">
        <v>955</v>
      </c>
      <c r="W632">
        <v>44.09</v>
      </c>
      <c r="Y632">
        <v>14.24</v>
      </c>
    </row>
    <row r="633" spans="1:25" x14ac:dyDescent="0.25">
      <c r="A633">
        <v>2007</v>
      </c>
      <c r="B633">
        <v>102</v>
      </c>
      <c r="C633">
        <v>900</v>
      </c>
      <c r="D633">
        <v>503</v>
      </c>
      <c r="E633">
        <v>277.2</v>
      </c>
      <c r="F633">
        <v>12.97</v>
      </c>
      <c r="G633">
        <v>16.78</v>
      </c>
      <c r="K633">
        <v>1.8160000000000001</v>
      </c>
      <c r="L633">
        <v>142.19999999999999</v>
      </c>
      <c r="M633">
        <v>0</v>
      </c>
      <c r="O633">
        <v>589.29999999999995</v>
      </c>
      <c r="P633">
        <v>216.9</v>
      </c>
      <c r="Q633">
        <v>13.64</v>
      </c>
      <c r="S633">
        <v>9.84</v>
      </c>
      <c r="T633">
        <v>0</v>
      </c>
      <c r="U633">
        <v>64.680000000000007</v>
      </c>
      <c r="V633">
        <v>954</v>
      </c>
      <c r="W633">
        <v>43.95</v>
      </c>
      <c r="Y633">
        <v>14.26</v>
      </c>
    </row>
    <row r="634" spans="1:25" x14ac:dyDescent="0.25">
      <c r="A634">
        <v>2007</v>
      </c>
      <c r="B634">
        <v>102</v>
      </c>
      <c r="C634">
        <v>900</v>
      </c>
      <c r="D634">
        <v>367</v>
      </c>
      <c r="E634">
        <v>193.6</v>
      </c>
      <c r="F634">
        <v>12.93</v>
      </c>
      <c r="G634">
        <v>16.71</v>
      </c>
      <c r="K634">
        <v>1.5880000000000001</v>
      </c>
      <c r="L634">
        <v>176.4</v>
      </c>
      <c r="M634">
        <v>0</v>
      </c>
      <c r="O634">
        <v>428.8</v>
      </c>
      <c r="P634">
        <v>196.7</v>
      </c>
      <c r="Q634">
        <v>13.97</v>
      </c>
      <c r="S634">
        <v>10.15</v>
      </c>
      <c r="T634">
        <v>0</v>
      </c>
      <c r="U634">
        <v>64.92</v>
      </c>
      <c r="V634">
        <v>952</v>
      </c>
      <c r="W634">
        <v>43.79</v>
      </c>
      <c r="Y634">
        <v>13.98</v>
      </c>
    </row>
    <row r="635" spans="1:25" x14ac:dyDescent="0.25">
      <c r="A635">
        <v>2007</v>
      </c>
      <c r="B635">
        <v>102</v>
      </c>
      <c r="C635">
        <v>900</v>
      </c>
      <c r="D635">
        <v>154.4</v>
      </c>
      <c r="E635">
        <v>40.94</v>
      </c>
      <c r="F635">
        <v>11.5</v>
      </c>
      <c r="G635">
        <v>14.9</v>
      </c>
      <c r="K635">
        <v>2.0209999999999999</v>
      </c>
      <c r="L635">
        <v>121.1</v>
      </c>
      <c r="M635">
        <v>0</v>
      </c>
      <c r="O635">
        <v>162.6</v>
      </c>
      <c r="P635">
        <v>83.7</v>
      </c>
      <c r="Q635">
        <v>14.02</v>
      </c>
      <c r="S635">
        <v>10.3</v>
      </c>
      <c r="T635">
        <v>0</v>
      </c>
      <c r="U635">
        <v>66.42</v>
      </c>
      <c r="V635">
        <v>949</v>
      </c>
      <c r="W635">
        <v>43.55</v>
      </c>
      <c r="Y635">
        <v>13.65</v>
      </c>
    </row>
    <row r="636" spans="1:25" x14ac:dyDescent="0.25">
      <c r="A636">
        <v>2007</v>
      </c>
      <c r="B636">
        <v>102</v>
      </c>
      <c r="C636">
        <v>900</v>
      </c>
      <c r="D636">
        <v>51.54</v>
      </c>
      <c r="E636">
        <v>-23.99</v>
      </c>
      <c r="F636">
        <v>10.55</v>
      </c>
      <c r="G636">
        <v>12.9</v>
      </c>
      <c r="K636">
        <v>0.94799999999999995</v>
      </c>
      <c r="L636">
        <v>146.9</v>
      </c>
      <c r="M636">
        <v>0</v>
      </c>
      <c r="O636">
        <v>48.44</v>
      </c>
      <c r="P636">
        <v>29.3</v>
      </c>
      <c r="Q636">
        <v>13.85</v>
      </c>
      <c r="S636">
        <v>10.51</v>
      </c>
      <c r="T636">
        <v>0</v>
      </c>
      <c r="U636">
        <v>75.2</v>
      </c>
      <c r="V636">
        <v>947</v>
      </c>
      <c r="W636">
        <v>43.32</v>
      </c>
      <c r="Y636">
        <v>13.45</v>
      </c>
    </row>
    <row r="637" spans="1:25" x14ac:dyDescent="0.25">
      <c r="A637">
        <v>2007</v>
      </c>
      <c r="B637">
        <v>102</v>
      </c>
      <c r="C637">
        <v>900</v>
      </c>
      <c r="D637">
        <v>-1.722</v>
      </c>
      <c r="E637">
        <v>-59.86</v>
      </c>
      <c r="F637">
        <v>7.82</v>
      </c>
      <c r="G637">
        <v>8.48</v>
      </c>
      <c r="K637">
        <v>0.26100000000000001</v>
      </c>
      <c r="L637">
        <v>172.1</v>
      </c>
      <c r="M637">
        <v>0</v>
      </c>
      <c r="O637">
        <v>-8.8000000000000007</v>
      </c>
      <c r="P637">
        <v>-10.08</v>
      </c>
      <c r="Q637">
        <v>13.49</v>
      </c>
      <c r="S637">
        <v>10.6</v>
      </c>
      <c r="T637">
        <v>0</v>
      </c>
      <c r="U637">
        <v>91.5</v>
      </c>
      <c r="V637">
        <v>944</v>
      </c>
      <c r="W637">
        <v>43.1</v>
      </c>
      <c r="Y637">
        <v>13.32</v>
      </c>
    </row>
    <row r="638" spans="1:25" x14ac:dyDescent="0.25">
      <c r="A638">
        <v>2007</v>
      </c>
      <c r="B638">
        <v>102</v>
      </c>
      <c r="C638">
        <v>900</v>
      </c>
      <c r="D638">
        <v>-3.677</v>
      </c>
      <c r="E638">
        <v>-54.84</v>
      </c>
      <c r="F638">
        <v>5.0279999999999996</v>
      </c>
      <c r="G638">
        <v>5.367</v>
      </c>
      <c r="K638">
        <v>0.30099999999999999</v>
      </c>
      <c r="L638">
        <v>194</v>
      </c>
      <c r="M638">
        <v>0</v>
      </c>
      <c r="O638">
        <v>-12.05</v>
      </c>
      <c r="P638">
        <v>-11.36</v>
      </c>
      <c r="Q638">
        <v>13</v>
      </c>
      <c r="S638">
        <v>10.62</v>
      </c>
      <c r="T638">
        <v>0</v>
      </c>
      <c r="U638">
        <v>95.1</v>
      </c>
      <c r="V638">
        <v>944</v>
      </c>
      <c r="W638">
        <v>43.1</v>
      </c>
      <c r="Y638">
        <v>13.23</v>
      </c>
    </row>
    <row r="639" spans="1:25" x14ac:dyDescent="0.25">
      <c r="A639">
        <v>2007</v>
      </c>
      <c r="B639">
        <v>102</v>
      </c>
      <c r="C639">
        <v>900</v>
      </c>
      <c r="D639">
        <v>-2.8239999999999998</v>
      </c>
      <c r="E639">
        <v>-42.61</v>
      </c>
      <c r="F639">
        <v>3.8969999999999998</v>
      </c>
      <c r="G639">
        <v>4.2949999999999999</v>
      </c>
      <c r="K639">
        <v>0.377</v>
      </c>
      <c r="L639">
        <v>216.1</v>
      </c>
      <c r="M639">
        <v>0</v>
      </c>
      <c r="O639">
        <v>-11.57</v>
      </c>
      <c r="P639">
        <v>-10.92</v>
      </c>
      <c r="Q639">
        <v>12.49</v>
      </c>
      <c r="S639">
        <v>10.61</v>
      </c>
      <c r="T639">
        <v>0</v>
      </c>
      <c r="U639">
        <v>94.1</v>
      </c>
      <c r="V639">
        <v>957</v>
      </c>
      <c r="W639">
        <v>44.24</v>
      </c>
      <c r="Y639">
        <v>13.15</v>
      </c>
    </row>
    <row r="640" spans="1:25" x14ac:dyDescent="0.25">
      <c r="A640">
        <v>2007</v>
      </c>
      <c r="B640">
        <v>102</v>
      </c>
      <c r="C640">
        <v>900</v>
      </c>
      <c r="D640">
        <v>-2.7690000000000001</v>
      </c>
      <c r="E640">
        <v>-36.76</v>
      </c>
      <c r="F640">
        <v>3.2559999999999998</v>
      </c>
      <c r="G640">
        <v>3.6230000000000002</v>
      </c>
      <c r="K640">
        <v>0.219</v>
      </c>
      <c r="L640">
        <v>201.5</v>
      </c>
      <c r="M640">
        <v>0</v>
      </c>
      <c r="O640">
        <v>-11.5</v>
      </c>
      <c r="P640">
        <v>-10.84</v>
      </c>
      <c r="Q640">
        <v>11.99</v>
      </c>
      <c r="S640">
        <v>10.57</v>
      </c>
      <c r="T640">
        <v>0</v>
      </c>
      <c r="U640">
        <v>94.4</v>
      </c>
      <c r="V640">
        <v>961</v>
      </c>
      <c r="W640">
        <v>44.68</v>
      </c>
      <c r="Y640">
        <v>13.08</v>
      </c>
    </row>
    <row r="641" spans="1:25" x14ac:dyDescent="0.25">
      <c r="A641">
        <v>2007</v>
      </c>
      <c r="B641">
        <v>102</v>
      </c>
      <c r="C641">
        <v>900</v>
      </c>
      <c r="D641">
        <v>-2.37</v>
      </c>
      <c r="E641">
        <v>-33.369999999999997</v>
      </c>
      <c r="F641">
        <v>2.67</v>
      </c>
      <c r="G641">
        <v>3.0609999999999999</v>
      </c>
      <c r="K641">
        <v>0.20899999999999999</v>
      </c>
      <c r="L641">
        <v>201.3</v>
      </c>
      <c r="M641">
        <v>0</v>
      </c>
      <c r="O641">
        <v>-11.5</v>
      </c>
      <c r="P641">
        <v>-10.84</v>
      </c>
      <c r="Q641">
        <v>11.49</v>
      </c>
      <c r="S641">
        <v>10.44</v>
      </c>
      <c r="T641">
        <v>0</v>
      </c>
      <c r="U641">
        <v>93.8</v>
      </c>
      <c r="V641">
        <v>964</v>
      </c>
      <c r="W641">
        <v>44.94</v>
      </c>
      <c r="Y641">
        <v>13.01</v>
      </c>
    </row>
    <row r="642" spans="1:25" x14ac:dyDescent="0.25">
      <c r="A642">
        <v>2007</v>
      </c>
      <c r="B642">
        <v>103</v>
      </c>
      <c r="C642">
        <v>900</v>
      </c>
      <c r="D642">
        <v>-2.6019999999999999</v>
      </c>
      <c r="E642">
        <v>-29.07</v>
      </c>
      <c r="F642">
        <v>2.7949999999999999</v>
      </c>
      <c r="G642">
        <v>3.2589999999999999</v>
      </c>
      <c r="K642">
        <v>0.16</v>
      </c>
      <c r="L642">
        <v>201.4</v>
      </c>
      <c r="M642">
        <v>0</v>
      </c>
      <c r="O642">
        <v>-11.5</v>
      </c>
      <c r="P642">
        <v>-10.85</v>
      </c>
      <c r="Q642">
        <v>10.67</v>
      </c>
      <c r="S642">
        <v>10.19</v>
      </c>
      <c r="T642">
        <v>0</v>
      </c>
      <c r="U642">
        <v>92.8</v>
      </c>
      <c r="V642">
        <v>963</v>
      </c>
      <c r="W642">
        <v>44.89</v>
      </c>
      <c r="Y642">
        <v>12.9</v>
      </c>
    </row>
    <row r="643" spans="1:25" x14ac:dyDescent="0.25">
      <c r="A643">
        <v>2007</v>
      </c>
      <c r="B643">
        <v>103</v>
      </c>
      <c r="C643">
        <v>900</v>
      </c>
      <c r="D643">
        <v>-2.4300000000000002</v>
      </c>
      <c r="E643">
        <v>-29.59</v>
      </c>
      <c r="F643">
        <v>1.6759999999999999</v>
      </c>
      <c r="G643">
        <v>2.1139999999999999</v>
      </c>
      <c r="K643">
        <v>0.20599999999999999</v>
      </c>
      <c r="L643">
        <v>225.1</v>
      </c>
      <c r="M643">
        <v>0</v>
      </c>
      <c r="O643">
        <v>-11.51</v>
      </c>
      <c r="P643">
        <v>-10.85</v>
      </c>
      <c r="Q643">
        <v>10.26</v>
      </c>
      <c r="S643">
        <v>10</v>
      </c>
      <c r="T643">
        <v>0</v>
      </c>
      <c r="U643">
        <v>92.8</v>
      </c>
      <c r="V643">
        <v>960</v>
      </c>
      <c r="W643">
        <v>44.57</v>
      </c>
      <c r="Y643">
        <v>12.86</v>
      </c>
    </row>
    <row r="644" spans="1:25" x14ac:dyDescent="0.25">
      <c r="A644">
        <v>2007</v>
      </c>
      <c r="B644">
        <v>103</v>
      </c>
      <c r="C644">
        <v>900</v>
      </c>
      <c r="D644">
        <v>-2.347</v>
      </c>
      <c r="E644">
        <v>-28.8</v>
      </c>
      <c r="F644">
        <v>1.2030000000000001</v>
      </c>
      <c r="G644">
        <v>1.645</v>
      </c>
      <c r="K644">
        <v>0.22900000000000001</v>
      </c>
      <c r="L644">
        <v>222.4</v>
      </c>
      <c r="M644">
        <v>0</v>
      </c>
      <c r="O644">
        <v>-11.51</v>
      </c>
      <c r="P644">
        <v>-10.85</v>
      </c>
      <c r="Q644">
        <v>9.8699999999999992</v>
      </c>
      <c r="S644">
        <v>9.82</v>
      </c>
      <c r="T644">
        <v>0</v>
      </c>
      <c r="U644">
        <v>92.6</v>
      </c>
      <c r="V644">
        <v>954</v>
      </c>
      <c r="W644">
        <v>43.96</v>
      </c>
      <c r="Y644">
        <v>12.84</v>
      </c>
    </row>
    <row r="645" spans="1:25" x14ac:dyDescent="0.25">
      <c r="A645">
        <v>2007</v>
      </c>
      <c r="B645">
        <v>103</v>
      </c>
      <c r="C645">
        <v>900</v>
      </c>
      <c r="D645">
        <v>-2.2869999999999999</v>
      </c>
      <c r="E645">
        <v>-25.5</v>
      </c>
      <c r="F645">
        <v>1.72</v>
      </c>
      <c r="G645">
        <v>2.2639999999999998</v>
      </c>
      <c r="K645">
        <v>0.188</v>
      </c>
      <c r="L645">
        <v>154.9</v>
      </c>
      <c r="M645">
        <v>0</v>
      </c>
      <c r="O645">
        <v>-11.51</v>
      </c>
      <c r="P645">
        <v>-10.85</v>
      </c>
      <c r="Q645">
        <v>9.5299999999999994</v>
      </c>
      <c r="S645">
        <v>9.66</v>
      </c>
      <c r="T645">
        <v>0</v>
      </c>
      <c r="U645">
        <v>91.2</v>
      </c>
      <c r="V645">
        <v>950</v>
      </c>
      <c r="W645">
        <v>43.65</v>
      </c>
      <c r="Y645">
        <v>12.81</v>
      </c>
    </row>
    <row r="646" spans="1:25" x14ac:dyDescent="0.25">
      <c r="A646">
        <v>2007</v>
      </c>
      <c r="B646">
        <v>103</v>
      </c>
      <c r="C646">
        <v>900</v>
      </c>
      <c r="D646">
        <v>8.01</v>
      </c>
      <c r="E646">
        <v>-13.15</v>
      </c>
      <c r="F646">
        <v>3.5670000000000002</v>
      </c>
      <c r="G646">
        <v>4.3730000000000002</v>
      </c>
      <c r="K646">
        <v>0.433</v>
      </c>
      <c r="L646">
        <v>126.1</v>
      </c>
      <c r="M646">
        <v>0</v>
      </c>
      <c r="O646">
        <v>3.0190000000000001</v>
      </c>
      <c r="P646">
        <v>-6.2759999999999998</v>
      </c>
      <c r="Q646">
        <v>9.2100000000000009</v>
      </c>
      <c r="S646">
        <v>9.52</v>
      </c>
      <c r="T646">
        <v>0</v>
      </c>
      <c r="U646">
        <v>88.1</v>
      </c>
      <c r="V646">
        <v>951</v>
      </c>
      <c r="W646">
        <v>43.68</v>
      </c>
      <c r="Y646">
        <v>12.8</v>
      </c>
    </row>
    <row r="647" spans="1:25" x14ac:dyDescent="0.25">
      <c r="A647">
        <v>2007</v>
      </c>
      <c r="B647">
        <v>103</v>
      </c>
      <c r="C647">
        <v>900</v>
      </c>
      <c r="D647">
        <v>86.9</v>
      </c>
      <c r="E647">
        <v>47.34</v>
      </c>
      <c r="F647">
        <v>6.5919999999999996</v>
      </c>
      <c r="G647">
        <v>7.56</v>
      </c>
      <c r="K647">
        <v>1.823</v>
      </c>
      <c r="L647">
        <v>107.7</v>
      </c>
      <c r="M647">
        <v>0</v>
      </c>
      <c r="O647">
        <v>114</v>
      </c>
      <c r="P647">
        <v>37.11</v>
      </c>
      <c r="Q647">
        <v>8.98</v>
      </c>
      <c r="S647">
        <v>9.39</v>
      </c>
      <c r="T647">
        <v>0</v>
      </c>
      <c r="U647">
        <v>87.3</v>
      </c>
      <c r="V647">
        <v>950</v>
      </c>
      <c r="W647">
        <v>43.63</v>
      </c>
      <c r="Y647">
        <v>13.26</v>
      </c>
    </row>
    <row r="648" spans="1:25" x14ac:dyDescent="0.25">
      <c r="A648">
        <v>2007</v>
      </c>
      <c r="B648">
        <v>103</v>
      </c>
      <c r="C648">
        <v>900</v>
      </c>
      <c r="D648">
        <v>197.4</v>
      </c>
      <c r="E648">
        <v>138.69999999999999</v>
      </c>
      <c r="F648">
        <v>7.69</v>
      </c>
      <c r="G648">
        <v>8.9600000000000009</v>
      </c>
      <c r="K648">
        <v>2.2810000000000001</v>
      </c>
      <c r="L648">
        <v>109.2</v>
      </c>
      <c r="M648">
        <v>0</v>
      </c>
      <c r="O648">
        <v>265.60000000000002</v>
      </c>
      <c r="P648">
        <v>88.7</v>
      </c>
      <c r="Q648">
        <v>8.91</v>
      </c>
      <c r="S648">
        <v>9.31</v>
      </c>
      <c r="T648">
        <v>0</v>
      </c>
      <c r="U648">
        <v>84.3</v>
      </c>
      <c r="V648">
        <v>949</v>
      </c>
      <c r="W648">
        <v>43.51</v>
      </c>
      <c r="Y648">
        <v>13.99</v>
      </c>
    </row>
    <row r="649" spans="1:25" x14ac:dyDescent="0.25">
      <c r="A649">
        <v>2007</v>
      </c>
      <c r="B649">
        <v>103</v>
      </c>
      <c r="C649">
        <v>900</v>
      </c>
      <c r="D649">
        <v>348.8</v>
      </c>
      <c r="E649">
        <v>210.9</v>
      </c>
      <c r="F649">
        <v>9.27</v>
      </c>
      <c r="G649">
        <v>11.6</v>
      </c>
      <c r="H649">
        <f>AVERAGE(G649:G672)</f>
        <v>11.727916666666665</v>
      </c>
      <c r="I649">
        <f>MIN(G649:G672)</f>
        <v>5.5960000000000001</v>
      </c>
      <c r="J649">
        <f>MAX(F649:F672)</f>
        <v>12.67</v>
      </c>
      <c r="K649">
        <v>2.516</v>
      </c>
      <c r="L649">
        <v>109.2</v>
      </c>
      <c r="M649">
        <v>0</v>
      </c>
      <c r="N649">
        <f>SUM(M649:M672)</f>
        <v>0</v>
      </c>
      <c r="O649">
        <v>443.2</v>
      </c>
      <c r="P649">
        <v>138.19999999999999</v>
      </c>
      <c r="Q649">
        <v>9.0500000000000007</v>
      </c>
      <c r="S649">
        <v>9.2100000000000009</v>
      </c>
      <c r="T649">
        <v>0</v>
      </c>
      <c r="U649">
        <v>74.099999999999994</v>
      </c>
      <c r="V649">
        <v>948</v>
      </c>
      <c r="W649">
        <v>43.39</v>
      </c>
      <c r="Y649">
        <v>14.5</v>
      </c>
    </row>
    <row r="650" spans="1:25" x14ac:dyDescent="0.25">
      <c r="A650">
        <v>2007</v>
      </c>
      <c r="B650">
        <v>103</v>
      </c>
      <c r="C650">
        <v>1000</v>
      </c>
      <c r="D650">
        <v>485.5</v>
      </c>
      <c r="E650">
        <v>282.2</v>
      </c>
      <c r="F650">
        <v>10.87</v>
      </c>
      <c r="G650">
        <v>13.84</v>
      </c>
      <c r="K650">
        <v>2.2810000000000001</v>
      </c>
      <c r="L650">
        <v>105</v>
      </c>
      <c r="M650">
        <v>0</v>
      </c>
      <c r="O650">
        <v>606.4</v>
      </c>
      <c r="P650">
        <v>174</v>
      </c>
      <c r="Q650">
        <v>9.41</v>
      </c>
      <c r="S650">
        <v>9.15</v>
      </c>
      <c r="T650">
        <v>0</v>
      </c>
      <c r="U650">
        <v>69.569999999999993</v>
      </c>
      <c r="V650">
        <v>947</v>
      </c>
      <c r="W650">
        <v>43.29</v>
      </c>
      <c r="Y650">
        <v>14.8</v>
      </c>
    </row>
    <row r="651" spans="1:25" x14ac:dyDescent="0.25">
      <c r="A651">
        <v>2007</v>
      </c>
      <c r="B651">
        <v>103</v>
      </c>
      <c r="C651">
        <v>1100</v>
      </c>
      <c r="D651">
        <v>591.79999999999995</v>
      </c>
      <c r="E651">
        <v>342.2</v>
      </c>
      <c r="F651">
        <v>11.64</v>
      </c>
      <c r="G651">
        <v>15.32</v>
      </c>
      <c r="K651">
        <v>2.9319999999999999</v>
      </c>
      <c r="L651">
        <v>109.5</v>
      </c>
      <c r="M651">
        <v>0</v>
      </c>
      <c r="O651">
        <v>730</v>
      </c>
      <c r="P651">
        <v>198.7</v>
      </c>
      <c r="Q651">
        <v>10</v>
      </c>
      <c r="S651">
        <v>9.1199999999999992</v>
      </c>
      <c r="T651">
        <v>0</v>
      </c>
      <c r="U651">
        <v>64.31</v>
      </c>
      <c r="V651">
        <v>942</v>
      </c>
      <c r="W651">
        <v>42.9</v>
      </c>
      <c r="Y651">
        <v>14.67</v>
      </c>
    </row>
    <row r="652" spans="1:25" x14ac:dyDescent="0.25">
      <c r="A652">
        <v>2007</v>
      </c>
      <c r="B652">
        <v>103</v>
      </c>
      <c r="C652">
        <v>1200</v>
      </c>
      <c r="D652">
        <v>625.4</v>
      </c>
      <c r="E652">
        <v>357.8</v>
      </c>
      <c r="F652">
        <v>11.89</v>
      </c>
      <c r="G652">
        <v>15.68</v>
      </c>
      <c r="K652">
        <v>3.2490000000000001</v>
      </c>
      <c r="L652">
        <v>113.5</v>
      </c>
      <c r="M652">
        <v>0</v>
      </c>
      <c r="O652">
        <v>763</v>
      </c>
      <c r="P652">
        <v>199.2</v>
      </c>
      <c r="Q652">
        <v>10.76</v>
      </c>
      <c r="S652">
        <v>9.19</v>
      </c>
      <c r="T652">
        <v>0</v>
      </c>
      <c r="U652">
        <v>63.71</v>
      </c>
      <c r="V652">
        <v>941</v>
      </c>
      <c r="W652">
        <v>42.77</v>
      </c>
      <c r="Y652">
        <v>14.54</v>
      </c>
    </row>
    <row r="653" spans="1:25" x14ac:dyDescent="0.25">
      <c r="A653">
        <v>2007</v>
      </c>
      <c r="B653">
        <v>103</v>
      </c>
      <c r="C653">
        <v>1300</v>
      </c>
      <c r="D653">
        <v>716</v>
      </c>
      <c r="E653">
        <v>409.3</v>
      </c>
      <c r="F653">
        <v>12.13</v>
      </c>
      <c r="G653">
        <v>16.100000000000001</v>
      </c>
      <c r="K653">
        <v>2.9860000000000002</v>
      </c>
      <c r="L653">
        <v>123</v>
      </c>
      <c r="M653">
        <v>0</v>
      </c>
      <c r="O653">
        <v>868</v>
      </c>
      <c r="P653">
        <v>224</v>
      </c>
      <c r="Q653">
        <v>11.57</v>
      </c>
      <c r="S653">
        <v>9.34</v>
      </c>
      <c r="T653">
        <v>0</v>
      </c>
      <c r="U653">
        <v>62.56</v>
      </c>
      <c r="V653">
        <v>941</v>
      </c>
      <c r="W653">
        <v>42.83</v>
      </c>
      <c r="Y653">
        <v>14.6</v>
      </c>
    </row>
    <row r="654" spans="1:25" x14ac:dyDescent="0.25">
      <c r="A654">
        <v>2007</v>
      </c>
      <c r="B654">
        <v>103</v>
      </c>
      <c r="C654">
        <v>1400</v>
      </c>
      <c r="D654">
        <v>633.9</v>
      </c>
      <c r="E654">
        <v>347.9</v>
      </c>
      <c r="F654">
        <v>12.4</v>
      </c>
      <c r="G654">
        <v>16.25</v>
      </c>
      <c r="K654">
        <v>3.1120000000000001</v>
      </c>
      <c r="L654">
        <v>120.5</v>
      </c>
      <c r="M654">
        <v>0</v>
      </c>
      <c r="O654">
        <v>748</v>
      </c>
      <c r="P654">
        <v>207.5</v>
      </c>
      <c r="Q654">
        <v>12.34</v>
      </c>
      <c r="S654">
        <v>9.51</v>
      </c>
      <c r="T654">
        <v>0</v>
      </c>
      <c r="U654">
        <v>63.87</v>
      </c>
      <c r="V654">
        <v>942</v>
      </c>
      <c r="W654">
        <v>42.88</v>
      </c>
      <c r="Y654">
        <v>14.35</v>
      </c>
    </row>
    <row r="655" spans="1:25" x14ac:dyDescent="0.25">
      <c r="A655">
        <v>2007</v>
      </c>
      <c r="B655">
        <v>103</v>
      </c>
      <c r="C655">
        <v>1500</v>
      </c>
      <c r="D655">
        <v>540.4</v>
      </c>
      <c r="E655">
        <v>292.5</v>
      </c>
      <c r="F655">
        <v>12.6</v>
      </c>
      <c r="G655">
        <v>16.52</v>
      </c>
      <c r="K655">
        <v>2.9630000000000001</v>
      </c>
      <c r="L655">
        <v>115.1</v>
      </c>
      <c r="M655">
        <v>0</v>
      </c>
      <c r="O655">
        <v>638.20000000000005</v>
      </c>
      <c r="P655">
        <v>198</v>
      </c>
      <c r="Q655">
        <v>13</v>
      </c>
      <c r="S655">
        <v>9.75</v>
      </c>
      <c r="T655">
        <v>0</v>
      </c>
      <c r="U655">
        <v>63.43</v>
      </c>
      <c r="V655">
        <v>943</v>
      </c>
      <c r="W655">
        <v>42.93</v>
      </c>
      <c r="Y655">
        <v>14.23</v>
      </c>
    </row>
    <row r="656" spans="1:25" x14ac:dyDescent="0.25">
      <c r="A656">
        <v>2007</v>
      </c>
      <c r="B656">
        <v>103</v>
      </c>
      <c r="C656">
        <v>1600</v>
      </c>
      <c r="D656">
        <v>441.6</v>
      </c>
      <c r="E656">
        <v>234.2</v>
      </c>
      <c r="F656">
        <v>12.67</v>
      </c>
      <c r="G656">
        <v>16.47</v>
      </c>
      <c r="K656">
        <v>2.4889999999999999</v>
      </c>
      <c r="L656">
        <v>126</v>
      </c>
      <c r="M656">
        <v>0</v>
      </c>
      <c r="O656">
        <v>518.6</v>
      </c>
      <c r="P656">
        <v>187.2</v>
      </c>
      <c r="Q656">
        <v>13.45</v>
      </c>
      <c r="S656">
        <v>10.01</v>
      </c>
      <c r="T656">
        <v>0</v>
      </c>
      <c r="U656">
        <v>64.47</v>
      </c>
      <c r="V656">
        <v>941</v>
      </c>
      <c r="W656">
        <v>42.83</v>
      </c>
      <c r="Y656">
        <v>14.17</v>
      </c>
    </row>
    <row r="657" spans="1:25" x14ac:dyDescent="0.25">
      <c r="A657">
        <v>2007</v>
      </c>
      <c r="B657">
        <v>103</v>
      </c>
      <c r="C657">
        <v>1700</v>
      </c>
      <c r="D657">
        <v>309.39999999999998</v>
      </c>
      <c r="E657">
        <v>152</v>
      </c>
      <c r="F657">
        <v>12.2</v>
      </c>
      <c r="G657">
        <v>15.7</v>
      </c>
      <c r="K657">
        <v>2.2930000000000001</v>
      </c>
      <c r="L657">
        <v>134.30000000000001</v>
      </c>
      <c r="M657">
        <v>0</v>
      </c>
      <c r="O657">
        <v>360</v>
      </c>
      <c r="P657">
        <v>151.5</v>
      </c>
      <c r="Q657">
        <v>13.71</v>
      </c>
      <c r="S657">
        <v>10.26</v>
      </c>
      <c r="T657">
        <v>0</v>
      </c>
      <c r="U657">
        <v>66.33</v>
      </c>
      <c r="V657">
        <v>939</v>
      </c>
      <c r="W657">
        <v>42.6</v>
      </c>
      <c r="Y657">
        <v>13.93</v>
      </c>
    </row>
    <row r="658" spans="1:25" x14ac:dyDescent="0.25">
      <c r="A658">
        <v>2007</v>
      </c>
      <c r="B658">
        <v>103</v>
      </c>
      <c r="C658">
        <v>1800</v>
      </c>
      <c r="D658">
        <v>149.9</v>
      </c>
      <c r="E658">
        <v>42.82</v>
      </c>
      <c r="F658">
        <v>11.39</v>
      </c>
      <c r="G658">
        <v>14.48</v>
      </c>
      <c r="K658">
        <v>2.153</v>
      </c>
      <c r="L658">
        <v>121.6</v>
      </c>
      <c r="M658">
        <v>0</v>
      </c>
      <c r="O658">
        <v>164.1</v>
      </c>
      <c r="P658">
        <v>72.5</v>
      </c>
      <c r="Q658">
        <v>13.72</v>
      </c>
      <c r="S658">
        <v>10.43</v>
      </c>
      <c r="T658">
        <v>0</v>
      </c>
      <c r="U658">
        <v>68.989999999999995</v>
      </c>
      <c r="V658">
        <v>937</v>
      </c>
      <c r="W658">
        <v>42.44</v>
      </c>
      <c r="Y658">
        <v>13.69</v>
      </c>
    </row>
    <row r="659" spans="1:25" x14ac:dyDescent="0.25">
      <c r="A659">
        <v>2007</v>
      </c>
      <c r="B659">
        <v>103</v>
      </c>
      <c r="C659">
        <v>1900</v>
      </c>
      <c r="D659">
        <v>57.28</v>
      </c>
      <c r="E659">
        <v>-14.94</v>
      </c>
      <c r="F659">
        <v>10.29</v>
      </c>
      <c r="G659">
        <v>12.57</v>
      </c>
      <c r="K659">
        <v>2.012</v>
      </c>
      <c r="L659">
        <v>120.2</v>
      </c>
      <c r="M659">
        <v>0</v>
      </c>
      <c r="O659">
        <v>56.86</v>
      </c>
      <c r="P659">
        <v>21.77</v>
      </c>
      <c r="Q659">
        <v>13.55</v>
      </c>
      <c r="S659">
        <v>10.57</v>
      </c>
      <c r="T659">
        <v>0</v>
      </c>
      <c r="U659">
        <v>75.400000000000006</v>
      </c>
      <c r="V659">
        <v>936</v>
      </c>
      <c r="W659">
        <v>42.38</v>
      </c>
      <c r="Y659">
        <v>13.5</v>
      </c>
    </row>
    <row r="660" spans="1:25" x14ac:dyDescent="0.25">
      <c r="A660">
        <v>2007</v>
      </c>
      <c r="B660">
        <v>103</v>
      </c>
      <c r="C660">
        <v>2000</v>
      </c>
      <c r="D660">
        <v>2.242</v>
      </c>
      <c r="E660">
        <v>-50.32</v>
      </c>
      <c r="F660">
        <v>9.11</v>
      </c>
      <c r="G660">
        <v>10.88</v>
      </c>
      <c r="K660">
        <v>1.6419999999999999</v>
      </c>
      <c r="L660">
        <v>126</v>
      </c>
      <c r="M660">
        <v>0</v>
      </c>
      <c r="O660">
        <v>-5.0449999999999999</v>
      </c>
      <c r="P660">
        <v>-8.73</v>
      </c>
      <c r="Q660">
        <v>13.25</v>
      </c>
      <c r="S660">
        <v>10.66</v>
      </c>
      <c r="T660">
        <v>0</v>
      </c>
      <c r="U660">
        <v>79.599999999999994</v>
      </c>
      <c r="V660">
        <v>935</v>
      </c>
      <c r="W660">
        <v>42.23</v>
      </c>
      <c r="Y660">
        <v>13.37</v>
      </c>
    </row>
    <row r="661" spans="1:25" x14ac:dyDescent="0.25">
      <c r="A661">
        <v>2007</v>
      </c>
      <c r="B661">
        <v>103</v>
      </c>
      <c r="C661">
        <v>2100</v>
      </c>
      <c r="D661">
        <v>-2.85</v>
      </c>
      <c r="E661">
        <v>-48.62</v>
      </c>
      <c r="F661">
        <v>8.31</v>
      </c>
      <c r="G661">
        <v>10.220000000000001</v>
      </c>
      <c r="K661">
        <v>1.6659999999999999</v>
      </c>
      <c r="L661">
        <v>129</v>
      </c>
      <c r="M661">
        <v>0</v>
      </c>
      <c r="O661">
        <v>-12.11</v>
      </c>
      <c r="P661">
        <v>-11.39</v>
      </c>
      <c r="Q661">
        <v>12.9</v>
      </c>
      <c r="S661">
        <v>10.75</v>
      </c>
      <c r="T661">
        <v>0</v>
      </c>
      <c r="U661">
        <v>77.599999999999994</v>
      </c>
      <c r="V661">
        <v>937</v>
      </c>
      <c r="W661">
        <v>42.45</v>
      </c>
      <c r="Y661">
        <v>13.28</v>
      </c>
    </row>
    <row r="662" spans="1:25" x14ac:dyDescent="0.25">
      <c r="A662">
        <v>2007</v>
      </c>
      <c r="B662">
        <v>103</v>
      </c>
      <c r="C662">
        <v>2200</v>
      </c>
      <c r="D662">
        <v>-3.4449999999999998</v>
      </c>
      <c r="E662">
        <v>-47.86</v>
      </c>
      <c r="F662">
        <v>7.77</v>
      </c>
      <c r="G662">
        <v>8.9700000000000006</v>
      </c>
      <c r="K662">
        <v>0.44900000000000001</v>
      </c>
      <c r="L662">
        <v>115.6</v>
      </c>
      <c r="M662">
        <v>0</v>
      </c>
      <c r="O662">
        <v>-11.97</v>
      </c>
      <c r="P662">
        <v>-11.22</v>
      </c>
      <c r="Q662">
        <v>12.48</v>
      </c>
      <c r="S662">
        <v>10.67</v>
      </c>
      <c r="T662">
        <v>0</v>
      </c>
      <c r="U662">
        <v>85.5</v>
      </c>
      <c r="V662">
        <v>943</v>
      </c>
      <c r="W662">
        <v>42.99</v>
      </c>
      <c r="Y662">
        <v>13.19</v>
      </c>
    </row>
    <row r="663" spans="1:25" x14ac:dyDescent="0.25">
      <c r="A663">
        <v>2007</v>
      </c>
      <c r="B663">
        <v>103</v>
      </c>
      <c r="C663">
        <v>2300</v>
      </c>
      <c r="D663">
        <v>-2.0649999999999999</v>
      </c>
      <c r="E663">
        <v>-34.1</v>
      </c>
      <c r="F663">
        <v>5.68</v>
      </c>
      <c r="G663">
        <v>6.2640000000000002</v>
      </c>
      <c r="K663">
        <v>0.31</v>
      </c>
      <c r="L663">
        <v>214.2</v>
      </c>
      <c r="M663">
        <v>0</v>
      </c>
      <c r="O663">
        <v>-11.62</v>
      </c>
      <c r="P663">
        <v>-10.98</v>
      </c>
      <c r="Q663">
        <v>12.11</v>
      </c>
      <c r="S663">
        <v>10.65</v>
      </c>
      <c r="T663">
        <v>0</v>
      </c>
      <c r="U663">
        <v>92</v>
      </c>
      <c r="V663">
        <v>946</v>
      </c>
      <c r="W663">
        <v>43.27</v>
      </c>
      <c r="Y663">
        <v>13.12</v>
      </c>
    </row>
    <row r="664" spans="1:25" x14ac:dyDescent="0.25">
      <c r="A664">
        <v>2007</v>
      </c>
      <c r="B664">
        <v>103</v>
      </c>
      <c r="C664">
        <v>2400</v>
      </c>
      <c r="D664">
        <v>-1.2390000000000001</v>
      </c>
      <c r="E664">
        <v>-25.9</v>
      </c>
      <c r="F664">
        <v>6.6219999999999999</v>
      </c>
      <c r="G664">
        <v>7.42</v>
      </c>
      <c r="K664">
        <v>0.309</v>
      </c>
      <c r="L664">
        <v>120.9</v>
      </c>
      <c r="M664">
        <v>0</v>
      </c>
      <c r="O664">
        <v>-11.5</v>
      </c>
      <c r="P664">
        <v>-10.84</v>
      </c>
      <c r="Q664">
        <v>11.72</v>
      </c>
      <c r="S664">
        <v>10.55</v>
      </c>
      <c r="T664">
        <v>0</v>
      </c>
      <c r="U664">
        <v>89.5</v>
      </c>
      <c r="V664">
        <v>949</v>
      </c>
      <c r="W664">
        <v>43.48</v>
      </c>
      <c r="Y664">
        <v>13.05</v>
      </c>
    </row>
    <row r="665" spans="1:25" x14ac:dyDescent="0.25">
      <c r="A665">
        <v>2007</v>
      </c>
      <c r="B665">
        <v>104</v>
      </c>
      <c r="C665">
        <v>100</v>
      </c>
      <c r="D665">
        <v>-0.78800000000000003</v>
      </c>
      <c r="E665">
        <v>-17.25</v>
      </c>
      <c r="F665">
        <v>6.8440000000000003</v>
      </c>
      <c r="G665">
        <v>7.58</v>
      </c>
      <c r="K665">
        <v>0.34200000000000003</v>
      </c>
      <c r="L665">
        <v>119.9</v>
      </c>
      <c r="M665">
        <v>0</v>
      </c>
      <c r="O665">
        <v>-11.5</v>
      </c>
      <c r="P665">
        <v>-10.84</v>
      </c>
      <c r="Q665">
        <v>11.42</v>
      </c>
      <c r="S665">
        <v>10.46</v>
      </c>
      <c r="T665">
        <v>0</v>
      </c>
      <c r="U665">
        <v>90.4</v>
      </c>
      <c r="V665">
        <v>950</v>
      </c>
      <c r="W665">
        <v>43.59</v>
      </c>
      <c r="Y665">
        <v>12.99</v>
      </c>
    </row>
    <row r="666" spans="1:25" x14ac:dyDescent="0.25">
      <c r="A666">
        <v>2007</v>
      </c>
      <c r="B666">
        <v>104</v>
      </c>
      <c r="C666">
        <v>300</v>
      </c>
      <c r="D666">
        <v>-2.1749999999999998</v>
      </c>
      <c r="E666">
        <v>-27.94</v>
      </c>
      <c r="F666">
        <v>5.0750000000000002</v>
      </c>
      <c r="G666">
        <v>5.5960000000000001</v>
      </c>
      <c r="K666">
        <v>0.20200000000000001</v>
      </c>
      <c r="L666">
        <v>176.4</v>
      </c>
      <c r="M666">
        <v>0</v>
      </c>
      <c r="O666">
        <v>-11.5</v>
      </c>
      <c r="P666">
        <v>-10.84</v>
      </c>
      <c r="Q666">
        <v>10.99</v>
      </c>
      <c r="S666">
        <v>10.24</v>
      </c>
      <c r="T666">
        <v>0</v>
      </c>
      <c r="U666">
        <v>92.6</v>
      </c>
      <c r="V666">
        <v>949</v>
      </c>
      <c r="W666">
        <v>43.48</v>
      </c>
      <c r="Y666">
        <v>12.9</v>
      </c>
    </row>
    <row r="667" spans="1:25" x14ac:dyDescent="0.25">
      <c r="A667">
        <v>2007</v>
      </c>
      <c r="B667">
        <v>104</v>
      </c>
      <c r="C667">
        <v>400</v>
      </c>
      <c r="D667">
        <v>-0.183</v>
      </c>
      <c r="E667">
        <v>-9.44</v>
      </c>
      <c r="F667">
        <v>6.7729999999999997</v>
      </c>
      <c r="G667">
        <v>7.6</v>
      </c>
      <c r="K667">
        <v>0.317</v>
      </c>
      <c r="L667">
        <v>155.80000000000001</v>
      </c>
      <c r="M667">
        <v>0</v>
      </c>
      <c r="O667">
        <v>-11.5</v>
      </c>
      <c r="P667">
        <v>-10.84</v>
      </c>
      <c r="Q667">
        <v>10.75</v>
      </c>
      <c r="S667">
        <v>10.19</v>
      </c>
      <c r="T667">
        <v>0</v>
      </c>
      <c r="U667">
        <v>89.2</v>
      </c>
      <c r="V667">
        <v>948</v>
      </c>
      <c r="W667">
        <v>43.43</v>
      </c>
      <c r="Y667">
        <v>12.87</v>
      </c>
    </row>
    <row r="668" spans="1:25" x14ac:dyDescent="0.25">
      <c r="A668">
        <v>2007</v>
      </c>
      <c r="B668">
        <v>104</v>
      </c>
      <c r="C668">
        <v>500</v>
      </c>
      <c r="D668">
        <v>-0.99</v>
      </c>
      <c r="E668">
        <v>-19.32</v>
      </c>
      <c r="F668">
        <v>7.65</v>
      </c>
      <c r="G668">
        <v>8.4600000000000009</v>
      </c>
      <c r="K668">
        <v>0.27300000000000002</v>
      </c>
      <c r="L668">
        <v>154.5</v>
      </c>
      <c r="M668">
        <v>0</v>
      </c>
      <c r="O668">
        <v>-11.5</v>
      </c>
      <c r="P668">
        <v>-10.84</v>
      </c>
      <c r="Q668">
        <v>10.6</v>
      </c>
      <c r="S668">
        <v>10.09</v>
      </c>
      <c r="T668">
        <v>0</v>
      </c>
      <c r="U668">
        <v>89.7</v>
      </c>
      <c r="V668">
        <v>946</v>
      </c>
      <c r="W668">
        <v>43.21</v>
      </c>
      <c r="Y668">
        <v>12.84</v>
      </c>
    </row>
    <row r="669" spans="1:25" x14ac:dyDescent="0.25">
      <c r="A669">
        <v>2007</v>
      </c>
      <c r="B669">
        <v>104</v>
      </c>
      <c r="C669">
        <v>600</v>
      </c>
      <c r="D669">
        <v>4.5309999999999997</v>
      </c>
      <c r="E669">
        <v>-5.9550000000000001</v>
      </c>
      <c r="F669">
        <v>7.39</v>
      </c>
      <c r="G669">
        <v>8.08</v>
      </c>
      <c r="K669">
        <v>0.25600000000000001</v>
      </c>
      <c r="L669">
        <v>139.5</v>
      </c>
      <c r="M669">
        <v>0</v>
      </c>
      <c r="O669">
        <v>-5.423</v>
      </c>
      <c r="P669">
        <v>-9.26</v>
      </c>
      <c r="Q669">
        <v>10.46</v>
      </c>
      <c r="S669">
        <v>9.9700000000000006</v>
      </c>
      <c r="T669">
        <v>0</v>
      </c>
      <c r="U669">
        <v>91.2</v>
      </c>
      <c r="V669">
        <v>940</v>
      </c>
      <c r="W669">
        <v>42.66</v>
      </c>
      <c r="Y669">
        <v>12.83</v>
      </c>
    </row>
    <row r="670" spans="1:25" x14ac:dyDescent="0.25">
      <c r="A670">
        <v>2007</v>
      </c>
      <c r="B670">
        <v>104</v>
      </c>
      <c r="C670">
        <v>700</v>
      </c>
      <c r="D670">
        <v>73.2</v>
      </c>
      <c r="E670">
        <v>22.56</v>
      </c>
      <c r="F670">
        <v>8.5299999999999994</v>
      </c>
      <c r="G670">
        <v>9.2899999999999991</v>
      </c>
      <c r="K670">
        <v>0.25800000000000001</v>
      </c>
      <c r="L670">
        <v>156.69999999999999</v>
      </c>
      <c r="M670">
        <v>0</v>
      </c>
      <c r="O670">
        <v>88.1</v>
      </c>
      <c r="P670">
        <v>26.67</v>
      </c>
      <c r="Q670">
        <v>10.38</v>
      </c>
      <c r="S670">
        <v>9.92</v>
      </c>
      <c r="T670">
        <v>0</v>
      </c>
      <c r="U670">
        <v>90.5</v>
      </c>
      <c r="V670">
        <v>932</v>
      </c>
      <c r="W670">
        <v>41.97</v>
      </c>
      <c r="Y670">
        <v>13.18</v>
      </c>
    </row>
    <row r="671" spans="1:25" x14ac:dyDescent="0.25">
      <c r="A671">
        <v>2007</v>
      </c>
      <c r="B671">
        <v>104</v>
      </c>
      <c r="C671">
        <v>800</v>
      </c>
      <c r="D671">
        <v>189.6</v>
      </c>
      <c r="E671">
        <v>117.7</v>
      </c>
      <c r="F671">
        <v>10.95</v>
      </c>
      <c r="G671">
        <v>12.64</v>
      </c>
      <c r="K671">
        <v>0.88300000000000001</v>
      </c>
      <c r="L671">
        <v>117.5</v>
      </c>
      <c r="M671">
        <v>0</v>
      </c>
      <c r="O671">
        <v>249.9</v>
      </c>
      <c r="P671">
        <v>83</v>
      </c>
      <c r="Q671">
        <v>10.38</v>
      </c>
      <c r="S671">
        <v>9.9</v>
      </c>
      <c r="T671">
        <v>0</v>
      </c>
      <c r="U671">
        <v>82</v>
      </c>
      <c r="V671">
        <v>931</v>
      </c>
      <c r="W671">
        <v>41.87</v>
      </c>
      <c r="Y671">
        <v>13.97</v>
      </c>
    </row>
    <row r="672" spans="1:25" x14ac:dyDescent="0.25">
      <c r="A672">
        <v>2007</v>
      </c>
      <c r="B672">
        <v>104</v>
      </c>
      <c r="C672">
        <v>900</v>
      </c>
      <c r="D672">
        <v>253.1</v>
      </c>
      <c r="E672">
        <v>147.5</v>
      </c>
      <c r="F672">
        <v>11.43</v>
      </c>
      <c r="G672">
        <v>13.94</v>
      </c>
      <c r="H672">
        <f>AVERAGE(G672:G695)</f>
        <v>14.661250000000003</v>
      </c>
      <c r="I672">
        <f>MIN(G672:G695)</f>
        <v>11.89</v>
      </c>
      <c r="J672">
        <f>MAX(F672:F695)</f>
        <v>14.48</v>
      </c>
      <c r="K672">
        <v>2.0379999999999998</v>
      </c>
      <c r="L672">
        <v>110.1</v>
      </c>
      <c r="M672">
        <v>0</v>
      </c>
      <c r="N672">
        <f>SUM(M672:M695)</f>
        <v>0</v>
      </c>
      <c r="O672">
        <v>307.89999999999998</v>
      </c>
      <c r="P672">
        <v>91.8</v>
      </c>
      <c r="Q672">
        <v>10.51</v>
      </c>
      <c r="S672">
        <v>9.86</v>
      </c>
      <c r="T672">
        <v>0</v>
      </c>
      <c r="U672">
        <v>74.2</v>
      </c>
      <c r="V672">
        <v>929</v>
      </c>
      <c r="W672">
        <v>41.78</v>
      </c>
      <c r="Y672">
        <v>14.19</v>
      </c>
    </row>
    <row r="673" spans="1:25" x14ac:dyDescent="0.25">
      <c r="A673">
        <v>2007</v>
      </c>
      <c r="B673">
        <v>104</v>
      </c>
      <c r="C673">
        <v>1000</v>
      </c>
      <c r="D673">
        <v>450.3</v>
      </c>
      <c r="E673">
        <v>263.5</v>
      </c>
      <c r="F673">
        <v>12.05</v>
      </c>
      <c r="G673">
        <v>15.11</v>
      </c>
      <c r="K673">
        <v>2.339</v>
      </c>
      <c r="L673">
        <v>110</v>
      </c>
      <c r="M673">
        <v>0</v>
      </c>
      <c r="O673">
        <v>554.79999999999995</v>
      </c>
      <c r="P673">
        <v>157</v>
      </c>
      <c r="Q673">
        <v>10.8</v>
      </c>
      <c r="S673">
        <v>9.82</v>
      </c>
      <c r="T673">
        <v>0</v>
      </c>
      <c r="U673">
        <v>69.97</v>
      </c>
      <c r="V673">
        <v>927</v>
      </c>
      <c r="W673">
        <v>41.55</v>
      </c>
      <c r="Y673">
        <v>14.61</v>
      </c>
    </row>
    <row r="674" spans="1:25" x14ac:dyDescent="0.25">
      <c r="A674">
        <v>2007</v>
      </c>
      <c r="B674">
        <v>104</v>
      </c>
      <c r="C674">
        <v>1100</v>
      </c>
      <c r="D674">
        <v>582</v>
      </c>
      <c r="E674">
        <v>341.2</v>
      </c>
      <c r="F674">
        <v>13.5</v>
      </c>
      <c r="G674">
        <v>17.05</v>
      </c>
      <c r="K674">
        <v>2.4820000000000002</v>
      </c>
      <c r="L674">
        <v>117.5</v>
      </c>
      <c r="M674">
        <v>0</v>
      </c>
      <c r="O674">
        <v>712</v>
      </c>
      <c r="P674">
        <v>192.8</v>
      </c>
      <c r="Q674">
        <v>11.3</v>
      </c>
      <c r="S674">
        <v>9.8800000000000008</v>
      </c>
      <c r="T674">
        <v>0</v>
      </c>
      <c r="U674">
        <v>67.28</v>
      </c>
      <c r="V674">
        <v>926</v>
      </c>
      <c r="W674">
        <v>41.5</v>
      </c>
      <c r="Y674">
        <v>14.62</v>
      </c>
    </row>
    <row r="675" spans="1:25" x14ac:dyDescent="0.25">
      <c r="A675">
        <v>2007</v>
      </c>
      <c r="B675">
        <v>104</v>
      </c>
      <c r="C675">
        <v>1200</v>
      </c>
      <c r="D675">
        <v>626.4</v>
      </c>
      <c r="E675">
        <v>360.3</v>
      </c>
      <c r="F675">
        <v>14.18</v>
      </c>
      <c r="G675">
        <v>17.87</v>
      </c>
      <c r="K675">
        <v>2.4420000000000002</v>
      </c>
      <c r="L675">
        <v>133.6</v>
      </c>
      <c r="M675">
        <v>0</v>
      </c>
      <c r="O675">
        <v>760</v>
      </c>
      <c r="P675">
        <v>196.4</v>
      </c>
      <c r="Q675">
        <v>12.03</v>
      </c>
      <c r="S675">
        <v>9.9499999999999993</v>
      </c>
      <c r="T675">
        <v>0</v>
      </c>
      <c r="U675">
        <v>66.72</v>
      </c>
      <c r="V675">
        <v>926</v>
      </c>
      <c r="W675">
        <v>41.48</v>
      </c>
      <c r="Y675">
        <v>14.52</v>
      </c>
    </row>
    <row r="676" spans="1:25" x14ac:dyDescent="0.25">
      <c r="A676">
        <v>2007</v>
      </c>
      <c r="B676">
        <v>104</v>
      </c>
      <c r="C676">
        <v>1300</v>
      </c>
      <c r="D676">
        <v>642.6</v>
      </c>
      <c r="E676">
        <v>364.6</v>
      </c>
      <c r="F676">
        <v>14.05</v>
      </c>
      <c r="G676">
        <v>17.89</v>
      </c>
      <c r="K676">
        <v>2.93</v>
      </c>
      <c r="L676">
        <v>122.3</v>
      </c>
      <c r="M676">
        <v>0</v>
      </c>
      <c r="O676">
        <v>772</v>
      </c>
      <c r="P676">
        <v>198.4</v>
      </c>
      <c r="Q676">
        <v>12.8</v>
      </c>
      <c r="S676">
        <v>10.08</v>
      </c>
      <c r="T676">
        <v>0</v>
      </c>
      <c r="U676">
        <v>65.53</v>
      </c>
      <c r="V676">
        <v>926</v>
      </c>
      <c r="W676">
        <v>41.5</v>
      </c>
      <c r="Y676">
        <v>14.5</v>
      </c>
    </row>
    <row r="677" spans="1:25" x14ac:dyDescent="0.25">
      <c r="A677">
        <v>2007</v>
      </c>
      <c r="B677">
        <v>104</v>
      </c>
      <c r="C677">
        <v>1400</v>
      </c>
      <c r="D677">
        <v>645.29999999999995</v>
      </c>
      <c r="E677">
        <v>363.6</v>
      </c>
      <c r="F677">
        <v>14.48</v>
      </c>
      <c r="G677">
        <v>18.55</v>
      </c>
      <c r="K677">
        <v>2.7</v>
      </c>
      <c r="L677">
        <v>122.9</v>
      </c>
      <c r="M677">
        <v>0</v>
      </c>
      <c r="O677">
        <v>756</v>
      </c>
      <c r="P677">
        <v>208.4</v>
      </c>
      <c r="Q677">
        <v>13.54</v>
      </c>
      <c r="S677">
        <v>10.3</v>
      </c>
      <c r="T677">
        <v>0</v>
      </c>
      <c r="U677">
        <v>64.25</v>
      </c>
      <c r="V677">
        <v>927</v>
      </c>
      <c r="W677">
        <v>41.55</v>
      </c>
      <c r="Y677">
        <v>14.32</v>
      </c>
    </row>
    <row r="678" spans="1:25" x14ac:dyDescent="0.25">
      <c r="A678">
        <v>2007</v>
      </c>
      <c r="B678">
        <v>104</v>
      </c>
      <c r="C678">
        <v>1500</v>
      </c>
      <c r="D678">
        <v>571.20000000000005</v>
      </c>
      <c r="E678">
        <v>319.60000000000002</v>
      </c>
      <c r="F678">
        <v>14.11</v>
      </c>
      <c r="G678">
        <v>18.329999999999998</v>
      </c>
      <c r="K678">
        <v>3.1339999999999999</v>
      </c>
      <c r="L678">
        <v>117</v>
      </c>
      <c r="M678">
        <v>0</v>
      </c>
      <c r="O678">
        <v>670.4</v>
      </c>
      <c r="P678">
        <v>208.4</v>
      </c>
      <c r="Q678">
        <v>14.19</v>
      </c>
      <c r="S678">
        <v>10.54</v>
      </c>
      <c r="T678">
        <v>0</v>
      </c>
      <c r="U678">
        <v>62.85</v>
      </c>
      <c r="V678">
        <v>925</v>
      </c>
      <c r="W678">
        <v>41.37</v>
      </c>
      <c r="Y678">
        <v>14.24</v>
      </c>
    </row>
    <row r="679" spans="1:25" x14ac:dyDescent="0.25">
      <c r="A679">
        <v>2007</v>
      </c>
      <c r="B679">
        <v>104</v>
      </c>
      <c r="C679">
        <v>1600</v>
      </c>
      <c r="D679">
        <v>469.4</v>
      </c>
      <c r="E679">
        <v>259.8</v>
      </c>
      <c r="F679">
        <v>13.89</v>
      </c>
      <c r="G679">
        <v>18.010000000000002</v>
      </c>
      <c r="K679">
        <v>2.907</v>
      </c>
      <c r="L679">
        <v>134</v>
      </c>
      <c r="M679">
        <v>0</v>
      </c>
      <c r="O679">
        <v>548.9</v>
      </c>
      <c r="P679">
        <v>200.9</v>
      </c>
      <c r="Q679">
        <v>14.62</v>
      </c>
      <c r="S679">
        <v>10.78</v>
      </c>
      <c r="T679">
        <v>0</v>
      </c>
      <c r="U679">
        <v>63.25</v>
      </c>
      <c r="V679">
        <v>922</v>
      </c>
      <c r="W679">
        <v>41.13</v>
      </c>
      <c r="Y679">
        <v>14.18</v>
      </c>
    </row>
    <row r="680" spans="1:25" x14ac:dyDescent="0.25">
      <c r="A680">
        <v>2007</v>
      </c>
      <c r="B680">
        <v>104</v>
      </c>
      <c r="C680">
        <v>1700</v>
      </c>
      <c r="D680">
        <v>295.39999999999998</v>
      </c>
      <c r="E680">
        <v>149.19999999999999</v>
      </c>
      <c r="F680">
        <v>13.74</v>
      </c>
      <c r="G680">
        <v>17.59</v>
      </c>
      <c r="K680">
        <v>2.21</v>
      </c>
      <c r="L680">
        <v>134.1</v>
      </c>
      <c r="M680">
        <v>0</v>
      </c>
      <c r="O680">
        <v>340.3</v>
      </c>
      <c r="P680">
        <v>146.30000000000001</v>
      </c>
      <c r="Q680">
        <v>14.83</v>
      </c>
      <c r="S680">
        <v>11.03</v>
      </c>
      <c r="T680">
        <v>0</v>
      </c>
      <c r="U680">
        <v>65.2</v>
      </c>
      <c r="V680">
        <v>919</v>
      </c>
      <c r="W680">
        <v>40.909999999999997</v>
      </c>
      <c r="Y680">
        <v>13.9</v>
      </c>
    </row>
    <row r="681" spans="1:25" x14ac:dyDescent="0.25">
      <c r="A681">
        <v>2007</v>
      </c>
      <c r="B681">
        <v>104</v>
      </c>
      <c r="C681">
        <v>1800</v>
      </c>
      <c r="D681">
        <v>144.30000000000001</v>
      </c>
      <c r="E681">
        <v>45.43</v>
      </c>
      <c r="F681">
        <v>12.86</v>
      </c>
      <c r="G681">
        <v>16.38</v>
      </c>
      <c r="K681">
        <v>2.4390000000000001</v>
      </c>
      <c r="L681">
        <v>118.1</v>
      </c>
      <c r="M681">
        <v>0</v>
      </c>
      <c r="O681">
        <v>154.6</v>
      </c>
      <c r="P681">
        <v>71.400000000000006</v>
      </c>
      <c r="Q681">
        <v>14.82</v>
      </c>
      <c r="S681">
        <v>11.2</v>
      </c>
      <c r="T681">
        <v>0</v>
      </c>
      <c r="U681">
        <v>66.83</v>
      </c>
      <c r="V681">
        <v>917</v>
      </c>
      <c r="W681">
        <v>40.729999999999997</v>
      </c>
      <c r="Y681">
        <v>13.65</v>
      </c>
    </row>
    <row r="682" spans="1:25" x14ac:dyDescent="0.25">
      <c r="A682">
        <v>2007</v>
      </c>
      <c r="B682">
        <v>104</v>
      </c>
      <c r="C682">
        <v>1900</v>
      </c>
      <c r="D682">
        <v>57.54</v>
      </c>
      <c r="E682">
        <v>-7.44</v>
      </c>
      <c r="F682">
        <v>11.91</v>
      </c>
      <c r="G682">
        <v>15.05</v>
      </c>
      <c r="K682">
        <v>1.865</v>
      </c>
      <c r="L682">
        <v>122.1</v>
      </c>
      <c r="M682">
        <v>0</v>
      </c>
      <c r="O682">
        <v>57.91</v>
      </c>
      <c r="P682">
        <v>31.91</v>
      </c>
      <c r="Q682">
        <v>14.62</v>
      </c>
      <c r="S682">
        <v>11.38</v>
      </c>
      <c r="T682">
        <v>0</v>
      </c>
      <c r="U682">
        <v>69.040000000000006</v>
      </c>
      <c r="V682">
        <v>915</v>
      </c>
      <c r="W682">
        <v>40.630000000000003</v>
      </c>
      <c r="Y682">
        <v>13.46</v>
      </c>
    </row>
    <row r="683" spans="1:25" x14ac:dyDescent="0.25">
      <c r="A683">
        <v>2007</v>
      </c>
      <c r="B683">
        <v>104</v>
      </c>
      <c r="C683">
        <v>2000</v>
      </c>
      <c r="D683">
        <v>0.72299999999999998</v>
      </c>
      <c r="E683">
        <v>-46.06</v>
      </c>
      <c r="F683">
        <v>10.99</v>
      </c>
      <c r="G683">
        <v>13.41</v>
      </c>
      <c r="K683">
        <v>1.149</v>
      </c>
      <c r="L683">
        <v>124.1</v>
      </c>
      <c r="M683">
        <v>0</v>
      </c>
      <c r="O683">
        <v>-7.38</v>
      </c>
      <c r="P683">
        <v>-9.59</v>
      </c>
      <c r="Q683">
        <v>14.31</v>
      </c>
      <c r="S683">
        <v>11.45</v>
      </c>
      <c r="T683">
        <v>0</v>
      </c>
      <c r="U683">
        <v>74.7</v>
      </c>
      <c r="V683">
        <v>915</v>
      </c>
      <c r="W683">
        <v>40.619999999999997</v>
      </c>
      <c r="Y683">
        <v>13.33</v>
      </c>
    </row>
    <row r="684" spans="1:25" x14ac:dyDescent="0.25">
      <c r="A684">
        <v>2007</v>
      </c>
      <c r="B684">
        <v>104</v>
      </c>
      <c r="C684">
        <v>2100</v>
      </c>
      <c r="D684">
        <v>-2.919</v>
      </c>
      <c r="E684">
        <v>-44.64</v>
      </c>
      <c r="F684">
        <v>10.199999999999999</v>
      </c>
      <c r="G684">
        <v>12.01</v>
      </c>
      <c r="K684">
        <v>0.66900000000000004</v>
      </c>
      <c r="L684">
        <v>163.4</v>
      </c>
      <c r="M684">
        <v>0</v>
      </c>
      <c r="O684">
        <v>-12.16</v>
      </c>
      <c r="P684">
        <v>-11.47</v>
      </c>
      <c r="Q684">
        <v>13.94</v>
      </c>
      <c r="S684">
        <v>11.49</v>
      </c>
      <c r="T684">
        <v>0</v>
      </c>
      <c r="U684">
        <v>80.099999999999994</v>
      </c>
      <c r="V684">
        <v>914</v>
      </c>
      <c r="W684">
        <v>40.51</v>
      </c>
      <c r="Y684">
        <v>13.23</v>
      </c>
    </row>
    <row r="685" spans="1:25" x14ac:dyDescent="0.25">
      <c r="A685">
        <v>2007</v>
      </c>
      <c r="B685">
        <v>104</v>
      </c>
      <c r="C685">
        <v>2200</v>
      </c>
      <c r="D685">
        <v>-2.8889999999999998</v>
      </c>
      <c r="E685">
        <v>-41.94</v>
      </c>
      <c r="F685">
        <v>10.79</v>
      </c>
      <c r="G685">
        <v>13.1</v>
      </c>
      <c r="K685">
        <v>0.84399999999999997</v>
      </c>
      <c r="L685">
        <v>141.9</v>
      </c>
      <c r="M685">
        <v>0</v>
      </c>
      <c r="O685">
        <v>-12.16</v>
      </c>
      <c r="P685">
        <v>-11.46</v>
      </c>
      <c r="Q685">
        <v>13.54</v>
      </c>
      <c r="S685">
        <v>11.45</v>
      </c>
      <c r="T685">
        <v>0</v>
      </c>
      <c r="U685">
        <v>75.599999999999994</v>
      </c>
      <c r="V685">
        <v>915</v>
      </c>
      <c r="W685">
        <v>40.630000000000003</v>
      </c>
      <c r="Y685">
        <v>13.15</v>
      </c>
    </row>
    <row r="686" spans="1:25" x14ac:dyDescent="0.25">
      <c r="A686">
        <v>2007</v>
      </c>
      <c r="B686">
        <v>104</v>
      </c>
      <c r="C686">
        <v>2300</v>
      </c>
      <c r="D686">
        <v>-2.8180000000000001</v>
      </c>
      <c r="E686">
        <v>-38.619999999999997</v>
      </c>
      <c r="F686">
        <v>11.25</v>
      </c>
      <c r="G686">
        <v>13.66</v>
      </c>
      <c r="K686">
        <v>1.2390000000000001</v>
      </c>
      <c r="L686">
        <v>143.1</v>
      </c>
      <c r="M686">
        <v>0</v>
      </c>
      <c r="O686">
        <v>-12.15</v>
      </c>
      <c r="P686">
        <v>-11.44</v>
      </c>
      <c r="Q686">
        <v>13.23</v>
      </c>
      <c r="S686">
        <v>11.5</v>
      </c>
      <c r="T686">
        <v>0</v>
      </c>
      <c r="U686">
        <v>75</v>
      </c>
      <c r="V686">
        <v>920</v>
      </c>
      <c r="W686">
        <v>41</v>
      </c>
      <c r="Y686">
        <v>13.08</v>
      </c>
    </row>
    <row r="687" spans="1:25" x14ac:dyDescent="0.25">
      <c r="A687">
        <v>2007</v>
      </c>
      <c r="B687">
        <v>104</v>
      </c>
      <c r="C687">
        <v>2400</v>
      </c>
      <c r="D687">
        <v>-2.4180000000000001</v>
      </c>
      <c r="E687">
        <v>-30.08</v>
      </c>
      <c r="F687">
        <v>10.85</v>
      </c>
      <c r="G687">
        <v>12.72</v>
      </c>
      <c r="K687">
        <v>0.82799999999999996</v>
      </c>
      <c r="L687">
        <v>168.4</v>
      </c>
      <c r="M687">
        <v>0</v>
      </c>
      <c r="O687">
        <v>-12.15</v>
      </c>
      <c r="P687">
        <v>-11.41</v>
      </c>
      <c r="Q687">
        <v>12.91</v>
      </c>
      <c r="S687">
        <v>11.41</v>
      </c>
      <c r="T687">
        <v>0</v>
      </c>
      <c r="U687">
        <v>79.8</v>
      </c>
      <c r="V687">
        <v>920</v>
      </c>
      <c r="W687">
        <v>41.02</v>
      </c>
      <c r="Y687">
        <v>13.01</v>
      </c>
    </row>
    <row r="688" spans="1:25" x14ac:dyDescent="0.25">
      <c r="A688">
        <v>2007</v>
      </c>
      <c r="B688">
        <v>105</v>
      </c>
      <c r="C688">
        <v>100</v>
      </c>
      <c r="D688">
        <v>-1.3660000000000001</v>
      </c>
      <c r="E688">
        <v>-18.78</v>
      </c>
      <c r="F688">
        <v>11.27</v>
      </c>
      <c r="G688">
        <v>13.14</v>
      </c>
      <c r="K688">
        <v>0.61799999999999999</v>
      </c>
      <c r="L688">
        <v>141.6</v>
      </c>
      <c r="M688">
        <v>0</v>
      </c>
      <c r="O688">
        <v>-12.09</v>
      </c>
      <c r="P688">
        <v>-11.34</v>
      </c>
      <c r="Q688">
        <v>12.63</v>
      </c>
      <c r="S688">
        <v>11.31</v>
      </c>
      <c r="T688">
        <v>0</v>
      </c>
      <c r="U688">
        <v>80</v>
      </c>
      <c r="V688">
        <v>922</v>
      </c>
      <c r="W688">
        <v>41.19</v>
      </c>
      <c r="Y688">
        <v>12.96</v>
      </c>
    </row>
    <row r="689" spans="1:25" x14ac:dyDescent="0.25">
      <c r="A689">
        <v>2007</v>
      </c>
      <c r="B689">
        <v>105</v>
      </c>
      <c r="C689">
        <v>200</v>
      </c>
      <c r="D689">
        <v>-2.282</v>
      </c>
      <c r="E689">
        <v>-29.62</v>
      </c>
      <c r="F689">
        <v>11.24</v>
      </c>
      <c r="G689">
        <v>12.93</v>
      </c>
      <c r="K689">
        <v>0.78600000000000003</v>
      </c>
      <c r="L689">
        <v>155.9</v>
      </c>
      <c r="M689">
        <v>0</v>
      </c>
      <c r="O689">
        <v>-12.11</v>
      </c>
      <c r="P689">
        <v>-11.35</v>
      </c>
      <c r="Q689">
        <v>12.42</v>
      </c>
      <c r="S689">
        <v>11.22</v>
      </c>
      <c r="T689">
        <v>0</v>
      </c>
      <c r="U689">
        <v>81.8</v>
      </c>
      <c r="V689">
        <v>924</v>
      </c>
      <c r="W689">
        <v>41.31</v>
      </c>
      <c r="Y689">
        <v>12.92</v>
      </c>
    </row>
    <row r="690" spans="1:25" x14ac:dyDescent="0.25">
      <c r="A690">
        <v>2007</v>
      </c>
      <c r="B690">
        <v>105</v>
      </c>
      <c r="C690">
        <v>400</v>
      </c>
      <c r="D690">
        <v>-1.9019999999999999</v>
      </c>
      <c r="E690">
        <v>-21.84</v>
      </c>
      <c r="F690">
        <v>10.76</v>
      </c>
      <c r="G690">
        <v>11.89</v>
      </c>
      <c r="K690">
        <v>0.58299999999999996</v>
      </c>
      <c r="L690">
        <v>199.6</v>
      </c>
      <c r="M690">
        <v>0</v>
      </c>
      <c r="O690">
        <v>-12.04</v>
      </c>
      <c r="P690">
        <v>-11.28</v>
      </c>
      <c r="Q690">
        <v>12.06</v>
      </c>
      <c r="S690">
        <v>11.01</v>
      </c>
      <c r="T690">
        <v>0</v>
      </c>
      <c r="U690">
        <v>87.5</v>
      </c>
      <c r="V690">
        <v>930</v>
      </c>
      <c r="W690">
        <v>41.84</v>
      </c>
      <c r="Y690">
        <v>12.87</v>
      </c>
    </row>
    <row r="691" spans="1:25" x14ac:dyDescent="0.25">
      <c r="A691">
        <v>2007</v>
      </c>
      <c r="B691">
        <v>105</v>
      </c>
      <c r="C691">
        <v>500</v>
      </c>
      <c r="D691">
        <v>-0.72699999999999998</v>
      </c>
      <c r="E691">
        <v>-9.14</v>
      </c>
      <c r="F691">
        <v>11.35</v>
      </c>
      <c r="G691">
        <v>12.92</v>
      </c>
      <c r="K691">
        <v>1.23</v>
      </c>
      <c r="L691">
        <v>210.1</v>
      </c>
      <c r="M691">
        <v>0</v>
      </c>
      <c r="O691">
        <v>-11.8</v>
      </c>
      <c r="P691">
        <v>-11.11</v>
      </c>
      <c r="Q691">
        <v>11.9</v>
      </c>
      <c r="S691">
        <v>10.93</v>
      </c>
      <c r="T691">
        <v>0</v>
      </c>
      <c r="U691">
        <v>83</v>
      </c>
      <c r="V691">
        <v>926</v>
      </c>
      <c r="W691">
        <v>41.46</v>
      </c>
      <c r="Y691">
        <v>12.85</v>
      </c>
    </row>
    <row r="692" spans="1:25" x14ac:dyDescent="0.25">
      <c r="A692">
        <v>2007</v>
      </c>
      <c r="B692">
        <v>105</v>
      </c>
      <c r="C692">
        <v>600</v>
      </c>
      <c r="D692">
        <v>2.7069999999999999</v>
      </c>
      <c r="E692">
        <v>-8.64</v>
      </c>
      <c r="F692">
        <v>11.34</v>
      </c>
      <c r="G692">
        <v>12.69</v>
      </c>
      <c r="K692">
        <v>1.1679999999999999</v>
      </c>
      <c r="L692">
        <v>215.5</v>
      </c>
      <c r="M692">
        <v>0</v>
      </c>
      <c r="O692">
        <v>-6.83</v>
      </c>
      <c r="P692">
        <v>-9.75</v>
      </c>
      <c r="Q692">
        <v>11.82</v>
      </c>
      <c r="S692">
        <v>10.87</v>
      </c>
      <c r="T692">
        <v>0</v>
      </c>
      <c r="U692">
        <v>85.2</v>
      </c>
      <c r="V692">
        <v>921</v>
      </c>
      <c r="W692">
        <v>41.08</v>
      </c>
      <c r="Y692">
        <v>12.85</v>
      </c>
    </row>
    <row r="693" spans="1:25" x14ac:dyDescent="0.25">
      <c r="A693">
        <v>2007</v>
      </c>
      <c r="B693">
        <v>105</v>
      </c>
      <c r="C693">
        <v>700</v>
      </c>
      <c r="D693">
        <v>13.55</v>
      </c>
      <c r="E693">
        <v>-0.159</v>
      </c>
      <c r="F693">
        <v>11.49</v>
      </c>
      <c r="G693">
        <v>12.74</v>
      </c>
      <c r="K693">
        <v>1.357</v>
      </c>
      <c r="L693">
        <v>197.1</v>
      </c>
      <c r="M693">
        <v>0</v>
      </c>
      <c r="O693">
        <v>8.0399999999999991</v>
      </c>
      <c r="P693">
        <v>-5.4059999999999997</v>
      </c>
      <c r="Q693">
        <v>11.76</v>
      </c>
      <c r="S693">
        <v>10.78</v>
      </c>
      <c r="T693">
        <v>0</v>
      </c>
      <c r="U693">
        <v>86.3</v>
      </c>
      <c r="V693">
        <v>919</v>
      </c>
      <c r="W693">
        <v>40.94</v>
      </c>
      <c r="Y693">
        <v>12.85</v>
      </c>
    </row>
    <row r="694" spans="1:25" x14ac:dyDescent="0.25">
      <c r="A694">
        <v>2007</v>
      </c>
      <c r="B694">
        <v>105</v>
      </c>
      <c r="C694">
        <v>800</v>
      </c>
      <c r="D694">
        <v>44.74</v>
      </c>
      <c r="E694">
        <v>18.32</v>
      </c>
      <c r="F694">
        <v>11.5</v>
      </c>
      <c r="G694">
        <v>12.42</v>
      </c>
      <c r="K694">
        <v>1.3859999999999999</v>
      </c>
      <c r="L694">
        <v>228.9</v>
      </c>
      <c r="M694">
        <v>0</v>
      </c>
      <c r="O694">
        <v>51.2</v>
      </c>
      <c r="P694">
        <v>4.51</v>
      </c>
      <c r="Q694">
        <v>11.71</v>
      </c>
      <c r="S694">
        <v>10.77</v>
      </c>
      <c r="T694">
        <v>0</v>
      </c>
      <c r="U694">
        <v>89.8</v>
      </c>
      <c r="V694">
        <v>919</v>
      </c>
      <c r="W694">
        <v>40.950000000000003</v>
      </c>
      <c r="Y694">
        <v>12.94</v>
      </c>
    </row>
    <row r="695" spans="1:25" x14ac:dyDescent="0.25">
      <c r="A695">
        <v>2007</v>
      </c>
      <c r="B695">
        <v>105</v>
      </c>
      <c r="C695">
        <v>900</v>
      </c>
      <c r="D695">
        <v>77.400000000000006</v>
      </c>
      <c r="E695">
        <v>39.43</v>
      </c>
      <c r="F695">
        <v>11.68</v>
      </c>
      <c r="G695">
        <v>12.47</v>
      </c>
      <c r="H695">
        <f>AVERAGE(G695:G718)</f>
        <v>11.477916666666671</v>
      </c>
      <c r="I695">
        <f>MIN(G695:G718)</f>
        <v>3.3279999999999998</v>
      </c>
      <c r="J695">
        <f>MAX(F695:F718)</f>
        <v>14.42</v>
      </c>
      <c r="K695">
        <v>1.224</v>
      </c>
      <c r="L695">
        <v>227.1</v>
      </c>
      <c r="M695">
        <v>0</v>
      </c>
      <c r="N695">
        <f>SUM(M695:M718)</f>
        <v>0.4</v>
      </c>
      <c r="O695">
        <v>86.4</v>
      </c>
      <c r="P695">
        <v>10.74</v>
      </c>
      <c r="Q695">
        <v>11.75</v>
      </c>
      <c r="S695">
        <v>10.68</v>
      </c>
      <c r="T695">
        <v>0</v>
      </c>
      <c r="U695">
        <v>91.2</v>
      </c>
      <c r="V695">
        <v>916</v>
      </c>
      <c r="W695">
        <v>40.64</v>
      </c>
      <c r="Y695">
        <v>13.33</v>
      </c>
    </row>
    <row r="696" spans="1:25" x14ac:dyDescent="0.25">
      <c r="A696">
        <v>2007</v>
      </c>
      <c r="B696">
        <v>105</v>
      </c>
      <c r="C696">
        <v>1000</v>
      </c>
      <c r="D696">
        <v>193.8</v>
      </c>
      <c r="E696">
        <v>122.4</v>
      </c>
      <c r="F696">
        <v>12.1</v>
      </c>
      <c r="G696">
        <v>13.05</v>
      </c>
      <c r="K696">
        <v>1.659</v>
      </c>
      <c r="L696">
        <v>227.2</v>
      </c>
      <c r="M696">
        <v>0</v>
      </c>
      <c r="O696">
        <v>237.1</v>
      </c>
      <c r="P696">
        <v>52.38</v>
      </c>
      <c r="Q696">
        <v>11.87</v>
      </c>
      <c r="S696">
        <v>10.72</v>
      </c>
      <c r="T696">
        <v>0</v>
      </c>
      <c r="U696">
        <v>89.6</v>
      </c>
      <c r="V696">
        <v>915</v>
      </c>
      <c r="W696">
        <v>40.57</v>
      </c>
      <c r="Y696">
        <v>13.74</v>
      </c>
    </row>
    <row r="697" spans="1:25" x14ac:dyDescent="0.25">
      <c r="A697">
        <v>2007</v>
      </c>
      <c r="B697">
        <v>105</v>
      </c>
      <c r="C697">
        <v>1100</v>
      </c>
      <c r="D697">
        <v>148.4</v>
      </c>
      <c r="E697">
        <v>88.8</v>
      </c>
      <c r="F697">
        <v>11.93</v>
      </c>
      <c r="G697">
        <v>12.96</v>
      </c>
      <c r="K697">
        <v>2.1059999999999999</v>
      </c>
      <c r="L697">
        <v>229.1</v>
      </c>
      <c r="M697">
        <v>0</v>
      </c>
      <c r="O697">
        <v>182.8</v>
      </c>
      <c r="P697">
        <v>42.66</v>
      </c>
      <c r="Q697">
        <v>12.05</v>
      </c>
      <c r="S697">
        <v>10.68</v>
      </c>
      <c r="T697">
        <v>0</v>
      </c>
      <c r="U697">
        <v>88.8</v>
      </c>
      <c r="V697">
        <v>912</v>
      </c>
      <c r="W697">
        <v>40.32</v>
      </c>
      <c r="Y697">
        <v>13.76</v>
      </c>
    </row>
    <row r="698" spans="1:25" x14ac:dyDescent="0.25">
      <c r="A698">
        <v>2007</v>
      </c>
      <c r="B698">
        <v>105</v>
      </c>
      <c r="C698">
        <v>1200</v>
      </c>
      <c r="D698">
        <v>193</v>
      </c>
      <c r="E698">
        <v>113.9</v>
      </c>
      <c r="F698">
        <v>11.7</v>
      </c>
      <c r="G698">
        <v>12.98</v>
      </c>
      <c r="K698">
        <v>2.3290000000000002</v>
      </c>
      <c r="L698">
        <v>228.2</v>
      </c>
      <c r="M698">
        <v>0</v>
      </c>
      <c r="O698">
        <v>239.7</v>
      </c>
      <c r="P698">
        <v>60.68</v>
      </c>
      <c r="Q698">
        <v>12.31</v>
      </c>
      <c r="S698">
        <v>10.67</v>
      </c>
      <c r="T698">
        <v>0</v>
      </c>
      <c r="U698">
        <v>86.2</v>
      </c>
      <c r="V698">
        <v>909</v>
      </c>
      <c r="W698">
        <v>40.11</v>
      </c>
      <c r="Y698">
        <v>13.77</v>
      </c>
    </row>
    <row r="699" spans="1:25" x14ac:dyDescent="0.25">
      <c r="A699">
        <v>2007</v>
      </c>
      <c r="B699">
        <v>105</v>
      </c>
      <c r="C699">
        <v>1300</v>
      </c>
      <c r="D699">
        <v>640.1</v>
      </c>
      <c r="E699">
        <v>379.3</v>
      </c>
      <c r="F699">
        <v>13.26</v>
      </c>
      <c r="G699">
        <v>15.21</v>
      </c>
      <c r="K699">
        <v>2.1760000000000002</v>
      </c>
      <c r="L699">
        <v>222.7</v>
      </c>
      <c r="M699">
        <v>0</v>
      </c>
      <c r="O699">
        <v>767</v>
      </c>
      <c r="P699">
        <v>194.5</v>
      </c>
      <c r="Q699">
        <v>12.65</v>
      </c>
      <c r="S699">
        <v>10.85</v>
      </c>
      <c r="T699">
        <v>0</v>
      </c>
      <c r="U699">
        <v>80.5</v>
      </c>
      <c r="V699">
        <v>910</v>
      </c>
      <c r="W699">
        <v>40.19</v>
      </c>
      <c r="Y699">
        <v>14.53</v>
      </c>
    </row>
    <row r="700" spans="1:25" x14ac:dyDescent="0.25">
      <c r="A700">
        <v>2007</v>
      </c>
      <c r="B700">
        <v>105</v>
      </c>
      <c r="C700">
        <v>1400</v>
      </c>
      <c r="D700">
        <v>501.2</v>
      </c>
      <c r="E700">
        <v>285.89999999999998</v>
      </c>
      <c r="F700">
        <v>13.89</v>
      </c>
      <c r="G700">
        <v>16.579999999999998</v>
      </c>
      <c r="K700">
        <v>2.1160000000000001</v>
      </c>
      <c r="L700">
        <v>223.2</v>
      </c>
      <c r="M700">
        <v>0</v>
      </c>
      <c r="O700">
        <v>595.6</v>
      </c>
      <c r="P700">
        <v>163</v>
      </c>
      <c r="Q700">
        <v>13.32</v>
      </c>
      <c r="S700">
        <v>10.94</v>
      </c>
      <c r="T700">
        <v>0</v>
      </c>
      <c r="U700">
        <v>74.400000000000006</v>
      </c>
      <c r="V700">
        <v>916</v>
      </c>
      <c r="W700">
        <v>40.659999999999997</v>
      </c>
      <c r="Y700">
        <v>14.29</v>
      </c>
    </row>
    <row r="701" spans="1:25" x14ac:dyDescent="0.25">
      <c r="A701">
        <v>2007</v>
      </c>
      <c r="B701">
        <v>105</v>
      </c>
      <c r="C701">
        <v>1500</v>
      </c>
      <c r="D701">
        <v>550.4</v>
      </c>
      <c r="E701">
        <v>321.39999999999998</v>
      </c>
      <c r="F701">
        <v>14.42</v>
      </c>
      <c r="G701">
        <v>17.37</v>
      </c>
      <c r="K701">
        <v>2.0870000000000002</v>
      </c>
      <c r="L701">
        <v>225.5</v>
      </c>
      <c r="M701">
        <v>0</v>
      </c>
      <c r="O701">
        <v>663.3</v>
      </c>
      <c r="P701">
        <v>191.5</v>
      </c>
      <c r="Q701">
        <v>14.04</v>
      </c>
      <c r="S701">
        <v>11.08</v>
      </c>
      <c r="T701">
        <v>0</v>
      </c>
      <c r="U701">
        <v>72.7</v>
      </c>
      <c r="V701">
        <v>914</v>
      </c>
      <c r="W701">
        <v>40.53</v>
      </c>
      <c r="Y701">
        <v>14.31</v>
      </c>
    </row>
    <row r="702" spans="1:25" x14ac:dyDescent="0.25">
      <c r="A702">
        <v>2007</v>
      </c>
      <c r="B702">
        <v>105</v>
      </c>
      <c r="C702">
        <v>1600</v>
      </c>
      <c r="D702">
        <v>274</v>
      </c>
      <c r="E702">
        <v>142</v>
      </c>
      <c r="F702">
        <v>14.2</v>
      </c>
      <c r="G702">
        <v>17.059999999999999</v>
      </c>
      <c r="K702">
        <v>1.6</v>
      </c>
      <c r="L702">
        <v>224.9</v>
      </c>
      <c r="M702">
        <v>0</v>
      </c>
      <c r="O702">
        <v>335.5</v>
      </c>
      <c r="P702">
        <v>93</v>
      </c>
      <c r="Q702">
        <v>14.64</v>
      </c>
      <c r="S702">
        <v>11.22</v>
      </c>
      <c r="T702">
        <v>0</v>
      </c>
      <c r="U702">
        <v>73.3</v>
      </c>
      <c r="V702">
        <v>911</v>
      </c>
      <c r="W702">
        <v>40.28</v>
      </c>
      <c r="Y702">
        <v>13.95</v>
      </c>
    </row>
    <row r="703" spans="1:25" x14ac:dyDescent="0.25">
      <c r="A703">
        <v>2007</v>
      </c>
      <c r="B703">
        <v>105</v>
      </c>
      <c r="C703">
        <v>1700</v>
      </c>
      <c r="D703">
        <v>185.1</v>
      </c>
      <c r="E703">
        <v>89.6</v>
      </c>
      <c r="F703">
        <v>13.91</v>
      </c>
      <c r="G703">
        <v>16.8</v>
      </c>
      <c r="K703">
        <v>1.56</v>
      </c>
      <c r="L703">
        <v>226.8</v>
      </c>
      <c r="M703">
        <v>0</v>
      </c>
      <c r="O703">
        <v>228.4</v>
      </c>
      <c r="P703">
        <v>64.67</v>
      </c>
      <c r="Q703">
        <v>14.99</v>
      </c>
      <c r="S703">
        <v>11.42</v>
      </c>
      <c r="T703">
        <v>0</v>
      </c>
      <c r="U703">
        <v>72.8</v>
      </c>
      <c r="V703">
        <v>908</v>
      </c>
      <c r="W703">
        <v>40.01</v>
      </c>
      <c r="Y703">
        <v>13.81</v>
      </c>
    </row>
    <row r="704" spans="1:25" x14ac:dyDescent="0.25">
      <c r="A704">
        <v>2007</v>
      </c>
      <c r="B704">
        <v>105</v>
      </c>
      <c r="C704">
        <v>1800</v>
      </c>
      <c r="D704">
        <v>43.78</v>
      </c>
      <c r="E704">
        <v>8.73</v>
      </c>
      <c r="F704">
        <v>13.48</v>
      </c>
      <c r="G704">
        <v>16.12</v>
      </c>
      <c r="K704">
        <v>1.3819999999999999</v>
      </c>
      <c r="L704">
        <v>227.1</v>
      </c>
      <c r="M704">
        <v>0</v>
      </c>
      <c r="O704">
        <v>49.32</v>
      </c>
      <c r="P704">
        <v>6.7110000000000003</v>
      </c>
      <c r="Q704">
        <v>15.09</v>
      </c>
      <c r="S704">
        <v>11.61</v>
      </c>
      <c r="T704">
        <v>0</v>
      </c>
      <c r="U704">
        <v>74.5</v>
      </c>
      <c r="V704">
        <v>903</v>
      </c>
      <c r="W704">
        <v>39.700000000000003</v>
      </c>
      <c r="Y704">
        <v>13.57</v>
      </c>
    </row>
    <row r="705" spans="1:25" x14ac:dyDescent="0.25">
      <c r="A705">
        <v>2007</v>
      </c>
      <c r="B705">
        <v>105</v>
      </c>
      <c r="C705">
        <v>1900</v>
      </c>
      <c r="D705">
        <v>11.68</v>
      </c>
      <c r="E705">
        <v>-7.85</v>
      </c>
      <c r="F705">
        <v>13.29</v>
      </c>
      <c r="G705">
        <v>15.42</v>
      </c>
      <c r="K705">
        <v>1.202</v>
      </c>
      <c r="L705">
        <v>228.2</v>
      </c>
      <c r="M705">
        <v>0</v>
      </c>
      <c r="O705">
        <v>5.2539999999999996</v>
      </c>
      <c r="P705">
        <v>-6.3819999999999997</v>
      </c>
      <c r="Q705">
        <v>15.01</v>
      </c>
      <c r="S705">
        <v>11.79</v>
      </c>
      <c r="T705">
        <v>0</v>
      </c>
      <c r="U705">
        <v>78.900000000000006</v>
      </c>
      <c r="V705">
        <v>903</v>
      </c>
      <c r="W705">
        <v>39.69</v>
      </c>
      <c r="Y705">
        <v>13.4</v>
      </c>
    </row>
    <row r="706" spans="1:25" x14ac:dyDescent="0.25">
      <c r="A706">
        <v>2007</v>
      </c>
      <c r="B706">
        <v>105</v>
      </c>
      <c r="C706">
        <v>2000</v>
      </c>
      <c r="D706">
        <v>0.59399999999999997</v>
      </c>
      <c r="E706">
        <v>-13.49</v>
      </c>
      <c r="F706">
        <v>11.95</v>
      </c>
      <c r="G706">
        <v>13.45</v>
      </c>
      <c r="K706">
        <v>2.7429999999999999</v>
      </c>
      <c r="L706">
        <v>240.8</v>
      </c>
      <c r="M706">
        <v>0</v>
      </c>
      <c r="O706">
        <v>-10.89</v>
      </c>
      <c r="P706">
        <v>-11.11</v>
      </c>
      <c r="Q706">
        <v>14.79</v>
      </c>
      <c r="S706">
        <v>11.88</v>
      </c>
      <c r="T706">
        <v>0</v>
      </c>
      <c r="U706">
        <v>84.2</v>
      </c>
      <c r="V706">
        <v>898</v>
      </c>
      <c r="W706">
        <v>39.31</v>
      </c>
      <c r="Y706">
        <v>13.28</v>
      </c>
    </row>
    <row r="707" spans="1:25" x14ac:dyDescent="0.25">
      <c r="A707">
        <v>2007</v>
      </c>
      <c r="B707">
        <v>105</v>
      </c>
      <c r="C707">
        <v>2100</v>
      </c>
      <c r="D707">
        <v>-0.50700000000000001</v>
      </c>
      <c r="E707">
        <v>-13.64</v>
      </c>
      <c r="F707">
        <v>10.4</v>
      </c>
      <c r="G707">
        <v>11.12</v>
      </c>
      <c r="K707">
        <v>1.986</v>
      </c>
      <c r="L707">
        <v>259.2</v>
      </c>
      <c r="M707">
        <v>0.4</v>
      </c>
      <c r="O707">
        <v>-12.16</v>
      </c>
      <c r="P707">
        <v>-11.47</v>
      </c>
      <c r="Q707">
        <v>14.53</v>
      </c>
      <c r="S707">
        <v>11.96</v>
      </c>
      <c r="T707">
        <v>0</v>
      </c>
      <c r="U707">
        <v>91.6</v>
      </c>
      <c r="V707">
        <v>899</v>
      </c>
      <c r="W707">
        <v>39.380000000000003</v>
      </c>
      <c r="Y707">
        <v>13.19</v>
      </c>
    </row>
    <row r="708" spans="1:25" x14ac:dyDescent="0.25">
      <c r="A708">
        <v>2007</v>
      </c>
      <c r="B708">
        <v>105</v>
      </c>
      <c r="C708">
        <v>2200</v>
      </c>
      <c r="D708">
        <v>-0.58499999999999996</v>
      </c>
      <c r="E708">
        <v>-13.94</v>
      </c>
      <c r="F708">
        <v>9.26</v>
      </c>
      <c r="G708">
        <v>10.08</v>
      </c>
      <c r="K708">
        <v>1.613</v>
      </c>
      <c r="L708">
        <v>258.8</v>
      </c>
      <c r="M708">
        <v>0</v>
      </c>
      <c r="O708">
        <v>-12.06</v>
      </c>
      <c r="P708">
        <v>-11.37</v>
      </c>
      <c r="Q708">
        <v>14.26</v>
      </c>
      <c r="S708">
        <v>11.96</v>
      </c>
      <c r="T708">
        <v>0</v>
      </c>
      <c r="U708">
        <v>90.2</v>
      </c>
      <c r="V708">
        <v>901</v>
      </c>
      <c r="W708">
        <v>39.53</v>
      </c>
      <c r="Y708">
        <v>13.11</v>
      </c>
    </row>
    <row r="709" spans="1:25" x14ac:dyDescent="0.25">
      <c r="A709">
        <v>2007</v>
      </c>
      <c r="B709">
        <v>105</v>
      </c>
      <c r="C709">
        <v>2300</v>
      </c>
      <c r="D709">
        <v>-0.57299999999999995</v>
      </c>
      <c r="E709">
        <v>-13.55</v>
      </c>
      <c r="F709">
        <v>9.16</v>
      </c>
      <c r="G709">
        <v>10.050000000000001</v>
      </c>
      <c r="K709">
        <v>1.2849999999999999</v>
      </c>
      <c r="L709">
        <v>331.8</v>
      </c>
      <c r="M709">
        <v>0</v>
      </c>
      <c r="O709">
        <v>-11.84</v>
      </c>
      <c r="P709">
        <v>-11.16</v>
      </c>
      <c r="Q709">
        <v>13.97</v>
      </c>
      <c r="S709">
        <v>11.96</v>
      </c>
      <c r="T709">
        <v>0</v>
      </c>
      <c r="U709">
        <v>89.3</v>
      </c>
      <c r="V709">
        <v>907</v>
      </c>
      <c r="W709">
        <v>39.94</v>
      </c>
      <c r="Y709">
        <v>13.04</v>
      </c>
    </row>
    <row r="710" spans="1:25" x14ac:dyDescent="0.25">
      <c r="A710">
        <v>2007</v>
      </c>
      <c r="B710">
        <v>105</v>
      </c>
      <c r="C710">
        <v>2400</v>
      </c>
      <c r="D710">
        <v>-1.341</v>
      </c>
      <c r="E710">
        <v>-15.07</v>
      </c>
      <c r="F710">
        <v>8.8699999999999992</v>
      </c>
      <c r="G710">
        <v>9.83</v>
      </c>
      <c r="K710">
        <v>1.65</v>
      </c>
      <c r="L710">
        <v>0</v>
      </c>
      <c r="M710">
        <v>0</v>
      </c>
      <c r="O710">
        <v>-11.67</v>
      </c>
      <c r="P710">
        <v>-10.98</v>
      </c>
      <c r="Q710">
        <v>13.68</v>
      </c>
      <c r="S710">
        <v>11.87</v>
      </c>
      <c r="T710">
        <v>0</v>
      </c>
      <c r="U710">
        <v>88.4</v>
      </c>
      <c r="V710">
        <v>906</v>
      </c>
      <c r="W710">
        <v>39.909999999999997</v>
      </c>
      <c r="Y710">
        <v>12.98</v>
      </c>
    </row>
    <row r="711" spans="1:25" x14ac:dyDescent="0.25">
      <c r="A711">
        <v>2007</v>
      </c>
      <c r="B711">
        <v>106</v>
      </c>
      <c r="C711">
        <v>100</v>
      </c>
      <c r="D711">
        <v>-1.2330000000000001</v>
      </c>
      <c r="E711">
        <v>-16.809999999999999</v>
      </c>
      <c r="F711">
        <v>8.2899999999999991</v>
      </c>
      <c r="G711">
        <v>9.32</v>
      </c>
      <c r="K711">
        <v>1.4710000000000001</v>
      </c>
      <c r="L711">
        <v>0</v>
      </c>
      <c r="M711">
        <v>0</v>
      </c>
      <c r="O711">
        <v>-11.55</v>
      </c>
      <c r="P711">
        <v>-10.88</v>
      </c>
      <c r="Q711">
        <v>13.47</v>
      </c>
      <c r="S711">
        <v>11.86</v>
      </c>
      <c r="T711">
        <v>0</v>
      </c>
      <c r="U711">
        <v>87.3</v>
      </c>
      <c r="V711">
        <v>909</v>
      </c>
      <c r="W711">
        <v>40.130000000000003</v>
      </c>
      <c r="Y711">
        <v>12.93</v>
      </c>
    </row>
    <row r="712" spans="1:25" x14ac:dyDescent="0.25">
      <c r="A712">
        <v>2007</v>
      </c>
      <c r="B712">
        <v>106</v>
      </c>
      <c r="C712">
        <v>200</v>
      </c>
      <c r="D712">
        <v>-1.855</v>
      </c>
      <c r="E712">
        <v>-33.049999999999997</v>
      </c>
      <c r="F712">
        <v>7.78</v>
      </c>
      <c r="G712">
        <v>8.57</v>
      </c>
      <c r="K712">
        <v>1.06</v>
      </c>
      <c r="L712">
        <v>0</v>
      </c>
      <c r="M712">
        <v>0</v>
      </c>
      <c r="O712">
        <v>-11.51</v>
      </c>
      <c r="P712">
        <v>-10.87</v>
      </c>
      <c r="Q712">
        <v>13.23</v>
      </c>
      <c r="S712">
        <v>11.79</v>
      </c>
      <c r="T712">
        <v>0</v>
      </c>
      <c r="U712">
        <v>90</v>
      </c>
      <c r="V712">
        <v>912</v>
      </c>
      <c r="W712">
        <v>40.33</v>
      </c>
      <c r="Y712">
        <v>12.9</v>
      </c>
    </row>
    <row r="713" spans="1:25" x14ac:dyDescent="0.25">
      <c r="A713">
        <v>2007</v>
      </c>
      <c r="B713">
        <v>106</v>
      </c>
      <c r="C713">
        <v>300</v>
      </c>
      <c r="D713">
        <v>-2.52</v>
      </c>
      <c r="E713">
        <v>-31.52</v>
      </c>
      <c r="F713">
        <v>6.476</v>
      </c>
      <c r="G713">
        <v>6.99</v>
      </c>
      <c r="K713">
        <v>0.94399999999999995</v>
      </c>
      <c r="L713">
        <v>359.6</v>
      </c>
      <c r="M713">
        <v>0</v>
      </c>
      <c r="O713">
        <v>-11.51</v>
      </c>
      <c r="P713">
        <v>-10.84</v>
      </c>
      <c r="Q713">
        <v>12.91</v>
      </c>
      <c r="S713">
        <v>11.66</v>
      </c>
      <c r="T713">
        <v>0</v>
      </c>
      <c r="U713">
        <v>93.1</v>
      </c>
      <c r="V713">
        <v>916</v>
      </c>
      <c r="W713">
        <v>40.659999999999997</v>
      </c>
      <c r="Y713">
        <v>12.87</v>
      </c>
    </row>
    <row r="714" spans="1:25" x14ac:dyDescent="0.25">
      <c r="A714">
        <v>2007</v>
      </c>
      <c r="B714">
        <v>106</v>
      </c>
      <c r="C714">
        <v>500</v>
      </c>
      <c r="D714">
        <v>-2.5179999999999998</v>
      </c>
      <c r="E714">
        <v>-26.28</v>
      </c>
      <c r="F714">
        <v>5.4509999999999996</v>
      </c>
      <c r="G714">
        <v>5.8529999999999998</v>
      </c>
      <c r="K714">
        <v>0.45400000000000001</v>
      </c>
      <c r="L714">
        <v>229.3</v>
      </c>
      <c r="M714">
        <v>0</v>
      </c>
      <c r="O714">
        <v>-11.5</v>
      </c>
      <c r="P714">
        <v>-10.85</v>
      </c>
      <c r="Q714">
        <v>12.23</v>
      </c>
      <c r="S714">
        <v>11.47</v>
      </c>
      <c r="T714">
        <v>0</v>
      </c>
      <c r="U714">
        <v>94.4</v>
      </c>
      <c r="V714">
        <v>910</v>
      </c>
      <c r="W714">
        <v>40.18</v>
      </c>
      <c r="Y714">
        <v>12.84</v>
      </c>
    </row>
    <row r="715" spans="1:25" x14ac:dyDescent="0.25">
      <c r="A715">
        <v>2007</v>
      </c>
      <c r="B715">
        <v>106</v>
      </c>
      <c r="C715">
        <v>600</v>
      </c>
      <c r="D715">
        <v>11.68</v>
      </c>
      <c r="E715">
        <v>-21.59</v>
      </c>
      <c r="F715">
        <v>3.0430000000000001</v>
      </c>
      <c r="G715">
        <v>3.3279999999999998</v>
      </c>
      <c r="K715">
        <v>0.13700000000000001</v>
      </c>
      <c r="L715">
        <v>210.1</v>
      </c>
      <c r="M715">
        <v>0</v>
      </c>
      <c r="O715">
        <v>8.26</v>
      </c>
      <c r="P715">
        <v>-4.1059999999999999</v>
      </c>
      <c r="Q715">
        <v>11.85</v>
      </c>
      <c r="S715">
        <v>11.28</v>
      </c>
      <c r="T715">
        <v>0</v>
      </c>
      <c r="U715">
        <v>95.6</v>
      </c>
      <c r="V715">
        <v>909</v>
      </c>
      <c r="W715">
        <v>40.15</v>
      </c>
      <c r="Y715">
        <v>12.83</v>
      </c>
    </row>
    <row r="716" spans="1:25" x14ac:dyDescent="0.25">
      <c r="A716">
        <v>2007</v>
      </c>
      <c r="B716">
        <v>106</v>
      </c>
      <c r="C716">
        <v>700</v>
      </c>
      <c r="D716">
        <v>54.25</v>
      </c>
      <c r="E716">
        <v>15.21</v>
      </c>
      <c r="F716">
        <v>4.0289999999999999</v>
      </c>
      <c r="G716">
        <v>4.4089999999999998</v>
      </c>
      <c r="K716">
        <v>0.39900000000000002</v>
      </c>
      <c r="L716">
        <v>232.2</v>
      </c>
      <c r="M716">
        <v>0</v>
      </c>
      <c r="O716">
        <v>59.21</v>
      </c>
      <c r="P716">
        <v>14.37</v>
      </c>
      <c r="Q716">
        <v>11.5</v>
      </c>
      <c r="S716">
        <v>11.17</v>
      </c>
      <c r="T716">
        <v>0</v>
      </c>
      <c r="U716">
        <v>94.3</v>
      </c>
      <c r="V716">
        <v>908</v>
      </c>
      <c r="W716">
        <v>40.020000000000003</v>
      </c>
      <c r="Y716">
        <v>13.22</v>
      </c>
    </row>
    <row r="717" spans="1:25" x14ac:dyDescent="0.25">
      <c r="A717">
        <v>2007</v>
      </c>
      <c r="B717">
        <v>106</v>
      </c>
      <c r="C717">
        <v>800</v>
      </c>
      <c r="D717">
        <v>225.1</v>
      </c>
      <c r="E717">
        <v>177.4</v>
      </c>
      <c r="F717">
        <v>6.7359999999999998</v>
      </c>
      <c r="G717">
        <v>7.29</v>
      </c>
      <c r="K717">
        <v>1.2869999999999999</v>
      </c>
      <c r="L717">
        <v>235.8</v>
      </c>
      <c r="M717">
        <v>0</v>
      </c>
      <c r="O717">
        <v>329.7</v>
      </c>
      <c r="P717">
        <v>111.2</v>
      </c>
      <c r="Q717">
        <v>11.27</v>
      </c>
      <c r="S717">
        <v>11.11</v>
      </c>
      <c r="T717">
        <v>0</v>
      </c>
      <c r="U717">
        <v>92.7</v>
      </c>
      <c r="V717">
        <v>910</v>
      </c>
      <c r="W717">
        <v>40.17</v>
      </c>
      <c r="Y717">
        <v>14.16</v>
      </c>
    </row>
    <row r="718" spans="1:25" x14ac:dyDescent="0.25">
      <c r="A718">
        <v>2007</v>
      </c>
      <c r="B718">
        <v>106</v>
      </c>
      <c r="C718">
        <v>900</v>
      </c>
      <c r="D718">
        <v>377</v>
      </c>
      <c r="E718">
        <v>243.7</v>
      </c>
      <c r="F718">
        <v>8</v>
      </c>
      <c r="G718">
        <v>9.16</v>
      </c>
      <c r="H718">
        <f>AVERAGE(G718:G741)</f>
        <v>8.5975416666666664</v>
      </c>
      <c r="I718">
        <f>MIN(G718:G741)</f>
        <v>3.419</v>
      </c>
      <c r="J718">
        <f>MAX(F718:F741)</f>
        <v>9.35</v>
      </c>
      <c r="K718">
        <v>1.8069999999999999</v>
      </c>
      <c r="L718">
        <v>265.5</v>
      </c>
      <c r="M718">
        <v>0</v>
      </c>
      <c r="N718">
        <f>SUM(M718:M741)</f>
        <v>0</v>
      </c>
      <c r="O718">
        <v>475.3</v>
      </c>
      <c r="P718">
        <v>146.4</v>
      </c>
      <c r="Q718">
        <v>11.25</v>
      </c>
      <c r="S718">
        <v>11.03</v>
      </c>
      <c r="T718">
        <v>0</v>
      </c>
      <c r="U718">
        <v>85.7</v>
      </c>
      <c r="V718">
        <v>910</v>
      </c>
      <c r="W718">
        <v>40.17</v>
      </c>
      <c r="Y718">
        <v>14.61</v>
      </c>
    </row>
    <row r="719" spans="1:25" x14ac:dyDescent="0.25">
      <c r="A719">
        <v>2007</v>
      </c>
      <c r="B719">
        <v>106</v>
      </c>
      <c r="C719">
        <v>1000</v>
      </c>
      <c r="D719">
        <v>362.5</v>
      </c>
      <c r="E719">
        <v>219.1</v>
      </c>
      <c r="F719">
        <v>8.1300000000000008</v>
      </c>
      <c r="G719">
        <v>10.06</v>
      </c>
      <c r="K719">
        <v>2.1339999999999999</v>
      </c>
      <c r="L719">
        <v>0</v>
      </c>
      <c r="M719">
        <v>0</v>
      </c>
      <c r="O719">
        <v>453</v>
      </c>
      <c r="P719">
        <v>127</v>
      </c>
      <c r="Q719">
        <v>11.5</v>
      </c>
      <c r="S719">
        <v>10.88</v>
      </c>
      <c r="T719">
        <v>0</v>
      </c>
      <c r="U719">
        <v>77.3</v>
      </c>
      <c r="V719">
        <v>903</v>
      </c>
      <c r="W719">
        <v>39.659999999999997</v>
      </c>
      <c r="Y719">
        <v>14.35</v>
      </c>
    </row>
    <row r="720" spans="1:25" x14ac:dyDescent="0.25">
      <c r="A720">
        <v>2007</v>
      </c>
      <c r="B720">
        <v>106</v>
      </c>
      <c r="C720">
        <v>1100</v>
      </c>
      <c r="D720">
        <v>598.4</v>
      </c>
      <c r="E720">
        <v>351</v>
      </c>
      <c r="F720">
        <v>8.4</v>
      </c>
      <c r="G720">
        <v>11.35</v>
      </c>
      <c r="K720">
        <v>2.645</v>
      </c>
      <c r="L720">
        <v>0</v>
      </c>
      <c r="M720">
        <v>0</v>
      </c>
      <c r="O720">
        <v>736</v>
      </c>
      <c r="P720">
        <v>194.5</v>
      </c>
      <c r="Q720">
        <v>11.93</v>
      </c>
      <c r="S720">
        <v>10.86</v>
      </c>
      <c r="T720">
        <v>0</v>
      </c>
      <c r="U720">
        <v>67.23</v>
      </c>
      <c r="V720">
        <v>899</v>
      </c>
      <c r="W720">
        <v>39.340000000000003</v>
      </c>
      <c r="Y720">
        <v>14.59</v>
      </c>
    </row>
    <row r="721" spans="1:25" x14ac:dyDescent="0.25">
      <c r="A721">
        <v>2007</v>
      </c>
      <c r="B721">
        <v>106</v>
      </c>
      <c r="C721">
        <v>1200</v>
      </c>
      <c r="D721">
        <v>688.1</v>
      </c>
      <c r="E721">
        <v>393.4</v>
      </c>
      <c r="F721">
        <v>8.7100000000000009</v>
      </c>
      <c r="G721">
        <v>12.06</v>
      </c>
      <c r="K721">
        <v>2.73</v>
      </c>
      <c r="L721">
        <v>0</v>
      </c>
      <c r="M721">
        <v>0</v>
      </c>
      <c r="O721">
        <v>832</v>
      </c>
      <c r="P721">
        <v>200.8</v>
      </c>
      <c r="Q721">
        <v>12.51</v>
      </c>
      <c r="S721">
        <v>10.87</v>
      </c>
      <c r="T721">
        <v>0</v>
      </c>
      <c r="U721">
        <v>63.81</v>
      </c>
      <c r="V721">
        <v>898</v>
      </c>
      <c r="W721">
        <v>39.270000000000003</v>
      </c>
      <c r="Y721">
        <v>14.56</v>
      </c>
    </row>
    <row r="722" spans="1:25" x14ac:dyDescent="0.25">
      <c r="A722">
        <v>2007</v>
      </c>
      <c r="B722">
        <v>106</v>
      </c>
      <c r="C722">
        <v>1300</v>
      </c>
      <c r="D722">
        <v>660.7</v>
      </c>
      <c r="E722">
        <v>372.7</v>
      </c>
      <c r="F722">
        <v>9.01</v>
      </c>
      <c r="G722">
        <v>12.5</v>
      </c>
      <c r="K722">
        <v>2.6520000000000001</v>
      </c>
      <c r="L722">
        <v>0</v>
      </c>
      <c r="M722">
        <v>0</v>
      </c>
      <c r="O722">
        <v>792</v>
      </c>
      <c r="P722">
        <v>193.9</v>
      </c>
      <c r="Q722">
        <v>13.24</v>
      </c>
      <c r="S722">
        <v>10.96</v>
      </c>
      <c r="T722">
        <v>0</v>
      </c>
      <c r="U722">
        <v>63.04</v>
      </c>
      <c r="V722">
        <v>895</v>
      </c>
      <c r="W722">
        <v>39.04</v>
      </c>
      <c r="Y722">
        <v>14.53</v>
      </c>
    </row>
    <row r="723" spans="1:25" x14ac:dyDescent="0.25">
      <c r="A723">
        <v>2007</v>
      </c>
      <c r="B723">
        <v>106</v>
      </c>
      <c r="C723">
        <v>1400</v>
      </c>
      <c r="D723">
        <v>678.4</v>
      </c>
      <c r="E723">
        <v>381</v>
      </c>
      <c r="F723">
        <v>9.35</v>
      </c>
      <c r="G723">
        <v>13.07</v>
      </c>
      <c r="K723">
        <v>2.7360000000000002</v>
      </c>
      <c r="L723">
        <v>0</v>
      </c>
      <c r="M723">
        <v>0</v>
      </c>
      <c r="O723">
        <v>801</v>
      </c>
      <c r="P723">
        <v>216.7</v>
      </c>
      <c r="Q723">
        <v>13.95</v>
      </c>
      <c r="S723">
        <v>11.13</v>
      </c>
      <c r="T723">
        <v>0</v>
      </c>
      <c r="U723">
        <v>61.46</v>
      </c>
      <c r="V723">
        <v>893</v>
      </c>
      <c r="W723">
        <v>38.96</v>
      </c>
      <c r="Y723">
        <v>14.38</v>
      </c>
    </row>
    <row r="724" spans="1:25" x14ac:dyDescent="0.25">
      <c r="A724">
        <v>2007</v>
      </c>
      <c r="B724">
        <v>106</v>
      </c>
      <c r="C724">
        <v>1500</v>
      </c>
      <c r="D724">
        <v>589.5</v>
      </c>
      <c r="E724">
        <v>328.3</v>
      </c>
      <c r="F724">
        <v>9.34</v>
      </c>
      <c r="G724">
        <v>13.18</v>
      </c>
      <c r="K724">
        <v>2.5659999999999998</v>
      </c>
      <c r="L724">
        <v>0</v>
      </c>
      <c r="M724">
        <v>0</v>
      </c>
      <c r="O724">
        <v>693.8</v>
      </c>
      <c r="P724">
        <v>209.7</v>
      </c>
      <c r="Q724">
        <v>14.58</v>
      </c>
      <c r="S724">
        <v>11.34</v>
      </c>
      <c r="T724">
        <v>0</v>
      </c>
      <c r="U724">
        <v>60.45</v>
      </c>
      <c r="V724">
        <v>893</v>
      </c>
      <c r="W724">
        <v>38.909999999999997</v>
      </c>
      <c r="Y724">
        <v>14.21</v>
      </c>
    </row>
    <row r="725" spans="1:25" x14ac:dyDescent="0.25">
      <c r="A725">
        <v>2007</v>
      </c>
      <c r="B725">
        <v>106</v>
      </c>
      <c r="C725">
        <v>1600</v>
      </c>
      <c r="D725">
        <v>369.2</v>
      </c>
      <c r="E725">
        <v>186.3</v>
      </c>
      <c r="F725">
        <v>9.24</v>
      </c>
      <c r="G725">
        <v>13.06</v>
      </c>
      <c r="K725">
        <v>1.93</v>
      </c>
      <c r="L725">
        <v>0</v>
      </c>
      <c r="M725">
        <v>0</v>
      </c>
      <c r="O725">
        <v>429.1</v>
      </c>
      <c r="P725">
        <v>146.69999999999999</v>
      </c>
      <c r="Q725">
        <v>15.02</v>
      </c>
      <c r="S725">
        <v>11.54</v>
      </c>
      <c r="T725">
        <v>0</v>
      </c>
      <c r="U725">
        <v>60.47</v>
      </c>
      <c r="V725">
        <v>892</v>
      </c>
      <c r="W725">
        <v>38.82</v>
      </c>
      <c r="Y725">
        <v>14.1</v>
      </c>
    </row>
    <row r="726" spans="1:25" x14ac:dyDescent="0.25">
      <c r="A726">
        <v>2007</v>
      </c>
      <c r="B726">
        <v>106</v>
      </c>
      <c r="C726">
        <v>1700</v>
      </c>
      <c r="D726">
        <v>275.39999999999998</v>
      </c>
      <c r="E726">
        <v>128.4</v>
      </c>
      <c r="F726">
        <v>8.9700000000000006</v>
      </c>
      <c r="G726">
        <v>12.82</v>
      </c>
      <c r="K726">
        <v>1.782</v>
      </c>
      <c r="L726">
        <v>0</v>
      </c>
      <c r="M726">
        <v>0</v>
      </c>
      <c r="O726">
        <v>320.8</v>
      </c>
      <c r="P726">
        <v>118.1</v>
      </c>
      <c r="Q726">
        <v>15.13</v>
      </c>
      <c r="S726">
        <v>11.72</v>
      </c>
      <c r="T726">
        <v>0</v>
      </c>
      <c r="U726">
        <v>59.91</v>
      </c>
      <c r="V726">
        <v>889</v>
      </c>
      <c r="W726">
        <v>38.630000000000003</v>
      </c>
      <c r="Y726">
        <v>13.92</v>
      </c>
    </row>
    <row r="727" spans="1:25" x14ac:dyDescent="0.25">
      <c r="A727">
        <v>2007</v>
      </c>
      <c r="B727">
        <v>106</v>
      </c>
      <c r="C727">
        <v>1800</v>
      </c>
      <c r="D727">
        <v>137.1</v>
      </c>
      <c r="E727">
        <v>42.18</v>
      </c>
      <c r="F727">
        <v>8.66</v>
      </c>
      <c r="G727">
        <v>12.16</v>
      </c>
      <c r="K727">
        <v>2.0619999999999998</v>
      </c>
      <c r="L727">
        <v>0</v>
      </c>
      <c r="M727">
        <v>0</v>
      </c>
      <c r="O727">
        <v>156.9</v>
      </c>
      <c r="P727">
        <v>51.74</v>
      </c>
      <c r="Q727">
        <v>15.07</v>
      </c>
      <c r="S727">
        <v>11.9</v>
      </c>
      <c r="T727">
        <v>0</v>
      </c>
      <c r="U727">
        <v>62.43</v>
      </c>
      <c r="V727">
        <v>885</v>
      </c>
      <c r="W727">
        <v>38.33</v>
      </c>
      <c r="Y727">
        <v>13.72</v>
      </c>
    </row>
    <row r="728" spans="1:25" x14ac:dyDescent="0.25">
      <c r="A728">
        <v>2007</v>
      </c>
      <c r="B728">
        <v>106</v>
      </c>
      <c r="C728">
        <v>1900</v>
      </c>
      <c r="D728">
        <v>38.6</v>
      </c>
      <c r="E728">
        <v>-9.56</v>
      </c>
      <c r="F728">
        <v>8.7100000000000009</v>
      </c>
      <c r="G728">
        <v>11.34</v>
      </c>
      <c r="K728">
        <v>1.865</v>
      </c>
      <c r="L728">
        <v>0</v>
      </c>
      <c r="M728">
        <v>0</v>
      </c>
      <c r="O728">
        <v>38.01</v>
      </c>
      <c r="P728">
        <v>5.1769999999999996</v>
      </c>
      <c r="Q728">
        <v>14.84</v>
      </c>
      <c r="S728">
        <v>12.01</v>
      </c>
      <c r="T728">
        <v>0</v>
      </c>
      <c r="U728">
        <v>70.599999999999994</v>
      </c>
      <c r="V728">
        <v>884</v>
      </c>
      <c r="W728">
        <v>38.299999999999997</v>
      </c>
      <c r="Y728">
        <v>13.54</v>
      </c>
    </row>
    <row r="729" spans="1:25" x14ac:dyDescent="0.25">
      <c r="A729">
        <v>2007</v>
      </c>
      <c r="B729">
        <v>106</v>
      </c>
      <c r="C729">
        <v>2000</v>
      </c>
      <c r="D729">
        <v>1.9139999999999999</v>
      </c>
      <c r="E729">
        <v>-47.1</v>
      </c>
      <c r="F729">
        <v>7.61</v>
      </c>
      <c r="G729">
        <v>9.67</v>
      </c>
      <c r="K729">
        <v>1.8340000000000001</v>
      </c>
      <c r="L729">
        <v>0</v>
      </c>
      <c r="M729">
        <v>0</v>
      </c>
      <c r="O729">
        <v>-6.5810000000000004</v>
      </c>
      <c r="P729">
        <v>-9.4</v>
      </c>
      <c r="Q729">
        <v>14.5</v>
      </c>
      <c r="S729">
        <v>12.03</v>
      </c>
      <c r="T729">
        <v>0</v>
      </c>
      <c r="U729">
        <v>75.5</v>
      </c>
      <c r="V729">
        <v>888</v>
      </c>
      <c r="W729">
        <v>38.54</v>
      </c>
      <c r="Y729">
        <v>13.4</v>
      </c>
    </row>
    <row r="730" spans="1:25" x14ac:dyDescent="0.25">
      <c r="A730">
        <v>2007</v>
      </c>
      <c r="B730">
        <v>106</v>
      </c>
      <c r="C730">
        <v>2100</v>
      </c>
      <c r="D730">
        <v>-3.2109999999999999</v>
      </c>
      <c r="E730">
        <v>-54.97</v>
      </c>
      <c r="F730">
        <v>6.3010000000000002</v>
      </c>
      <c r="G730">
        <v>7.56</v>
      </c>
      <c r="K730">
        <v>0.83599999999999997</v>
      </c>
      <c r="L730">
        <v>354.6</v>
      </c>
      <c r="M730">
        <v>0</v>
      </c>
      <c r="O730">
        <v>-11.97</v>
      </c>
      <c r="P730">
        <v>-11.29</v>
      </c>
      <c r="Q730">
        <v>14.09</v>
      </c>
      <c r="S730">
        <v>12.03</v>
      </c>
      <c r="T730">
        <v>0</v>
      </c>
      <c r="U730">
        <v>83.6</v>
      </c>
      <c r="V730">
        <v>894</v>
      </c>
      <c r="W730">
        <v>39.03</v>
      </c>
      <c r="Y730">
        <v>13.3</v>
      </c>
    </row>
    <row r="731" spans="1:25" x14ac:dyDescent="0.25">
      <c r="A731">
        <v>2007</v>
      </c>
      <c r="B731">
        <v>106</v>
      </c>
      <c r="C731">
        <v>2200</v>
      </c>
      <c r="D731">
        <v>-2.375</v>
      </c>
      <c r="E731">
        <v>-42.87</v>
      </c>
      <c r="F731">
        <v>5.6310000000000002</v>
      </c>
      <c r="G731">
        <v>6.6609999999999996</v>
      </c>
      <c r="K731">
        <v>0.69499999999999995</v>
      </c>
      <c r="L731">
        <v>228.2</v>
      </c>
      <c r="M731">
        <v>0</v>
      </c>
      <c r="O731">
        <v>-11.59</v>
      </c>
      <c r="P731">
        <v>-10.98</v>
      </c>
      <c r="Q731">
        <v>13.63</v>
      </c>
      <c r="S731">
        <v>12.01</v>
      </c>
      <c r="T731">
        <v>0</v>
      </c>
      <c r="U731">
        <v>86.1</v>
      </c>
      <c r="V731">
        <v>902</v>
      </c>
      <c r="W731">
        <v>39.590000000000003</v>
      </c>
      <c r="Y731">
        <v>13.22</v>
      </c>
    </row>
    <row r="732" spans="1:25" x14ac:dyDescent="0.25">
      <c r="A732">
        <v>2007</v>
      </c>
      <c r="B732">
        <v>106</v>
      </c>
      <c r="C732">
        <v>2300</v>
      </c>
      <c r="D732">
        <v>-2.7570000000000001</v>
      </c>
      <c r="E732">
        <v>-47.25</v>
      </c>
      <c r="F732">
        <v>4.8659999999999997</v>
      </c>
      <c r="G732">
        <v>5.6449999999999996</v>
      </c>
      <c r="K732">
        <v>0.47099999999999997</v>
      </c>
      <c r="L732">
        <v>226.7</v>
      </c>
      <c r="M732">
        <v>0</v>
      </c>
      <c r="O732">
        <v>-11.51</v>
      </c>
      <c r="P732">
        <v>-10.86</v>
      </c>
      <c r="Q732">
        <v>13.15</v>
      </c>
      <c r="S732">
        <v>11.9</v>
      </c>
      <c r="T732">
        <v>0</v>
      </c>
      <c r="U732">
        <v>89.1</v>
      </c>
      <c r="V732">
        <v>902</v>
      </c>
      <c r="W732">
        <v>39.6</v>
      </c>
      <c r="Y732">
        <v>13.14</v>
      </c>
    </row>
    <row r="733" spans="1:25" x14ac:dyDescent="0.25">
      <c r="A733">
        <v>2007</v>
      </c>
      <c r="B733">
        <v>106</v>
      </c>
      <c r="C733">
        <v>2400</v>
      </c>
      <c r="D733">
        <v>-3.07</v>
      </c>
      <c r="E733">
        <v>-49.44</v>
      </c>
      <c r="F733">
        <v>3.62</v>
      </c>
      <c r="G733">
        <v>4.13</v>
      </c>
      <c r="K733">
        <v>0.251</v>
      </c>
      <c r="L733">
        <v>214.6</v>
      </c>
      <c r="M733">
        <v>0</v>
      </c>
      <c r="O733">
        <v>-11.5</v>
      </c>
      <c r="P733">
        <v>-10.84</v>
      </c>
      <c r="Q733">
        <v>12.74</v>
      </c>
      <c r="S733">
        <v>11.79</v>
      </c>
      <c r="T733">
        <v>0</v>
      </c>
      <c r="U733">
        <v>92.3</v>
      </c>
      <c r="V733">
        <v>891</v>
      </c>
      <c r="W733">
        <v>38.75</v>
      </c>
      <c r="Y733">
        <v>13.07</v>
      </c>
    </row>
    <row r="734" spans="1:25" x14ac:dyDescent="0.25">
      <c r="A734">
        <v>2007</v>
      </c>
      <c r="B734">
        <v>107</v>
      </c>
      <c r="C734">
        <v>100</v>
      </c>
      <c r="D734">
        <v>-2.6880000000000002</v>
      </c>
      <c r="E734">
        <v>-37.229999999999997</v>
      </c>
      <c r="F734">
        <v>3.343</v>
      </c>
      <c r="G734">
        <v>3.927</v>
      </c>
      <c r="K734">
        <v>0.313</v>
      </c>
      <c r="L734">
        <v>227.4</v>
      </c>
      <c r="M734">
        <v>0</v>
      </c>
      <c r="O734">
        <v>-11.5</v>
      </c>
      <c r="P734">
        <v>-10.84</v>
      </c>
      <c r="Q734">
        <v>12.28</v>
      </c>
      <c r="S734">
        <v>11.63</v>
      </c>
      <c r="T734">
        <v>0</v>
      </c>
      <c r="U734">
        <v>91.2</v>
      </c>
      <c r="V734">
        <v>885</v>
      </c>
      <c r="W734">
        <v>38.33</v>
      </c>
      <c r="Y734">
        <v>13.01</v>
      </c>
    </row>
    <row r="735" spans="1:25" x14ac:dyDescent="0.25">
      <c r="A735">
        <v>2007</v>
      </c>
      <c r="B735">
        <v>107</v>
      </c>
      <c r="C735">
        <v>200</v>
      </c>
      <c r="D735">
        <v>-2.827</v>
      </c>
      <c r="E735">
        <v>-32.96</v>
      </c>
      <c r="F735">
        <v>3.371</v>
      </c>
      <c r="G735">
        <v>4.0960000000000001</v>
      </c>
      <c r="K735">
        <v>0.76900000000000002</v>
      </c>
      <c r="L735">
        <v>220.1</v>
      </c>
      <c r="M735">
        <v>0</v>
      </c>
      <c r="O735">
        <v>-11.5</v>
      </c>
      <c r="P735">
        <v>-10.85</v>
      </c>
      <c r="Q735">
        <v>11.87</v>
      </c>
      <c r="S735">
        <v>11.49</v>
      </c>
      <c r="T735">
        <v>0</v>
      </c>
      <c r="U735">
        <v>89.1</v>
      </c>
      <c r="V735">
        <v>883</v>
      </c>
      <c r="W735">
        <v>38.229999999999997</v>
      </c>
      <c r="Y735">
        <v>12.95</v>
      </c>
    </row>
    <row r="736" spans="1:25" x14ac:dyDescent="0.25">
      <c r="A736">
        <v>2007</v>
      </c>
      <c r="B736">
        <v>107</v>
      </c>
      <c r="C736">
        <v>300</v>
      </c>
      <c r="D736">
        <v>-3.3809999999999998</v>
      </c>
      <c r="E736">
        <v>-33.42</v>
      </c>
      <c r="F736">
        <v>2.8919999999999999</v>
      </c>
      <c r="G736">
        <v>3.6579999999999999</v>
      </c>
      <c r="K736">
        <v>0.79200000000000004</v>
      </c>
      <c r="L736">
        <v>224.1</v>
      </c>
      <c r="M736">
        <v>0</v>
      </c>
      <c r="O736">
        <v>-11.5</v>
      </c>
      <c r="P736">
        <v>-10.85</v>
      </c>
      <c r="Q736">
        <v>11.49</v>
      </c>
      <c r="S736">
        <v>11.32</v>
      </c>
      <c r="T736">
        <v>0</v>
      </c>
      <c r="U736">
        <v>88.3</v>
      </c>
      <c r="V736">
        <v>884</v>
      </c>
      <c r="W736">
        <v>38.31</v>
      </c>
      <c r="Y736">
        <v>12.9</v>
      </c>
    </row>
    <row r="737" spans="1:25" x14ac:dyDescent="0.25">
      <c r="A737">
        <v>2007</v>
      </c>
      <c r="B737">
        <v>107</v>
      </c>
      <c r="C737">
        <v>400</v>
      </c>
      <c r="D737">
        <v>-3.101</v>
      </c>
      <c r="E737">
        <v>-32.64</v>
      </c>
      <c r="F737">
        <v>3.1989999999999998</v>
      </c>
      <c r="G737">
        <v>4.1079999999999997</v>
      </c>
      <c r="K737">
        <v>1.258</v>
      </c>
      <c r="L737">
        <v>227.6</v>
      </c>
      <c r="M737">
        <v>0</v>
      </c>
      <c r="O737">
        <v>-11.51</v>
      </c>
      <c r="P737">
        <v>-10.85</v>
      </c>
      <c r="Q737">
        <v>11.11</v>
      </c>
      <c r="S737">
        <v>11.15</v>
      </c>
      <c r="T737">
        <v>0</v>
      </c>
      <c r="U737">
        <v>86.4</v>
      </c>
      <c r="V737">
        <v>888</v>
      </c>
      <c r="W737">
        <v>38.54</v>
      </c>
      <c r="Y737">
        <v>12.87</v>
      </c>
    </row>
    <row r="738" spans="1:25" x14ac:dyDescent="0.25">
      <c r="A738">
        <v>2007</v>
      </c>
      <c r="B738">
        <v>107</v>
      </c>
      <c r="C738">
        <v>600</v>
      </c>
      <c r="D738">
        <v>11.68</v>
      </c>
      <c r="E738">
        <v>-21.1</v>
      </c>
      <c r="F738">
        <v>2.669</v>
      </c>
      <c r="G738">
        <v>3.419</v>
      </c>
      <c r="K738">
        <v>1.296</v>
      </c>
      <c r="L738">
        <v>226.9</v>
      </c>
      <c r="M738">
        <v>0</v>
      </c>
      <c r="O738">
        <v>6.157</v>
      </c>
      <c r="P738">
        <v>-2.395</v>
      </c>
      <c r="Q738">
        <v>10.4</v>
      </c>
      <c r="S738">
        <v>10.76</v>
      </c>
      <c r="T738">
        <v>0</v>
      </c>
      <c r="U738">
        <v>88.4</v>
      </c>
      <c r="V738">
        <v>883</v>
      </c>
      <c r="W738">
        <v>38.200000000000003</v>
      </c>
      <c r="Y738">
        <v>12.82</v>
      </c>
    </row>
    <row r="739" spans="1:25" x14ac:dyDescent="0.25">
      <c r="A739">
        <v>2007</v>
      </c>
      <c r="B739">
        <v>107</v>
      </c>
      <c r="C739">
        <v>700</v>
      </c>
      <c r="D739">
        <v>110.8</v>
      </c>
      <c r="E739">
        <v>61.36</v>
      </c>
      <c r="F739">
        <v>4.4429999999999996</v>
      </c>
      <c r="G739">
        <v>5.4770000000000003</v>
      </c>
      <c r="K739">
        <v>2.1219999999999999</v>
      </c>
      <c r="L739">
        <v>227.4</v>
      </c>
      <c r="M739">
        <v>0</v>
      </c>
      <c r="O739">
        <v>151.30000000000001</v>
      </c>
      <c r="P739">
        <v>70.599999999999994</v>
      </c>
      <c r="Q739">
        <v>10.15</v>
      </c>
      <c r="S739">
        <v>10.62</v>
      </c>
      <c r="T739">
        <v>0</v>
      </c>
      <c r="U739">
        <v>85.4</v>
      </c>
      <c r="V739">
        <v>880</v>
      </c>
      <c r="W739">
        <v>38.01</v>
      </c>
      <c r="Y739">
        <v>13.54</v>
      </c>
    </row>
    <row r="740" spans="1:25" x14ac:dyDescent="0.25">
      <c r="A740">
        <v>2007</v>
      </c>
      <c r="B740">
        <v>107</v>
      </c>
      <c r="C740">
        <v>800</v>
      </c>
      <c r="D740">
        <v>254.8</v>
      </c>
      <c r="E740">
        <v>168.6</v>
      </c>
      <c r="F740">
        <v>6.6909999999999998</v>
      </c>
      <c r="G740">
        <v>8.17</v>
      </c>
      <c r="K740">
        <v>2.532</v>
      </c>
      <c r="L740">
        <v>228.2</v>
      </c>
      <c r="M740">
        <v>0</v>
      </c>
      <c r="O740">
        <v>353.2</v>
      </c>
      <c r="P740">
        <v>121.1</v>
      </c>
      <c r="Q740">
        <v>10.06</v>
      </c>
      <c r="S740">
        <v>10.56</v>
      </c>
      <c r="T740">
        <v>0</v>
      </c>
      <c r="U740">
        <v>81.2</v>
      </c>
      <c r="V740">
        <v>881</v>
      </c>
      <c r="W740">
        <v>38.049999999999997</v>
      </c>
      <c r="Y740">
        <v>14.24</v>
      </c>
    </row>
    <row r="741" spans="1:25" x14ac:dyDescent="0.25">
      <c r="A741">
        <v>2007</v>
      </c>
      <c r="B741">
        <v>107</v>
      </c>
      <c r="C741">
        <v>900</v>
      </c>
      <c r="D741">
        <v>315.10000000000002</v>
      </c>
      <c r="E741">
        <v>179.9</v>
      </c>
      <c r="F741">
        <v>7.31</v>
      </c>
      <c r="G741">
        <v>9.06</v>
      </c>
      <c r="H741">
        <f>AVERAGE(G741:G764)</f>
        <v>7.5940833333333337</v>
      </c>
      <c r="I741">
        <f>MIN(G741:G764)</f>
        <v>1.212</v>
      </c>
      <c r="J741">
        <f>MAX(F741:F764)</f>
        <v>9.32</v>
      </c>
      <c r="K741">
        <v>2.9039999999999999</v>
      </c>
      <c r="L741">
        <v>229.1</v>
      </c>
      <c r="M741">
        <v>0</v>
      </c>
      <c r="N741">
        <f>SUM(M741:M764)</f>
        <v>0.2</v>
      </c>
      <c r="O741">
        <v>391.8</v>
      </c>
      <c r="P741">
        <v>117.5</v>
      </c>
      <c r="Q741">
        <v>10.119999999999999</v>
      </c>
      <c r="S741">
        <v>10.37</v>
      </c>
      <c r="T741">
        <v>0</v>
      </c>
      <c r="U741">
        <v>78.5</v>
      </c>
      <c r="V741">
        <v>879</v>
      </c>
      <c r="W741">
        <v>37.96</v>
      </c>
      <c r="Y741">
        <v>14.3</v>
      </c>
    </row>
    <row r="742" spans="1:25" x14ac:dyDescent="0.25">
      <c r="A742">
        <v>2007</v>
      </c>
      <c r="B742">
        <v>107</v>
      </c>
      <c r="C742">
        <v>1000</v>
      </c>
      <c r="D742">
        <v>413.5</v>
      </c>
      <c r="E742">
        <v>246</v>
      </c>
      <c r="F742">
        <v>8.39</v>
      </c>
      <c r="G742">
        <v>10.41</v>
      </c>
      <c r="K742">
        <v>3.2770000000000001</v>
      </c>
      <c r="L742">
        <v>229.6</v>
      </c>
      <c r="M742">
        <v>0</v>
      </c>
      <c r="O742">
        <v>512.1</v>
      </c>
      <c r="P742">
        <v>145.1</v>
      </c>
      <c r="Q742">
        <v>10.44</v>
      </c>
      <c r="S742">
        <v>10.34</v>
      </c>
      <c r="T742">
        <v>0</v>
      </c>
      <c r="U742">
        <v>76.5</v>
      </c>
      <c r="V742">
        <v>877</v>
      </c>
      <c r="W742">
        <v>37.78</v>
      </c>
      <c r="Y742">
        <v>14.41</v>
      </c>
    </row>
    <row r="743" spans="1:25" x14ac:dyDescent="0.25">
      <c r="A743">
        <v>2007</v>
      </c>
      <c r="B743">
        <v>107</v>
      </c>
      <c r="C743">
        <v>1100</v>
      </c>
      <c r="D743">
        <v>188.6</v>
      </c>
      <c r="E743">
        <v>108.2</v>
      </c>
      <c r="F743">
        <v>8.1</v>
      </c>
      <c r="G743">
        <v>9.39</v>
      </c>
      <c r="K743">
        <v>2.6030000000000002</v>
      </c>
      <c r="L743">
        <v>242.7</v>
      </c>
      <c r="M743">
        <v>0.2</v>
      </c>
      <c r="O743">
        <v>243.9</v>
      </c>
      <c r="P743">
        <v>58.9</v>
      </c>
      <c r="Q743">
        <v>10.86</v>
      </c>
      <c r="S743">
        <v>10.24</v>
      </c>
      <c r="T743">
        <v>0</v>
      </c>
      <c r="U743">
        <v>84.4</v>
      </c>
      <c r="V743">
        <v>877</v>
      </c>
      <c r="W743">
        <v>37.79</v>
      </c>
      <c r="Y743">
        <v>13.91</v>
      </c>
    </row>
    <row r="744" spans="1:25" x14ac:dyDescent="0.25">
      <c r="A744">
        <v>2007</v>
      </c>
      <c r="B744">
        <v>107</v>
      </c>
      <c r="C744">
        <v>1200</v>
      </c>
      <c r="D744">
        <v>433.5</v>
      </c>
      <c r="E744">
        <v>277</v>
      </c>
      <c r="F744">
        <v>8.3699999999999992</v>
      </c>
      <c r="G744">
        <v>9.51</v>
      </c>
      <c r="K744">
        <v>1.927</v>
      </c>
      <c r="L744">
        <v>243.6</v>
      </c>
      <c r="M744">
        <v>0</v>
      </c>
      <c r="O744">
        <v>547.9</v>
      </c>
      <c r="P744">
        <v>113.8</v>
      </c>
      <c r="Q744">
        <v>11.2</v>
      </c>
      <c r="S744">
        <v>10.23</v>
      </c>
      <c r="T744">
        <v>0</v>
      </c>
      <c r="U744">
        <v>86.3</v>
      </c>
      <c r="V744">
        <v>874</v>
      </c>
      <c r="W744">
        <v>37.619999999999997</v>
      </c>
      <c r="Y744">
        <v>14.23</v>
      </c>
    </row>
    <row r="745" spans="1:25" x14ac:dyDescent="0.25">
      <c r="A745">
        <v>2007</v>
      </c>
      <c r="B745">
        <v>107</v>
      </c>
      <c r="C745">
        <v>1300</v>
      </c>
      <c r="D745">
        <v>346</v>
      </c>
      <c r="E745">
        <v>206.2</v>
      </c>
      <c r="F745">
        <v>8.9499999999999993</v>
      </c>
      <c r="G745">
        <v>11.02</v>
      </c>
      <c r="K745">
        <v>2.1840000000000002</v>
      </c>
      <c r="L745">
        <v>343</v>
      </c>
      <c r="M745">
        <v>0</v>
      </c>
      <c r="O745">
        <v>428.2</v>
      </c>
      <c r="P745">
        <v>108.4</v>
      </c>
      <c r="Q745">
        <v>11.71</v>
      </c>
      <c r="S745">
        <v>10.36</v>
      </c>
      <c r="T745">
        <v>0</v>
      </c>
      <c r="U745">
        <v>76.400000000000006</v>
      </c>
      <c r="V745">
        <v>875</v>
      </c>
      <c r="W745">
        <v>37.659999999999997</v>
      </c>
      <c r="Y745">
        <v>14.11</v>
      </c>
    </row>
    <row r="746" spans="1:25" x14ac:dyDescent="0.25">
      <c r="A746">
        <v>2007</v>
      </c>
      <c r="B746">
        <v>107</v>
      </c>
      <c r="C746">
        <v>1400</v>
      </c>
      <c r="D746">
        <v>221.7</v>
      </c>
      <c r="E746">
        <v>122</v>
      </c>
      <c r="F746">
        <v>8.77</v>
      </c>
      <c r="G746">
        <v>10.73</v>
      </c>
      <c r="K746">
        <v>2.2240000000000002</v>
      </c>
      <c r="L746">
        <v>236.2</v>
      </c>
      <c r="M746">
        <v>0</v>
      </c>
      <c r="O746">
        <v>281.5</v>
      </c>
      <c r="P746">
        <v>75.8</v>
      </c>
      <c r="Q746">
        <v>12.18</v>
      </c>
      <c r="S746">
        <v>10.45</v>
      </c>
      <c r="T746">
        <v>0</v>
      </c>
      <c r="U746">
        <v>77.400000000000006</v>
      </c>
      <c r="V746">
        <v>874</v>
      </c>
      <c r="W746">
        <v>37.6</v>
      </c>
      <c r="Y746">
        <v>13.93</v>
      </c>
    </row>
    <row r="747" spans="1:25" x14ac:dyDescent="0.25">
      <c r="A747">
        <v>2007</v>
      </c>
      <c r="B747">
        <v>107</v>
      </c>
      <c r="C747">
        <v>1500</v>
      </c>
      <c r="D747">
        <v>342.9</v>
      </c>
      <c r="E747">
        <v>197.8</v>
      </c>
      <c r="F747">
        <v>9.32</v>
      </c>
      <c r="G747">
        <v>11.6</v>
      </c>
      <c r="K747">
        <v>2.4039999999999999</v>
      </c>
      <c r="L747">
        <v>233</v>
      </c>
      <c r="M747">
        <v>0</v>
      </c>
      <c r="O747">
        <v>419.4</v>
      </c>
      <c r="P747">
        <v>117.4</v>
      </c>
      <c r="Q747">
        <v>12.47</v>
      </c>
      <c r="S747">
        <v>10.61</v>
      </c>
      <c r="T747">
        <v>0</v>
      </c>
      <c r="U747">
        <v>74.5</v>
      </c>
      <c r="V747">
        <v>874</v>
      </c>
      <c r="W747">
        <v>37.61</v>
      </c>
      <c r="Y747">
        <v>14.12</v>
      </c>
    </row>
    <row r="748" spans="1:25" x14ac:dyDescent="0.25">
      <c r="A748">
        <v>2007</v>
      </c>
      <c r="B748">
        <v>107</v>
      </c>
      <c r="C748">
        <v>1600</v>
      </c>
      <c r="D748">
        <v>415.6</v>
      </c>
      <c r="E748">
        <v>246.6</v>
      </c>
      <c r="F748">
        <v>9.14</v>
      </c>
      <c r="G748">
        <v>11.35</v>
      </c>
      <c r="K748">
        <v>2.8740000000000001</v>
      </c>
      <c r="L748">
        <v>303.7</v>
      </c>
      <c r="M748">
        <v>0</v>
      </c>
      <c r="O748">
        <v>505.2</v>
      </c>
      <c r="P748">
        <v>158</v>
      </c>
      <c r="Q748">
        <v>12.79</v>
      </c>
      <c r="S748">
        <v>10.72</v>
      </c>
      <c r="T748">
        <v>0</v>
      </c>
      <c r="U748">
        <v>75.2</v>
      </c>
      <c r="V748">
        <v>874</v>
      </c>
      <c r="W748">
        <v>37.590000000000003</v>
      </c>
      <c r="Y748">
        <v>14.18</v>
      </c>
    </row>
    <row r="749" spans="1:25" x14ac:dyDescent="0.25">
      <c r="A749">
        <v>2007</v>
      </c>
      <c r="B749">
        <v>107</v>
      </c>
      <c r="C749">
        <v>1700</v>
      </c>
      <c r="D749">
        <v>198.2</v>
      </c>
      <c r="E749">
        <v>96</v>
      </c>
      <c r="F749">
        <v>8.18</v>
      </c>
      <c r="G749">
        <v>11.03</v>
      </c>
      <c r="K749">
        <v>2.85</v>
      </c>
      <c r="L749">
        <v>0</v>
      </c>
      <c r="M749">
        <v>0</v>
      </c>
      <c r="O749">
        <v>234.5</v>
      </c>
      <c r="P749">
        <v>71.099999999999994</v>
      </c>
      <c r="Q749">
        <v>13.02</v>
      </c>
      <c r="S749">
        <v>10.82</v>
      </c>
      <c r="T749">
        <v>0</v>
      </c>
      <c r="U749">
        <v>67.930000000000007</v>
      </c>
      <c r="V749">
        <v>873</v>
      </c>
      <c r="W749">
        <v>37.549999999999997</v>
      </c>
      <c r="Y749">
        <v>13.88</v>
      </c>
    </row>
    <row r="750" spans="1:25" x14ac:dyDescent="0.25">
      <c r="A750">
        <v>2007</v>
      </c>
      <c r="B750">
        <v>107</v>
      </c>
      <c r="C750">
        <v>1800</v>
      </c>
      <c r="D750">
        <v>210.2</v>
      </c>
      <c r="E750">
        <v>98.6</v>
      </c>
      <c r="F750">
        <v>7.93</v>
      </c>
      <c r="G750">
        <v>10.95</v>
      </c>
      <c r="K750">
        <v>2.907</v>
      </c>
      <c r="L750">
        <v>0</v>
      </c>
      <c r="M750">
        <v>0</v>
      </c>
      <c r="O750">
        <v>239.7</v>
      </c>
      <c r="P750">
        <v>93.4</v>
      </c>
      <c r="Q750">
        <v>13.09</v>
      </c>
      <c r="S750">
        <v>10.95</v>
      </c>
      <c r="T750">
        <v>0</v>
      </c>
      <c r="U750">
        <v>65.989999999999995</v>
      </c>
      <c r="V750">
        <v>874</v>
      </c>
      <c r="W750">
        <v>37.630000000000003</v>
      </c>
      <c r="Y750">
        <v>13.76</v>
      </c>
    </row>
    <row r="751" spans="1:25" x14ac:dyDescent="0.25">
      <c r="A751">
        <v>2007</v>
      </c>
      <c r="B751">
        <v>107</v>
      </c>
      <c r="C751">
        <v>1900</v>
      </c>
      <c r="D751">
        <v>65.72</v>
      </c>
      <c r="E751">
        <v>4.1989999999999998</v>
      </c>
      <c r="F751">
        <v>7.11</v>
      </c>
      <c r="G751">
        <v>9.6999999999999993</v>
      </c>
      <c r="K751">
        <v>1.9710000000000001</v>
      </c>
      <c r="L751">
        <v>0</v>
      </c>
      <c r="M751">
        <v>0</v>
      </c>
      <c r="O751">
        <v>71.400000000000006</v>
      </c>
      <c r="P751">
        <v>22.81</v>
      </c>
      <c r="Q751">
        <v>13.01</v>
      </c>
      <c r="S751">
        <v>11.02</v>
      </c>
      <c r="T751">
        <v>0</v>
      </c>
      <c r="U751">
        <v>69.349999999999994</v>
      </c>
      <c r="V751">
        <v>877</v>
      </c>
      <c r="W751">
        <v>37.78</v>
      </c>
      <c r="Y751">
        <v>13.58</v>
      </c>
    </row>
    <row r="752" spans="1:25" x14ac:dyDescent="0.25">
      <c r="A752">
        <v>2007</v>
      </c>
      <c r="B752">
        <v>107</v>
      </c>
      <c r="C752">
        <v>2000</v>
      </c>
      <c r="D752">
        <v>2.056</v>
      </c>
      <c r="E752">
        <v>-31.1</v>
      </c>
      <c r="F752">
        <v>6.5460000000000003</v>
      </c>
      <c r="G752">
        <v>8.58</v>
      </c>
      <c r="K752">
        <v>0.87</v>
      </c>
      <c r="L752">
        <v>355.5</v>
      </c>
      <c r="M752">
        <v>0</v>
      </c>
      <c r="O752">
        <v>-7.09</v>
      </c>
      <c r="P752">
        <v>-9.76</v>
      </c>
      <c r="Q752">
        <v>12.82</v>
      </c>
      <c r="S752">
        <v>11.07</v>
      </c>
      <c r="T752">
        <v>0</v>
      </c>
      <c r="U752">
        <v>74.900000000000006</v>
      </c>
      <c r="V752">
        <v>881</v>
      </c>
      <c r="W752">
        <v>38.07</v>
      </c>
      <c r="Y752">
        <v>13.45</v>
      </c>
    </row>
    <row r="753" spans="1:25" x14ac:dyDescent="0.25">
      <c r="A753">
        <v>2007</v>
      </c>
      <c r="B753">
        <v>107</v>
      </c>
      <c r="C753">
        <v>2100</v>
      </c>
      <c r="D753">
        <v>-1.53</v>
      </c>
      <c r="E753">
        <v>-27.25</v>
      </c>
      <c r="F753">
        <v>6.4420000000000002</v>
      </c>
      <c r="G753">
        <v>8.25</v>
      </c>
      <c r="K753">
        <v>0.65300000000000002</v>
      </c>
      <c r="L753">
        <v>351.7</v>
      </c>
      <c r="M753">
        <v>0</v>
      </c>
      <c r="O753">
        <v>-11.73</v>
      </c>
      <c r="P753">
        <v>-11.15</v>
      </c>
      <c r="Q753">
        <v>12.55</v>
      </c>
      <c r="S753">
        <v>11.04</v>
      </c>
      <c r="T753">
        <v>0</v>
      </c>
      <c r="U753">
        <v>77.2</v>
      </c>
      <c r="V753">
        <v>887</v>
      </c>
      <c r="W753">
        <v>38.520000000000003</v>
      </c>
      <c r="Y753">
        <v>13.35</v>
      </c>
    </row>
    <row r="754" spans="1:25" x14ac:dyDescent="0.25">
      <c r="A754">
        <v>2007</v>
      </c>
      <c r="B754">
        <v>107</v>
      </c>
      <c r="C754">
        <v>2200</v>
      </c>
      <c r="D754">
        <v>-1.26</v>
      </c>
      <c r="E754">
        <v>-23.67</v>
      </c>
      <c r="F754">
        <v>5.992</v>
      </c>
      <c r="G754">
        <v>7.59</v>
      </c>
      <c r="K754">
        <v>0.77600000000000002</v>
      </c>
      <c r="L754">
        <v>231.4</v>
      </c>
      <c r="M754">
        <v>0</v>
      </c>
      <c r="O754">
        <v>-11.6</v>
      </c>
      <c r="P754">
        <v>-10.98</v>
      </c>
      <c r="Q754">
        <v>12.26</v>
      </c>
      <c r="S754">
        <v>11.08</v>
      </c>
      <c r="T754">
        <v>0</v>
      </c>
      <c r="U754">
        <v>79.2</v>
      </c>
      <c r="V754">
        <v>888</v>
      </c>
      <c r="W754">
        <v>38.53</v>
      </c>
      <c r="Y754">
        <v>13.27</v>
      </c>
    </row>
    <row r="755" spans="1:25" x14ac:dyDescent="0.25">
      <c r="A755">
        <v>2007</v>
      </c>
      <c r="B755">
        <v>107</v>
      </c>
      <c r="C755">
        <v>2300</v>
      </c>
      <c r="D755">
        <v>-1.427</v>
      </c>
      <c r="E755">
        <v>-25.52</v>
      </c>
      <c r="F755">
        <v>5.484</v>
      </c>
      <c r="G755">
        <v>6.8540000000000001</v>
      </c>
      <c r="K755">
        <v>0.84899999999999998</v>
      </c>
      <c r="L755">
        <v>233.3</v>
      </c>
      <c r="M755">
        <v>0</v>
      </c>
      <c r="O755">
        <v>-11.53</v>
      </c>
      <c r="P755">
        <v>-10.89</v>
      </c>
      <c r="Q755">
        <v>11.97</v>
      </c>
      <c r="S755">
        <v>10.98</v>
      </c>
      <c r="T755">
        <v>0</v>
      </c>
      <c r="U755">
        <v>81.7</v>
      </c>
      <c r="V755">
        <v>902</v>
      </c>
      <c r="W755">
        <v>39.56</v>
      </c>
      <c r="Y755">
        <v>13.19</v>
      </c>
    </row>
    <row r="756" spans="1:25" x14ac:dyDescent="0.25">
      <c r="A756">
        <v>2007</v>
      </c>
      <c r="B756">
        <v>107</v>
      </c>
      <c r="C756">
        <v>2400</v>
      </c>
      <c r="D756">
        <v>-2.5409999999999999</v>
      </c>
      <c r="E756">
        <v>-41.96</v>
      </c>
      <c r="F756">
        <v>5.0430000000000001</v>
      </c>
      <c r="G756">
        <v>5.83</v>
      </c>
      <c r="K756">
        <v>0.32800000000000001</v>
      </c>
      <c r="L756">
        <v>221.8</v>
      </c>
      <c r="M756">
        <v>0</v>
      </c>
      <c r="O756">
        <v>-11.5</v>
      </c>
      <c r="P756">
        <v>-10.85</v>
      </c>
      <c r="Q756">
        <v>11.72</v>
      </c>
      <c r="S756">
        <v>10.9</v>
      </c>
      <c r="T756">
        <v>0</v>
      </c>
      <c r="U756">
        <v>89.3</v>
      </c>
      <c r="V756">
        <v>901</v>
      </c>
      <c r="W756">
        <v>39.53</v>
      </c>
      <c r="Y756">
        <v>13.12</v>
      </c>
    </row>
    <row r="757" spans="1:25" x14ac:dyDescent="0.25">
      <c r="A757">
        <v>2007</v>
      </c>
      <c r="B757">
        <v>108</v>
      </c>
      <c r="C757">
        <v>100</v>
      </c>
      <c r="D757">
        <v>-3.35</v>
      </c>
      <c r="E757">
        <v>-46.33</v>
      </c>
      <c r="F757">
        <v>2.0489999999999999</v>
      </c>
      <c r="G757">
        <v>2.3820000000000001</v>
      </c>
      <c r="K757">
        <v>0.16</v>
      </c>
      <c r="L757">
        <v>209.9</v>
      </c>
      <c r="M757">
        <v>0</v>
      </c>
      <c r="O757">
        <v>-11.5</v>
      </c>
      <c r="P757">
        <v>-10.85</v>
      </c>
      <c r="Q757">
        <v>11.44</v>
      </c>
      <c r="S757">
        <v>10.8</v>
      </c>
      <c r="T757">
        <v>0</v>
      </c>
      <c r="U757">
        <v>94.6</v>
      </c>
      <c r="V757">
        <v>907</v>
      </c>
      <c r="W757">
        <v>39.96</v>
      </c>
      <c r="Y757">
        <v>13.05</v>
      </c>
    </row>
    <row r="758" spans="1:25" x14ac:dyDescent="0.25">
      <c r="A758">
        <v>2007</v>
      </c>
      <c r="B758">
        <v>108</v>
      </c>
      <c r="C758">
        <v>200</v>
      </c>
      <c r="D758">
        <v>-2.6219999999999999</v>
      </c>
      <c r="E758">
        <v>-37.53</v>
      </c>
      <c r="F758">
        <v>1.2270000000000001</v>
      </c>
      <c r="G758">
        <v>1.6319999999999999</v>
      </c>
      <c r="K758">
        <v>0.161</v>
      </c>
      <c r="L758">
        <v>217.2</v>
      </c>
      <c r="M758">
        <v>0</v>
      </c>
      <c r="O758">
        <v>-11.5</v>
      </c>
      <c r="P758">
        <v>-10.85</v>
      </c>
      <c r="Q758">
        <v>11.06</v>
      </c>
      <c r="S758">
        <v>10.7</v>
      </c>
      <c r="T758">
        <v>0</v>
      </c>
      <c r="U758">
        <v>93.2</v>
      </c>
      <c r="V758">
        <v>905</v>
      </c>
      <c r="W758">
        <v>39.799999999999997</v>
      </c>
      <c r="Y758">
        <v>12.99</v>
      </c>
    </row>
    <row r="759" spans="1:25" x14ac:dyDescent="0.25">
      <c r="A759">
        <v>2007</v>
      </c>
      <c r="B759">
        <v>108</v>
      </c>
      <c r="C759">
        <v>300</v>
      </c>
      <c r="D759">
        <v>-2.89</v>
      </c>
      <c r="E759">
        <v>-34.86</v>
      </c>
      <c r="F759">
        <v>1.292</v>
      </c>
      <c r="G759">
        <v>1.754</v>
      </c>
      <c r="K759">
        <v>0.32700000000000001</v>
      </c>
      <c r="L759">
        <v>227.4</v>
      </c>
      <c r="M759">
        <v>0</v>
      </c>
      <c r="O759">
        <v>-11.51</v>
      </c>
      <c r="P759">
        <v>-10.85</v>
      </c>
      <c r="Q759">
        <v>10.68</v>
      </c>
      <c r="S759">
        <v>10.58</v>
      </c>
      <c r="T759">
        <v>0</v>
      </c>
      <c r="U759">
        <v>92.3</v>
      </c>
      <c r="V759">
        <v>888</v>
      </c>
      <c r="W759">
        <v>38.57</v>
      </c>
      <c r="Y759">
        <v>12.93</v>
      </c>
    </row>
    <row r="760" spans="1:25" x14ac:dyDescent="0.25">
      <c r="A760">
        <v>2007</v>
      </c>
      <c r="B760">
        <v>108</v>
      </c>
      <c r="C760">
        <v>400</v>
      </c>
      <c r="D760">
        <v>-2.7589999999999999</v>
      </c>
      <c r="E760">
        <v>-29.66</v>
      </c>
      <c r="F760">
        <v>1.5860000000000001</v>
      </c>
      <c r="G760">
        <v>2.125</v>
      </c>
      <c r="K760">
        <v>0.53900000000000003</v>
      </c>
      <c r="L760">
        <v>224.3</v>
      </c>
      <c r="M760">
        <v>0</v>
      </c>
      <c r="O760">
        <v>-11.51</v>
      </c>
      <c r="P760">
        <v>-10.85</v>
      </c>
      <c r="Q760">
        <v>10.29</v>
      </c>
      <c r="S760">
        <v>10.43</v>
      </c>
      <c r="T760">
        <v>0</v>
      </c>
      <c r="U760">
        <v>91.2</v>
      </c>
      <c r="V760">
        <v>879</v>
      </c>
      <c r="W760">
        <v>37.950000000000003</v>
      </c>
      <c r="Y760">
        <v>12.89</v>
      </c>
    </row>
    <row r="761" spans="1:25" x14ac:dyDescent="0.25">
      <c r="A761">
        <v>2007</v>
      </c>
      <c r="B761">
        <v>108</v>
      </c>
      <c r="C761">
        <v>500</v>
      </c>
      <c r="D761">
        <v>-2.7330000000000001</v>
      </c>
      <c r="E761">
        <v>-29.8</v>
      </c>
      <c r="F761">
        <v>0.69299999999999995</v>
      </c>
      <c r="G761">
        <v>1.212</v>
      </c>
      <c r="K761">
        <v>0.40799999999999997</v>
      </c>
      <c r="L761">
        <v>225.6</v>
      </c>
      <c r="M761">
        <v>0</v>
      </c>
      <c r="O761">
        <v>-11.4</v>
      </c>
      <c r="P761">
        <v>-10.83</v>
      </c>
      <c r="Q761">
        <v>9.93</v>
      </c>
      <c r="S761">
        <v>10.27</v>
      </c>
      <c r="T761">
        <v>0</v>
      </c>
      <c r="U761">
        <v>91.2</v>
      </c>
      <c r="V761">
        <v>872</v>
      </c>
      <c r="W761">
        <v>37.47</v>
      </c>
      <c r="Y761">
        <v>12.85</v>
      </c>
    </row>
    <row r="762" spans="1:25" x14ac:dyDescent="0.25">
      <c r="A762">
        <v>2007</v>
      </c>
      <c r="B762">
        <v>108</v>
      </c>
      <c r="C762">
        <v>700</v>
      </c>
      <c r="D762">
        <v>124.4</v>
      </c>
      <c r="E762">
        <v>74.2</v>
      </c>
      <c r="F762">
        <v>4.2169999999999996</v>
      </c>
      <c r="G762">
        <v>5.1390000000000002</v>
      </c>
      <c r="K762">
        <v>0.88100000000000001</v>
      </c>
      <c r="L762">
        <v>225.2</v>
      </c>
      <c r="M762">
        <v>0</v>
      </c>
      <c r="O762">
        <v>167.6</v>
      </c>
      <c r="P762">
        <v>70.900000000000006</v>
      </c>
      <c r="Q762">
        <v>9.4</v>
      </c>
      <c r="S762">
        <v>10.02</v>
      </c>
      <c r="T762">
        <v>0</v>
      </c>
      <c r="U762">
        <v>86.8</v>
      </c>
      <c r="V762">
        <v>871</v>
      </c>
      <c r="W762">
        <v>37.42</v>
      </c>
      <c r="Y762">
        <v>13.52</v>
      </c>
    </row>
    <row r="763" spans="1:25" x14ac:dyDescent="0.25">
      <c r="A763">
        <v>2007</v>
      </c>
      <c r="B763">
        <v>108</v>
      </c>
      <c r="C763">
        <v>800</v>
      </c>
      <c r="D763">
        <v>239.2</v>
      </c>
      <c r="E763">
        <v>170.4</v>
      </c>
      <c r="F763">
        <v>5.7859999999999996</v>
      </c>
      <c r="G763">
        <v>7.12</v>
      </c>
      <c r="K763">
        <v>1.4990000000000001</v>
      </c>
      <c r="L763">
        <v>227.3</v>
      </c>
      <c r="M763">
        <v>0</v>
      </c>
      <c r="O763">
        <v>338.6</v>
      </c>
      <c r="P763">
        <v>117.7</v>
      </c>
      <c r="Q763">
        <v>9.36</v>
      </c>
      <c r="S763">
        <v>9.9600000000000009</v>
      </c>
      <c r="T763">
        <v>0</v>
      </c>
      <c r="U763">
        <v>82.4</v>
      </c>
      <c r="V763">
        <v>874</v>
      </c>
      <c r="W763">
        <v>37.57</v>
      </c>
      <c r="Y763">
        <v>14.27</v>
      </c>
    </row>
    <row r="764" spans="1:25" x14ac:dyDescent="0.25">
      <c r="A764">
        <v>2007</v>
      </c>
      <c r="B764">
        <v>108</v>
      </c>
      <c r="C764">
        <v>900</v>
      </c>
      <c r="D764">
        <v>399.6</v>
      </c>
      <c r="E764">
        <v>254.5</v>
      </c>
      <c r="F764">
        <v>7.25</v>
      </c>
      <c r="G764">
        <v>9.0399999999999991</v>
      </c>
      <c r="H764">
        <f>AVERAGE(G764:G787)</f>
        <v>9.7133333333333329</v>
      </c>
      <c r="I764">
        <f>MIN(G764:G787)</f>
        <v>5.6769999999999996</v>
      </c>
      <c r="J764">
        <f>MAX(F764:F787)</f>
        <v>10.81</v>
      </c>
      <c r="K764">
        <v>2.2160000000000002</v>
      </c>
      <c r="L764">
        <v>228.2</v>
      </c>
      <c r="M764">
        <v>0</v>
      </c>
      <c r="N764">
        <f>SUM(M764:M787)</f>
        <v>0</v>
      </c>
      <c r="O764">
        <v>505.5</v>
      </c>
      <c r="P764">
        <v>157.9</v>
      </c>
      <c r="Q764">
        <v>9.51</v>
      </c>
      <c r="S764">
        <v>9.84</v>
      </c>
      <c r="T764">
        <v>0</v>
      </c>
      <c r="U764">
        <v>78.099999999999994</v>
      </c>
      <c r="V764">
        <v>871</v>
      </c>
      <c r="W764">
        <v>37.39</v>
      </c>
      <c r="Y764">
        <v>14.76</v>
      </c>
    </row>
    <row r="765" spans="1:25" x14ac:dyDescent="0.25">
      <c r="A765">
        <v>2007</v>
      </c>
      <c r="B765">
        <v>108</v>
      </c>
      <c r="C765">
        <v>1000</v>
      </c>
      <c r="D765">
        <v>459.8</v>
      </c>
      <c r="E765">
        <v>278.10000000000002</v>
      </c>
      <c r="F765">
        <v>8.26</v>
      </c>
      <c r="G765">
        <v>10.27</v>
      </c>
      <c r="K765">
        <v>2.4740000000000002</v>
      </c>
      <c r="L765">
        <v>230.2</v>
      </c>
      <c r="M765">
        <v>0</v>
      </c>
      <c r="O765">
        <v>575.79999999999995</v>
      </c>
      <c r="P765">
        <v>164.9</v>
      </c>
      <c r="Q765">
        <v>9.89</v>
      </c>
      <c r="S765">
        <v>9.74</v>
      </c>
      <c r="T765">
        <v>0</v>
      </c>
      <c r="U765">
        <v>76.400000000000006</v>
      </c>
      <c r="V765">
        <v>870</v>
      </c>
      <c r="W765">
        <v>37.35</v>
      </c>
      <c r="Y765">
        <v>14.67</v>
      </c>
    </row>
    <row r="766" spans="1:25" x14ac:dyDescent="0.25">
      <c r="A766">
        <v>2007</v>
      </c>
      <c r="B766">
        <v>108</v>
      </c>
      <c r="C766">
        <v>1100</v>
      </c>
      <c r="D766">
        <v>306.7</v>
      </c>
      <c r="E766">
        <v>180.7</v>
      </c>
      <c r="F766">
        <v>8.27</v>
      </c>
      <c r="G766">
        <v>10.47</v>
      </c>
      <c r="K766">
        <v>1.99</v>
      </c>
      <c r="L766">
        <v>228.4</v>
      </c>
      <c r="M766">
        <v>0</v>
      </c>
      <c r="O766">
        <v>384.6</v>
      </c>
      <c r="P766">
        <v>103.1</v>
      </c>
      <c r="Q766">
        <v>10.44</v>
      </c>
      <c r="S766">
        <v>9.68</v>
      </c>
      <c r="T766">
        <v>0</v>
      </c>
      <c r="U766">
        <v>74.5</v>
      </c>
      <c r="V766">
        <v>867</v>
      </c>
      <c r="W766">
        <v>37.15</v>
      </c>
      <c r="Y766">
        <v>14.11</v>
      </c>
    </row>
    <row r="767" spans="1:25" x14ac:dyDescent="0.25">
      <c r="A767">
        <v>2007</v>
      </c>
      <c r="B767">
        <v>108</v>
      </c>
      <c r="C767">
        <v>1200</v>
      </c>
      <c r="D767">
        <v>348.1</v>
      </c>
      <c r="E767">
        <v>202.7</v>
      </c>
      <c r="F767">
        <v>8.25</v>
      </c>
      <c r="G767">
        <v>10.73</v>
      </c>
      <c r="K767">
        <v>2.17</v>
      </c>
      <c r="L767">
        <v>228.5</v>
      </c>
      <c r="M767">
        <v>0</v>
      </c>
      <c r="O767">
        <v>431.7</v>
      </c>
      <c r="P767">
        <v>112.4</v>
      </c>
      <c r="Q767">
        <v>10.97</v>
      </c>
      <c r="S767">
        <v>9.7100000000000009</v>
      </c>
      <c r="T767">
        <v>0</v>
      </c>
      <c r="U767">
        <v>71.7</v>
      </c>
      <c r="V767">
        <v>865</v>
      </c>
      <c r="W767">
        <v>37.01</v>
      </c>
      <c r="Y767">
        <v>14</v>
      </c>
    </row>
    <row r="768" spans="1:25" x14ac:dyDescent="0.25">
      <c r="A768">
        <v>2007</v>
      </c>
      <c r="B768">
        <v>108</v>
      </c>
      <c r="C768">
        <v>1300</v>
      </c>
      <c r="D768">
        <v>662.5</v>
      </c>
      <c r="E768">
        <v>396.2</v>
      </c>
      <c r="F768">
        <v>9.5399999999999991</v>
      </c>
      <c r="G768">
        <v>12.51</v>
      </c>
      <c r="K768">
        <v>2.1749999999999998</v>
      </c>
      <c r="L768">
        <v>228.8</v>
      </c>
      <c r="M768">
        <v>0</v>
      </c>
      <c r="O768">
        <v>806</v>
      </c>
      <c r="P768">
        <v>199.3</v>
      </c>
      <c r="Q768">
        <v>11.46</v>
      </c>
      <c r="S768">
        <v>9.9499999999999993</v>
      </c>
      <c r="T768">
        <v>0</v>
      </c>
      <c r="U768">
        <v>68.25</v>
      </c>
      <c r="V768">
        <v>864</v>
      </c>
      <c r="W768">
        <v>36.97</v>
      </c>
      <c r="Y768">
        <v>14.54</v>
      </c>
    </row>
    <row r="769" spans="1:25" x14ac:dyDescent="0.25">
      <c r="A769">
        <v>2007</v>
      </c>
      <c r="B769">
        <v>108</v>
      </c>
      <c r="C769">
        <v>1400</v>
      </c>
      <c r="D769">
        <v>515.4</v>
      </c>
      <c r="E769">
        <v>296.2</v>
      </c>
      <c r="F769">
        <v>9.9</v>
      </c>
      <c r="G769">
        <v>13.08</v>
      </c>
      <c r="K769">
        <v>2.2589999999999999</v>
      </c>
      <c r="L769">
        <v>227.6</v>
      </c>
      <c r="M769">
        <v>0</v>
      </c>
      <c r="O769">
        <v>624.1</v>
      </c>
      <c r="P769">
        <v>169.9</v>
      </c>
      <c r="Q769">
        <v>12.18</v>
      </c>
      <c r="S769">
        <v>10.08</v>
      </c>
      <c r="T769">
        <v>0</v>
      </c>
      <c r="U769">
        <v>66.81</v>
      </c>
      <c r="V769">
        <v>863</v>
      </c>
      <c r="W769">
        <v>36.9</v>
      </c>
      <c r="Y769">
        <v>14.24</v>
      </c>
    </row>
    <row r="770" spans="1:25" x14ac:dyDescent="0.25">
      <c r="A770">
        <v>2007</v>
      </c>
      <c r="B770">
        <v>108</v>
      </c>
      <c r="C770">
        <v>1500</v>
      </c>
      <c r="D770">
        <v>579.4</v>
      </c>
      <c r="E770">
        <v>337.3</v>
      </c>
      <c r="F770">
        <v>10.53</v>
      </c>
      <c r="G770">
        <v>13.94</v>
      </c>
      <c r="K770">
        <v>2.2559999999999998</v>
      </c>
      <c r="L770">
        <v>227.3</v>
      </c>
      <c r="M770">
        <v>0</v>
      </c>
      <c r="O770">
        <v>688.5</v>
      </c>
      <c r="P770">
        <v>204.5</v>
      </c>
      <c r="Q770">
        <v>12.87</v>
      </c>
      <c r="S770">
        <v>10.29</v>
      </c>
      <c r="T770">
        <v>0</v>
      </c>
      <c r="U770">
        <v>65.41</v>
      </c>
      <c r="V770">
        <v>863</v>
      </c>
      <c r="W770">
        <v>36.86</v>
      </c>
      <c r="Y770">
        <v>14.3</v>
      </c>
    </row>
    <row r="771" spans="1:25" x14ac:dyDescent="0.25">
      <c r="A771">
        <v>2007</v>
      </c>
      <c r="B771">
        <v>108</v>
      </c>
      <c r="C771">
        <v>1600</v>
      </c>
      <c r="D771">
        <v>504.2</v>
      </c>
      <c r="E771">
        <v>288.89999999999998</v>
      </c>
      <c r="F771">
        <v>10.81</v>
      </c>
      <c r="G771">
        <v>14.31</v>
      </c>
      <c r="K771">
        <v>2.194</v>
      </c>
      <c r="L771">
        <v>225.3</v>
      </c>
      <c r="M771">
        <v>0</v>
      </c>
      <c r="O771">
        <v>592.5</v>
      </c>
      <c r="P771">
        <v>208.4</v>
      </c>
      <c r="Q771">
        <v>13.47</v>
      </c>
      <c r="S771">
        <v>10.54</v>
      </c>
      <c r="T771">
        <v>0</v>
      </c>
      <c r="U771">
        <v>64.94</v>
      </c>
      <c r="V771">
        <v>862</v>
      </c>
      <c r="W771">
        <v>36.85</v>
      </c>
      <c r="Y771">
        <v>14.25</v>
      </c>
    </row>
    <row r="772" spans="1:25" x14ac:dyDescent="0.25">
      <c r="A772">
        <v>2007</v>
      </c>
      <c r="B772">
        <v>108</v>
      </c>
      <c r="C772">
        <v>1700</v>
      </c>
      <c r="D772">
        <v>365.4</v>
      </c>
      <c r="E772">
        <v>199.3</v>
      </c>
      <c r="F772">
        <v>10.61</v>
      </c>
      <c r="G772">
        <v>14.22</v>
      </c>
      <c r="K772">
        <v>2.5190000000000001</v>
      </c>
      <c r="L772">
        <v>227.3</v>
      </c>
      <c r="M772">
        <v>0</v>
      </c>
      <c r="O772">
        <v>421.7</v>
      </c>
      <c r="P772">
        <v>181.3</v>
      </c>
      <c r="Q772">
        <v>13.84</v>
      </c>
      <c r="S772">
        <v>10.74</v>
      </c>
      <c r="T772">
        <v>0</v>
      </c>
      <c r="U772">
        <v>63.81</v>
      </c>
      <c r="V772">
        <v>859</v>
      </c>
      <c r="W772">
        <v>36.65</v>
      </c>
      <c r="Y772">
        <v>13.98</v>
      </c>
    </row>
    <row r="773" spans="1:25" x14ac:dyDescent="0.25">
      <c r="A773">
        <v>2007</v>
      </c>
      <c r="B773">
        <v>108</v>
      </c>
      <c r="C773">
        <v>1800</v>
      </c>
      <c r="D773">
        <v>206.5</v>
      </c>
      <c r="E773">
        <v>76.400000000000006</v>
      </c>
      <c r="F773">
        <v>10.32</v>
      </c>
      <c r="G773">
        <v>13.71</v>
      </c>
      <c r="K773">
        <v>2.0470000000000002</v>
      </c>
      <c r="L773">
        <v>227.3</v>
      </c>
      <c r="M773">
        <v>0</v>
      </c>
      <c r="O773">
        <v>211.3</v>
      </c>
      <c r="P773">
        <v>107.6</v>
      </c>
      <c r="Q773">
        <v>13.97</v>
      </c>
      <c r="S773">
        <v>10.93</v>
      </c>
      <c r="T773">
        <v>0</v>
      </c>
      <c r="U773">
        <v>65.36</v>
      </c>
      <c r="V773">
        <v>858</v>
      </c>
      <c r="W773">
        <v>36.54</v>
      </c>
      <c r="Y773">
        <v>13.69</v>
      </c>
    </row>
    <row r="774" spans="1:25" x14ac:dyDescent="0.25">
      <c r="A774">
        <v>2007</v>
      </c>
      <c r="B774">
        <v>108</v>
      </c>
      <c r="C774">
        <v>1900</v>
      </c>
      <c r="D774">
        <v>76.2</v>
      </c>
      <c r="E774">
        <v>5.0789999999999997</v>
      </c>
      <c r="F774">
        <v>9.6300000000000008</v>
      </c>
      <c r="G774">
        <v>12.26</v>
      </c>
      <c r="K774">
        <v>1.639</v>
      </c>
      <c r="L774">
        <v>215.9</v>
      </c>
      <c r="M774">
        <v>0</v>
      </c>
      <c r="O774">
        <v>82</v>
      </c>
      <c r="P774">
        <v>49.28</v>
      </c>
      <c r="Q774">
        <v>13.88</v>
      </c>
      <c r="S774">
        <v>11.09</v>
      </c>
      <c r="T774">
        <v>0</v>
      </c>
      <c r="U774">
        <v>71.5</v>
      </c>
      <c r="V774">
        <v>857</v>
      </c>
      <c r="W774">
        <v>36.49</v>
      </c>
      <c r="Y774">
        <v>13.52</v>
      </c>
    </row>
    <row r="775" spans="1:25" x14ac:dyDescent="0.25">
      <c r="A775">
        <v>2007</v>
      </c>
      <c r="B775">
        <v>108</v>
      </c>
      <c r="C775">
        <v>2000</v>
      </c>
      <c r="D775">
        <v>3.2549999999999999</v>
      </c>
      <c r="E775">
        <v>-42.23</v>
      </c>
      <c r="F775">
        <v>8.07</v>
      </c>
      <c r="G775">
        <v>10.38</v>
      </c>
      <c r="K775">
        <v>1.7669999999999999</v>
      </c>
      <c r="L775">
        <v>206.6</v>
      </c>
      <c r="M775">
        <v>0</v>
      </c>
      <c r="O775">
        <v>-5.6109999999999998</v>
      </c>
      <c r="P775">
        <v>-8.91</v>
      </c>
      <c r="Q775">
        <v>13.58</v>
      </c>
      <c r="S775">
        <v>11.17</v>
      </c>
      <c r="T775">
        <v>0</v>
      </c>
      <c r="U775">
        <v>73.3</v>
      </c>
      <c r="V775">
        <v>857</v>
      </c>
      <c r="W775">
        <v>36.5</v>
      </c>
      <c r="Y775">
        <v>13.38</v>
      </c>
    </row>
    <row r="776" spans="1:25" x14ac:dyDescent="0.25">
      <c r="A776">
        <v>2007</v>
      </c>
      <c r="B776">
        <v>108</v>
      </c>
      <c r="C776">
        <v>2100</v>
      </c>
      <c r="D776">
        <v>-3.1440000000000001</v>
      </c>
      <c r="E776">
        <v>-57.41</v>
      </c>
      <c r="F776">
        <v>6.8259999999999996</v>
      </c>
      <c r="G776">
        <v>8.56</v>
      </c>
      <c r="K776">
        <v>1.3160000000000001</v>
      </c>
      <c r="L776">
        <v>201.6</v>
      </c>
      <c r="M776">
        <v>0</v>
      </c>
      <c r="O776">
        <v>-12.16</v>
      </c>
      <c r="P776">
        <v>-11.47</v>
      </c>
      <c r="Q776">
        <v>13.22</v>
      </c>
      <c r="S776">
        <v>11.25</v>
      </c>
      <c r="T776">
        <v>0</v>
      </c>
      <c r="U776">
        <v>78.400000000000006</v>
      </c>
      <c r="V776">
        <v>859</v>
      </c>
      <c r="W776">
        <v>36.6</v>
      </c>
      <c r="Y776">
        <v>13.28</v>
      </c>
    </row>
    <row r="777" spans="1:25" x14ac:dyDescent="0.25">
      <c r="A777">
        <v>2007</v>
      </c>
      <c r="B777">
        <v>108</v>
      </c>
      <c r="C777">
        <v>2200</v>
      </c>
      <c r="D777">
        <v>-2.9710000000000001</v>
      </c>
      <c r="E777">
        <v>-53.79</v>
      </c>
      <c r="F777">
        <v>6.5229999999999997</v>
      </c>
      <c r="G777">
        <v>8.27</v>
      </c>
      <c r="K777">
        <v>1.7270000000000001</v>
      </c>
      <c r="L777">
        <v>223.2</v>
      </c>
      <c r="M777">
        <v>0</v>
      </c>
      <c r="O777">
        <v>-12.08</v>
      </c>
      <c r="P777">
        <v>-11.39</v>
      </c>
      <c r="Q777">
        <v>12.8</v>
      </c>
      <c r="S777">
        <v>11.23</v>
      </c>
      <c r="T777">
        <v>0</v>
      </c>
      <c r="U777">
        <v>78</v>
      </c>
      <c r="V777">
        <v>861</v>
      </c>
      <c r="W777">
        <v>36.74</v>
      </c>
      <c r="Y777">
        <v>13.2</v>
      </c>
    </row>
    <row r="778" spans="1:25" x14ac:dyDescent="0.25">
      <c r="A778">
        <v>2007</v>
      </c>
      <c r="B778">
        <v>108</v>
      </c>
      <c r="C778">
        <v>2300</v>
      </c>
      <c r="D778">
        <v>-2.95</v>
      </c>
      <c r="E778">
        <v>-53.3</v>
      </c>
      <c r="F778">
        <v>5.9740000000000002</v>
      </c>
      <c r="G778">
        <v>7.3</v>
      </c>
      <c r="K778">
        <v>1.488</v>
      </c>
      <c r="L778">
        <v>223.3</v>
      </c>
      <c r="M778">
        <v>0</v>
      </c>
      <c r="O778">
        <v>-11.83</v>
      </c>
      <c r="P778">
        <v>-11.12</v>
      </c>
      <c r="Q778">
        <v>12.4</v>
      </c>
      <c r="S778">
        <v>11.19</v>
      </c>
      <c r="T778">
        <v>0</v>
      </c>
      <c r="U778">
        <v>82.6</v>
      </c>
      <c r="V778">
        <v>863</v>
      </c>
      <c r="W778">
        <v>36.9</v>
      </c>
      <c r="Y778">
        <v>13.12</v>
      </c>
    </row>
    <row r="779" spans="1:25" x14ac:dyDescent="0.25">
      <c r="A779">
        <v>2007</v>
      </c>
      <c r="B779">
        <v>108</v>
      </c>
      <c r="C779">
        <v>2400</v>
      </c>
      <c r="D779">
        <v>-3.1120000000000001</v>
      </c>
      <c r="E779">
        <v>-54.62</v>
      </c>
      <c r="F779">
        <v>5.5810000000000004</v>
      </c>
      <c r="G779">
        <v>6.6349999999999998</v>
      </c>
      <c r="K779">
        <v>1.454</v>
      </c>
      <c r="L779">
        <v>227.2</v>
      </c>
      <c r="M779">
        <v>0</v>
      </c>
      <c r="O779">
        <v>-11.54</v>
      </c>
      <c r="P779">
        <v>-10.91</v>
      </c>
      <c r="Q779">
        <v>11.97</v>
      </c>
      <c r="S779">
        <v>11.07</v>
      </c>
      <c r="T779">
        <v>0</v>
      </c>
      <c r="U779">
        <v>85.7</v>
      </c>
      <c r="V779">
        <v>860</v>
      </c>
      <c r="W779">
        <v>36.71</v>
      </c>
      <c r="Y779">
        <v>13.05</v>
      </c>
    </row>
    <row r="780" spans="1:25" x14ac:dyDescent="0.25">
      <c r="A780">
        <v>2007</v>
      </c>
      <c r="B780">
        <v>109</v>
      </c>
      <c r="C780">
        <v>100</v>
      </c>
      <c r="D780">
        <v>-2.8279999999999998</v>
      </c>
      <c r="E780">
        <v>-49.68</v>
      </c>
      <c r="F780">
        <v>5.8129999999999997</v>
      </c>
      <c r="G780">
        <v>6.7679999999999998</v>
      </c>
      <c r="K780">
        <v>2.2850000000000001</v>
      </c>
      <c r="L780">
        <v>228</v>
      </c>
      <c r="M780">
        <v>0</v>
      </c>
      <c r="O780">
        <v>-11.51</v>
      </c>
      <c r="P780">
        <v>-10.86</v>
      </c>
      <c r="Q780">
        <v>11.63</v>
      </c>
      <c r="S780">
        <v>11.01</v>
      </c>
      <c r="T780">
        <v>0</v>
      </c>
      <c r="U780">
        <v>87.1</v>
      </c>
      <c r="V780">
        <v>857</v>
      </c>
      <c r="W780">
        <v>36.5</v>
      </c>
      <c r="Y780">
        <v>12.99</v>
      </c>
    </row>
    <row r="781" spans="1:25" x14ac:dyDescent="0.25">
      <c r="A781">
        <v>2007</v>
      </c>
      <c r="B781">
        <v>109</v>
      </c>
      <c r="C781">
        <v>200</v>
      </c>
      <c r="D781">
        <v>-2.7930000000000001</v>
      </c>
      <c r="E781">
        <v>-48.64</v>
      </c>
      <c r="F781">
        <v>5.8109999999999999</v>
      </c>
      <c r="G781">
        <v>6.7320000000000002</v>
      </c>
      <c r="K781">
        <v>2.6880000000000002</v>
      </c>
      <c r="L781">
        <v>228.2</v>
      </c>
      <c r="M781">
        <v>0</v>
      </c>
      <c r="O781">
        <v>-11.51</v>
      </c>
      <c r="P781">
        <v>-10.85</v>
      </c>
      <c r="Q781">
        <v>11.29</v>
      </c>
      <c r="S781">
        <v>10.88</v>
      </c>
      <c r="T781">
        <v>0</v>
      </c>
      <c r="U781">
        <v>87.5</v>
      </c>
      <c r="V781">
        <v>857</v>
      </c>
      <c r="W781">
        <v>36.49</v>
      </c>
      <c r="Y781">
        <v>12.93</v>
      </c>
    </row>
    <row r="782" spans="1:25" x14ac:dyDescent="0.25">
      <c r="A782">
        <v>2007</v>
      </c>
      <c r="B782">
        <v>109</v>
      </c>
      <c r="C782">
        <v>300</v>
      </c>
      <c r="D782">
        <v>-2.6749999999999998</v>
      </c>
      <c r="E782">
        <v>-45.32</v>
      </c>
      <c r="F782">
        <v>5.4189999999999996</v>
      </c>
      <c r="G782">
        <v>6.2869999999999999</v>
      </c>
      <c r="K782">
        <v>2.403</v>
      </c>
      <c r="L782">
        <v>227.4</v>
      </c>
      <c r="M782">
        <v>0</v>
      </c>
      <c r="O782">
        <v>-11.5</v>
      </c>
      <c r="P782">
        <v>-10.85</v>
      </c>
      <c r="Q782">
        <v>10.97</v>
      </c>
      <c r="S782">
        <v>10.72</v>
      </c>
      <c r="T782">
        <v>0</v>
      </c>
      <c r="U782">
        <v>88</v>
      </c>
      <c r="V782">
        <v>861</v>
      </c>
      <c r="W782">
        <v>36.74</v>
      </c>
      <c r="Y782">
        <v>12.89</v>
      </c>
    </row>
    <row r="783" spans="1:25" x14ac:dyDescent="0.25">
      <c r="A783">
        <v>2007</v>
      </c>
      <c r="B783">
        <v>109</v>
      </c>
      <c r="C783">
        <v>400</v>
      </c>
      <c r="D783">
        <v>-1.732</v>
      </c>
      <c r="E783">
        <v>-26.06</v>
      </c>
      <c r="F783">
        <v>4.8970000000000002</v>
      </c>
      <c r="G783">
        <v>5.6769999999999996</v>
      </c>
      <c r="K783">
        <v>1.976</v>
      </c>
      <c r="L783">
        <v>227.3</v>
      </c>
      <c r="M783">
        <v>0</v>
      </c>
      <c r="O783">
        <v>-11.5</v>
      </c>
      <c r="P783">
        <v>-10.85</v>
      </c>
      <c r="Q783">
        <v>10.68</v>
      </c>
      <c r="S783">
        <v>10.57</v>
      </c>
      <c r="T783">
        <v>0</v>
      </c>
      <c r="U783">
        <v>89</v>
      </c>
      <c r="V783">
        <v>856</v>
      </c>
      <c r="W783">
        <v>36.47</v>
      </c>
      <c r="Y783">
        <v>12.86</v>
      </c>
    </row>
    <row r="784" spans="1:25" x14ac:dyDescent="0.25">
      <c r="A784">
        <v>2007</v>
      </c>
      <c r="B784">
        <v>109</v>
      </c>
      <c r="C784">
        <v>500</v>
      </c>
      <c r="D784">
        <v>-0.86899999999999999</v>
      </c>
      <c r="E784">
        <v>-7.35</v>
      </c>
      <c r="F784">
        <v>5.5110000000000001</v>
      </c>
      <c r="G784">
        <v>6.548</v>
      </c>
      <c r="K784">
        <v>2.3530000000000002</v>
      </c>
      <c r="L784">
        <v>225.6</v>
      </c>
      <c r="M784">
        <v>0</v>
      </c>
      <c r="O784">
        <v>-11.48</v>
      </c>
      <c r="P784">
        <v>-10.85</v>
      </c>
      <c r="Q784">
        <v>10.45</v>
      </c>
      <c r="S784">
        <v>10.44</v>
      </c>
      <c r="T784">
        <v>0</v>
      </c>
      <c r="U784">
        <v>85.9</v>
      </c>
      <c r="V784">
        <v>854</v>
      </c>
      <c r="W784">
        <v>36.33</v>
      </c>
      <c r="Y784">
        <v>12.83</v>
      </c>
    </row>
    <row r="785" spans="1:25" x14ac:dyDescent="0.25">
      <c r="A785">
        <v>2007</v>
      </c>
      <c r="B785">
        <v>109</v>
      </c>
      <c r="C785">
        <v>600</v>
      </c>
      <c r="D785">
        <v>9.17</v>
      </c>
      <c r="E785">
        <v>-1.361</v>
      </c>
      <c r="F785">
        <v>5.6719999999999997</v>
      </c>
      <c r="G785">
        <v>6.7729999999999997</v>
      </c>
      <c r="K785">
        <v>2.2909999999999999</v>
      </c>
      <c r="L785">
        <v>226.5</v>
      </c>
      <c r="M785">
        <v>0</v>
      </c>
      <c r="O785">
        <v>1.6950000000000001</v>
      </c>
      <c r="P785">
        <v>-7.13</v>
      </c>
      <c r="Q785">
        <v>10.33</v>
      </c>
      <c r="S785">
        <v>10.32</v>
      </c>
      <c r="T785">
        <v>0</v>
      </c>
      <c r="U785">
        <v>85.2</v>
      </c>
      <c r="V785">
        <v>852</v>
      </c>
      <c r="W785">
        <v>36.200000000000003</v>
      </c>
      <c r="Y785">
        <v>12.82</v>
      </c>
    </row>
    <row r="786" spans="1:25" x14ac:dyDescent="0.25">
      <c r="A786">
        <v>2007</v>
      </c>
      <c r="B786">
        <v>109</v>
      </c>
      <c r="C786">
        <v>800</v>
      </c>
      <c r="D786">
        <v>154.19999999999999</v>
      </c>
      <c r="E786">
        <v>91.6</v>
      </c>
      <c r="F786">
        <v>7.08</v>
      </c>
      <c r="G786">
        <v>8.3699999999999992</v>
      </c>
      <c r="K786">
        <v>2.859</v>
      </c>
      <c r="L786">
        <v>227.3</v>
      </c>
      <c r="M786">
        <v>0</v>
      </c>
      <c r="O786">
        <v>188</v>
      </c>
      <c r="P786">
        <v>48.23</v>
      </c>
      <c r="Q786">
        <v>10.28</v>
      </c>
      <c r="S786">
        <v>10.19</v>
      </c>
      <c r="T786">
        <v>0</v>
      </c>
      <c r="U786">
        <v>83.7</v>
      </c>
      <c r="V786">
        <v>854</v>
      </c>
      <c r="W786">
        <v>36.33</v>
      </c>
      <c r="Y786">
        <v>13.64</v>
      </c>
    </row>
    <row r="787" spans="1:25" x14ac:dyDescent="0.25">
      <c r="A787">
        <v>2007</v>
      </c>
      <c r="B787">
        <v>109</v>
      </c>
      <c r="C787">
        <v>900</v>
      </c>
      <c r="D787">
        <v>368.7</v>
      </c>
      <c r="E787">
        <v>236.1</v>
      </c>
      <c r="F787">
        <v>8.6300000000000008</v>
      </c>
      <c r="G787">
        <v>10.28</v>
      </c>
      <c r="H787">
        <f>AVERAGE(G787:G810)</f>
        <v>9.4970833333333324</v>
      </c>
      <c r="I787">
        <f>MIN(G787:G810)</f>
        <v>7.11</v>
      </c>
      <c r="J787">
        <f>MAX(F787:F810)</f>
        <v>10.47</v>
      </c>
      <c r="K787">
        <v>3.036</v>
      </c>
      <c r="L787">
        <v>227.6</v>
      </c>
      <c r="M787">
        <v>0</v>
      </c>
      <c r="N787">
        <f>SUM(M787:M810)</f>
        <v>0.2</v>
      </c>
      <c r="O787">
        <v>468.2</v>
      </c>
      <c r="P787">
        <v>140.80000000000001</v>
      </c>
      <c r="Q787">
        <v>10.44</v>
      </c>
      <c r="S787">
        <v>10.15</v>
      </c>
      <c r="T787">
        <v>0</v>
      </c>
      <c r="U787">
        <v>80.599999999999994</v>
      </c>
      <c r="V787">
        <v>855</v>
      </c>
      <c r="W787">
        <v>36.409999999999997</v>
      </c>
      <c r="Y787">
        <v>14.42</v>
      </c>
    </row>
    <row r="788" spans="1:25" x14ac:dyDescent="0.25">
      <c r="A788">
        <v>2007</v>
      </c>
      <c r="B788">
        <v>109</v>
      </c>
      <c r="C788">
        <v>1000</v>
      </c>
      <c r="D788">
        <v>226.5</v>
      </c>
      <c r="E788">
        <v>130</v>
      </c>
      <c r="F788">
        <v>8.7200000000000006</v>
      </c>
      <c r="G788">
        <v>10.57</v>
      </c>
      <c r="K788">
        <v>2.931</v>
      </c>
      <c r="L788">
        <v>228.1</v>
      </c>
      <c r="M788">
        <v>0</v>
      </c>
      <c r="O788">
        <v>278.3</v>
      </c>
      <c r="P788">
        <v>71.599999999999994</v>
      </c>
      <c r="Q788">
        <v>10.71</v>
      </c>
      <c r="S788">
        <v>10.039999999999999</v>
      </c>
      <c r="T788">
        <v>0</v>
      </c>
      <c r="U788">
        <v>78.5</v>
      </c>
      <c r="V788">
        <v>854</v>
      </c>
      <c r="W788">
        <v>36.35</v>
      </c>
      <c r="Y788">
        <v>13.9</v>
      </c>
    </row>
    <row r="789" spans="1:25" x14ac:dyDescent="0.25">
      <c r="A789">
        <v>2007</v>
      </c>
      <c r="B789">
        <v>109</v>
      </c>
      <c r="C789">
        <v>1100</v>
      </c>
      <c r="D789">
        <v>292.89999999999998</v>
      </c>
      <c r="E789">
        <v>173.6</v>
      </c>
      <c r="F789">
        <v>9.33</v>
      </c>
      <c r="G789">
        <v>11.29</v>
      </c>
      <c r="K789">
        <v>2.5009999999999999</v>
      </c>
      <c r="L789">
        <v>227.7</v>
      </c>
      <c r="M789">
        <v>0</v>
      </c>
      <c r="O789">
        <v>363</v>
      </c>
      <c r="P789">
        <v>97.5</v>
      </c>
      <c r="Q789">
        <v>11.03</v>
      </c>
      <c r="S789">
        <v>10.039999999999999</v>
      </c>
      <c r="T789">
        <v>0</v>
      </c>
      <c r="U789">
        <v>77.900000000000006</v>
      </c>
      <c r="V789">
        <v>852</v>
      </c>
      <c r="W789">
        <v>36.200000000000003</v>
      </c>
      <c r="Y789">
        <v>13.95</v>
      </c>
    </row>
    <row r="790" spans="1:25" x14ac:dyDescent="0.25">
      <c r="A790">
        <v>2007</v>
      </c>
      <c r="B790">
        <v>109</v>
      </c>
      <c r="C790">
        <v>1200</v>
      </c>
      <c r="D790">
        <v>238.1</v>
      </c>
      <c r="E790">
        <v>135</v>
      </c>
      <c r="F790">
        <v>9.66</v>
      </c>
      <c r="G790">
        <v>11.97</v>
      </c>
      <c r="K790">
        <v>2.4209999999999998</v>
      </c>
      <c r="L790">
        <v>227.4</v>
      </c>
      <c r="M790">
        <v>0</v>
      </c>
      <c r="O790">
        <v>303</v>
      </c>
      <c r="P790">
        <v>80.3</v>
      </c>
      <c r="Q790">
        <v>11.42</v>
      </c>
      <c r="S790">
        <v>10.130000000000001</v>
      </c>
      <c r="T790">
        <v>0</v>
      </c>
      <c r="U790">
        <v>74.599999999999994</v>
      </c>
      <c r="V790">
        <v>854</v>
      </c>
      <c r="W790">
        <v>36.299999999999997</v>
      </c>
      <c r="Y790">
        <v>13.94</v>
      </c>
    </row>
    <row r="791" spans="1:25" x14ac:dyDescent="0.25">
      <c r="A791">
        <v>2007</v>
      </c>
      <c r="B791">
        <v>109</v>
      </c>
      <c r="C791">
        <v>1300</v>
      </c>
      <c r="D791">
        <v>198.4</v>
      </c>
      <c r="E791">
        <v>110.8</v>
      </c>
      <c r="F791">
        <v>9.93</v>
      </c>
      <c r="G791">
        <v>12.41</v>
      </c>
      <c r="K791">
        <v>2.2650000000000001</v>
      </c>
      <c r="L791">
        <v>227.3</v>
      </c>
      <c r="M791">
        <v>0</v>
      </c>
      <c r="O791">
        <v>254.5</v>
      </c>
      <c r="P791">
        <v>66.78</v>
      </c>
      <c r="Q791">
        <v>11.79</v>
      </c>
      <c r="S791">
        <v>10.23</v>
      </c>
      <c r="T791">
        <v>0</v>
      </c>
      <c r="U791">
        <v>73.2</v>
      </c>
      <c r="V791">
        <v>854</v>
      </c>
      <c r="W791">
        <v>36.33</v>
      </c>
      <c r="Y791">
        <v>13.89</v>
      </c>
    </row>
    <row r="792" spans="1:25" x14ac:dyDescent="0.25">
      <c r="A792">
        <v>2007</v>
      </c>
      <c r="B792">
        <v>109</v>
      </c>
      <c r="C792">
        <v>1400</v>
      </c>
      <c r="D792">
        <v>125.6</v>
      </c>
      <c r="E792">
        <v>64.23</v>
      </c>
      <c r="F792">
        <v>9.98</v>
      </c>
      <c r="G792">
        <v>12.46</v>
      </c>
      <c r="K792">
        <v>1.84</v>
      </c>
      <c r="L792">
        <v>226.6</v>
      </c>
      <c r="M792">
        <v>0</v>
      </c>
      <c r="O792">
        <v>160.80000000000001</v>
      </c>
      <c r="P792">
        <v>40.47</v>
      </c>
      <c r="Q792">
        <v>12.04</v>
      </c>
      <c r="S792">
        <v>10.33</v>
      </c>
      <c r="T792">
        <v>0</v>
      </c>
      <c r="U792">
        <v>73.2</v>
      </c>
      <c r="V792">
        <v>853</v>
      </c>
      <c r="W792">
        <v>36.270000000000003</v>
      </c>
      <c r="Y792">
        <v>13.74</v>
      </c>
    </row>
    <row r="793" spans="1:25" x14ac:dyDescent="0.25">
      <c r="A793">
        <v>2007</v>
      </c>
      <c r="B793">
        <v>109</v>
      </c>
      <c r="C793">
        <v>1500</v>
      </c>
      <c r="D793">
        <v>186.8</v>
      </c>
      <c r="E793">
        <v>103.7</v>
      </c>
      <c r="F793">
        <v>10.47</v>
      </c>
      <c r="G793">
        <v>12.91</v>
      </c>
      <c r="K793">
        <v>2.0680000000000001</v>
      </c>
      <c r="L793">
        <v>227.8</v>
      </c>
      <c r="M793">
        <v>0</v>
      </c>
      <c r="O793">
        <v>231.8</v>
      </c>
      <c r="P793">
        <v>61.47</v>
      </c>
      <c r="Q793">
        <v>12.2</v>
      </c>
      <c r="S793">
        <v>10.43</v>
      </c>
      <c r="T793">
        <v>0</v>
      </c>
      <c r="U793">
        <v>74</v>
      </c>
      <c r="V793">
        <v>853</v>
      </c>
      <c r="W793">
        <v>36.28</v>
      </c>
      <c r="Y793">
        <v>13.89</v>
      </c>
    </row>
    <row r="794" spans="1:25" x14ac:dyDescent="0.25">
      <c r="A794">
        <v>2007</v>
      </c>
      <c r="B794">
        <v>109</v>
      </c>
      <c r="C794">
        <v>1600</v>
      </c>
      <c r="D794">
        <v>63.93</v>
      </c>
      <c r="E794">
        <v>23.59</v>
      </c>
      <c r="F794">
        <v>10.02</v>
      </c>
      <c r="G794">
        <v>11.71</v>
      </c>
      <c r="K794">
        <v>1.74</v>
      </c>
      <c r="L794">
        <v>248.2</v>
      </c>
      <c r="M794">
        <v>0</v>
      </c>
      <c r="O794">
        <v>76.599999999999994</v>
      </c>
      <c r="P794">
        <v>13.73</v>
      </c>
      <c r="Q794">
        <v>12.34</v>
      </c>
      <c r="S794">
        <v>10.5</v>
      </c>
      <c r="T794">
        <v>0</v>
      </c>
      <c r="U794">
        <v>81.2</v>
      </c>
      <c r="V794">
        <v>852</v>
      </c>
      <c r="W794">
        <v>36.17</v>
      </c>
      <c r="Y794">
        <v>13.65</v>
      </c>
    </row>
    <row r="795" spans="1:25" x14ac:dyDescent="0.25">
      <c r="A795">
        <v>2007</v>
      </c>
      <c r="B795">
        <v>109</v>
      </c>
      <c r="C795">
        <v>1700</v>
      </c>
      <c r="D795">
        <v>69.64</v>
      </c>
      <c r="E795">
        <v>28.41</v>
      </c>
      <c r="F795">
        <v>9.9600000000000009</v>
      </c>
      <c r="G795">
        <v>10.98</v>
      </c>
      <c r="K795">
        <v>1.4350000000000001</v>
      </c>
      <c r="L795">
        <v>338.7</v>
      </c>
      <c r="M795">
        <v>0</v>
      </c>
      <c r="O795">
        <v>83.6</v>
      </c>
      <c r="P795">
        <v>14.99</v>
      </c>
      <c r="Q795">
        <v>12.36</v>
      </c>
      <c r="S795">
        <v>10.58</v>
      </c>
      <c r="T795">
        <v>0</v>
      </c>
      <c r="U795">
        <v>88.2</v>
      </c>
      <c r="V795">
        <v>851</v>
      </c>
      <c r="W795">
        <v>36.15</v>
      </c>
      <c r="Y795">
        <v>13.61</v>
      </c>
    </row>
    <row r="796" spans="1:25" x14ac:dyDescent="0.25">
      <c r="A796">
        <v>2007</v>
      </c>
      <c r="B796">
        <v>109</v>
      </c>
      <c r="C796">
        <v>1800</v>
      </c>
      <c r="D796">
        <v>50.91</v>
      </c>
      <c r="E796">
        <v>19.95</v>
      </c>
      <c r="F796">
        <v>9.75</v>
      </c>
      <c r="G796">
        <v>10.52</v>
      </c>
      <c r="K796">
        <v>0.93200000000000005</v>
      </c>
      <c r="L796">
        <v>0</v>
      </c>
      <c r="M796">
        <v>0.2</v>
      </c>
      <c r="O796">
        <v>58.89</v>
      </c>
      <c r="P796">
        <v>5.9480000000000004</v>
      </c>
      <c r="Q796">
        <v>12.39</v>
      </c>
      <c r="S796">
        <v>10.66</v>
      </c>
      <c r="T796">
        <v>0</v>
      </c>
      <c r="U796">
        <v>90.9</v>
      </c>
      <c r="V796">
        <v>851</v>
      </c>
      <c r="W796">
        <v>36.159999999999997</v>
      </c>
      <c r="Y796">
        <v>13.51</v>
      </c>
    </row>
    <row r="797" spans="1:25" x14ac:dyDescent="0.25">
      <c r="A797">
        <v>2007</v>
      </c>
      <c r="B797">
        <v>109</v>
      </c>
      <c r="C797">
        <v>1900</v>
      </c>
      <c r="D797">
        <v>31.34</v>
      </c>
      <c r="E797">
        <v>8.2899999999999991</v>
      </c>
      <c r="F797">
        <v>9.6199999999999992</v>
      </c>
      <c r="G797">
        <v>10.3</v>
      </c>
      <c r="K797">
        <v>1.012</v>
      </c>
      <c r="L797">
        <v>0</v>
      </c>
      <c r="M797">
        <v>0</v>
      </c>
      <c r="O797">
        <v>30.55</v>
      </c>
      <c r="P797">
        <v>-1.546</v>
      </c>
      <c r="Q797">
        <v>12.33</v>
      </c>
      <c r="S797">
        <v>10.67</v>
      </c>
      <c r="T797">
        <v>0</v>
      </c>
      <c r="U797">
        <v>91.8</v>
      </c>
      <c r="V797">
        <v>854</v>
      </c>
      <c r="W797">
        <v>36.29</v>
      </c>
      <c r="Y797">
        <v>13.4</v>
      </c>
    </row>
    <row r="798" spans="1:25" x14ac:dyDescent="0.25">
      <c r="A798">
        <v>2007</v>
      </c>
      <c r="B798">
        <v>109</v>
      </c>
      <c r="C798">
        <v>2000</v>
      </c>
      <c r="D798">
        <v>0.96699999999999997</v>
      </c>
      <c r="E798">
        <v>-14.13</v>
      </c>
      <c r="F798">
        <v>8.99</v>
      </c>
      <c r="G798">
        <v>9.57</v>
      </c>
      <c r="K798">
        <v>0.755</v>
      </c>
      <c r="L798">
        <v>21.09</v>
      </c>
      <c r="M798">
        <v>0</v>
      </c>
      <c r="O798">
        <v>-8.8699999999999992</v>
      </c>
      <c r="P798">
        <v>-10.51</v>
      </c>
      <c r="Q798">
        <v>12.25</v>
      </c>
      <c r="S798">
        <v>10.68</v>
      </c>
      <c r="T798">
        <v>0</v>
      </c>
      <c r="U798">
        <v>92.8</v>
      </c>
      <c r="V798">
        <v>850</v>
      </c>
      <c r="W798">
        <v>36.049999999999997</v>
      </c>
      <c r="Y798">
        <v>13.31</v>
      </c>
    </row>
    <row r="799" spans="1:25" x14ac:dyDescent="0.25">
      <c r="A799">
        <v>2007</v>
      </c>
      <c r="B799">
        <v>109</v>
      </c>
      <c r="C799">
        <v>2100</v>
      </c>
      <c r="D799">
        <v>-1.5149999999999999</v>
      </c>
      <c r="E799">
        <v>-22.67</v>
      </c>
      <c r="F799">
        <v>8.23</v>
      </c>
      <c r="G799">
        <v>8.73</v>
      </c>
      <c r="K799">
        <v>0.503</v>
      </c>
      <c r="L799">
        <v>124.5</v>
      </c>
      <c r="M799">
        <v>0</v>
      </c>
      <c r="O799">
        <v>-12.02</v>
      </c>
      <c r="P799">
        <v>-11.34</v>
      </c>
      <c r="Q799">
        <v>12.16</v>
      </c>
      <c r="S799">
        <v>10.72</v>
      </c>
      <c r="T799">
        <v>0</v>
      </c>
      <c r="U799">
        <v>93.7</v>
      </c>
      <c r="V799">
        <v>855</v>
      </c>
      <c r="W799">
        <v>36.4</v>
      </c>
      <c r="Y799">
        <v>13.23</v>
      </c>
    </row>
    <row r="800" spans="1:25" x14ac:dyDescent="0.25">
      <c r="A800">
        <v>2007</v>
      </c>
      <c r="B800">
        <v>109</v>
      </c>
      <c r="C800">
        <v>2200</v>
      </c>
      <c r="D800">
        <v>-1.179</v>
      </c>
      <c r="E800">
        <v>-16.11</v>
      </c>
      <c r="F800">
        <v>7.27</v>
      </c>
      <c r="G800">
        <v>7.73</v>
      </c>
      <c r="K800">
        <v>0.315</v>
      </c>
      <c r="L800">
        <v>178.3</v>
      </c>
      <c r="M800">
        <v>0</v>
      </c>
      <c r="O800">
        <v>-11.8</v>
      </c>
      <c r="P800">
        <v>-11.13</v>
      </c>
      <c r="Q800">
        <v>11.97</v>
      </c>
      <c r="S800">
        <v>10.76</v>
      </c>
      <c r="T800">
        <v>0</v>
      </c>
      <c r="U800">
        <v>94</v>
      </c>
      <c r="V800">
        <v>857</v>
      </c>
      <c r="W800">
        <v>36.51</v>
      </c>
      <c r="Y800">
        <v>13.16</v>
      </c>
    </row>
    <row r="801" spans="1:25" x14ac:dyDescent="0.25">
      <c r="A801">
        <v>2007</v>
      </c>
      <c r="B801">
        <v>109</v>
      </c>
      <c r="C801">
        <v>2300</v>
      </c>
      <c r="D801">
        <v>-0.66200000000000003</v>
      </c>
      <c r="E801">
        <v>-11.89</v>
      </c>
      <c r="F801">
        <v>7.58</v>
      </c>
      <c r="G801">
        <v>8.02</v>
      </c>
      <c r="K801">
        <v>0.25900000000000001</v>
      </c>
      <c r="L801">
        <v>220</v>
      </c>
      <c r="M801">
        <v>0</v>
      </c>
      <c r="O801">
        <v>-11.64</v>
      </c>
      <c r="P801">
        <v>-10.98</v>
      </c>
      <c r="Q801">
        <v>11.75</v>
      </c>
      <c r="S801">
        <v>10.66</v>
      </c>
      <c r="T801">
        <v>0</v>
      </c>
      <c r="U801">
        <v>94.2</v>
      </c>
      <c r="V801">
        <v>865</v>
      </c>
      <c r="W801">
        <v>37.01</v>
      </c>
      <c r="Y801">
        <v>13.08</v>
      </c>
    </row>
    <row r="802" spans="1:25" x14ac:dyDescent="0.25">
      <c r="A802">
        <v>2007</v>
      </c>
      <c r="B802">
        <v>109</v>
      </c>
      <c r="C802">
        <v>2400</v>
      </c>
      <c r="D802">
        <v>-1.0409999999999999</v>
      </c>
      <c r="E802">
        <v>-12.81</v>
      </c>
      <c r="F802">
        <v>7.25</v>
      </c>
      <c r="G802">
        <v>7.98</v>
      </c>
      <c r="K802">
        <v>1.2869999999999999</v>
      </c>
      <c r="L802">
        <v>111</v>
      </c>
      <c r="M802">
        <v>0</v>
      </c>
      <c r="O802">
        <v>-11.57</v>
      </c>
      <c r="P802">
        <v>-10.92</v>
      </c>
      <c r="Q802">
        <v>11.57</v>
      </c>
      <c r="S802">
        <v>10.65</v>
      </c>
      <c r="T802">
        <v>0</v>
      </c>
      <c r="U802">
        <v>90.6</v>
      </c>
      <c r="V802">
        <v>865</v>
      </c>
      <c r="W802">
        <v>37.04</v>
      </c>
      <c r="Y802">
        <v>13.02</v>
      </c>
    </row>
    <row r="803" spans="1:25" x14ac:dyDescent="0.25">
      <c r="A803">
        <v>2007</v>
      </c>
      <c r="B803">
        <v>110</v>
      </c>
      <c r="C803">
        <v>100</v>
      </c>
      <c r="D803">
        <v>-1.2</v>
      </c>
      <c r="E803">
        <v>-13.35</v>
      </c>
      <c r="F803">
        <v>6.4</v>
      </c>
      <c r="G803">
        <v>7.45</v>
      </c>
      <c r="K803">
        <v>0.90700000000000003</v>
      </c>
      <c r="L803">
        <v>102.6</v>
      </c>
      <c r="M803">
        <v>0</v>
      </c>
      <c r="O803">
        <v>-11.57</v>
      </c>
      <c r="P803">
        <v>-10.93</v>
      </c>
      <c r="Q803">
        <v>11.41</v>
      </c>
      <c r="S803">
        <v>10.56</v>
      </c>
      <c r="T803">
        <v>0</v>
      </c>
      <c r="U803">
        <v>86.2</v>
      </c>
      <c r="V803">
        <v>864</v>
      </c>
      <c r="W803">
        <v>36.94</v>
      </c>
      <c r="Y803">
        <v>12.96</v>
      </c>
    </row>
    <row r="804" spans="1:25" x14ac:dyDescent="0.25">
      <c r="A804">
        <v>2007</v>
      </c>
      <c r="B804">
        <v>110</v>
      </c>
      <c r="C804">
        <v>200</v>
      </c>
      <c r="D804">
        <v>-0.73</v>
      </c>
      <c r="E804">
        <v>-12.91</v>
      </c>
      <c r="F804">
        <v>5.9530000000000003</v>
      </c>
      <c r="G804">
        <v>7.32</v>
      </c>
      <c r="K804">
        <v>0.91100000000000003</v>
      </c>
      <c r="L804">
        <v>127.3</v>
      </c>
      <c r="M804">
        <v>0</v>
      </c>
      <c r="O804">
        <v>-11.53</v>
      </c>
      <c r="P804">
        <v>-10.89</v>
      </c>
      <c r="Q804">
        <v>11.29</v>
      </c>
      <c r="S804">
        <v>10.55</v>
      </c>
      <c r="T804">
        <v>0</v>
      </c>
      <c r="U804">
        <v>82.1</v>
      </c>
      <c r="V804">
        <v>863</v>
      </c>
      <c r="W804">
        <v>36.89</v>
      </c>
      <c r="Y804">
        <v>12.91</v>
      </c>
    </row>
    <row r="805" spans="1:25" x14ac:dyDescent="0.25">
      <c r="A805">
        <v>2007</v>
      </c>
      <c r="B805">
        <v>110</v>
      </c>
      <c r="C805">
        <v>300</v>
      </c>
      <c r="D805">
        <v>-0.70499999999999996</v>
      </c>
      <c r="E805">
        <v>-14.7</v>
      </c>
      <c r="F805">
        <v>5.585</v>
      </c>
      <c r="G805">
        <v>7.11</v>
      </c>
      <c r="K805">
        <v>1.2869999999999999</v>
      </c>
      <c r="L805">
        <v>105.3</v>
      </c>
      <c r="M805">
        <v>0</v>
      </c>
      <c r="O805">
        <v>-11.52</v>
      </c>
      <c r="P805">
        <v>-10.89</v>
      </c>
      <c r="Q805">
        <v>11.16</v>
      </c>
      <c r="S805">
        <v>10.5</v>
      </c>
      <c r="T805">
        <v>0</v>
      </c>
      <c r="U805">
        <v>79.900000000000006</v>
      </c>
      <c r="V805">
        <v>861</v>
      </c>
      <c r="W805">
        <v>36.76</v>
      </c>
      <c r="Y805">
        <v>12.88</v>
      </c>
    </row>
    <row r="806" spans="1:25" x14ac:dyDescent="0.25">
      <c r="A806">
        <v>2007</v>
      </c>
      <c r="B806">
        <v>110</v>
      </c>
      <c r="C806">
        <v>400</v>
      </c>
      <c r="D806">
        <v>-0.56999999999999995</v>
      </c>
      <c r="E806">
        <v>-8.92</v>
      </c>
      <c r="F806">
        <v>5.6529999999999996</v>
      </c>
      <c r="G806">
        <v>7.15</v>
      </c>
      <c r="K806">
        <v>1.32</v>
      </c>
      <c r="L806">
        <v>110.4</v>
      </c>
      <c r="M806">
        <v>0</v>
      </c>
      <c r="O806">
        <v>-11.5</v>
      </c>
      <c r="P806">
        <v>-10.86</v>
      </c>
      <c r="Q806">
        <v>11.03</v>
      </c>
      <c r="S806">
        <v>10.43</v>
      </c>
      <c r="T806">
        <v>0</v>
      </c>
      <c r="U806">
        <v>80.3</v>
      </c>
      <c r="V806">
        <v>859</v>
      </c>
      <c r="W806">
        <v>36.619999999999997</v>
      </c>
      <c r="Y806">
        <v>12.85</v>
      </c>
    </row>
    <row r="807" spans="1:25" x14ac:dyDescent="0.25">
      <c r="A807">
        <v>2007</v>
      </c>
      <c r="B807">
        <v>110</v>
      </c>
      <c r="C807">
        <v>500</v>
      </c>
      <c r="D807">
        <v>-0.23400000000000001</v>
      </c>
      <c r="E807">
        <v>-7.22</v>
      </c>
      <c r="F807">
        <v>5.9569999999999999</v>
      </c>
      <c r="G807">
        <v>7.21</v>
      </c>
      <c r="K807">
        <v>1.4850000000000001</v>
      </c>
      <c r="L807">
        <v>108.3</v>
      </c>
      <c r="M807">
        <v>0</v>
      </c>
      <c r="O807">
        <v>-11.47</v>
      </c>
      <c r="P807">
        <v>-10.85</v>
      </c>
      <c r="Q807">
        <v>10.89</v>
      </c>
      <c r="S807">
        <v>10.37</v>
      </c>
      <c r="T807">
        <v>0</v>
      </c>
      <c r="U807">
        <v>83.4</v>
      </c>
      <c r="V807">
        <v>856</v>
      </c>
      <c r="W807">
        <v>36.43</v>
      </c>
      <c r="Y807">
        <v>12.83</v>
      </c>
    </row>
    <row r="808" spans="1:25" x14ac:dyDescent="0.25">
      <c r="A808">
        <v>2007</v>
      </c>
      <c r="B808">
        <v>110</v>
      </c>
      <c r="C808">
        <v>600</v>
      </c>
      <c r="D808">
        <v>12.27</v>
      </c>
      <c r="E808">
        <v>-2.76</v>
      </c>
      <c r="F808">
        <v>6.0449999999999999</v>
      </c>
      <c r="G808">
        <v>7.22</v>
      </c>
      <c r="K808">
        <v>1.821</v>
      </c>
      <c r="L808">
        <v>110.7</v>
      </c>
      <c r="M808">
        <v>0</v>
      </c>
      <c r="O808">
        <v>4.9160000000000004</v>
      </c>
      <c r="P808">
        <v>-6.2519999999999998</v>
      </c>
      <c r="Q808">
        <v>10.76</v>
      </c>
      <c r="S808">
        <v>10.32</v>
      </c>
      <c r="T808">
        <v>0</v>
      </c>
      <c r="U808">
        <v>84.4</v>
      </c>
      <c r="V808">
        <v>851</v>
      </c>
      <c r="W808">
        <v>36.11</v>
      </c>
      <c r="Y808">
        <v>12.82</v>
      </c>
    </row>
    <row r="809" spans="1:25" x14ac:dyDescent="0.25">
      <c r="A809">
        <v>2007</v>
      </c>
      <c r="B809">
        <v>110</v>
      </c>
      <c r="C809">
        <v>700</v>
      </c>
      <c r="D809">
        <v>75.099999999999994</v>
      </c>
      <c r="E809">
        <v>24.37</v>
      </c>
      <c r="F809">
        <v>6.3789999999999996</v>
      </c>
      <c r="G809">
        <v>7.38</v>
      </c>
      <c r="K809">
        <v>1.966</v>
      </c>
      <c r="L809">
        <v>110.1</v>
      </c>
      <c r="M809">
        <v>0</v>
      </c>
      <c r="O809">
        <v>86.5</v>
      </c>
      <c r="P809">
        <v>17.88</v>
      </c>
      <c r="Q809">
        <v>10.66</v>
      </c>
      <c r="S809">
        <v>10.220000000000001</v>
      </c>
      <c r="T809">
        <v>0</v>
      </c>
      <c r="U809">
        <v>86.8</v>
      </c>
      <c r="V809">
        <v>850</v>
      </c>
      <c r="W809">
        <v>36.049999999999997</v>
      </c>
      <c r="Y809">
        <v>13.13</v>
      </c>
    </row>
    <row r="810" spans="1:25" x14ac:dyDescent="0.25">
      <c r="A810">
        <v>2007</v>
      </c>
      <c r="B810">
        <v>110</v>
      </c>
      <c r="C810">
        <v>900</v>
      </c>
      <c r="D810">
        <v>321.10000000000002</v>
      </c>
      <c r="E810">
        <v>188.7</v>
      </c>
      <c r="F810">
        <v>8.32</v>
      </c>
      <c r="G810">
        <v>9.66</v>
      </c>
      <c r="H810">
        <f>AVERAGE(G810:G833)</f>
        <v>12.532083333333333</v>
      </c>
      <c r="I810">
        <f>MIN(G810:G833)</f>
        <v>9.66</v>
      </c>
      <c r="J810">
        <f>MAX(F810:F833)</f>
        <v>12.5</v>
      </c>
      <c r="K810">
        <v>2.6080000000000001</v>
      </c>
      <c r="L810">
        <v>111.6</v>
      </c>
      <c r="M810">
        <v>0</v>
      </c>
      <c r="N810">
        <f>SUM(M810:M833)</f>
        <v>0</v>
      </c>
      <c r="O810">
        <v>391.9</v>
      </c>
      <c r="P810">
        <v>115.1</v>
      </c>
      <c r="Q810">
        <v>10.64</v>
      </c>
      <c r="S810">
        <v>10.15</v>
      </c>
      <c r="T810">
        <v>0</v>
      </c>
      <c r="U810">
        <v>83.9</v>
      </c>
      <c r="V810">
        <v>845</v>
      </c>
      <c r="W810">
        <v>35.799999999999997</v>
      </c>
      <c r="Y810">
        <v>14.22</v>
      </c>
    </row>
    <row r="811" spans="1:25" x14ac:dyDescent="0.25">
      <c r="A811">
        <v>2007</v>
      </c>
      <c r="B811">
        <v>110</v>
      </c>
      <c r="C811">
        <v>1000</v>
      </c>
      <c r="D811">
        <v>501.7</v>
      </c>
      <c r="E811">
        <v>299</v>
      </c>
      <c r="F811">
        <v>10.16</v>
      </c>
      <c r="G811">
        <v>11.94</v>
      </c>
      <c r="K811">
        <v>2.4590000000000001</v>
      </c>
      <c r="L811">
        <v>117.5</v>
      </c>
      <c r="M811">
        <v>0</v>
      </c>
      <c r="O811">
        <v>627</v>
      </c>
      <c r="P811">
        <v>179.1</v>
      </c>
      <c r="Q811">
        <v>10.9</v>
      </c>
      <c r="S811">
        <v>10.19</v>
      </c>
      <c r="T811">
        <v>0</v>
      </c>
      <c r="U811">
        <v>80.3</v>
      </c>
      <c r="V811">
        <v>843</v>
      </c>
      <c r="W811">
        <v>35.67</v>
      </c>
      <c r="Y811">
        <v>14.8</v>
      </c>
    </row>
    <row r="812" spans="1:25" x14ac:dyDescent="0.25">
      <c r="A812">
        <v>2007</v>
      </c>
      <c r="B812">
        <v>110</v>
      </c>
      <c r="C812">
        <v>1100</v>
      </c>
      <c r="D812">
        <v>551.79999999999995</v>
      </c>
      <c r="E812">
        <v>332.9</v>
      </c>
      <c r="F812">
        <v>11.49</v>
      </c>
      <c r="G812">
        <v>14.01</v>
      </c>
      <c r="K812">
        <v>1.8620000000000001</v>
      </c>
      <c r="L812">
        <v>145.69999999999999</v>
      </c>
      <c r="M812">
        <v>0</v>
      </c>
      <c r="O812">
        <v>687.5</v>
      </c>
      <c r="P812">
        <v>186</v>
      </c>
      <c r="Q812">
        <v>11.35</v>
      </c>
      <c r="S812">
        <v>10.210000000000001</v>
      </c>
      <c r="T812">
        <v>0</v>
      </c>
      <c r="U812">
        <v>74.2</v>
      </c>
      <c r="V812">
        <v>842</v>
      </c>
      <c r="W812">
        <v>35.58</v>
      </c>
      <c r="Y812">
        <v>14.54</v>
      </c>
    </row>
    <row r="813" spans="1:25" x14ac:dyDescent="0.25">
      <c r="A813">
        <v>2007</v>
      </c>
      <c r="B813">
        <v>110</v>
      </c>
      <c r="C813">
        <v>1200</v>
      </c>
      <c r="D813">
        <v>519.20000000000005</v>
      </c>
      <c r="E813">
        <v>303.60000000000002</v>
      </c>
      <c r="F813">
        <v>12.02</v>
      </c>
      <c r="G813">
        <v>14.94</v>
      </c>
      <c r="K813">
        <v>1.6719999999999999</v>
      </c>
      <c r="L813">
        <v>170.9</v>
      </c>
      <c r="M813">
        <v>0</v>
      </c>
      <c r="O813">
        <v>632.79999999999995</v>
      </c>
      <c r="P813">
        <v>165.9</v>
      </c>
      <c r="Q813">
        <v>11.99</v>
      </c>
      <c r="S813">
        <v>10.26</v>
      </c>
      <c r="T813">
        <v>0</v>
      </c>
      <c r="U813">
        <v>71</v>
      </c>
      <c r="V813">
        <v>839</v>
      </c>
      <c r="W813">
        <v>35.43</v>
      </c>
      <c r="Y813">
        <v>14.41</v>
      </c>
    </row>
    <row r="814" spans="1:25" x14ac:dyDescent="0.25">
      <c r="A814">
        <v>2007</v>
      </c>
      <c r="B814">
        <v>110</v>
      </c>
      <c r="C814">
        <v>1300</v>
      </c>
      <c r="D814">
        <v>559.4</v>
      </c>
      <c r="E814">
        <v>322.3</v>
      </c>
      <c r="F814">
        <v>11.99</v>
      </c>
      <c r="G814">
        <v>15.27</v>
      </c>
      <c r="K814">
        <v>2.0979999999999999</v>
      </c>
      <c r="L814">
        <v>189.4</v>
      </c>
      <c r="M814">
        <v>0</v>
      </c>
      <c r="O814">
        <v>678.6</v>
      </c>
      <c r="P814">
        <v>179.4</v>
      </c>
      <c r="Q814">
        <v>12.67</v>
      </c>
      <c r="S814">
        <v>10.4</v>
      </c>
      <c r="T814">
        <v>0</v>
      </c>
      <c r="U814">
        <v>67.989999999999995</v>
      </c>
      <c r="V814">
        <v>838</v>
      </c>
      <c r="W814">
        <v>35.380000000000003</v>
      </c>
      <c r="Y814">
        <v>14.45</v>
      </c>
    </row>
    <row r="815" spans="1:25" x14ac:dyDescent="0.25">
      <c r="A815">
        <v>2007</v>
      </c>
      <c r="B815">
        <v>110</v>
      </c>
      <c r="C815">
        <v>1400</v>
      </c>
      <c r="D815">
        <v>594</v>
      </c>
      <c r="E815">
        <v>343.6</v>
      </c>
      <c r="F815">
        <v>12.26</v>
      </c>
      <c r="G815">
        <v>15.81</v>
      </c>
      <c r="K815">
        <v>2.2829999999999999</v>
      </c>
      <c r="L815">
        <v>195.9</v>
      </c>
      <c r="M815">
        <v>0</v>
      </c>
      <c r="O815">
        <v>710</v>
      </c>
      <c r="P815">
        <v>196.8</v>
      </c>
      <c r="Q815">
        <v>13.31</v>
      </c>
      <c r="S815">
        <v>10.6</v>
      </c>
      <c r="T815">
        <v>0</v>
      </c>
      <c r="U815">
        <v>66.069999999999993</v>
      </c>
      <c r="V815">
        <v>837</v>
      </c>
      <c r="W815">
        <v>35.29</v>
      </c>
      <c r="Y815">
        <v>14.4</v>
      </c>
    </row>
    <row r="816" spans="1:25" x14ac:dyDescent="0.25">
      <c r="A816">
        <v>2007</v>
      </c>
      <c r="B816">
        <v>110</v>
      </c>
      <c r="C816">
        <v>1500</v>
      </c>
      <c r="D816">
        <v>511.7</v>
      </c>
      <c r="E816">
        <v>289.10000000000002</v>
      </c>
      <c r="F816">
        <v>12.5</v>
      </c>
      <c r="G816">
        <v>16.100000000000001</v>
      </c>
      <c r="K816">
        <v>2.044</v>
      </c>
      <c r="L816">
        <v>159.5</v>
      </c>
      <c r="M816">
        <v>0</v>
      </c>
      <c r="O816">
        <v>610.1</v>
      </c>
      <c r="P816">
        <v>183.1</v>
      </c>
      <c r="Q816">
        <v>13.87</v>
      </c>
      <c r="S816">
        <v>10.8</v>
      </c>
      <c r="T816">
        <v>0</v>
      </c>
      <c r="U816">
        <v>65.959999999999994</v>
      </c>
      <c r="V816">
        <v>834</v>
      </c>
      <c r="W816">
        <v>35.11</v>
      </c>
      <c r="Y816">
        <v>14.24</v>
      </c>
    </row>
    <row r="817" spans="1:25" x14ac:dyDescent="0.25">
      <c r="A817">
        <v>2007</v>
      </c>
      <c r="B817">
        <v>110</v>
      </c>
      <c r="C817">
        <v>1600</v>
      </c>
      <c r="D817">
        <v>336.9</v>
      </c>
      <c r="E817">
        <v>173.2</v>
      </c>
      <c r="F817">
        <v>11.77</v>
      </c>
      <c r="G817">
        <v>14.67</v>
      </c>
      <c r="K817">
        <v>2.3929999999999998</v>
      </c>
      <c r="L817">
        <v>132.4</v>
      </c>
      <c r="M817">
        <v>0</v>
      </c>
      <c r="O817">
        <v>394.7</v>
      </c>
      <c r="P817">
        <v>119.4</v>
      </c>
      <c r="Q817">
        <v>14.31</v>
      </c>
      <c r="S817">
        <v>11</v>
      </c>
      <c r="T817">
        <v>0</v>
      </c>
      <c r="U817">
        <v>71</v>
      </c>
      <c r="V817">
        <v>831</v>
      </c>
      <c r="W817">
        <v>34.92</v>
      </c>
      <c r="Y817">
        <v>14.02</v>
      </c>
    </row>
    <row r="818" spans="1:25" x14ac:dyDescent="0.25">
      <c r="A818">
        <v>2007</v>
      </c>
      <c r="B818">
        <v>110</v>
      </c>
      <c r="C818">
        <v>1700</v>
      </c>
      <c r="D818">
        <v>84.8</v>
      </c>
      <c r="E818">
        <v>28.5</v>
      </c>
      <c r="F818">
        <v>11.06</v>
      </c>
      <c r="G818">
        <v>13.72</v>
      </c>
      <c r="K818">
        <v>1.7509999999999999</v>
      </c>
      <c r="L818">
        <v>134.9</v>
      </c>
      <c r="M818">
        <v>0</v>
      </c>
      <c r="O818">
        <v>99.4</v>
      </c>
      <c r="P818">
        <v>20.23</v>
      </c>
      <c r="Q818">
        <v>14.48</v>
      </c>
      <c r="S818">
        <v>11.19</v>
      </c>
      <c r="T818">
        <v>0</v>
      </c>
      <c r="U818">
        <v>72.5</v>
      </c>
      <c r="V818">
        <v>827</v>
      </c>
      <c r="W818">
        <v>34.72</v>
      </c>
      <c r="Y818">
        <v>13.66</v>
      </c>
    </row>
    <row r="819" spans="1:25" x14ac:dyDescent="0.25">
      <c r="A819">
        <v>2007</v>
      </c>
      <c r="B819">
        <v>110</v>
      </c>
      <c r="C819">
        <v>1800</v>
      </c>
      <c r="D819">
        <v>32.85</v>
      </c>
      <c r="E819">
        <v>0.14399999999999999</v>
      </c>
      <c r="F819">
        <v>10.36</v>
      </c>
      <c r="G819">
        <v>12.89</v>
      </c>
      <c r="K819">
        <v>1.8140000000000001</v>
      </c>
      <c r="L819">
        <v>129.30000000000001</v>
      </c>
      <c r="M819">
        <v>0</v>
      </c>
      <c r="O819">
        <v>31.9</v>
      </c>
      <c r="P819">
        <v>1.101</v>
      </c>
      <c r="Q819">
        <v>14.39</v>
      </c>
      <c r="S819">
        <v>11.38</v>
      </c>
      <c r="T819">
        <v>0</v>
      </c>
      <c r="U819">
        <v>73.099999999999994</v>
      </c>
      <c r="V819">
        <v>825</v>
      </c>
      <c r="W819">
        <v>34.61</v>
      </c>
      <c r="Y819">
        <v>13.48</v>
      </c>
    </row>
    <row r="820" spans="1:25" x14ac:dyDescent="0.25">
      <c r="A820">
        <v>2007</v>
      </c>
      <c r="B820">
        <v>110</v>
      </c>
      <c r="C820">
        <v>1900</v>
      </c>
      <c r="D820">
        <v>18.760000000000002</v>
      </c>
      <c r="E820">
        <v>-5.9459999999999997</v>
      </c>
      <c r="F820">
        <v>9.9700000000000006</v>
      </c>
      <c r="G820">
        <v>12.29</v>
      </c>
      <c r="K820">
        <v>1.278</v>
      </c>
      <c r="L820">
        <v>142.6</v>
      </c>
      <c r="M820">
        <v>0</v>
      </c>
      <c r="O820">
        <v>13.64</v>
      </c>
      <c r="P820">
        <v>-4.1550000000000002</v>
      </c>
      <c r="Q820">
        <v>14.17</v>
      </c>
      <c r="S820">
        <v>11.53</v>
      </c>
      <c r="T820">
        <v>0</v>
      </c>
      <c r="U820">
        <v>74.7</v>
      </c>
      <c r="V820">
        <v>824</v>
      </c>
      <c r="W820">
        <v>34.57</v>
      </c>
      <c r="Y820">
        <v>13.36</v>
      </c>
    </row>
    <row r="821" spans="1:25" x14ac:dyDescent="0.25">
      <c r="A821">
        <v>2007</v>
      </c>
      <c r="B821">
        <v>110</v>
      </c>
      <c r="C821">
        <v>2000</v>
      </c>
      <c r="D821">
        <v>1.204</v>
      </c>
      <c r="E821">
        <v>-16.84</v>
      </c>
      <c r="F821">
        <v>10.029999999999999</v>
      </c>
      <c r="G821">
        <v>12.12</v>
      </c>
      <c r="K821">
        <v>1.0860000000000001</v>
      </c>
      <c r="L821">
        <v>128.80000000000001</v>
      </c>
      <c r="M821">
        <v>0</v>
      </c>
      <c r="O821">
        <v>-9.32</v>
      </c>
      <c r="P821">
        <v>-10.67</v>
      </c>
      <c r="Q821">
        <v>13.87</v>
      </c>
      <c r="S821">
        <v>11.53</v>
      </c>
      <c r="T821">
        <v>0</v>
      </c>
      <c r="U821">
        <v>77.099999999999994</v>
      </c>
      <c r="V821">
        <v>823</v>
      </c>
      <c r="W821">
        <v>34.51</v>
      </c>
      <c r="Y821">
        <v>13.26</v>
      </c>
    </row>
    <row r="822" spans="1:25" x14ac:dyDescent="0.25">
      <c r="A822">
        <v>2007</v>
      </c>
      <c r="B822">
        <v>110</v>
      </c>
      <c r="C822">
        <v>2100</v>
      </c>
      <c r="D822">
        <v>-0.91900000000000004</v>
      </c>
      <c r="E822">
        <v>-17.649999999999999</v>
      </c>
      <c r="F822">
        <v>10.220000000000001</v>
      </c>
      <c r="G822">
        <v>11.76</v>
      </c>
      <c r="K822">
        <v>0.94599999999999995</v>
      </c>
      <c r="L822">
        <v>182</v>
      </c>
      <c r="M822">
        <v>0</v>
      </c>
      <c r="O822">
        <v>-12.17</v>
      </c>
      <c r="P822">
        <v>-11.48</v>
      </c>
      <c r="Q822">
        <v>13.67</v>
      </c>
      <c r="S822">
        <v>11.62</v>
      </c>
      <c r="T822">
        <v>0</v>
      </c>
      <c r="U822">
        <v>82.7</v>
      </c>
      <c r="V822">
        <v>823</v>
      </c>
      <c r="W822">
        <v>34.520000000000003</v>
      </c>
      <c r="Y822">
        <v>13.18</v>
      </c>
    </row>
    <row r="823" spans="1:25" x14ac:dyDescent="0.25">
      <c r="A823">
        <v>2007</v>
      </c>
      <c r="B823">
        <v>110</v>
      </c>
      <c r="C823">
        <v>2200</v>
      </c>
      <c r="D823">
        <v>-0.70599999999999996</v>
      </c>
      <c r="E823">
        <v>-14.79</v>
      </c>
      <c r="F823">
        <v>10.71</v>
      </c>
      <c r="G823">
        <v>12.23</v>
      </c>
      <c r="K823">
        <v>1.0780000000000001</v>
      </c>
      <c r="L823">
        <v>209</v>
      </c>
      <c r="M823">
        <v>0</v>
      </c>
      <c r="O823">
        <v>-12.17</v>
      </c>
      <c r="P823">
        <v>-11.47</v>
      </c>
      <c r="Q823">
        <v>13.43</v>
      </c>
      <c r="S823">
        <v>11.64</v>
      </c>
      <c r="T823">
        <v>0</v>
      </c>
      <c r="U823">
        <v>83.2</v>
      </c>
      <c r="V823">
        <v>824</v>
      </c>
      <c r="W823">
        <v>34.53</v>
      </c>
      <c r="Y823">
        <v>13.11</v>
      </c>
    </row>
    <row r="824" spans="1:25" x14ac:dyDescent="0.25">
      <c r="A824">
        <v>2007</v>
      </c>
      <c r="B824">
        <v>110</v>
      </c>
      <c r="C824">
        <v>2300</v>
      </c>
      <c r="D824">
        <v>-1.891</v>
      </c>
      <c r="E824">
        <v>-30.23</v>
      </c>
      <c r="F824">
        <v>10.51</v>
      </c>
      <c r="G824">
        <v>11.81</v>
      </c>
      <c r="K824">
        <v>0.67700000000000005</v>
      </c>
      <c r="L824">
        <v>197.1</v>
      </c>
      <c r="M824">
        <v>0</v>
      </c>
      <c r="O824">
        <v>-12.17</v>
      </c>
      <c r="P824">
        <v>-11.46</v>
      </c>
      <c r="Q824">
        <v>13.21</v>
      </c>
      <c r="S824">
        <v>11.6</v>
      </c>
      <c r="T824">
        <v>0</v>
      </c>
      <c r="U824">
        <v>85.4</v>
      </c>
      <c r="V824">
        <v>824</v>
      </c>
      <c r="W824">
        <v>34.57</v>
      </c>
      <c r="Y824">
        <v>13.04</v>
      </c>
    </row>
    <row r="825" spans="1:25" x14ac:dyDescent="0.25">
      <c r="A825">
        <v>2007</v>
      </c>
      <c r="B825">
        <v>110</v>
      </c>
      <c r="C825">
        <v>2400</v>
      </c>
      <c r="D825">
        <v>-1.657</v>
      </c>
      <c r="E825">
        <v>-23.97</v>
      </c>
      <c r="F825">
        <v>10.23</v>
      </c>
      <c r="G825">
        <v>11.38</v>
      </c>
      <c r="K825">
        <v>0.41199999999999998</v>
      </c>
      <c r="L825">
        <v>191.5</v>
      </c>
      <c r="M825">
        <v>0</v>
      </c>
      <c r="O825">
        <v>-12.16</v>
      </c>
      <c r="P825">
        <v>-11.45</v>
      </c>
      <c r="Q825">
        <v>12.97</v>
      </c>
      <c r="S825">
        <v>11.53</v>
      </c>
      <c r="T825">
        <v>0</v>
      </c>
      <c r="U825">
        <v>86.8</v>
      </c>
      <c r="V825">
        <v>827</v>
      </c>
      <c r="W825">
        <v>34.72</v>
      </c>
      <c r="Y825">
        <v>12.98</v>
      </c>
    </row>
    <row r="826" spans="1:25" x14ac:dyDescent="0.25">
      <c r="A826">
        <v>2007</v>
      </c>
      <c r="B826">
        <v>111</v>
      </c>
      <c r="C826">
        <v>100</v>
      </c>
      <c r="D826">
        <v>-1.4590000000000001</v>
      </c>
      <c r="E826">
        <v>-22.64</v>
      </c>
      <c r="F826">
        <v>10.27</v>
      </c>
      <c r="G826">
        <v>11.61</v>
      </c>
      <c r="K826">
        <v>1.161</v>
      </c>
      <c r="L826">
        <v>214.5</v>
      </c>
      <c r="M826">
        <v>0</v>
      </c>
      <c r="O826">
        <v>-12.13</v>
      </c>
      <c r="P826">
        <v>-11.42</v>
      </c>
      <c r="Q826">
        <v>12.73</v>
      </c>
      <c r="S826">
        <v>11.44</v>
      </c>
      <c r="T826">
        <v>0</v>
      </c>
      <c r="U826">
        <v>84.8</v>
      </c>
      <c r="V826">
        <v>825</v>
      </c>
      <c r="W826">
        <v>34.619999999999997</v>
      </c>
      <c r="Y826">
        <v>12.93</v>
      </c>
    </row>
    <row r="827" spans="1:25" x14ac:dyDescent="0.25">
      <c r="A827">
        <v>2007</v>
      </c>
      <c r="B827">
        <v>111</v>
      </c>
      <c r="C827">
        <v>200</v>
      </c>
      <c r="D827">
        <v>-0.66300000000000003</v>
      </c>
      <c r="E827">
        <v>-11.79</v>
      </c>
      <c r="F827">
        <v>10.38</v>
      </c>
      <c r="G827">
        <v>11.78</v>
      </c>
      <c r="K827">
        <v>1.4390000000000001</v>
      </c>
      <c r="L827">
        <v>222.1</v>
      </c>
      <c r="M827">
        <v>0</v>
      </c>
      <c r="O827">
        <v>-12.11</v>
      </c>
      <c r="P827">
        <v>-11.38</v>
      </c>
      <c r="Q827">
        <v>12.53</v>
      </c>
      <c r="S827">
        <v>11.41</v>
      </c>
      <c r="T827">
        <v>0</v>
      </c>
      <c r="U827">
        <v>84.3</v>
      </c>
      <c r="V827">
        <v>827</v>
      </c>
      <c r="W827">
        <v>34.71</v>
      </c>
      <c r="Y827">
        <v>12.9</v>
      </c>
    </row>
    <row r="828" spans="1:25" x14ac:dyDescent="0.25">
      <c r="A828">
        <v>2007</v>
      </c>
      <c r="B828">
        <v>111</v>
      </c>
      <c r="C828">
        <v>300</v>
      </c>
      <c r="D828">
        <v>-0.63300000000000001</v>
      </c>
      <c r="E828">
        <v>-11.42</v>
      </c>
      <c r="F828">
        <v>10.26</v>
      </c>
      <c r="G828">
        <v>11.59</v>
      </c>
      <c r="K828">
        <v>1.7210000000000001</v>
      </c>
      <c r="L828">
        <v>224.2</v>
      </c>
      <c r="M828">
        <v>0</v>
      </c>
      <c r="O828">
        <v>-12.12</v>
      </c>
      <c r="P828">
        <v>-11.34</v>
      </c>
      <c r="Q828">
        <v>12.39</v>
      </c>
      <c r="S828">
        <v>11.31</v>
      </c>
      <c r="T828">
        <v>0</v>
      </c>
      <c r="U828">
        <v>84.9</v>
      </c>
      <c r="V828">
        <v>828</v>
      </c>
      <c r="W828">
        <v>34.78</v>
      </c>
      <c r="Y828">
        <v>12.87</v>
      </c>
    </row>
    <row r="829" spans="1:25" x14ac:dyDescent="0.25">
      <c r="A829">
        <v>2007</v>
      </c>
      <c r="B829">
        <v>111</v>
      </c>
      <c r="C829">
        <v>400</v>
      </c>
      <c r="D829">
        <v>-0.57299999999999995</v>
      </c>
      <c r="E829">
        <v>-10.33</v>
      </c>
      <c r="F829">
        <v>10.16</v>
      </c>
      <c r="G829">
        <v>11.44</v>
      </c>
      <c r="K829">
        <v>1.633</v>
      </c>
      <c r="L829">
        <v>224.1</v>
      </c>
      <c r="M829">
        <v>0</v>
      </c>
      <c r="O829">
        <v>-12.08</v>
      </c>
      <c r="P829">
        <v>-11.36</v>
      </c>
      <c r="Q829">
        <v>12.27</v>
      </c>
      <c r="S829">
        <v>11.25</v>
      </c>
      <c r="T829">
        <v>0</v>
      </c>
      <c r="U829">
        <v>85.5</v>
      </c>
      <c r="V829">
        <v>826</v>
      </c>
      <c r="W829">
        <v>34.65</v>
      </c>
      <c r="Y829">
        <v>12.86</v>
      </c>
    </row>
    <row r="830" spans="1:25" x14ac:dyDescent="0.25">
      <c r="A830">
        <v>2007</v>
      </c>
      <c r="B830">
        <v>111</v>
      </c>
      <c r="C830">
        <v>500</v>
      </c>
      <c r="D830">
        <v>-0.54600000000000004</v>
      </c>
      <c r="E830">
        <v>-9.91</v>
      </c>
      <c r="F830">
        <v>10.039999999999999</v>
      </c>
      <c r="G830">
        <v>11.26</v>
      </c>
      <c r="K830">
        <v>1.589</v>
      </c>
      <c r="L830">
        <v>217.7</v>
      </c>
      <c r="M830">
        <v>0</v>
      </c>
      <c r="O830">
        <v>-11.92</v>
      </c>
      <c r="P830">
        <v>-11.3</v>
      </c>
      <c r="Q830">
        <v>12.17</v>
      </c>
      <c r="S830">
        <v>11.19</v>
      </c>
      <c r="T830">
        <v>0</v>
      </c>
      <c r="U830">
        <v>86</v>
      </c>
      <c r="V830">
        <v>827</v>
      </c>
      <c r="W830">
        <v>34.700000000000003</v>
      </c>
      <c r="Y830">
        <v>12.85</v>
      </c>
    </row>
    <row r="831" spans="1:25" x14ac:dyDescent="0.25">
      <c r="A831">
        <v>2007</v>
      </c>
      <c r="B831">
        <v>111</v>
      </c>
      <c r="C831">
        <v>600</v>
      </c>
      <c r="D831">
        <v>4.8209999999999997</v>
      </c>
      <c r="E831">
        <v>-7.07</v>
      </c>
      <c r="F831">
        <v>9.75</v>
      </c>
      <c r="G831">
        <v>10.88</v>
      </c>
      <c r="K831">
        <v>1.724</v>
      </c>
      <c r="L831">
        <v>211.3</v>
      </c>
      <c r="M831">
        <v>0</v>
      </c>
      <c r="O831">
        <v>-3.9809999999999999</v>
      </c>
      <c r="P831">
        <v>-8.9600000000000009</v>
      </c>
      <c r="Q831">
        <v>12.07</v>
      </c>
      <c r="S831">
        <v>11.09</v>
      </c>
      <c r="T831">
        <v>0</v>
      </c>
      <c r="U831">
        <v>86.8</v>
      </c>
      <c r="V831">
        <v>827</v>
      </c>
      <c r="W831">
        <v>34.72</v>
      </c>
      <c r="Y831">
        <v>12.84</v>
      </c>
    </row>
    <row r="832" spans="1:25" x14ac:dyDescent="0.25">
      <c r="A832">
        <v>2007</v>
      </c>
      <c r="B832">
        <v>111</v>
      </c>
      <c r="C832">
        <v>700</v>
      </c>
      <c r="D832">
        <v>38.200000000000003</v>
      </c>
      <c r="E832">
        <v>11.77</v>
      </c>
      <c r="F832">
        <v>9.43</v>
      </c>
      <c r="G832">
        <v>10.6</v>
      </c>
      <c r="K832">
        <v>1.923</v>
      </c>
      <c r="L832">
        <v>212.3</v>
      </c>
      <c r="M832">
        <v>0</v>
      </c>
      <c r="O832">
        <v>41.41</v>
      </c>
      <c r="P832">
        <v>3.9209999999999998</v>
      </c>
      <c r="Q832">
        <v>11.99</v>
      </c>
      <c r="S832">
        <v>11.07</v>
      </c>
      <c r="T832">
        <v>0</v>
      </c>
      <c r="U832">
        <v>86.3</v>
      </c>
      <c r="V832">
        <v>829</v>
      </c>
      <c r="W832">
        <v>34.82</v>
      </c>
      <c r="Y832">
        <v>12.89</v>
      </c>
    </row>
    <row r="833" spans="1:25" x14ac:dyDescent="0.25">
      <c r="A833">
        <v>2007</v>
      </c>
      <c r="B833">
        <v>111</v>
      </c>
      <c r="C833">
        <v>800</v>
      </c>
      <c r="D833">
        <v>108.5</v>
      </c>
      <c r="E833">
        <v>54.57</v>
      </c>
      <c r="F833">
        <v>9.61</v>
      </c>
      <c r="G833">
        <v>11.01</v>
      </c>
      <c r="K833">
        <v>1.9690000000000001</v>
      </c>
      <c r="L833">
        <v>205.1</v>
      </c>
      <c r="M833">
        <v>0</v>
      </c>
      <c r="O833">
        <v>137.1</v>
      </c>
      <c r="P833">
        <v>31.65</v>
      </c>
      <c r="Q833">
        <v>11.93</v>
      </c>
      <c r="S833">
        <v>10.99</v>
      </c>
      <c r="T833">
        <v>0</v>
      </c>
      <c r="U833">
        <v>83.8</v>
      </c>
      <c r="V833">
        <v>827</v>
      </c>
      <c r="W833">
        <v>34.75</v>
      </c>
      <c r="Y833">
        <v>13.43</v>
      </c>
    </row>
    <row r="834" spans="1:25" x14ac:dyDescent="0.25">
      <c r="A834">
        <v>2007</v>
      </c>
      <c r="B834">
        <v>111</v>
      </c>
      <c r="C834">
        <v>1000</v>
      </c>
      <c r="D834">
        <v>258.7</v>
      </c>
      <c r="E834">
        <v>148.9</v>
      </c>
      <c r="F834">
        <v>10.55</v>
      </c>
      <c r="G834">
        <v>12.62</v>
      </c>
      <c r="H834">
        <f>AVERAGE(G834:G857)</f>
        <v>13.030833333333334</v>
      </c>
      <c r="I834">
        <f>MIN(G834:G857)</f>
        <v>11</v>
      </c>
      <c r="J834">
        <f>MAX(F834:F857)</f>
        <v>12.44</v>
      </c>
      <c r="K834">
        <v>2.4740000000000002</v>
      </c>
      <c r="L834">
        <v>212</v>
      </c>
      <c r="M834">
        <v>0</v>
      </c>
      <c r="N834">
        <f>SUM(M834:M857)</f>
        <v>2.4000000000000004</v>
      </c>
      <c r="O834">
        <v>319.89999999999998</v>
      </c>
      <c r="P834">
        <v>87.2</v>
      </c>
      <c r="Q834">
        <v>12.13</v>
      </c>
      <c r="S834">
        <v>11.04</v>
      </c>
      <c r="T834">
        <v>0</v>
      </c>
      <c r="U834">
        <v>77.7</v>
      </c>
      <c r="V834">
        <v>823</v>
      </c>
      <c r="W834">
        <v>34.5</v>
      </c>
      <c r="Y834">
        <v>13.89</v>
      </c>
    </row>
    <row r="835" spans="1:25" x14ac:dyDescent="0.25">
      <c r="A835">
        <v>2007</v>
      </c>
      <c r="B835">
        <v>111</v>
      </c>
      <c r="C835">
        <v>1100</v>
      </c>
      <c r="D835">
        <v>271.60000000000002</v>
      </c>
      <c r="E835">
        <v>152.30000000000001</v>
      </c>
      <c r="F835">
        <v>10.54</v>
      </c>
      <c r="G835">
        <v>13.52</v>
      </c>
      <c r="K835">
        <v>3.327</v>
      </c>
      <c r="L835">
        <v>216.2</v>
      </c>
      <c r="M835">
        <v>0</v>
      </c>
      <c r="O835">
        <v>338</v>
      </c>
      <c r="P835">
        <v>90.6</v>
      </c>
      <c r="Q835">
        <v>12.33</v>
      </c>
      <c r="S835">
        <v>11.04</v>
      </c>
      <c r="T835">
        <v>0</v>
      </c>
      <c r="U835">
        <v>69.2</v>
      </c>
      <c r="V835">
        <v>819</v>
      </c>
      <c r="W835">
        <v>34.299999999999997</v>
      </c>
      <c r="Y835">
        <v>13.99</v>
      </c>
    </row>
    <row r="836" spans="1:25" x14ac:dyDescent="0.25">
      <c r="A836">
        <v>2007</v>
      </c>
      <c r="B836">
        <v>111</v>
      </c>
      <c r="C836">
        <v>1200</v>
      </c>
      <c r="D836">
        <v>196.7</v>
      </c>
      <c r="E836">
        <v>105</v>
      </c>
      <c r="F836">
        <v>10.64</v>
      </c>
      <c r="G836">
        <v>13.45</v>
      </c>
      <c r="K836">
        <v>2.5819999999999999</v>
      </c>
      <c r="L836">
        <v>216.2</v>
      </c>
      <c r="M836">
        <v>0</v>
      </c>
      <c r="O836">
        <v>250.9</v>
      </c>
      <c r="P836">
        <v>66.739999999999995</v>
      </c>
      <c r="Q836">
        <v>12.59</v>
      </c>
      <c r="S836">
        <v>11.09</v>
      </c>
      <c r="T836">
        <v>0</v>
      </c>
      <c r="U836">
        <v>70.8</v>
      </c>
      <c r="V836">
        <v>817</v>
      </c>
      <c r="W836">
        <v>34.159999999999997</v>
      </c>
      <c r="Y836">
        <v>13.81</v>
      </c>
    </row>
    <row r="837" spans="1:25" x14ac:dyDescent="0.25">
      <c r="A837">
        <v>2007</v>
      </c>
      <c r="B837">
        <v>111</v>
      </c>
      <c r="C837">
        <v>1300</v>
      </c>
      <c r="D837">
        <v>243.3</v>
      </c>
      <c r="E837">
        <v>136.19999999999999</v>
      </c>
      <c r="F837">
        <v>11.21</v>
      </c>
      <c r="G837">
        <v>14.35</v>
      </c>
      <c r="K837">
        <v>2.5710000000000002</v>
      </c>
      <c r="L837">
        <v>213.9</v>
      </c>
      <c r="M837">
        <v>0</v>
      </c>
      <c r="O837">
        <v>308.2</v>
      </c>
      <c r="P837">
        <v>84</v>
      </c>
      <c r="Q837">
        <v>12.79</v>
      </c>
      <c r="S837">
        <v>11.15</v>
      </c>
      <c r="T837">
        <v>0</v>
      </c>
      <c r="U837">
        <v>68.45</v>
      </c>
      <c r="V837">
        <v>813</v>
      </c>
      <c r="W837">
        <v>33.94</v>
      </c>
      <c r="Y837">
        <v>13.91</v>
      </c>
    </row>
    <row r="838" spans="1:25" x14ac:dyDescent="0.25">
      <c r="A838">
        <v>2007</v>
      </c>
      <c r="B838">
        <v>111</v>
      </c>
      <c r="C838">
        <v>1400</v>
      </c>
      <c r="D838">
        <v>215.2</v>
      </c>
      <c r="E838">
        <v>117</v>
      </c>
      <c r="F838">
        <v>11.68</v>
      </c>
      <c r="G838">
        <v>14.9</v>
      </c>
      <c r="K838">
        <v>2.1280000000000001</v>
      </c>
      <c r="L838">
        <v>200.4</v>
      </c>
      <c r="M838">
        <v>0</v>
      </c>
      <c r="O838">
        <v>277.3</v>
      </c>
      <c r="P838">
        <v>75.3</v>
      </c>
      <c r="Q838">
        <v>12.96</v>
      </c>
      <c r="S838">
        <v>11.17</v>
      </c>
      <c r="T838">
        <v>0</v>
      </c>
      <c r="U838">
        <v>68.16</v>
      </c>
      <c r="V838">
        <v>814</v>
      </c>
      <c r="W838">
        <v>33.979999999999997</v>
      </c>
      <c r="Y838">
        <v>13.85</v>
      </c>
    </row>
    <row r="839" spans="1:25" x14ac:dyDescent="0.25">
      <c r="A839">
        <v>2007</v>
      </c>
      <c r="B839">
        <v>111</v>
      </c>
      <c r="C839">
        <v>1500</v>
      </c>
      <c r="D839">
        <v>307.89999999999998</v>
      </c>
      <c r="E839">
        <v>175.5</v>
      </c>
      <c r="F839">
        <v>12.44</v>
      </c>
      <c r="G839">
        <v>16.16</v>
      </c>
      <c r="K839">
        <v>2.2200000000000002</v>
      </c>
      <c r="L839">
        <v>199.3</v>
      </c>
      <c r="M839">
        <v>0</v>
      </c>
      <c r="O839">
        <v>381.7</v>
      </c>
      <c r="P839">
        <v>106.5</v>
      </c>
      <c r="Q839">
        <v>13.19</v>
      </c>
      <c r="S839">
        <v>11.3</v>
      </c>
      <c r="T839">
        <v>0</v>
      </c>
      <c r="U839">
        <v>64.86</v>
      </c>
      <c r="V839">
        <v>813</v>
      </c>
      <c r="W839">
        <v>33.94</v>
      </c>
      <c r="Y839">
        <v>14.03</v>
      </c>
    </row>
    <row r="840" spans="1:25" x14ac:dyDescent="0.25">
      <c r="A840">
        <v>2007</v>
      </c>
      <c r="B840">
        <v>111</v>
      </c>
      <c r="C840">
        <v>1600</v>
      </c>
      <c r="D840">
        <v>174.9</v>
      </c>
      <c r="E840">
        <v>85.9</v>
      </c>
      <c r="F840">
        <v>11.95</v>
      </c>
      <c r="G840">
        <v>15.75</v>
      </c>
      <c r="K840">
        <v>2.3159999999999998</v>
      </c>
      <c r="L840">
        <v>207.7</v>
      </c>
      <c r="M840">
        <v>0</v>
      </c>
      <c r="O840">
        <v>215.1</v>
      </c>
      <c r="P840">
        <v>54.97</v>
      </c>
      <c r="Q840">
        <v>13.48</v>
      </c>
      <c r="S840">
        <v>11.4</v>
      </c>
      <c r="T840">
        <v>0</v>
      </c>
      <c r="U840">
        <v>63.69</v>
      </c>
      <c r="V840">
        <v>809</v>
      </c>
      <c r="W840">
        <v>33.729999999999997</v>
      </c>
      <c r="Y840">
        <v>13.81</v>
      </c>
    </row>
    <row r="841" spans="1:25" x14ac:dyDescent="0.25">
      <c r="A841">
        <v>2007</v>
      </c>
      <c r="B841">
        <v>111</v>
      </c>
      <c r="C841">
        <v>1700</v>
      </c>
      <c r="D841">
        <v>94.3</v>
      </c>
      <c r="E841">
        <v>39.020000000000003</v>
      </c>
      <c r="F841">
        <v>11.62</v>
      </c>
      <c r="G841">
        <v>15.29</v>
      </c>
      <c r="K841">
        <v>1.8360000000000001</v>
      </c>
      <c r="L841">
        <v>218</v>
      </c>
      <c r="M841">
        <v>0</v>
      </c>
      <c r="O841">
        <v>120.3</v>
      </c>
      <c r="P841">
        <v>27.19</v>
      </c>
      <c r="Q841">
        <v>13.62</v>
      </c>
      <c r="S841">
        <v>11.43</v>
      </c>
      <c r="T841">
        <v>0</v>
      </c>
      <c r="U841">
        <v>64.39</v>
      </c>
      <c r="V841">
        <v>809</v>
      </c>
      <c r="W841">
        <v>33.71</v>
      </c>
      <c r="Y841">
        <v>13.65</v>
      </c>
    </row>
    <row r="842" spans="1:25" x14ac:dyDescent="0.25">
      <c r="A842">
        <v>2007</v>
      </c>
      <c r="B842">
        <v>111</v>
      </c>
      <c r="C842">
        <v>1800</v>
      </c>
      <c r="D842">
        <v>73.8</v>
      </c>
      <c r="E842">
        <v>27.98</v>
      </c>
      <c r="F842">
        <v>12.03</v>
      </c>
      <c r="G842">
        <v>15.19</v>
      </c>
      <c r="K842">
        <v>1.552</v>
      </c>
      <c r="L842">
        <v>208.1</v>
      </c>
      <c r="M842">
        <v>0</v>
      </c>
      <c r="O842">
        <v>88.1</v>
      </c>
      <c r="P842">
        <v>17.96</v>
      </c>
      <c r="Q842">
        <v>13.62</v>
      </c>
      <c r="S842">
        <v>11.52</v>
      </c>
      <c r="T842">
        <v>0</v>
      </c>
      <c r="U842">
        <v>68.98</v>
      </c>
      <c r="V842">
        <v>810</v>
      </c>
      <c r="W842">
        <v>33.770000000000003</v>
      </c>
      <c r="Y842">
        <v>13.6</v>
      </c>
    </row>
    <row r="843" spans="1:25" x14ac:dyDescent="0.25">
      <c r="A843">
        <v>2007</v>
      </c>
      <c r="B843">
        <v>111</v>
      </c>
      <c r="C843">
        <v>1900</v>
      </c>
      <c r="D843">
        <v>28.09</v>
      </c>
      <c r="E843">
        <v>-1.6759999999999999</v>
      </c>
      <c r="F843">
        <v>11.66</v>
      </c>
      <c r="G843">
        <v>14.58</v>
      </c>
      <c r="K843">
        <v>1.8560000000000001</v>
      </c>
      <c r="L843">
        <v>207.2</v>
      </c>
      <c r="M843">
        <v>0</v>
      </c>
      <c r="O843">
        <v>26.78</v>
      </c>
      <c r="P843">
        <v>0.44400000000000001</v>
      </c>
      <c r="Q843">
        <v>13.58</v>
      </c>
      <c r="S843">
        <v>11.58</v>
      </c>
      <c r="T843">
        <v>0</v>
      </c>
      <c r="U843">
        <v>70.7</v>
      </c>
      <c r="V843">
        <v>809</v>
      </c>
      <c r="W843">
        <v>33.729999999999997</v>
      </c>
      <c r="Y843">
        <v>13.46</v>
      </c>
    </row>
    <row r="844" spans="1:25" x14ac:dyDescent="0.25">
      <c r="A844">
        <v>2007</v>
      </c>
      <c r="B844">
        <v>111</v>
      </c>
      <c r="C844">
        <v>2000</v>
      </c>
      <c r="D844">
        <v>4.3390000000000004</v>
      </c>
      <c r="E844">
        <v>-17.5</v>
      </c>
      <c r="F844">
        <v>11.21</v>
      </c>
      <c r="G844">
        <v>13.8</v>
      </c>
      <c r="K844">
        <v>1.6639999999999999</v>
      </c>
      <c r="L844">
        <v>197.4</v>
      </c>
      <c r="M844">
        <v>0</v>
      </c>
      <c r="O844">
        <v>-4.1059999999999999</v>
      </c>
      <c r="P844">
        <v>-9.0399999999999991</v>
      </c>
      <c r="Q844">
        <v>13.52</v>
      </c>
      <c r="S844">
        <v>11.64</v>
      </c>
      <c r="T844">
        <v>0</v>
      </c>
      <c r="U844">
        <v>73.2</v>
      </c>
      <c r="V844">
        <v>810</v>
      </c>
      <c r="W844">
        <v>33.81</v>
      </c>
      <c r="Y844">
        <v>13.35</v>
      </c>
    </row>
    <row r="845" spans="1:25" x14ac:dyDescent="0.25">
      <c r="A845">
        <v>2007</v>
      </c>
      <c r="B845">
        <v>111</v>
      </c>
      <c r="C845">
        <v>2100</v>
      </c>
      <c r="D845">
        <v>-1.2969999999999999</v>
      </c>
      <c r="E845">
        <v>-18.27</v>
      </c>
      <c r="F845">
        <v>10.87</v>
      </c>
      <c r="G845">
        <v>13.19</v>
      </c>
      <c r="K845">
        <v>1.8420000000000001</v>
      </c>
      <c r="L845">
        <v>201.6</v>
      </c>
      <c r="M845">
        <v>0</v>
      </c>
      <c r="O845">
        <v>-12.17</v>
      </c>
      <c r="P845">
        <v>-11.47</v>
      </c>
      <c r="Q845">
        <v>13.33</v>
      </c>
      <c r="S845">
        <v>11.64</v>
      </c>
      <c r="T845">
        <v>0</v>
      </c>
      <c r="U845">
        <v>75.400000000000006</v>
      </c>
      <c r="V845">
        <v>811</v>
      </c>
      <c r="W845">
        <v>33.85</v>
      </c>
      <c r="Y845">
        <v>13.25</v>
      </c>
    </row>
    <row r="846" spans="1:25" x14ac:dyDescent="0.25">
      <c r="A846">
        <v>2007</v>
      </c>
      <c r="B846">
        <v>111</v>
      </c>
      <c r="C846">
        <v>2200</v>
      </c>
      <c r="D846">
        <v>-2.101</v>
      </c>
      <c r="E846">
        <v>-17.34</v>
      </c>
      <c r="F846">
        <v>10.6</v>
      </c>
      <c r="G846">
        <v>12.01</v>
      </c>
      <c r="K846">
        <v>2.0209999999999999</v>
      </c>
      <c r="L846">
        <v>208.2</v>
      </c>
      <c r="M846">
        <v>1</v>
      </c>
      <c r="O846">
        <v>-12.17</v>
      </c>
      <c r="P846">
        <v>-11.47</v>
      </c>
      <c r="Q846">
        <v>13.15</v>
      </c>
      <c r="S846">
        <v>11.64</v>
      </c>
      <c r="T846">
        <v>0</v>
      </c>
      <c r="U846">
        <v>84.4</v>
      </c>
      <c r="V846">
        <v>810</v>
      </c>
      <c r="W846">
        <v>33.79</v>
      </c>
      <c r="Y846">
        <v>13.17</v>
      </c>
    </row>
    <row r="847" spans="1:25" x14ac:dyDescent="0.25">
      <c r="A847">
        <v>2007</v>
      </c>
      <c r="B847">
        <v>111</v>
      </c>
      <c r="C847">
        <v>2300</v>
      </c>
      <c r="D847">
        <v>-1.5249999999999999</v>
      </c>
      <c r="E847">
        <v>-15.19</v>
      </c>
      <c r="F847">
        <v>10.46</v>
      </c>
      <c r="G847">
        <v>11.62</v>
      </c>
      <c r="K847">
        <v>2.121</v>
      </c>
      <c r="L847">
        <v>208.4</v>
      </c>
      <c r="M847">
        <v>0.6</v>
      </c>
      <c r="O847">
        <v>-12.17</v>
      </c>
      <c r="P847">
        <v>-11.46</v>
      </c>
      <c r="Q847">
        <v>13.02</v>
      </c>
      <c r="S847">
        <v>11.63</v>
      </c>
      <c r="T847">
        <v>0</v>
      </c>
      <c r="U847">
        <v>86.8</v>
      </c>
      <c r="V847">
        <v>812</v>
      </c>
      <c r="W847">
        <v>33.909999999999997</v>
      </c>
      <c r="Y847">
        <v>13.1</v>
      </c>
    </row>
    <row r="848" spans="1:25" x14ac:dyDescent="0.25">
      <c r="A848">
        <v>2007</v>
      </c>
      <c r="B848">
        <v>111</v>
      </c>
      <c r="C848">
        <v>2400</v>
      </c>
      <c r="D848">
        <v>-1.581</v>
      </c>
      <c r="E848">
        <v>-15.07</v>
      </c>
      <c r="F848">
        <v>10.39</v>
      </c>
      <c r="G848">
        <v>11.6</v>
      </c>
      <c r="K848">
        <v>2.254</v>
      </c>
      <c r="L848">
        <v>212.8</v>
      </c>
      <c r="M848">
        <v>0.2</v>
      </c>
      <c r="O848">
        <v>-12.16</v>
      </c>
      <c r="P848">
        <v>-11.42</v>
      </c>
      <c r="Q848">
        <v>12.84</v>
      </c>
      <c r="S848">
        <v>11.59</v>
      </c>
      <c r="T848">
        <v>0</v>
      </c>
      <c r="U848">
        <v>86.2</v>
      </c>
      <c r="V848">
        <v>805</v>
      </c>
      <c r="W848">
        <v>33.53</v>
      </c>
      <c r="Y848">
        <v>13.03</v>
      </c>
    </row>
    <row r="849" spans="1:25" x14ac:dyDescent="0.25">
      <c r="A849">
        <v>2007</v>
      </c>
      <c r="B849">
        <v>112</v>
      </c>
      <c r="C849">
        <v>100</v>
      </c>
      <c r="D849">
        <v>-1.387</v>
      </c>
      <c r="E849">
        <v>-15.55</v>
      </c>
      <c r="F849">
        <v>10.199999999999999</v>
      </c>
      <c r="G849">
        <v>11.4</v>
      </c>
      <c r="K849">
        <v>2.476</v>
      </c>
      <c r="L849">
        <v>209.4</v>
      </c>
      <c r="M849">
        <v>0</v>
      </c>
      <c r="O849">
        <v>-12.15</v>
      </c>
      <c r="P849">
        <v>-11.37</v>
      </c>
      <c r="Q849">
        <v>12.68</v>
      </c>
      <c r="S849">
        <v>11.53</v>
      </c>
      <c r="T849">
        <v>0</v>
      </c>
      <c r="U849">
        <v>86.3</v>
      </c>
      <c r="V849">
        <v>811</v>
      </c>
      <c r="W849">
        <v>33.85</v>
      </c>
      <c r="Y849">
        <v>12.97</v>
      </c>
    </row>
    <row r="850" spans="1:25" x14ac:dyDescent="0.25">
      <c r="A850">
        <v>2007</v>
      </c>
      <c r="B850">
        <v>112</v>
      </c>
      <c r="C850">
        <v>200</v>
      </c>
      <c r="D850">
        <v>-0.86699999999999999</v>
      </c>
      <c r="E850">
        <v>-16.23</v>
      </c>
      <c r="F850">
        <v>10.08</v>
      </c>
      <c r="G850">
        <v>11.38</v>
      </c>
      <c r="K850">
        <v>2.3860000000000001</v>
      </c>
      <c r="L850">
        <v>214.3</v>
      </c>
      <c r="M850">
        <v>0</v>
      </c>
      <c r="O850">
        <v>-12.11</v>
      </c>
      <c r="P850">
        <v>-11.37</v>
      </c>
      <c r="Q850">
        <v>12.54</v>
      </c>
      <c r="S850">
        <v>11.45</v>
      </c>
      <c r="T850">
        <v>0</v>
      </c>
      <c r="U850">
        <v>85.2</v>
      </c>
      <c r="V850">
        <v>813</v>
      </c>
      <c r="W850">
        <v>33.94</v>
      </c>
      <c r="Y850">
        <v>12.93</v>
      </c>
    </row>
    <row r="851" spans="1:25" x14ac:dyDescent="0.25">
      <c r="A851">
        <v>2007</v>
      </c>
      <c r="B851">
        <v>112</v>
      </c>
      <c r="C851">
        <v>300</v>
      </c>
      <c r="D851">
        <v>-1.4219999999999999</v>
      </c>
      <c r="E851">
        <v>-12.63</v>
      </c>
      <c r="F851">
        <v>10.06</v>
      </c>
      <c r="G851">
        <v>11.35</v>
      </c>
      <c r="K851">
        <v>2.4849999999999999</v>
      </c>
      <c r="L851">
        <v>207.5</v>
      </c>
      <c r="M851">
        <v>0</v>
      </c>
      <c r="O851">
        <v>-12.1</v>
      </c>
      <c r="P851">
        <v>-11.33</v>
      </c>
      <c r="Q851">
        <v>12.4</v>
      </c>
      <c r="S851">
        <v>11.42</v>
      </c>
      <c r="T851">
        <v>0</v>
      </c>
      <c r="U851">
        <v>85.3</v>
      </c>
      <c r="V851">
        <v>813</v>
      </c>
      <c r="W851">
        <v>33.94</v>
      </c>
      <c r="Y851">
        <v>12.9</v>
      </c>
    </row>
    <row r="852" spans="1:25" x14ac:dyDescent="0.25">
      <c r="A852">
        <v>2007</v>
      </c>
      <c r="B852">
        <v>112</v>
      </c>
      <c r="C852">
        <v>400</v>
      </c>
      <c r="D852">
        <v>-1.395</v>
      </c>
      <c r="E852">
        <v>-9.26</v>
      </c>
      <c r="F852">
        <v>10.1</v>
      </c>
      <c r="G852">
        <v>11.17</v>
      </c>
      <c r="K852">
        <v>2.367</v>
      </c>
      <c r="L852">
        <v>202.3</v>
      </c>
      <c r="M852">
        <v>0.4</v>
      </c>
      <c r="O852">
        <v>-12.07</v>
      </c>
      <c r="P852">
        <v>-11.31</v>
      </c>
      <c r="Q852">
        <v>12.29</v>
      </c>
      <c r="S852">
        <v>11.32</v>
      </c>
      <c r="T852">
        <v>0</v>
      </c>
      <c r="U852">
        <v>87.6</v>
      </c>
      <c r="V852">
        <v>812</v>
      </c>
      <c r="W852">
        <v>33.880000000000003</v>
      </c>
      <c r="Y852">
        <v>12.87</v>
      </c>
    </row>
    <row r="853" spans="1:25" x14ac:dyDescent="0.25">
      <c r="A853">
        <v>2007</v>
      </c>
      <c r="B853">
        <v>112</v>
      </c>
      <c r="C853">
        <v>500</v>
      </c>
      <c r="D853">
        <v>-0.68600000000000005</v>
      </c>
      <c r="E853">
        <v>-5.7309999999999999</v>
      </c>
      <c r="F853">
        <v>10.199999999999999</v>
      </c>
      <c r="G853">
        <v>11</v>
      </c>
      <c r="K853">
        <v>2.1560000000000001</v>
      </c>
      <c r="L853">
        <v>205.5</v>
      </c>
      <c r="M853">
        <v>0.2</v>
      </c>
      <c r="O853">
        <v>-11.9</v>
      </c>
      <c r="P853">
        <v>-11.29</v>
      </c>
      <c r="Q853">
        <v>12.2</v>
      </c>
      <c r="S853">
        <v>11.31</v>
      </c>
      <c r="T853">
        <v>0</v>
      </c>
      <c r="U853">
        <v>90.7</v>
      </c>
      <c r="V853">
        <v>830</v>
      </c>
      <c r="W853">
        <v>34.909999999999997</v>
      </c>
      <c r="Y853">
        <v>12.86</v>
      </c>
    </row>
    <row r="854" spans="1:25" x14ac:dyDescent="0.25">
      <c r="A854">
        <v>2007</v>
      </c>
      <c r="B854">
        <v>112</v>
      </c>
      <c r="C854">
        <v>600</v>
      </c>
      <c r="D854">
        <v>3.8719999999999999</v>
      </c>
      <c r="E854">
        <v>-1.621</v>
      </c>
      <c r="F854">
        <v>10.5</v>
      </c>
      <c r="G854">
        <v>11.24</v>
      </c>
      <c r="K854">
        <v>2.3929999999999998</v>
      </c>
      <c r="L854">
        <v>212.8</v>
      </c>
      <c r="M854">
        <v>0</v>
      </c>
      <c r="O854">
        <v>-5.7080000000000002</v>
      </c>
      <c r="P854">
        <v>-9.7799999999999994</v>
      </c>
      <c r="Q854">
        <v>12.13</v>
      </c>
      <c r="S854">
        <v>11.23</v>
      </c>
      <c r="T854">
        <v>0</v>
      </c>
      <c r="U854">
        <v>91.4</v>
      </c>
      <c r="V854">
        <v>823</v>
      </c>
      <c r="W854">
        <v>34.47</v>
      </c>
      <c r="Y854">
        <v>12.85</v>
      </c>
    </row>
    <row r="855" spans="1:25" x14ac:dyDescent="0.25">
      <c r="A855">
        <v>2007</v>
      </c>
      <c r="B855">
        <v>112</v>
      </c>
      <c r="C855">
        <v>700</v>
      </c>
      <c r="D855">
        <v>28.82</v>
      </c>
      <c r="E855">
        <v>15.78</v>
      </c>
      <c r="F855">
        <v>10.92</v>
      </c>
      <c r="G855">
        <v>11.67</v>
      </c>
      <c r="K855">
        <v>2.3929999999999998</v>
      </c>
      <c r="L855">
        <v>221.4</v>
      </c>
      <c r="M855">
        <v>0</v>
      </c>
      <c r="O855">
        <v>27.03</v>
      </c>
      <c r="P855">
        <v>-2.5009999999999999</v>
      </c>
      <c r="Q855">
        <v>12.09</v>
      </c>
      <c r="S855">
        <v>11.21</v>
      </c>
      <c r="T855">
        <v>0</v>
      </c>
      <c r="U855">
        <v>91.5</v>
      </c>
      <c r="V855">
        <v>817</v>
      </c>
      <c r="W855">
        <v>34.18</v>
      </c>
      <c r="Y855">
        <v>12.85</v>
      </c>
    </row>
    <row r="856" spans="1:25" x14ac:dyDescent="0.25">
      <c r="A856">
        <v>2007</v>
      </c>
      <c r="B856">
        <v>112</v>
      </c>
      <c r="C856">
        <v>800</v>
      </c>
      <c r="D856">
        <v>112.4</v>
      </c>
      <c r="E856">
        <v>71.900000000000006</v>
      </c>
      <c r="F856">
        <v>11.64</v>
      </c>
      <c r="G856">
        <v>12.45</v>
      </c>
      <c r="K856">
        <v>2.3919999999999999</v>
      </c>
      <c r="L856">
        <v>223.7</v>
      </c>
      <c r="M856">
        <v>0</v>
      </c>
      <c r="O856">
        <v>131.80000000000001</v>
      </c>
      <c r="P856">
        <v>21.47</v>
      </c>
      <c r="Q856">
        <v>12.09</v>
      </c>
      <c r="S856">
        <v>11.2</v>
      </c>
      <c r="T856">
        <v>0</v>
      </c>
      <c r="U856">
        <v>91.1</v>
      </c>
      <c r="V856">
        <v>818</v>
      </c>
      <c r="W856">
        <v>34.22</v>
      </c>
      <c r="Y856">
        <v>13.28</v>
      </c>
    </row>
    <row r="857" spans="1:25" x14ac:dyDescent="0.25">
      <c r="A857">
        <v>2007</v>
      </c>
      <c r="B857">
        <v>112</v>
      </c>
      <c r="C857">
        <v>900</v>
      </c>
      <c r="D857">
        <v>107.9</v>
      </c>
      <c r="E857">
        <v>67.81</v>
      </c>
      <c r="F857">
        <v>12.11</v>
      </c>
      <c r="G857">
        <v>13.05</v>
      </c>
      <c r="H857">
        <f>AVERAGE(G857:G880)</f>
        <v>14.790416666666667</v>
      </c>
      <c r="I857">
        <f>MIN(G857:G880)</f>
        <v>12.75</v>
      </c>
      <c r="J857">
        <f>MAX(F857:F880)</f>
        <v>15.29</v>
      </c>
      <c r="K857">
        <v>2.5830000000000002</v>
      </c>
      <c r="L857">
        <v>222.1</v>
      </c>
      <c r="M857">
        <v>0</v>
      </c>
      <c r="N857">
        <f>SUM(M857:M880)</f>
        <v>0.6</v>
      </c>
      <c r="O857">
        <v>126.4</v>
      </c>
      <c r="P857">
        <v>20.93</v>
      </c>
      <c r="Q857">
        <v>12.21</v>
      </c>
      <c r="S857">
        <v>11.2</v>
      </c>
      <c r="T857">
        <v>0</v>
      </c>
      <c r="U857">
        <v>89.8</v>
      </c>
      <c r="V857">
        <v>819</v>
      </c>
      <c r="W857">
        <v>34.25</v>
      </c>
      <c r="Y857">
        <v>13.61</v>
      </c>
    </row>
    <row r="858" spans="1:25" x14ac:dyDescent="0.25">
      <c r="A858">
        <v>2007</v>
      </c>
      <c r="B858">
        <v>112</v>
      </c>
      <c r="C858">
        <v>1100</v>
      </c>
      <c r="D858">
        <v>176.4</v>
      </c>
      <c r="E858">
        <v>111.4</v>
      </c>
      <c r="F858">
        <v>12.89</v>
      </c>
      <c r="G858">
        <v>13.91</v>
      </c>
      <c r="K858">
        <v>2.2909999999999999</v>
      </c>
      <c r="L858">
        <v>218.4</v>
      </c>
      <c r="M858">
        <v>0</v>
      </c>
      <c r="O858">
        <v>216.6</v>
      </c>
      <c r="P858">
        <v>47.88</v>
      </c>
      <c r="Q858">
        <v>12.53</v>
      </c>
      <c r="S858">
        <v>11.19</v>
      </c>
      <c r="T858">
        <v>0</v>
      </c>
      <c r="U858">
        <v>89.2</v>
      </c>
      <c r="V858">
        <v>815</v>
      </c>
      <c r="W858">
        <v>34.049999999999997</v>
      </c>
      <c r="Y858">
        <v>13.72</v>
      </c>
    </row>
    <row r="859" spans="1:25" x14ac:dyDescent="0.25">
      <c r="A859">
        <v>2007</v>
      </c>
      <c r="B859">
        <v>112</v>
      </c>
      <c r="C859">
        <v>1200</v>
      </c>
      <c r="D859">
        <v>436.9</v>
      </c>
      <c r="E859">
        <v>274.89999999999998</v>
      </c>
      <c r="F859">
        <v>14.13</v>
      </c>
      <c r="G859">
        <v>15.71</v>
      </c>
      <c r="K859">
        <v>2.8220000000000001</v>
      </c>
      <c r="L859">
        <v>208.8</v>
      </c>
      <c r="M859">
        <v>0</v>
      </c>
      <c r="O859">
        <v>529.79999999999995</v>
      </c>
      <c r="P859">
        <v>138.30000000000001</v>
      </c>
      <c r="Q859">
        <v>12.78</v>
      </c>
      <c r="S859">
        <v>11.29</v>
      </c>
      <c r="T859">
        <v>0</v>
      </c>
      <c r="U859">
        <v>84.3</v>
      </c>
      <c r="V859">
        <v>808</v>
      </c>
      <c r="W859">
        <v>33.68</v>
      </c>
      <c r="Y859">
        <v>14.26</v>
      </c>
    </row>
    <row r="860" spans="1:25" x14ac:dyDescent="0.25">
      <c r="A860">
        <v>2007</v>
      </c>
      <c r="B860">
        <v>112</v>
      </c>
      <c r="C860">
        <v>1300</v>
      </c>
      <c r="D860">
        <v>354.4</v>
      </c>
      <c r="E860">
        <v>218.3</v>
      </c>
      <c r="F860">
        <v>14.58</v>
      </c>
      <c r="G860">
        <v>16.61</v>
      </c>
      <c r="K860">
        <v>2.5259999999999998</v>
      </c>
      <c r="L860">
        <v>212.4</v>
      </c>
      <c r="M860">
        <v>0</v>
      </c>
      <c r="O860">
        <v>430.5</v>
      </c>
      <c r="P860">
        <v>112.9</v>
      </c>
      <c r="Q860">
        <v>13.26</v>
      </c>
      <c r="S860">
        <v>11.36</v>
      </c>
      <c r="T860">
        <v>0</v>
      </c>
      <c r="U860">
        <v>80.5</v>
      </c>
      <c r="V860">
        <v>808</v>
      </c>
      <c r="W860">
        <v>33.68</v>
      </c>
      <c r="Y860">
        <v>14.15</v>
      </c>
    </row>
    <row r="861" spans="1:25" x14ac:dyDescent="0.25">
      <c r="A861">
        <v>2007</v>
      </c>
      <c r="B861">
        <v>112</v>
      </c>
      <c r="C861">
        <v>1400</v>
      </c>
      <c r="D861">
        <v>285.5</v>
      </c>
      <c r="E861">
        <v>168.1</v>
      </c>
      <c r="F861">
        <v>14.4</v>
      </c>
      <c r="G861">
        <v>16.46</v>
      </c>
      <c r="K861">
        <v>2.7349999999999999</v>
      </c>
      <c r="L861">
        <v>221.5</v>
      </c>
      <c r="M861">
        <v>0</v>
      </c>
      <c r="O861">
        <v>353.7</v>
      </c>
      <c r="P861">
        <v>96.9</v>
      </c>
      <c r="Q861">
        <v>13.75</v>
      </c>
      <c r="S861">
        <v>11.41</v>
      </c>
      <c r="T861">
        <v>0</v>
      </c>
      <c r="U861">
        <v>80.2</v>
      </c>
      <c r="V861">
        <v>806</v>
      </c>
      <c r="W861">
        <v>33.590000000000003</v>
      </c>
      <c r="Y861">
        <v>13.94</v>
      </c>
    </row>
    <row r="862" spans="1:25" x14ac:dyDescent="0.25">
      <c r="A862">
        <v>2007</v>
      </c>
      <c r="B862">
        <v>112</v>
      </c>
      <c r="C862">
        <v>1500</v>
      </c>
      <c r="D862">
        <v>531.6</v>
      </c>
      <c r="E862">
        <v>327.60000000000002</v>
      </c>
      <c r="F862">
        <v>15.29</v>
      </c>
      <c r="G862">
        <v>17.670000000000002</v>
      </c>
      <c r="K862">
        <v>2.83</v>
      </c>
      <c r="L862">
        <v>214.8</v>
      </c>
      <c r="M862">
        <v>0</v>
      </c>
      <c r="O862">
        <v>627.79999999999995</v>
      </c>
      <c r="P862">
        <v>182.4</v>
      </c>
      <c r="Q862">
        <v>14.18</v>
      </c>
      <c r="S862">
        <v>11.64</v>
      </c>
      <c r="T862">
        <v>0</v>
      </c>
      <c r="U862">
        <v>78</v>
      </c>
      <c r="V862">
        <v>812</v>
      </c>
      <c r="W862">
        <v>33.869999999999997</v>
      </c>
      <c r="Y862">
        <v>14.28</v>
      </c>
    </row>
    <row r="863" spans="1:25" x14ac:dyDescent="0.25">
      <c r="A863">
        <v>2007</v>
      </c>
      <c r="B863">
        <v>112</v>
      </c>
      <c r="C863">
        <v>1600</v>
      </c>
      <c r="D863">
        <v>265</v>
      </c>
      <c r="E863">
        <v>149.30000000000001</v>
      </c>
      <c r="F863">
        <v>14.92</v>
      </c>
      <c r="G863">
        <v>17.68</v>
      </c>
      <c r="K863">
        <v>2.4529999999999998</v>
      </c>
      <c r="L863">
        <v>217.9</v>
      </c>
      <c r="M863">
        <v>0</v>
      </c>
      <c r="O863">
        <v>315.5</v>
      </c>
      <c r="P863">
        <v>92.2</v>
      </c>
      <c r="Q863">
        <v>14.63</v>
      </c>
      <c r="S863">
        <v>11.76</v>
      </c>
      <c r="T863">
        <v>0</v>
      </c>
      <c r="U863">
        <v>74.599999999999994</v>
      </c>
      <c r="V863">
        <v>809</v>
      </c>
      <c r="W863">
        <v>33.75</v>
      </c>
      <c r="Y863">
        <v>13.94</v>
      </c>
    </row>
    <row r="864" spans="1:25" x14ac:dyDescent="0.25">
      <c r="A864">
        <v>2007</v>
      </c>
      <c r="B864">
        <v>112</v>
      </c>
      <c r="C864">
        <v>1700</v>
      </c>
      <c r="D864">
        <v>140.19999999999999</v>
      </c>
      <c r="E864">
        <v>69.34</v>
      </c>
      <c r="F864">
        <v>14.55</v>
      </c>
      <c r="G864">
        <v>17.440000000000001</v>
      </c>
      <c r="K864">
        <v>1.992</v>
      </c>
      <c r="L864">
        <v>224.5</v>
      </c>
      <c r="M864">
        <v>0</v>
      </c>
      <c r="O864">
        <v>168</v>
      </c>
      <c r="P864">
        <v>42.58</v>
      </c>
      <c r="Q864">
        <v>14.94</v>
      </c>
      <c r="S864">
        <v>11.92</v>
      </c>
      <c r="T864">
        <v>0</v>
      </c>
      <c r="U864">
        <v>73.3</v>
      </c>
      <c r="V864">
        <v>807</v>
      </c>
      <c r="W864">
        <v>33.619999999999997</v>
      </c>
      <c r="Y864">
        <v>13.75</v>
      </c>
    </row>
    <row r="865" spans="1:25" x14ac:dyDescent="0.25">
      <c r="A865">
        <v>2007</v>
      </c>
      <c r="B865">
        <v>112</v>
      </c>
      <c r="C865">
        <v>1800</v>
      </c>
      <c r="D865">
        <v>91.3</v>
      </c>
      <c r="E865">
        <v>36.96</v>
      </c>
      <c r="F865">
        <v>14.4</v>
      </c>
      <c r="G865">
        <v>17.03</v>
      </c>
      <c r="K865">
        <v>1.7709999999999999</v>
      </c>
      <c r="L865">
        <v>221.3</v>
      </c>
      <c r="M865">
        <v>0</v>
      </c>
      <c r="O865">
        <v>102.9</v>
      </c>
      <c r="P865">
        <v>22.61</v>
      </c>
      <c r="Q865">
        <v>15.01</v>
      </c>
      <c r="S865">
        <v>12.07</v>
      </c>
      <c r="T865">
        <v>0</v>
      </c>
      <c r="U865">
        <v>75.3</v>
      </c>
      <c r="V865">
        <v>805</v>
      </c>
      <c r="W865">
        <v>33.51</v>
      </c>
      <c r="Y865">
        <v>13.64</v>
      </c>
    </row>
    <row r="866" spans="1:25" x14ac:dyDescent="0.25">
      <c r="A866">
        <v>2007</v>
      </c>
      <c r="B866">
        <v>112</v>
      </c>
      <c r="C866">
        <v>1900</v>
      </c>
      <c r="D866">
        <v>37.86</v>
      </c>
      <c r="E866">
        <v>1.9950000000000001</v>
      </c>
      <c r="F866">
        <v>13.85</v>
      </c>
      <c r="G866">
        <v>16.3</v>
      </c>
      <c r="K866">
        <v>1.587</v>
      </c>
      <c r="L866">
        <v>220.9</v>
      </c>
      <c r="M866">
        <v>0</v>
      </c>
      <c r="O866">
        <v>36.14</v>
      </c>
      <c r="P866">
        <v>3.0609999999999999</v>
      </c>
      <c r="Q866">
        <v>15.03</v>
      </c>
      <c r="S866">
        <v>12.24</v>
      </c>
      <c r="T866">
        <v>0</v>
      </c>
      <c r="U866">
        <v>76.400000000000006</v>
      </c>
      <c r="V866">
        <v>803</v>
      </c>
      <c r="W866">
        <v>33.4</v>
      </c>
      <c r="Y866">
        <v>13.48</v>
      </c>
    </row>
    <row r="867" spans="1:25" x14ac:dyDescent="0.25">
      <c r="A867">
        <v>2007</v>
      </c>
      <c r="B867">
        <v>112</v>
      </c>
      <c r="C867">
        <v>2000</v>
      </c>
      <c r="D867">
        <v>4.0010000000000003</v>
      </c>
      <c r="E867">
        <v>-19.07</v>
      </c>
      <c r="F867">
        <v>13.64</v>
      </c>
      <c r="G867">
        <v>15.57</v>
      </c>
      <c r="K867">
        <v>0.93400000000000005</v>
      </c>
      <c r="L867">
        <v>211.4</v>
      </c>
      <c r="M867">
        <v>0</v>
      </c>
      <c r="O867">
        <v>-5.431</v>
      </c>
      <c r="P867">
        <v>-9.52</v>
      </c>
      <c r="Q867">
        <v>14.91</v>
      </c>
      <c r="S867">
        <v>12.3</v>
      </c>
      <c r="T867">
        <v>0</v>
      </c>
      <c r="U867">
        <v>80.900000000000006</v>
      </c>
      <c r="V867">
        <v>803</v>
      </c>
      <c r="W867">
        <v>33.39</v>
      </c>
      <c r="Y867">
        <v>13.35</v>
      </c>
    </row>
    <row r="868" spans="1:25" x14ac:dyDescent="0.25">
      <c r="A868">
        <v>2007</v>
      </c>
      <c r="B868">
        <v>112</v>
      </c>
      <c r="C868">
        <v>2100</v>
      </c>
      <c r="D868">
        <v>-1.4430000000000001</v>
      </c>
      <c r="E868">
        <v>-20.39</v>
      </c>
      <c r="F868">
        <v>13.31</v>
      </c>
      <c r="G868">
        <v>14.9</v>
      </c>
      <c r="K868">
        <v>1.1519999999999999</v>
      </c>
      <c r="L868">
        <v>189.2</v>
      </c>
      <c r="M868">
        <v>0</v>
      </c>
      <c r="O868">
        <v>-12.17</v>
      </c>
      <c r="P868">
        <v>-11.47</v>
      </c>
      <c r="Q868">
        <v>14.71</v>
      </c>
      <c r="S868">
        <v>12.37</v>
      </c>
      <c r="T868">
        <v>0</v>
      </c>
      <c r="U868">
        <v>83.9</v>
      </c>
      <c r="V868">
        <v>803</v>
      </c>
      <c r="W868">
        <v>33.380000000000003</v>
      </c>
      <c r="Y868">
        <v>13.25</v>
      </c>
    </row>
    <row r="869" spans="1:25" x14ac:dyDescent="0.25">
      <c r="A869">
        <v>2007</v>
      </c>
      <c r="B869">
        <v>112</v>
      </c>
      <c r="C869">
        <v>2200</v>
      </c>
      <c r="D869">
        <v>-1.145</v>
      </c>
      <c r="E869">
        <v>-14.89</v>
      </c>
      <c r="F869">
        <v>13.17</v>
      </c>
      <c r="G869">
        <v>14.77</v>
      </c>
      <c r="K869">
        <v>1.0920000000000001</v>
      </c>
      <c r="L869">
        <v>178.7</v>
      </c>
      <c r="M869">
        <v>0</v>
      </c>
      <c r="O869">
        <v>-12.16</v>
      </c>
      <c r="P869">
        <v>-11.47</v>
      </c>
      <c r="Q869">
        <v>14.54</v>
      </c>
      <c r="S869">
        <v>12.43</v>
      </c>
      <c r="T869">
        <v>0</v>
      </c>
      <c r="U869">
        <v>83.6</v>
      </c>
      <c r="V869">
        <v>805</v>
      </c>
      <c r="W869">
        <v>33.54</v>
      </c>
      <c r="Y869">
        <v>13.17</v>
      </c>
    </row>
    <row r="870" spans="1:25" x14ac:dyDescent="0.25">
      <c r="A870">
        <v>2007</v>
      </c>
      <c r="B870">
        <v>112</v>
      </c>
      <c r="C870">
        <v>2300</v>
      </c>
      <c r="D870">
        <v>-1.145</v>
      </c>
      <c r="E870">
        <v>-13.52</v>
      </c>
      <c r="F870">
        <v>13.27</v>
      </c>
      <c r="G870">
        <v>14.54</v>
      </c>
      <c r="K870">
        <v>1.252</v>
      </c>
      <c r="L870">
        <v>185.4</v>
      </c>
      <c r="M870">
        <v>0</v>
      </c>
      <c r="O870">
        <v>-12.17</v>
      </c>
      <c r="P870">
        <v>-11.47</v>
      </c>
      <c r="Q870">
        <v>14.33</v>
      </c>
      <c r="S870">
        <v>12.4</v>
      </c>
      <c r="T870">
        <v>0</v>
      </c>
      <c r="U870">
        <v>86.9</v>
      </c>
      <c r="V870">
        <v>809</v>
      </c>
      <c r="W870">
        <v>33.72</v>
      </c>
      <c r="Y870">
        <v>13.09</v>
      </c>
    </row>
    <row r="871" spans="1:25" x14ac:dyDescent="0.25">
      <c r="A871">
        <v>2007</v>
      </c>
      <c r="B871">
        <v>112</v>
      </c>
      <c r="C871">
        <v>2400</v>
      </c>
      <c r="D871">
        <v>-1.1639999999999999</v>
      </c>
      <c r="E871">
        <v>-15.64</v>
      </c>
      <c r="F871">
        <v>13.05</v>
      </c>
      <c r="G871">
        <v>14.24</v>
      </c>
      <c r="K871">
        <v>1.5940000000000001</v>
      </c>
      <c r="L871">
        <v>196.2</v>
      </c>
      <c r="M871">
        <v>0</v>
      </c>
      <c r="O871">
        <v>-12.17</v>
      </c>
      <c r="P871">
        <v>-11.47</v>
      </c>
      <c r="Q871">
        <v>14.16</v>
      </c>
      <c r="S871">
        <v>12.4</v>
      </c>
      <c r="T871">
        <v>0</v>
      </c>
      <c r="U871">
        <v>87.5</v>
      </c>
      <c r="V871">
        <v>811</v>
      </c>
      <c r="W871">
        <v>33.81</v>
      </c>
      <c r="Y871">
        <v>13.03</v>
      </c>
    </row>
    <row r="872" spans="1:25" x14ac:dyDescent="0.25">
      <c r="A872">
        <v>2007</v>
      </c>
      <c r="B872">
        <v>113</v>
      </c>
      <c r="C872">
        <v>100</v>
      </c>
      <c r="D872">
        <v>-1.331</v>
      </c>
      <c r="E872">
        <v>-18.04</v>
      </c>
      <c r="F872">
        <v>12.76</v>
      </c>
      <c r="G872">
        <v>13.85</v>
      </c>
      <c r="K872">
        <v>1.3109999999999999</v>
      </c>
      <c r="L872">
        <v>195</v>
      </c>
      <c r="M872">
        <v>0</v>
      </c>
      <c r="O872">
        <v>-12.17</v>
      </c>
      <c r="P872">
        <v>-11.47</v>
      </c>
      <c r="Q872">
        <v>13.99</v>
      </c>
      <c r="S872">
        <v>12.32</v>
      </c>
      <c r="T872">
        <v>0</v>
      </c>
      <c r="U872">
        <v>88.4</v>
      </c>
      <c r="V872">
        <v>813</v>
      </c>
      <c r="W872">
        <v>33.93</v>
      </c>
      <c r="Y872">
        <v>12.97</v>
      </c>
    </row>
    <row r="873" spans="1:25" x14ac:dyDescent="0.25">
      <c r="A873">
        <v>2007</v>
      </c>
      <c r="B873">
        <v>113</v>
      </c>
      <c r="C873">
        <v>200</v>
      </c>
      <c r="D873">
        <v>-1.1990000000000001</v>
      </c>
      <c r="E873">
        <v>-18.7</v>
      </c>
      <c r="F873">
        <v>12.57</v>
      </c>
      <c r="G873">
        <v>13.66</v>
      </c>
      <c r="K873">
        <v>1.8879999999999999</v>
      </c>
      <c r="L873">
        <v>201.3</v>
      </c>
      <c r="M873">
        <v>0</v>
      </c>
      <c r="O873">
        <v>-12.17</v>
      </c>
      <c r="P873">
        <v>-11.47</v>
      </c>
      <c r="Q873">
        <v>13.82</v>
      </c>
      <c r="S873">
        <v>12.29</v>
      </c>
      <c r="T873">
        <v>0</v>
      </c>
      <c r="U873">
        <v>88.4</v>
      </c>
      <c r="V873">
        <v>814</v>
      </c>
      <c r="W873">
        <v>33.99</v>
      </c>
      <c r="Y873">
        <v>12.93</v>
      </c>
    </row>
    <row r="874" spans="1:25" x14ac:dyDescent="0.25">
      <c r="A874">
        <v>2007</v>
      </c>
      <c r="B874">
        <v>113</v>
      </c>
      <c r="C874">
        <v>300</v>
      </c>
      <c r="D874">
        <v>-1.244</v>
      </c>
      <c r="E874">
        <v>-15.06</v>
      </c>
      <c r="F874">
        <v>11.94</v>
      </c>
      <c r="G874">
        <v>12.98</v>
      </c>
      <c r="K874">
        <v>1.6890000000000001</v>
      </c>
      <c r="L874">
        <v>189.2</v>
      </c>
      <c r="M874">
        <v>0</v>
      </c>
      <c r="O874">
        <v>-12.17</v>
      </c>
      <c r="P874">
        <v>-11.47</v>
      </c>
      <c r="Q874">
        <v>13.71</v>
      </c>
      <c r="S874">
        <v>12.25</v>
      </c>
      <c r="T874">
        <v>0</v>
      </c>
      <c r="U874">
        <v>88.6</v>
      </c>
      <c r="V874">
        <v>817</v>
      </c>
      <c r="W874">
        <v>34.15</v>
      </c>
      <c r="Y874">
        <v>12.9</v>
      </c>
    </row>
    <row r="875" spans="1:25" x14ac:dyDescent="0.25">
      <c r="A875">
        <v>2007</v>
      </c>
      <c r="B875">
        <v>113</v>
      </c>
      <c r="C875">
        <v>400</v>
      </c>
      <c r="D875">
        <v>-0.63100000000000001</v>
      </c>
      <c r="E875">
        <v>-5.508</v>
      </c>
      <c r="F875">
        <v>11.87</v>
      </c>
      <c r="G875">
        <v>12.93</v>
      </c>
      <c r="K875">
        <v>1.819</v>
      </c>
      <c r="L875">
        <v>184.3</v>
      </c>
      <c r="M875">
        <v>0</v>
      </c>
      <c r="O875">
        <v>-12.17</v>
      </c>
      <c r="P875">
        <v>-11.47</v>
      </c>
      <c r="Q875">
        <v>13.6</v>
      </c>
      <c r="S875">
        <v>12.26</v>
      </c>
      <c r="T875">
        <v>0</v>
      </c>
      <c r="U875">
        <v>88.5</v>
      </c>
      <c r="V875">
        <v>820</v>
      </c>
      <c r="W875">
        <v>34.31</v>
      </c>
      <c r="Y875">
        <v>12.88</v>
      </c>
    </row>
    <row r="876" spans="1:25" x14ac:dyDescent="0.25">
      <c r="A876">
        <v>2007</v>
      </c>
      <c r="B876">
        <v>113</v>
      </c>
      <c r="C876">
        <v>500</v>
      </c>
      <c r="D876">
        <v>-1.26</v>
      </c>
      <c r="E876">
        <v>-10.9</v>
      </c>
      <c r="F876">
        <v>11.81</v>
      </c>
      <c r="G876">
        <v>12.75</v>
      </c>
      <c r="K876">
        <v>1.5109999999999999</v>
      </c>
      <c r="L876">
        <v>167.2</v>
      </c>
      <c r="M876">
        <v>0</v>
      </c>
      <c r="O876">
        <v>-11.9</v>
      </c>
      <c r="P876">
        <v>-11.38</v>
      </c>
      <c r="Q876">
        <v>13.47</v>
      </c>
      <c r="S876">
        <v>12.18</v>
      </c>
      <c r="T876">
        <v>0</v>
      </c>
      <c r="U876">
        <v>89.6</v>
      </c>
      <c r="V876">
        <v>821</v>
      </c>
      <c r="W876">
        <v>34.36</v>
      </c>
      <c r="Y876">
        <v>12.87</v>
      </c>
    </row>
    <row r="877" spans="1:25" x14ac:dyDescent="0.25">
      <c r="A877">
        <v>2007</v>
      </c>
      <c r="B877">
        <v>113</v>
      </c>
      <c r="C877">
        <v>600</v>
      </c>
      <c r="D877">
        <v>3.52</v>
      </c>
      <c r="E877">
        <v>-4.6550000000000002</v>
      </c>
      <c r="F877">
        <v>11.92</v>
      </c>
      <c r="G877">
        <v>12.96</v>
      </c>
      <c r="K877">
        <v>1.6919999999999999</v>
      </c>
      <c r="L877">
        <v>168.2</v>
      </c>
      <c r="M877">
        <v>0</v>
      </c>
      <c r="O877">
        <v>-5.0179999999999998</v>
      </c>
      <c r="P877">
        <v>-9.4700000000000006</v>
      </c>
      <c r="Q877">
        <v>13.36</v>
      </c>
      <c r="S877">
        <v>12.12</v>
      </c>
      <c r="T877">
        <v>0</v>
      </c>
      <c r="U877">
        <v>88.7</v>
      </c>
      <c r="V877">
        <v>821</v>
      </c>
      <c r="W877">
        <v>34.380000000000003</v>
      </c>
      <c r="Y877">
        <v>12.86</v>
      </c>
    </row>
    <row r="878" spans="1:25" x14ac:dyDescent="0.25">
      <c r="A878">
        <v>2007</v>
      </c>
      <c r="B878">
        <v>113</v>
      </c>
      <c r="C878">
        <v>700</v>
      </c>
      <c r="D878">
        <v>24.59</v>
      </c>
      <c r="E878">
        <v>9.43</v>
      </c>
      <c r="F878">
        <v>12.08</v>
      </c>
      <c r="G878">
        <v>13.25</v>
      </c>
      <c r="K878">
        <v>2.14</v>
      </c>
      <c r="L878">
        <v>173.3</v>
      </c>
      <c r="M878">
        <v>0</v>
      </c>
      <c r="O878">
        <v>23.32</v>
      </c>
      <c r="P878">
        <v>-1.583</v>
      </c>
      <c r="Q878">
        <v>13.29</v>
      </c>
      <c r="S878">
        <v>12.07</v>
      </c>
      <c r="T878">
        <v>0</v>
      </c>
      <c r="U878">
        <v>87.4</v>
      </c>
      <c r="V878">
        <v>821</v>
      </c>
      <c r="W878">
        <v>34.39</v>
      </c>
      <c r="Y878">
        <v>12.86</v>
      </c>
    </row>
    <row r="879" spans="1:25" x14ac:dyDescent="0.25">
      <c r="A879">
        <v>2007</v>
      </c>
      <c r="B879">
        <v>113</v>
      </c>
      <c r="C879">
        <v>800</v>
      </c>
      <c r="D879">
        <v>39.590000000000003</v>
      </c>
      <c r="E879">
        <v>19.48</v>
      </c>
      <c r="F879">
        <v>12.16</v>
      </c>
      <c r="G879">
        <v>13.33</v>
      </c>
      <c r="K879">
        <v>2.3149999999999999</v>
      </c>
      <c r="L879">
        <v>169.4</v>
      </c>
      <c r="M879">
        <v>0</v>
      </c>
      <c r="O879">
        <v>43.18</v>
      </c>
      <c r="P879">
        <v>3.359</v>
      </c>
      <c r="Q879">
        <v>13.24</v>
      </c>
      <c r="S879">
        <v>12.07</v>
      </c>
      <c r="T879">
        <v>0</v>
      </c>
      <c r="U879">
        <v>87.4</v>
      </c>
      <c r="V879">
        <v>823</v>
      </c>
      <c r="W879">
        <v>34.47</v>
      </c>
      <c r="Y879">
        <v>12.9</v>
      </c>
    </row>
    <row r="880" spans="1:25" x14ac:dyDescent="0.25">
      <c r="A880">
        <v>2007</v>
      </c>
      <c r="B880">
        <v>113</v>
      </c>
      <c r="C880">
        <v>900</v>
      </c>
      <c r="D880">
        <v>63.7</v>
      </c>
      <c r="E880">
        <v>35.57</v>
      </c>
      <c r="F880">
        <v>12.39</v>
      </c>
      <c r="G880">
        <v>13.38</v>
      </c>
      <c r="H880">
        <f>AVERAGE(G880:G903)</f>
        <v>13.900833333333331</v>
      </c>
      <c r="I880">
        <f>MIN(G880:G903)</f>
        <v>12.32</v>
      </c>
      <c r="J880">
        <f>MAX(F880:F903)</f>
        <v>14.11</v>
      </c>
      <c r="K880">
        <v>2.3010000000000002</v>
      </c>
      <c r="L880">
        <v>184.2</v>
      </c>
      <c r="M880">
        <v>0.6</v>
      </c>
      <c r="N880">
        <f>SUM(M880:M903)</f>
        <v>3.4000000000000004</v>
      </c>
      <c r="O880">
        <v>78.8</v>
      </c>
      <c r="P880">
        <v>9.2799999999999994</v>
      </c>
      <c r="Q880">
        <v>13.22</v>
      </c>
      <c r="S880">
        <v>11.98</v>
      </c>
      <c r="T880">
        <v>0</v>
      </c>
      <c r="U880">
        <v>89.4</v>
      </c>
      <c r="V880">
        <v>823</v>
      </c>
      <c r="W880">
        <v>34.47</v>
      </c>
      <c r="Y880">
        <v>13.16</v>
      </c>
    </row>
    <row r="881" spans="1:25" x14ac:dyDescent="0.25">
      <c r="A881">
        <v>2007</v>
      </c>
      <c r="B881">
        <v>113</v>
      </c>
      <c r="C881">
        <v>1000</v>
      </c>
      <c r="D881">
        <v>100.9</v>
      </c>
      <c r="E881">
        <v>57.68</v>
      </c>
      <c r="F881">
        <v>12.76</v>
      </c>
      <c r="G881">
        <v>13.82</v>
      </c>
      <c r="K881">
        <v>2.5510000000000002</v>
      </c>
      <c r="L881">
        <v>189</v>
      </c>
      <c r="M881">
        <v>0.8</v>
      </c>
      <c r="O881">
        <v>130.69999999999999</v>
      </c>
      <c r="P881">
        <v>21.03</v>
      </c>
      <c r="Q881">
        <v>13.26</v>
      </c>
      <c r="S881">
        <v>11.96</v>
      </c>
      <c r="T881">
        <v>0</v>
      </c>
      <c r="U881">
        <v>88.8</v>
      </c>
      <c r="V881">
        <v>818</v>
      </c>
      <c r="W881">
        <v>34.229999999999997</v>
      </c>
      <c r="Y881">
        <v>13.55</v>
      </c>
    </row>
    <row r="882" spans="1:25" x14ac:dyDescent="0.25">
      <c r="A882">
        <v>2007</v>
      </c>
      <c r="B882">
        <v>113</v>
      </c>
      <c r="C882">
        <v>1200</v>
      </c>
      <c r="D882">
        <v>129.5</v>
      </c>
      <c r="E882">
        <v>78.2</v>
      </c>
      <c r="F882">
        <v>13.04</v>
      </c>
      <c r="G882">
        <v>14.31</v>
      </c>
      <c r="K882">
        <v>3.0139999999999998</v>
      </c>
      <c r="L882">
        <v>182.2</v>
      </c>
      <c r="M882">
        <v>0.8</v>
      </c>
      <c r="O882">
        <v>167.8</v>
      </c>
      <c r="P882">
        <v>31.81</v>
      </c>
      <c r="Q882">
        <v>13.4</v>
      </c>
      <c r="S882">
        <v>11.91</v>
      </c>
      <c r="T882">
        <v>0</v>
      </c>
      <c r="U882">
        <v>86.8</v>
      </c>
      <c r="V882">
        <v>818</v>
      </c>
      <c r="W882">
        <v>34.22</v>
      </c>
      <c r="Y882">
        <v>13.72</v>
      </c>
    </row>
    <row r="883" spans="1:25" x14ac:dyDescent="0.25">
      <c r="A883">
        <v>2007</v>
      </c>
      <c r="B883">
        <v>113</v>
      </c>
      <c r="C883">
        <v>1300</v>
      </c>
      <c r="D883">
        <v>95.3</v>
      </c>
      <c r="E883">
        <v>54.42</v>
      </c>
      <c r="F883">
        <v>13.09</v>
      </c>
      <c r="G883">
        <v>14.52</v>
      </c>
      <c r="K883">
        <v>3.4729999999999999</v>
      </c>
      <c r="L883">
        <v>195</v>
      </c>
      <c r="M883">
        <v>0</v>
      </c>
      <c r="O883">
        <v>119.5</v>
      </c>
      <c r="P883">
        <v>21.11</v>
      </c>
      <c r="Q883">
        <v>13.54</v>
      </c>
      <c r="S883">
        <v>11.94</v>
      </c>
      <c r="T883">
        <v>0</v>
      </c>
      <c r="U883">
        <v>85.2</v>
      </c>
      <c r="V883">
        <v>816</v>
      </c>
      <c r="W883">
        <v>34.090000000000003</v>
      </c>
      <c r="Y883">
        <v>13.63</v>
      </c>
    </row>
    <row r="884" spans="1:25" x14ac:dyDescent="0.25">
      <c r="A884">
        <v>2007</v>
      </c>
      <c r="B884">
        <v>113</v>
      </c>
      <c r="C884">
        <v>1400</v>
      </c>
      <c r="D884">
        <v>145.69999999999999</v>
      </c>
      <c r="E884">
        <v>89.3</v>
      </c>
      <c r="F884">
        <v>13.35</v>
      </c>
      <c r="G884">
        <v>14.74</v>
      </c>
      <c r="K884">
        <v>3.472</v>
      </c>
      <c r="L884">
        <v>204.8</v>
      </c>
      <c r="M884">
        <v>0.2</v>
      </c>
      <c r="O884">
        <v>183.7</v>
      </c>
      <c r="P884">
        <v>35.840000000000003</v>
      </c>
      <c r="Q884">
        <v>13.64</v>
      </c>
      <c r="S884">
        <v>11.97</v>
      </c>
      <c r="T884">
        <v>0</v>
      </c>
      <c r="U884">
        <v>85.7</v>
      </c>
      <c r="V884">
        <v>817</v>
      </c>
      <c r="W884">
        <v>34.15</v>
      </c>
      <c r="Y884">
        <v>13.68</v>
      </c>
    </row>
    <row r="885" spans="1:25" x14ac:dyDescent="0.25">
      <c r="A885">
        <v>2007</v>
      </c>
      <c r="B885">
        <v>113</v>
      </c>
      <c r="C885">
        <v>1500</v>
      </c>
      <c r="D885">
        <v>218.6</v>
      </c>
      <c r="E885">
        <v>140.5</v>
      </c>
      <c r="F885">
        <v>14.07</v>
      </c>
      <c r="G885">
        <v>15.49</v>
      </c>
      <c r="K885">
        <v>3.3719999999999999</v>
      </c>
      <c r="L885">
        <v>207.4</v>
      </c>
      <c r="M885">
        <v>0</v>
      </c>
      <c r="O885">
        <v>268.8</v>
      </c>
      <c r="P885">
        <v>55.9</v>
      </c>
      <c r="Q885">
        <v>13.77</v>
      </c>
      <c r="S885">
        <v>12.05</v>
      </c>
      <c r="T885">
        <v>0</v>
      </c>
      <c r="U885">
        <v>85.8</v>
      </c>
      <c r="V885">
        <v>814</v>
      </c>
      <c r="W885">
        <v>33.97</v>
      </c>
      <c r="Y885">
        <v>13.86</v>
      </c>
    </row>
    <row r="886" spans="1:25" x14ac:dyDescent="0.25">
      <c r="A886">
        <v>2007</v>
      </c>
      <c r="B886">
        <v>113</v>
      </c>
      <c r="C886">
        <v>1600</v>
      </c>
      <c r="D886">
        <v>164.8</v>
      </c>
      <c r="E886">
        <v>104.4</v>
      </c>
      <c r="F886">
        <v>14.11</v>
      </c>
      <c r="G886">
        <v>15.63</v>
      </c>
      <c r="K886">
        <v>3.1549999999999998</v>
      </c>
      <c r="L886">
        <v>212.4</v>
      </c>
      <c r="M886">
        <v>0</v>
      </c>
      <c r="O886">
        <v>202.3</v>
      </c>
      <c r="P886">
        <v>42.71</v>
      </c>
      <c r="Q886">
        <v>13.96</v>
      </c>
      <c r="S886">
        <v>12.06</v>
      </c>
      <c r="T886">
        <v>0</v>
      </c>
      <c r="U886">
        <v>84.8</v>
      </c>
      <c r="V886">
        <v>813</v>
      </c>
      <c r="W886">
        <v>33.93</v>
      </c>
      <c r="Y886">
        <v>13.79</v>
      </c>
    </row>
    <row r="887" spans="1:25" x14ac:dyDescent="0.25">
      <c r="A887">
        <v>2007</v>
      </c>
      <c r="B887">
        <v>113</v>
      </c>
      <c r="C887">
        <v>1700</v>
      </c>
      <c r="D887">
        <v>173.8</v>
      </c>
      <c r="E887">
        <v>105.4</v>
      </c>
      <c r="F887">
        <v>14.03</v>
      </c>
      <c r="G887">
        <v>15.57</v>
      </c>
      <c r="K887">
        <v>2.9780000000000002</v>
      </c>
      <c r="L887">
        <v>216.4</v>
      </c>
      <c r="M887">
        <v>0</v>
      </c>
      <c r="O887">
        <v>213.5</v>
      </c>
      <c r="P887">
        <v>51.29</v>
      </c>
      <c r="Q887">
        <v>14.14</v>
      </c>
      <c r="S887">
        <v>12.11</v>
      </c>
      <c r="T887">
        <v>0</v>
      </c>
      <c r="U887">
        <v>84.6</v>
      </c>
      <c r="V887">
        <v>813</v>
      </c>
      <c r="W887">
        <v>33.93</v>
      </c>
      <c r="Y887">
        <v>13.77</v>
      </c>
    </row>
    <row r="888" spans="1:25" x14ac:dyDescent="0.25">
      <c r="A888">
        <v>2007</v>
      </c>
      <c r="B888">
        <v>113</v>
      </c>
      <c r="C888">
        <v>1800</v>
      </c>
      <c r="D888">
        <v>107.4</v>
      </c>
      <c r="E888">
        <v>57.79</v>
      </c>
      <c r="F888">
        <v>13.63</v>
      </c>
      <c r="G888">
        <v>15.13</v>
      </c>
      <c r="K888">
        <v>3.073</v>
      </c>
      <c r="L888">
        <v>220.9</v>
      </c>
      <c r="M888">
        <v>0</v>
      </c>
      <c r="O888">
        <v>126.5</v>
      </c>
      <c r="P888">
        <v>27.56</v>
      </c>
      <c r="Q888">
        <v>14.26</v>
      </c>
      <c r="S888">
        <v>12.16</v>
      </c>
      <c r="T888">
        <v>0</v>
      </c>
      <c r="U888">
        <v>84.8</v>
      </c>
      <c r="V888">
        <v>812</v>
      </c>
      <c r="W888">
        <v>33.880000000000003</v>
      </c>
      <c r="Y888">
        <v>13.69</v>
      </c>
    </row>
    <row r="889" spans="1:25" x14ac:dyDescent="0.25">
      <c r="A889">
        <v>2007</v>
      </c>
      <c r="B889">
        <v>113</v>
      </c>
      <c r="C889">
        <v>1900</v>
      </c>
      <c r="D889">
        <v>48.62</v>
      </c>
      <c r="E889">
        <v>18.97</v>
      </c>
      <c r="F889">
        <v>13.47</v>
      </c>
      <c r="G889">
        <v>14.55</v>
      </c>
      <c r="K889">
        <v>2.133</v>
      </c>
      <c r="L889">
        <v>208.8</v>
      </c>
      <c r="M889">
        <v>0</v>
      </c>
      <c r="O889">
        <v>56</v>
      </c>
      <c r="P889">
        <v>6.7350000000000003</v>
      </c>
      <c r="Q889">
        <v>14.38</v>
      </c>
      <c r="S889">
        <v>12.27</v>
      </c>
      <c r="T889">
        <v>0</v>
      </c>
      <c r="U889">
        <v>88.8</v>
      </c>
      <c r="V889">
        <v>811</v>
      </c>
      <c r="W889">
        <v>33.82</v>
      </c>
      <c r="Y889">
        <v>13.54</v>
      </c>
    </row>
    <row r="890" spans="1:25" x14ac:dyDescent="0.25">
      <c r="A890">
        <v>2007</v>
      </c>
      <c r="B890">
        <v>113</v>
      </c>
      <c r="C890">
        <v>2000</v>
      </c>
      <c r="D890">
        <v>13.74</v>
      </c>
      <c r="E890">
        <v>-6.1349999999999998</v>
      </c>
      <c r="F890">
        <v>13.22</v>
      </c>
      <c r="G890">
        <v>14.53</v>
      </c>
      <c r="K890">
        <v>1.9550000000000001</v>
      </c>
      <c r="L890">
        <v>200.4</v>
      </c>
      <c r="M890">
        <v>0</v>
      </c>
      <c r="O890">
        <v>9.39</v>
      </c>
      <c r="P890">
        <v>-2.7759999999999998</v>
      </c>
      <c r="Q890">
        <v>14.36</v>
      </c>
      <c r="S890">
        <v>12.29</v>
      </c>
      <c r="T890">
        <v>0</v>
      </c>
      <c r="U890">
        <v>86.4</v>
      </c>
      <c r="V890">
        <v>811</v>
      </c>
      <c r="W890">
        <v>33.86</v>
      </c>
      <c r="Y890">
        <v>13.42</v>
      </c>
    </row>
    <row r="891" spans="1:25" x14ac:dyDescent="0.25">
      <c r="A891">
        <v>2007</v>
      </c>
      <c r="B891">
        <v>113</v>
      </c>
      <c r="C891">
        <v>2100</v>
      </c>
      <c r="D891">
        <v>-1.1850000000000001</v>
      </c>
      <c r="E891">
        <v>-15.64</v>
      </c>
      <c r="F891">
        <v>12.95</v>
      </c>
      <c r="G891">
        <v>14.34</v>
      </c>
      <c r="K891">
        <v>2.5289999999999999</v>
      </c>
      <c r="L891">
        <v>197.5</v>
      </c>
      <c r="M891">
        <v>0</v>
      </c>
      <c r="O891">
        <v>-12.12</v>
      </c>
      <c r="P891">
        <v>-11.47</v>
      </c>
      <c r="Q891">
        <v>14.27</v>
      </c>
      <c r="S891">
        <v>12.3</v>
      </c>
      <c r="T891">
        <v>0</v>
      </c>
      <c r="U891">
        <v>85.6</v>
      </c>
      <c r="V891">
        <v>812</v>
      </c>
      <c r="W891">
        <v>33.880000000000003</v>
      </c>
      <c r="Y891">
        <v>13.32</v>
      </c>
    </row>
    <row r="892" spans="1:25" x14ac:dyDescent="0.25">
      <c r="A892">
        <v>2007</v>
      </c>
      <c r="B892">
        <v>113</v>
      </c>
      <c r="C892">
        <v>2200</v>
      </c>
      <c r="D892">
        <v>-1.1639999999999999</v>
      </c>
      <c r="E892">
        <v>-14.94</v>
      </c>
      <c r="F892">
        <v>12.66</v>
      </c>
      <c r="G892">
        <v>13.98</v>
      </c>
      <c r="K892">
        <v>2.089</v>
      </c>
      <c r="L892">
        <v>204.5</v>
      </c>
      <c r="M892">
        <v>0</v>
      </c>
      <c r="O892">
        <v>-12.17</v>
      </c>
      <c r="P892">
        <v>-11.47</v>
      </c>
      <c r="Q892">
        <v>14.12</v>
      </c>
      <c r="S892">
        <v>12.32</v>
      </c>
      <c r="T892">
        <v>0</v>
      </c>
      <c r="U892">
        <v>86.2</v>
      </c>
      <c r="V892">
        <v>816</v>
      </c>
      <c r="W892">
        <v>34.090000000000003</v>
      </c>
      <c r="Y892">
        <v>13.23</v>
      </c>
    </row>
    <row r="893" spans="1:25" x14ac:dyDescent="0.25">
      <c r="A893">
        <v>2007</v>
      </c>
      <c r="B893">
        <v>113</v>
      </c>
      <c r="C893">
        <v>2300</v>
      </c>
      <c r="D893">
        <v>-0.72299999999999998</v>
      </c>
      <c r="E893">
        <v>-8.07</v>
      </c>
      <c r="F893">
        <v>12.48</v>
      </c>
      <c r="G893">
        <v>13.71</v>
      </c>
      <c r="K893">
        <v>2.0739999999999998</v>
      </c>
      <c r="L893">
        <v>197.7</v>
      </c>
      <c r="M893">
        <v>0</v>
      </c>
      <c r="O893">
        <v>-12.17</v>
      </c>
      <c r="P893">
        <v>-11.47</v>
      </c>
      <c r="Q893">
        <v>13.97</v>
      </c>
      <c r="S893">
        <v>12.29</v>
      </c>
      <c r="T893">
        <v>0</v>
      </c>
      <c r="U893">
        <v>87</v>
      </c>
      <c r="V893">
        <v>818</v>
      </c>
      <c r="W893">
        <v>34.200000000000003</v>
      </c>
      <c r="Y893">
        <v>13.15</v>
      </c>
    </row>
    <row r="894" spans="1:25" x14ac:dyDescent="0.25">
      <c r="A894">
        <v>2007</v>
      </c>
      <c r="B894">
        <v>113</v>
      </c>
      <c r="C894">
        <v>2400</v>
      </c>
      <c r="D894">
        <v>-0.94899999999999995</v>
      </c>
      <c r="E894">
        <v>-11.93</v>
      </c>
      <c r="F894">
        <v>12.35</v>
      </c>
      <c r="G894">
        <v>13.58</v>
      </c>
      <c r="K894">
        <v>2.02</v>
      </c>
      <c r="L894">
        <v>203.6</v>
      </c>
      <c r="M894">
        <v>0</v>
      </c>
      <c r="O894">
        <v>-12.17</v>
      </c>
      <c r="P894">
        <v>-11.47</v>
      </c>
      <c r="Q894">
        <v>13.84</v>
      </c>
      <c r="S894">
        <v>12.31</v>
      </c>
      <c r="T894">
        <v>0</v>
      </c>
      <c r="U894">
        <v>86.9</v>
      </c>
      <c r="V894">
        <v>816</v>
      </c>
      <c r="W894">
        <v>34.119999999999997</v>
      </c>
      <c r="Y894">
        <v>13.08</v>
      </c>
    </row>
    <row r="895" spans="1:25" x14ac:dyDescent="0.25">
      <c r="A895">
        <v>2007</v>
      </c>
      <c r="B895">
        <v>114</v>
      </c>
      <c r="C895">
        <v>100</v>
      </c>
      <c r="D895">
        <v>-0.749</v>
      </c>
      <c r="E895">
        <v>-9.01</v>
      </c>
      <c r="F895">
        <v>12.26</v>
      </c>
      <c r="G895">
        <v>13.47</v>
      </c>
      <c r="K895">
        <v>2.1219999999999999</v>
      </c>
      <c r="L895">
        <v>202.1</v>
      </c>
      <c r="M895">
        <v>0</v>
      </c>
      <c r="O895">
        <v>-12.17</v>
      </c>
      <c r="P895">
        <v>-11.47</v>
      </c>
      <c r="Q895">
        <v>13.78</v>
      </c>
      <c r="S895">
        <v>12.37</v>
      </c>
      <c r="T895">
        <v>0</v>
      </c>
      <c r="U895">
        <v>87.1</v>
      </c>
      <c r="V895">
        <v>818</v>
      </c>
      <c r="W895">
        <v>34.24</v>
      </c>
      <c r="Y895">
        <v>13.01</v>
      </c>
    </row>
    <row r="896" spans="1:25" x14ac:dyDescent="0.25">
      <c r="A896">
        <v>2007</v>
      </c>
      <c r="B896">
        <v>114</v>
      </c>
      <c r="C896">
        <v>200</v>
      </c>
      <c r="D896">
        <v>-0.68899999999999995</v>
      </c>
      <c r="E896">
        <v>-9.16</v>
      </c>
      <c r="F896">
        <v>12.11</v>
      </c>
      <c r="G896">
        <v>13.3</v>
      </c>
      <c r="K896">
        <v>2.0880000000000001</v>
      </c>
      <c r="L896">
        <v>205.4</v>
      </c>
      <c r="M896">
        <v>0</v>
      </c>
      <c r="O896">
        <v>-12.17</v>
      </c>
      <c r="P896">
        <v>-11.48</v>
      </c>
      <c r="Q896">
        <v>13.67</v>
      </c>
      <c r="S896">
        <v>12.3</v>
      </c>
      <c r="T896">
        <v>0</v>
      </c>
      <c r="U896">
        <v>87.2</v>
      </c>
      <c r="V896">
        <v>816</v>
      </c>
      <c r="W896">
        <v>34.090000000000003</v>
      </c>
      <c r="Y896">
        <v>12.96</v>
      </c>
    </row>
    <row r="897" spans="1:25" x14ac:dyDescent="0.25">
      <c r="A897">
        <v>2007</v>
      </c>
      <c r="B897">
        <v>114</v>
      </c>
      <c r="C897">
        <v>300</v>
      </c>
      <c r="D897">
        <v>-1.5569999999999999</v>
      </c>
      <c r="E897">
        <v>-20.85</v>
      </c>
      <c r="F897">
        <v>11.74</v>
      </c>
      <c r="G897">
        <v>12.83</v>
      </c>
      <c r="K897">
        <v>2.0139999999999998</v>
      </c>
      <c r="L897">
        <v>204</v>
      </c>
      <c r="M897">
        <v>0</v>
      </c>
      <c r="O897">
        <v>-12.17</v>
      </c>
      <c r="P897">
        <v>-11.48</v>
      </c>
      <c r="Q897">
        <v>13.55</v>
      </c>
      <c r="S897">
        <v>12.28</v>
      </c>
      <c r="T897">
        <v>0</v>
      </c>
      <c r="U897">
        <v>88.1</v>
      </c>
      <c r="V897">
        <v>816</v>
      </c>
      <c r="W897">
        <v>34.119999999999997</v>
      </c>
      <c r="Y897">
        <v>12.92</v>
      </c>
    </row>
    <row r="898" spans="1:25" x14ac:dyDescent="0.25">
      <c r="A898">
        <v>2007</v>
      </c>
      <c r="B898">
        <v>114</v>
      </c>
      <c r="C898">
        <v>400</v>
      </c>
      <c r="D898">
        <v>-1.085</v>
      </c>
      <c r="E898">
        <v>-8.58</v>
      </c>
      <c r="F898">
        <v>11.77</v>
      </c>
      <c r="G898">
        <v>12.83</v>
      </c>
      <c r="K898">
        <v>1.9450000000000001</v>
      </c>
      <c r="L898">
        <v>201.7</v>
      </c>
      <c r="M898">
        <v>0</v>
      </c>
      <c r="O898">
        <v>-12.17</v>
      </c>
      <c r="P898">
        <v>-11.47</v>
      </c>
      <c r="Q898">
        <v>13.41</v>
      </c>
      <c r="S898">
        <v>12.18</v>
      </c>
      <c r="T898">
        <v>0</v>
      </c>
      <c r="U898">
        <v>88.3</v>
      </c>
      <c r="V898">
        <v>816</v>
      </c>
      <c r="W898">
        <v>34.119999999999997</v>
      </c>
      <c r="Y898">
        <v>12.89</v>
      </c>
    </row>
    <row r="899" spans="1:25" x14ac:dyDescent="0.25">
      <c r="A899">
        <v>2007</v>
      </c>
      <c r="B899">
        <v>114</v>
      </c>
      <c r="C899">
        <v>500</v>
      </c>
      <c r="D899">
        <v>-0.97499999999999998</v>
      </c>
      <c r="E899">
        <v>-16.41</v>
      </c>
      <c r="F899">
        <v>11.58</v>
      </c>
      <c r="G899">
        <v>12.57</v>
      </c>
      <c r="K899">
        <v>1.833</v>
      </c>
      <c r="L899">
        <v>216.8</v>
      </c>
      <c r="M899">
        <v>0</v>
      </c>
      <c r="O899">
        <v>-11.68</v>
      </c>
      <c r="P899">
        <v>-11.29</v>
      </c>
      <c r="Q899">
        <v>13.3</v>
      </c>
      <c r="S899">
        <v>12.17</v>
      </c>
      <c r="T899">
        <v>0</v>
      </c>
      <c r="U899">
        <v>89.1</v>
      </c>
      <c r="V899">
        <v>813</v>
      </c>
      <c r="W899">
        <v>33.93</v>
      </c>
      <c r="Y899">
        <v>12.87</v>
      </c>
    </row>
    <row r="900" spans="1:25" x14ac:dyDescent="0.25">
      <c r="A900">
        <v>2007</v>
      </c>
      <c r="B900">
        <v>114</v>
      </c>
      <c r="C900">
        <v>600</v>
      </c>
      <c r="D900">
        <v>5.6920000000000002</v>
      </c>
      <c r="E900">
        <v>-0.54900000000000004</v>
      </c>
      <c r="F900">
        <v>11.56</v>
      </c>
      <c r="G900">
        <v>12.32</v>
      </c>
      <c r="K900">
        <v>1.244</v>
      </c>
      <c r="L900">
        <v>223.1</v>
      </c>
      <c r="M900">
        <v>0.8</v>
      </c>
      <c r="O900">
        <v>-2.0790000000000002</v>
      </c>
      <c r="P900">
        <v>-8.9600000000000009</v>
      </c>
      <c r="Q900">
        <v>13.19</v>
      </c>
      <c r="S900">
        <v>12.07</v>
      </c>
      <c r="T900">
        <v>0</v>
      </c>
      <c r="U900">
        <v>91.5</v>
      </c>
      <c r="V900">
        <v>822</v>
      </c>
      <c r="W900">
        <v>34.46</v>
      </c>
      <c r="Y900">
        <v>12.86</v>
      </c>
    </row>
    <row r="901" spans="1:25" x14ac:dyDescent="0.25">
      <c r="A901">
        <v>2007</v>
      </c>
      <c r="B901">
        <v>114</v>
      </c>
      <c r="C901">
        <v>700</v>
      </c>
      <c r="D901">
        <v>84.8</v>
      </c>
      <c r="E901">
        <v>50.74</v>
      </c>
      <c r="F901">
        <v>11.68</v>
      </c>
      <c r="G901">
        <v>12.37</v>
      </c>
      <c r="K901">
        <v>1.446</v>
      </c>
      <c r="L901">
        <v>221.7</v>
      </c>
      <c r="M901">
        <v>0.2</v>
      </c>
      <c r="O901">
        <v>99.1</v>
      </c>
      <c r="P901">
        <v>14.26</v>
      </c>
      <c r="Q901">
        <v>13.11</v>
      </c>
      <c r="S901">
        <v>12.07</v>
      </c>
      <c r="T901">
        <v>0</v>
      </c>
      <c r="U901">
        <v>92.3</v>
      </c>
      <c r="V901">
        <v>823</v>
      </c>
      <c r="W901">
        <v>34.51</v>
      </c>
      <c r="Y901">
        <v>13.19</v>
      </c>
    </row>
    <row r="902" spans="1:25" x14ac:dyDescent="0.25">
      <c r="A902">
        <v>2007</v>
      </c>
      <c r="B902">
        <v>114</v>
      </c>
      <c r="C902">
        <v>800</v>
      </c>
      <c r="D902">
        <v>110.2</v>
      </c>
      <c r="E902">
        <v>66.510000000000005</v>
      </c>
      <c r="F902">
        <v>12.07</v>
      </c>
      <c r="G902">
        <v>12.95</v>
      </c>
      <c r="K902">
        <v>1.3380000000000001</v>
      </c>
      <c r="L902">
        <v>210.5</v>
      </c>
      <c r="M902">
        <v>0</v>
      </c>
      <c r="O902">
        <v>133.80000000000001</v>
      </c>
      <c r="P902">
        <v>22.54</v>
      </c>
      <c r="Q902">
        <v>13.14</v>
      </c>
      <c r="S902">
        <v>12.07</v>
      </c>
      <c r="T902">
        <v>0</v>
      </c>
      <c r="U902">
        <v>90.4</v>
      </c>
      <c r="V902">
        <v>818</v>
      </c>
      <c r="W902">
        <v>34.22</v>
      </c>
      <c r="Y902">
        <v>13.57</v>
      </c>
    </row>
    <row r="903" spans="1:25" x14ac:dyDescent="0.25">
      <c r="A903">
        <v>2007</v>
      </c>
      <c r="B903">
        <v>114</v>
      </c>
      <c r="C903">
        <v>900</v>
      </c>
      <c r="D903">
        <v>205</v>
      </c>
      <c r="E903">
        <v>130.19999999999999</v>
      </c>
      <c r="F903">
        <v>12.32</v>
      </c>
      <c r="G903">
        <v>13.7</v>
      </c>
      <c r="H903">
        <f>AVERAGE(G903:G926)</f>
        <v>12.680833333333332</v>
      </c>
      <c r="I903">
        <f>MIN(G903:G926)</f>
        <v>10.73</v>
      </c>
      <c r="J903">
        <f>MAX(F903:F926)</f>
        <v>13.93</v>
      </c>
      <c r="K903">
        <v>1.5880000000000001</v>
      </c>
      <c r="L903">
        <v>215</v>
      </c>
      <c r="M903">
        <v>0</v>
      </c>
      <c r="N903">
        <f>SUM(M903:M926)</f>
        <v>4.2</v>
      </c>
      <c r="O903">
        <v>246.7</v>
      </c>
      <c r="P903">
        <v>50.94</v>
      </c>
      <c r="Q903">
        <v>13.25</v>
      </c>
      <c r="S903">
        <v>12.02</v>
      </c>
      <c r="T903">
        <v>0</v>
      </c>
      <c r="U903">
        <v>85.4</v>
      </c>
      <c r="V903">
        <v>816</v>
      </c>
      <c r="W903">
        <v>34.119999999999997</v>
      </c>
      <c r="Y903">
        <v>13.85</v>
      </c>
    </row>
    <row r="904" spans="1:25" x14ac:dyDescent="0.25">
      <c r="A904">
        <v>2007</v>
      </c>
      <c r="B904">
        <v>114</v>
      </c>
      <c r="C904">
        <v>1000</v>
      </c>
      <c r="D904">
        <v>265.5</v>
      </c>
      <c r="E904">
        <v>164.6</v>
      </c>
      <c r="F904">
        <v>11.99</v>
      </c>
      <c r="G904">
        <v>13.44</v>
      </c>
      <c r="K904">
        <v>1.5289999999999999</v>
      </c>
      <c r="L904">
        <v>215</v>
      </c>
      <c r="M904">
        <v>0</v>
      </c>
      <c r="O904">
        <v>326</v>
      </c>
      <c r="P904">
        <v>75.3</v>
      </c>
      <c r="Q904">
        <v>13.44</v>
      </c>
      <c r="S904">
        <v>11.99</v>
      </c>
      <c r="T904">
        <v>0</v>
      </c>
      <c r="U904">
        <v>84.5</v>
      </c>
      <c r="V904">
        <v>814</v>
      </c>
      <c r="W904">
        <v>34.020000000000003</v>
      </c>
      <c r="Y904">
        <v>13.96</v>
      </c>
    </row>
    <row r="905" spans="1:25" x14ac:dyDescent="0.25">
      <c r="A905">
        <v>2007</v>
      </c>
      <c r="B905">
        <v>114</v>
      </c>
      <c r="C905">
        <v>1100</v>
      </c>
      <c r="D905">
        <v>340.1</v>
      </c>
      <c r="E905">
        <v>210.1</v>
      </c>
      <c r="F905">
        <v>13.02</v>
      </c>
      <c r="G905">
        <v>14.64</v>
      </c>
      <c r="K905">
        <v>1.151</v>
      </c>
      <c r="L905">
        <v>168.9</v>
      </c>
      <c r="M905">
        <v>0</v>
      </c>
      <c r="O905">
        <v>423.4</v>
      </c>
      <c r="P905">
        <v>111.6</v>
      </c>
      <c r="Q905">
        <v>13.73</v>
      </c>
      <c r="S905">
        <v>12.08</v>
      </c>
      <c r="T905">
        <v>0</v>
      </c>
      <c r="U905">
        <v>83.4</v>
      </c>
      <c r="V905">
        <v>811</v>
      </c>
      <c r="W905">
        <v>33.82</v>
      </c>
      <c r="Y905">
        <v>14.09</v>
      </c>
    </row>
    <row r="906" spans="1:25" x14ac:dyDescent="0.25">
      <c r="A906">
        <v>2007</v>
      </c>
      <c r="B906">
        <v>114</v>
      </c>
      <c r="C906">
        <v>1300</v>
      </c>
      <c r="D906">
        <v>342</v>
      </c>
      <c r="E906">
        <v>209</v>
      </c>
      <c r="F906">
        <v>13.58</v>
      </c>
      <c r="G906">
        <v>14.93</v>
      </c>
      <c r="K906">
        <v>2.1709999999999998</v>
      </c>
      <c r="L906">
        <v>118.4</v>
      </c>
      <c r="M906">
        <v>0</v>
      </c>
      <c r="O906">
        <v>422.2</v>
      </c>
      <c r="P906">
        <v>114.4</v>
      </c>
      <c r="Q906">
        <v>14.46</v>
      </c>
      <c r="S906">
        <v>12.18</v>
      </c>
      <c r="T906">
        <v>0</v>
      </c>
      <c r="U906">
        <v>86.2</v>
      </c>
      <c r="V906">
        <v>809</v>
      </c>
      <c r="W906">
        <v>33.71</v>
      </c>
      <c r="Y906">
        <v>14.07</v>
      </c>
    </row>
    <row r="907" spans="1:25" x14ac:dyDescent="0.25">
      <c r="A907">
        <v>2007</v>
      </c>
      <c r="B907">
        <v>114</v>
      </c>
      <c r="C907">
        <v>1400</v>
      </c>
      <c r="D907">
        <v>264.39999999999998</v>
      </c>
      <c r="E907">
        <v>154</v>
      </c>
      <c r="F907">
        <v>13.93</v>
      </c>
      <c r="G907">
        <v>15.75</v>
      </c>
      <c r="K907">
        <v>1.8939999999999999</v>
      </c>
      <c r="L907">
        <v>158.30000000000001</v>
      </c>
      <c r="M907">
        <v>0</v>
      </c>
      <c r="O907">
        <v>323.8</v>
      </c>
      <c r="P907">
        <v>88.1</v>
      </c>
      <c r="Q907">
        <v>14.8</v>
      </c>
      <c r="S907">
        <v>12.32</v>
      </c>
      <c r="T907">
        <v>0</v>
      </c>
      <c r="U907">
        <v>82</v>
      </c>
      <c r="V907">
        <v>808</v>
      </c>
      <c r="W907">
        <v>33.67</v>
      </c>
      <c r="Y907">
        <v>13.97</v>
      </c>
    </row>
    <row r="908" spans="1:25" x14ac:dyDescent="0.25">
      <c r="A908">
        <v>2007</v>
      </c>
      <c r="B908">
        <v>114</v>
      </c>
      <c r="C908">
        <v>1500</v>
      </c>
      <c r="D908">
        <v>222.2</v>
      </c>
      <c r="E908">
        <v>124.3</v>
      </c>
      <c r="F908">
        <v>13.86</v>
      </c>
      <c r="G908">
        <v>15.87</v>
      </c>
      <c r="K908">
        <v>2.1269999999999998</v>
      </c>
      <c r="L908">
        <v>134.69999999999999</v>
      </c>
      <c r="M908">
        <v>0</v>
      </c>
      <c r="O908">
        <v>266.7</v>
      </c>
      <c r="P908">
        <v>69.760000000000005</v>
      </c>
      <c r="Q908">
        <v>15.06</v>
      </c>
      <c r="S908">
        <v>12.44</v>
      </c>
      <c r="T908">
        <v>0</v>
      </c>
      <c r="U908">
        <v>80.3</v>
      </c>
      <c r="V908">
        <v>811</v>
      </c>
      <c r="W908">
        <v>33.85</v>
      </c>
      <c r="Y908">
        <v>13.91</v>
      </c>
    </row>
    <row r="909" spans="1:25" x14ac:dyDescent="0.25">
      <c r="A909">
        <v>2007</v>
      </c>
      <c r="B909">
        <v>114</v>
      </c>
      <c r="C909">
        <v>1600</v>
      </c>
      <c r="D909">
        <v>107.4</v>
      </c>
      <c r="E909">
        <v>55.48</v>
      </c>
      <c r="F909">
        <v>13.16</v>
      </c>
      <c r="G909">
        <v>14.9</v>
      </c>
      <c r="K909">
        <v>1.7809999999999999</v>
      </c>
      <c r="L909">
        <v>169.4</v>
      </c>
      <c r="M909">
        <v>0</v>
      </c>
      <c r="O909">
        <v>131.80000000000001</v>
      </c>
      <c r="P909">
        <v>33.270000000000003</v>
      </c>
      <c r="Q909">
        <v>15.21</v>
      </c>
      <c r="S909">
        <v>12.52</v>
      </c>
      <c r="T909">
        <v>0</v>
      </c>
      <c r="U909">
        <v>82.4</v>
      </c>
      <c r="V909">
        <v>810</v>
      </c>
      <c r="W909">
        <v>33.78</v>
      </c>
      <c r="Y909">
        <v>13.69</v>
      </c>
    </row>
    <row r="910" spans="1:25" x14ac:dyDescent="0.25">
      <c r="A910">
        <v>2007</v>
      </c>
      <c r="B910">
        <v>114</v>
      </c>
      <c r="C910">
        <v>1700</v>
      </c>
      <c r="D910">
        <v>106.1</v>
      </c>
      <c r="E910">
        <v>49.78</v>
      </c>
      <c r="F910">
        <v>12.77</v>
      </c>
      <c r="G910">
        <v>14.22</v>
      </c>
      <c r="K910">
        <v>1.6930000000000001</v>
      </c>
      <c r="L910">
        <v>168.8</v>
      </c>
      <c r="M910">
        <v>0</v>
      </c>
      <c r="O910">
        <v>127.3</v>
      </c>
      <c r="P910">
        <v>28.92</v>
      </c>
      <c r="Q910">
        <v>15.22</v>
      </c>
      <c r="S910">
        <v>12.59</v>
      </c>
      <c r="T910">
        <v>0</v>
      </c>
      <c r="U910">
        <v>84.9</v>
      </c>
      <c r="V910">
        <v>810</v>
      </c>
      <c r="W910">
        <v>33.76</v>
      </c>
      <c r="Y910">
        <v>13.66</v>
      </c>
    </row>
    <row r="911" spans="1:25" x14ac:dyDescent="0.25">
      <c r="A911">
        <v>2007</v>
      </c>
      <c r="B911">
        <v>114</v>
      </c>
      <c r="C911">
        <v>1800</v>
      </c>
      <c r="D911">
        <v>103.1</v>
      </c>
      <c r="E911">
        <v>44.89</v>
      </c>
      <c r="F911">
        <v>12.74</v>
      </c>
      <c r="G911">
        <v>14.29</v>
      </c>
      <c r="K911">
        <v>1.738</v>
      </c>
      <c r="L911">
        <v>155</v>
      </c>
      <c r="M911">
        <v>0</v>
      </c>
      <c r="O911">
        <v>122.1</v>
      </c>
      <c r="P911">
        <v>28.18</v>
      </c>
      <c r="Q911">
        <v>15.19</v>
      </c>
      <c r="S911">
        <v>12.69</v>
      </c>
      <c r="T911">
        <v>0</v>
      </c>
      <c r="U911">
        <v>83.9</v>
      </c>
      <c r="V911">
        <v>808</v>
      </c>
      <c r="W911">
        <v>33.67</v>
      </c>
      <c r="Y911">
        <v>13.64</v>
      </c>
    </row>
    <row r="912" spans="1:25" x14ac:dyDescent="0.25">
      <c r="A912">
        <v>2007</v>
      </c>
      <c r="B912">
        <v>114</v>
      </c>
      <c r="C912">
        <v>1900</v>
      </c>
      <c r="D912">
        <v>48.07</v>
      </c>
      <c r="E912">
        <v>4.2210000000000001</v>
      </c>
      <c r="F912">
        <v>12.21</v>
      </c>
      <c r="G912">
        <v>13.52</v>
      </c>
      <c r="K912">
        <v>1.6839999999999999</v>
      </c>
      <c r="L912">
        <v>134.19999999999999</v>
      </c>
      <c r="M912">
        <v>0</v>
      </c>
      <c r="O912">
        <v>51.13</v>
      </c>
      <c r="P912">
        <v>7.08</v>
      </c>
      <c r="Q912">
        <v>15.14</v>
      </c>
      <c r="S912">
        <v>12.74</v>
      </c>
      <c r="T912">
        <v>0</v>
      </c>
      <c r="U912">
        <v>86.1</v>
      </c>
      <c r="V912">
        <v>805</v>
      </c>
      <c r="W912">
        <v>33.49</v>
      </c>
      <c r="Y912">
        <v>13.52</v>
      </c>
    </row>
    <row r="913" spans="1:25" x14ac:dyDescent="0.25">
      <c r="A913">
        <v>2007</v>
      </c>
      <c r="B913">
        <v>114</v>
      </c>
      <c r="C913">
        <v>2000</v>
      </c>
      <c r="D913">
        <v>6.6459999999999999</v>
      </c>
      <c r="E913">
        <v>-14.15</v>
      </c>
      <c r="F913">
        <v>11.55</v>
      </c>
      <c r="G913">
        <v>12.61</v>
      </c>
      <c r="K913">
        <v>2.1080000000000001</v>
      </c>
      <c r="L913">
        <v>143.1</v>
      </c>
      <c r="M913">
        <v>0</v>
      </c>
      <c r="O913">
        <v>-2.089</v>
      </c>
      <c r="P913">
        <v>-8.48</v>
      </c>
      <c r="Q913">
        <v>14.96</v>
      </c>
      <c r="S913">
        <v>12.73</v>
      </c>
      <c r="T913">
        <v>0</v>
      </c>
      <c r="U913">
        <v>88.4</v>
      </c>
      <c r="V913">
        <v>805</v>
      </c>
      <c r="W913">
        <v>33.49</v>
      </c>
      <c r="Y913">
        <v>13.4</v>
      </c>
    </row>
    <row r="914" spans="1:25" x14ac:dyDescent="0.25">
      <c r="A914">
        <v>2007</v>
      </c>
      <c r="B914">
        <v>114</v>
      </c>
      <c r="C914">
        <v>2100</v>
      </c>
      <c r="D914">
        <v>-0.68200000000000005</v>
      </c>
      <c r="E914">
        <v>-10.31</v>
      </c>
      <c r="F914">
        <v>11.08</v>
      </c>
      <c r="G914">
        <v>12.26</v>
      </c>
      <c r="K914">
        <v>3.1469999999999998</v>
      </c>
      <c r="L914">
        <v>170.9</v>
      </c>
      <c r="M914">
        <v>0</v>
      </c>
      <c r="O914">
        <v>-12.16</v>
      </c>
      <c r="P914">
        <v>-11.47</v>
      </c>
      <c r="Q914">
        <v>14.78</v>
      </c>
      <c r="S914">
        <v>12.79</v>
      </c>
      <c r="T914">
        <v>0</v>
      </c>
      <c r="U914">
        <v>86.9</v>
      </c>
      <c r="V914">
        <v>807</v>
      </c>
      <c r="W914">
        <v>33.630000000000003</v>
      </c>
      <c r="Y914">
        <v>13.3</v>
      </c>
    </row>
    <row r="915" spans="1:25" x14ac:dyDescent="0.25">
      <c r="A915">
        <v>2007</v>
      </c>
      <c r="B915">
        <v>114</v>
      </c>
      <c r="C915">
        <v>2200</v>
      </c>
      <c r="D915">
        <v>-1.155</v>
      </c>
      <c r="E915">
        <v>-13.23</v>
      </c>
      <c r="F915">
        <v>10.64</v>
      </c>
      <c r="G915">
        <v>11.72</v>
      </c>
      <c r="K915">
        <v>2.492</v>
      </c>
      <c r="L915">
        <v>151.4</v>
      </c>
      <c r="M915">
        <v>0.8</v>
      </c>
      <c r="O915">
        <v>-12.17</v>
      </c>
      <c r="P915">
        <v>-11.47</v>
      </c>
      <c r="Q915">
        <v>14.56</v>
      </c>
      <c r="S915">
        <v>12.8</v>
      </c>
      <c r="T915">
        <v>0</v>
      </c>
      <c r="U915">
        <v>87.7</v>
      </c>
      <c r="V915">
        <v>809</v>
      </c>
      <c r="W915">
        <v>33.71</v>
      </c>
      <c r="Y915">
        <v>13.22</v>
      </c>
    </row>
    <row r="916" spans="1:25" x14ac:dyDescent="0.25">
      <c r="A916">
        <v>2007</v>
      </c>
      <c r="B916">
        <v>114</v>
      </c>
      <c r="C916">
        <v>2300</v>
      </c>
      <c r="D916">
        <v>-1.145</v>
      </c>
      <c r="E916">
        <v>-13.74</v>
      </c>
      <c r="F916">
        <v>10.09</v>
      </c>
      <c r="G916">
        <v>11.15</v>
      </c>
      <c r="K916">
        <v>2.665</v>
      </c>
      <c r="L916">
        <v>160</v>
      </c>
      <c r="M916">
        <v>1</v>
      </c>
      <c r="O916">
        <v>-12.17</v>
      </c>
      <c r="P916">
        <v>-11.47</v>
      </c>
      <c r="Q916">
        <v>14.31</v>
      </c>
      <c r="S916">
        <v>12.72</v>
      </c>
      <c r="T916">
        <v>0</v>
      </c>
      <c r="U916">
        <v>87.7</v>
      </c>
      <c r="V916">
        <v>809</v>
      </c>
      <c r="W916">
        <v>33.71</v>
      </c>
      <c r="Y916">
        <v>13.14</v>
      </c>
    </row>
    <row r="917" spans="1:25" x14ac:dyDescent="0.25">
      <c r="A917">
        <v>2007</v>
      </c>
      <c r="B917">
        <v>114</v>
      </c>
      <c r="C917">
        <v>2400</v>
      </c>
      <c r="D917">
        <v>-1.1479999999999999</v>
      </c>
      <c r="E917">
        <v>-13.26</v>
      </c>
      <c r="F917">
        <v>9.6999999999999993</v>
      </c>
      <c r="G917">
        <v>10.73</v>
      </c>
      <c r="K917">
        <v>1.8839999999999999</v>
      </c>
      <c r="L917">
        <v>141.30000000000001</v>
      </c>
      <c r="M917">
        <v>0.4</v>
      </c>
      <c r="O917">
        <v>-12.15</v>
      </c>
      <c r="P917">
        <v>-11.42</v>
      </c>
      <c r="Q917">
        <v>14.05</v>
      </c>
      <c r="S917">
        <v>12.63</v>
      </c>
      <c r="T917">
        <v>0</v>
      </c>
      <c r="U917">
        <v>87.9</v>
      </c>
      <c r="V917">
        <v>810</v>
      </c>
      <c r="W917">
        <v>33.799999999999997</v>
      </c>
      <c r="Y917">
        <v>13.07</v>
      </c>
    </row>
    <row r="918" spans="1:25" x14ac:dyDescent="0.25">
      <c r="A918">
        <v>2007</v>
      </c>
      <c r="B918">
        <v>115</v>
      </c>
      <c r="C918">
        <v>100</v>
      </c>
      <c r="D918">
        <v>-1.0289999999999999</v>
      </c>
      <c r="E918">
        <v>-9.01</v>
      </c>
      <c r="F918">
        <v>10</v>
      </c>
      <c r="G918">
        <v>11.02</v>
      </c>
      <c r="K918">
        <v>2.794</v>
      </c>
      <c r="L918">
        <v>160</v>
      </c>
      <c r="M918">
        <v>1.6</v>
      </c>
      <c r="O918">
        <v>-12.12</v>
      </c>
      <c r="P918">
        <v>-11.37</v>
      </c>
      <c r="Q918">
        <v>13.86</v>
      </c>
      <c r="S918">
        <v>12.6</v>
      </c>
      <c r="T918">
        <v>0</v>
      </c>
      <c r="U918">
        <v>88.2</v>
      </c>
      <c r="V918">
        <v>814</v>
      </c>
      <c r="W918">
        <v>33.979999999999997</v>
      </c>
      <c r="Y918">
        <v>13.01</v>
      </c>
    </row>
    <row r="919" spans="1:25" x14ac:dyDescent="0.25">
      <c r="A919">
        <v>2007</v>
      </c>
      <c r="B919">
        <v>115</v>
      </c>
      <c r="C919">
        <v>200</v>
      </c>
      <c r="D919">
        <v>-0.58499999999999996</v>
      </c>
      <c r="E919">
        <v>-8.06</v>
      </c>
      <c r="F919">
        <v>10.01</v>
      </c>
      <c r="G919">
        <v>11.01</v>
      </c>
      <c r="K919">
        <v>3.2549999999999999</v>
      </c>
      <c r="L919">
        <v>167.5</v>
      </c>
      <c r="M919">
        <v>0.2</v>
      </c>
      <c r="O919">
        <v>-12.08</v>
      </c>
      <c r="P919">
        <v>-11.29</v>
      </c>
      <c r="Q919">
        <v>13.66</v>
      </c>
      <c r="S919">
        <v>12.54</v>
      </c>
      <c r="T919">
        <v>0</v>
      </c>
      <c r="U919">
        <v>88.4</v>
      </c>
      <c r="V919">
        <v>811</v>
      </c>
      <c r="W919">
        <v>33.86</v>
      </c>
      <c r="Y919">
        <v>12.95</v>
      </c>
    </row>
    <row r="920" spans="1:25" x14ac:dyDescent="0.25">
      <c r="A920">
        <v>2007</v>
      </c>
      <c r="B920">
        <v>115</v>
      </c>
      <c r="C920">
        <v>300</v>
      </c>
      <c r="D920">
        <v>-0.57099999999999995</v>
      </c>
      <c r="E920">
        <v>-6.6840000000000002</v>
      </c>
      <c r="F920">
        <v>9.9499999999999993</v>
      </c>
      <c r="G920">
        <v>10.79</v>
      </c>
      <c r="K920">
        <v>3.0920000000000001</v>
      </c>
      <c r="L920">
        <v>168.5</v>
      </c>
      <c r="M920">
        <v>0</v>
      </c>
      <c r="O920">
        <v>-12.08</v>
      </c>
      <c r="P920">
        <v>-11.3</v>
      </c>
      <c r="Q920">
        <v>13.5</v>
      </c>
      <c r="S920">
        <v>12.47</v>
      </c>
      <c r="T920">
        <v>0</v>
      </c>
      <c r="U920">
        <v>90.1</v>
      </c>
      <c r="V920">
        <v>808</v>
      </c>
      <c r="W920">
        <v>33.659999999999997</v>
      </c>
      <c r="Y920">
        <v>12.91</v>
      </c>
    </row>
    <row r="921" spans="1:25" x14ac:dyDescent="0.25">
      <c r="A921">
        <v>2007</v>
      </c>
      <c r="B921">
        <v>115</v>
      </c>
      <c r="C921">
        <v>400</v>
      </c>
      <c r="D921">
        <v>-0.57299999999999995</v>
      </c>
      <c r="E921">
        <v>-6.1989999999999998</v>
      </c>
      <c r="F921">
        <v>10.02</v>
      </c>
      <c r="G921">
        <v>10.78</v>
      </c>
      <c r="K921">
        <v>2.399</v>
      </c>
      <c r="L921">
        <v>151.5</v>
      </c>
      <c r="M921">
        <v>0.2</v>
      </c>
      <c r="O921">
        <v>-12.04</v>
      </c>
      <c r="P921">
        <v>-11.3</v>
      </c>
      <c r="Q921">
        <v>13.36</v>
      </c>
      <c r="S921">
        <v>12.41</v>
      </c>
      <c r="T921">
        <v>0</v>
      </c>
      <c r="U921">
        <v>91.1</v>
      </c>
      <c r="V921">
        <v>806</v>
      </c>
      <c r="W921">
        <v>33.590000000000003</v>
      </c>
      <c r="Y921">
        <v>12.88</v>
      </c>
    </row>
    <row r="922" spans="1:25" x14ac:dyDescent="0.25">
      <c r="A922">
        <v>2007</v>
      </c>
      <c r="B922">
        <v>115</v>
      </c>
      <c r="C922">
        <v>500</v>
      </c>
      <c r="D922">
        <v>-0.31</v>
      </c>
      <c r="E922">
        <v>-5.8380000000000001</v>
      </c>
      <c r="F922">
        <v>10.220000000000001</v>
      </c>
      <c r="G922">
        <v>11.01</v>
      </c>
      <c r="K922">
        <v>2.1890000000000001</v>
      </c>
      <c r="L922">
        <v>124.2</v>
      </c>
      <c r="M922">
        <v>0</v>
      </c>
      <c r="O922">
        <v>-11.79</v>
      </c>
      <c r="P922">
        <v>-11.16</v>
      </c>
      <c r="Q922">
        <v>13.23</v>
      </c>
      <c r="S922">
        <v>12.35</v>
      </c>
      <c r="T922">
        <v>0</v>
      </c>
      <c r="U922">
        <v>90.8</v>
      </c>
      <c r="V922">
        <v>805</v>
      </c>
      <c r="W922">
        <v>33.54</v>
      </c>
      <c r="Y922">
        <v>12.86</v>
      </c>
    </row>
    <row r="923" spans="1:25" x14ac:dyDescent="0.25">
      <c r="A923">
        <v>2007</v>
      </c>
      <c r="B923">
        <v>115</v>
      </c>
      <c r="C923">
        <v>600</v>
      </c>
      <c r="D923">
        <v>7.76</v>
      </c>
      <c r="E923">
        <v>-0.124</v>
      </c>
      <c r="F923">
        <v>10.43</v>
      </c>
      <c r="G923">
        <v>11.28</v>
      </c>
      <c r="K923">
        <v>2.101</v>
      </c>
      <c r="L923">
        <v>127.8</v>
      </c>
      <c r="M923">
        <v>0</v>
      </c>
      <c r="O923">
        <v>-0.42699999999999999</v>
      </c>
      <c r="P923">
        <v>-8.32</v>
      </c>
      <c r="Q923">
        <v>13.12</v>
      </c>
      <c r="S923">
        <v>12.27</v>
      </c>
      <c r="T923">
        <v>0</v>
      </c>
      <c r="U923">
        <v>90.2</v>
      </c>
      <c r="V923">
        <v>810</v>
      </c>
      <c r="W923">
        <v>33.76</v>
      </c>
      <c r="Y923">
        <v>12.85</v>
      </c>
    </row>
    <row r="924" spans="1:25" x14ac:dyDescent="0.25">
      <c r="A924">
        <v>2007</v>
      </c>
      <c r="B924">
        <v>115</v>
      </c>
      <c r="C924">
        <v>700</v>
      </c>
      <c r="D924">
        <v>92.9</v>
      </c>
      <c r="E924">
        <v>48.94</v>
      </c>
      <c r="F924">
        <v>10.34</v>
      </c>
      <c r="G924">
        <v>11.51</v>
      </c>
      <c r="K924">
        <v>2.9209999999999998</v>
      </c>
      <c r="L924">
        <v>166.3</v>
      </c>
      <c r="M924">
        <v>0</v>
      </c>
      <c r="O924">
        <v>111.2</v>
      </c>
      <c r="P924">
        <v>21.66</v>
      </c>
      <c r="Q924">
        <v>13.02</v>
      </c>
      <c r="S924">
        <v>12.15</v>
      </c>
      <c r="T924">
        <v>0</v>
      </c>
      <c r="U924">
        <v>86.7</v>
      </c>
      <c r="V924">
        <v>810</v>
      </c>
      <c r="W924">
        <v>33.78</v>
      </c>
      <c r="Y924">
        <v>13.27</v>
      </c>
    </row>
    <row r="925" spans="1:25" x14ac:dyDescent="0.25">
      <c r="A925">
        <v>2007</v>
      </c>
      <c r="B925">
        <v>115</v>
      </c>
      <c r="C925">
        <v>800</v>
      </c>
      <c r="D925">
        <v>196.9</v>
      </c>
      <c r="E925">
        <v>120.3</v>
      </c>
      <c r="F925">
        <v>10.14</v>
      </c>
      <c r="G925">
        <v>11.67</v>
      </c>
      <c r="K925">
        <v>2.7850000000000001</v>
      </c>
      <c r="L925">
        <v>172.4</v>
      </c>
      <c r="M925">
        <v>0</v>
      </c>
      <c r="O925">
        <v>248.8</v>
      </c>
      <c r="P925">
        <v>73.099999999999994</v>
      </c>
      <c r="Q925">
        <v>13</v>
      </c>
      <c r="S925">
        <v>12.12</v>
      </c>
      <c r="T925">
        <v>0</v>
      </c>
      <c r="U925">
        <v>82.7</v>
      </c>
      <c r="V925">
        <v>817</v>
      </c>
      <c r="W925">
        <v>34.18</v>
      </c>
      <c r="Y925">
        <v>14</v>
      </c>
    </row>
    <row r="926" spans="1:25" x14ac:dyDescent="0.25">
      <c r="A926">
        <v>2007</v>
      </c>
      <c r="B926">
        <v>115</v>
      </c>
      <c r="C926">
        <v>900</v>
      </c>
      <c r="D926">
        <v>233.8</v>
      </c>
      <c r="E926">
        <v>144.69999999999999</v>
      </c>
      <c r="F926">
        <v>9.91</v>
      </c>
      <c r="G926">
        <v>11.54</v>
      </c>
      <c r="H926">
        <f>AVERAGE(G926:G949)</f>
        <v>7.9086249999999998</v>
      </c>
      <c r="I926">
        <f>MIN(G926:G949)</f>
        <v>0.91600000000000004</v>
      </c>
      <c r="J926">
        <f>MAX(F926:F949)</f>
        <v>11.94</v>
      </c>
      <c r="K926">
        <v>3.2170000000000001</v>
      </c>
      <c r="L926">
        <v>167.6</v>
      </c>
      <c r="M926">
        <v>0</v>
      </c>
      <c r="N926">
        <f>SUM(M926:M949)</f>
        <v>1.5999999999999999</v>
      </c>
      <c r="O926">
        <v>287.10000000000002</v>
      </c>
      <c r="P926">
        <v>75.7</v>
      </c>
      <c r="Q926">
        <v>12.98</v>
      </c>
      <c r="S926">
        <v>12.07</v>
      </c>
      <c r="T926">
        <v>0</v>
      </c>
      <c r="U926">
        <v>81.599999999999994</v>
      </c>
      <c r="V926">
        <v>816</v>
      </c>
      <c r="W926">
        <v>34.130000000000003</v>
      </c>
      <c r="Y926">
        <v>14.04</v>
      </c>
    </row>
    <row r="927" spans="1:25" x14ac:dyDescent="0.25">
      <c r="A927">
        <v>2007</v>
      </c>
      <c r="B927">
        <v>115</v>
      </c>
      <c r="C927">
        <v>1000</v>
      </c>
      <c r="D927">
        <v>291.3</v>
      </c>
      <c r="E927">
        <v>177</v>
      </c>
      <c r="F927">
        <v>10.3</v>
      </c>
      <c r="G927">
        <v>11.91</v>
      </c>
      <c r="K927">
        <v>2.6139999999999999</v>
      </c>
      <c r="L927">
        <v>178.9</v>
      </c>
      <c r="M927">
        <v>0</v>
      </c>
      <c r="O927">
        <v>358.7</v>
      </c>
      <c r="P927">
        <v>95.1</v>
      </c>
      <c r="Q927">
        <v>13.06</v>
      </c>
      <c r="S927">
        <v>12.04</v>
      </c>
      <c r="T927">
        <v>0</v>
      </c>
      <c r="U927">
        <v>82</v>
      </c>
      <c r="V927">
        <v>815</v>
      </c>
      <c r="W927">
        <v>34.07</v>
      </c>
      <c r="Y927">
        <v>14.12</v>
      </c>
    </row>
    <row r="928" spans="1:25" x14ac:dyDescent="0.25">
      <c r="A928">
        <v>2007</v>
      </c>
      <c r="B928">
        <v>115</v>
      </c>
      <c r="C928">
        <v>1100</v>
      </c>
      <c r="D928">
        <v>638.5</v>
      </c>
      <c r="E928">
        <v>396.4</v>
      </c>
      <c r="F928">
        <v>11.94</v>
      </c>
      <c r="G928">
        <v>14.12</v>
      </c>
      <c r="K928">
        <v>2.9660000000000002</v>
      </c>
      <c r="L928">
        <v>200.2</v>
      </c>
      <c r="M928">
        <v>0</v>
      </c>
      <c r="O928">
        <v>773</v>
      </c>
      <c r="P928">
        <v>202.9</v>
      </c>
      <c r="Q928">
        <v>13.32</v>
      </c>
      <c r="S928">
        <v>12.12</v>
      </c>
      <c r="T928">
        <v>0</v>
      </c>
      <c r="U928">
        <v>77.7</v>
      </c>
      <c r="V928">
        <v>816</v>
      </c>
      <c r="W928">
        <v>34.119999999999997</v>
      </c>
      <c r="Y928">
        <v>14.65</v>
      </c>
    </row>
    <row r="929" spans="1:25" x14ac:dyDescent="0.25">
      <c r="A929">
        <v>2007</v>
      </c>
      <c r="B929">
        <v>115</v>
      </c>
      <c r="C929">
        <v>1200</v>
      </c>
      <c r="D929">
        <v>344</v>
      </c>
      <c r="E929">
        <v>199.1</v>
      </c>
      <c r="F929">
        <v>10.16</v>
      </c>
      <c r="G929">
        <v>12.68</v>
      </c>
      <c r="K929">
        <v>3.6160000000000001</v>
      </c>
      <c r="L929">
        <v>220.8</v>
      </c>
      <c r="M929">
        <v>0</v>
      </c>
      <c r="O929">
        <v>420.9</v>
      </c>
      <c r="P929">
        <v>108</v>
      </c>
      <c r="Q929">
        <v>13.76</v>
      </c>
      <c r="S929">
        <v>12.08</v>
      </c>
      <c r="T929">
        <v>0</v>
      </c>
      <c r="U929">
        <v>73.2</v>
      </c>
      <c r="V929">
        <v>813</v>
      </c>
      <c r="W929">
        <v>33.950000000000003</v>
      </c>
      <c r="Y929">
        <v>14.14</v>
      </c>
    </row>
    <row r="930" spans="1:25" x14ac:dyDescent="0.25">
      <c r="A930">
        <v>2007</v>
      </c>
      <c r="B930">
        <v>115</v>
      </c>
      <c r="C930">
        <v>1400</v>
      </c>
      <c r="D930">
        <v>263.8</v>
      </c>
      <c r="E930">
        <v>150.19999999999999</v>
      </c>
      <c r="F930">
        <v>8.77</v>
      </c>
      <c r="G930">
        <v>11.25</v>
      </c>
      <c r="K930">
        <v>5.7679999999999998</v>
      </c>
      <c r="L930">
        <v>231.2</v>
      </c>
      <c r="M930">
        <v>0</v>
      </c>
      <c r="O930">
        <v>329.9</v>
      </c>
      <c r="P930">
        <v>92.9</v>
      </c>
      <c r="Q930">
        <v>14.36</v>
      </c>
      <c r="S930">
        <v>12.2</v>
      </c>
      <c r="T930">
        <v>0</v>
      </c>
      <c r="U930">
        <v>72.2</v>
      </c>
      <c r="V930">
        <v>812</v>
      </c>
      <c r="W930">
        <v>33.909999999999997</v>
      </c>
      <c r="Y930">
        <v>13.91</v>
      </c>
    </row>
    <row r="931" spans="1:25" x14ac:dyDescent="0.25">
      <c r="A931">
        <v>2007</v>
      </c>
      <c r="B931">
        <v>115</v>
      </c>
      <c r="C931">
        <v>1500</v>
      </c>
      <c r="D931">
        <v>316</v>
      </c>
      <c r="E931">
        <v>180.4</v>
      </c>
      <c r="F931">
        <v>8.8800000000000008</v>
      </c>
      <c r="G931">
        <v>11.69</v>
      </c>
      <c r="K931">
        <v>5.1239999999999997</v>
      </c>
      <c r="L931">
        <v>233.2</v>
      </c>
      <c r="M931">
        <v>0</v>
      </c>
      <c r="O931">
        <v>384</v>
      </c>
      <c r="P931">
        <v>107.7</v>
      </c>
      <c r="Q931">
        <v>14.43</v>
      </c>
      <c r="S931">
        <v>12.36</v>
      </c>
      <c r="T931">
        <v>0</v>
      </c>
      <c r="U931">
        <v>69.09</v>
      </c>
      <c r="V931">
        <v>811</v>
      </c>
      <c r="W931">
        <v>33.83</v>
      </c>
      <c r="Y931">
        <v>14</v>
      </c>
    </row>
    <row r="932" spans="1:25" x14ac:dyDescent="0.25">
      <c r="A932">
        <v>2007</v>
      </c>
      <c r="B932">
        <v>115</v>
      </c>
      <c r="C932">
        <v>1600</v>
      </c>
      <c r="D932">
        <v>180.1</v>
      </c>
      <c r="E932">
        <v>94</v>
      </c>
      <c r="F932">
        <v>8.77</v>
      </c>
      <c r="G932">
        <v>11.42</v>
      </c>
      <c r="K932">
        <v>3.8660000000000001</v>
      </c>
      <c r="L932">
        <v>344.3</v>
      </c>
      <c r="M932">
        <v>0</v>
      </c>
      <c r="O932">
        <v>219.8</v>
      </c>
      <c r="P932">
        <v>60.47</v>
      </c>
      <c r="Q932">
        <v>14.47</v>
      </c>
      <c r="S932">
        <v>12.4</v>
      </c>
      <c r="T932">
        <v>0</v>
      </c>
      <c r="U932">
        <v>70.5</v>
      </c>
      <c r="V932">
        <v>811</v>
      </c>
      <c r="W932">
        <v>33.82</v>
      </c>
      <c r="Y932">
        <v>13.86</v>
      </c>
    </row>
    <row r="933" spans="1:25" x14ac:dyDescent="0.25">
      <c r="A933">
        <v>2007</v>
      </c>
      <c r="B933">
        <v>115</v>
      </c>
      <c r="C933">
        <v>1700</v>
      </c>
      <c r="D933">
        <v>176.1</v>
      </c>
      <c r="E933">
        <v>90.3</v>
      </c>
      <c r="F933">
        <v>8.84</v>
      </c>
      <c r="G933">
        <v>11.43</v>
      </c>
      <c r="K933">
        <v>2.9569999999999999</v>
      </c>
      <c r="L933">
        <v>310.10000000000002</v>
      </c>
      <c r="M933">
        <v>0</v>
      </c>
      <c r="O933">
        <v>210.3</v>
      </c>
      <c r="P933">
        <v>55.66</v>
      </c>
      <c r="Q933">
        <v>14.47</v>
      </c>
      <c r="S933">
        <v>12.48</v>
      </c>
      <c r="T933">
        <v>0</v>
      </c>
      <c r="U933">
        <v>71.099999999999994</v>
      </c>
      <c r="V933">
        <v>814</v>
      </c>
      <c r="W933">
        <v>34.020000000000003</v>
      </c>
      <c r="Y933">
        <v>13.74</v>
      </c>
    </row>
    <row r="934" spans="1:25" x14ac:dyDescent="0.25">
      <c r="A934">
        <v>2007</v>
      </c>
      <c r="B934">
        <v>115</v>
      </c>
      <c r="C934">
        <v>1800</v>
      </c>
      <c r="D934">
        <v>72.5</v>
      </c>
      <c r="E934">
        <v>24.98</v>
      </c>
      <c r="F934">
        <v>8.51</v>
      </c>
      <c r="G934">
        <v>10.98</v>
      </c>
      <c r="K934">
        <v>2.5209999999999999</v>
      </c>
      <c r="L934">
        <v>233.6</v>
      </c>
      <c r="M934">
        <v>0</v>
      </c>
      <c r="O934">
        <v>85.7</v>
      </c>
      <c r="P934">
        <v>18.600000000000001</v>
      </c>
      <c r="Q934">
        <v>14.41</v>
      </c>
      <c r="S934">
        <v>12.52</v>
      </c>
      <c r="T934">
        <v>0</v>
      </c>
      <c r="U934">
        <v>72</v>
      </c>
      <c r="V934">
        <v>812</v>
      </c>
      <c r="W934">
        <v>33.9</v>
      </c>
      <c r="Y934">
        <v>13.67</v>
      </c>
    </row>
    <row r="935" spans="1:25" x14ac:dyDescent="0.25">
      <c r="A935">
        <v>2007</v>
      </c>
      <c r="B935">
        <v>115</v>
      </c>
      <c r="C935">
        <v>1900</v>
      </c>
      <c r="D935">
        <v>40.57</v>
      </c>
      <c r="E935">
        <v>2.8730000000000002</v>
      </c>
      <c r="F935">
        <v>8.26</v>
      </c>
      <c r="G935">
        <v>10.220000000000001</v>
      </c>
      <c r="K935">
        <v>1.42</v>
      </c>
      <c r="L935">
        <v>234.7</v>
      </c>
      <c r="M935">
        <v>0.2</v>
      </c>
      <c r="O935">
        <v>40.74</v>
      </c>
      <c r="P935">
        <v>4.62</v>
      </c>
      <c r="Q935">
        <v>14.38</v>
      </c>
      <c r="S935">
        <v>12.6</v>
      </c>
      <c r="T935">
        <v>0</v>
      </c>
      <c r="U935">
        <v>77.099999999999994</v>
      </c>
      <c r="V935">
        <v>817</v>
      </c>
      <c r="W935">
        <v>34.15</v>
      </c>
      <c r="Y935">
        <v>13.53</v>
      </c>
    </row>
    <row r="936" spans="1:25" x14ac:dyDescent="0.25">
      <c r="A936">
        <v>2007</v>
      </c>
      <c r="B936">
        <v>115</v>
      </c>
      <c r="C936">
        <v>2000</v>
      </c>
      <c r="D936">
        <v>3.7029999999999998</v>
      </c>
      <c r="E936">
        <v>-14.01</v>
      </c>
      <c r="F936">
        <v>7.94</v>
      </c>
      <c r="G936">
        <v>9.06</v>
      </c>
      <c r="K936">
        <v>1.546</v>
      </c>
      <c r="L936">
        <v>227.8</v>
      </c>
      <c r="M936">
        <v>1.2</v>
      </c>
      <c r="O936">
        <v>-4.01</v>
      </c>
      <c r="P936">
        <v>-9.26</v>
      </c>
      <c r="Q936">
        <v>14.19</v>
      </c>
      <c r="S936">
        <v>12.53</v>
      </c>
      <c r="T936">
        <v>0</v>
      </c>
      <c r="U936">
        <v>86.1</v>
      </c>
      <c r="V936">
        <v>817</v>
      </c>
      <c r="W936">
        <v>34.159999999999997</v>
      </c>
      <c r="Y936">
        <v>13.42</v>
      </c>
    </row>
    <row r="937" spans="1:25" x14ac:dyDescent="0.25">
      <c r="A937">
        <v>2007</v>
      </c>
      <c r="B937">
        <v>115</v>
      </c>
      <c r="C937">
        <v>2100</v>
      </c>
      <c r="D937">
        <v>-1.1950000000000001</v>
      </c>
      <c r="E937">
        <v>-20.63</v>
      </c>
      <c r="F937">
        <v>7.81</v>
      </c>
      <c r="G937">
        <v>8.67</v>
      </c>
      <c r="K937">
        <v>0.59399999999999997</v>
      </c>
      <c r="L937">
        <v>236.4</v>
      </c>
      <c r="M937">
        <v>0.2</v>
      </c>
      <c r="O937">
        <v>-11.5</v>
      </c>
      <c r="P937">
        <v>-10.84</v>
      </c>
      <c r="Q937">
        <v>14</v>
      </c>
      <c r="S937">
        <v>12.57</v>
      </c>
      <c r="T937">
        <v>0</v>
      </c>
      <c r="U937">
        <v>89.1</v>
      </c>
      <c r="V937">
        <v>825</v>
      </c>
      <c r="W937">
        <v>34.590000000000003</v>
      </c>
      <c r="Y937">
        <v>13.33</v>
      </c>
    </row>
    <row r="938" spans="1:25" x14ac:dyDescent="0.25">
      <c r="A938">
        <v>2007</v>
      </c>
      <c r="B938">
        <v>115</v>
      </c>
      <c r="C938">
        <v>2200</v>
      </c>
      <c r="D938">
        <v>-1.502</v>
      </c>
      <c r="E938">
        <v>-24.9</v>
      </c>
      <c r="F938">
        <v>7.32</v>
      </c>
      <c r="G938">
        <v>8.0399999999999991</v>
      </c>
      <c r="K938">
        <v>0.78600000000000003</v>
      </c>
      <c r="L938">
        <v>227.8</v>
      </c>
      <c r="M938">
        <v>0</v>
      </c>
      <c r="O938">
        <v>-11.5</v>
      </c>
      <c r="P938">
        <v>-10.84</v>
      </c>
      <c r="Q938">
        <v>13.79</v>
      </c>
      <c r="S938">
        <v>12.52</v>
      </c>
      <c r="T938">
        <v>0</v>
      </c>
      <c r="U938">
        <v>90.7</v>
      </c>
      <c r="V938">
        <v>821</v>
      </c>
      <c r="W938">
        <v>34.4</v>
      </c>
      <c r="Y938">
        <v>13.25</v>
      </c>
    </row>
    <row r="939" spans="1:25" x14ac:dyDescent="0.25">
      <c r="A939">
        <v>2007</v>
      </c>
      <c r="B939">
        <v>115</v>
      </c>
      <c r="C939">
        <v>2300</v>
      </c>
      <c r="D939">
        <v>-2.282</v>
      </c>
      <c r="E939">
        <v>-32.380000000000003</v>
      </c>
      <c r="F939">
        <v>6.1040000000000001</v>
      </c>
      <c r="G939">
        <v>6.7640000000000002</v>
      </c>
      <c r="K939">
        <v>0.35399999999999998</v>
      </c>
      <c r="L939">
        <v>222.5</v>
      </c>
      <c r="M939">
        <v>0</v>
      </c>
      <c r="O939">
        <v>-11.5</v>
      </c>
      <c r="P939">
        <v>-10.84</v>
      </c>
      <c r="Q939">
        <v>13.51</v>
      </c>
      <c r="S939">
        <v>12.43</v>
      </c>
      <c r="T939">
        <v>0</v>
      </c>
      <c r="U939">
        <v>91.1</v>
      </c>
      <c r="V939">
        <v>830</v>
      </c>
      <c r="W939">
        <v>34.9</v>
      </c>
      <c r="Y939">
        <v>13.17</v>
      </c>
    </row>
    <row r="940" spans="1:25" x14ac:dyDescent="0.25">
      <c r="A940">
        <v>2007</v>
      </c>
      <c r="B940">
        <v>115</v>
      </c>
      <c r="C940">
        <v>2400</v>
      </c>
      <c r="D940">
        <v>-2.9220000000000002</v>
      </c>
      <c r="E940">
        <v>-34.840000000000003</v>
      </c>
      <c r="F940">
        <v>4.0999999999999996</v>
      </c>
      <c r="G940">
        <v>4.5469999999999997</v>
      </c>
      <c r="K940">
        <v>0.13100000000000001</v>
      </c>
      <c r="L940">
        <v>206.6</v>
      </c>
      <c r="M940">
        <v>0</v>
      </c>
      <c r="O940">
        <v>-11.5</v>
      </c>
      <c r="P940">
        <v>-10.84</v>
      </c>
      <c r="Q940">
        <v>13.23</v>
      </c>
      <c r="S940">
        <v>12.35</v>
      </c>
      <c r="T940">
        <v>0</v>
      </c>
      <c r="U940">
        <v>93.4</v>
      </c>
      <c r="V940">
        <v>957</v>
      </c>
      <c r="W940">
        <v>45.9</v>
      </c>
      <c r="Y940">
        <v>13.1</v>
      </c>
    </row>
    <row r="941" spans="1:25" x14ac:dyDescent="0.25">
      <c r="A941">
        <v>2007</v>
      </c>
      <c r="B941">
        <v>116</v>
      </c>
      <c r="C941">
        <v>100</v>
      </c>
      <c r="D941">
        <v>-2.8319999999999999</v>
      </c>
      <c r="E941">
        <v>-33.58</v>
      </c>
      <c r="F941">
        <v>2.3220000000000001</v>
      </c>
      <c r="G941">
        <v>2.762</v>
      </c>
      <c r="K941">
        <v>0.121</v>
      </c>
      <c r="L941">
        <v>204.5</v>
      </c>
      <c r="M941">
        <v>0</v>
      </c>
      <c r="O941">
        <v>-11.5</v>
      </c>
      <c r="P941">
        <v>-10.85</v>
      </c>
      <c r="Q941">
        <v>12.87</v>
      </c>
      <c r="S941">
        <v>12.23</v>
      </c>
      <c r="T941">
        <v>0</v>
      </c>
      <c r="U941">
        <v>93</v>
      </c>
      <c r="V941">
        <v>1328</v>
      </c>
      <c r="W941">
        <v>161.9</v>
      </c>
      <c r="Y941">
        <v>13.03</v>
      </c>
    </row>
    <row r="942" spans="1:25" x14ac:dyDescent="0.25">
      <c r="A942">
        <v>2007</v>
      </c>
      <c r="B942">
        <v>116</v>
      </c>
      <c r="C942">
        <v>200</v>
      </c>
      <c r="D942">
        <v>-2.5649999999999999</v>
      </c>
      <c r="E942">
        <v>-33.51</v>
      </c>
      <c r="F942">
        <v>1.302</v>
      </c>
      <c r="G942">
        <v>1.6919999999999999</v>
      </c>
      <c r="K942">
        <v>7.0000000000000007E-2</v>
      </c>
      <c r="L942">
        <v>204.1</v>
      </c>
      <c r="M942">
        <v>0</v>
      </c>
      <c r="O942">
        <v>-11.5</v>
      </c>
      <c r="P942">
        <v>-10.85</v>
      </c>
      <c r="Q942">
        <v>12.49</v>
      </c>
      <c r="S942">
        <v>12.13</v>
      </c>
      <c r="T942">
        <v>0</v>
      </c>
      <c r="U942">
        <v>93.5</v>
      </c>
      <c r="V942">
        <v>1613</v>
      </c>
      <c r="W942">
        <v>473.8</v>
      </c>
      <c r="Y942">
        <v>12.97</v>
      </c>
    </row>
    <row r="943" spans="1:25" x14ac:dyDescent="0.25">
      <c r="A943">
        <v>2007</v>
      </c>
      <c r="B943">
        <v>116</v>
      </c>
      <c r="C943">
        <v>300</v>
      </c>
      <c r="D943">
        <v>-1.3169999999999999</v>
      </c>
      <c r="E943">
        <v>-22.44</v>
      </c>
      <c r="F943">
        <v>1.538</v>
      </c>
      <c r="G943">
        <v>1.9970000000000001</v>
      </c>
      <c r="K943">
        <v>7.4999999999999997E-2</v>
      </c>
      <c r="L943">
        <v>203.9</v>
      </c>
      <c r="M943">
        <v>0</v>
      </c>
      <c r="O943">
        <v>-11.51</v>
      </c>
      <c r="P943">
        <v>-10.85</v>
      </c>
      <c r="Q943">
        <v>12.08</v>
      </c>
      <c r="S943">
        <v>11.99</v>
      </c>
      <c r="T943">
        <v>0</v>
      </c>
      <c r="U943">
        <v>92.4</v>
      </c>
      <c r="V943">
        <v>1560</v>
      </c>
      <c r="W943">
        <v>378.2</v>
      </c>
      <c r="Y943">
        <v>12.92</v>
      </c>
    </row>
    <row r="944" spans="1:25" x14ac:dyDescent="0.25">
      <c r="A944">
        <v>2007</v>
      </c>
      <c r="B944">
        <v>116</v>
      </c>
      <c r="C944">
        <v>400</v>
      </c>
      <c r="D944">
        <v>-1.548</v>
      </c>
      <c r="E944">
        <v>-23.63</v>
      </c>
      <c r="F944">
        <v>2.464</v>
      </c>
      <c r="G944">
        <v>2.9159999999999999</v>
      </c>
      <c r="K944">
        <v>0.15</v>
      </c>
      <c r="L944">
        <v>203.9</v>
      </c>
      <c r="M944">
        <v>0</v>
      </c>
      <c r="O944">
        <v>-11.51</v>
      </c>
      <c r="P944">
        <v>-10.85</v>
      </c>
      <c r="Q944">
        <v>11.73</v>
      </c>
      <c r="S944">
        <v>11.83</v>
      </c>
      <c r="T944">
        <v>0</v>
      </c>
      <c r="U944">
        <v>92.9</v>
      </c>
      <c r="V944">
        <v>992</v>
      </c>
      <c r="W944">
        <v>59.23</v>
      </c>
      <c r="Y944">
        <v>12.88</v>
      </c>
    </row>
    <row r="945" spans="1:25" x14ac:dyDescent="0.25">
      <c r="A945">
        <v>2007</v>
      </c>
      <c r="B945">
        <v>116</v>
      </c>
      <c r="C945">
        <v>500</v>
      </c>
      <c r="D945">
        <v>-1.788</v>
      </c>
      <c r="E945">
        <v>-29.99</v>
      </c>
      <c r="F945">
        <v>0.72299999999999998</v>
      </c>
      <c r="G945">
        <v>1.075</v>
      </c>
      <c r="K945">
        <v>9.6000000000000002E-2</v>
      </c>
      <c r="L945">
        <v>203.9</v>
      </c>
      <c r="M945">
        <v>0</v>
      </c>
      <c r="O945">
        <v>-10.59</v>
      </c>
      <c r="P945">
        <v>-10.51</v>
      </c>
      <c r="Q945">
        <v>11.45</v>
      </c>
      <c r="S945">
        <v>11.68</v>
      </c>
      <c r="T945">
        <v>0</v>
      </c>
      <c r="U945">
        <v>93.9</v>
      </c>
      <c r="V945">
        <v>867</v>
      </c>
      <c r="W945">
        <v>37.15</v>
      </c>
      <c r="Y945">
        <v>12.85</v>
      </c>
    </row>
    <row r="946" spans="1:25" x14ac:dyDescent="0.25">
      <c r="A946">
        <v>2007</v>
      </c>
      <c r="B946">
        <v>116</v>
      </c>
      <c r="C946">
        <v>600</v>
      </c>
      <c r="D946">
        <v>22.01</v>
      </c>
      <c r="E946">
        <v>-14.12</v>
      </c>
      <c r="F946">
        <v>0.45</v>
      </c>
      <c r="G946">
        <v>0.91600000000000004</v>
      </c>
      <c r="K946">
        <v>0.10199999999999999</v>
      </c>
      <c r="L946">
        <v>203.9</v>
      </c>
      <c r="M946">
        <v>0</v>
      </c>
      <c r="O946">
        <v>14.85</v>
      </c>
      <c r="P946">
        <v>2.82</v>
      </c>
      <c r="Q946">
        <v>11.15</v>
      </c>
      <c r="S946">
        <v>11.52</v>
      </c>
      <c r="T946">
        <v>0</v>
      </c>
      <c r="U946">
        <v>91.9</v>
      </c>
      <c r="V946">
        <v>858</v>
      </c>
      <c r="W946">
        <v>36.54</v>
      </c>
      <c r="Y946">
        <v>12.84</v>
      </c>
    </row>
    <row r="947" spans="1:25" x14ac:dyDescent="0.25">
      <c r="A947">
        <v>2007</v>
      </c>
      <c r="B947">
        <v>116</v>
      </c>
      <c r="C947">
        <v>700</v>
      </c>
      <c r="D947">
        <v>148</v>
      </c>
      <c r="E947">
        <v>84.3</v>
      </c>
      <c r="F947">
        <v>3.573</v>
      </c>
      <c r="G947">
        <v>4.2480000000000002</v>
      </c>
      <c r="K947">
        <v>7.3999999999999996E-2</v>
      </c>
      <c r="L947">
        <v>204.3</v>
      </c>
      <c r="M947">
        <v>0</v>
      </c>
      <c r="O947">
        <v>183.9</v>
      </c>
      <c r="P947">
        <v>90.4</v>
      </c>
      <c r="Q947">
        <v>10.9</v>
      </c>
      <c r="S947">
        <v>11.44</v>
      </c>
      <c r="T947">
        <v>0</v>
      </c>
      <c r="U947">
        <v>89.9</v>
      </c>
      <c r="V947">
        <v>853</v>
      </c>
      <c r="W947">
        <v>36.229999999999997</v>
      </c>
      <c r="Y947">
        <v>13.59</v>
      </c>
    </row>
    <row r="948" spans="1:25" x14ac:dyDescent="0.25">
      <c r="A948">
        <v>2007</v>
      </c>
      <c r="B948">
        <v>116</v>
      </c>
      <c r="C948">
        <v>800</v>
      </c>
      <c r="D948">
        <v>288.7</v>
      </c>
      <c r="E948">
        <v>204.6</v>
      </c>
      <c r="F948">
        <v>8.0399999999999991</v>
      </c>
      <c r="G948">
        <v>8.8699999999999992</v>
      </c>
      <c r="K948">
        <v>0.34699999999999998</v>
      </c>
      <c r="L948">
        <v>22.12</v>
      </c>
      <c r="M948">
        <v>0</v>
      </c>
      <c r="O948">
        <v>397.4</v>
      </c>
      <c r="P948">
        <v>144</v>
      </c>
      <c r="Q948">
        <v>10.8</v>
      </c>
      <c r="S948">
        <v>11.38</v>
      </c>
      <c r="T948">
        <v>0</v>
      </c>
      <c r="U948">
        <v>89.8</v>
      </c>
      <c r="V948">
        <v>848</v>
      </c>
      <c r="W948">
        <v>35.96</v>
      </c>
      <c r="Y948">
        <v>14.33</v>
      </c>
    </row>
    <row r="949" spans="1:25" x14ac:dyDescent="0.25">
      <c r="A949">
        <v>2007</v>
      </c>
      <c r="B949">
        <v>116</v>
      </c>
      <c r="C949">
        <v>900</v>
      </c>
      <c r="D949">
        <v>459.5</v>
      </c>
      <c r="E949">
        <v>287.89999999999998</v>
      </c>
      <c r="F949">
        <v>8.56</v>
      </c>
      <c r="G949">
        <v>11.01</v>
      </c>
      <c r="H949">
        <f>AVERAGE(G949:G972)</f>
        <v>9.849124999999999</v>
      </c>
      <c r="I949">
        <f>MIN(G949:G972)</f>
        <v>3.4649999999999999</v>
      </c>
      <c r="J949">
        <f>MAX(F949:F972)</f>
        <v>9.68</v>
      </c>
      <c r="K949">
        <v>0.79</v>
      </c>
      <c r="L949">
        <v>95.3</v>
      </c>
      <c r="M949">
        <v>0</v>
      </c>
      <c r="N949">
        <f>SUM(M949:M972)</f>
        <v>0</v>
      </c>
      <c r="O949">
        <v>567.9</v>
      </c>
      <c r="P949">
        <v>176.9</v>
      </c>
      <c r="Q949">
        <v>10.87</v>
      </c>
      <c r="S949">
        <v>11.27</v>
      </c>
      <c r="T949">
        <v>0</v>
      </c>
      <c r="U949">
        <v>72.400000000000006</v>
      </c>
      <c r="V949">
        <v>843</v>
      </c>
      <c r="W949">
        <v>35.659999999999997</v>
      </c>
      <c r="Y949">
        <v>14.8</v>
      </c>
    </row>
    <row r="950" spans="1:25" x14ac:dyDescent="0.25">
      <c r="A950">
        <v>2007</v>
      </c>
      <c r="B950">
        <v>116</v>
      </c>
      <c r="C950">
        <v>1000</v>
      </c>
      <c r="D950">
        <v>632.9</v>
      </c>
      <c r="E950">
        <v>385.6</v>
      </c>
      <c r="F950">
        <v>9.15</v>
      </c>
      <c r="G950">
        <v>12.93</v>
      </c>
      <c r="K950">
        <v>0.95699999999999996</v>
      </c>
      <c r="L950">
        <v>138.6</v>
      </c>
      <c r="M950">
        <v>0</v>
      </c>
      <c r="O950">
        <v>789</v>
      </c>
      <c r="P950">
        <v>225</v>
      </c>
      <c r="Q950">
        <v>11.19</v>
      </c>
      <c r="S950">
        <v>11.19</v>
      </c>
      <c r="T950">
        <v>0</v>
      </c>
      <c r="U950">
        <v>60.7</v>
      </c>
      <c r="V950">
        <v>839</v>
      </c>
      <c r="W950">
        <v>35.4</v>
      </c>
      <c r="Y950">
        <v>14.89</v>
      </c>
    </row>
    <row r="951" spans="1:25" x14ac:dyDescent="0.25">
      <c r="A951">
        <v>2007</v>
      </c>
      <c r="B951">
        <v>116</v>
      </c>
      <c r="C951">
        <v>1100</v>
      </c>
      <c r="D951">
        <v>482.5</v>
      </c>
      <c r="E951">
        <v>291</v>
      </c>
      <c r="F951">
        <v>8.61</v>
      </c>
      <c r="G951">
        <v>13.07</v>
      </c>
      <c r="K951">
        <v>0.98399999999999999</v>
      </c>
      <c r="L951">
        <v>192.1</v>
      </c>
      <c r="M951">
        <v>0</v>
      </c>
      <c r="O951">
        <v>592.5</v>
      </c>
      <c r="P951">
        <v>162</v>
      </c>
      <c r="Q951">
        <v>11.76</v>
      </c>
      <c r="S951">
        <v>11.11</v>
      </c>
      <c r="T951">
        <v>0</v>
      </c>
      <c r="U951">
        <v>54.27</v>
      </c>
      <c r="V951">
        <v>833</v>
      </c>
      <c r="W951">
        <v>35.07</v>
      </c>
      <c r="Y951">
        <v>14.34</v>
      </c>
    </row>
    <row r="952" spans="1:25" x14ac:dyDescent="0.25">
      <c r="A952">
        <v>2007</v>
      </c>
      <c r="B952">
        <v>116</v>
      </c>
      <c r="C952">
        <v>1200</v>
      </c>
      <c r="D952">
        <v>556.9</v>
      </c>
      <c r="E952">
        <v>333</v>
      </c>
      <c r="F952">
        <v>8.9600000000000009</v>
      </c>
      <c r="G952">
        <v>13.69</v>
      </c>
      <c r="K952">
        <v>0.82</v>
      </c>
      <c r="L952">
        <v>223.1</v>
      </c>
      <c r="M952">
        <v>0</v>
      </c>
      <c r="O952">
        <v>675.5</v>
      </c>
      <c r="P952">
        <v>169.5</v>
      </c>
      <c r="Q952">
        <v>12.44</v>
      </c>
      <c r="S952">
        <v>11.2</v>
      </c>
      <c r="T952">
        <v>0</v>
      </c>
      <c r="U952">
        <v>52.69</v>
      </c>
      <c r="V952">
        <v>840</v>
      </c>
      <c r="W952">
        <v>35.5</v>
      </c>
      <c r="Y952">
        <v>14.36</v>
      </c>
    </row>
    <row r="953" spans="1:25" x14ac:dyDescent="0.25">
      <c r="A953">
        <v>2007</v>
      </c>
      <c r="B953">
        <v>116</v>
      </c>
      <c r="C953">
        <v>1300</v>
      </c>
      <c r="D953">
        <v>540.4</v>
      </c>
      <c r="E953">
        <v>324.2</v>
      </c>
      <c r="F953">
        <v>9.58</v>
      </c>
      <c r="G953">
        <v>14.08</v>
      </c>
      <c r="K953">
        <v>1.37</v>
      </c>
      <c r="L953">
        <v>86.8</v>
      </c>
      <c r="M953">
        <v>0</v>
      </c>
      <c r="O953">
        <v>684.9</v>
      </c>
      <c r="P953">
        <v>176.8</v>
      </c>
      <c r="Q953">
        <v>13.13</v>
      </c>
      <c r="S953">
        <v>11.33</v>
      </c>
      <c r="T953">
        <v>0</v>
      </c>
      <c r="U953">
        <v>55.51</v>
      </c>
      <c r="V953">
        <v>842</v>
      </c>
      <c r="W953">
        <v>35.590000000000003</v>
      </c>
      <c r="Y953">
        <v>14.2</v>
      </c>
    </row>
    <row r="954" spans="1:25" x14ac:dyDescent="0.25">
      <c r="A954">
        <v>2007</v>
      </c>
      <c r="B954">
        <v>116</v>
      </c>
      <c r="C954">
        <v>1500</v>
      </c>
      <c r="D954">
        <v>374</v>
      </c>
      <c r="E954">
        <v>211.4</v>
      </c>
      <c r="F954">
        <v>8.85</v>
      </c>
      <c r="G954">
        <v>12.79</v>
      </c>
      <c r="K954">
        <v>1.7809999999999999</v>
      </c>
      <c r="L954">
        <v>112.1</v>
      </c>
      <c r="M954">
        <v>0</v>
      </c>
      <c r="O954">
        <v>448.5</v>
      </c>
      <c r="P954">
        <v>134.5</v>
      </c>
      <c r="Q954">
        <v>14.06</v>
      </c>
      <c r="S954">
        <v>11.69</v>
      </c>
      <c r="T954">
        <v>0</v>
      </c>
      <c r="U954">
        <v>58.88</v>
      </c>
      <c r="V954">
        <v>847</v>
      </c>
      <c r="W954">
        <v>35.909999999999997</v>
      </c>
      <c r="Y954">
        <v>13.99</v>
      </c>
    </row>
    <row r="955" spans="1:25" x14ac:dyDescent="0.25">
      <c r="A955">
        <v>2007</v>
      </c>
      <c r="B955">
        <v>116</v>
      </c>
      <c r="C955">
        <v>1600</v>
      </c>
      <c r="D955">
        <v>530.20000000000005</v>
      </c>
      <c r="E955">
        <v>319.2</v>
      </c>
      <c r="F955">
        <v>9.68</v>
      </c>
      <c r="G955">
        <v>14.33</v>
      </c>
      <c r="K955">
        <v>1.3220000000000001</v>
      </c>
      <c r="L955">
        <v>114.5</v>
      </c>
      <c r="M955">
        <v>0</v>
      </c>
      <c r="O955">
        <v>632.5</v>
      </c>
      <c r="P955">
        <v>223.2</v>
      </c>
      <c r="Q955">
        <v>14.25</v>
      </c>
      <c r="S955">
        <v>11.96</v>
      </c>
      <c r="T955">
        <v>0</v>
      </c>
      <c r="U955">
        <v>54.32</v>
      </c>
      <c r="V955">
        <v>853</v>
      </c>
      <c r="W955">
        <v>36.25</v>
      </c>
      <c r="Y955">
        <v>14.33</v>
      </c>
    </row>
    <row r="956" spans="1:25" x14ac:dyDescent="0.25">
      <c r="A956">
        <v>2007</v>
      </c>
      <c r="B956">
        <v>116</v>
      </c>
      <c r="C956">
        <v>1700</v>
      </c>
      <c r="D956">
        <v>198.7</v>
      </c>
      <c r="E956">
        <v>90.5</v>
      </c>
      <c r="F956">
        <v>8.9499999999999993</v>
      </c>
      <c r="G956">
        <v>13.21</v>
      </c>
      <c r="K956">
        <v>1.4239999999999999</v>
      </c>
      <c r="L956">
        <v>96.4</v>
      </c>
      <c r="M956">
        <v>0</v>
      </c>
      <c r="O956">
        <v>235.8</v>
      </c>
      <c r="P956">
        <v>77.8</v>
      </c>
      <c r="Q956">
        <v>14.47</v>
      </c>
      <c r="S956">
        <v>12</v>
      </c>
      <c r="T956">
        <v>0</v>
      </c>
      <c r="U956">
        <v>56.42</v>
      </c>
      <c r="V956">
        <v>848</v>
      </c>
      <c r="W956">
        <v>35.93</v>
      </c>
      <c r="Y956">
        <v>13.83</v>
      </c>
    </row>
    <row r="957" spans="1:25" x14ac:dyDescent="0.25">
      <c r="A957">
        <v>2007</v>
      </c>
      <c r="B957">
        <v>116</v>
      </c>
      <c r="C957">
        <v>1800</v>
      </c>
      <c r="D957">
        <v>281</v>
      </c>
      <c r="E957">
        <v>157.9</v>
      </c>
      <c r="F957">
        <v>8.93</v>
      </c>
      <c r="G957">
        <v>13.32</v>
      </c>
      <c r="K957">
        <v>1.726</v>
      </c>
      <c r="L957">
        <v>99.4</v>
      </c>
      <c r="M957">
        <v>0</v>
      </c>
      <c r="O957">
        <v>337</v>
      </c>
      <c r="P957">
        <v>179.6</v>
      </c>
      <c r="Q957">
        <v>14.62</v>
      </c>
      <c r="S957">
        <v>12.18</v>
      </c>
      <c r="T957">
        <v>0</v>
      </c>
      <c r="U957">
        <v>55.34</v>
      </c>
      <c r="V957">
        <v>860</v>
      </c>
      <c r="W957">
        <v>36.69</v>
      </c>
      <c r="Y957">
        <v>13.71</v>
      </c>
    </row>
    <row r="958" spans="1:25" x14ac:dyDescent="0.25">
      <c r="A958">
        <v>2007</v>
      </c>
      <c r="B958">
        <v>116</v>
      </c>
      <c r="C958">
        <v>1900</v>
      </c>
      <c r="D958">
        <v>125.7</v>
      </c>
      <c r="E958">
        <v>39.42</v>
      </c>
      <c r="F958">
        <v>7.85</v>
      </c>
      <c r="G958">
        <v>11.79</v>
      </c>
      <c r="K958">
        <v>1.5669999999999999</v>
      </c>
      <c r="L958">
        <v>97.7</v>
      </c>
      <c r="M958">
        <v>0</v>
      </c>
      <c r="O958">
        <v>151.19999999999999</v>
      </c>
      <c r="P958">
        <v>106.5</v>
      </c>
      <c r="Q958">
        <v>14.54</v>
      </c>
      <c r="S958">
        <v>12.21</v>
      </c>
      <c r="T958">
        <v>0</v>
      </c>
      <c r="U958">
        <v>57.61</v>
      </c>
      <c r="V958">
        <v>856</v>
      </c>
      <c r="W958">
        <v>36.43</v>
      </c>
      <c r="Y958">
        <v>13.56</v>
      </c>
    </row>
    <row r="959" spans="1:25" x14ac:dyDescent="0.25">
      <c r="A959">
        <v>2007</v>
      </c>
      <c r="B959">
        <v>116</v>
      </c>
      <c r="C959">
        <v>2000</v>
      </c>
      <c r="D959">
        <v>20.57</v>
      </c>
      <c r="E959">
        <v>-43.76</v>
      </c>
      <c r="F959">
        <v>6.3550000000000004</v>
      </c>
      <c r="G959">
        <v>9.18</v>
      </c>
      <c r="K959">
        <v>0.873</v>
      </c>
      <c r="L959">
        <v>100.9</v>
      </c>
      <c r="M959">
        <v>0</v>
      </c>
      <c r="O959">
        <v>20.62</v>
      </c>
      <c r="P959">
        <v>14.41</v>
      </c>
      <c r="Q959">
        <v>14.34</v>
      </c>
      <c r="S959">
        <v>12.27</v>
      </c>
      <c r="T959">
        <v>0</v>
      </c>
      <c r="U959">
        <v>66.25</v>
      </c>
      <c r="V959">
        <v>872</v>
      </c>
      <c r="W959">
        <v>37.47</v>
      </c>
      <c r="Y959">
        <v>13.43</v>
      </c>
    </row>
    <row r="960" spans="1:25" x14ac:dyDescent="0.25">
      <c r="A960">
        <v>2007</v>
      </c>
      <c r="B960">
        <v>116</v>
      </c>
      <c r="C960">
        <v>2100</v>
      </c>
      <c r="D960">
        <v>-3.7109999999999999</v>
      </c>
      <c r="E960">
        <v>-63.58</v>
      </c>
      <c r="F960">
        <v>3.9449999999999998</v>
      </c>
      <c r="G960">
        <v>5.4489999999999998</v>
      </c>
      <c r="K960">
        <v>0.54500000000000004</v>
      </c>
      <c r="L960">
        <v>187.5</v>
      </c>
      <c r="M960">
        <v>0</v>
      </c>
      <c r="O960">
        <v>-11.58</v>
      </c>
      <c r="P960">
        <v>-11.12</v>
      </c>
      <c r="Q960">
        <v>14</v>
      </c>
      <c r="S960">
        <v>12.26</v>
      </c>
      <c r="T960">
        <v>0</v>
      </c>
      <c r="U960">
        <v>79</v>
      </c>
      <c r="V960">
        <v>875</v>
      </c>
      <c r="W960">
        <v>37.68</v>
      </c>
      <c r="Y960">
        <v>13.33</v>
      </c>
    </row>
    <row r="961" spans="1:25" x14ac:dyDescent="0.25">
      <c r="A961">
        <v>2007</v>
      </c>
      <c r="B961">
        <v>116</v>
      </c>
      <c r="C961">
        <v>2200</v>
      </c>
      <c r="D961">
        <v>-3.5350000000000001</v>
      </c>
      <c r="E961">
        <v>-56.69</v>
      </c>
      <c r="F961">
        <v>2.4510000000000001</v>
      </c>
      <c r="G961">
        <v>3.4649999999999999</v>
      </c>
      <c r="K961">
        <v>0.17100000000000001</v>
      </c>
      <c r="L961">
        <v>181.8</v>
      </c>
      <c r="M961">
        <v>0</v>
      </c>
      <c r="O961">
        <v>-11.51</v>
      </c>
      <c r="P961">
        <v>-10.88</v>
      </c>
      <c r="Q961">
        <v>13.56</v>
      </c>
      <c r="S961">
        <v>12.22</v>
      </c>
      <c r="T961">
        <v>0</v>
      </c>
      <c r="U961">
        <v>84.4</v>
      </c>
      <c r="V961">
        <v>877</v>
      </c>
      <c r="W961">
        <v>37.83</v>
      </c>
      <c r="Y961">
        <v>13.24</v>
      </c>
    </row>
    <row r="962" spans="1:25" x14ac:dyDescent="0.25">
      <c r="A962">
        <v>2007</v>
      </c>
      <c r="B962">
        <v>116</v>
      </c>
      <c r="C962">
        <v>2300</v>
      </c>
      <c r="D962">
        <v>-1.55</v>
      </c>
      <c r="E962">
        <v>-34.56</v>
      </c>
      <c r="F962">
        <v>2.903</v>
      </c>
      <c r="G962">
        <v>3.9980000000000002</v>
      </c>
      <c r="K962">
        <v>0.19</v>
      </c>
      <c r="L962">
        <v>181.8</v>
      </c>
      <c r="M962">
        <v>0</v>
      </c>
      <c r="O962">
        <v>-11.5</v>
      </c>
      <c r="P962">
        <v>-10.84</v>
      </c>
      <c r="Q962">
        <v>13.1</v>
      </c>
      <c r="S962">
        <v>12.18</v>
      </c>
      <c r="T962">
        <v>0</v>
      </c>
      <c r="U962">
        <v>83.6</v>
      </c>
      <c r="V962">
        <v>876</v>
      </c>
      <c r="W962">
        <v>37.71</v>
      </c>
      <c r="Y962">
        <v>13.17</v>
      </c>
    </row>
    <row r="963" spans="1:25" x14ac:dyDescent="0.25">
      <c r="A963">
        <v>2007</v>
      </c>
      <c r="B963">
        <v>116</v>
      </c>
      <c r="C963">
        <v>2400</v>
      </c>
      <c r="D963">
        <v>-0.73899999999999999</v>
      </c>
      <c r="E963">
        <v>-26.59</v>
      </c>
      <c r="F963">
        <v>4.4269999999999996</v>
      </c>
      <c r="G963">
        <v>5.5369999999999999</v>
      </c>
      <c r="K963">
        <v>0.106</v>
      </c>
      <c r="L963">
        <v>181.8</v>
      </c>
      <c r="M963">
        <v>0</v>
      </c>
      <c r="O963">
        <v>-11.5</v>
      </c>
      <c r="P963">
        <v>-10.84</v>
      </c>
      <c r="Q963">
        <v>12.69</v>
      </c>
      <c r="S963">
        <v>12.09</v>
      </c>
      <c r="T963">
        <v>0</v>
      </c>
      <c r="U963">
        <v>84.3</v>
      </c>
      <c r="V963">
        <v>860</v>
      </c>
      <c r="W963">
        <v>36.69</v>
      </c>
      <c r="Y963">
        <v>13.1</v>
      </c>
    </row>
    <row r="964" spans="1:25" x14ac:dyDescent="0.25">
      <c r="A964">
        <v>2007</v>
      </c>
      <c r="B964">
        <v>117</v>
      </c>
      <c r="C964">
        <v>100</v>
      </c>
      <c r="D964">
        <v>-0.96099999999999997</v>
      </c>
      <c r="E964">
        <v>-23.25</v>
      </c>
      <c r="F964">
        <v>4.6520000000000001</v>
      </c>
      <c r="G964">
        <v>5.89</v>
      </c>
      <c r="K964">
        <v>0.20699999999999999</v>
      </c>
      <c r="L964">
        <v>156.9</v>
      </c>
      <c r="M964">
        <v>0</v>
      </c>
      <c r="O964">
        <v>-11.5</v>
      </c>
      <c r="P964">
        <v>-10.84</v>
      </c>
      <c r="Q964">
        <v>12.4</v>
      </c>
      <c r="S964">
        <v>11.97</v>
      </c>
      <c r="T964">
        <v>0</v>
      </c>
      <c r="U964">
        <v>83</v>
      </c>
      <c r="V964">
        <v>858</v>
      </c>
      <c r="W964">
        <v>36.56</v>
      </c>
      <c r="Y964">
        <v>13.03</v>
      </c>
    </row>
    <row r="965" spans="1:25" x14ac:dyDescent="0.25">
      <c r="A965">
        <v>2007</v>
      </c>
      <c r="B965">
        <v>117</v>
      </c>
      <c r="C965">
        <v>200</v>
      </c>
      <c r="D965">
        <v>-0.86899999999999999</v>
      </c>
      <c r="E965">
        <v>-17.54</v>
      </c>
      <c r="F965">
        <v>5.61</v>
      </c>
      <c r="G965">
        <v>8.42</v>
      </c>
      <c r="K965">
        <v>0.71499999999999997</v>
      </c>
      <c r="L965">
        <v>104.1</v>
      </c>
      <c r="M965">
        <v>0</v>
      </c>
      <c r="O965">
        <v>-11.5</v>
      </c>
      <c r="P965">
        <v>-10.84</v>
      </c>
      <c r="Q965">
        <v>12.18</v>
      </c>
      <c r="S965">
        <v>11.86</v>
      </c>
      <c r="T965">
        <v>0</v>
      </c>
      <c r="U965">
        <v>65.400000000000006</v>
      </c>
      <c r="V965">
        <v>860</v>
      </c>
      <c r="W965">
        <v>36.700000000000003</v>
      </c>
      <c r="Y965">
        <v>12.97</v>
      </c>
    </row>
    <row r="966" spans="1:25" x14ac:dyDescent="0.25">
      <c r="A966">
        <v>2007</v>
      </c>
      <c r="B966">
        <v>117</v>
      </c>
      <c r="C966">
        <v>300</v>
      </c>
      <c r="D966">
        <v>-1.1479999999999999</v>
      </c>
      <c r="E966">
        <v>-18.829999999999998</v>
      </c>
      <c r="F966">
        <v>5.99</v>
      </c>
      <c r="G966">
        <v>8.25</v>
      </c>
      <c r="K966">
        <v>0.72399999999999998</v>
      </c>
      <c r="L966">
        <v>106.3</v>
      </c>
      <c r="M966">
        <v>0</v>
      </c>
      <c r="O966">
        <v>-11.5</v>
      </c>
      <c r="P966">
        <v>-10.84</v>
      </c>
      <c r="Q966">
        <v>12.02</v>
      </c>
      <c r="S966">
        <v>11.77</v>
      </c>
      <c r="T966">
        <v>0</v>
      </c>
      <c r="U966">
        <v>71.8</v>
      </c>
      <c r="V966">
        <v>856</v>
      </c>
      <c r="W966">
        <v>36.46</v>
      </c>
      <c r="Y966">
        <v>12.92</v>
      </c>
    </row>
    <row r="967" spans="1:25" x14ac:dyDescent="0.25">
      <c r="A967">
        <v>2007</v>
      </c>
      <c r="B967">
        <v>117</v>
      </c>
      <c r="C967">
        <v>400</v>
      </c>
      <c r="D967">
        <v>-1.1459999999999999</v>
      </c>
      <c r="E967">
        <v>-17.670000000000002</v>
      </c>
      <c r="F967">
        <v>6.47</v>
      </c>
      <c r="G967">
        <v>8.19</v>
      </c>
      <c r="K967">
        <v>0.89500000000000002</v>
      </c>
      <c r="L967">
        <v>105.3</v>
      </c>
      <c r="M967">
        <v>0</v>
      </c>
      <c r="O967">
        <v>-11.5</v>
      </c>
      <c r="P967">
        <v>-10.84</v>
      </c>
      <c r="Q967">
        <v>11.86</v>
      </c>
      <c r="S967">
        <v>11.64</v>
      </c>
      <c r="T967">
        <v>0</v>
      </c>
      <c r="U967">
        <v>78.2</v>
      </c>
      <c r="V967">
        <v>856</v>
      </c>
      <c r="W967">
        <v>36.409999999999997</v>
      </c>
      <c r="Y967">
        <v>12.88</v>
      </c>
    </row>
    <row r="968" spans="1:25" x14ac:dyDescent="0.25">
      <c r="A968">
        <v>2007</v>
      </c>
      <c r="B968">
        <v>117</v>
      </c>
      <c r="C968">
        <v>500</v>
      </c>
      <c r="D968">
        <v>-0.63200000000000001</v>
      </c>
      <c r="E968">
        <v>-18.600000000000001</v>
      </c>
      <c r="F968">
        <v>6.641</v>
      </c>
      <c r="G968">
        <v>8.23</v>
      </c>
      <c r="K968">
        <v>1.2030000000000001</v>
      </c>
      <c r="L968">
        <v>103.3</v>
      </c>
      <c r="M968">
        <v>0</v>
      </c>
      <c r="O968">
        <v>-10.98</v>
      </c>
      <c r="P968">
        <v>-10.75</v>
      </c>
      <c r="Q968">
        <v>11.72</v>
      </c>
      <c r="S968">
        <v>11.52</v>
      </c>
      <c r="T968">
        <v>0</v>
      </c>
      <c r="U968">
        <v>79.900000000000006</v>
      </c>
      <c r="V968">
        <v>849</v>
      </c>
      <c r="W968">
        <v>35.979999999999997</v>
      </c>
      <c r="Y968">
        <v>12.86</v>
      </c>
    </row>
    <row r="969" spans="1:25" x14ac:dyDescent="0.25">
      <c r="A969">
        <v>2007</v>
      </c>
      <c r="B969">
        <v>117</v>
      </c>
      <c r="C969">
        <v>600</v>
      </c>
      <c r="D969">
        <v>20</v>
      </c>
      <c r="E969">
        <v>-15.08</v>
      </c>
      <c r="F969">
        <v>6.63</v>
      </c>
      <c r="G969">
        <v>8.09</v>
      </c>
      <c r="K969">
        <v>1.3420000000000001</v>
      </c>
      <c r="L969">
        <v>99.5</v>
      </c>
      <c r="M969">
        <v>0</v>
      </c>
      <c r="O969">
        <v>14.51</v>
      </c>
      <c r="P969">
        <v>-2.601</v>
      </c>
      <c r="Q969">
        <v>11.61</v>
      </c>
      <c r="S969">
        <v>11.43</v>
      </c>
      <c r="T969">
        <v>0</v>
      </c>
      <c r="U969">
        <v>81.400000000000006</v>
      </c>
      <c r="V969">
        <v>845</v>
      </c>
      <c r="W969">
        <v>35.75</v>
      </c>
      <c r="Y969">
        <v>12.85</v>
      </c>
    </row>
    <row r="970" spans="1:25" x14ac:dyDescent="0.25">
      <c r="A970">
        <v>2007</v>
      </c>
      <c r="B970">
        <v>117</v>
      </c>
      <c r="C970">
        <v>700</v>
      </c>
      <c r="D970">
        <v>108.9</v>
      </c>
      <c r="E970">
        <v>50.01</v>
      </c>
      <c r="F970">
        <v>7.34</v>
      </c>
      <c r="G970">
        <v>9</v>
      </c>
      <c r="K970">
        <v>1.4259999999999999</v>
      </c>
      <c r="L970">
        <v>98.3</v>
      </c>
      <c r="M970">
        <v>0</v>
      </c>
      <c r="O970">
        <v>136.69999999999999</v>
      </c>
      <c r="P970">
        <v>41.62</v>
      </c>
      <c r="Q970">
        <v>11.52</v>
      </c>
      <c r="S970">
        <v>11.34</v>
      </c>
      <c r="T970">
        <v>0</v>
      </c>
      <c r="U970">
        <v>79.599999999999994</v>
      </c>
      <c r="V970">
        <v>844</v>
      </c>
      <c r="W970">
        <v>35.71</v>
      </c>
      <c r="Y970">
        <v>13.38</v>
      </c>
    </row>
    <row r="971" spans="1:25" x14ac:dyDescent="0.25">
      <c r="A971">
        <v>2007</v>
      </c>
      <c r="B971">
        <v>117</v>
      </c>
      <c r="C971">
        <v>800</v>
      </c>
      <c r="D971">
        <v>194.4</v>
      </c>
      <c r="E971">
        <v>103.6</v>
      </c>
      <c r="F971">
        <v>7.94</v>
      </c>
      <c r="G971">
        <v>10.69</v>
      </c>
      <c r="K971">
        <v>2.3359999999999999</v>
      </c>
      <c r="L971">
        <v>96.8</v>
      </c>
      <c r="M971">
        <v>0</v>
      </c>
      <c r="O971">
        <v>235.4</v>
      </c>
      <c r="P971">
        <v>71.5</v>
      </c>
      <c r="Q971">
        <v>11.51</v>
      </c>
      <c r="S971">
        <v>11.34</v>
      </c>
      <c r="T971">
        <v>0</v>
      </c>
      <c r="U971">
        <v>68.67</v>
      </c>
      <c r="V971">
        <v>843</v>
      </c>
      <c r="W971">
        <v>35.65</v>
      </c>
      <c r="Y971">
        <v>13.9</v>
      </c>
    </row>
    <row r="972" spans="1:25" x14ac:dyDescent="0.25">
      <c r="A972">
        <v>2007</v>
      </c>
      <c r="B972">
        <v>117</v>
      </c>
      <c r="C972">
        <v>900</v>
      </c>
      <c r="D972">
        <v>318.5</v>
      </c>
      <c r="E972">
        <v>191.7</v>
      </c>
      <c r="F972">
        <v>8.31</v>
      </c>
      <c r="G972">
        <v>11.77</v>
      </c>
      <c r="H972">
        <f>AVERAGE(G972:G995)</f>
        <v>11.087916666666667</v>
      </c>
      <c r="I972">
        <f>MIN(G972:G995)</f>
        <v>7.87</v>
      </c>
      <c r="J972">
        <f>MAX(F972:F995)</f>
        <v>10.77</v>
      </c>
      <c r="K972">
        <v>2.528</v>
      </c>
      <c r="L972">
        <v>94.1</v>
      </c>
      <c r="M972">
        <v>0</v>
      </c>
      <c r="N972">
        <f>SUM(M972:M995)</f>
        <v>0</v>
      </c>
      <c r="O972">
        <v>394.4</v>
      </c>
      <c r="P972">
        <v>115.4</v>
      </c>
      <c r="Q972">
        <v>11.58</v>
      </c>
      <c r="S972">
        <v>11.29</v>
      </c>
      <c r="T972">
        <v>0</v>
      </c>
      <c r="U972">
        <v>62.54</v>
      </c>
      <c r="V972">
        <v>842</v>
      </c>
      <c r="W972">
        <v>35.58</v>
      </c>
      <c r="Y972">
        <v>14.12</v>
      </c>
    </row>
    <row r="973" spans="1:25" x14ac:dyDescent="0.25">
      <c r="A973">
        <v>2007</v>
      </c>
      <c r="B973">
        <v>117</v>
      </c>
      <c r="C973">
        <v>1000</v>
      </c>
      <c r="D973">
        <v>419.5</v>
      </c>
      <c r="E973">
        <v>244.6</v>
      </c>
      <c r="F973">
        <v>8.64</v>
      </c>
      <c r="G973">
        <v>12.41</v>
      </c>
      <c r="K973">
        <v>2.3839999999999999</v>
      </c>
      <c r="L973">
        <v>93.8</v>
      </c>
      <c r="M973">
        <v>0</v>
      </c>
      <c r="O973">
        <v>509.2</v>
      </c>
      <c r="P973">
        <v>146.4</v>
      </c>
      <c r="Q973">
        <v>11.78</v>
      </c>
      <c r="S973">
        <v>11.26</v>
      </c>
      <c r="T973">
        <v>0</v>
      </c>
      <c r="U973">
        <v>60.05</v>
      </c>
      <c r="V973">
        <v>841</v>
      </c>
      <c r="W973">
        <v>35.51</v>
      </c>
      <c r="Y973">
        <v>14.36</v>
      </c>
    </row>
    <row r="974" spans="1:25" x14ac:dyDescent="0.25">
      <c r="A974">
        <v>2007</v>
      </c>
      <c r="B974">
        <v>117</v>
      </c>
      <c r="C974">
        <v>1100</v>
      </c>
      <c r="D974">
        <v>468.3</v>
      </c>
      <c r="E974">
        <v>272.60000000000002</v>
      </c>
      <c r="F974">
        <v>8.65</v>
      </c>
      <c r="G974">
        <v>12.43</v>
      </c>
      <c r="K974">
        <v>2.581</v>
      </c>
      <c r="L974">
        <v>93.1</v>
      </c>
      <c r="M974">
        <v>0</v>
      </c>
      <c r="O974">
        <v>563.1</v>
      </c>
      <c r="P974">
        <v>153.5</v>
      </c>
      <c r="Q974">
        <v>12.13</v>
      </c>
      <c r="S974">
        <v>11.24</v>
      </c>
      <c r="T974">
        <v>0</v>
      </c>
      <c r="U974">
        <v>59.97</v>
      </c>
      <c r="V974">
        <v>839</v>
      </c>
      <c r="W974">
        <v>35.42</v>
      </c>
      <c r="Y974">
        <v>14.38</v>
      </c>
    </row>
    <row r="975" spans="1:25" x14ac:dyDescent="0.25">
      <c r="A975">
        <v>2007</v>
      </c>
      <c r="B975">
        <v>117</v>
      </c>
      <c r="C975">
        <v>1200</v>
      </c>
      <c r="D975">
        <v>338</v>
      </c>
      <c r="E975">
        <v>192.4</v>
      </c>
      <c r="F975">
        <v>8.3800000000000008</v>
      </c>
      <c r="G975">
        <v>11.79</v>
      </c>
      <c r="K975">
        <v>2.5470000000000002</v>
      </c>
      <c r="L975">
        <v>96</v>
      </c>
      <c r="M975">
        <v>0</v>
      </c>
      <c r="O975">
        <v>425.7</v>
      </c>
      <c r="P975">
        <v>115.1</v>
      </c>
      <c r="Q975">
        <v>12.5</v>
      </c>
      <c r="S975">
        <v>11.25</v>
      </c>
      <c r="T975">
        <v>0</v>
      </c>
      <c r="U975">
        <v>62.94</v>
      </c>
      <c r="V975">
        <v>838</v>
      </c>
      <c r="W975">
        <v>35.36</v>
      </c>
      <c r="Y975">
        <v>14</v>
      </c>
    </row>
    <row r="976" spans="1:25" x14ac:dyDescent="0.25">
      <c r="A976">
        <v>2007</v>
      </c>
      <c r="B976">
        <v>117</v>
      </c>
      <c r="C976">
        <v>1300</v>
      </c>
      <c r="D976">
        <v>719</v>
      </c>
      <c r="E976">
        <v>417.7</v>
      </c>
      <c r="F976">
        <v>9.6</v>
      </c>
      <c r="G976">
        <v>13.43</v>
      </c>
      <c r="K976">
        <v>3.0169999999999999</v>
      </c>
      <c r="L976">
        <v>95.7</v>
      </c>
      <c r="M976">
        <v>0</v>
      </c>
      <c r="O976">
        <v>854</v>
      </c>
      <c r="P976">
        <v>198.8</v>
      </c>
      <c r="Q976">
        <v>12.89</v>
      </c>
      <c r="S976">
        <v>11.44</v>
      </c>
      <c r="T976">
        <v>0</v>
      </c>
      <c r="U976">
        <v>60.75</v>
      </c>
      <c r="V976">
        <v>837</v>
      </c>
      <c r="W976">
        <v>35.270000000000003</v>
      </c>
      <c r="Y976">
        <v>14.39</v>
      </c>
    </row>
    <row r="977" spans="1:25" x14ac:dyDescent="0.25">
      <c r="A977">
        <v>2007</v>
      </c>
      <c r="B977">
        <v>117</v>
      </c>
      <c r="C977">
        <v>1400</v>
      </c>
      <c r="D977">
        <v>724</v>
      </c>
      <c r="E977">
        <v>413.7</v>
      </c>
      <c r="F977">
        <v>10.02</v>
      </c>
      <c r="G977">
        <v>14.21</v>
      </c>
      <c r="K977">
        <v>3.6480000000000001</v>
      </c>
      <c r="L977">
        <v>104.2</v>
      </c>
      <c r="M977">
        <v>0</v>
      </c>
      <c r="O977">
        <v>834</v>
      </c>
      <c r="P977">
        <v>202.1</v>
      </c>
      <c r="Q977">
        <v>13.45</v>
      </c>
      <c r="S977">
        <v>11.55</v>
      </c>
      <c r="T977">
        <v>0</v>
      </c>
      <c r="U977">
        <v>58.37</v>
      </c>
      <c r="V977">
        <v>835</v>
      </c>
      <c r="W977">
        <v>35.200000000000003</v>
      </c>
      <c r="Y977">
        <v>14.36</v>
      </c>
    </row>
    <row r="978" spans="1:25" x14ac:dyDescent="0.25">
      <c r="A978">
        <v>2007</v>
      </c>
      <c r="B978">
        <v>117</v>
      </c>
      <c r="C978">
        <v>1600</v>
      </c>
      <c r="D978">
        <v>552.1</v>
      </c>
      <c r="E978">
        <v>322</v>
      </c>
      <c r="F978">
        <v>10.77</v>
      </c>
      <c r="G978">
        <v>15.21</v>
      </c>
      <c r="K978">
        <v>3.319</v>
      </c>
      <c r="L978">
        <v>102.3</v>
      </c>
      <c r="M978">
        <v>0</v>
      </c>
      <c r="O978">
        <v>645</v>
      </c>
      <c r="P978">
        <v>226.6</v>
      </c>
      <c r="Q978">
        <v>14.52</v>
      </c>
      <c r="S978">
        <v>11.87</v>
      </c>
      <c r="T978">
        <v>0</v>
      </c>
      <c r="U978">
        <v>57.36</v>
      </c>
      <c r="V978">
        <v>828</v>
      </c>
      <c r="W978">
        <v>34.78</v>
      </c>
      <c r="Y978">
        <v>14.34</v>
      </c>
    </row>
    <row r="979" spans="1:25" x14ac:dyDescent="0.25">
      <c r="A979">
        <v>2007</v>
      </c>
      <c r="B979">
        <v>117</v>
      </c>
      <c r="C979">
        <v>1700</v>
      </c>
      <c r="D979">
        <v>412</v>
      </c>
      <c r="E979">
        <v>236.7</v>
      </c>
      <c r="F979">
        <v>10.66</v>
      </c>
      <c r="G979">
        <v>14.98</v>
      </c>
      <c r="K979">
        <v>3.2389999999999999</v>
      </c>
      <c r="L979">
        <v>102.2</v>
      </c>
      <c r="M979">
        <v>0</v>
      </c>
      <c r="O979">
        <v>481.4</v>
      </c>
      <c r="P979">
        <v>205.4</v>
      </c>
      <c r="Q979">
        <v>14.79</v>
      </c>
      <c r="S979">
        <v>12.03</v>
      </c>
      <c r="T979">
        <v>0</v>
      </c>
      <c r="U979">
        <v>58.1</v>
      </c>
      <c r="V979">
        <v>825</v>
      </c>
      <c r="W979">
        <v>34.61</v>
      </c>
      <c r="Y979">
        <v>14.01</v>
      </c>
    </row>
    <row r="980" spans="1:25" x14ac:dyDescent="0.25">
      <c r="A980">
        <v>2007</v>
      </c>
      <c r="B980">
        <v>117</v>
      </c>
      <c r="C980">
        <v>1800</v>
      </c>
      <c r="D980">
        <v>250.9</v>
      </c>
      <c r="E980">
        <v>132.19999999999999</v>
      </c>
      <c r="F980">
        <v>10.64</v>
      </c>
      <c r="G980">
        <v>14.54</v>
      </c>
      <c r="K980">
        <v>3.1850000000000001</v>
      </c>
      <c r="L980">
        <v>105.4</v>
      </c>
      <c r="M980">
        <v>0</v>
      </c>
      <c r="O980">
        <v>296.3</v>
      </c>
      <c r="P980">
        <v>149.9</v>
      </c>
      <c r="Q980">
        <v>14.88</v>
      </c>
      <c r="S980">
        <v>12.18</v>
      </c>
      <c r="T980">
        <v>0</v>
      </c>
      <c r="U980">
        <v>61.45</v>
      </c>
      <c r="V980">
        <v>825</v>
      </c>
      <c r="W980">
        <v>34.58</v>
      </c>
      <c r="Y980">
        <v>13.73</v>
      </c>
    </row>
    <row r="981" spans="1:25" x14ac:dyDescent="0.25">
      <c r="A981">
        <v>2007</v>
      </c>
      <c r="B981">
        <v>117</v>
      </c>
      <c r="C981">
        <v>1900</v>
      </c>
      <c r="D981">
        <v>115.7</v>
      </c>
      <c r="E981">
        <v>37.31</v>
      </c>
      <c r="F981">
        <v>10.27</v>
      </c>
      <c r="G981">
        <v>13.4</v>
      </c>
      <c r="K981">
        <v>2.5670000000000002</v>
      </c>
      <c r="L981">
        <v>104.1</v>
      </c>
      <c r="M981">
        <v>0</v>
      </c>
      <c r="O981">
        <v>136.9</v>
      </c>
      <c r="P981">
        <v>77.400000000000006</v>
      </c>
      <c r="Q981">
        <v>14.78</v>
      </c>
      <c r="S981">
        <v>12.29</v>
      </c>
      <c r="T981">
        <v>0</v>
      </c>
      <c r="U981">
        <v>67.52</v>
      </c>
      <c r="V981">
        <v>825</v>
      </c>
      <c r="W981">
        <v>34.58</v>
      </c>
      <c r="Y981">
        <v>13.59</v>
      </c>
    </row>
    <row r="982" spans="1:25" x14ac:dyDescent="0.25">
      <c r="A982">
        <v>2007</v>
      </c>
      <c r="B982">
        <v>117</v>
      </c>
      <c r="C982">
        <v>2000</v>
      </c>
      <c r="D982">
        <v>17.57</v>
      </c>
      <c r="E982">
        <v>-32.92</v>
      </c>
      <c r="F982">
        <v>9.5500000000000007</v>
      </c>
      <c r="G982">
        <v>12.05</v>
      </c>
      <c r="K982">
        <v>2.12</v>
      </c>
      <c r="L982">
        <v>106.6</v>
      </c>
      <c r="M982">
        <v>0</v>
      </c>
      <c r="O982">
        <v>13.01</v>
      </c>
      <c r="P982">
        <v>0.81200000000000006</v>
      </c>
      <c r="Q982">
        <v>14.61</v>
      </c>
      <c r="S982">
        <v>12.38</v>
      </c>
      <c r="T982">
        <v>0</v>
      </c>
      <c r="U982">
        <v>72.7</v>
      </c>
      <c r="V982">
        <v>828</v>
      </c>
      <c r="W982">
        <v>34.76</v>
      </c>
      <c r="Y982">
        <v>13.46</v>
      </c>
    </row>
    <row r="983" spans="1:25" x14ac:dyDescent="0.25">
      <c r="A983">
        <v>2007</v>
      </c>
      <c r="B983">
        <v>117</v>
      </c>
      <c r="C983">
        <v>2100</v>
      </c>
      <c r="D983">
        <v>-2.1309999999999998</v>
      </c>
      <c r="E983">
        <v>-45.43</v>
      </c>
      <c r="F983">
        <v>8.86</v>
      </c>
      <c r="G983">
        <v>11.13</v>
      </c>
      <c r="K983">
        <v>2.887</v>
      </c>
      <c r="L983">
        <v>108.7</v>
      </c>
      <c r="M983">
        <v>0</v>
      </c>
      <c r="O983">
        <v>-11.83</v>
      </c>
      <c r="P983">
        <v>-11.29</v>
      </c>
      <c r="Q983">
        <v>14.34</v>
      </c>
      <c r="S983">
        <v>12.34</v>
      </c>
      <c r="T983">
        <v>0</v>
      </c>
      <c r="U983">
        <v>74.3</v>
      </c>
      <c r="V983">
        <v>831</v>
      </c>
      <c r="W983">
        <v>34.92</v>
      </c>
      <c r="Y983">
        <v>13.35</v>
      </c>
    </row>
    <row r="984" spans="1:25" x14ac:dyDescent="0.25">
      <c r="A984">
        <v>2007</v>
      </c>
      <c r="B984">
        <v>117</v>
      </c>
      <c r="C984">
        <v>2200</v>
      </c>
      <c r="D984">
        <v>-2.29</v>
      </c>
      <c r="E984">
        <v>-45.49</v>
      </c>
      <c r="F984">
        <v>8.41</v>
      </c>
      <c r="G984">
        <v>10.56</v>
      </c>
      <c r="K984">
        <v>2.794</v>
      </c>
      <c r="L984">
        <v>110.1</v>
      </c>
      <c r="M984">
        <v>0</v>
      </c>
      <c r="O984">
        <v>-11.99</v>
      </c>
      <c r="P984">
        <v>-11.26</v>
      </c>
      <c r="Q984">
        <v>14.04</v>
      </c>
      <c r="S984">
        <v>12.4</v>
      </c>
      <c r="T984">
        <v>0</v>
      </c>
      <c r="U984">
        <v>75.2</v>
      </c>
      <c r="V984">
        <v>842</v>
      </c>
      <c r="W984">
        <v>35.6</v>
      </c>
      <c r="Y984">
        <v>13.26</v>
      </c>
    </row>
    <row r="985" spans="1:25" x14ac:dyDescent="0.25">
      <c r="A985">
        <v>2007</v>
      </c>
      <c r="B985">
        <v>117</v>
      </c>
      <c r="C985">
        <v>2300</v>
      </c>
      <c r="D985">
        <v>-1.8779999999999999</v>
      </c>
      <c r="E985">
        <v>-35.18</v>
      </c>
      <c r="F985">
        <v>7.9</v>
      </c>
      <c r="G985">
        <v>10.06</v>
      </c>
      <c r="K985">
        <v>2.468</v>
      </c>
      <c r="L985">
        <v>102.9</v>
      </c>
      <c r="M985">
        <v>0</v>
      </c>
      <c r="O985">
        <v>-11.74</v>
      </c>
      <c r="P985">
        <v>-11.04</v>
      </c>
      <c r="Q985">
        <v>13.7</v>
      </c>
      <c r="S985">
        <v>12.31</v>
      </c>
      <c r="T985">
        <v>0</v>
      </c>
      <c r="U985">
        <v>74.599999999999994</v>
      </c>
      <c r="V985">
        <v>854</v>
      </c>
      <c r="W985">
        <v>36.31</v>
      </c>
      <c r="Y985">
        <v>13.18</v>
      </c>
    </row>
    <row r="986" spans="1:25" x14ac:dyDescent="0.25">
      <c r="A986">
        <v>2007</v>
      </c>
      <c r="B986">
        <v>117</v>
      </c>
      <c r="C986">
        <v>2400</v>
      </c>
      <c r="D986">
        <v>-1.766</v>
      </c>
      <c r="E986">
        <v>-31.53</v>
      </c>
      <c r="F986">
        <v>7.77</v>
      </c>
      <c r="G986">
        <v>9.76</v>
      </c>
      <c r="K986">
        <v>2.5310000000000001</v>
      </c>
      <c r="L986">
        <v>102.1</v>
      </c>
      <c r="M986">
        <v>0</v>
      </c>
      <c r="O986">
        <v>-11.59</v>
      </c>
      <c r="P986">
        <v>-10.98</v>
      </c>
      <c r="Q986">
        <v>13.46</v>
      </c>
      <c r="S986">
        <v>12.31</v>
      </c>
      <c r="T986">
        <v>0</v>
      </c>
      <c r="U986">
        <v>76.3</v>
      </c>
      <c r="V986">
        <v>860</v>
      </c>
      <c r="W986">
        <v>36.69</v>
      </c>
      <c r="Y986">
        <v>13.11</v>
      </c>
    </row>
    <row r="987" spans="1:25" x14ac:dyDescent="0.25">
      <c r="A987">
        <v>2007</v>
      </c>
      <c r="B987">
        <v>118</v>
      </c>
      <c r="C987">
        <v>100</v>
      </c>
      <c r="D987">
        <v>-1.208</v>
      </c>
      <c r="E987">
        <v>-25.31</v>
      </c>
      <c r="F987">
        <v>7.43</v>
      </c>
      <c r="G987">
        <v>9.4</v>
      </c>
      <c r="K987">
        <v>2.5550000000000002</v>
      </c>
      <c r="L987">
        <v>104.1</v>
      </c>
      <c r="M987">
        <v>0</v>
      </c>
      <c r="O987">
        <v>-11.53</v>
      </c>
      <c r="P987">
        <v>-10.89</v>
      </c>
      <c r="Q987">
        <v>13.21</v>
      </c>
      <c r="S987">
        <v>12.25</v>
      </c>
      <c r="T987">
        <v>0</v>
      </c>
      <c r="U987">
        <v>76.2</v>
      </c>
      <c r="V987">
        <v>859</v>
      </c>
      <c r="W987">
        <v>36.619999999999997</v>
      </c>
      <c r="Y987">
        <v>13.04</v>
      </c>
    </row>
    <row r="988" spans="1:25" x14ac:dyDescent="0.25">
      <c r="A988">
        <v>2007</v>
      </c>
      <c r="B988">
        <v>118</v>
      </c>
      <c r="C988">
        <v>200</v>
      </c>
      <c r="D988">
        <v>-1.1539999999999999</v>
      </c>
      <c r="E988">
        <v>-25.15</v>
      </c>
      <c r="F988">
        <v>7.05</v>
      </c>
      <c r="G988">
        <v>9.0399999999999991</v>
      </c>
      <c r="K988">
        <v>2.843</v>
      </c>
      <c r="L988">
        <v>106.2</v>
      </c>
      <c r="M988">
        <v>0</v>
      </c>
      <c r="O988">
        <v>-11.51</v>
      </c>
      <c r="P988">
        <v>-10.87</v>
      </c>
      <c r="Q988">
        <v>12.96</v>
      </c>
      <c r="S988">
        <v>12.14</v>
      </c>
      <c r="T988">
        <v>0</v>
      </c>
      <c r="U988">
        <v>75.7</v>
      </c>
      <c r="V988">
        <v>858</v>
      </c>
      <c r="W988">
        <v>36.56</v>
      </c>
      <c r="Y988">
        <v>12.98</v>
      </c>
    </row>
    <row r="989" spans="1:25" x14ac:dyDescent="0.25">
      <c r="A989">
        <v>2007</v>
      </c>
      <c r="B989">
        <v>118</v>
      </c>
      <c r="C989">
        <v>300</v>
      </c>
      <c r="D989">
        <v>-1.5309999999999999</v>
      </c>
      <c r="E989">
        <v>-31.73</v>
      </c>
      <c r="F989">
        <v>6.6689999999999996</v>
      </c>
      <c r="G989">
        <v>8.33</v>
      </c>
      <c r="K989">
        <v>2.2719999999999998</v>
      </c>
      <c r="L989">
        <v>105.6</v>
      </c>
      <c r="M989">
        <v>0</v>
      </c>
      <c r="O989">
        <v>-11.51</v>
      </c>
      <c r="P989">
        <v>-10.85</v>
      </c>
      <c r="Q989">
        <v>12.72</v>
      </c>
      <c r="S989">
        <v>12.03</v>
      </c>
      <c r="T989">
        <v>0</v>
      </c>
      <c r="U989">
        <v>79.099999999999994</v>
      </c>
      <c r="V989">
        <v>855</v>
      </c>
      <c r="W989">
        <v>36.380000000000003</v>
      </c>
      <c r="Y989">
        <v>12.93</v>
      </c>
    </row>
    <row r="990" spans="1:25" x14ac:dyDescent="0.25">
      <c r="A990">
        <v>2007</v>
      </c>
      <c r="B990">
        <v>118</v>
      </c>
      <c r="C990">
        <v>400</v>
      </c>
      <c r="D990">
        <v>-1.669</v>
      </c>
      <c r="E990">
        <v>-30.15</v>
      </c>
      <c r="F990">
        <v>6.4</v>
      </c>
      <c r="G990">
        <v>7.87</v>
      </c>
      <c r="K990">
        <v>2.1219999999999999</v>
      </c>
      <c r="L990">
        <v>109.2</v>
      </c>
      <c r="M990">
        <v>0</v>
      </c>
      <c r="O990">
        <v>-11.5</v>
      </c>
      <c r="P990">
        <v>-10.84</v>
      </c>
      <c r="Q990">
        <v>12.48</v>
      </c>
      <c r="S990">
        <v>11.91</v>
      </c>
      <c r="T990">
        <v>0</v>
      </c>
      <c r="U990">
        <v>81</v>
      </c>
      <c r="V990">
        <v>852</v>
      </c>
      <c r="W990">
        <v>36.18</v>
      </c>
      <c r="Y990">
        <v>12.89</v>
      </c>
    </row>
    <row r="991" spans="1:25" x14ac:dyDescent="0.25">
      <c r="A991">
        <v>2007</v>
      </c>
      <c r="B991">
        <v>118</v>
      </c>
      <c r="C991">
        <v>500</v>
      </c>
      <c r="D991">
        <v>-0.63600000000000001</v>
      </c>
      <c r="E991">
        <v>-21.45</v>
      </c>
      <c r="F991">
        <v>6.6340000000000003</v>
      </c>
      <c r="G991">
        <v>8.09</v>
      </c>
      <c r="K991">
        <v>2.2999999999999998</v>
      </c>
      <c r="L991">
        <v>106.7</v>
      </c>
      <c r="M991">
        <v>0</v>
      </c>
      <c r="O991">
        <v>-10.64</v>
      </c>
      <c r="P991">
        <v>-10.68</v>
      </c>
      <c r="Q991">
        <v>12.29</v>
      </c>
      <c r="S991">
        <v>11.84</v>
      </c>
      <c r="T991">
        <v>0</v>
      </c>
      <c r="U991">
        <v>81.5</v>
      </c>
      <c r="V991">
        <v>850</v>
      </c>
      <c r="W991">
        <v>36.08</v>
      </c>
      <c r="Y991">
        <v>12.86</v>
      </c>
    </row>
    <row r="992" spans="1:25" x14ac:dyDescent="0.25">
      <c r="A992">
        <v>2007</v>
      </c>
      <c r="B992">
        <v>118</v>
      </c>
      <c r="C992">
        <v>600</v>
      </c>
      <c r="D992">
        <v>18.36</v>
      </c>
      <c r="E992">
        <v>-9.08</v>
      </c>
      <c r="F992">
        <v>6.6680000000000001</v>
      </c>
      <c r="G992">
        <v>8.1199999999999992</v>
      </c>
      <c r="K992">
        <v>2.141</v>
      </c>
      <c r="L992">
        <v>106.3</v>
      </c>
      <c r="M992">
        <v>0</v>
      </c>
      <c r="O992">
        <v>12.01</v>
      </c>
      <c r="P992">
        <v>-3.774</v>
      </c>
      <c r="Q992">
        <v>12.13</v>
      </c>
      <c r="S992">
        <v>11.77</v>
      </c>
      <c r="T992">
        <v>0</v>
      </c>
      <c r="U992">
        <v>81.5</v>
      </c>
      <c r="V992">
        <v>847</v>
      </c>
      <c r="W992">
        <v>35.86</v>
      </c>
      <c r="Y992">
        <v>12.84</v>
      </c>
    </row>
    <row r="993" spans="1:25" x14ac:dyDescent="0.25">
      <c r="A993">
        <v>2007</v>
      </c>
      <c r="B993">
        <v>118</v>
      </c>
      <c r="C993">
        <v>700</v>
      </c>
      <c r="D993">
        <v>78.3</v>
      </c>
      <c r="E993">
        <v>30.18</v>
      </c>
      <c r="F993">
        <v>6.851</v>
      </c>
      <c r="G993">
        <v>8.56</v>
      </c>
      <c r="K993">
        <v>2.23</v>
      </c>
      <c r="L993">
        <v>102</v>
      </c>
      <c r="M993">
        <v>0</v>
      </c>
      <c r="O993">
        <v>87.3</v>
      </c>
      <c r="P993">
        <v>18.21</v>
      </c>
      <c r="Q993">
        <v>11.98</v>
      </c>
      <c r="S993">
        <v>11.66</v>
      </c>
      <c r="T993">
        <v>0</v>
      </c>
      <c r="U993">
        <v>78.7</v>
      </c>
      <c r="V993">
        <v>840</v>
      </c>
      <c r="W993">
        <v>35.46</v>
      </c>
      <c r="Y993">
        <v>13.14</v>
      </c>
    </row>
    <row r="994" spans="1:25" x14ac:dyDescent="0.25">
      <c r="A994">
        <v>2007</v>
      </c>
      <c r="B994">
        <v>118</v>
      </c>
      <c r="C994">
        <v>800</v>
      </c>
      <c r="D994">
        <v>137.30000000000001</v>
      </c>
      <c r="E994">
        <v>66.709999999999994</v>
      </c>
      <c r="F994">
        <v>7.2</v>
      </c>
      <c r="G994">
        <v>9.19</v>
      </c>
      <c r="K994">
        <v>2.976</v>
      </c>
      <c r="L994">
        <v>101.9</v>
      </c>
      <c r="M994">
        <v>0</v>
      </c>
      <c r="O994">
        <v>156.9</v>
      </c>
      <c r="P994">
        <v>39.659999999999997</v>
      </c>
      <c r="Q994">
        <v>11.91</v>
      </c>
      <c r="S994">
        <v>11.59</v>
      </c>
      <c r="T994">
        <v>0</v>
      </c>
      <c r="U994">
        <v>75.8</v>
      </c>
      <c r="V994">
        <v>833</v>
      </c>
      <c r="W994">
        <v>35.06</v>
      </c>
      <c r="Y994">
        <v>13.63</v>
      </c>
    </row>
    <row r="995" spans="1:25" x14ac:dyDescent="0.25">
      <c r="A995">
        <v>2007</v>
      </c>
      <c r="B995">
        <v>118</v>
      </c>
      <c r="C995">
        <v>900</v>
      </c>
      <c r="D995">
        <v>177.9</v>
      </c>
      <c r="E995">
        <v>90.4</v>
      </c>
      <c r="F995">
        <v>7.57</v>
      </c>
      <c r="G995">
        <v>9.7799999999999994</v>
      </c>
      <c r="H995">
        <f>AVERAGE(G995:G1018)</f>
        <v>11.294583333333335</v>
      </c>
      <c r="I995">
        <f>MIN(G995:G1018)</f>
        <v>7.47</v>
      </c>
      <c r="J995">
        <f>MAX(F995:F1018)</f>
        <v>11.14</v>
      </c>
      <c r="K995">
        <v>3.242</v>
      </c>
      <c r="L995">
        <v>104.1</v>
      </c>
      <c r="M995">
        <v>0</v>
      </c>
      <c r="N995">
        <f>SUM(M995:M1018)</f>
        <v>0</v>
      </c>
      <c r="O995">
        <v>205.7</v>
      </c>
      <c r="P995">
        <v>55.73</v>
      </c>
      <c r="Q995">
        <v>11.93</v>
      </c>
      <c r="S995">
        <v>11.52</v>
      </c>
      <c r="T995">
        <v>0</v>
      </c>
      <c r="U995">
        <v>73.8</v>
      </c>
      <c r="V995">
        <v>830</v>
      </c>
      <c r="W995">
        <v>34.880000000000003</v>
      </c>
      <c r="Y995">
        <v>13.79</v>
      </c>
    </row>
    <row r="996" spans="1:25" x14ac:dyDescent="0.25">
      <c r="A996">
        <v>2007</v>
      </c>
      <c r="B996">
        <v>118</v>
      </c>
      <c r="C996">
        <v>1000</v>
      </c>
      <c r="D996">
        <v>557.29999999999995</v>
      </c>
      <c r="E996">
        <v>336.2</v>
      </c>
      <c r="F996">
        <v>8.69</v>
      </c>
      <c r="G996">
        <v>12.08</v>
      </c>
      <c r="K996">
        <v>4.2119999999999997</v>
      </c>
      <c r="L996">
        <v>108.5</v>
      </c>
      <c r="M996">
        <v>0</v>
      </c>
      <c r="O996">
        <v>692.8</v>
      </c>
      <c r="P996">
        <v>202.6</v>
      </c>
      <c r="Q996">
        <v>12</v>
      </c>
      <c r="S996">
        <v>11.55</v>
      </c>
      <c r="T996">
        <v>0</v>
      </c>
      <c r="U996">
        <v>63.69</v>
      </c>
      <c r="V996">
        <v>828</v>
      </c>
      <c r="W996">
        <v>34.76</v>
      </c>
      <c r="Y996">
        <v>14.7</v>
      </c>
    </row>
    <row r="997" spans="1:25" x14ac:dyDescent="0.25">
      <c r="A997">
        <v>2007</v>
      </c>
      <c r="B997">
        <v>118</v>
      </c>
      <c r="C997">
        <v>1100</v>
      </c>
      <c r="D997">
        <v>654.79999999999995</v>
      </c>
      <c r="E997">
        <v>388.4</v>
      </c>
      <c r="F997">
        <v>9.3000000000000007</v>
      </c>
      <c r="G997">
        <v>13.76</v>
      </c>
      <c r="K997">
        <v>4.3099999999999996</v>
      </c>
      <c r="L997">
        <v>107.2</v>
      </c>
      <c r="M997">
        <v>0</v>
      </c>
      <c r="O997">
        <v>799</v>
      </c>
      <c r="P997">
        <v>217.4</v>
      </c>
      <c r="Q997">
        <v>12.27</v>
      </c>
      <c r="S997">
        <v>11.55</v>
      </c>
      <c r="T997">
        <v>0</v>
      </c>
      <c r="U997">
        <v>55.31</v>
      </c>
      <c r="V997">
        <v>824</v>
      </c>
      <c r="W997">
        <v>34.53</v>
      </c>
      <c r="Y997">
        <v>14.67</v>
      </c>
    </row>
    <row r="998" spans="1:25" x14ac:dyDescent="0.25">
      <c r="A998">
        <v>2007</v>
      </c>
      <c r="B998">
        <v>118</v>
      </c>
      <c r="C998">
        <v>1200</v>
      </c>
      <c r="D998">
        <v>731</v>
      </c>
      <c r="E998">
        <v>428.9</v>
      </c>
      <c r="F998">
        <v>9.89</v>
      </c>
      <c r="G998">
        <v>14.53</v>
      </c>
      <c r="K998">
        <v>3.9649999999999999</v>
      </c>
      <c r="L998">
        <v>104.5</v>
      </c>
      <c r="M998">
        <v>0</v>
      </c>
      <c r="O998">
        <v>888</v>
      </c>
      <c r="P998">
        <v>222.9</v>
      </c>
      <c r="Q998">
        <v>12.75</v>
      </c>
      <c r="S998">
        <v>11.57</v>
      </c>
      <c r="T998">
        <v>0</v>
      </c>
      <c r="U998">
        <v>54.66</v>
      </c>
      <c r="V998">
        <v>819</v>
      </c>
      <c r="W998">
        <v>34.28</v>
      </c>
      <c r="Y998">
        <v>14.62</v>
      </c>
    </row>
    <row r="999" spans="1:25" x14ac:dyDescent="0.25">
      <c r="A999">
        <v>2007</v>
      </c>
      <c r="B999">
        <v>118</v>
      </c>
      <c r="C999">
        <v>1300</v>
      </c>
      <c r="D999">
        <v>739</v>
      </c>
      <c r="E999">
        <v>426.6</v>
      </c>
      <c r="F999">
        <v>10.26</v>
      </c>
      <c r="G999">
        <v>15.11</v>
      </c>
      <c r="K999">
        <v>3.6819999999999999</v>
      </c>
      <c r="L999">
        <v>107.7</v>
      </c>
      <c r="M999">
        <v>0</v>
      </c>
      <c r="O999">
        <v>890</v>
      </c>
      <c r="P999">
        <v>223.9</v>
      </c>
      <c r="Q999">
        <v>13.37</v>
      </c>
      <c r="S999">
        <v>11.63</v>
      </c>
      <c r="T999">
        <v>0</v>
      </c>
      <c r="U999">
        <v>53.65</v>
      </c>
      <c r="V999">
        <v>817</v>
      </c>
      <c r="W999">
        <v>34.159999999999997</v>
      </c>
      <c r="Y999">
        <v>14.54</v>
      </c>
    </row>
    <row r="1000" spans="1:25" x14ac:dyDescent="0.25">
      <c r="A1000">
        <v>2007</v>
      </c>
      <c r="B1000">
        <v>118</v>
      </c>
      <c r="C1000">
        <v>1400</v>
      </c>
      <c r="D1000">
        <v>709</v>
      </c>
      <c r="E1000">
        <v>403.8</v>
      </c>
      <c r="F1000">
        <v>10.81</v>
      </c>
      <c r="G1000">
        <v>15.77</v>
      </c>
      <c r="K1000">
        <v>3.4980000000000002</v>
      </c>
      <c r="L1000">
        <v>103.2</v>
      </c>
      <c r="M1000">
        <v>0</v>
      </c>
      <c r="O1000">
        <v>829</v>
      </c>
      <c r="P1000">
        <v>217.3</v>
      </c>
      <c r="Q1000">
        <v>14.01</v>
      </c>
      <c r="S1000">
        <v>11.76</v>
      </c>
      <c r="T1000">
        <v>0</v>
      </c>
      <c r="U1000">
        <v>53.63</v>
      </c>
      <c r="V1000">
        <v>814</v>
      </c>
      <c r="W1000">
        <v>33.99</v>
      </c>
      <c r="Y1000">
        <v>14.44</v>
      </c>
    </row>
    <row r="1001" spans="1:25" x14ac:dyDescent="0.25">
      <c r="A1001">
        <v>2007</v>
      </c>
      <c r="B1001">
        <v>118</v>
      </c>
      <c r="C1001">
        <v>1500</v>
      </c>
      <c r="D1001">
        <v>598.70000000000005</v>
      </c>
      <c r="E1001">
        <v>341.2</v>
      </c>
      <c r="F1001">
        <v>10.93</v>
      </c>
      <c r="G1001">
        <v>16.02</v>
      </c>
      <c r="K1001">
        <v>3.5059999999999998</v>
      </c>
      <c r="L1001">
        <v>104.4</v>
      </c>
      <c r="M1001">
        <v>0</v>
      </c>
      <c r="O1001">
        <v>706</v>
      </c>
      <c r="P1001">
        <v>208.3</v>
      </c>
      <c r="Q1001">
        <v>14.6</v>
      </c>
      <c r="S1001">
        <v>11.94</v>
      </c>
      <c r="T1001">
        <v>0</v>
      </c>
      <c r="U1001">
        <v>52.77</v>
      </c>
      <c r="V1001">
        <v>810</v>
      </c>
      <c r="W1001">
        <v>33.78</v>
      </c>
      <c r="Y1001">
        <v>14.29</v>
      </c>
    </row>
    <row r="1002" spans="1:25" x14ac:dyDescent="0.25">
      <c r="A1002">
        <v>2007</v>
      </c>
      <c r="B1002">
        <v>118</v>
      </c>
      <c r="C1002">
        <v>1700</v>
      </c>
      <c r="D1002">
        <v>323.7</v>
      </c>
      <c r="E1002">
        <v>169.7</v>
      </c>
      <c r="F1002">
        <v>10.77</v>
      </c>
      <c r="G1002">
        <v>15.61</v>
      </c>
      <c r="K1002">
        <v>3.45</v>
      </c>
      <c r="L1002">
        <v>104.1</v>
      </c>
      <c r="M1002">
        <v>0</v>
      </c>
      <c r="O1002">
        <v>374.6</v>
      </c>
      <c r="P1002">
        <v>153.6</v>
      </c>
      <c r="Q1002">
        <v>15.2</v>
      </c>
      <c r="S1002">
        <v>12.28</v>
      </c>
      <c r="T1002">
        <v>0</v>
      </c>
      <c r="U1002">
        <v>54.43</v>
      </c>
      <c r="V1002">
        <v>803</v>
      </c>
      <c r="W1002">
        <v>33.42</v>
      </c>
      <c r="Y1002">
        <v>13.93</v>
      </c>
    </row>
    <row r="1003" spans="1:25" x14ac:dyDescent="0.25">
      <c r="A1003">
        <v>2007</v>
      </c>
      <c r="B1003">
        <v>118</v>
      </c>
      <c r="C1003">
        <v>1800</v>
      </c>
      <c r="D1003">
        <v>227.4</v>
      </c>
      <c r="E1003">
        <v>112.1</v>
      </c>
      <c r="F1003">
        <v>11.14</v>
      </c>
      <c r="G1003">
        <v>15.38</v>
      </c>
      <c r="K1003">
        <v>3.5670000000000002</v>
      </c>
      <c r="L1003">
        <v>99.5</v>
      </c>
      <c r="M1003">
        <v>0</v>
      </c>
      <c r="O1003">
        <v>266.2</v>
      </c>
      <c r="P1003">
        <v>130.69999999999999</v>
      </c>
      <c r="Q1003">
        <v>15.23</v>
      </c>
      <c r="S1003">
        <v>12.46</v>
      </c>
      <c r="T1003">
        <v>0</v>
      </c>
      <c r="U1003">
        <v>59.44</v>
      </c>
      <c r="V1003">
        <v>801</v>
      </c>
      <c r="W1003">
        <v>33.28</v>
      </c>
      <c r="Y1003">
        <v>13.72</v>
      </c>
    </row>
    <row r="1004" spans="1:25" x14ac:dyDescent="0.25">
      <c r="A1004">
        <v>2007</v>
      </c>
      <c r="B1004">
        <v>118</v>
      </c>
      <c r="C1004">
        <v>1900</v>
      </c>
      <c r="D1004">
        <v>75</v>
      </c>
      <c r="E1004">
        <v>2.3620000000000001</v>
      </c>
      <c r="F1004">
        <v>10.64</v>
      </c>
      <c r="G1004">
        <v>14.05</v>
      </c>
      <c r="K1004">
        <v>3.653</v>
      </c>
      <c r="L1004">
        <v>105.7</v>
      </c>
      <c r="M1004">
        <v>0</v>
      </c>
      <c r="O1004">
        <v>79.8</v>
      </c>
      <c r="P1004">
        <v>35.53</v>
      </c>
      <c r="Q1004">
        <v>15.09</v>
      </c>
      <c r="S1004">
        <v>12.52</v>
      </c>
      <c r="T1004">
        <v>0</v>
      </c>
      <c r="U1004">
        <v>65.569999999999993</v>
      </c>
      <c r="V1004">
        <v>799</v>
      </c>
      <c r="W1004">
        <v>33.19</v>
      </c>
      <c r="Y1004">
        <v>13.54</v>
      </c>
    </row>
    <row r="1005" spans="1:25" x14ac:dyDescent="0.25">
      <c r="A1005">
        <v>2007</v>
      </c>
      <c r="B1005">
        <v>118</v>
      </c>
      <c r="C1005">
        <v>2000</v>
      </c>
      <c r="D1005">
        <v>12.22</v>
      </c>
      <c r="E1005">
        <v>-37.18</v>
      </c>
      <c r="F1005">
        <v>9.92</v>
      </c>
      <c r="G1005">
        <v>12.5</v>
      </c>
      <c r="K1005">
        <v>3.4460000000000002</v>
      </c>
      <c r="L1005">
        <v>107.5</v>
      </c>
      <c r="M1005">
        <v>0</v>
      </c>
      <c r="O1005">
        <v>3.9340000000000002</v>
      </c>
      <c r="P1005">
        <v>-4.4219999999999997</v>
      </c>
      <c r="Q1005">
        <v>14.87</v>
      </c>
      <c r="S1005">
        <v>12.6</v>
      </c>
      <c r="T1005">
        <v>0</v>
      </c>
      <c r="U1005">
        <v>72.2</v>
      </c>
      <c r="V1005">
        <v>799</v>
      </c>
      <c r="W1005">
        <v>33.200000000000003</v>
      </c>
      <c r="Y1005">
        <v>13.4</v>
      </c>
    </row>
    <row r="1006" spans="1:25" x14ac:dyDescent="0.25">
      <c r="A1006">
        <v>2007</v>
      </c>
      <c r="B1006">
        <v>118</v>
      </c>
      <c r="C1006">
        <v>2100</v>
      </c>
      <c r="D1006">
        <v>-2.11</v>
      </c>
      <c r="E1006">
        <v>-47.32</v>
      </c>
      <c r="F1006">
        <v>9.32</v>
      </c>
      <c r="G1006">
        <v>11.45</v>
      </c>
      <c r="K1006">
        <v>3.3170000000000002</v>
      </c>
      <c r="L1006">
        <v>110.4</v>
      </c>
      <c r="M1006">
        <v>0</v>
      </c>
      <c r="O1006">
        <v>-11.91</v>
      </c>
      <c r="P1006">
        <v>-11.33</v>
      </c>
      <c r="Q1006">
        <v>14.57</v>
      </c>
      <c r="S1006">
        <v>12.65</v>
      </c>
      <c r="T1006">
        <v>0</v>
      </c>
      <c r="U1006">
        <v>76.099999999999994</v>
      </c>
      <c r="V1006">
        <v>804</v>
      </c>
      <c r="W1006">
        <v>33.46</v>
      </c>
      <c r="Y1006">
        <v>13.3</v>
      </c>
    </row>
    <row r="1007" spans="1:25" x14ac:dyDescent="0.25">
      <c r="A1007">
        <v>2007</v>
      </c>
      <c r="B1007">
        <v>118</v>
      </c>
      <c r="C1007">
        <v>2200</v>
      </c>
      <c r="D1007">
        <v>-2.29</v>
      </c>
      <c r="E1007">
        <v>-44.59</v>
      </c>
      <c r="F1007">
        <v>8.94</v>
      </c>
      <c r="G1007">
        <v>10.72</v>
      </c>
      <c r="K1007">
        <v>2.3690000000000002</v>
      </c>
      <c r="L1007">
        <v>105.3</v>
      </c>
      <c r="M1007">
        <v>0</v>
      </c>
      <c r="O1007">
        <v>-12.05</v>
      </c>
      <c r="P1007">
        <v>-11.31</v>
      </c>
      <c r="Q1007">
        <v>14.28</v>
      </c>
      <c r="S1007">
        <v>12.62</v>
      </c>
      <c r="T1007">
        <v>0</v>
      </c>
      <c r="U1007">
        <v>79.5</v>
      </c>
      <c r="V1007">
        <v>812</v>
      </c>
      <c r="W1007">
        <v>33.909999999999997</v>
      </c>
      <c r="Y1007">
        <v>13.21</v>
      </c>
    </row>
    <row r="1008" spans="1:25" x14ac:dyDescent="0.25">
      <c r="A1008">
        <v>2007</v>
      </c>
      <c r="B1008">
        <v>118</v>
      </c>
      <c r="C1008">
        <v>2300</v>
      </c>
      <c r="D1008">
        <v>-2.0070000000000001</v>
      </c>
      <c r="E1008">
        <v>-38.5</v>
      </c>
      <c r="F1008">
        <v>8.4499999999999993</v>
      </c>
      <c r="G1008">
        <v>10.08</v>
      </c>
      <c r="K1008">
        <v>2.5249999999999999</v>
      </c>
      <c r="L1008">
        <v>106.6</v>
      </c>
      <c r="M1008">
        <v>0</v>
      </c>
      <c r="O1008">
        <v>-11.82</v>
      </c>
      <c r="P1008">
        <v>-11.15</v>
      </c>
      <c r="Q1008">
        <v>13.94</v>
      </c>
      <c r="S1008">
        <v>12.56</v>
      </c>
      <c r="T1008">
        <v>0</v>
      </c>
      <c r="U1008">
        <v>80.7</v>
      </c>
      <c r="V1008">
        <v>833</v>
      </c>
      <c r="W1008">
        <v>35.090000000000003</v>
      </c>
      <c r="Y1008">
        <v>13.14</v>
      </c>
    </row>
    <row r="1009" spans="1:25" x14ac:dyDescent="0.25">
      <c r="A1009">
        <v>2007</v>
      </c>
      <c r="B1009">
        <v>118</v>
      </c>
      <c r="C1009">
        <v>2400</v>
      </c>
      <c r="D1009">
        <v>-2.2909999999999999</v>
      </c>
      <c r="E1009">
        <v>-43.81</v>
      </c>
      <c r="F1009">
        <v>7.92</v>
      </c>
      <c r="G1009">
        <v>9.3699999999999992</v>
      </c>
      <c r="K1009">
        <v>2.2290000000000001</v>
      </c>
      <c r="L1009">
        <v>103.7</v>
      </c>
      <c r="M1009">
        <v>0</v>
      </c>
      <c r="O1009">
        <v>-11.6</v>
      </c>
      <c r="P1009">
        <v>-10.95</v>
      </c>
      <c r="Q1009">
        <v>13.68</v>
      </c>
      <c r="S1009">
        <v>12.52</v>
      </c>
      <c r="T1009">
        <v>0</v>
      </c>
      <c r="U1009">
        <v>82.3</v>
      </c>
      <c r="V1009">
        <v>841</v>
      </c>
      <c r="W1009">
        <v>35.53</v>
      </c>
      <c r="Y1009">
        <v>13.07</v>
      </c>
    </row>
    <row r="1010" spans="1:25" x14ac:dyDescent="0.25">
      <c r="A1010">
        <v>2007</v>
      </c>
      <c r="B1010">
        <v>119</v>
      </c>
      <c r="C1010">
        <v>100</v>
      </c>
      <c r="D1010">
        <v>-2.2989999999999999</v>
      </c>
      <c r="E1010">
        <v>-43.43</v>
      </c>
      <c r="F1010">
        <v>7.45</v>
      </c>
      <c r="G1010">
        <v>8.86</v>
      </c>
      <c r="K1010">
        <v>2.089</v>
      </c>
      <c r="L1010">
        <v>101.9</v>
      </c>
      <c r="M1010">
        <v>0</v>
      </c>
      <c r="O1010">
        <v>-11.53</v>
      </c>
      <c r="P1010">
        <v>-10.89</v>
      </c>
      <c r="Q1010">
        <v>13.43</v>
      </c>
      <c r="S1010">
        <v>12.45</v>
      </c>
      <c r="T1010">
        <v>0</v>
      </c>
      <c r="U1010">
        <v>82.5</v>
      </c>
      <c r="V1010">
        <v>836</v>
      </c>
      <c r="W1010">
        <v>35.22</v>
      </c>
      <c r="Y1010">
        <v>13</v>
      </c>
    </row>
    <row r="1011" spans="1:25" x14ac:dyDescent="0.25">
      <c r="A1011">
        <v>2007</v>
      </c>
      <c r="B1011">
        <v>119</v>
      </c>
      <c r="C1011">
        <v>200</v>
      </c>
      <c r="D1011">
        <v>-2.29</v>
      </c>
      <c r="E1011">
        <v>-41.83</v>
      </c>
      <c r="F1011">
        <v>7.03</v>
      </c>
      <c r="G1011">
        <v>8.3000000000000007</v>
      </c>
      <c r="K1011">
        <v>2.2200000000000002</v>
      </c>
      <c r="L1011">
        <v>103.9</v>
      </c>
      <c r="M1011">
        <v>0</v>
      </c>
      <c r="O1011">
        <v>-11.51</v>
      </c>
      <c r="P1011">
        <v>-10.85</v>
      </c>
      <c r="Q1011">
        <v>13.14</v>
      </c>
      <c r="S1011">
        <v>12.34</v>
      </c>
      <c r="T1011">
        <v>0</v>
      </c>
      <c r="U1011">
        <v>83.9</v>
      </c>
      <c r="V1011">
        <v>833</v>
      </c>
      <c r="W1011">
        <v>35.03</v>
      </c>
      <c r="Y1011">
        <v>12.95</v>
      </c>
    </row>
    <row r="1012" spans="1:25" x14ac:dyDescent="0.25">
      <c r="A1012">
        <v>2007</v>
      </c>
      <c r="B1012">
        <v>119</v>
      </c>
      <c r="C1012">
        <v>300</v>
      </c>
      <c r="D1012">
        <v>-1.728</v>
      </c>
      <c r="E1012">
        <v>-32.299999999999997</v>
      </c>
      <c r="F1012">
        <v>6.7560000000000002</v>
      </c>
      <c r="G1012">
        <v>7.9</v>
      </c>
      <c r="K1012">
        <v>2.6589999999999998</v>
      </c>
      <c r="L1012">
        <v>106</v>
      </c>
      <c r="M1012">
        <v>0</v>
      </c>
      <c r="O1012">
        <v>-11.5</v>
      </c>
      <c r="P1012">
        <v>-10.85</v>
      </c>
      <c r="Q1012">
        <v>12.87</v>
      </c>
      <c r="S1012">
        <v>12.22</v>
      </c>
      <c r="T1012">
        <v>0</v>
      </c>
      <c r="U1012">
        <v>85.3</v>
      </c>
      <c r="V1012">
        <v>834</v>
      </c>
      <c r="W1012">
        <v>35.119999999999997</v>
      </c>
      <c r="Y1012">
        <v>12.9</v>
      </c>
    </row>
    <row r="1013" spans="1:25" x14ac:dyDescent="0.25">
      <c r="A1013">
        <v>2007</v>
      </c>
      <c r="B1013">
        <v>119</v>
      </c>
      <c r="C1013">
        <v>400</v>
      </c>
      <c r="D1013">
        <v>-1.079</v>
      </c>
      <c r="E1013">
        <v>-23.72</v>
      </c>
      <c r="F1013">
        <v>6.68</v>
      </c>
      <c r="G1013">
        <v>7.78</v>
      </c>
      <c r="K1013">
        <v>2.9119999999999999</v>
      </c>
      <c r="L1013">
        <v>104</v>
      </c>
      <c r="M1013">
        <v>0</v>
      </c>
      <c r="O1013">
        <v>-11.5</v>
      </c>
      <c r="P1013">
        <v>-10.85</v>
      </c>
      <c r="Q1013">
        <v>12.66</v>
      </c>
      <c r="S1013">
        <v>12.15</v>
      </c>
      <c r="T1013">
        <v>0</v>
      </c>
      <c r="U1013">
        <v>85.7</v>
      </c>
      <c r="V1013">
        <v>832</v>
      </c>
      <c r="W1013">
        <v>35.01</v>
      </c>
      <c r="Y1013">
        <v>12.87</v>
      </c>
    </row>
    <row r="1014" spans="1:25" x14ac:dyDescent="0.25">
      <c r="A1014">
        <v>2007</v>
      </c>
      <c r="B1014">
        <v>119</v>
      </c>
      <c r="C1014">
        <v>500</v>
      </c>
      <c r="D1014">
        <v>9.9000000000000005E-2</v>
      </c>
      <c r="E1014">
        <v>-27.44</v>
      </c>
      <c r="F1014">
        <v>6.4450000000000003</v>
      </c>
      <c r="G1014">
        <v>7.47</v>
      </c>
      <c r="K1014">
        <v>2.7770000000000001</v>
      </c>
      <c r="L1014">
        <v>102.9</v>
      </c>
      <c r="M1014">
        <v>0</v>
      </c>
      <c r="O1014">
        <v>-9.42</v>
      </c>
      <c r="P1014">
        <v>-10.24</v>
      </c>
      <c r="Q1014">
        <v>12.47</v>
      </c>
      <c r="S1014">
        <v>12.04</v>
      </c>
      <c r="T1014">
        <v>0</v>
      </c>
      <c r="U1014">
        <v>86.6</v>
      </c>
      <c r="V1014">
        <v>830</v>
      </c>
      <c r="W1014">
        <v>34.869999999999997</v>
      </c>
      <c r="Y1014">
        <v>12.84</v>
      </c>
    </row>
    <row r="1015" spans="1:25" x14ac:dyDescent="0.25">
      <c r="A1015">
        <v>2007</v>
      </c>
      <c r="B1015">
        <v>119</v>
      </c>
      <c r="C1015">
        <v>600</v>
      </c>
      <c r="D1015">
        <v>27.18</v>
      </c>
      <c r="E1015">
        <v>-11.11</v>
      </c>
      <c r="F1015">
        <v>6.532</v>
      </c>
      <c r="G1015">
        <v>7.58</v>
      </c>
      <c r="K1015">
        <v>3.7410000000000001</v>
      </c>
      <c r="L1015">
        <v>108.4</v>
      </c>
      <c r="M1015">
        <v>0</v>
      </c>
      <c r="O1015">
        <v>23.77</v>
      </c>
      <c r="P1015">
        <v>0.95</v>
      </c>
      <c r="Q1015">
        <v>12.3</v>
      </c>
      <c r="S1015">
        <v>11.96</v>
      </c>
      <c r="T1015">
        <v>0</v>
      </c>
      <c r="U1015">
        <v>86.3</v>
      </c>
      <c r="V1015">
        <v>821</v>
      </c>
      <c r="W1015">
        <v>34.369999999999997</v>
      </c>
      <c r="Y1015">
        <v>12.84</v>
      </c>
    </row>
    <row r="1016" spans="1:25" x14ac:dyDescent="0.25">
      <c r="A1016">
        <v>2007</v>
      </c>
      <c r="B1016">
        <v>119</v>
      </c>
      <c r="C1016">
        <v>700</v>
      </c>
      <c r="D1016">
        <v>102.4</v>
      </c>
      <c r="E1016">
        <v>33</v>
      </c>
      <c r="F1016">
        <v>6.8869999999999996</v>
      </c>
      <c r="G1016">
        <v>8.1199999999999992</v>
      </c>
      <c r="K1016">
        <v>4.4390000000000001</v>
      </c>
      <c r="L1016">
        <v>108.3</v>
      </c>
      <c r="M1016">
        <v>0</v>
      </c>
      <c r="O1016">
        <v>120.1</v>
      </c>
      <c r="P1016">
        <v>35.409999999999997</v>
      </c>
      <c r="Q1016">
        <v>12.13</v>
      </c>
      <c r="S1016">
        <v>11.86</v>
      </c>
      <c r="T1016">
        <v>0</v>
      </c>
      <c r="U1016">
        <v>84.2</v>
      </c>
      <c r="V1016">
        <v>816</v>
      </c>
      <c r="W1016">
        <v>34.08</v>
      </c>
      <c r="Y1016">
        <v>13.41</v>
      </c>
    </row>
    <row r="1017" spans="1:25" x14ac:dyDescent="0.25">
      <c r="A1017">
        <v>2007</v>
      </c>
      <c r="B1017">
        <v>119</v>
      </c>
      <c r="C1017">
        <v>800</v>
      </c>
      <c r="D1017">
        <v>150.1</v>
      </c>
      <c r="E1017">
        <v>71.099999999999994</v>
      </c>
      <c r="F1017">
        <v>7.29</v>
      </c>
      <c r="G1017">
        <v>8.74</v>
      </c>
      <c r="K1017">
        <v>4.5629999999999997</v>
      </c>
      <c r="L1017">
        <v>109.7</v>
      </c>
      <c r="M1017">
        <v>0</v>
      </c>
      <c r="O1017">
        <v>178</v>
      </c>
      <c r="P1017">
        <v>49.44</v>
      </c>
      <c r="Q1017">
        <v>11.99</v>
      </c>
      <c r="S1017">
        <v>11.74</v>
      </c>
      <c r="T1017">
        <v>0</v>
      </c>
      <c r="U1017">
        <v>82</v>
      </c>
      <c r="V1017">
        <v>817</v>
      </c>
      <c r="W1017">
        <v>34.15</v>
      </c>
      <c r="Y1017">
        <v>13.7</v>
      </c>
    </row>
    <row r="1018" spans="1:25" x14ac:dyDescent="0.25">
      <c r="A1018">
        <v>2007</v>
      </c>
      <c r="B1018">
        <v>119</v>
      </c>
      <c r="C1018">
        <v>900</v>
      </c>
      <c r="D1018">
        <v>363.3</v>
      </c>
      <c r="E1018">
        <v>212.3</v>
      </c>
      <c r="F1018">
        <v>8.1</v>
      </c>
      <c r="G1018">
        <v>10.11</v>
      </c>
      <c r="H1018">
        <f>AVERAGE(G1018:G1041)</f>
        <v>11.433333333333335</v>
      </c>
      <c r="I1018">
        <f>MIN(G1018:G1041)</f>
        <v>8.5399999999999991</v>
      </c>
      <c r="J1018">
        <f>MAX(F1018:F1041)</f>
        <v>11.02</v>
      </c>
      <c r="K1018">
        <v>4.12</v>
      </c>
      <c r="L1018">
        <v>105.2</v>
      </c>
      <c r="M1018">
        <v>0</v>
      </c>
      <c r="N1018">
        <f>SUM(M1018:M1041)</f>
        <v>0</v>
      </c>
      <c r="O1018">
        <v>452.4</v>
      </c>
      <c r="P1018">
        <v>139.5</v>
      </c>
      <c r="Q1018">
        <v>11.99</v>
      </c>
      <c r="S1018">
        <v>11.73</v>
      </c>
      <c r="T1018">
        <v>0</v>
      </c>
      <c r="U1018">
        <v>76.400000000000006</v>
      </c>
      <c r="V1018">
        <v>813</v>
      </c>
      <c r="W1018">
        <v>33.96</v>
      </c>
      <c r="Y1018">
        <v>14.21</v>
      </c>
    </row>
    <row r="1019" spans="1:25" x14ac:dyDescent="0.25">
      <c r="A1019">
        <v>2007</v>
      </c>
      <c r="B1019">
        <v>119</v>
      </c>
      <c r="C1019">
        <v>1000</v>
      </c>
      <c r="D1019">
        <v>541.79999999999995</v>
      </c>
      <c r="E1019">
        <v>317.8</v>
      </c>
      <c r="F1019">
        <v>8.6300000000000008</v>
      </c>
      <c r="G1019">
        <v>11.35</v>
      </c>
      <c r="K1019">
        <v>4.5460000000000003</v>
      </c>
      <c r="L1019">
        <v>105.6</v>
      </c>
      <c r="M1019">
        <v>0</v>
      </c>
      <c r="O1019">
        <v>667.1</v>
      </c>
      <c r="P1019">
        <v>200.8</v>
      </c>
      <c r="Q1019">
        <v>12.14</v>
      </c>
      <c r="S1019">
        <v>11.7</v>
      </c>
      <c r="T1019">
        <v>0</v>
      </c>
      <c r="U1019">
        <v>69.64</v>
      </c>
      <c r="V1019">
        <v>807</v>
      </c>
      <c r="W1019">
        <v>33.64</v>
      </c>
      <c r="Y1019">
        <v>14.72</v>
      </c>
    </row>
    <row r="1020" spans="1:25" x14ac:dyDescent="0.25">
      <c r="A1020">
        <v>2007</v>
      </c>
      <c r="B1020">
        <v>119</v>
      </c>
      <c r="C1020">
        <v>1100</v>
      </c>
      <c r="D1020">
        <v>625.29999999999995</v>
      </c>
      <c r="E1020">
        <v>365.2</v>
      </c>
      <c r="F1020">
        <v>9.2799999999999994</v>
      </c>
      <c r="G1020">
        <v>12.49</v>
      </c>
      <c r="K1020">
        <v>4.0030000000000001</v>
      </c>
      <c r="L1020">
        <v>102.7</v>
      </c>
      <c r="M1020">
        <v>0</v>
      </c>
      <c r="O1020">
        <v>765</v>
      </c>
      <c r="P1020">
        <v>212</v>
      </c>
      <c r="Q1020">
        <v>12.41</v>
      </c>
      <c r="S1020">
        <v>11.68</v>
      </c>
      <c r="T1020">
        <v>0</v>
      </c>
      <c r="U1020">
        <v>65.819999999999993</v>
      </c>
      <c r="V1020">
        <v>806</v>
      </c>
      <c r="W1020">
        <v>33.58</v>
      </c>
      <c r="Y1020">
        <v>14.6</v>
      </c>
    </row>
    <row r="1021" spans="1:25" x14ac:dyDescent="0.25">
      <c r="A1021">
        <v>2007</v>
      </c>
      <c r="B1021">
        <v>119</v>
      </c>
      <c r="C1021">
        <v>1200</v>
      </c>
      <c r="D1021">
        <v>631.70000000000005</v>
      </c>
      <c r="E1021">
        <v>363.7</v>
      </c>
      <c r="F1021">
        <v>9.08</v>
      </c>
      <c r="G1021">
        <v>12.35</v>
      </c>
      <c r="K1021">
        <v>4.45</v>
      </c>
      <c r="L1021">
        <v>106.4</v>
      </c>
      <c r="M1021">
        <v>0</v>
      </c>
      <c r="O1021">
        <v>768</v>
      </c>
      <c r="P1021">
        <v>204.3</v>
      </c>
      <c r="Q1021">
        <v>12.83</v>
      </c>
      <c r="S1021">
        <v>11.66</v>
      </c>
      <c r="T1021">
        <v>0</v>
      </c>
      <c r="U1021">
        <v>65.05</v>
      </c>
      <c r="V1021">
        <v>803</v>
      </c>
      <c r="W1021">
        <v>33.42</v>
      </c>
      <c r="Y1021">
        <v>14.47</v>
      </c>
    </row>
    <row r="1022" spans="1:25" x14ac:dyDescent="0.25">
      <c r="A1022">
        <v>2007</v>
      </c>
      <c r="B1022">
        <v>119</v>
      </c>
      <c r="C1022">
        <v>1300</v>
      </c>
      <c r="D1022">
        <v>699.1</v>
      </c>
      <c r="E1022">
        <v>401.3</v>
      </c>
      <c r="F1022">
        <v>9.44</v>
      </c>
      <c r="G1022">
        <v>12.94</v>
      </c>
      <c r="K1022">
        <v>4.5750000000000002</v>
      </c>
      <c r="L1022">
        <v>104.6</v>
      </c>
      <c r="M1022">
        <v>0</v>
      </c>
      <c r="O1022">
        <v>841</v>
      </c>
      <c r="P1022">
        <v>215.5</v>
      </c>
      <c r="Q1022">
        <v>13.33</v>
      </c>
      <c r="S1022">
        <v>11.77</v>
      </c>
      <c r="T1022">
        <v>0</v>
      </c>
      <c r="U1022">
        <v>63.42</v>
      </c>
      <c r="V1022">
        <v>798</v>
      </c>
      <c r="W1022">
        <v>33.159999999999997</v>
      </c>
      <c r="Y1022">
        <v>14.52</v>
      </c>
    </row>
    <row r="1023" spans="1:25" x14ac:dyDescent="0.25">
      <c r="A1023">
        <v>2007</v>
      </c>
      <c r="B1023">
        <v>119</v>
      </c>
      <c r="C1023">
        <v>1400</v>
      </c>
      <c r="D1023">
        <v>722</v>
      </c>
      <c r="E1023">
        <v>410.4</v>
      </c>
      <c r="F1023">
        <v>9.75</v>
      </c>
      <c r="G1023">
        <v>13.63</v>
      </c>
      <c r="K1023">
        <v>4.508</v>
      </c>
      <c r="L1023">
        <v>108.7</v>
      </c>
      <c r="M1023">
        <v>0</v>
      </c>
      <c r="O1023">
        <v>845</v>
      </c>
      <c r="P1023">
        <v>217.1</v>
      </c>
      <c r="Q1023">
        <v>13.87</v>
      </c>
      <c r="S1023">
        <v>11.91</v>
      </c>
      <c r="T1023">
        <v>0</v>
      </c>
      <c r="U1023">
        <v>60.54</v>
      </c>
      <c r="V1023">
        <v>793</v>
      </c>
      <c r="W1023">
        <v>32.880000000000003</v>
      </c>
      <c r="Y1023">
        <v>14.41</v>
      </c>
    </row>
    <row r="1024" spans="1:25" x14ac:dyDescent="0.25">
      <c r="A1024">
        <v>2007</v>
      </c>
      <c r="B1024">
        <v>119</v>
      </c>
      <c r="C1024">
        <v>1500</v>
      </c>
      <c r="D1024">
        <v>655.5</v>
      </c>
      <c r="E1024">
        <v>375.9</v>
      </c>
      <c r="F1024">
        <v>10.07</v>
      </c>
      <c r="G1024">
        <v>14.36</v>
      </c>
      <c r="K1024">
        <v>4.4189999999999996</v>
      </c>
      <c r="L1024">
        <v>106.3</v>
      </c>
      <c r="M1024">
        <v>0</v>
      </c>
      <c r="O1024">
        <v>774</v>
      </c>
      <c r="P1024">
        <v>223.2</v>
      </c>
      <c r="Q1024">
        <v>14.36</v>
      </c>
      <c r="S1024">
        <v>12.06</v>
      </c>
      <c r="T1024">
        <v>0</v>
      </c>
      <c r="U1024">
        <v>57.64</v>
      </c>
      <c r="V1024">
        <v>788</v>
      </c>
      <c r="W1024">
        <v>32.619999999999997</v>
      </c>
      <c r="Y1024">
        <v>14.3</v>
      </c>
    </row>
    <row r="1025" spans="1:25" x14ac:dyDescent="0.25">
      <c r="A1025">
        <v>2007</v>
      </c>
      <c r="B1025">
        <v>119</v>
      </c>
      <c r="C1025">
        <v>1600</v>
      </c>
      <c r="D1025">
        <v>545.20000000000005</v>
      </c>
      <c r="E1025">
        <v>312.5</v>
      </c>
      <c r="F1025">
        <v>10.24</v>
      </c>
      <c r="G1025">
        <v>14.8</v>
      </c>
      <c r="K1025">
        <v>4.1189999999999998</v>
      </c>
      <c r="L1025">
        <v>105.8</v>
      </c>
      <c r="M1025">
        <v>0</v>
      </c>
      <c r="O1025">
        <v>643.20000000000005</v>
      </c>
      <c r="P1025">
        <v>226.3</v>
      </c>
      <c r="Q1025">
        <v>14.73</v>
      </c>
      <c r="S1025">
        <v>12.23</v>
      </c>
      <c r="T1025">
        <v>0</v>
      </c>
      <c r="U1025">
        <v>55.86</v>
      </c>
      <c r="V1025">
        <v>783</v>
      </c>
      <c r="W1025">
        <v>32.4</v>
      </c>
      <c r="Y1025">
        <v>14.3</v>
      </c>
    </row>
    <row r="1026" spans="1:25" x14ac:dyDescent="0.25">
      <c r="A1026">
        <v>2007</v>
      </c>
      <c r="B1026">
        <v>119</v>
      </c>
      <c r="C1026">
        <v>1800</v>
      </c>
      <c r="D1026">
        <v>248.6</v>
      </c>
      <c r="E1026">
        <v>125.8</v>
      </c>
      <c r="F1026">
        <v>11.02</v>
      </c>
      <c r="G1026">
        <v>14.91</v>
      </c>
      <c r="K1026">
        <v>2.62</v>
      </c>
      <c r="L1026">
        <v>104.1</v>
      </c>
      <c r="M1026">
        <v>0</v>
      </c>
      <c r="O1026">
        <v>295.8</v>
      </c>
      <c r="P1026">
        <v>148</v>
      </c>
      <c r="Q1026">
        <v>15</v>
      </c>
      <c r="S1026">
        <v>12.51</v>
      </c>
      <c r="T1026">
        <v>0</v>
      </c>
      <c r="U1026">
        <v>61.97</v>
      </c>
      <c r="V1026">
        <v>776</v>
      </c>
      <c r="W1026">
        <v>32.020000000000003</v>
      </c>
      <c r="Y1026">
        <v>13.74</v>
      </c>
    </row>
    <row r="1027" spans="1:25" x14ac:dyDescent="0.25">
      <c r="A1027">
        <v>2007</v>
      </c>
      <c r="B1027">
        <v>119</v>
      </c>
      <c r="C1027">
        <v>1900</v>
      </c>
      <c r="D1027">
        <v>89.9</v>
      </c>
      <c r="E1027">
        <v>11.51</v>
      </c>
      <c r="F1027">
        <v>10.63</v>
      </c>
      <c r="G1027">
        <v>13.88</v>
      </c>
      <c r="K1027">
        <v>2.2320000000000002</v>
      </c>
      <c r="L1027">
        <v>106.8</v>
      </c>
      <c r="M1027">
        <v>0</v>
      </c>
      <c r="O1027">
        <v>101.6</v>
      </c>
      <c r="P1027">
        <v>52.8</v>
      </c>
      <c r="Q1027">
        <v>14.89</v>
      </c>
      <c r="S1027">
        <v>12.52</v>
      </c>
      <c r="T1027">
        <v>0</v>
      </c>
      <c r="U1027">
        <v>66.87</v>
      </c>
      <c r="V1027">
        <v>774</v>
      </c>
      <c r="W1027">
        <v>31.94</v>
      </c>
      <c r="Y1027">
        <v>13.56</v>
      </c>
    </row>
    <row r="1028" spans="1:25" x14ac:dyDescent="0.25">
      <c r="A1028">
        <v>2007</v>
      </c>
      <c r="B1028">
        <v>119</v>
      </c>
      <c r="C1028">
        <v>2000</v>
      </c>
      <c r="D1028">
        <v>18.88</v>
      </c>
      <c r="E1028">
        <v>-38.04</v>
      </c>
      <c r="F1028">
        <v>10.050000000000001</v>
      </c>
      <c r="G1028">
        <v>12.35</v>
      </c>
      <c r="K1028">
        <v>1.7050000000000001</v>
      </c>
      <c r="L1028">
        <v>107</v>
      </c>
      <c r="M1028">
        <v>0</v>
      </c>
      <c r="O1028">
        <v>15.29</v>
      </c>
      <c r="P1028">
        <v>4.0839999999999996</v>
      </c>
      <c r="Q1028">
        <v>14.73</v>
      </c>
      <c r="S1028">
        <v>12.59</v>
      </c>
      <c r="T1028">
        <v>0</v>
      </c>
      <c r="U1028">
        <v>75.099999999999994</v>
      </c>
      <c r="V1028">
        <v>774</v>
      </c>
      <c r="W1028">
        <v>31.92</v>
      </c>
      <c r="Y1028">
        <v>13.42</v>
      </c>
    </row>
    <row r="1029" spans="1:25" x14ac:dyDescent="0.25">
      <c r="A1029">
        <v>2007</v>
      </c>
      <c r="B1029">
        <v>119</v>
      </c>
      <c r="C1029">
        <v>2100</v>
      </c>
      <c r="D1029">
        <v>-2.7450000000000001</v>
      </c>
      <c r="E1029">
        <v>-50.94</v>
      </c>
      <c r="F1029">
        <v>9.17</v>
      </c>
      <c r="G1029">
        <v>10.84</v>
      </c>
      <c r="K1029">
        <v>1.43</v>
      </c>
      <c r="L1029">
        <v>102.8</v>
      </c>
      <c r="M1029">
        <v>0</v>
      </c>
      <c r="O1029">
        <v>-11.68</v>
      </c>
      <c r="P1029">
        <v>-11.25</v>
      </c>
      <c r="Q1029">
        <v>14.46</v>
      </c>
      <c r="S1029">
        <v>12.63</v>
      </c>
      <c r="T1029">
        <v>0</v>
      </c>
      <c r="U1029">
        <v>80.7</v>
      </c>
      <c r="V1029">
        <v>776</v>
      </c>
      <c r="W1029">
        <v>32.03</v>
      </c>
      <c r="Y1029">
        <v>13.32</v>
      </c>
    </row>
    <row r="1030" spans="1:25" x14ac:dyDescent="0.25">
      <c r="A1030">
        <v>2007</v>
      </c>
      <c r="B1030">
        <v>119</v>
      </c>
      <c r="C1030">
        <v>2200</v>
      </c>
      <c r="D1030">
        <v>-2.4649999999999999</v>
      </c>
      <c r="E1030">
        <v>-41.62</v>
      </c>
      <c r="F1030">
        <v>8.7899999999999991</v>
      </c>
      <c r="G1030">
        <v>10.24</v>
      </c>
      <c r="K1030">
        <v>1.542</v>
      </c>
      <c r="L1030">
        <v>95.1</v>
      </c>
      <c r="M1030">
        <v>0</v>
      </c>
      <c r="O1030">
        <v>-12.01</v>
      </c>
      <c r="P1030">
        <v>-11.27</v>
      </c>
      <c r="Q1030">
        <v>14.17</v>
      </c>
      <c r="S1030">
        <v>12.61</v>
      </c>
      <c r="T1030">
        <v>0</v>
      </c>
      <c r="U1030">
        <v>82.8</v>
      </c>
      <c r="V1030">
        <v>789</v>
      </c>
      <c r="W1030">
        <v>32.68</v>
      </c>
      <c r="Y1030">
        <v>13.23</v>
      </c>
    </row>
    <row r="1031" spans="1:25" x14ac:dyDescent="0.25">
      <c r="A1031">
        <v>2007</v>
      </c>
      <c r="B1031">
        <v>119</v>
      </c>
      <c r="C1031">
        <v>2300</v>
      </c>
      <c r="D1031">
        <v>-1.3109999999999999</v>
      </c>
      <c r="E1031">
        <v>-25.73</v>
      </c>
      <c r="F1031">
        <v>9.09</v>
      </c>
      <c r="G1031">
        <v>10.5</v>
      </c>
      <c r="K1031">
        <v>2.0910000000000002</v>
      </c>
      <c r="L1031">
        <v>101.7</v>
      </c>
      <c r="M1031">
        <v>0</v>
      </c>
      <c r="O1031">
        <v>-11.75</v>
      </c>
      <c r="P1031">
        <v>-11.09</v>
      </c>
      <c r="Q1031">
        <v>13.85</v>
      </c>
      <c r="S1031">
        <v>12.57</v>
      </c>
      <c r="T1031">
        <v>0</v>
      </c>
      <c r="U1031">
        <v>83.5</v>
      </c>
      <c r="V1031">
        <v>804</v>
      </c>
      <c r="W1031">
        <v>33.479999999999997</v>
      </c>
      <c r="Y1031">
        <v>13.15</v>
      </c>
    </row>
    <row r="1032" spans="1:25" x14ac:dyDescent="0.25">
      <c r="A1032">
        <v>2007</v>
      </c>
      <c r="B1032">
        <v>119</v>
      </c>
      <c r="C1032">
        <v>2400</v>
      </c>
      <c r="D1032">
        <v>-1.6319999999999999</v>
      </c>
      <c r="E1032">
        <v>-31.48</v>
      </c>
      <c r="F1032">
        <v>8.9</v>
      </c>
      <c r="G1032">
        <v>10.35</v>
      </c>
      <c r="K1032">
        <v>2.8969999999999998</v>
      </c>
      <c r="L1032">
        <v>110</v>
      </c>
      <c r="M1032">
        <v>0</v>
      </c>
      <c r="O1032">
        <v>-11.66</v>
      </c>
      <c r="P1032">
        <v>-10.98</v>
      </c>
      <c r="Q1032">
        <v>13.63</v>
      </c>
      <c r="S1032">
        <v>12.53</v>
      </c>
      <c r="T1032">
        <v>0</v>
      </c>
      <c r="U1032">
        <v>83</v>
      </c>
      <c r="V1032">
        <v>814</v>
      </c>
      <c r="W1032">
        <v>34.020000000000003</v>
      </c>
      <c r="Y1032">
        <v>13.08</v>
      </c>
    </row>
    <row r="1033" spans="1:25" x14ac:dyDescent="0.25">
      <c r="A1033">
        <v>2007</v>
      </c>
      <c r="B1033">
        <v>120</v>
      </c>
      <c r="C1033">
        <v>100</v>
      </c>
      <c r="D1033">
        <v>-1.1879999999999999</v>
      </c>
      <c r="E1033">
        <v>-20.9</v>
      </c>
      <c r="F1033">
        <v>8.66</v>
      </c>
      <c r="G1033">
        <v>10.36</v>
      </c>
      <c r="K1033">
        <v>3.5379999999999998</v>
      </c>
      <c r="L1033">
        <v>109.1</v>
      </c>
      <c r="M1033">
        <v>0</v>
      </c>
      <c r="O1033">
        <v>-11.57</v>
      </c>
      <c r="P1033">
        <v>-10.91</v>
      </c>
      <c r="Q1033">
        <v>13.45</v>
      </c>
      <c r="S1033">
        <v>12.48</v>
      </c>
      <c r="T1033">
        <v>0</v>
      </c>
      <c r="U1033">
        <v>80.099999999999994</v>
      </c>
      <c r="V1033">
        <v>820</v>
      </c>
      <c r="W1033">
        <v>34.299999999999997</v>
      </c>
      <c r="Y1033">
        <v>13.02</v>
      </c>
    </row>
    <row r="1034" spans="1:25" x14ac:dyDescent="0.25">
      <c r="A1034">
        <v>2007</v>
      </c>
      <c r="B1034">
        <v>120</v>
      </c>
      <c r="C1034">
        <v>200</v>
      </c>
      <c r="D1034">
        <v>-1.1459999999999999</v>
      </c>
      <c r="E1034">
        <v>-20.52</v>
      </c>
      <c r="F1034">
        <v>8.41</v>
      </c>
      <c r="G1034">
        <v>10.3</v>
      </c>
      <c r="K1034">
        <v>3.5470000000000002</v>
      </c>
      <c r="L1034">
        <v>108.6</v>
      </c>
      <c r="M1034">
        <v>0</v>
      </c>
      <c r="O1034">
        <v>-11.53</v>
      </c>
      <c r="P1034">
        <v>-10.9</v>
      </c>
      <c r="Q1034">
        <v>13.27</v>
      </c>
      <c r="S1034">
        <v>12.42</v>
      </c>
      <c r="T1034">
        <v>0</v>
      </c>
      <c r="U1034">
        <v>77.900000000000006</v>
      </c>
      <c r="V1034">
        <v>810</v>
      </c>
      <c r="W1034">
        <v>33.81</v>
      </c>
      <c r="Y1034">
        <v>12.96</v>
      </c>
    </row>
    <row r="1035" spans="1:25" x14ac:dyDescent="0.25">
      <c r="A1035">
        <v>2007</v>
      </c>
      <c r="B1035">
        <v>120</v>
      </c>
      <c r="C1035">
        <v>300</v>
      </c>
      <c r="D1035">
        <v>-1.365</v>
      </c>
      <c r="E1035">
        <v>-30.84</v>
      </c>
      <c r="F1035">
        <v>7.97</v>
      </c>
      <c r="G1035">
        <v>9.77</v>
      </c>
      <c r="K1035">
        <v>4.0140000000000002</v>
      </c>
      <c r="L1035">
        <v>108.3</v>
      </c>
      <c r="M1035">
        <v>0</v>
      </c>
      <c r="O1035">
        <v>-11.53</v>
      </c>
      <c r="P1035">
        <v>-10.87</v>
      </c>
      <c r="Q1035">
        <v>13.09</v>
      </c>
      <c r="S1035">
        <v>12.34</v>
      </c>
      <c r="T1035">
        <v>0</v>
      </c>
      <c r="U1035">
        <v>78.5</v>
      </c>
      <c r="V1035">
        <v>806</v>
      </c>
      <c r="W1035">
        <v>33.57</v>
      </c>
      <c r="Y1035">
        <v>12.92</v>
      </c>
    </row>
    <row r="1036" spans="1:25" x14ac:dyDescent="0.25">
      <c r="A1036">
        <v>2007</v>
      </c>
      <c r="B1036">
        <v>120</v>
      </c>
      <c r="C1036">
        <v>400</v>
      </c>
      <c r="D1036">
        <v>-1.728</v>
      </c>
      <c r="E1036">
        <v>-34.17</v>
      </c>
      <c r="F1036">
        <v>7.64</v>
      </c>
      <c r="G1036">
        <v>9.24</v>
      </c>
      <c r="K1036">
        <v>3.6949999999999998</v>
      </c>
      <c r="L1036">
        <v>107.9</v>
      </c>
      <c r="M1036">
        <v>0</v>
      </c>
      <c r="O1036">
        <v>-11.52</v>
      </c>
      <c r="P1036">
        <v>-10.86</v>
      </c>
      <c r="Q1036">
        <v>12.89</v>
      </c>
      <c r="S1036">
        <v>12.24</v>
      </c>
      <c r="T1036">
        <v>0</v>
      </c>
      <c r="U1036">
        <v>80.400000000000006</v>
      </c>
      <c r="V1036">
        <v>803</v>
      </c>
      <c r="W1036">
        <v>33.409999999999997</v>
      </c>
      <c r="Y1036">
        <v>12.88</v>
      </c>
    </row>
    <row r="1037" spans="1:25" x14ac:dyDescent="0.25">
      <c r="A1037">
        <v>2007</v>
      </c>
      <c r="B1037">
        <v>120</v>
      </c>
      <c r="C1037">
        <v>500</v>
      </c>
      <c r="D1037">
        <v>-0.64600000000000002</v>
      </c>
      <c r="E1037">
        <v>-46.01</v>
      </c>
      <c r="F1037">
        <v>7.16</v>
      </c>
      <c r="G1037">
        <v>8.5399999999999991</v>
      </c>
      <c r="K1037">
        <v>2.2090000000000001</v>
      </c>
      <c r="L1037">
        <v>101.4</v>
      </c>
      <c r="M1037">
        <v>0</v>
      </c>
      <c r="O1037">
        <v>-9.0299999999999994</v>
      </c>
      <c r="P1037">
        <v>-10.06</v>
      </c>
      <c r="Q1037">
        <v>12.68</v>
      </c>
      <c r="S1037">
        <v>12.13</v>
      </c>
      <c r="T1037">
        <v>0</v>
      </c>
      <c r="U1037">
        <v>82.7</v>
      </c>
      <c r="V1037">
        <v>807</v>
      </c>
      <c r="W1037">
        <v>33.61</v>
      </c>
      <c r="Y1037">
        <v>12.85</v>
      </c>
    </row>
    <row r="1038" spans="1:25" x14ac:dyDescent="0.25">
      <c r="A1038">
        <v>2007</v>
      </c>
      <c r="B1038">
        <v>120</v>
      </c>
      <c r="C1038">
        <v>600</v>
      </c>
      <c r="D1038">
        <v>41.48</v>
      </c>
      <c r="E1038">
        <v>-20.64</v>
      </c>
      <c r="F1038">
        <v>7.13</v>
      </c>
      <c r="G1038">
        <v>8.61</v>
      </c>
      <c r="K1038">
        <v>2.3769999999999998</v>
      </c>
      <c r="L1038">
        <v>96.2</v>
      </c>
      <c r="M1038">
        <v>0</v>
      </c>
      <c r="O1038">
        <v>42.94</v>
      </c>
      <c r="P1038">
        <v>11.76</v>
      </c>
      <c r="Q1038">
        <v>12.47</v>
      </c>
      <c r="S1038">
        <v>12.03</v>
      </c>
      <c r="T1038">
        <v>0</v>
      </c>
      <c r="U1038">
        <v>81.5</v>
      </c>
      <c r="V1038">
        <v>802</v>
      </c>
      <c r="W1038">
        <v>33.380000000000003</v>
      </c>
      <c r="Y1038">
        <v>12.91</v>
      </c>
    </row>
    <row r="1039" spans="1:25" x14ac:dyDescent="0.25">
      <c r="A1039">
        <v>2007</v>
      </c>
      <c r="B1039">
        <v>120</v>
      </c>
      <c r="C1039">
        <v>700</v>
      </c>
      <c r="D1039">
        <v>152.69999999999999</v>
      </c>
      <c r="E1039">
        <v>67.91</v>
      </c>
      <c r="F1039">
        <v>7.77</v>
      </c>
      <c r="G1039">
        <v>9.68</v>
      </c>
      <c r="K1039">
        <v>2.867</v>
      </c>
      <c r="L1039">
        <v>101.7</v>
      </c>
      <c r="M1039">
        <v>0</v>
      </c>
      <c r="O1039">
        <v>204.7</v>
      </c>
      <c r="P1039">
        <v>81.7</v>
      </c>
      <c r="Q1039">
        <v>12.34</v>
      </c>
      <c r="S1039">
        <v>11.97</v>
      </c>
      <c r="T1039">
        <v>0</v>
      </c>
      <c r="U1039">
        <v>77.2</v>
      </c>
      <c r="V1039">
        <v>797</v>
      </c>
      <c r="W1039">
        <v>33.1</v>
      </c>
      <c r="Y1039">
        <v>13.67</v>
      </c>
    </row>
    <row r="1040" spans="1:25" x14ac:dyDescent="0.25">
      <c r="A1040">
        <v>2007</v>
      </c>
      <c r="B1040">
        <v>120</v>
      </c>
      <c r="C1040">
        <v>800</v>
      </c>
      <c r="D1040">
        <v>307</v>
      </c>
      <c r="E1040">
        <v>189.3</v>
      </c>
      <c r="F1040">
        <v>8.51</v>
      </c>
      <c r="G1040">
        <v>11.07</v>
      </c>
      <c r="K1040">
        <v>3.266</v>
      </c>
      <c r="L1040">
        <v>100.7</v>
      </c>
      <c r="M1040">
        <v>0</v>
      </c>
      <c r="O1040">
        <v>415.8</v>
      </c>
      <c r="P1040">
        <v>151.1</v>
      </c>
      <c r="Q1040">
        <v>12.29</v>
      </c>
      <c r="S1040">
        <v>11.96</v>
      </c>
      <c r="T1040">
        <v>0</v>
      </c>
      <c r="U1040">
        <v>71.099999999999994</v>
      </c>
      <c r="V1040">
        <v>793</v>
      </c>
      <c r="W1040">
        <v>32.880000000000003</v>
      </c>
      <c r="Y1040">
        <v>14.29</v>
      </c>
    </row>
    <row r="1041" spans="1:25" x14ac:dyDescent="0.25">
      <c r="A1041">
        <v>2007</v>
      </c>
      <c r="B1041">
        <v>120</v>
      </c>
      <c r="C1041">
        <v>900</v>
      </c>
      <c r="D1041">
        <v>478.4</v>
      </c>
      <c r="E1041">
        <v>283.10000000000002</v>
      </c>
      <c r="F1041">
        <v>8.44</v>
      </c>
      <c r="G1041">
        <v>11.73</v>
      </c>
      <c r="H1041">
        <f>AVERAGE(G1041:G1064)</f>
        <v>11.385833333333332</v>
      </c>
      <c r="I1041">
        <f>MIN(G1041:G1064)</f>
        <v>7.41</v>
      </c>
      <c r="J1041">
        <f>MAX(F1041:F1064)</f>
        <v>10.09</v>
      </c>
      <c r="K1041">
        <v>4.9980000000000002</v>
      </c>
      <c r="L1041">
        <v>107.6</v>
      </c>
      <c r="M1041">
        <v>0</v>
      </c>
      <c r="N1041">
        <f>SUM(M1041:M1064)</f>
        <v>0</v>
      </c>
      <c r="O1041">
        <v>591.6</v>
      </c>
      <c r="P1041">
        <v>191.5</v>
      </c>
      <c r="Q1041">
        <v>12.34</v>
      </c>
      <c r="S1041">
        <v>11.91</v>
      </c>
      <c r="T1041">
        <v>0</v>
      </c>
      <c r="U1041">
        <v>64.12</v>
      </c>
      <c r="V1041">
        <v>788</v>
      </c>
      <c r="W1041">
        <v>32.619999999999997</v>
      </c>
      <c r="Y1041">
        <v>14.74</v>
      </c>
    </row>
    <row r="1042" spans="1:25" x14ac:dyDescent="0.25">
      <c r="A1042">
        <v>2007</v>
      </c>
      <c r="B1042">
        <v>120</v>
      </c>
      <c r="C1042">
        <v>1000</v>
      </c>
      <c r="D1042">
        <v>618.6</v>
      </c>
      <c r="E1042">
        <v>351.5</v>
      </c>
      <c r="F1042">
        <v>8.94</v>
      </c>
      <c r="G1042">
        <v>12.78</v>
      </c>
      <c r="K1042">
        <v>4.899</v>
      </c>
      <c r="L1042">
        <v>105.8</v>
      </c>
      <c r="M1042">
        <v>0</v>
      </c>
      <c r="O1042">
        <v>759</v>
      </c>
      <c r="P1042">
        <v>221.9</v>
      </c>
      <c r="Q1042">
        <v>12.52</v>
      </c>
      <c r="S1042">
        <v>11.86</v>
      </c>
      <c r="T1042">
        <v>0</v>
      </c>
      <c r="U1042">
        <v>59.95</v>
      </c>
      <c r="V1042">
        <v>780</v>
      </c>
      <c r="W1042">
        <v>32.229999999999997</v>
      </c>
      <c r="Y1042">
        <v>14.87</v>
      </c>
    </row>
    <row r="1043" spans="1:25" x14ac:dyDescent="0.25">
      <c r="A1043">
        <v>2007</v>
      </c>
      <c r="B1043">
        <v>120</v>
      </c>
      <c r="C1043">
        <v>1100</v>
      </c>
      <c r="D1043">
        <v>673.6</v>
      </c>
      <c r="E1043">
        <v>383.7</v>
      </c>
      <c r="F1043">
        <v>8.64</v>
      </c>
      <c r="G1043">
        <v>13.45</v>
      </c>
      <c r="K1043">
        <v>5.0460000000000003</v>
      </c>
      <c r="L1043">
        <v>106.2</v>
      </c>
      <c r="M1043">
        <v>0</v>
      </c>
      <c r="O1043">
        <v>822</v>
      </c>
      <c r="P1043">
        <v>221.2</v>
      </c>
      <c r="Q1043">
        <v>12.8</v>
      </c>
      <c r="S1043">
        <v>11.86</v>
      </c>
      <c r="T1043">
        <v>0</v>
      </c>
      <c r="U1043">
        <v>51.61</v>
      </c>
      <c r="V1043">
        <v>777</v>
      </c>
      <c r="W1043">
        <v>32.07</v>
      </c>
      <c r="Y1043">
        <v>14.53</v>
      </c>
    </row>
    <row r="1044" spans="1:25" x14ac:dyDescent="0.25">
      <c r="A1044">
        <v>2007</v>
      </c>
      <c r="B1044">
        <v>120</v>
      </c>
      <c r="C1044">
        <v>1200</v>
      </c>
      <c r="D1044">
        <v>758</v>
      </c>
      <c r="E1044">
        <v>434.4</v>
      </c>
      <c r="F1044">
        <v>9.1</v>
      </c>
      <c r="G1044">
        <v>13.8</v>
      </c>
      <c r="K1044">
        <v>4.2130000000000001</v>
      </c>
      <c r="L1044">
        <v>104.8</v>
      </c>
      <c r="M1044">
        <v>0</v>
      </c>
      <c r="O1044">
        <v>922</v>
      </c>
      <c r="P1044">
        <v>221.2</v>
      </c>
      <c r="Q1044">
        <v>13.25</v>
      </c>
      <c r="S1044">
        <v>11.91</v>
      </c>
      <c r="T1044">
        <v>0</v>
      </c>
      <c r="U1044">
        <v>53.14</v>
      </c>
      <c r="V1044">
        <v>778</v>
      </c>
      <c r="W1044">
        <v>32.11</v>
      </c>
      <c r="Y1044">
        <v>14.35</v>
      </c>
    </row>
    <row r="1045" spans="1:25" x14ac:dyDescent="0.25">
      <c r="A1045">
        <v>2007</v>
      </c>
      <c r="B1045">
        <v>120</v>
      </c>
      <c r="C1045">
        <v>1300</v>
      </c>
      <c r="D1045">
        <v>802</v>
      </c>
      <c r="E1045">
        <v>448.2</v>
      </c>
      <c r="F1045">
        <v>9.23</v>
      </c>
      <c r="G1045">
        <v>14.53</v>
      </c>
      <c r="K1045">
        <v>3.9860000000000002</v>
      </c>
      <c r="L1045">
        <v>105.8</v>
      </c>
      <c r="M1045">
        <v>0</v>
      </c>
      <c r="O1045">
        <v>959</v>
      </c>
      <c r="P1045">
        <v>220.4</v>
      </c>
      <c r="Q1045">
        <v>13.83</v>
      </c>
      <c r="S1045">
        <v>12.05</v>
      </c>
      <c r="T1045">
        <v>0</v>
      </c>
      <c r="U1045">
        <v>48.84</v>
      </c>
      <c r="V1045">
        <v>768</v>
      </c>
      <c r="W1045">
        <v>31.62</v>
      </c>
      <c r="Y1045">
        <v>14.25</v>
      </c>
    </row>
    <row r="1046" spans="1:25" x14ac:dyDescent="0.25">
      <c r="A1046">
        <v>2007</v>
      </c>
      <c r="B1046">
        <v>120</v>
      </c>
      <c r="C1046">
        <v>1400</v>
      </c>
      <c r="D1046">
        <v>779</v>
      </c>
      <c r="E1046">
        <v>429.6</v>
      </c>
      <c r="F1046">
        <v>9.39</v>
      </c>
      <c r="G1046">
        <v>15.44</v>
      </c>
      <c r="K1046">
        <v>4.0439999999999996</v>
      </c>
      <c r="L1046">
        <v>103.2</v>
      </c>
      <c r="M1046">
        <v>0</v>
      </c>
      <c r="O1046">
        <v>902</v>
      </c>
      <c r="P1046">
        <v>216.1</v>
      </c>
      <c r="Q1046">
        <v>14.5</v>
      </c>
      <c r="S1046">
        <v>12.21</v>
      </c>
      <c r="T1046">
        <v>0</v>
      </c>
      <c r="U1046">
        <v>43.88</v>
      </c>
      <c r="V1046">
        <v>763</v>
      </c>
      <c r="W1046">
        <v>31.38</v>
      </c>
      <c r="Y1046">
        <v>14.29</v>
      </c>
    </row>
    <row r="1047" spans="1:25" x14ac:dyDescent="0.25">
      <c r="A1047">
        <v>2007</v>
      </c>
      <c r="B1047">
        <v>120</v>
      </c>
      <c r="C1047">
        <v>1500</v>
      </c>
      <c r="D1047">
        <v>708</v>
      </c>
      <c r="E1047">
        <v>398.6</v>
      </c>
      <c r="F1047">
        <v>9.49</v>
      </c>
      <c r="G1047">
        <v>16</v>
      </c>
      <c r="K1047">
        <v>4.0339999999999998</v>
      </c>
      <c r="L1047">
        <v>102.6</v>
      </c>
      <c r="M1047">
        <v>0</v>
      </c>
      <c r="O1047">
        <v>831</v>
      </c>
      <c r="P1047">
        <v>229.3</v>
      </c>
      <c r="Q1047">
        <v>15.02</v>
      </c>
      <c r="S1047">
        <v>12.35</v>
      </c>
      <c r="T1047">
        <v>0</v>
      </c>
      <c r="U1047">
        <v>41</v>
      </c>
      <c r="V1047">
        <v>755</v>
      </c>
      <c r="W1047">
        <v>31</v>
      </c>
      <c r="Y1047">
        <v>14.24</v>
      </c>
    </row>
    <row r="1048" spans="1:25" x14ac:dyDescent="0.25">
      <c r="A1048">
        <v>2007</v>
      </c>
      <c r="B1048">
        <v>120</v>
      </c>
      <c r="C1048">
        <v>1600</v>
      </c>
      <c r="D1048">
        <v>591.9</v>
      </c>
      <c r="E1048">
        <v>335.2</v>
      </c>
      <c r="F1048">
        <v>10.09</v>
      </c>
      <c r="G1048">
        <v>16.440000000000001</v>
      </c>
      <c r="K1048">
        <v>4</v>
      </c>
      <c r="L1048">
        <v>104.2</v>
      </c>
      <c r="M1048">
        <v>0</v>
      </c>
      <c r="O1048">
        <v>694.1</v>
      </c>
      <c r="P1048">
        <v>242.1</v>
      </c>
      <c r="Q1048">
        <v>15.41</v>
      </c>
      <c r="S1048">
        <v>12.55</v>
      </c>
      <c r="T1048">
        <v>0</v>
      </c>
      <c r="U1048">
        <v>43.03</v>
      </c>
      <c r="V1048">
        <v>748</v>
      </c>
      <c r="W1048">
        <v>30.67</v>
      </c>
      <c r="Y1048">
        <v>14.34</v>
      </c>
    </row>
    <row r="1049" spans="1:25" x14ac:dyDescent="0.25">
      <c r="A1049">
        <v>2007</v>
      </c>
      <c r="B1049">
        <v>120</v>
      </c>
      <c r="C1049">
        <v>1700</v>
      </c>
      <c r="D1049">
        <v>457.4</v>
      </c>
      <c r="E1049">
        <v>257.8</v>
      </c>
      <c r="F1049">
        <v>10.039999999999999</v>
      </c>
      <c r="G1049">
        <v>16.239999999999998</v>
      </c>
      <c r="K1049">
        <v>4.05</v>
      </c>
      <c r="L1049">
        <v>106.9</v>
      </c>
      <c r="M1049">
        <v>0</v>
      </c>
      <c r="O1049">
        <v>536.4</v>
      </c>
      <c r="P1049">
        <v>232.3</v>
      </c>
      <c r="Q1049">
        <v>15.58</v>
      </c>
      <c r="S1049">
        <v>12.73</v>
      </c>
      <c r="T1049">
        <v>0</v>
      </c>
      <c r="U1049">
        <v>43.96</v>
      </c>
      <c r="V1049">
        <v>743</v>
      </c>
      <c r="W1049">
        <v>30.45</v>
      </c>
      <c r="Y1049">
        <v>14</v>
      </c>
    </row>
    <row r="1050" spans="1:25" x14ac:dyDescent="0.25">
      <c r="A1050">
        <v>2007</v>
      </c>
      <c r="B1050">
        <v>120</v>
      </c>
      <c r="C1050">
        <v>1900</v>
      </c>
      <c r="D1050">
        <v>147.19999999999999</v>
      </c>
      <c r="E1050">
        <v>55.16</v>
      </c>
      <c r="F1050">
        <v>9.49</v>
      </c>
      <c r="G1050">
        <v>14.51</v>
      </c>
      <c r="K1050">
        <v>2.98</v>
      </c>
      <c r="L1050">
        <v>104.9</v>
      </c>
      <c r="M1050">
        <v>0</v>
      </c>
      <c r="O1050">
        <v>177.5</v>
      </c>
      <c r="P1050">
        <v>138.6</v>
      </c>
      <c r="Q1050">
        <v>15.44</v>
      </c>
      <c r="S1050">
        <v>12.93</v>
      </c>
      <c r="T1050">
        <v>0</v>
      </c>
      <c r="U1050">
        <v>51.29</v>
      </c>
      <c r="V1050">
        <v>733</v>
      </c>
      <c r="W1050">
        <v>29.97</v>
      </c>
      <c r="Y1050">
        <v>13.52</v>
      </c>
    </row>
    <row r="1051" spans="1:25" x14ac:dyDescent="0.25">
      <c r="A1051">
        <v>2007</v>
      </c>
      <c r="B1051">
        <v>120</v>
      </c>
      <c r="C1051">
        <v>2000</v>
      </c>
      <c r="D1051">
        <v>23.74</v>
      </c>
      <c r="E1051">
        <v>-45.29</v>
      </c>
      <c r="F1051">
        <v>8.6</v>
      </c>
      <c r="G1051">
        <v>12.35</v>
      </c>
      <c r="K1051">
        <v>2.0009999999999999</v>
      </c>
      <c r="L1051">
        <v>103.8</v>
      </c>
      <c r="M1051">
        <v>0</v>
      </c>
      <c r="O1051">
        <v>20.69</v>
      </c>
      <c r="P1051">
        <v>22.83</v>
      </c>
      <c r="Q1051">
        <v>15.16</v>
      </c>
      <c r="S1051">
        <v>12.98</v>
      </c>
      <c r="T1051">
        <v>0</v>
      </c>
      <c r="U1051">
        <v>60.29</v>
      </c>
      <c r="V1051">
        <v>732</v>
      </c>
      <c r="W1051">
        <v>29.93</v>
      </c>
      <c r="Y1051">
        <v>13.39</v>
      </c>
    </row>
    <row r="1052" spans="1:25" x14ac:dyDescent="0.25">
      <c r="A1052">
        <v>2007</v>
      </c>
      <c r="B1052">
        <v>120</v>
      </c>
      <c r="C1052">
        <v>2100</v>
      </c>
      <c r="D1052">
        <v>-3.202</v>
      </c>
      <c r="E1052">
        <v>-64.17</v>
      </c>
      <c r="F1052">
        <v>7.72</v>
      </c>
      <c r="G1052">
        <v>10.52</v>
      </c>
      <c r="K1052">
        <v>1.7330000000000001</v>
      </c>
      <c r="L1052">
        <v>107</v>
      </c>
      <c r="M1052">
        <v>0</v>
      </c>
      <c r="O1052">
        <v>-11.54</v>
      </c>
      <c r="P1052">
        <v>-11.17</v>
      </c>
      <c r="Q1052">
        <v>14.81</v>
      </c>
      <c r="S1052">
        <v>12.96</v>
      </c>
      <c r="T1052">
        <v>0</v>
      </c>
      <c r="U1052">
        <v>67.900000000000006</v>
      </c>
      <c r="V1052">
        <v>737</v>
      </c>
      <c r="W1052">
        <v>30.19</v>
      </c>
      <c r="Y1052">
        <v>13.29</v>
      </c>
    </row>
    <row r="1053" spans="1:25" x14ac:dyDescent="0.25">
      <c r="A1053">
        <v>2007</v>
      </c>
      <c r="B1053">
        <v>120</v>
      </c>
      <c r="C1053">
        <v>2200</v>
      </c>
      <c r="D1053">
        <v>-3.4670000000000001</v>
      </c>
      <c r="E1053">
        <v>-61.65</v>
      </c>
      <c r="F1053">
        <v>7.22</v>
      </c>
      <c r="G1053">
        <v>9.59</v>
      </c>
      <c r="K1053">
        <v>1.8839999999999999</v>
      </c>
      <c r="L1053">
        <v>98.5</v>
      </c>
      <c r="M1053">
        <v>0</v>
      </c>
      <c r="O1053">
        <v>-12.01</v>
      </c>
      <c r="P1053">
        <v>-11.29</v>
      </c>
      <c r="Q1053">
        <v>14.44</v>
      </c>
      <c r="S1053">
        <v>12.94</v>
      </c>
      <c r="T1053">
        <v>0</v>
      </c>
      <c r="U1053">
        <v>71.7</v>
      </c>
      <c r="V1053">
        <v>746</v>
      </c>
      <c r="W1053">
        <v>30.61</v>
      </c>
      <c r="Y1053">
        <v>13.2</v>
      </c>
    </row>
    <row r="1054" spans="1:25" x14ac:dyDescent="0.25">
      <c r="A1054">
        <v>2007</v>
      </c>
      <c r="B1054">
        <v>120</v>
      </c>
      <c r="C1054">
        <v>2300</v>
      </c>
      <c r="D1054">
        <v>-3.3639999999999999</v>
      </c>
      <c r="E1054">
        <v>-60.73</v>
      </c>
      <c r="F1054">
        <v>6.7839999999999998</v>
      </c>
      <c r="G1054">
        <v>8.75</v>
      </c>
      <c r="K1054">
        <v>1.984</v>
      </c>
      <c r="L1054">
        <v>104.1</v>
      </c>
      <c r="M1054">
        <v>0</v>
      </c>
      <c r="O1054">
        <v>-11.69</v>
      </c>
      <c r="P1054">
        <v>-11.06</v>
      </c>
      <c r="Q1054">
        <v>14.07</v>
      </c>
      <c r="S1054">
        <v>12.87</v>
      </c>
      <c r="T1054">
        <v>0</v>
      </c>
      <c r="U1054">
        <v>75.7</v>
      </c>
      <c r="V1054">
        <v>753</v>
      </c>
      <c r="W1054">
        <v>30.9</v>
      </c>
      <c r="Y1054">
        <v>13.13</v>
      </c>
    </row>
    <row r="1055" spans="1:25" x14ac:dyDescent="0.25">
      <c r="A1055">
        <v>2007</v>
      </c>
      <c r="B1055">
        <v>120</v>
      </c>
      <c r="C1055">
        <v>2400</v>
      </c>
      <c r="D1055">
        <v>-3.3109999999999999</v>
      </c>
      <c r="E1055">
        <v>-60.24</v>
      </c>
      <c r="F1055">
        <v>6.5890000000000004</v>
      </c>
      <c r="G1055">
        <v>8.39</v>
      </c>
      <c r="K1055">
        <v>2.3450000000000002</v>
      </c>
      <c r="L1055">
        <v>99.3</v>
      </c>
      <c r="M1055">
        <v>0</v>
      </c>
      <c r="O1055">
        <v>-11.53</v>
      </c>
      <c r="P1055">
        <v>-10.89</v>
      </c>
      <c r="Q1055">
        <v>13.73</v>
      </c>
      <c r="S1055">
        <v>12.79</v>
      </c>
      <c r="T1055">
        <v>0</v>
      </c>
      <c r="U1055">
        <v>77.400000000000006</v>
      </c>
      <c r="V1055">
        <v>757</v>
      </c>
      <c r="W1055">
        <v>31.12</v>
      </c>
      <c r="Y1055">
        <v>13.06</v>
      </c>
    </row>
    <row r="1056" spans="1:25" x14ac:dyDescent="0.25">
      <c r="A1056">
        <v>2007</v>
      </c>
      <c r="B1056">
        <v>121</v>
      </c>
      <c r="C1056">
        <v>100</v>
      </c>
      <c r="D1056">
        <v>-3.5049999999999999</v>
      </c>
      <c r="E1056">
        <v>-60.79</v>
      </c>
      <c r="F1056">
        <v>6.1840000000000002</v>
      </c>
      <c r="G1056">
        <v>8</v>
      </c>
      <c r="K1056">
        <v>1.857</v>
      </c>
      <c r="L1056">
        <v>93.4</v>
      </c>
      <c r="M1056">
        <v>0</v>
      </c>
      <c r="O1056">
        <v>-11.5</v>
      </c>
      <c r="P1056">
        <v>-10.85</v>
      </c>
      <c r="Q1056">
        <v>13.38</v>
      </c>
      <c r="S1056">
        <v>12.66</v>
      </c>
      <c r="T1056">
        <v>0</v>
      </c>
      <c r="U1056">
        <v>76.900000000000006</v>
      </c>
      <c r="V1056">
        <v>756</v>
      </c>
      <c r="W1056">
        <v>31.07</v>
      </c>
      <c r="Y1056">
        <v>12.99</v>
      </c>
    </row>
    <row r="1057" spans="1:25" x14ac:dyDescent="0.25">
      <c r="A1057">
        <v>2007</v>
      </c>
      <c r="B1057">
        <v>121</v>
      </c>
      <c r="C1057">
        <v>200</v>
      </c>
      <c r="D1057">
        <v>-3.7189999999999999</v>
      </c>
      <c r="E1057">
        <v>-58.74</v>
      </c>
      <c r="F1057">
        <v>5.4530000000000003</v>
      </c>
      <c r="G1057">
        <v>7.41</v>
      </c>
      <c r="K1057">
        <v>1.1759999999999999</v>
      </c>
      <c r="L1057">
        <v>85.6</v>
      </c>
      <c r="M1057">
        <v>0</v>
      </c>
      <c r="O1057">
        <v>-11.5</v>
      </c>
      <c r="P1057">
        <v>-10.84</v>
      </c>
      <c r="Q1057">
        <v>13.07</v>
      </c>
      <c r="S1057">
        <v>12.56</v>
      </c>
      <c r="T1057">
        <v>0</v>
      </c>
      <c r="U1057">
        <v>74.599999999999994</v>
      </c>
      <c r="V1057">
        <v>756</v>
      </c>
      <c r="W1057">
        <v>31.08</v>
      </c>
      <c r="Y1057">
        <v>12.94</v>
      </c>
    </row>
    <row r="1058" spans="1:25" x14ac:dyDescent="0.25">
      <c r="A1058">
        <v>2007</v>
      </c>
      <c r="B1058">
        <v>121</v>
      </c>
      <c r="C1058">
        <v>300</v>
      </c>
      <c r="D1058">
        <v>-3.3639999999999999</v>
      </c>
      <c r="E1058">
        <v>-56.41</v>
      </c>
      <c r="F1058">
        <v>5.4779999999999998</v>
      </c>
      <c r="G1058">
        <v>7.7</v>
      </c>
      <c r="K1058">
        <v>1.8959999999999999</v>
      </c>
      <c r="L1058">
        <v>99.1</v>
      </c>
      <c r="M1058">
        <v>0</v>
      </c>
      <c r="O1058">
        <v>-11.51</v>
      </c>
      <c r="P1058">
        <v>-10.85</v>
      </c>
      <c r="Q1058">
        <v>12.8</v>
      </c>
      <c r="S1058">
        <v>12.45</v>
      </c>
      <c r="T1058">
        <v>0</v>
      </c>
      <c r="U1058">
        <v>71.599999999999994</v>
      </c>
      <c r="V1058">
        <v>751</v>
      </c>
      <c r="W1058">
        <v>30.81</v>
      </c>
      <c r="Y1058">
        <v>12.89</v>
      </c>
    </row>
    <row r="1059" spans="1:25" x14ac:dyDescent="0.25">
      <c r="A1059">
        <v>2007</v>
      </c>
      <c r="B1059">
        <v>121</v>
      </c>
      <c r="C1059">
        <v>400</v>
      </c>
      <c r="D1059">
        <v>-3.1669999999999998</v>
      </c>
      <c r="E1059">
        <v>-55.06</v>
      </c>
      <c r="F1059">
        <v>5.5759999999999996</v>
      </c>
      <c r="G1059">
        <v>7.89</v>
      </c>
      <c r="K1059">
        <v>2.645</v>
      </c>
      <c r="L1059">
        <v>102.7</v>
      </c>
      <c r="M1059">
        <v>0</v>
      </c>
      <c r="O1059">
        <v>-11.51</v>
      </c>
      <c r="P1059">
        <v>-10.84</v>
      </c>
      <c r="Q1059">
        <v>12.53</v>
      </c>
      <c r="S1059">
        <v>12.35</v>
      </c>
      <c r="T1059">
        <v>0</v>
      </c>
      <c r="U1059">
        <v>70.599999999999994</v>
      </c>
      <c r="V1059">
        <v>747</v>
      </c>
      <c r="W1059">
        <v>30.64</v>
      </c>
      <c r="Y1059">
        <v>12.86</v>
      </c>
    </row>
    <row r="1060" spans="1:25" x14ac:dyDescent="0.25">
      <c r="A1060">
        <v>2007</v>
      </c>
      <c r="B1060">
        <v>121</v>
      </c>
      <c r="C1060">
        <v>500</v>
      </c>
      <c r="D1060">
        <v>-0.185</v>
      </c>
      <c r="E1060">
        <v>-52.32</v>
      </c>
      <c r="F1060">
        <v>5.8780000000000001</v>
      </c>
      <c r="G1060">
        <v>7.68</v>
      </c>
      <c r="K1060">
        <v>2.585</v>
      </c>
      <c r="L1060">
        <v>100.7</v>
      </c>
      <c r="M1060">
        <v>0</v>
      </c>
      <c r="O1060">
        <v>-7.83</v>
      </c>
      <c r="P1060">
        <v>-9.5299999999999994</v>
      </c>
      <c r="Q1060">
        <v>12.28</v>
      </c>
      <c r="S1060">
        <v>12.22</v>
      </c>
      <c r="T1060">
        <v>0</v>
      </c>
      <c r="U1060">
        <v>76.900000000000006</v>
      </c>
      <c r="V1060">
        <v>755</v>
      </c>
      <c r="W1060">
        <v>31</v>
      </c>
      <c r="Y1060">
        <v>12.84</v>
      </c>
    </row>
    <row r="1061" spans="1:25" x14ac:dyDescent="0.25">
      <c r="A1061">
        <v>2007</v>
      </c>
      <c r="B1061">
        <v>121</v>
      </c>
      <c r="C1061">
        <v>600</v>
      </c>
      <c r="D1061">
        <v>48.02</v>
      </c>
      <c r="E1061">
        <v>-24.14</v>
      </c>
      <c r="F1061">
        <v>6.22</v>
      </c>
      <c r="G1061">
        <v>7.63</v>
      </c>
      <c r="K1061">
        <v>2.7509999999999999</v>
      </c>
      <c r="L1061">
        <v>100.7</v>
      </c>
      <c r="M1061">
        <v>0</v>
      </c>
      <c r="O1061">
        <v>42.92</v>
      </c>
      <c r="P1061">
        <v>16.010000000000002</v>
      </c>
      <c r="Q1061">
        <v>12.07</v>
      </c>
      <c r="S1061">
        <v>12.09</v>
      </c>
      <c r="T1061">
        <v>0</v>
      </c>
      <c r="U1061">
        <v>81.7</v>
      </c>
      <c r="V1061">
        <v>748</v>
      </c>
      <c r="W1061">
        <v>30.69</v>
      </c>
      <c r="Y1061">
        <v>12.88</v>
      </c>
    </row>
    <row r="1062" spans="1:25" x14ac:dyDescent="0.25">
      <c r="A1062">
        <v>2007</v>
      </c>
      <c r="B1062">
        <v>121</v>
      </c>
      <c r="C1062">
        <v>700</v>
      </c>
      <c r="D1062">
        <v>160.9</v>
      </c>
      <c r="E1062">
        <v>79.8</v>
      </c>
      <c r="F1062">
        <v>6.9729999999999999</v>
      </c>
      <c r="G1062">
        <v>9.1199999999999992</v>
      </c>
      <c r="K1062">
        <v>2.5099999999999998</v>
      </c>
      <c r="L1062">
        <v>102.1</v>
      </c>
      <c r="M1062">
        <v>0</v>
      </c>
      <c r="O1062">
        <v>231</v>
      </c>
      <c r="P1062">
        <v>99.2</v>
      </c>
      <c r="Q1062">
        <v>11.92</v>
      </c>
      <c r="S1062">
        <v>12</v>
      </c>
      <c r="T1062">
        <v>0</v>
      </c>
      <c r="U1062">
        <v>74</v>
      </c>
      <c r="V1062">
        <v>743</v>
      </c>
      <c r="W1062">
        <v>30.43</v>
      </c>
      <c r="Y1062">
        <v>13.71</v>
      </c>
    </row>
    <row r="1063" spans="1:25" x14ac:dyDescent="0.25">
      <c r="A1063">
        <v>2007</v>
      </c>
      <c r="B1063">
        <v>121</v>
      </c>
      <c r="C1063">
        <v>800</v>
      </c>
      <c r="D1063">
        <v>308.89999999999998</v>
      </c>
      <c r="E1063">
        <v>195.1</v>
      </c>
      <c r="F1063">
        <v>7.56</v>
      </c>
      <c r="G1063">
        <v>10.77</v>
      </c>
      <c r="K1063">
        <v>4.3220000000000001</v>
      </c>
      <c r="L1063">
        <v>108.7</v>
      </c>
      <c r="M1063">
        <v>0</v>
      </c>
      <c r="O1063">
        <v>429.6</v>
      </c>
      <c r="P1063">
        <v>157.30000000000001</v>
      </c>
      <c r="Q1063">
        <v>11.87</v>
      </c>
      <c r="S1063">
        <v>11.93</v>
      </c>
      <c r="T1063">
        <v>0</v>
      </c>
      <c r="U1063">
        <v>63.87</v>
      </c>
      <c r="V1063">
        <v>742</v>
      </c>
      <c r="W1063">
        <v>30.39</v>
      </c>
      <c r="Y1063">
        <v>14.32</v>
      </c>
    </row>
    <row r="1064" spans="1:25" x14ac:dyDescent="0.25">
      <c r="A1064">
        <v>2007</v>
      </c>
      <c r="B1064">
        <v>121</v>
      </c>
      <c r="C1064">
        <v>900</v>
      </c>
      <c r="D1064">
        <v>480.2</v>
      </c>
      <c r="E1064">
        <v>287</v>
      </c>
      <c r="F1064">
        <v>8.41</v>
      </c>
      <c r="G1064">
        <v>12.54</v>
      </c>
      <c r="H1064">
        <f>AVERAGE(G1064:G1087)</f>
        <v>11.827083333333333</v>
      </c>
      <c r="I1064">
        <f>MIN(G1064:G1087)</f>
        <v>5.0380000000000003</v>
      </c>
      <c r="J1064">
        <f>MAX(F1064:F1087)</f>
        <v>11.66</v>
      </c>
      <c r="K1064">
        <v>3.883</v>
      </c>
      <c r="L1064">
        <v>105.8</v>
      </c>
      <c r="M1064">
        <v>0</v>
      </c>
      <c r="N1064">
        <f>SUM(M1064:M1087)</f>
        <v>0</v>
      </c>
      <c r="O1064">
        <v>598.79999999999995</v>
      </c>
      <c r="P1064">
        <v>194.2</v>
      </c>
      <c r="Q1064">
        <v>11.95</v>
      </c>
      <c r="S1064">
        <v>11.84</v>
      </c>
      <c r="T1064">
        <v>0</v>
      </c>
      <c r="U1064">
        <v>56.74</v>
      </c>
      <c r="V1064">
        <v>738</v>
      </c>
      <c r="W1064">
        <v>30.22</v>
      </c>
      <c r="Y1064">
        <v>14.75</v>
      </c>
    </row>
    <row r="1065" spans="1:25" x14ac:dyDescent="0.25">
      <c r="A1065">
        <v>2007</v>
      </c>
      <c r="B1065">
        <v>121</v>
      </c>
      <c r="C1065">
        <v>1000</v>
      </c>
      <c r="D1065">
        <v>617.5</v>
      </c>
      <c r="E1065">
        <v>351.7</v>
      </c>
      <c r="F1065">
        <v>8.85</v>
      </c>
      <c r="G1065">
        <v>13.37</v>
      </c>
      <c r="K1065">
        <v>4.6760000000000002</v>
      </c>
      <c r="L1065">
        <v>108.1</v>
      </c>
      <c r="M1065">
        <v>0</v>
      </c>
      <c r="O1065">
        <v>759</v>
      </c>
      <c r="P1065">
        <v>221.6</v>
      </c>
      <c r="Q1065">
        <v>12.18</v>
      </c>
      <c r="S1065">
        <v>11.79</v>
      </c>
      <c r="T1065">
        <v>0</v>
      </c>
      <c r="U1065">
        <v>54.13</v>
      </c>
      <c r="V1065">
        <v>731</v>
      </c>
      <c r="W1065">
        <v>29.87</v>
      </c>
      <c r="Y1065">
        <v>14.86</v>
      </c>
    </row>
    <row r="1066" spans="1:25" x14ac:dyDescent="0.25">
      <c r="A1066">
        <v>2007</v>
      </c>
      <c r="B1066">
        <v>121</v>
      </c>
      <c r="C1066">
        <v>1100</v>
      </c>
      <c r="D1066">
        <v>721</v>
      </c>
      <c r="E1066">
        <v>413.7</v>
      </c>
      <c r="F1066">
        <v>9.08</v>
      </c>
      <c r="G1066">
        <v>14.18</v>
      </c>
      <c r="K1066">
        <v>5.0880000000000001</v>
      </c>
      <c r="L1066">
        <v>110.9</v>
      </c>
      <c r="M1066">
        <v>0</v>
      </c>
      <c r="O1066">
        <v>878</v>
      </c>
      <c r="P1066">
        <v>230.7</v>
      </c>
      <c r="Q1066">
        <v>12.56</v>
      </c>
      <c r="S1066">
        <v>11.76</v>
      </c>
      <c r="T1066">
        <v>0</v>
      </c>
      <c r="U1066">
        <v>50.07</v>
      </c>
      <c r="V1066">
        <v>727</v>
      </c>
      <c r="W1066">
        <v>29.71</v>
      </c>
      <c r="Y1066">
        <v>14.5</v>
      </c>
    </row>
    <row r="1067" spans="1:25" x14ac:dyDescent="0.25">
      <c r="A1067">
        <v>2007</v>
      </c>
      <c r="B1067">
        <v>121</v>
      </c>
      <c r="C1067">
        <v>1200</v>
      </c>
      <c r="D1067">
        <v>785</v>
      </c>
      <c r="E1067">
        <v>444.6</v>
      </c>
      <c r="F1067">
        <v>9.5299999999999994</v>
      </c>
      <c r="G1067">
        <v>14.99</v>
      </c>
      <c r="K1067">
        <v>4.7770000000000001</v>
      </c>
      <c r="L1067">
        <v>105.7</v>
      </c>
      <c r="M1067">
        <v>0</v>
      </c>
      <c r="O1067">
        <v>950</v>
      </c>
      <c r="P1067">
        <v>220.6</v>
      </c>
      <c r="Q1067">
        <v>13.07</v>
      </c>
      <c r="S1067">
        <v>11.85</v>
      </c>
      <c r="T1067">
        <v>0</v>
      </c>
      <c r="U1067">
        <v>48.12</v>
      </c>
      <c r="V1067">
        <v>727</v>
      </c>
      <c r="W1067">
        <v>29.7</v>
      </c>
      <c r="Y1067">
        <v>14.27</v>
      </c>
    </row>
    <row r="1068" spans="1:25" x14ac:dyDescent="0.25">
      <c r="A1068">
        <v>2007</v>
      </c>
      <c r="B1068">
        <v>121</v>
      </c>
      <c r="C1068">
        <v>1300</v>
      </c>
      <c r="D1068">
        <v>801</v>
      </c>
      <c r="E1068">
        <v>449.4</v>
      </c>
      <c r="F1068">
        <v>10.02</v>
      </c>
      <c r="G1068">
        <v>15.8</v>
      </c>
      <c r="K1068">
        <v>4.3540000000000001</v>
      </c>
      <c r="L1068">
        <v>103.2</v>
      </c>
      <c r="M1068">
        <v>0</v>
      </c>
      <c r="O1068">
        <v>959</v>
      </c>
      <c r="P1068">
        <v>222</v>
      </c>
      <c r="Q1068">
        <v>13.74</v>
      </c>
      <c r="S1068">
        <v>11.98</v>
      </c>
      <c r="T1068">
        <v>0</v>
      </c>
      <c r="U1068">
        <v>46.7</v>
      </c>
      <c r="V1068">
        <v>723</v>
      </c>
      <c r="W1068">
        <v>29.52</v>
      </c>
      <c r="Y1068">
        <v>14.21</v>
      </c>
    </row>
    <row r="1069" spans="1:25" x14ac:dyDescent="0.25">
      <c r="A1069">
        <v>2007</v>
      </c>
      <c r="B1069">
        <v>121</v>
      </c>
      <c r="C1069">
        <v>1400</v>
      </c>
      <c r="D1069">
        <v>771</v>
      </c>
      <c r="E1069">
        <v>428.4</v>
      </c>
      <c r="F1069">
        <v>10.48</v>
      </c>
      <c r="G1069">
        <v>16.45</v>
      </c>
      <c r="K1069">
        <v>4.6360000000000001</v>
      </c>
      <c r="L1069">
        <v>105.9</v>
      </c>
      <c r="M1069">
        <v>0</v>
      </c>
      <c r="O1069">
        <v>897</v>
      </c>
      <c r="P1069">
        <v>216.5</v>
      </c>
      <c r="Q1069">
        <v>14.41</v>
      </c>
      <c r="S1069">
        <v>12.15</v>
      </c>
      <c r="T1069">
        <v>0</v>
      </c>
      <c r="U1069">
        <v>46.15</v>
      </c>
      <c r="V1069">
        <v>716</v>
      </c>
      <c r="W1069">
        <v>29.19</v>
      </c>
      <c r="Y1069">
        <v>14.29</v>
      </c>
    </row>
    <row r="1070" spans="1:25" x14ac:dyDescent="0.25">
      <c r="A1070">
        <v>2007</v>
      </c>
      <c r="B1070">
        <v>121</v>
      </c>
      <c r="C1070">
        <v>1500</v>
      </c>
      <c r="D1070">
        <v>698.7</v>
      </c>
      <c r="E1070">
        <v>397.9</v>
      </c>
      <c r="F1070">
        <v>10.8</v>
      </c>
      <c r="G1070">
        <v>16.86</v>
      </c>
      <c r="K1070">
        <v>4.7699999999999996</v>
      </c>
      <c r="L1070">
        <v>106.8</v>
      </c>
      <c r="M1070">
        <v>0</v>
      </c>
      <c r="O1070">
        <v>825</v>
      </c>
      <c r="P1070">
        <v>227.4</v>
      </c>
      <c r="Q1070">
        <v>14.98</v>
      </c>
      <c r="S1070">
        <v>12.34</v>
      </c>
      <c r="T1070">
        <v>0</v>
      </c>
      <c r="U1070">
        <v>46.07</v>
      </c>
      <c r="V1070">
        <v>709</v>
      </c>
      <c r="W1070">
        <v>28.9</v>
      </c>
      <c r="Y1070">
        <v>14.25</v>
      </c>
    </row>
    <row r="1071" spans="1:25" x14ac:dyDescent="0.25">
      <c r="A1071">
        <v>2007</v>
      </c>
      <c r="B1071">
        <v>121</v>
      </c>
      <c r="C1071">
        <v>1600</v>
      </c>
      <c r="D1071">
        <v>587.5</v>
      </c>
      <c r="E1071">
        <v>335.9</v>
      </c>
      <c r="F1071">
        <v>11.33</v>
      </c>
      <c r="G1071">
        <v>17.190000000000001</v>
      </c>
      <c r="K1071">
        <v>4.38</v>
      </c>
      <c r="L1071">
        <v>101.3</v>
      </c>
      <c r="M1071">
        <v>0</v>
      </c>
      <c r="O1071">
        <v>691.6</v>
      </c>
      <c r="P1071">
        <v>240.6</v>
      </c>
      <c r="Q1071">
        <v>15.37</v>
      </c>
      <c r="S1071">
        <v>12.56</v>
      </c>
      <c r="T1071">
        <v>0</v>
      </c>
      <c r="U1071">
        <v>48.11</v>
      </c>
      <c r="V1071">
        <v>699.5</v>
      </c>
      <c r="W1071">
        <v>28.47</v>
      </c>
      <c r="Y1071">
        <v>14.32</v>
      </c>
    </row>
    <row r="1072" spans="1:25" x14ac:dyDescent="0.25">
      <c r="A1072">
        <v>2007</v>
      </c>
      <c r="B1072">
        <v>121</v>
      </c>
      <c r="C1072">
        <v>1700</v>
      </c>
      <c r="D1072">
        <v>450.5</v>
      </c>
      <c r="E1072">
        <v>256.10000000000002</v>
      </c>
      <c r="F1072">
        <v>11.66</v>
      </c>
      <c r="G1072">
        <v>17</v>
      </c>
      <c r="K1072">
        <v>3.786</v>
      </c>
      <c r="L1072">
        <v>102.4</v>
      </c>
      <c r="M1072">
        <v>0</v>
      </c>
      <c r="O1072">
        <v>530.79999999999995</v>
      </c>
      <c r="P1072">
        <v>228.4</v>
      </c>
      <c r="Q1072">
        <v>15.57</v>
      </c>
      <c r="S1072">
        <v>12.77</v>
      </c>
      <c r="T1072">
        <v>0</v>
      </c>
      <c r="U1072">
        <v>52.08</v>
      </c>
      <c r="V1072">
        <v>694.4</v>
      </c>
      <c r="W1072">
        <v>28.24</v>
      </c>
      <c r="Y1072">
        <v>14</v>
      </c>
    </row>
    <row r="1073" spans="1:25" x14ac:dyDescent="0.25">
      <c r="A1073">
        <v>2007</v>
      </c>
      <c r="B1073">
        <v>121</v>
      </c>
      <c r="C1073">
        <v>1800</v>
      </c>
      <c r="D1073">
        <v>293.60000000000002</v>
      </c>
      <c r="E1073">
        <v>158.4</v>
      </c>
      <c r="F1073">
        <v>11.25</v>
      </c>
      <c r="G1073">
        <v>16.29</v>
      </c>
      <c r="K1073">
        <v>3.6989999999999998</v>
      </c>
      <c r="L1073">
        <v>103.8</v>
      </c>
      <c r="M1073">
        <v>0</v>
      </c>
      <c r="O1073">
        <v>351.6</v>
      </c>
      <c r="P1073">
        <v>189.5</v>
      </c>
      <c r="Q1073">
        <v>15.58</v>
      </c>
      <c r="S1073">
        <v>12.87</v>
      </c>
      <c r="T1073">
        <v>0</v>
      </c>
      <c r="U1073">
        <v>53.6</v>
      </c>
      <c r="V1073">
        <v>696.5</v>
      </c>
      <c r="W1073">
        <v>28.33</v>
      </c>
      <c r="Y1073">
        <v>13.69</v>
      </c>
    </row>
    <row r="1074" spans="1:25" x14ac:dyDescent="0.25">
      <c r="A1074">
        <v>2007</v>
      </c>
      <c r="B1074">
        <v>121</v>
      </c>
      <c r="C1074">
        <v>2000</v>
      </c>
      <c r="D1074">
        <v>22.81</v>
      </c>
      <c r="E1074">
        <v>-42.11</v>
      </c>
      <c r="F1074">
        <v>10.32</v>
      </c>
      <c r="G1074">
        <v>13.62</v>
      </c>
      <c r="K1074">
        <v>2.1680000000000001</v>
      </c>
      <c r="L1074">
        <v>108.4</v>
      </c>
      <c r="M1074">
        <v>0</v>
      </c>
      <c r="O1074">
        <v>19.73</v>
      </c>
      <c r="P1074">
        <v>17.100000000000001</v>
      </c>
      <c r="Q1074">
        <v>15.26</v>
      </c>
      <c r="S1074">
        <v>13.05</v>
      </c>
      <c r="T1074">
        <v>0</v>
      </c>
      <c r="U1074">
        <v>66.11</v>
      </c>
      <c r="V1074">
        <v>698.9</v>
      </c>
      <c r="W1074">
        <v>28.44</v>
      </c>
      <c r="Y1074">
        <v>13.4</v>
      </c>
    </row>
    <row r="1075" spans="1:25" x14ac:dyDescent="0.25">
      <c r="A1075">
        <v>2007</v>
      </c>
      <c r="B1075">
        <v>121</v>
      </c>
      <c r="C1075">
        <v>2100</v>
      </c>
      <c r="D1075">
        <v>-2.806</v>
      </c>
      <c r="E1075">
        <v>-59.09</v>
      </c>
      <c r="F1075">
        <v>9.5</v>
      </c>
      <c r="G1075">
        <v>12.04</v>
      </c>
      <c r="K1075">
        <v>2.2959999999999998</v>
      </c>
      <c r="L1075">
        <v>105.7</v>
      </c>
      <c r="M1075">
        <v>0</v>
      </c>
      <c r="O1075">
        <v>-11.47</v>
      </c>
      <c r="P1075">
        <v>-11.15</v>
      </c>
      <c r="Q1075">
        <v>14.96</v>
      </c>
      <c r="S1075">
        <v>13.04</v>
      </c>
      <c r="T1075">
        <v>0</v>
      </c>
      <c r="U1075">
        <v>72.3</v>
      </c>
      <c r="V1075">
        <v>696.8</v>
      </c>
      <c r="W1075">
        <v>28.35</v>
      </c>
      <c r="Y1075">
        <v>13.29</v>
      </c>
    </row>
    <row r="1076" spans="1:25" x14ac:dyDescent="0.25">
      <c r="A1076">
        <v>2007</v>
      </c>
      <c r="B1076">
        <v>121</v>
      </c>
      <c r="C1076">
        <v>2200</v>
      </c>
      <c r="D1076">
        <v>-3.1739999999999999</v>
      </c>
      <c r="E1076">
        <v>-57.51</v>
      </c>
      <c r="F1076">
        <v>9.1199999999999992</v>
      </c>
      <c r="G1076">
        <v>11.5</v>
      </c>
      <c r="K1076">
        <v>2.7120000000000002</v>
      </c>
      <c r="L1076">
        <v>111</v>
      </c>
      <c r="M1076">
        <v>0</v>
      </c>
      <c r="O1076">
        <v>-12.14</v>
      </c>
      <c r="P1076">
        <v>-11.45</v>
      </c>
      <c r="Q1076">
        <v>14.62</v>
      </c>
      <c r="S1076">
        <v>13.04</v>
      </c>
      <c r="T1076">
        <v>0</v>
      </c>
      <c r="U1076">
        <v>73.400000000000006</v>
      </c>
      <c r="V1076">
        <v>695.1</v>
      </c>
      <c r="W1076">
        <v>28.27</v>
      </c>
      <c r="Y1076">
        <v>13.2</v>
      </c>
    </row>
    <row r="1077" spans="1:25" x14ac:dyDescent="0.25">
      <c r="A1077">
        <v>2007</v>
      </c>
      <c r="B1077">
        <v>121</v>
      </c>
      <c r="C1077">
        <v>2300</v>
      </c>
      <c r="D1077">
        <v>-2.88</v>
      </c>
      <c r="E1077">
        <v>-56.25</v>
      </c>
      <c r="F1077">
        <v>8.7899999999999991</v>
      </c>
      <c r="G1077">
        <v>10.86</v>
      </c>
      <c r="K1077">
        <v>3.4329999999999998</v>
      </c>
      <c r="L1077">
        <v>111</v>
      </c>
      <c r="M1077">
        <v>0</v>
      </c>
      <c r="O1077">
        <v>-11.99</v>
      </c>
      <c r="P1077">
        <v>-11.27</v>
      </c>
      <c r="Q1077">
        <v>14.3</v>
      </c>
      <c r="S1077">
        <v>13.01</v>
      </c>
      <c r="T1077">
        <v>0</v>
      </c>
      <c r="U1077">
        <v>76.400000000000006</v>
      </c>
      <c r="V1077">
        <v>700</v>
      </c>
      <c r="W1077">
        <v>28.51</v>
      </c>
      <c r="Y1077">
        <v>13.13</v>
      </c>
    </row>
    <row r="1078" spans="1:25" x14ac:dyDescent="0.25">
      <c r="A1078">
        <v>2007</v>
      </c>
      <c r="B1078">
        <v>121</v>
      </c>
      <c r="C1078">
        <v>2400</v>
      </c>
      <c r="D1078">
        <v>-2.863</v>
      </c>
      <c r="E1078">
        <v>-55.84</v>
      </c>
      <c r="F1078">
        <v>8.36</v>
      </c>
      <c r="G1078">
        <v>10</v>
      </c>
      <c r="K1078">
        <v>3.2909999999999999</v>
      </c>
      <c r="L1078">
        <v>110.1</v>
      </c>
      <c r="M1078">
        <v>0</v>
      </c>
      <c r="O1078">
        <v>-11.76</v>
      </c>
      <c r="P1078">
        <v>-11.07</v>
      </c>
      <c r="Q1078">
        <v>13.96</v>
      </c>
      <c r="S1078">
        <v>12.9</v>
      </c>
      <c r="T1078">
        <v>0</v>
      </c>
      <c r="U1078">
        <v>80.400000000000006</v>
      </c>
      <c r="V1078">
        <v>701</v>
      </c>
      <c r="W1078">
        <v>28.56</v>
      </c>
      <c r="Y1078">
        <v>13.05</v>
      </c>
    </row>
    <row r="1079" spans="1:25" x14ac:dyDescent="0.25">
      <c r="A1079">
        <v>2007</v>
      </c>
      <c r="B1079">
        <v>122</v>
      </c>
      <c r="C1079">
        <v>100</v>
      </c>
      <c r="D1079">
        <v>-3.6829999999999998</v>
      </c>
      <c r="E1079">
        <v>-53.96</v>
      </c>
      <c r="F1079">
        <v>7.31</v>
      </c>
      <c r="G1079">
        <v>8.5299999999999994</v>
      </c>
      <c r="K1079">
        <v>0.89</v>
      </c>
      <c r="L1079">
        <v>86.4</v>
      </c>
      <c r="M1079">
        <v>0</v>
      </c>
      <c r="O1079">
        <v>-11.63</v>
      </c>
      <c r="P1079">
        <v>-10.99</v>
      </c>
      <c r="Q1079">
        <v>13.72</v>
      </c>
      <c r="S1079">
        <v>12.85</v>
      </c>
      <c r="T1079">
        <v>0</v>
      </c>
      <c r="U1079">
        <v>84.7</v>
      </c>
      <c r="V1079">
        <v>718</v>
      </c>
      <c r="W1079">
        <v>29.28</v>
      </c>
      <c r="Y1079">
        <v>12.99</v>
      </c>
    </row>
    <row r="1080" spans="1:25" x14ac:dyDescent="0.25">
      <c r="A1080">
        <v>2007</v>
      </c>
      <c r="B1080">
        <v>122</v>
      </c>
      <c r="C1080">
        <v>200</v>
      </c>
      <c r="D1080">
        <v>-3.6629999999999998</v>
      </c>
      <c r="E1080">
        <v>-38.06</v>
      </c>
      <c r="F1080">
        <v>4.3879999999999999</v>
      </c>
      <c r="G1080">
        <v>5.0380000000000003</v>
      </c>
      <c r="K1080">
        <v>0.34200000000000003</v>
      </c>
      <c r="L1080">
        <v>156.80000000000001</v>
      </c>
      <c r="M1080">
        <v>0</v>
      </c>
      <c r="O1080">
        <v>-11.52</v>
      </c>
      <c r="P1080">
        <v>-10.87</v>
      </c>
      <c r="Q1080">
        <v>13.37</v>
      </c>
      <c r="S1080">
        <v>12.7</v>
      </c>
      <c r="T1080">
        <v>0</v>
      </c>
      <c r="U1080">
        <v>90.6</v>
      </c>
      <c r="V1080">
        <v>717</v>
      </c>
      <c r="W1080">
        <v>29.27</v>
      </c>
      <c r="Y1080">
        <v>12.94</v>
      </c>
    </row>
    <row r="1081" spans="1:25" x14ac:dyDescent="0.25">
      <c r="A1081">
        <v>2007</v>
      </c>
      <c r="B1081">
        <v>122</v>
      </c>
      <c r="C1081">
        <v>300</v>
      </c>
      <c r="D1081">
        <v>-3.1</v>
      </c>
      <c r="E1081">
        <v>-27.31</v>
      </c>
      <c r="F1081">
        <v>5.1779999999999999</v>
      </c>
      <c r="G1081">
        <v>6.0439999999999996</v>
      </c>
      <c r="K1081">
        <v>0.99399999999999999</v>
      </c>
      <c r="L1081">
        <v>105.8</v>
      </c>
      <c r="M1081">
        <v>0</v>
      </c>
      <c r="O1081">
        <v>-11.5</v>
      </c>
      <c r="P1081">
        <v>-10.85</v>
      </c>
      <c r="Q1081">
        <v>13.01</v>
      </c>
      <c r="S1081">
        <v>12.62</v>
      </c>
      <c r="T1081">
        <v>0</v>
      </c>
      <c r="U1081">
        <v>88</v>
      </c>
      <c r="V1081">
        <v>770</v>
      </c>
      <c r="W1081">
        <v>31.76</v>
      </c>
      <c r="Y1081">
        <v>12.89</v>
      </c>
    </row>
    <row r="1082" spans="1:25" x14ac:dyDescent="0.25">
      <c r="A1082">
        <v>2007</v>
      </c>
      <c r="B1082">
        <v>122</v>
      </c>
      <c r="C1082">
        <v>400</v>
      </c>
      <c r="D1082">
        <v>-3.0289999999999999</v>
      </c>
      <c r="E1082">
        <v>-23.01</v>
      </c>
      <c r="F1082">
        <v>5.8369999999999997</v>
      </c>
      <c r="G1082">
        <v>6.7859999999999996</v>
      </c>
      <c r="K1082">
        <v>2.177</v>
      </c>
      <c r="L1082">
        <v>104.8</v>
      </c>
      <c r="M1082">
        <v>0</v>
      </c>
      <c r="O1082">
        <v>-11.5</v>
      </c>
      <c r="P1082">
        <v>-10.85</v>
      </c>
      <c r="Q1082">
        <v>12.67</v>
      </c>
      <c r="S1082">
        <v>12.5</v>
      </c>
      <c r="T1082">
        <v>0</v>
      </c>
      <c r="U1082">
        <v>87.2</v>
      </c>
      <c r="V1082">
        <v>730</v>
      </c>
      <c r="W1082">
        <v>29.86</v>
      </c>
      <c r="Y1082">
        <v>12.86</v>
      </c>
    </row>
    <row r="1083" spans="1:25" x14ac:dyDescent="0.25">
      <c r="A1083">
        <v>2007</v>
      </c>
      <c r="B1083">
        <v>122</v>
      </c>
      <c r="C1083">
        <v>500</v>
      </c>
      <c r="D1083">
        <v>6.7000000000000004E-2</v>
      </c>
      <c r="E1083">
        <v>-19.97</v>
      </c>
      <c r="F1083">
        <v>5.4989999999999997</v>
      </c>
      <c r="G1083">
        <v>6.4109999999999996</v>
      </c>
      <c r="K1083">
        <v>1.7989999999999999</v>
      </c>
      <c r="L1083">
        <v>106.1</v>
      </c>
      <c r="M1083">
        <v>0</v>
      </c>
      <c r="O1083">
        <v>-7.36</v>
      </c>
      <c r="P1083">
        <v>-9.39</v>
      </c>
      <c r="Q1083">
        <v>12.4</v>
      </c>
      <c r="S1083">
        <v>12.35</v>
      </c>
      <c r="T1083">
        <v>0</v>
      </c>
      <c r="U1083">
        <v>87.5</v>
      </c>
      <c r="V1083">
        <v>705</v>
      </c>
      <c r="W1083">
        <v>28.72</v>
      </c>
      <c r="Y1083">
        <v>12.83</v>
      </c>
    </row>
    <row r="1084" spans="1:25" x14ac:dyDescent="0.25">
      <c r="A1084">
        <v>2007</v>
      </c>
      <c r="B1084">
        <v>122</v>
      </c>
      <c r="C1084">
        <v>600</v>
      </c>
      <c r="D1084">
        <v>50.88</v>
      </c>
      <c r="E1084">
        <v>10.96</v>
      </c>
      <c r="F1084">
        <v>5.7530000000000001</v>
      </c>
      <c r="G1084">
        <v>6.7409999999999997</v>
      </c>
      <c r="K1084">
        <v>2.8</v>
      </c>
      <c r="L1084">
        <v>109.1</v>
      </c>
      <c r="M1084">
        <v>0</v>
      </c>
      <c r="O1084">
        <v>49.82</v>
      </c>
      <c r="P1084">
        <v>18.45</v>
      </c>
      <c r="Q1084">
        <v>12.18</v>
      </c>
      <c r="S1084">
        <v>12.22</v>
      </c>
      <c r="T1084">
        <v>0</v>
      </c>
      <c r="U1084">
        <v>86.6</v>
      </c>
      <c r="V1084">
        <v>703</v>
      </c>
      <c r="W1084">
        <v>28.61</v>
      </c>
      <c r="Y1084">
        <v>12.88</v>
      </c>
    </row>
    <row r="1085" spans="1:25" x14ac:dyDescent="0.25">
      <c r="A1085">
        <v>2007</v>
      </c>
      <c r="B1085">
        <v>122</v>
      </c>
      <c r="C1085">
        <v>700</v>
      </c>
      <c r="D1085">
        <v>163</v>
      </c>
      <c r="E1085">
        <v>102.8</v>
      </c>
      <c r="F1085">
        <v>6.8789999999999996</v>
      </c>
      <c r="G1085">
        <v>8.32</v>
      </c>
      <c r="K1085">
        <v>3.129</v>
      </c>
      <c r="L1085">
        <v>111.3</v>
      </c>
      <c r="M1085">
        <v>0</v>
      </c>
      <c r="O1085">
        <v>238.2</v>
      </c>
      <c r="P1085">
        <v>101.4</v>
      </c>
      <c r="Q1085">
        <v>12.04</v>
      </c>
      <c r="S1085">
        <v>12.14</v>
      </c>
      <c r="T1085">
        <v>0</v>
      </c>
      <c r="U1085">
        <v>81.8</v>
      </c>
      <c r="V1085">
        <v>693.2</v>
      </c>
      <c r="W1085">
        <v>28.19</v>
      </c>
      <c r="Y1085">
        <v>13.72</v>
      </c>
    </row>
    <row r="1086" spans="1:25" x14ac:dyDescent="0.25">
      <c r="A1086">
        <v>2007</v>
      </c>
      <c r="B1086">
        <v>122</v>
      </c>
      <c r="C1086">
        <v>800</v>
      </c>
      <c r="D1086">
        <v>310</v>
      </c>
      <c r="E1086">
        <v>202.2</v>
      </c>
      <c r="F1086">
        <v>8.4499999999999993</v>
      </c>
      <c r="G1086">
        <v>10.76</v>
      </c>
      <c r="K1086">
        <v>3.1960000000000002</v>
      </c>
      <c r="L1086">
        <v>105.6</v>
      </c>
      <c r="M1086">
        <v>0</v>
      </c>
      <c r="O1086">
        <v>440</v>
      </c>
      <c r="P1086">
        <v>160.6</v>
      </c>
      <c r="Q1086">
        <v>12</v>
      </c>
      <c r="S1086">
        <v>12.08</v>
      </c>
      <c r="T1086">
        <v>0</v>
      </c>
      <c r="U1086">
        <v>73.599999999999994</v>
      </c>
      <c r="V1086">
        <v>687</v>
      </c>
      <c r="W1086">
        <v>27.91</v>
      </c>
      <c r="Y1086">
        <v>14.32</v>
      </c>
    </row>
    <row r="1087" spans="1:25" x14ac:dyDescent="0.25">
      <c r="A1087">
        <v>2007</v>
      </c>
      <c r="B1087">
        <v>122</v>
      </c>
      <c r="C1087">
        <v>900</v>
      </c>
      <c r="D1087">
        <v>488.2</v>
      </c>
      <c r="E1087">
        <v>288.2</v>
      </c>
      <c r="F1087">
        <v>9.2799999999999994</v>
      </c>
      <c r="G1087">
        <v>12.53</v>
      </c>
      <c r="H1087">
        <f>AVERAGE(G1087:G1110)</f>
        <v>11.1335</v>
      </c>
      <c r="I1087">
        <f>MIN(G1087:G1110)</f>
        <v>1.677</v>
      </c>
      <c r="J1087">
        <f>MAX(F1087:F1110)</f>
        <v>11.85</v>
      </c>
      <c r="K1087">
        <v>3.032</v>
      </c>
      <c r="L1087">
        <v>102.9</v>
      </c>
      <c r="M1087">
        <v>0</v>
      </c>
      <c r="N1087">
        <f>SUM(M1087:M1110)</f>
        <v>0</v>
      </c>
      <c r="O1087">
        <v>605.1</v>
      </c>
      <c r="P1087">
        <v>195.2</v>
      </c>
      <c r="Q1087">
        <v>12.11</v>
      </c>
      <c r="S1087">
        <v>12.01</v>
      </c>
      <c r="T1087">
        <v>0</v>
      </c>
      <c r="U1087">
        <v>65.5</v>
      </c>
      <c r="V1087">
        <v>679.6</v>
      </c>
      <c r="W1087">
        <v>27.59</v>
      </c>
      <c r="Y1087">
        <v>14.72</v>
      </c>
    </row>
    <row r="1088" spans="1:25" x14ac:dyDescent="0.25">
      <c r="A1088">
        <v>2007</v>
      </c>
      <c r="B1088">
        <v>122</v>
      </c>
      <c r="C1088">
        <v>1000</v>
      </c>
      <c r="D1088">
        <v>623.5</v>
      </c>
      <c r="E1088">
        <v>353.5</v>
      </c>
      <c r="F1088">
        <v>9.93</v>
      </c>
      <c r="G1088">
        <v>14.2</v>
      </c>
      <c r="K1088">
        <v>2.8650000000000002</v>
      </c>
      <c r="L1088">
        <v>104.5</v>
      </c>
      <c r="M1088">
        <v>0</v>
      </c>
      <c r="O1088">
        <v>764</v>
      </c>
      <c r="P1088">
        <v>222.4</v>
      </c>
      <c r="Q1088">
        <v>12.4</v>
      </c>
      <c r="S1088">
        <v>11.97</v>
      </c>
      <c r="T1088">
        <v>0</v>
      </c>
      <c r="U1088">
        <v>57.64</v>
      </c>
      <c r="V1088">
        <v>671.9</v>
      </c>
      <c r="W1088">
        <v>27.25</v>
      </c>
      <c r="Y1088">
        <v>14.83</v>
      </c>
    </row>
    <row r="1089" spans="1:25" x14ac:dyDescent="0.25">
      <c r="A1089">
        <v>2007</v>
      </c>
      <c r="B1089">
        <v>122</v>
      </c>
      <c r="C1089">
        <v>1100</v>
      </c>
      <c r="D1089">
        <v>719</v>
      </c>
      <c r="E1089">
        <v>414.4</v>
      </c>
      <c r="F1089">
        <v>10.64</v>
      </c>
      <c r="G1089">
        <v>16.12</v>
      </c>
      <c r="K1089">
        <v>2.367</v>
      </c>
      <c r="L1089">
        <v>102.4</v>
      </c>
      <c r="M1089">
        <v>0</v>
      </c>
      <c r="O1089">
        <v>878</v>
      </c>
      <c r="P1089">
        <v>230.2</v>
      </c>
      <c r="Q1089">
        <v>12.88</v>
      </c>
      <c r="S1089">
        <v>12</v>
      </c>
      <c r="T1089">
        <v>0</v>
      </c>
      <c r="U1089">
        <v>49.72</v>
      </c>
      <c r="V1089">
        <v>666.7</v>
      </c>
      <c r="W1089">
        <v>27.02</v>
      </c>
      <c r="Y1089">
        <v>14.48</v>
      </c>
    </row>
    <row r="1090" spans="1:25" x14ac:dyDescent="0.25">
      <c r="A1090">
        <v>2007</v>
      </c>
      <c r="B1090">
        <v>122</v>
      </c>
      <c r="C1090">
        <v>1200</v>
      </c>
      <c r="D1090">
        <v>781</v>
      </c>
      <c r="E1090">
        <v>442.9</v>
      </c>
      <c r="F1090">
        <v>10.91</v>
      </c>
      <c r="G1090">
        <v>17.100000000000001</v>
      </c>
      <c r="K1090">
        <v>2.4900000000000002</v>
      </c>
      <c r="L1090">
        <v>108.1</v>
      </c>
      <c r="M1090">
        <v>0</v>
      </c>
      <c r="O1090">
        <v>945</v>
      </c>
      <c r="P1090">
        <v>219.6</v>
      </c>
      <c r="Q1090">
        <v>13.56</v>
      </c>
      <c r="S1090">
        <v>12.08</v>
      </c>
      <c r="T1090">
        <v>0</v>
      </c>
      <c r="U1090">
        <v>45.41</v>
      </c>
      <c r="V1090">
        <v>665.4</v>
      </c>
      <c r="W1090">
        <v>26.96</v>
      </c>
      <c r="Y1090">
        <v>14.23</v>
      </c>
    </row>
    <row r="1091" spans="1:25" x14ac:dyDescent="0.25">
      <c r="A1091">
        <v>2007</v>
      </c>
      <c r="B1091">
        <v>122</v>
      </c>
      <c r="C1091">
        <v>1300</v>
      </c>
      <c r="D1091">
        <v>800</v>
      </c>
      <c r="E1091">
        <v>448.7</v>
      </c>
      <c r="F1091">
        <v>11.16</v>
      </c>
      <c r="G1091">
        <v>17.71</v>
      </c>
      <c r="K1091">
        <v>2.3570000000000002</v>
      </c>
      <c r="L1091">
        <v>105.2</v>
      </c>
      <c r="M1091">
        <v>0</v>
      </c>
      <c r="O1091">
        <v>958</v>
      </c>
      <c r="P1091">
        <v>222.2</v>
      </c>
      <c r="Q1091">
        <v>14.38</v>
      </c>
      <c r="S1091">
        <v>12.25</v>
      </c>
      <c r="T1091">
        <v>0</v>
      </c>
      <c r="U1091">
        <v>43.57</v>
      </c>
      <c r="V1091">
        <v>656.9</v>
      </c>
      <c r="W1091">
        <v>26.59</v>
      </c>
      <c r="Y1091">
        <v>14.18</v>
      </c>
    </row>
    <row r="1092" spans="1:25" x14ac:dyDescent="0.25">
      <c r="A1092">
        <v>2007</v>
      </c>
      <c r="B1092">
        <v>122</v>
      </c>
      <c r="C1092">
        <v>1400</v>
      </c>
      <c r="D1092">
        <v>776</v>
      </c>
      <c r="E1092">
        <v>430.5</v>
      </c>
      <c r="F1092">
        <v>11.85</v>
      </c>
      <c r="G1092">
        <v>18.739999999999998</v>
      </c>
      <c r="K1092">
        <v>2.2469999999999999</v>
      </c>
      <c r="L1092">
        <v>97.1</v>
      </c>
      <c r="M1092">
        <v>0</v>
      </c>
      <c r="O1092">
        <v>901</v>
      </c>
      <c r="P1092">
        <v>217.9</v>
      </c>
      <c r="Q1092">
        <v>15.19</v>
      </c>
      <c r="S1092">
        <v>12.48</v>
      </c>
      <c r="T1092">
        <v>0</v>
      </c>
      <c r="U1092">
        <v>42.58</v>
      </c>
      <c r="V1092">
        <v>641.4</v>
      </c>
      <c r="W1092">
        <v>25.9</v>
      </c>
      <c r="Y1092">
        <v>14.26</v>
      </c>
    </row>
    <row r="1093" spans="1:25" x14ac:dyDescent="0.25">
      <c r="A1093">
        <v>2007</v>
      </c>
      <c r="B1093">
        <v>122</v>
      </c>
      <c r="C1093">
        <v>1500</v>
      </c>
      <c r="D1093">
        <v>711</v>
      </c>
      <c r="E1093">
        <v>401.9</v>
      </c>
      <c r="F1093">
        <v>11.55</v>
      </c>
      <c r="G1093">
        <v>19.329999999999998</v>
      </c>
      <c r="K1093">
        <v>2.2530000000000001</v>
      </c>
      <c r="L1093">
        <v>102.4</v>
      </c>
      <c r="M1093">
        <v>0</v>
      </c>
      <c r="O1093">
        <v>840</v>
      </c>
      <c r="P1093">
        <v>230.4</v>
      </c>
      <c r="Q1093">
        <v>15.91</v>
      </c>
      <c r="S1093">
        <v>12.75</v>
      </c>
      <c r="T1093">
        <v>0</v>
      </c>
      <c r="U1093">
        <v>37.229999999999997</v>
      </c>
      <c r="V1093">
        <v>630.20000000000005</v>
      </c>
      <c r="W1093">
        <v>25.42</v>
      </c>
      <c r="Y1093">
        <v>14.21</v>
      </c>
    </row>
    <row r="1094" spans="1:25" x14ac:dyDescent="0.25">
      <c r="A1094">
        <v>2007</v>
      </c>
      <c r="B1094">
        <v>122</v>
      </c>
      <c r="C1094">
        <v>1600</v>
      </c>
      <c r="D1094">
        <v>607.79999999999995</v>
      </c>
      <c r="E1094">
        <v>344.3</v>
      </c>
      <c r="F1094">
        <v>11.37</v>
      </c>
      <c r="G1094">
        <v>19.57</v>
      </c>
      <c r="K1094">
        <v>2.2080000000000002</v>
      </c>
      <c r="L1094">
        <v>100</v>
      </c>
      <c r="M1094">
        <v>0</v>
      </c>
      <c r="O1094">
        <v>716</v>
      </c>
      <c r="P1094">
        <v>249.4</v>
      </c>
      <c r="Q1094">
        <v>16.41</v>
      </c>
      <c r="S1094">
        <v>13.01</v>
      </c>
      <c r="T1094">
        <v>0</v>
      </c>
      <c r="U1094">
        <v>34.630000000000003</v>
      </c>
      <c r="V1094">
        <v>621.29999999999995</v>
      </c>
      <c r="W1094">
        <v>25.02</v>
      </c>
      <c r="Y1094">
        <v>14.3</v>
      </c>
    </row>
    <row r="1095" spans="1:25" x14ac:dyDescent="0.25">
      <c r="A1095">
        <v>2007</v>
      </c>
      <c r="B1095">
        <v>122</v>
      </c>
      <c r="C1095">
        <v>1700</v>
      </c>
      <c r="D1095">
        <v>470</v>
      </c>
      <c r="E1095">
        <v>266.3</v>
      </c>
      <c r="F1095">
        <v>11.6</v>
      </c>
      <c r="G1095">
        <v>19.71</v>
      </c>
      <c r="K1095">
        <v>1.6719999999999999</v>
      </c>
      <c r="L1095">
        <v>99.2</v>
      </c>
      <c r="M1095">
        <v>0</v>
      </c>
      <c r="O1095">
        <v>556</v>
      </c>
      <c r="P1095">
        <v>241.3</v>
      </c>
      <c r="Q1095">
        <v>16.64</v>
      </c>
      <c r="S1095">
        <v>13.25</v>
      </c>
      <c r="T1095">
        <v>0</v>
      </c>
      <c r="U1095">
        <v>35.54</v>
      </c>
      <c r="V1095">
        <v>616.20000000000005</v>
      </c>
      <c r="W1095">
        <v>24.8</v>
      </c>
      <c r="Y1095">
        <v>13.98</v>
      </c>
    </row>
    <row r="1096" spans="1:25" x14ac:dyDescent="0.25">
      <c r="A1096">
        <v>2007</v>
      </c>
      <c r="B1096">
        <v>122</v>
      </c>
      <c r="C1096">
        <v>1800</v>
      </c>
      <c r="D1096">
        <v>311.39999999999998</v>
      </c>
      <c r="E1096">
        <v>170.6</v>
      </c>
      <c r="F1096">
        <v>11.64</v>
      </c>
      <c r="G1096">
        <v>19.03</v>
      </c>
      <c r="K1096">
        <v>1.546</v>
      </c>
      <c r="L1096">
        <v>98.2</v>
      </c>
      <c r="M1096">
        <v>0</v>
      </c>
      <c r="O1096">
        <v>376.8</v>
      </c>
      <c r="P1096">
        <v>207.8</v>
      </c>
      <c r="Q1096">
        <v>16.670000000000002</v>
      </c>
      <c r="S1096">
        <v>13.42</v>
      </c>
      <c r="T1096">
        <v>0</v>
      </c>
      <c r="U1096">
        <v>39.43</v>
      </c>
      <c r="V1096">
        <v>610.4</v>
      </c>
      <c r="W1096">
        <v>24.54</v>
      </c>
      <c r="Y1096">
        <v>13.66</v>
      </c>
    </row>
    <row r="1097" spans="1:25" x14ac:dyDescent="0.25">
      <c r="A1097">
        <v>2007</v>
      </c>
      <c r="B1097">
        <v>122</v>
      </c>
      <c r="C1097">
        <v>1900</v>
      </c>
      <c r="D1097">
        <v>153.1</v>
      </c>
      <c r="E1097">
        <v>60</v>
      </c>
      <c r="F1097">
        <v>11.26</v>
      </c>
      <c r="G1097">
        <v>17.78</v>
      </c>
      <c r="K1097">
        <v>0.99199999999999999</v>
      </c>
      <c r="L1097">
        <v>91.7</v>
      </c>
      <c r="M1097">
        <v>0</v>
      </c>
      <c r="O1097">
        <v>189.7</v>
      </c>
      <c r="P1097">
        <v>149.1</v>
      </c>
      <c r="Q1097">
        <v>16.55</v>
      </c>
      <c r="S1097">
        <v>13.55</v>
      </c>
      <c r="T1097">
        <v>0</v>
      </c>
      <c r="U1097">
        <v>43.92</v>
      </c>
      <c r="V1097">
        <v>607.70000000000005</v>
      </c>
      <c r="W1097">
        <v>24.42</v>
      </c>
      <c r="Y1097">
        <v>13.49</v>
      </c>
    </row>
    <row r="1098" spans="1:25" x14ac:dyDescent="0.25">
      <c r="A1098">
        <v>2007</v>
      </c>
      <c r="B1098">
        <v>122</v>
      </c>
      <c r="C1098">
        <v>2100</v>
      </c>
      <c r="D1098">
        <v>-4.2720000000000002</v>
      </c>
      <c r="E1098">
        <v>-68.27</v>
      </c>
      <c r="F1098">
        <v>5.91</v>
      </c>
      <c r="G1098">
        <v>7.42</v>
      </c>
      <c r="K1098">
        <v>0.28999999999999998</v>
      </c>
      <c r="L1098">
        <v>207</v>
      </c>
      <c r="M1098">
        <v>0</v>
      </c>
      <c r="O1098">
        <v>-11.29</v>
      </c>
      <c r="P1098">
        <v>-11.07</v>
      </c>
      <c r="Q1098">
        <v>15.78</v>
      </c>
      <c r="S1098">
        <v>13.56</v>
      </c>
      <c r="T1098">
        <v>0</v>
      </c>
      <c r="U1098">
        <v>80.400000000000006</v>
      </c>
      <c r="V1098">
        <v>617.79999999999995</v>
      </c>
      <c r="W1098">
        <v>24.87</v>
      </c>
      <c r="Y1098">
        <v>13.23</v>
      </c>
    </row>
    <row r="1099" spans="1:25" x14ac:dyDescent="0.25">
      <c r="A1099">
        <v>2007</v>
      </c>
      <c r="B1099">
        <v>122</v>
      </c>
      <c r="C1099">
        <v>2200</v>
      </c>
      <c r="D1099">
        <v>-3.4169999999999998</v>
      </c>
      <c r="E1099">
        <v>-61.47</v>
      </c>
      <c r="F1099">
        <v>4.2039999999999997</v>
      </c>
      <c r="G1099">
        <v>5.3049999999999997</v>
      </c>
      <c r="K1099">
        <v>0.27900000000000003</v>
      </c>
      <c r="L1099">
        <v>206.2</v>
      </c>
      <c r="M1099">
        <v>0</v>
      </c>
      <c r="O1099">
        <v>-12.17</v>
      </c>
      <c r="P1099">
        <v>-11.47</v>
      </c>
      <c r="Q1099">
        <v>15.22</v>
      </c>
      <c r="S1099">
        <v>13.55</v>
      </c>
      <c r="T1099">
        <v>0</v>
      </c>
      <c r="U1099">
        <v>84.3</v>
      </c>
      <c r="V1099">
        <v>624.6</v>
      </c>
      <c r="W1099">
        <v>25.17</v>
      </c>
      <c r="Y1099">
        <v>13.15</v>
      </c>
    </row>
    <row r="1100" spans="1:25" x14ac:dyDescent="0.25">
      <c r="A1100">
        <v>2007</v>
      </c>
      <c r="B1100">
        <v>122</v>
      </c>
      <c r="C1100">
        <v>2300</v>
      </c>
      <c r="D1100">
        <v>-2.8650000000000002</v>
      </c>
      <c r="E1100">
        <v>-54.49</v>
      </c>
      <c r="F1100">
        <v>3.665</v>
      </c>
      <c r="G1100">
        <v>4.6260000000000003</v>
      </c>
      <c r="K1100">
        <v>0.11</v>
      </c>
      <c r="L1100">
        <v>206</v>
      </c>
      <c r="M1100">
        <v>0</v>
      </c>
      <c r="O1100">
        <v>-11.88</v>
      </c>
      <c r="P1100">
        <v>-11.23</v>
      </c>
      <c r="Q1100">
        <v>14.67</v>
      </c>
      <c r="S1100">
        <v>13.49</v>
      </c>
      <c r="T1100">
        <v>0</v>
      </c>
      <c r="U1100">
        <v>85.9</v>
      </c>
      <c r="V1100">
        <v>630.20000000000005</v>
      </c>
      <c r="W1100">
        <v>25.41</v>
      </c>
      <c r="Y1100">
        <v>13.07</v>
      </c>
    </row>
    <row r="1101" spans="1:25" x14ac:dyDescent="0.25">
      <c r="A1101">
        <v>2007</v>
      </c>
      <c r="B1101">
        <v>122</v>
      </c>
      <c r="C1101">
        <v>2400</v>
      </c>
      <c r="D1101">
        <v>-2.6139999999999999</v>
      </c>
      <c r="E1101">
        <v>-48.99</v>
      </c>
      <c r="F1101">
        <v>3.4780000000000002</v>
      </c>
      <c r="G1101">
        <v>4.4770000000000003</v>
      </c>
      <c r="K1101">
        <v>0.28799999999999998</v>
      </c>
      <c r="L1101">
        <v>201.5</v>
      </c>
      <c r="M1101">
        <v>0</v>
      </c>
      <c r="O1101">
        <v>-11.54</v>
      </c>
      <c r="P1101">
        <v>-10.94</v>
      </c>
      <c r="Q1101">
        <v>14.15</v>
      </c>
      <c r="S1101">
        <v>13.35</v>
      </c>
      <c r="T1101">
        <v>0</v>
      </c>
      <c r="U1101">
        <v>85.3</v>
      </c>
      <c r="V1101">
        <v>631.70000000000005</v>
      </c>
      <c r="W1101">
        <v>25.48</v>
      </c>
      <c r="Y1101">
        <v>13</v>
      </c>
    </row>
    <row r="1102" spans="1:25" x14ac:dyDescent="0.25">
      <c r="A1102">
        <v>2007</v>
      </c>
      <c r="B1102">
        <v>123</v>
      </c>
      <c r="C1102">
        <v>100</v>
      </c>
      <c r="D1102">
        <v>-2.6789999999999998</v>
      </c>
      <c r="E1102">
        <v>-46.84</v>
      </c>
      <c r="F1102">
        <v>3.4049999999999998</v>
      </c>
      <c r="G1102">
        <v>4.3789999999999996</v>
      </c>
      <c r="K1102">
        <v>0.27500000000000002</v>
      </c>
      <c r="L1102">
        <v>203.6</v>
      </c>
      <c r="M1102">
        <v>0</v>
      </c>
      <c r="O1102">
        <v>-11.5</v>
      </c>
      <c r="P1102">
        <v>-10.86</v>
      </c>
      <c r="Q1102">
        <v>13.72</v>
      </c>
      <c r="S1102">
        <v>13.24</v>
      </c>
      <c r="T1102">
        <v>0</v>
      </c>
      <c r="U1102">
        <v>85.6</v>
      </c>
      <c r="V1102">
        <v>642.79999999999995</v>
      </c>
      <c r="W1102">
        <v>25.97</v>
      </c>
      <c r="Y1102">
        <v>12.94</v>
      </c>
    </row>
    <row r="1103" spans="1:25" x14ac:dyDescent="0.25">
      <c r="A1103">
        <v>2007</v>
      </c>
      <c r="B1103">
        <v>123</v>
      </c>
      <c r="C1103">
        <v>200</v>
      </c>
      <c r="D1103">
        <v>-2.758</v>
      </c>
      <c r="E1103">
        <v>-45.05</v>
      </c>
      <c r="F1103">
        <v>2.8940000000000001</v>
      </c>
      <c r="G1103">
        <v>3.754</v>
      </c>
      <c r="K1103">
        <v>0.251</v>
      </c>
      <c r="L1103">
        <v>194.6</v>
      </c>
      <c r="M1103">
        <v>0</v>
      </c>
      <c r="O1103">
        <v>-11.5</v>
      </c>
      <c r="P1103">
        <v>-10.85</v>
      </c>
      <c r="Q1103">
        <v>13.29</v>
      </c>
      <c r="S1103">
        <v>13.05</v>
      </c>
      <c r="T1103">
        <v>0</v>
      </c>
      <c r="U1103">
        <v>86.9</v>
      </c>
      <c r="V1103">
        <v>629.6</v>
      </c>
      <c r="W1103">
        <v>25.39</v>
      </c>
      <c r="Y1103">
        <v>12.9</v>
      </c>
    </row>
    <row r="1104" spans="1:25" x14ac:dyDescent="0.25">
      <c r="A1104">
        <v>2007</v>
      </c>
      <c r="B1104">
        <v>123</v>
      </c>
      <c r="C1104">
        <v>300</v>
      </c>
      <c r="D1104">
        <v>-2.79</v>
      </c>
      <c r="E1104">
        <v>-42.66</v>
      </c>
      <c r="F1104">
        <v>2.044</v>
      </c>
      <c r="G1104">
        <v>2.8109999999999999</v>
      </c>
      <c r="K1104">
        <v>0.23699999999999999</v>
      </c>
      <c r="L1104">
        <v>204.6</v>
      </c>
      <c r="M1104">
        <v>0</v>
      </c>
      <c r="O1104">
        <v>-11.5</v>
      </c>
      <c r="P1104">
        <v>-10.85</v>
      </c>
      <c r="Q1104">
        <v>12.9</v>
      </c>
      <c r="S1104">
        <v>12.88</v>
      </c>
      <c r="T1104">
        <v>0</v>
      </c>
      <c r="U1104">
        <v>87.8</v>
      </c>
      <c r="V1104">
        <v>619.5</v>
      </c>
      <c r="W1104">
        <v>24.95</v>
      </c>
      <c r="Y1104">
        <v>12.86</v>
      </c>
    </row>
    <row r="1105" spans="1:25" x14ac:dyDescent="0.25">
      <c r="A1105">
        <v>2007</v>
      </c>
      <c r="B1105">
        <v>123</v>
      </c>
      <c r="C1105">
        <v>400</v>
      </c>
      <c r="D1105">
        <v>-2.6840000000000002</v>
      </c>
      <c r="E1105">
        <v>-39.39</v>
      </c>
      <c r="F1105">
        <v>1.381</v>
      </c>
      <c r="G1105">
        <v>2.0979999999999999</v>
      </c>
      <c r="K1105">
        <v>0.153</v>
      </c>
      <c r="L1105">
        <v>190.1</v>
      </c>
      <c r="M1105">
        <v>0</v>
      </c>
      <c r="O1105">
        <v>-11.5</v>
      </c>
      <c r="P1105">
        <v>-10.85</v>
      </c>
      <c r="Q1105">
        <v>12.55</v>
      </c>
      <c r="S1105">
        <v>12.72</v>
      </c>
      <c r="T1105">
        <v>0</v>
      </c>
      <c r="U1105">
        <v>88.3</v>
      </c>
      <c r="V1105">
        <v>627.9</v>
      </c>
      <c r="W1105">
        <v>25.31</v>
      </c>
      <c r="Y1105">
        <v>12.83</v>
      </c>
    </row>
    <row r="1106" spans="1:25" x14ac:dyDescent="0.25">
      <c r="A1106">
        <v>2007</v>
      </c>
      <c r="B1106">
        <v>123</v>
      </c>
      <c r="C1106">
        <v>500</v>
      </c>
      <c r="D1106">
        <v>1.135</v>
      </c>
      <c r="E1106">
        <v>-34.54</v>
      </c>
      <c r="F1106">
        <v>1.054</v>
      </c>
      <c r="G1106">
        <v>1.677</v>
      </c>
      <c r="K1106">
        <v>0.15</v>
      </c>
      <c r="L1106">
        <v>203.8</v>
      </c>
      <c r="M1106">
        <v>0</v>
      </c>
      <c r="O1106">
        <v>-6.6269999999999998</v>
      </c>
      <c r="P1106">
        <v>-9.1</v>
      </c>
      <c r="Q1106">
        <v>12.19</v>
      </c>
      <c r="S1106">
        <v>12.54</v>
      </c>
      <c r="T1106">
        <v>0</v>
      </c>
      <c r="U1106">
        <v>89.6</v>
      </c>
      <c r="V1106">
        <v>636.79999999999995</v>
      </c>
      <c r="W1106">
        <v>25.71</v>
      </c>
      <c r="Y1106">
        <v>12.81</v>
      </c>
    </row>
    <row r="1107" spans="1:25" x14ac:dyDescent="0.25">
      <c r="A1107">
        <v>2007</v>
      </c>
      <c r="B1107">
        <v>123</v>
      </c>
      <c r="C1107">
        <v>600</v>
      </c>
      <c r="D1107">
        <v>53.08</v>
      </c>
      <c r="E1107">
        <v>-0.87</v>
      </c>
      <c r="F1107">
        <v>1.6970000000000001</v>
      </c>
      <c r="G1107">
        <v>2.4769999999999999</v>
      </c>
      <c r="K1107">
        <v>0.106</v>
      </c>
      <c r="L1107">
        <v>203.8</v>
      </c>
      <c r="M1107">
        <v>0</v>
      </c>
      <c r="O1107">
        <v>53.01</v>
      </c>
      <c r="P1107">
        <v>19.84</v>
      </c>
      <c r="Q1107">
        <v>11.85</v>
      </c>
      <c r="S1107">
        <v>12.35</v>
      </c>
      <c r="T1107">
        <v>0</v>
      </c>
      <c r="U1107">
        <v>87.6</v>
      </c>
      <c r="V1107">
        <v>627.4</v>
      </c>
      <c r="W1107">
        <v>25.29</v>
      </c>
      <c r="Y1107">
        <v>12.89</v>
      </c>
    </row>
    <row r="1108" spans="1:25" x14ac:dyDescent="0.25">
      <c r="A1108">
        <v>2007</v>
      </c>
      <c r="B1108">
        <v>123</v>
      </c>
      <c r="C1108">
        <v>700</v>
      </c>
      <c r="D1108">
        <v>160.19999999999999</v>
      </c>
      <c r="E1108">
        <v>104.5</v>
      </c>
      <c r="F1108">
        <v>7.11</v>
      </c>
      <c r="G1108">
        <v>8.6199999999999992</v>
      </c>
      <c r="K1108">
        <v>9.0999999999999998E-2</v>
      </c>
      <c r="L1108">
        <v>203.8</v>
      </c>
      <c r="M1108">
        <v>0</v>
      </c>
      <c r="O1108">
        <v>236.3</v>
      </c>
      <c r="P1108">
        <v>100.5</v>
      </c>
      <c r="Q1108">
        <v>11.71</v>
      </c>
      <c r="S1108">
        <v>12.3</v>
      </c>
      <c r="T1108">
        <v>0</v>
      </c>
      <c r="U1108">
        <v>81.5</v>
      </c>
      <c r="V1108">
        <v>621.1</v>
      </c>
      <c r="W1108">
        <v>25.01</v>
      </c>
      <c r="Y1108">
        <v>13.73</v>
      </c>
    </row>
    <row r="1109" spans="1:25" x14ac:dyDescent="0.25">
      <c r="A1109">
        <v>2007</v>
      </c>
      <c r="B1109">
        <v>123</v>
      </c>
      <c r="C1109">
        <v>800</v>
      </c>
      <c r="D1109">
        <v>297</v>
      </c>
      <c r="E1109">
        <v>206.5</v>
      </c>
      <c r="F1109">
        <v>9.8000000000000007</v>
      </c>
      <c r="G1109">
        <v>13.06</v>
      </c>
      <c r="K1109">
        <v>0.6</v>
      </c>
      <c r="L1109">
        <v>89.7</v>
      </c>
      <c r="M1109">
        <v>0</v>
      </c>
      <c r="O1109">
        <v>434.6</v>
      </c>
      <c r="P1109">
        <v>159.80000000000001</v>
      </c>
      <c r="Q1109">
        <v>11.73</v>
      </c>
      <c r="S1109">
        <v>12.24</v>
      </c>
      <c r="T1109">
        <v>0</v>
      </c>
      <c r="U1109">
        <v>66.040000000000006</v>
      </c>
      <c r="V1109">
        <v>606.9</v>
      </c>
      <c r="W1109">
        <v>24.39</v>
      </c>
      <c r="Y1109">
        <v>14.31</v>
      </c>
    </row>
    <row r="1110" spans="1:25" x14ac:dyDescent="0.25">
      <c r="A1110">
        <v>2007</v>
      </c>
      <c r="B1110">
        <v>123</v>
      </c>
      <c r="C1110">
        <v>900</v>
      </c>
      <c r="D1110">
        <v>483.1</v>
      </c>
      <c r="E1110">
        <v>294.3</v>
      </c>
      <c r="F1110">
        <v>10.85</v>
      </c>
      <c r="G1110">
        <v>14.68</v>
      </c>
      <c r="H1110">
        <f>AVERAGE(G1110:G1133)</f>
        <v>12.193625000000003</v>
      </c>
      <c r="I1110">
        <f>MIN(G1110:G1133)</f>
        <v>2.1789999999999998</v>
      </c>
      <c r="J1110">
        <f>MAX(F1110:F1133)</f>
        <v>14.31</v>
      </c>
      <c r="K1110">
        <v>1.1819999999999999</v>
      </c>
      <c r="L1110">
        <v>101.8</v>
      </c>
      <c r="M1110">
        <v>0</v>
      </c>
      <c r="N1110">
        <f>SUM(M1110:M1133)</f>
        <v>0</v>
      </c>
      <c r="O1110">
        <v>606.79999999999995</v>
      </c>
      <c r="P1110">
        <v>196.7</v>
      </c>
      <c r="Q1110">
        <v>11.93</v>
      </c>
      <c r="S1110">
        <v>12.11</v>
      </c>
      <c r="T1110">
        <v>0</v>
      </c>
      <c r="U1110">
        <v>62.21</v>
      </c>
      <c r="V1110">
        <v>604.4</v>
      </c>
      <c r="W1110">
        <v>24.28</v>
      </c>
      <c r="Y1110">
        <v>14.68</v>
      </c>
    </row>
    <row r="1111" spans="1:25" x14ac:dyDescent="0.25">
      <c r="A1111">
        <v>2007</v>
      </c>
      <c r="B1111">
        <v>123</v>
      </c>
      <c r="C1111">
        <v>1000</v>
      </c>
      <c r="D1111">
        <v>617.20000000000005</v>
      </c>
      <c r="E1111">
        <v>359.8</v>
      </c>
      <c r="F1111">
        <v>12.25</v>
      </c>
      <c r="G1111">
        <v>16.809999999999999</v>
      </c>
      <c r="K1111">
        <v>1.0960000000000001</v>
      </c>
      <c r="L1111">
        <v>89.6</v>
      </c>
      <c r="M1111">
        <v>0</v>
      </c>
      <c r="O1111">
        <v>767</v>
      </c>
      <c r="P1111">
        <v>224.7</v>
      </c>
      <c r="Q1111">
        <v>12.37</v>
      </c>
      <c r="S1111">
        <v>12.06</v>
      </c>
      <c r="T1111">
        <v>0</v>
      </c>
      <c r="U1111">
        <v>58.4</v>
      </c>
      <c r="V1111">
        <v>603.79999999999995</v>
      </c>
      <c r="W1111">
        <v>24.25</v>
      </c>
      <c r="Y1111">
        <v>14.72</v>
      </c>
    </row>
    <row r="1112" spans="1:25" x14ac:dyDescent="0.25">
      <c r="A1112">
        <v>2007</v>
      </c>
      <c r="B1112">
        <v>123</v>
      </c>
      <c r="C1112">
        <v>1100</v>
      </c>
      <c r="D1112">
        <v>712</v>
      </c>
      <c r="E1112">
        <v>419.5</v>
      </c>
      <c r="F1112">
        <v>12.86</v>
      </c>
      <c r="G1112">
        <v>19.09</v>
      </c>
      <c r="K1112">
        <v>1.169</v>
      </c>
      <c r="L1112">
        <v>90.7</v>
      </c>
      <c r="M1112">
        <v>0</v>
      </c>
      <c r="O1112">
        <v>879</v>
      </c>
      <c r="P1112">
        <v>232.3</v>
      </c>
      <c r="Q1112">
        <v>13</v>
      </c>
      <c r="S1112">
        <v>12.09</v>
      </c>
      <c r="T1112">
        <v>0</v>
      </c>
      <c r="U1112">
        <v>48.04</v>
      </c>
      <c r="V1112">
        <v>602.79999999999995</v>
      </c>
      <c r="W1112">
        <v>24.21</v>
      </c>
      <c r="Y1112">
        <v>14.39</v>
      </c>
    </row>
    <row r="1113" spans="1:25" x14ac:dyDescent="0.25">
      <c r="A1113">
        <v>2007</v>
      </c>
      <c r="B1113">
        <v>123</v>
      </c>
      <c r="C1113">
        <v>1200</v>
      </c>
      <c r="D1113">
        <v>776</v>
      </c>
      <c r="E1113">
        <v>440</v>
      </c>
      <c r="F1113">
        <v>12.82</v>
      </c>
      <c r="G1113">
        <v>19.84</v>
      </c>
      <c r="K1113">
        <v>1.2869999999999999</v>
      </c>
      <c r="L1113">
        <v>106.8</v>
      </c>
      <c r="M1113">
        <v>0</v>
      </c>
      <c r="O1113">
        <v>947</v>
      </c>
      <c r="P1113">
        <v>220.7</v>
      </c>
      <c r="Q1113">
        <v>13.81</v>
      </c>
      <c r="S1113">
        <v>12.42</v>
      </c>
      <c r="T1113">
        <v>0</v>
      </c>
      <c r="U1113">
        <v>43.38</v>
      </c>
      <c r="V1113">
        <v>604.70000000000005</v>
      </c>
      <c r="W1113">
        <v>24.29</v>
      </c>
      <c r="Y1113">
        <v>14.13</v>
      </c>
    </row>
    <row r="1114" spans="1:25" x14ac:dyDescent="0.25">
      <c r="A1114">
        <v>2007</v>
      </c>
      <c r="B1114">
        <v>123</v>
      </c>
      <c r="C1114">
        <v>1300</v>
      </c>
      <c r="D1114">
        <v>781</v>
      </c>
      <c r="E1114">
        <v>430.5</v>
      </c>
      <c r="F1114">
        <v>13.63</v>
      </c>
      <c r="G1114">
        <v>20.309999999999999</v>
      </c>
      <c r="K1114">
        <v>1.35</v>
      </c>
      <c r="L1114">
        <v>269.10000000000002</v>
      </c>
      <c r="M1114">
        <v>0</v>
      </c>
      <c r="O1114">
        <v>947</v>
      </c>
      <c r="P1114">
        <v>221.9</v>
      </c>
      <c r="Q1114">
        <v>14.81</v>
      </c>
      <c r="S1114">
        <v>12.64</v>
      </c>
      <c r="T1114">
        <v>0</v>
      </c>
      <c r="U1114">
        <v>46.44</v>
      </c>
      <c r="V1114">
        <v>595.5</v>
      </c>
      <c r="W1114">
        <v>23.88</v>
      </c>
      <c r="Y1114">
        <v>14.12</v>
      </c>
    </row>
    <row r="1115" spans="1:25" x14ac:dyDescent="0.25">
      <c r="A1115">
        <v>2007</v>
      </c>
      <c r="B1115">
        <v>123</v>
      </c>
      <c r="C1115">
        <v>1400</v>
      </c>
      <c r="D1115">
        <v>746</v>
      </c>
      <c r="E1115">
        <v>405.5</v>
      </c>
      <c r="F1115">
        <v>14.27</v>
      </c>
      <c r="G1115">
        <v>20.5</v>
      </c>
      <c r="K1115">
        <v>1.7410000000000001</v>
      </c>
      <c r="L1115">
        <v>239.2</v>
      </c>
      <c r="M1115">
        <v>0</v>
      </c>
      <c r="O1115">
        <v>879</v>
      </c>
      <c r="P1115">
        <v>216</v>
      </c>
      <c r="Q1115">
        <v>15.81</v>
      </c>
      <c r="S1115">
        <v>12.9</v>
      </c>
      <c r="T1115">
        <v>0</v>
      </c>
      <c r="U1115">
        <v>49.89</v>
      </c>
      <c r="V1115">
        <v>590.5</v>
      </c>
      <c r="W1115">
        <v>23.66</v>
      </c>
      <c r="Y1115">
        <v>14.22</v>
      </c>
    </row>
    <row r="1116" spans="1:25" x14ac:dyDescent="0.25">
      <c r="A1116">
        <v>2007</v>
      </c>
      <c r="B1116">
        <v>123</v>
      </c>
      <c r="C1116">
        <v>1500</v>
      </c>
      <c r="D1116">
        <v>681.1</v>
      </c>
      <c r="E1116">
        <v>373.8</v>
      </c>
      <c r="F1116">
        <v>14.31</v>
      </c>
      <c r="G1116">
        <v>20.73</v>
      </c>
      <c r="K1116">
        <v>1.788</v>
      </c>
      <c r="L1116">
        <v>354.5</v>
      </c>
      <c r="M1116">
        <v>0</v>
      </c>
      <c r="O1116">
        <v>812</v>
      </c>
      <c r="P1116">
        <v>225</v>
      </c>
      <c r="Q1116">
        <v>16.66</v>
      </c>
      <c r="S1116">
        <v>13.21</v>
      </c>
      <c r="T1116">
        <v>0</v>
      </c>
      <c r="U1116">
        <v>48.83</v>
      </c>
      <c r="V1116">
        <v>585</v>
      </c>
      <c r="W1116">
        <v>23.41</v>
      </c>
      <c r="Y1116">
        <v>14.17</v>
      </c>
    </row>
    <row r="1117" spans="1:25" x14ac:dyDescent="0.25">
      <c r="A1117">
        <v>2007</v>
      </c>
      <c r="B1117">
        <v>123</v>
      </c>
      <c r="C1117">
        <v>1600</v>
      </c>
      <c r="D1117">
        <v>560.6</v>
      </c>
      <c r="E1117">
        <v>304.7</v>
      </c>
      <c r="F1117">
        <v>14.01</v>
      </c>
      <c r="G1117">
        <v>20.96</v>
      </c>
      <c r="K1117">
        <v>1.5609999999999999</v>
      </c>
      <c r="L1117">
        <v>0</v>
      </c>
      <c r="M1117">
        <v>0</v>
      </c>
      <c r="O1117">
        <v>667.6</v>
      </c>
      <c r="P1117">
        <v>230.6</v>
      </c>
      <c r="Q1117">
        <v>17.28</v>
      </c>
      <c r="S1117">
        <v>13.54</v>
      </c>
      <c r="T1117">
        <v>0</v>
      </c>
      <c r="U1117">
        <v>45.42</v>
      </c>
      <c r="V1117">
        <v>580</v>
      </c>
      <c r="W1117">
        <v>23.19</v>
      </c>
      <c r="Y1117">
        <v>14.19</v>
      </c>
    </row>
    <row r="1118" spans="1:25" x14ac:dyDescent="0.25">
      <c r="A1118">
        <v>2007</v>
      </c>
      <c r="B1118">
        <v>123</v>
      </c>
      <c r="C1118">
        <v>1700</v>
      </c>
      <c r="D1118">
        <v>434.1</v>
      </c>
      <c r="E1118">
        <v>231.6</v>
      </c>
      <c r="F1118">
        <v>13.31</v>
      </c>
      <c r="G1118">
        <v>20.27</v>
      </c>
      <c r="K1118">
        <v>1.698</v>
      </c>
      <c r="L1118">
        <v>0</v>
      </c>
      <c r="M1118">
        <v>0</v>
      </c>
      <c r="O1118">
        <v>515.4</v>
      </c>
      <c r="P1118">
        <v>222.9</v>
      </c>
      <c r="Q1118">
        <v>17.59</v>
      </c>
      <c r="S1118">
        <v>13.82</v>
      </c>
      <c r="T1118">
        <v>0</v>
      </c>
      <c r="U1118">
        <v>44.38</v>
      </c>
      <c r="V1118">
        <v>577.79999999999995</v>
      </c>
      <c r="W1118">
        <v>23.1</v>
      </c>
      <c r="Y1118">
        <v>13.93</v>
      </c>
    </row>
    <row r="1119" spans="1:25" x14ac:dyDescent="0.25">
      <c r="A1119">
        <v>2007</v>
      </c>
      <c r="B1119">
        <v>123</v>
      </c>
      <c r="C1119">
        <v>1800</v>
      </c>
      <c r="D1119">
        <v>283.8</v>
      </c>
      <c r="E1119">
        <v>142.1</v>
      </c>
      <c r="F1119">
        <v>12.82</v>
      </c>
      <c r="G1119">
        <v>19.45</v>
      </c>
      <c r="K1119">
        <v>1.4359999999999999</v>
      </c>
      <c r="L1119">
        <v>0</v>
      </c>
      <c r="M1119">
        <v>0</v>
      </c>
      <c r="O1119">
        <v>345.1</v>
      </c>
      <c r="P1119">
        <v>187.9</v>
      </c>
      <c r="Q1119">
        <v>17.62</v>
      </c>
      <c r="S1119">
        <v>14.07</v>
      </c>
      <c r="T1119">
        <v>0</v>
      </c>
      <c r="U1119">
        <v>45.57</v>
      </c>
      <c r="V1119">
        <v>579.6</v>
      </c>
      <c r="W1119">
        <v>23.17</v>
      </c>
      <c r="Y1119">
        <v>13.65</v>
      </c>
    </row>
    <row r="1120" spans="1:25" x14ac:dyDescent="0.25">
      <c r="A1120">
        <v>2007</v>
      </c>
      <c r="B1120">
        <v>123</v>
      </c>
      <c r="C1120">
        <v>1900</v>
      </c>
      <c r="D1120">
        <v>148.4</v>
      </c>
      <c r="E1120">
        <v>53.25</v>
      </c>
      <c r="F1120">
        <v>12.43</v>
      </c>
      <c r="G1120">
        <v>18.13</v>
      </c>
      <c r="K1120">
        <v>1.1499999999999999</v>
      </c>
      <c r="L1120">
        <v>49.17</v>
      </c>
      <c r="M1120">
        <v>0</v>
      </c>
      <c r="O1120">
        <v>183.5</v>
      </c>
      <c r="P1120">
        <v>137.6</v>
      </c>
      <c r="Q1120">
        <v>17.43</v>
      </c>
      <c r="S1120">
        <v>14.23</v>
      </c>
      <c r="T1120">
        <v>0</v>
      </c>
      <c r="U1120">
        <v>50.81</v>
      </c>
      <c r="V1120">
        <v>578.1</v>
      </c>
      <c r="W1120">
        <v>23.11</v>
      </c>
      <c r="Y1120">
        <v>13.49</v>
      </c>
    </row>
    <row r="1121" spans="1:25" x14ac:dyDescent="0.25">
      <c r="A1121">
        <v>2007</v>
      </c>
      <c r="B1121">
        <v>123</v>
      </c>
      <c r="C1121">
        <v>2000</v>
      </c>
      <c r="D1121">
        <v>26.2</v>
      </c>
      <c r="E1121">
        <v>-43.69</v>
      </c>
      <c r="F1121">
        <v>10.92</v>
      </c>
      <c r="G1121">
        <v>13.93</v>
      </c>
      <c r="K1121">
        <v>0.315</v>
      </c>
      <c r="L1121">
        <v>182.1</v>
      </c>
      <c r="M1121">
        <v>0</v>
      </c>
      <c r="O1121">
        <v>27.24</v>
      </c>
      <c r="P1121">
        <v>30.31</v>
      </c>
      <c r="Q1121">
        <v>17.100000000000001</v>
      </c>
      <c r="S1121">
        <v>14.3</v>
      </c>
      <c r="T1121">
        <v>0</v>
      </c>
      <c r="U1121">
        <v>69.84</v>
      </c>
      <c r="V1121">
        <v>577.20000000000005</v>
      </c>
      <c r="W1121">
        <v>23.07</v>
      </c>
      <c r="Y1121">
        <v>13.34</v>
      </c>
    </row>
    <row r="1122" spans="1:25" x14ac:dyDescent="0.25">
      <c r="A1122">
        <v>2007</v>
      </c>
      <c r="B1122">
        <v>123</v>
      </c>
      <c r="C1122">
        <v>2200</v>
      </c>
      <c r="D1122">
        <v>-3.6819999999999999</v>
      </c>
      <c r="E1122">
        <v>-56.84</v>
      </c>
      <c r="F1122">
        <v>6.8840000000000003</v>
      </c>
      <c r="G1122">
        <v>7.99</v>
      </c>
      <c r="K1122">
        <v>0.22500000000000001</v>
      </c>
      <c r="L1122">
        <v>235.2</v>
      </c>
      <c r="M1122">
        <v>0</v>
      </c>
      <c r="O1122">
        <v>-12.22</v>
      </c>
      <c r="P1122">
        <v>-11.57</v>
      </c>
      <c r="Q1122">
        <v>16.010000000000002</v>
      </c>
      <c r="S1122">
        <v>14.21</v>
      </c>
      <c r="T1122">
        <v>0</v>
      </c>
      <c r="U1122">
        <v>85.8</v>
      </c>
      <c r="V1122">
        <v>577.4</v>
      </c>
      <c r="W1122">
        <v>23.08</v>
      </c>
      <c r="Y1122">
        <v>13.09</v>
      </c>
    </row>
    <row r="1123" spans="1:25" x14ac:dyDescent="0.25">
      <c r="A1123">
        <v>2007</v>
      </c>
      <c r="B1123">
        <v>123</v>
      </c>
      <c r="C1123">
        <v>2300</v>
      </c>
      <c r="D1123">
        <v>-3.4550000000000001</v>
      </c>
      <c r="E1123">
        <v>-45.31</v>
      </c>
      <c r="F1123">
        <v>5.8929999999999998</v>
      </c>
      <c r="G1123">
        <v>6.7969999999999997</v>
      </c>
      <c r="K1123">
        <v>0.26700000000000002</v>
      </c>
      <c r="L1123">
        <v>228.8</v>
      </c>
      <c r="M1123">
        <v>0</v>
      </c>
      <c r="O1123">
        <v>-12.17</v>
      </c>
      <c r="P1123">
        <v>-11.47</v>
      </c>
      <c r="Q1123">
        <v>15.42</v>
      </c>
      <c r="S1123">
        <v>14.14</v>
      </c>
      <c r="T1123">
        <v>0</v>
      </c>
      <c r="U1123">
        <v>87.8</v>
      </c>
      <c r="V1123">
        <v>580.5</v>
      </c>
      <c r="W1123">
        <v>23.21</v>
      </c>
      <c r="Y1123">
        <v>13.01</v>
      </c>
    </row>
    <row r="1124" spans="1:25" x14ac:dyDescent="0.25">
      <c r="A1124">
        <v>2007</v>
      </c>
      <c r="B1124">
        <v>123</v>
      </c>
      <c r="C1124">
        <v>2400</v>
      </c>
      <c r="D1124">
        <v>-2.9670000000000001</v>
      </c>
      <c r="E1124">
        <v>-38.96</v>
      </c>
      <c r="F1124">
        <v>4.8979999999999997</v>
      </c>
      <c r="G1124">
        <v>5.6079999999999997</v>
      </c>
      <c r="K1124">
        <v>0.30399999999999999</v>
      </c>
      <c r="L1124">
        <v>228.3</v>
      </c>
      <c r="M1124">
        <v>0</v>
      </c>
      <c r="O1124">
        <v>-12.14</v>
      </c>
      <c r="P1124">
        <v>-11.43</v>
      </c>
      <c r="Q1124">
        <v>14.88</v>
      </c>
      <c r="S1124">
        <v>14.02</v>
      </c>
      <c r="T1124">
        <v>0</v>
      </c>
      <c r="U1124">
        <v>90</v>
      </c>
      <c r="V1124">
        <v>587.79999999999995</v>
      </c>
      <c r="W1124">
        <v>23.54</v>
      </c>
      <c r="Y1124">
        <v>12.95</v>
      </c>
    </row>
    <row r="1125" spans="1:25" x14ac:dyDescent="0.25">
      <c r="A1125">
        <v>2007</v>
      </c>
      <c r="B1125">
        <v>124</v>
      </c>
      <c r="C1125">
        <v>100</v>
      </c>
      <c r="D1125">
        <v>-2.8119999999999998</v>
      </c>
      <c r="E1125">
        <v>-34.43</v>
      </c>
      <c r="F1125">
        <v>4.4420000000000002</v>
      </c>
      <c r="G1125">
        <v>5.0609999999999999</v>
      </c>
      <c r="K1125">
        <v>0.34200000000000003</v>
      </c>
      <c r="L1125">
        <v>233.1</v>
      </c>
      <c r="M1125">
        <v>0</v>
      </c>
      <c r="O1125">
        <v>-11.9</v>
      </c>
      <c r="P1125">
        <v>-11.21</v>
      </c>
      <c r="Q1125">
        <v>14.37</v>
      </c>
      <c r="S1125">
        <v>13.84</v>
      </c>
      <c r="T1125">
        <v>0</v>
      </c>
      <c r="U1125">
        <v>91</v>
      </c>
      <c r="V1125">
        <v>580.29999999999995</v>
      </c>
      <c r="W1125">
        <v>23.2</v>
      </c>
      <c r="Y1125">
        <v>12.9</v>
      </c>
    </row>
    <row r="1126" spans="1:25" x14ac:dyDescent="0.25">
      <c r="A1126">
        <v>2007</v>
      </c>
      <c r="B1126">
        <v>124</v>
      </c>
      <c r="C1126">
        <v>200</v>
      </c>
      <c r="D1126">
        <v>-2.9079999999999999</v>
      </c>
      <c r="E1126">
        <v>-33</v>
      </c>
      <c r="F1126">
        <v>3.6890000000000001</v>
      </c>
      <c r="G1126">
        <v>4.2149999999999999</v>
      </c>
      <c r="K1126">
        <v>0.20200000000000001</v>
      </c>
      <c r="L1126">
        <v>202.7</v>
      </c>
      <c r="M1126">
        <v>0</v>
      </c>
      <c r="O1126">
        <v>-11.67</v>
      </c>
      <c r="P1126">
        <v>-11.02</v>
      </c>
      <c r="Q1126">
        <v>13.94</v>
      </c>
      <c r="S1126">
        <v>13.69</v>
      </c>
      <c r="T1126">
        <v>0</v>
      </c>
      <c r="U1126">
        <v>92.1</v>
      </c>
      <c r="V1126">
        <v>577.79999999999995</v>
      </c>
      <c r="W1126">
        <v>23.1</v>
      </c>
      <c r="Y1126">
        <v>12.87</v>
      </c>
    </row>
    <row r="1127" spans="1:25" x14ac:dyDescent="0.25">
      <c r="A1127">
        <v>2007</v>
      </c>
      <c r="B1127">
        <v>124</v>
      </c>
      <c r="C1127">
        <v>300</v>
      </c>
      <c r="D1127">
        <v>-2.6360000000000001</v>
      </c>
      <c r="E1127">
        <v>-34.619999999999997</v>
      </c>
      <c r="F1127">
        <v>2.1179999999999999</v>
      </c>
      <c r="G1127">
        <v>2.59</v>
      </c>
      <c r="K1127">
        <v>0.158</v>
      </c>
      <c r="L1127">
        <v>203.8</v>
      </c>
      <c r="M1127">
        <v>0</v>
      </c>
      <c r="O1127">
        <v>-11.53</v>
      </c>
      <c r="P1127">
        <v>-10.87</v>
      </c>
      <c r="Q1127">
        <v>13.49</v>
      </c>
      <c r="S1127">
        <v>13.47</v>
      </c>
      <c r="T1127">
        <v>0</v>
      </c>
      <c r="U1127">
        <v>92.4</v>
      </c>
      <c r="V1127">
        <v>574.29999999999995</v>
      </c>
      <c r="W1127">
        <v>22.94</v>
      </c>
      <c r="Y1127">
        <v>12.84</v>
      </c>
    </row>
    <row r="1128" spans="1:25" x14ac:dyDescent="0.25">
      <c r="A1128">
        <v>2007</v>
      </c>
      <c r="B1128">
        <v>124</v>
      </c>
      <c r="C1128">
        <v>400</v>
      </c>
      <c r="D1128">
        <v>-2.48</v>
      </c>
      <c r="E1128">
        <v>-33.81</v>
      </c>
      <c r="F1128">
        <v>1.647</v>
      </c>
      <c r="G1128">
        <v>2.1789999999999998</v>
      </c>
      <c r="K1128">
        <v>9.1999999999999998E-2</v>
      </c>
      <c r="L1128">
        <v>27.84</v>
      </c>
      <c r="M1128">
        <v>0</v>
      </c>
      <c r="O1128">
        <v>-11.51</v>
      </c>
      <c r="P1128">
        <v>-10.85</v>
      </c>
      <c r="Q1128">
        <v>13.11</v>
      </c>
      <c r="S1128">
        <v>13.29</v>
      </c>
      <c r="T1128">
        <v>0</v>
      </c>
      <c r="U1128">
        <v>91.3</v>
      </c>
      <c r="V1128">
        <v>569.9</v>
      </c>
      <c r="W1128">
        <v>22.74</v>
      </c>
      <c r="Y1128">
        <v>12.82</v>
      </c>
    </row>
    <row r="1129" spans="1:25" x14ac:dyDescent="0.25">
      <c r="A1129">
        <v>2007</v>
      </c>
      <c r="B1129">
        <v>124</v>
      </c>
      <c r="C1129">
        <v>500</v>
      </c>
      <c r="D1129">
        <v>1.204</v>
      </c>
      <c r="E1129">
        <v>-29.67</v>
      </c>
      <c r="F1129">
        <v>1.698</v>
      </c>
      <c r="G1129">
        <v>2.2930000000000001</v>
      </c>
      <c r="K1129">
        <v>0.23899999999999999</v>
      </c>
      <c r="L1129">
        <v>157.4</v>
      </c>
      <c r="M1129">
        <v>0</v>
      </c>
      <c r="O1129">
        <v>-6.41</v>
      </c>
      <c r="P1129">
        <v>-9.11</v>
      </c>
      <c r="Q1129">
        <v>12.73</v>
      </c>
      <c r="S1129">
        <v>13.1</v>
      </c>
      <c r="T1129">
        <v>0</v>
      </c>
      <c r="U1129">
        <v>90.4</v>
      </c>
      <c r="V1129">
        <v>577.4</v>
      </c>
      <c r="W1129">
        <v>23.08</v>
      </c>
      <c r="Y1129">
        <v>12.8</v>
      </c>
    </row>
    <row r="1130" spans="1:25" x14ac:dyDescent="0.25">
      <c r="A1130">
        <v>2007</v>
      </c>
      <c r="B1130">
        <v>124</v>
      </c>
      <c r="C1130">
        <v>600</v>
      </c>
      <c r="D1130">
        <v>42.34</v>
      </c>
      <c r="E1130">
        <v>7</v>
      </c>
      <c r="F1130">
        <v>4.9450000000000003</v>
      </c>
      <c r="G1130">
        <v>5.6239999999999997</v>
      </c>
      <c r="K1130">
        <v>0.78400000000000003</v>
      </c>
      <c r="L1130">
        <v>89.2</v>
      </c>
      <c r="M1130">
        <v>0</v>
      </c>
      <c r="O1130">
        <v>49.23</v>
      </c>
      <c r="P1130">
        <v>13.64</v>
      </c>
      <c r="Q1130">
        <v>12.41</v>
      </c>
      <c r="S1130">
        <v>12.95</v>
      </c>
      <c r="T1130">
        <v>0</v>
      </c>
      <c r="U1130">
        <v>90.3</v>
      </c>
      <c r="V1130">
        <v>580.6</v>
      </c>
      <c r="W1130">
        <v>23.22</v>
      </c>
      <c r="Y1130">
        <v>12.89</v>
      </c>
    </row>
    <row r="1131" spans="1:25" x14ac:dyDescent="0.25">
      <c r="A1131">
        <v>2007</v>
      </c>
      <c r="B1131">
        <v>124</v>
      </c>
      <c r="C1131">
        <v>700</v>
      </c>
      <c r="D1131">
        <v>83.8</v>
      </c>
      <c r="E1131">
        <v>41.2</v>
      </c>
      <c r="F1131">
        <v>6.6120000000000001</v>
      </c>
      <c r="G1131">
        <v>7.35</v>
      </c>
      <c r="K1131">
        <v>1.401</v>
      </c>
      <c r="L1131">
        <v>97.4</v>
      </c>
      <c r="M1131">
        <v>0</v>
      </c>
      <c r="O1131">
        <v>96.4</v>
      </c>
      <c r="P1131">
        <v>21.13</v>
      </c>
      <c r="Q1131">
        <v>12.2</v>
      </c>
      <c r="S1131">
        <v>12.82</v>
      </c>
      <c r="T1131">
        <v>0</v>
      </c>
      <c r="U1131">
        <v>90.3</v>
      </c>
      <c r="V1131">
        <v>576.6</v>
      </c>
      <c r="W1131">
        <v>23.04</v>
      </c>
      <c r="Y1131">
        <v>13.38</v>
      </c>
    </row>
    <row r="1132" spans="1:25" x14ac:dyDescent="0.25">
      <c r="A1132">
        <v>2007</v>
      </c>
      <c r="B1132">
        <v>124</v>
      </c>
      <c r="C1132">
        <v>800</v>
      </c>
      <c r="D1132">
        <v>157.1</v>
      </c>
      <c r="E1132">
        <v>83.3</v>
      </c>
      <c r="F1132">
        <v>7.48</v>
      </c>
      <c r="G1132">
        <v>8.66</v>
      </c>
      <c r="K1132">
        <v>1.7929999999999999</v>
      </c>
      <c r="L1132">
        <v>100.8</v>
      </c>
      <c r="M1132">
        <v>0</v>
      </c>
      <c r="O1132">
        <v>191.8</v>
      </c>
      <c r="P1132">
        <v>49.81</v>
      </c>
      <c r="Q1132">
        <v>12.19</v>
      </c>
      <c r="S1132">
        <v>12.69</v>
      </c>
      <c r="T1132">
        <v>0</v>
      </c>
      <c r="U1132">
        <v>85.2</v>
      </c>
      <c r="V1132">
        <v>571.79999999999995</v>
      </c>
      <c r="W1132">
        <v>22.83</v>
      </c>
      <c r="Y1132">
        <v>13.65</v>
      </c>
    </row>
    <row r="1133" spans="1:25" x14ac:dyDescent="0.25">
      <c r="A1133">
        <v>2007</v>
      </c>
      <c r="B1133">
        <v>124</v>
      </c>
      <c r="C1133">
        <v>900</v>
      </c>
      <c r="D1133">
        <v>225.1</v>
      </c>
      <c r="E1133">
        <v>124.6</v>
      </c>
      <c r="F1133">
        <v>7.9</v>
      </c>
      <c r="G1133">
        <v>9.58</v>
      </c>
      <c r="H1133">
        <f>AVERAGE(G1133:G1156)</f>
        <v>9.8250000000000011</v>
      </c>
      <c r="I1133">
        <f>MIN(G1133:G1156)</f>
        <v>1.5880000000000001</v>
      </c>
      <c r="J1133">
        <f>MAX(F1133:F1156)</f>
        <v>11.61</v>
      </c>
      <c r="K1133">
        <v>2.0449999999999999</v>
      </c>
      <c r="L1133">
        <v>96.1</v>
      </c>
      <c r="M1133">
        <v>0</v>
      </c>
      <c r="N1133">
        <f>SUM(M1133:M1156)</f>
        <v>0</v>
      </c>
      <c r="O1133">
        <v>277.89999999999998</v>
      </c>
      <c r="P1133">
        <v>77.099999999999994</v>
      </c>
      <c r="Q1133">
        <v>12.33</v>
      </c>
      <c r="S1133">
        <v>12.52</v>
      </c>
      <c r="T1133">
        <v>0</v>
      </c>
      <c r="U1133">
        <v>79.7</v>
      </c>
      <c r="V1133">
        <v>570.5</v>
      </c>
      <c r="W1133">
        <v>22.77</v>
      </c>
      <c r="Y1133">
        <v>13.81</v>
      </c>
    </row>
    <row r="1134" spans="1:25" x14ac:dyDescent="0.25">
      <c r="A1134">
        <v>2007</v>
      </c>
      <c r="B1134">
        <v>124</v>
      </c>
      <c r="C1134">
        <v>1000</v>
      </c>
      <c r="D1134">
        <v>409.8</v>
      </c>
      <c r="E1134">
        <v>238</v>
      </c>
      <c r="F1134">
        <v>8.74</v>
      </c>
      <c r="G1134">
        <v>10.97</v>
      </c>
      <c r="K1134">
        <v>1.8280000000000001</v>
      </c>
      <c r="L1134">
        <v>95.3</v>
      </c>
      <c r="M1134">
        <v>0</v>
      </c>
      <c r="O1134">
        <v>510.7</v>
      </c>
      <c r="P1134">
        <v>148.4</v>
      </c>
      <c r="Q1134">
        <v>12.6</v>
      </c>
      <c r="S1134">
        <v>12.5</v>
      </c>
      <c r="T1134">
        <v>0</v>
      </c>
      <c r="U1134">
        <v>74.599999999999994</v>
      </c>
      <c r="V1134">
        <v>571.1</v>
      </c>
      <c r="W1134">
        <v>22.79</v>
      </c>
      <c r="Y1134">
        <v>14.2</v>
      </c>
    </row>
    <row r="1135" spans="1:25" x14ac:dyDescent="0.25">
      <c r="A1135">
        <v>2007</v>
      </c>
      <c r="B1135">
        <v>124</v>
      </c>
      <c r="C1135">
        <v>1100</v>
      </c>
      <c r="D1135">
        <v>720</v>
      </c>
      <c r="E1135">
        <v>411.7</v>
      </c>
      <c r="F1135">
        <v>9.82</v>
      </c>
      <c r="G1135">
        <v>13.16</v>
      </c>
      <c r="K1135">
        <v>2.274</v>
      </c>
      <c r="L1135">
        <v>108</v>
      </c>
      <c r="M1135">
        <v>0</v>
      </c>
      <c r="O1135">
        <v>883</v>
      </c>
      <c r="P1135">
        <v>229.7</v>
      </c>
      <c r="Q1135">
        <v>13.05</v>
      </c>
      <c r="S1135">
        <v>12.54</v>
      </c>
      <c r="T1135">
        <v>0</v>
      </c>
      <c r="U1135">
        <v>65.239999999999995</v>
      </c>
      <c r="V1135">
        <v>570.6</v>
      </c>
      <c r="W1135">
        <v>22.77</v>
      </c>
      <c r="Y1135">
        <v>14.55</v>
      </c>
    </row>
    <row r="1136" spans="1:25" x14ac:dyDescent="0.25">
      <c r="A1136">
        <v>2007</v>
      </c>
      <c r="B1136">
        <v>124</v>
      </c>
      <c r="C1136">
        <v>1200</v>
      </c>
      <c r="D1136">
        <v>768</v>
      </c>
      <c r="E1136">
        <v>423.8</v>
      </c>
      <c r="F1136">
        <v>10.130000000000001</v>
      </c>
      <c r="G1136">
        <v>13.56</v>
      </c>
      <c r="K1136">
        <v>2.2999999999999998</v>
      </c>
      <c r="L1136">
        <v>110.6</v>
      </c>
      <c r="M1136">
        <v>0</v>
      </c>
      <c r="O1136">
        <v>931</v>
      </c>
      <c r="P1136">
        <v>215.3</v>
      </c>
      <c r="Q1136">
        <v>13.75</v>
      </c>
      <c r="S1136">
        <v>12.58</v>
      </c>
      <c r="T1136">
        <v>0</v>
      </c>
      <c r="U1136">
        <v>64.81</v>
      </c>
      <c r="V1136">
        <v>570.4</v>
      </c>
      <c r="W1136">
        <v>22.76</v>
      </c>
      <c r="Y1136">
        <v>14.25</v>
      </c>
    </row>
    <row r="1137" spans="1:25" x14ac:dyDescent="0.25">
      <c r="A1137">
        <v>2007</v>
      </c>
      <c r="B1137">
        <v>124</v>
      </c>
      <c r="C1137">
        <v>1300</v>
      </c>
      <c r="D1137">
        <v>791</v>
      </c>
      <c r="E1137">
        <v>429.2</v>
      </c>
      <c r="F1137">
        <v>10.79</v>
      </c>
      <c r="G1137">
        <v>14.5</v>
      </c>
      <c r="K1137">
        <v>2.032</v>
      </c>
      <c r="L1137">
        <v>105.4</v>
      </c>
      <c r="M1137">
        <v>0</v>
      </c>
      <c r="O1137">
        <v>950</v>
      </c>
      <c r="P1137">
        <v>219.2</v>
      </c>
      <c r="Q1137">
        <v>14.62</v>
      </c>
      <c r="S1137">
        <v>12.71</v>
      </c>
      <c r="T1137">
        <v>0</v>
      </c>
      <c r="U1137">
        <v>63.25</v>
      </c>
      <c r="V1137">
        <v>579.4</v>
      </c>
      <c r="W1137">
        <v>23.16</v>
      </c>
      <c r="Y1137">
        <v>14.25</v>
      </c>
    </row>
    <row r="1138" spans="1:25" x14ac:dyDescent="0.25">
      <c r="A1138">
        <v>2007</v>
      </c>
      <c r="B1138">
        <v>124</v>
      </c>
      <c r="C1138">
        <v>1400</v>
      </c>
      <c r="D1138">
        <v>767</v>
      </c>
      <c r="E1138">
        <v>407.6</v>
      </c>
      <c r="F1138">
        <v>11.37</v>
      </c>
      <c r="G1138">
        <v>15.44</v>
      </c>
      <c r="K1138">
        <v>1.9850000000000001</v>
      </c>
      <c r="L1138">
        <v>98.2</v>
      </c>
      <c r="M1138">
        <v>0</v>
      </c>
      <c r="O1138">
        <v>895</v>
      </c>
      <c r="P1138">
        <v>215.5</v>
      </c>
      <c r="Q1138">
        <v>15.48</v>
      </c>
      <c r="S1138">
        <v>12.9</v>
      </c>
      <c r="T1138">
        <v>0</v>
      </c>
      <c r="U1138">
        <v>60.98</v>
      </c>
      <c r="V1138">
        <v>582.1</v>
      </c>
      <c r="W1138">
        <v>23.29</v>
      </c>
      <c r="Y1138">
        <v>14.32</v>
      </c>
    </row>
    <row r="1139" spans="1:25" x14ac:dyDescent="0.25">
      <c r="A1139">
        <v>2007</v>
      </c>
      <c r="B1139">
        <v>124</v>
      </c>
      <c r="C1139">
        <v>1500</v>
      </c>
      <c r="D1139">
        <v>697.4</v>
      </c>
      <c r="E1139">
        <v>377.3</v>
      </c>
      <c r="F1139">
        <v>11.59</v>
      </c>
      <c r="G1139">
        <v>15.72</v>
      </c>
      <c r="K1139">
        <v>1.875</v>
      </c>
      <c r="L1139">
        <v>114</v>
      </c>
      <c r="M1139">
        <v>0</v>
      </c>
      <c r="O1139">
        <v>825</v>
      </c>
      <c r="P1139">
        <v>224.3</v>
      </c>
      <c r="Q1139">
        <v>16.23</v>
      </c>
      <c r="S1139">
        <v>13.17</v>
      </c>
      <c r="T1139">
        <v>0</v>
      </c>
      <c r="U1139">
        <v>60.77</v>
      </c>
      <c r="V1139">
        <v>584.5</v>
      </c>
      <c r="W1139">
        <v>23.39</v>
      </c>
      <c r="Y1139">
        <v>14.27</v>
      </c>
    </row>
    <row r="1140" spans="1:25" x14ac:dyDescent="0.25">
      <c r="A1140">
        <v>2007</v>
      </c>
      <c r="B1140">
        <v>124</v>
      </c>
      <c r="C1140">
        <v>1600</v>
      </c>
      <c r="D1140">
        <v>590.70000000000005</v>
      </c>
      <c r="E1140">
        <v>318.7</v>
      </c>
      <c r="F1140">
        <v>11.61</v>
      </c>
      <c r="G1140">
        <v>15.74</v>
      </c>
      <c r="K1140">
        <v>1.982</v>
      </c>
      <c r="L1140">
        <v>111.7</v>
      </c>
      <c r="M1140">
        <v>0</v>
      </c>
      <c r="O1140">
        <v>696.4</v>
      </c>
      <c r="P1140">
        <v>240.6</v>
      </c>
      <c r="Q1140">
        <v>16.77</v>
      </c>
      <c r="S1140">
        <v>13.45</v>
      </c>
      <c r="T1140">
        <v>0</v>
      </c>
      <c r="U1140">
        <v>60.79</v>
      </c>
      <c r="V1140">
        <v>592</v>
      </c>
      <c r="W1140">
        <v>23.73</v>
      </c>
      <c r="Y1140">
        <v>14.32</v>
      </c>
    </row>
    <row r="1141" spans="1:25" x14ac:dyDescent="0.25">
      <c r="A1141">
        <v>2007</v>
      </c>
      <c r="B1141">
        <v>124</v>
      </c>
      <c r="C1141">
        <v>1700</v>
      </c>
      <c r="D1141">
        <v>455.5</v>
      </c>
      <c r="E1141">
        <v>242</v>
      </c>
      <c r="F1141">
        <v>11.48</v>
      </c>
      <c r="G1141">
        <v>15.62</v>
      </c>
      <c r="K1141">
        <v>1.8129999999999999</v>
      </c>
      <c r="L1141">
        <v>106.6</v>
      </c>
      <c r="M1141">
        <v>0</v>
      </c>
      <c r="O1141">
        <v>538.1</v>
      </c>
      <c r="P1141">
        <v>229.6</v>
      </c>
      <c r="Q1141">
        <v>17.04</v>
      </c>
      <c r="S1141">
        <v>13.7</v>
      </c>
      <c r="T1141">
        <v>0</v>
      </c>
      <c r="U1141">
        <v>60.54</v>
      </c>
      <c r="V1141">
        <v>584.9</v>
      </c>
      <c r="W1141">
        <v>23.41</v>
      </c>
      <c r="Y1141">
        <v>14</v>
      </c>
    </row>
    <row r="1142" spans="1:25" x14ac:dyDescent="0.25">
      <c r="A1142">
        <v>2007</v>
      </c>
      <c r="B1142">
        <v>124</v>
      </c>
      <c r="C1142">
        <v>1800</v>
      </c>
      <c r="D1142">
        <v>302.7</v>
      </c>
      <c r="E1142">
        <v>149.9</v>
      </c>
      <c r="F1142">
        <v>10.88</v>
      </c>
      <c r="G1142">
        <v>14.98</v>
      </c>
      <c r="K1142">
        <v>2.077</v>
      </c>
      <c r="L1142">
        <v>118</v>
      </c>
      <c r="M1142">
        <v>0</v>
      </c>
      <c r="O1142">
        <v>362.2</v>
      </c>
      <c r="P1142">
        <v>193.5</v>
      </c>
      <c r="Q1142">
        <v>17.079999999999998</v>
      </c>
      <c r="S1142">
        <v>13.91</v>
      </c>
      <c r="T1142">
        <v>0</v>
      </c>
      <c r="U1142">
        <v>60.11</v>
      </c>
      <c r="V1142">
        <v>580.5</v>
      </c>
      <c r="W1142">
        <v>23.22</v>
      </c>
      <c r="Y1142">
        <v>13.69</v>
      </c>
    </row>
    <row r="1143" spans="1:25" x14ac:dyDescent="0.25">
      <c r="A1143">
        <v>2007</v>
      </c>
      <c r="B1143">
        <v>124</v>
      </c>
      <c r="C1143">
        <v>1900</v>
      </c>
      <c r="D1143">
        <v>149.19999999999999</v>
      </c>
      <c r="E1143">
        <v>51.12</v>
      </c>
      <c r="F1143">
        <v>10.14</v>
      </c>
      <c r="G1143">
        <v>13.83</v>
      </c>
      <c r="K1143">
        <v>1.988</v>
      </c>
      <c r="L1143">
        <v>114.4</v>
      </c>
      <c r="M1143">
        <v>0</v>
      </c>
      <c r="O1143">
        <v>181.6</v>
      </c>
      <c r="P1143">
        <v>129.9</v>
      </c>
      <c r="Q1143">
        <v>16.87</v>
      </c>
      <c r="S1143">
        <v>14.05</v>
      </c>
      <c r="T1143">
        <v>0</v>
      </c>
      <c r="U1143">
        <v>62.61</v>
      </c>
      <c r="V1143">
        <v>588.4</v>
      </c>
      <c r="W1143">
        <v>23.57</v>
      </c>
      <c r="Y1143">
        <v>13.53</v>
      </c>
    </row>
    <row r="1144" spans="1:25" x14ac:dyDescent="0.25">
      <c r="A1144">
        <v>2007</v>
      </c>
      <c r="B1144">
        <v>124</v>
      </c>
      <c r="C1144">
        <v>2000</v>
      </c>
      <c r="D1144">
        <v>27.27</v>
      </c>
      <c r="E1144">
        <v>-45.63</v>
      </c>
      <c r="F1144">
        <v>9.64</v>
      </c>
      <c r="G1144">
        <v>12.17</v>
      </c>
      <c r="K1144">
        <v>0.82899999999999996</v>
      </c>
      <c r="L1144">
        <v>123.5</v>
      </c>
      <c r="M1144">
        <v>0</v>
      </c>
      <c r="O1144">
        <v>25.17</v>
      </c>
      <c r="P1144">
        <v>20.8</v>
      </c>
      <c r="Q1144">
        <v>16.52</v>
      </c>
      <c r="S1144">
        <v>14.13</v>
      </c>
      <c r="T1144">
        <v>0</v>
      </c>
      <c r="U1144">
        <v>72.5</v>
      </c>
      <c r="V1144">
        <v>588.29999999999995</v>
      </c>
      <c r="W1144">
        <v>23.56</v>
      </c>
      <c r="Y1144">
        <v>13.4</v>
      </c>
    </row>
    <row r="1145" spans="1:25" x14ac:dyDescent="0.25">
      <c r="A1145">
        <v>2007</v>
      </c>
      <c r="B1145">
        <v>124</v>
      </c>
      <c r="C1145">
        <v>2100</v>
      </c>
      <c r="D1145">
        <v>-2.8109999999999999</v>
      </c>
      <c r="E1145">
        <v>-64.680000000000007</v>
      </c>
      <c r="F1145">
        <v>8.3000000000000007</v>
      </c>
      <c r="G1145">
        <v>10.47</v>
      </c>
      <c r="K1145">
        <v>1.1140000000000001</v>
      </c>
      <c r="L1145">
        <v>122.6</v>
      </c>
      <c r="M1145">
        <v>0</v>
      </c>
      <c r="O1145">
        <v>-11.04</v>
      </c>
      <c r="P1145">
        <v>-11.03</v>
      </c>
      <c r="Q1145">
        <v>16.059999999999999</v>
      </c>
      <c r="S1145">
        <v>14.14</v>
      </c>
      <c r="T1145">
        <v>0</v>
      </c>
      <c r="U1145">
        <v>74.8</v>
      </c>
      <c r="V1145">
        <v>588.79999999999995</v>
      </c>
      <c r="W1145">
        <v>23.59</v>
      </c>
      <c r="Y1145">
        <v>13.29</v>
      </c>
    </row>
    <row r="1146" spans="1:25" x14ac:dyDescent="0.25">
      <c r="A1146">
        <v>2007</v>
      </c>
      <c r="B1146">
        <v>124</v>
      </c>
      <c r="C1146">
        <v>2300</v>
      </c>
      <c r="D1146">
        <v>-3.234</v>
      </c>
      <c r="E1146">
        <v>-51.33</v>
      </c>
      <c r="F1146">
        <v>5.2439999999999998</v>
      </c>
      <c r="G1146">
        <v>6.1859999999999999</v>
      </c>
      <c r="K1146">
        <v>0.41299999999999998</v>
      </c>
      <c r="L1146">
        <v>21.18</v>
      </c>
      <c r="M1146">
        <v>0</v>
      </c>
      <c r="O1146">
        <v>-12.17</v>
      </c>
      <c r="P1146">
        <v>-11.48</v>
      </c>
      <c r="Q1146">
        <v>15.07</v>
      </c>
      <c r="S1146">
        <v>14.02</v>
      </c>
      <c r="T1146">
        <v>0</v>
      </c>
      <c r="U1146">
        <v>87</v>
      </c>
      <c r="V1146">
        <v>600.1</v>
      </c>
      <c r="W1146">
        <v>24.09</v>
      </c>
      <c r="Y1146">
        <v>13.13</v>
      </c>
    </row>
    <row r="1147" spans="1:25" x14ac:dyDescent="0.25">
      <c r="A1147">
        <v>2007</v>
      </c>
      <c r="B1147">
        <v>124</v>
      </c>
      <c r="C1147">
        <v>2400</v>
      </c>
      <c r="D1147">
        <v>-2.88</v>
      </c>
      <c r="E1147">
        <v>-42.41</v>
      </c>
      <c r="F1147">
        <v>3.5659999999999998</v>
      </c>
      <c r="G1147">
        <v>4.26</v>
      </c>
      <c r="K1147">
        <v>0.29099999999999998</v>
      </c>
      <c r="L1147">
        <v>210.2</v>
      </c>
      <c r="M1147">
        <v>0</v>
      </c>
      <c r="O1147">
        <v>-12.13</v>
      </c>
      <c r="P1147">
        <v>-11.44</v>
      </c>
      <c r="Q1147">
        <v>14.57</v>
      </c>
      <c r="S1147">
        <v>13.88</v>
      </c>
      <c r="T1147">
        <v>0</v>
      </c>
      <c r="U1147">
        <v>89.6</v>
      </c>
      <c r="V1147">
        <v>599.70000000000005</v>
      </c>
      <c r="W1147">
        <v>24.07</v>
      </c>
      <c r="Y1147">
        <v>13.06</v>
      </c>
    </row>
    <row r="1148" spans="1:25" x14ac:dyDescent="0.25">
      <c r="A1148">
        <v>2007</v>
      </c>
      <c r="B1148">
        <v>125</v>
      </c>
      <c r="C1148">
        <v>100</v>
      </c>
      <c r="D1148">
        <v>-2.7090000000000001</v>
      </c>
      <c r="E1148">
        <v>-39.549999999999997</v>
      </c>
      <c r="F1148">
        <v>2.5750000000000002</v>
      </c>
      <c r="G1148">
        <v>3.1669999999999998</v>
      </c>
      <c r="K1148">
        <v>0.14499999999999999</v>
      </c>
      <c r="L1148">
        <v>199.9</v>
      </c>
      <c r="M1148">
        <v>0</v>
      </c>
      <c r="O1148">
        <v>-11.85</v>
      </c>
      <c r="P1148">
        <v>-11.18</v>
      </c>
      <c r="Q1148">
        <v>14.12</v>
      </c>
      <c r="S1148">
        <v>13.76</v>
      </c>
      <c r="T1148">
        <v>0</v>
      </c>
      <c r="U1148">
        <v>90.7</v>
      </c>
      <c r="V1148">
        <v>602.6</v>
      </c>
      <c r="W1148">
        <v>24.2</v>
      </c>
      <c r="Y1148">
        <v>12.99</v>
      </c>
    </row>
    <row r="1149" spans="1:25" x14ac:dyDescent="0.25">
      <c r="A1149">
        <v>2007</v>
      </c>
      <c r="B1149">
        <v>125</v>
      </c>
      <c r="C1149">
        <v>200</v>
      </c>
      <c r="D1149">
        <v>-2.4860000000000002</v>
      </c>
      <c r="E1149">
        <v>-37.299999999999997</v>
      </c>
      <c r="F1149">
        <v>1.796</v>
      </c>
      <c r="G1149">
        <v>2.3780000000000001</v>
      </c>
      <c r="K1149">
        <v>0.14899999999999999</v>
      </c>
      <c r="L1149">
        <v>203.8</v>
      </c>
      <c r="M1149">
        <v>0</v>
      </c>
      <c r="O1149">
        <v>-11.59</v>
      </c>
      <c r="P1149">
        <v>-10.95</v>
      </c>
      <c r="Q1149">
        <v>13.66</v>
      </c>
      <c r="S1149">
        <v>13.57</v>
      </c>
      <c r="T1149">
        <v>0</v>
      </c>
      <c r="U1149">
        <v>90.5</v>
      </c>
      <c r="V1149">
        <v>616.6</v>
      </c>
      <c r="W1149">
        <v>24.81</v>
      </c>
      <c r="Y1149">
        <v>12.94</v>
      </c>
    </row>
    <row r="1150" spans="1:25" x14ac:dyDescent="0.25">
      <c r="A1150">
        <v>2007</v>
      </c>
      <c r="B1150">
        <v>125</v>
      </c>
      <c r="C1150">
        <v>300</v>
      </c>
      <c r="D1150">
        <v>-2.3079999999999998</v>
      </c>
      <c r="E1150">
        <v>-35.32</v>
      </c>
      <c r="F1150">
        <v>1.282</v>
      </c>
      <c r="G1150">
        <v>1.86</v>
      </c>
      <c r="K1150">
        <v>0.19400000000000001</v>
      </c>
      <c r="L1150">
        <v>198.3</v>
      </c>
      <c r="M1150">
        <v>0</v>
      </c>
      <c r="O1150">
        <v>-11.53</v>
      </c>
      <c r="P1150">
        <v>-10.88</v>
      </c>
      <c r="Q1150">
        <v>13.25</v>
      </c>
      <c r="S1150">
        <v>13.41</v>
      </c>
      <c r="T1150">
        <v>0</v>
      </c>
      <c r="U1150">
        <v>90.4</v>
      </c>
      <c r="V1150">
        <v>606</v>
      </c>
      <c r="W1150">
        <v>24.35</v>
      </c>
      <c r="Y1150">
        <v>12.89</v>
      </c>
    </row>
    <row r="1151" spans="1:25" x14ac:dyDescent="0.25">
      <c r="A1151">
        <v>2007</v>
      </c>
      <c r="B1151">
        <v>125</v>
      </c>
      <c r="C1151">
        <v>400</v>
      </c>
      <c r="D1151">
        <v>-2.202</v>
      </c>
      <c r="E1151">
        <v>-31.76</v>
      </c>
      <c r="F1151">
        <v>1.2250000000000001</v>
      </c>
      <c r="G1151">
        <v>1.8120000000000001</v>
      </c>
      <c r="K1151">
        <v>0.27400000000000002</v>
      </c>
      <c r="L1151">
        <v>206.6</v>
      </c>
      <c r="M1151">
        <v>0</v>
      </c>
      <c r="O1151">
        <v>-11.51</v>
      </c>
      <c r="P1151">
        <v>-10.86</v>
      </c>
      <c r="Q1151">
        <v>12.87</v>
      </c>
      <c r="S1151">
        <v>13.23</v>
      </c>
      <c r="T1151">
        <v>0</v>
      </c>
      <c r="U1151">
        <v>90.3</v>
      </c>
      <c r="V1151">
        <v>594.5</v>
      </c>
      <c r="W1151">
        <v>23.84</v>
      </c>
      <c r="Y1151">
        <v>12.85</v>
      </c>
    </row>
    <row r="1152" spans="1:25" x14ac:dyDescent="0.25">
      <c r="A1152">
        <v>2007</v>
      </c>
      <c r="B1152">
        <v>125</v>
      </c>
      <c r="C1152">
        <v>500</v>
      </c>
      <c r="D1152">
        <v>3.7959999999999998</v>
      </c>
      <c r="E1152">
        <v>-24.59</v>
      </c>
      <c r="F1152">
        <v>1.0329999999999999</v>
      </c>
      <c r="G1152">
        <v>1.5880000000000001</v>
      </c>
      <c r="K1152">
        <v>0.21199999999999999</v>
      </c>
      <c r="L1152">
        <v>197.3</v>
      </c>
      <c r="M1152">
        <v>0</v>
      </c>
      <c r="O1152">
        <v>-3.1469999999999998</v>
      </c>
      <c r="P1152">
        <v>-8.0500000000000007</v>
      </c>
      <c r="Q1152">
        <v>12.51</v>
      </c>
      <c r="S1152">
        <v>13.03</v>
      </c>
      <c r="T1152">
        <v>0</v>
      </c>
      <c r="U1152">
        <v>90.7</v>
      </c>
      <c r="V1152">
        <v>593.20000000000005</v>
      </c>
      <c r="W1152">
        <v>23.78</v>
      </c>
      <c r="Y1152">
        <v>12.82</v>
      </c>
    </row>
    <row r="1153" spans="1:25" x14ac:dyDescent="0.25">
      <c r="A1153">
        <v>2007</v>
      </c>
      <c r="B1153">
        <v>125</v>
      </c>
      <c r="C1153">
        <v>600</v>
      </c>
      <c r="D1153">
        <v>51.6</v>
      </c>
      <c r="E1153">
        <v>13.8</v>
      </c>
      <c r="F1153">
        <v>2.6240000000000001</v>
      </c>
      <c r="G1153">
        <v>3.3090000000000002</v>
      </c>
      <c r="K1153">
        <v>0.17</v>
      </c>
      <c r="L1153">
        <v>188</v>
      </c>
      <c r="M1153">
        <v>0</v>
      </c>
      <c r="O1153">
        <v>64.97</v>
      </c>
      <c r="P1153">
        <v>21.23</v>
      </c>
      <c r="Q1153">
        <v>12.22</v>
      </c>
      <c r="S1153">
        <v>12.88</v>
      </c>
      <c r="T1153">
        <v>0</v>
      </c>
      <c r="U1153">
        <v>89.4</v>
      </c>
      <c r="V1153">
        <v>596.29999999999995</v>
      </c>
      <c r="W1153">
        <v>23.92</v>
      </c>
      <c r="Y1153">
        <v>12.94</v>
      </c>
    </row>
    <row r="1154" spans="1:25" x14ac:dyDescent="0.25">
      <c r="A1154">
        <v>2007</v>
      </c>
      <c r="B1154">
        <v>125</v>
      </c>
      <c r="C1154">
        <v>700</v>
      </c>
      <c r="D1154">
        <v>156.69999999999999</v>
      </c>
      <c r="E1154">
        <v>112.9</v>
      </c>
      <c r="F1154">
        <v>7.08</v>
      </c>
      <c r="G1154">
        <v>8.3699999999999992</v>
      </c>
      <c r="K1154">
        <v>0.90600000000000003</v>
      </c>
      <c r="L1154">
        <v>125.6</v>
      </c>
      <c r="M1154">
        <v>0</v>
      </c>
      <c r="O1154">
        <v>229.2</v>
      </c>
      <c r="P1154">
        <v>85.5</v>
      </c>
      <c r="Q1154">
        <v>12.1</v>
      </c>
      <c r="S1154">
        <v>12.81</v>
      </c>
      <c r="T1154">
        <v>0</v>
      </c>
      <c r="U1154">
        <v>83.8</v>
      </c>
      <c r="V1154">
        <v>589.6</v>
      </c>
      <c r="W1154">
        <v>23.62</v>
      </c>
      <c r="Y1154">
        <v>13.71</v>
      </c>
    </row>
    <row r="1155" spans="1:25" x14ac:dyDescent="0.25">
      <c r="A1155">
        <v>2007</v>
      </c>
      <c r="B1155">
        <v>125</v>
      </c>
      <c r="C1155">
        <v>800</v>
      </c>
      <c r="D1155">
        <v>298.60000000000002</v>
      </c>
      <c r="E1155">
        <v>191.2</v>
      </c>
      <c r="F1155">
        <v>9.98</v>
      </c>
      <c r="G1155">
        <v>12.34</v>
      </c>
      <c r="K1155">
        <v>1.365</v>
      </c>
      <c r="L1155">
        <v>122.3</v>
      </c>
      <c r="M1155">
        <v>0</v>
      </c>
      <c r="O1155">
        <v>409.7</v>
      </c>
      <c r="P1155">
        <v>141.5</v>
      </c>
      <c r="Q1155">
        <v>12.14</v>
      </c>
      <c r="S1155">
        <v>12.71</v>
      </c>
      <c r="T1155">
        <v>0</v>
      </c>
      <c r="U1155">
        <v>74.400000000000006</v>
      </c>
      <c r="V1155">
        <v>584.6</v>
      </c>
      <c r="W1155">
        <v>23.4</v>
      </c>
      <c r="Y1155">
        <v>14.22</v>
      </c>
    </row>
    <row r="1156" spans="1:25" x14ac:dyDescent="0.25">
      <c r="A1156">
        <v>2007</v>
      </c>
      <c r="B1156">
        <v>125</v>
      </c>
      <c r="C1156">
        <v>900</v>
      </c>
      <c r="D1156">
        <v>457.4</v>
      </c>
      <c r="E1156">
        <v>278.60000000000002</v>
      </c>
      <c r="F1156">
        <v>11.15</v>
      </c>
      <c r="G1156">
        <v>14.79</v>
      </c>
      <c r="H1156">
        <f>AVERAGE(G1156:G1179)</f>
        <v>14.322083333333332</v>
      </c>
      <c r="I1156">
        <f>MIN(G1156:G1179)</f>
        <v>9.75</v>
      </c>
      <c r="J1156">
        <f>MAX(F1156:F1179)</f>
        <v>12.99</v>
      </c>
      <c r="K1156">
        <v>1.0820000000000001</v>
      </c>
      <c r="L1156">
        <v>169.1</v>
      </c>
      <c r="M1156">
        <v>0</v>
      </c>
      <c r="N1156">
        <f>SUM(M1156:M1179)</f>
        <v>0</v>
      </c>
      <c r="O1156">
        <v>587.9</v>
      </c>
      <c r="P1156">
        <v>186.3</v>
      </c>
      <c r="Q1156">
        <v>12.4</v>
      </c>
      <c r="S1156">
        <v>12.64</v>
      </c>
      <c r="T1156">
        <v>0</v>
      </c>
      <c r="U1156">
        <v>64.3</v>
      </c>
      <c r="V1156">
        <v>580.4</v>
      </c>
      <c r="W1156">
        <v>23.21</v>
      </c>
      <c r="Y1156">
        <v>14.61</v>
      </c>
    </row>
    <row r="1157" spans="1:25" x14ac:dyDescent="0.25">
      <c r="A1157">
        <v>2007</v>
      </c>
      <c r="B1157">
        <v>125</v>
      </c>
      <c r="C1157">
        <v>1000</v>
      </c>
      <c r="D1157">
        <v>554.4</v>
      </c>
      <c r="E1157">
        <v>315.5</v>
      </c>
      <c r="F1157">
        <v>11.87</v>
      </c>
      <c r="G1157">
        <v>16.07</v>
      </c>
      <c r="K1157">
        <v>1.577</v>
      </c>
      <c r="L1157">
        <v>200.1</v>
      </c>
      <c r="M1157">
        <v>0</v>
      </c>
      <c r="O1157">
        <v>692</v>
      </c>
      <c r="P1157">
        <v>204.5</v>
      </c>
      <c r="Q1157">
        <v>12.89</v>
      </c>
      <c r="S1157">
        <v>12.59</v>
      </c>
      <c r="T1157">
        <v>0</v>
      </c>
      <c r="U1157">
        <v>60.51</v>
      </c>
      <c r="V1157">
        <v>577.9</v>
      </c>
      <c r="W1157">
        <v>23.1</v>
      </c>
      <c r="Y1157">
        <v>14.64</v>
      </c>
    </row>
    <row r="1158" spans="1:25" x14ac:dyDescent="0.25">
      <c r="A1158">
        <v>2007</v>
      </c>
      <c r="B1158">
        <v>125</v>
      </c>
      <c r="C1158">
        <v>1100</v>
      </c>
      <c r="D1158">
        <v>574.20000000000005</v>
      </c>
      <c r="E1158">
        <v>320.8</v>
      </c>
      <c r="F1158">
        <v>12.31</v>
      </c>
      <c r="G1158">
        <v>17.309999999999999</v>
      </c>
      <c r="K1158">
        <v>1.6779999999999999</v>
      </c>
      <c r="L1158">
        <v>213</v>
      </c>
      <c r="M1158">
        <v>0</v>
      </c>
      <c r="O1158">
        <v>715</v>
      </c>
      <c r="P1158">
        <v>202.8</v>
      </c>
      <c r="Q1158">
        <v>13.55</v>
      </c>
      <c r="S1158">
        <v>12.58</v>
      </c>
      <c r="T1158">
        <v>0</v>
      </c>
      <c r="U1158">
        <v>55.3</v>
      </c>
      <c r="V1158">
        <v>578.29999999999995</v>
      </c>
      <c r="W1158">
        <v>23.12</v>
      </c>
      <c r="Y1158">
        <v>14.4</v>
      </c>
    </row>
    <row r="1159" spans="1:25" x14ac:dyDescent="0.25">
      <c r="A1159">
        <v>2007</v>
      </c>
      <c r="B1159">
        <v>125</v>
      </c>
      <c r="C1159">
        <v>1200</v>
      </c>
      <c r="D1159">
        <v>575.5</v>
      </c>
      <c r="E1159">
        <v>313.60000000000002</v>
      </c>
      <c r="F1159">
        <v>12.51</v>
      </c>
      <c r="G1159">
        <v>17.73</v>
      </c>
      <c r="K1159">
        <v>1.7549999999999999</v>
      </c>
      <c r="L1159">
        <v>210.4</v>
      </c>
      <c r="M1159">
        <v>0</v>
      </c>
      <c r="O1159">
        <v>717</v>
      </c>
      <c r="P1159">
        <v>198.4</v>
      </c>
      <c r="Q1159">
        <v>14.31</v>
      </c>
      <c r="S1159">
        <v>12.71</v>
      </c>
      <c r="T1159">
        <v>0</v>
      </c>
      <c r="U1159">
        <v>54.01</v>
      </c>
      <c r="V1159">
        <v>579.70000000000005</v>
      </c>
      <c r="W1159">
        <v>23.18</v>
      </c>
      <c r="Y1159">
        <v>14.29</v>
      </c>
    </row>
    <row r="1160" spans="1:25" x14ac:dyDescent="0.25">
      <c r="A1160">
        <v>2007</v>
      </c>
      <c r="B1160">
        <v>125</v>
      </c>
      <c r="C1160">
        <v>1300</v>
      </c>
      <c r="D1160">
        <v>609.5</v>
      </c>
      <c r="E1160">
        <v>329.6</v>
      </c>
      <c r="F1160">
        <v>12.77</v>
      </c>
      <c r="G1160">
        <v>18.36</v>
      </c>
      <c r="K1160">
        <v>2.0470000000000002</v>
      </c>
      <c r="L1160">
        <v>209.7</v>
      </c>
      <c r="M1160">
        <v>0</v>
      </c>
      <c r="O1160">
        <v>751</v>
      </c>
      <c r="P1160">
        <v>207</v>
      </c>
      <c r="Q1160">
        <v>15.05</v>
      </c>
      <c r="S1160">
        <v>12.9</v>
      </c>
      <c r="T1160">
        <v>0</v>
      </c>
      <c r="U1160">
        <v>51.86</v>
      </c>
      <c r="V1160">
        <v>581.9</v>
      </c>
      <c r="W1160">
        <v>23.28</v>
      </c>
      <c r="Y1160">
        <v>14.28</v>
      </c>
    </row>
    <row r="1161" spans="1:25" x14ac:dyDescent="0.25">
      <c r="A1161">
        <v>2007</v>
      </c>
      <c r="B1161">
        <v>125</v>
      </c>
      <c r="C1161">
        <v>1400</v>
      </c>
      <c r="D1161">
        <v>680.1</v>
      </c>
      <c r="E1161">
        <v>373.2</v>
      </c>
      <c r="F1161">
        <v>12.88</v>
      </c>
      <c r="G1161">
        <v>18.64</v>
      </c>
      <c r="K1161">
        <v>2.6160000000000001</v>
      </c>
      <c r="L1161">
        <v>213.6</v>
      </c>
      <c r="M1161">
        <v>0</v>
      </c>
      <c r="O1161">
        <v>828</v>
      </c>
      <c r="P1161">
        <v>233.9</v>
      </c>
      <c r="Q1161">
        <v>15.73</v>
      </c>
      <c r="S1161">
        <v>13.14</v>
      </c>
      <c r="T1161">
        <v>0</v>
      </c>
      <c r="U1161">
        <v>50.98</v>
      </c>
      <c r="V1161">
        <v>579</v>
      </c>
      <c r="W1161">
        <v>23.15</v>
      </c>
      <c r="Y1161">
        <v>14.36</v>
      </c>
    </row>
    <row r="1162" spans="1:25" x14ac:dyDescent="0.25">
      <c r="A1162">
        <v>2007</v>
      </c>
      <c r="B1162">
        <v>125</v>
      </c>
      <c r="C1162">
        <v>1500</v>
      </c>
      <c r="D1162">
        <v>426.4</v>
      </c>
      <c r="E1162">
        <v>222.6</v>
      </c>
      <c r="F1162">
        <v>12.73</v>
      </c>
      <c r="G1162">
        <v>17.899999999999999</v>
      </c>
      <c r="K1162">
        <v>2.6850000000000001</v>
      </c>
      <c r="L1162">
        <v>209.2</v>
      </c>
      <c r="M1162">
        <v>0</v>
      </c>
      <c r="O1162">
        <v>535.9</v>
      </c>
      <c r="P1162">
        <v>160.1</v>
      </c>
      <c r="Q1162">
        <v>16.3</v>
      </c>
      <c r="S1162">
        <v>13.34</v>
      </c>
      <c r="T1162">
        <v>0</v>
      </c>
      <c r="U1162">
        <v>54.66</v>
      </c>
      <c r="V1162">
        <v>571.4</v>
      </c>
      <c r="W1162">
        <v>22.81</v>
      </c>
      <c r="Y1162">
        <v>14.08</v>
      </c>
    </row>
    <row r="1163" spans="1:25" x14ac:dyDescent="0.25">
      <c r="A1163">
        <v>2007</v>
      </c>
      <c r="B1163">
        <v>125</v>
      </c>
      <c r="C1163">
        <v>1600</v>
      </c>
      <c r="D1163">
        <v>365.1</v>
      </c>
      <c r="E1163">
        <v>184.9</v>
      </c>
      <c r="F1163">
        <v>12.99</v>
      </c>
      <c r="G1163">
        <v>17.88</v>
      </c>
      <c r="K1163">
        <v>2.0840000000000001</v>
      </c>
      <c r="L1163">
        <v>189.8</v>
      </c>
      <c r="M1163">
        <v>0</v>
      </c>
      <c r="O1163">
        <v>451</v>
      </c>
      <c r="P1163">
        <v>138.6</v>
      </c>
      <c r="Q1163">
        <v>16.64</v>
      </c>
      <c r="S1163">
        <v>13.59</v>
      </c>
      <c r="T1163">
        <v>0</v>
      </c>
      <c r="U1163">
        <v>56.84</v>
      </c>
      <c r="V1163">
        <v>571.9</v>
      </c>
      <c r="W1163">
        <v>22.83</v>
      </c>
      <c r="Y1163">
        <v>14.01</v>
      </c>
    </row>
    <row r="1164" spans="1:25" x14ac:dyDescent="0.25">
      <c r="A1164">
        <v>2007</v>
      </c>
      <c r="B1164">
        <v>125</v>
      </c>
      <c r="C1164">
        <v>1700</v>
      </c>
      <c r="D1164">
        <v>211.7</v>
      </c>
      <c r="E1164">
        <v>92.4</v>
      </c>
      <c r="F1164">
        <v>12.84</v>
      </c>
      <c r="G1164">
        <v>17.47</v>
      </c>
      <c r="K1164">
        <v>2.0259999999999998</v>
      </c>
      <c r="L1164">
        <v>199.5</v>
      </c>
      <c r="M1164">
        <v>0</v>
      </c>
      <c r="O1164">
        <v>262.8</v>
      </c>
      <c r="P1164">
        <v>76.8</v>
      </c>
      <c r="Q1164">
        <v>16.84</v>
      </c>
      <c r="S1164">
        <v>13.83</v>
      </c>
      <c r="T1164">
        <v>0</v>
      </c>
      <c r="U1164">
        <v>58.53</v>
      </c>
      <c r="V1164">
        <v>566.1</v>
      </c>
      <c r="W1164">
        <v>22.57</v>
      </c>
      <c r="Y1164">
        <v>13.84</v>
      </c>
    </row>
    <row r="1165" spans="1:25" x14ac:dyDescent="0.25">
      <c r="A1165">
        <v>2007</v>
      </c>
      <c r="B1165">
        <v>125</v>
      </c>
      <c r="C1165">
        <v>1800</v>
      </c>
      <c r="D1165">
        <v>65.709999999999994</v>
      </c>
      <c r="E1165">
        <v>7.26</v>
      </c>
      <c r="F1165">
        <v>12.13</v>
      </c>
      <c r="G1165">
        <v>16.07</v>
      </c>
      <c r="K1165">
        <v>1.6479999999999999</v>
      </c>
      <c r="L1165">
        <v>208.3</v>
      </c>
      <c r="M1165">
        <v>0</v>
      </c>
      <c r="O1165">
        <v>81.5</v>
      </c>
      <c r="P1165">
        <v>16.920000000000002</v>
      </c>
      <c r="Q1165">
        <v>16.82</v>
      </c>
      <c r="S1165">
        <v>13.97</v>
      </c>
      <c r="T1165">
        <v>0</v>
      </c>
      <c r="U1165">
        <v>62.82</v>
      </c>
      <c r="V1165">
        <v>573.1</v>
      </c>
      <c r="W1165">
        <v>22.88</v>
      </c>
      <c r="Y1165">
        <v>13.58</v>
      </c>
    </row>
    <row r="1166" spans="1:25" x14ac:dyDescent="0.25">
      <c r="A1166">
        <v>2007</v>
      </c>
      <c r="B1166">
        <v>125</v>
      </c>
      <c r="C1166">
        <v>1900</v>
      </c>
      <c r="D1166">
        <v>44.38</v>
      </c>
      <c r="E1166">
        <v>-2.9910000000000001</v>
      </c>
      <c r="F1166">
        <v>12</v>
      </c>
      <c r="G1166">
        <v>15.21</v>
      </c>
      <c r="K1166">
        <v>1.123</v>
      </c>
      <c r="L1166">
        <v>210</v>
      </c>
      <c r="M1166">
        <v>0</v>
      </c>
      <c r="O1166">
        <v>51.27</v>
      </c>
      <c r="P1166">
        <v>7.78</v>
      </c>
      <c r="Q1166">
        <v>16.62</v>
      </c>
      <c r="S1166">
        <v>14.14</v>
      </c>
      <c r="T1166">
        <v>0</v>
      </c>
      <c r="U1166">
        <v>68.62</v>
      </c>
      <c r="V1166">
        <v>574.20000000000005</v>
      </c>
      <c r="W1166">
        <v>22.93</v>
      </c>
      <c r="Y1166">
        <v>13.47</v>
      </c>
    </row>
    <row r="1167" spans="1:25" x14ac:dyDescent="0.25">
      <c r="A1167">
        <v>2007</v>
      </c>
      <c r="B1167">
        <v>125</v>
      </c>
      <c r="C1167">
        <v>2000</v>
      </c>
      <c r="D1167">
        <v>7.4</v>
      </c>
      <c r="E1167">
        <v>-20.8</v>
      </c>
      <c r="F1167">
        <v>11.6</v>
      </c>
      <c r="G1167">
        <v>14.68</v>
      </c>
      <c r="K1167">
        <v>1.516</v>
      </c>
      <c r="L1167">
        <v>215.2</v>
      </c>
      <c r="M1167">
        <v>0</v>
      </c>
      <c r="O1167">
        <v>-0.16200000000000001</v>
      </c>
      <c r="P1167">
        <v>-7.91</v>
      </c>
      <c r="Q1167">
        <v>16.399999999999999</v>
      </c>
      <c r="S1167">
        <v>14.24</v>
      </c>
      <c r="T1167">
        <v>0</v>
      </c>
      <c r="U1167">
        <v>69.290000000000006</v>
      </c>
      <c r="V1167">
        <v>576</v>
      </c>
      <c r="W1167">
        <v>23.01</v>
      </c>
      <c r="Y1167">
        <v>13.35</v>
      </c>
    </row>
    <row r="1168" spans="1:25" x14ac:dyDescent="0.25">
      <c r="A1168">
        <v>2007</v>
      </c>
      <c r="B1168">
        <v>125</v>
      </c>
      <c r="C1168">
        <v>2100</v>
      </c>
      <c r="D1168">
        <v>-1.117</v>
      </c>
      <c r="E1168">
        <v>-22.15</v>
      </c>
      <c r="F1168">
        <v>11.22</v>
      </c>
      <c r="G1168">
        <v>14.41</v>
      </c>
      <c r="K1168">
        <v>2.2719999999999998</v>
      </c>
      <c r="L1168">
        <v>210.6</v>
      </c>
      <c r="M1168">
        <v>0</v>
      </c>
      <c r="O1168">
        <v>-11.9</v>
      </c>
      <c r="P1168">
        <v>-11.47</v>
      </c>
      <c r="Q1168">
        <v>16.079999999999998</v>
      </c>
      <c r="S1168">
        <v>14.23</v>
      </c>
      <c r="T1168">
        <v>0</v>
      </c>
      <c r="U1168">
        <v>67.91</v>
      </c>
      <c r="V1168">
        <v>576.20000000000005</v>
      </c>
      <c r="W1168">
        <v>23.02</v>
      </c>
      <c r="Y1168">
        <v>13.25</v>
      </c>
    </row>
    <row r="1169" spans="1:25" x14ac:dyDescent="0.25">
      <c r="A1169">
        <v>2007</v>
      </c>
      <c r="B1169">
        <v>125</v>
      </c>
      <c r="C1169">
        <v>2200</v>
      </c>
      <c r="D1169">
        <v>-1.2589999999999999</v>
      </c>
      <c r="E1169">
        <v>-17.899999999999999</v>
      </c>
      <c r="F1169">
        <v>11.37</v>
      </c>
      <c r="G1169">
        <v>14.51</v>
      </c>
      <c r="K1169">
        <v>2.7639999999999998</v>
      </c>
      <c r="L1169">
        <v>212.5</v>
      </c>
      <c r="M1169">
        <v>0</v>
      </c>
      <c r="O1169">
        <v>-12.17</v>
      </c>
      <c r="P1169">
        <v>-11.47</v>
      </c>
      <c r="Q1169">
        <v>15.84</v>
      </c>
      <c r="S1169">
        <v>14.24</v>
      </c>
      <c r="T1169">
        <v>0</v>
      </c>
      <c r="U1169">
        <v>68.489999999999995</v>
      </c>
      <c r="V1169">
        <v>579.9</v>
      </c>
      <c r="W1169">
        <v>23.19</v>
      </c>
      <c r="Y1169">
        <v>13.16</v>
      </c>
    </row>
    <row r="1170" spans="1:25" x14ac:dyDescent="0.25">
      <c r="A1170">
        <v>2007</v>
      </c>
      <c r="B1170">
        <v>125</v>
      </c>
      <c r="C1170">
        <v>2400</v>
      </c>
      <c r="D1170">
        <v>-0.69199999999999995</v>
      </c>
      <c r="E1170">
        <v>-13.78</v>
      </c>
      <c r="F1170">
        <v>11.06</v>
      </c>
      <c r="G1170">
        <v>14</v>
      </c>
      <c r="K1170">
        <v>3.3889999999999998</v>
      </c>
      <c r="L1170">
        <v>221.3</v>
      </c>
      <c r="M1170">
        <v>0</v>
      </c>
      <c r="O1170">
        <v>-12.17</v>
      </c>
      <c r="P1170">
        <v>-11.48</v>
      </c>
      <c r="Q1170">
        <v>15.33</v>
      </c>
      <c r="S1170">
        <v>14.14</v>
      </c>
      <c r="T1170">
        <v>0</v>
      </c>
      <c r="U1170">
        <v>69.92</v>
      </c>
      <c r="V1170">
        <v>580.5</v>
      </c>
      <c r="W1170">
        <v>23.21</v>
      </c>
      <c r="Y1170">
        <v>13.02</v>
      </c>
    </row>
    <row r="1171" spans="1:25" x14ac:dyDescent="0.25">
      <c r="A1171">
        <v>2007</v>
      </c>
      <c r="B1171">
        <v>126</v>
      </c>
      <c r="C1171">
        <v>100</v>
      </c>
      <c r="D1171">
        <v>-0.82799999999999996</v>
      </c>
      <c r="E1171">
        <v>-13.35</v>
      </c>
      <c r="F1171">
        <v>10.58</v>
      </c>
      <c r="G1171">
        <v>13.24</v>
      </c>
      <c r="K1171">
        <v>4.4829999999999997</v>
      </c>
      <c r="L1171">
        <v>225.8</v>
      </c>
      <c r="M1171">
        <v>0</v>
      </c>
      <c r="O1171">
        <v>-12.17</v>
      </c>
      <c r="P1171">
        <v>-11.48</v>
      </c>
      <c r="Q1171">
        <v>15.1</v>
      </c>
      <c r="S1171">
        <v>14.04</v>
      </c>
      <c r="T1171">
        <v>0</v>
      </c>
      <c r="U1171">
        <v>72.099999999999994</v>
      </c>
      <c r="V1171">
        <v>581</v>
      </c>
      <c r="W1171">
        <v>23.24</v>
      </c>
      <c r="Y1171">
        <v>12.96</v>
      </c>
    </row>
    <row r="1172" spans="1:25" x14ac:dyDescent="0.25">
      <c r="A1172">
        <v>2007</v>
      </c>
      <c r="B1172">
        <v>126</v>
      </c>
      <c r="C1172">
        <v>200</v>
      </c>
      <c r="D1172">
        <v>-1.371</v>
      </c>
      <c r="E1172">
        <v>-28.42</v>
      </c>
      <c r="F1172">
        <v>10.29</v>
      </c>
      <c r="G1172">
        <v>12.28</v>
      </c>
      <c r="K1172">
        <v>3.7690000000000001</v>
      </c>
      <c r="L1172">
        <v>226.9</v>
      </c>
      <c r="M1172">
        <v>0</v>
      </c>
      <c r="O1172">
        <v>-12.18</v>
      </c>
      <c r="P1172">
        <v>-11.47</v>
      </c>
      <c r="Q1172">
        <v>14.9</v>
      </c>
      <c r="S1172">
        <v>13.95</v>
      </c>
      <c r="T1172">
        <v>0</v>
      </c>
      <c r="U1172">
        <v>78.3</v>
      </c>
      <c r="V1172">
        <v>582.29999999999995</v>
      </c>
      <c r="W1172">
        <v>23.29</v>
      </c>
      <c r="Y1172">
        <v>12.92</v>
      </c>
    </row>
    <row r="1173" spans="1:25" x14ac:dyDescent="0.25">
      <c r="A1173">
        <v>2007</v>
      </c>
      <c r="B1173">
        <v>126</v>
      </c>
      <c r="C1173">
        <v>300</v>
      </c>
      <c r="D1173">
        <v>-1.7929999999999999</v>
      </c>
      <c r="E1173">
        <v>-38.06</v>
      </c>
      <c r="F1173">
        <v>9.5399999999999991</v>
      </c>
      <c r="G1173">
        <v>11.32</v>
      </c>
      <c r="K1173">
        <v>3.137</v>
      </c>
      <c r="L1173">
        <v>227.4</v>
      </c>
      <c r="M1173">
        <v>0</v>
      </c>
      <c r="O1173">
        <v>-12.17</v>
      </c>
      <c r="P1173">
        <v>-11.47</v>
      </c>
      <c r="Q1173">
        <v>14.72</v>
      </c>
      <c r="S1173">
        <v>13.89</v>
      </c>
      <c r="T1173">
        <v>0</v>
      </c>
      <c r="U1173">
        <v>79.900000000000006</v>
      </c>
      <c r="V1173">
        <v>582.9</v>
      </c>
      <c r="W1173">
        <v>23.32</v>
      </c>
      <c r="Y1173">
        <v>12.89</v>
      </c>
    </row>
    <row r="1174" spans="1:25" x14ac:dyDescent="0.25">
      <c r="A1174">
        <v>2007</v>
      </c>
      <c r="B1174">
        <v>126</v>
      </c>
      <c r="C1174">
        <v>400</v>
      </c>
      <c r="D1174">
        <v>-1.7529999999999999</v>
      </c>
      <c r="E1174">
        <v>-37.69</v>
      </c>
      <c r="F1174">
        <v>8.6999999999999993</v>
      </c>
      <c r="G1174">
        <v>10.53</v>
      </c>
      <c r="K1174">
        <v>3.113</v>
      </c>
      <c r="L1174">
        <v>226.4</v>
      </c>
      <c r="M1174">
        <v>0</v>
      </c>
      <c r="O1174">
        <v>-12.17</v>
      </c>
      <c r="P1174">
        <v>-11.48</v>
      </c>
      <c r="Q1174">
        <v>14.45</v>
      </c>
      <c r="S1174">
        <v>13.77</v>
      </c>
      <c r="T1174">
        <v>0</v>
      </c>
      <c r="U1174">
        <v>78.8</v>
      </c>
      <c r="V1174">
        <v>582.70000000000005</v>
      </c>
      <c r="W1174">
        <v>23.31</v>
      </c>
      <c r="Y1174">
        <v>12.86</v>
      </c>
    </row>
    <row r="1175" spans="1:25" x14ac:dyDescent="0.25">
      <c r="A1175">
        <v>2007</v>
      </c>
      <c r="B1175">
        <v>126</v>
      </c>
      <c r="C1175">
        <v>500</v>
      </c>
      <c r="D1175">
        <v>2.0190000000000001</v>
      </c>
      <c r="E1175">
        <v>-37.89</v>
      </c>
      <c r="F1175">
        <v>7.94</v>
      </c>
      <c r="G1175">
        <v>9.86</v>
      </c>
      <c r="K1175">
        <v>2.8410000000000002</v>
      </c>
      <c r="L1175">
        <v>226.3</v>
      </c>
      <c r="M1175">
        <v>0</v>
      </c>
      <c r="O1175">
        <v>-6.851</v>
      </c>
      <c r="P1175">
        <v>-9.7200000000000006</v>
      </c>
      <c r="Q1175">
        <v>14.19</v>
      </c>
      <c r="S1175">
        <v>13.66</v>
      </c>
      <c r="T1175">
        <v>0</v>
      </c>
      <c r="U1175">
        <v>77.099999999999994</v>
      </c>
      <c r="V1175">
        <v>581</v>
      </c>
      <c r="W1175">
        <v>23.24</v>
      </c>
      <c r="Y1175">
        <v>12.84</v>
      </c>
    </row>
    <row r="1176" spans="1:25" x14ac:dyDescent="0.25">
      <c r="A1176">
        <v>2007</v>
      </c>
      <c r="B1176">
        <v>126</v>
      </c>
      <c r="C1176">
        <v>600</v>
      </c>
      <c r="D1176">
        <v>43.26</v>
      </c>
      <c r="E1176">
        <v>-11.83</v>
      </c>
      <c r="F1176">
        <v>7.63</v>
      </c>
      <c r="G1176">
        <v>9.75</v>
      </c>
      <c r="K1176">
        <v>2.93</v>
      </c>
      <c r="L1176">
        <v>226.6</v>
      </c>
      <c r="M1176">
        <v>0</v>
      </c>
      <c r="O1176">
        <v>47.33</v>
      </c>
      <c r="P1176">
        <v>9.4700000000000006</v>
      </c>
      <c r="Q1176">
        <v>13.99</v>
      </c>
      <c r="S1176">
        <v>13.61</v>
      </c>
      <c r="T1176">
        <v>0</v>
      </c>
      <c r="U1176">
        <v>74.8</v>
      </c>
      <c r="V1176">
        <v>588</v>
      </c>
      <c r="W1176">
        <v>23.55</v>
      </c>
      <c r="Y1176">
        <v>12.88</v>
      </c>
    </row>
    <row r="1177" spans="1:25" x14ac:dyDescent="0.25">
      <c r="A1177">
        <v>2007</v>
      </c>
      <c r="B1177">
        <v>126</v>
      </c>
      <c r="C1177">
        <v>700</v>
      </c>
      <c r="D1177">
        <v>101.4</v>
      </c>
      <c r="E1177">
        <v>31.69</v>
      </c>
      <c r="F1177">
        <v>7.75</v>
      </c>
      <c r="G1177">
        <v>10.050000000000001</v>
      </c>
      <c r="K1177">
        <v>3.1320000000000001</v>
      </c>
      <c r="L1177">
        <v>225.2</v>
      </c>
      <c r="M1177">
        <v>0</v>
      </c>
      <c r="O1177">
        <v>123.4</v>
      </c>
      <c r="P1177">
        <v>32.909999999999997</v>
      </c>
      <c r="Q1177">
        <v>13.79</v>
      </c>
      <c r="S1177">
        <v>13.53</v>
      </c>
      <c r="T1177">
        <v>0</v>
      </c>
      <c r="U1177">
        <v>73</v>
      </c>
      <c r="V1177">
        <v>585.5</v>
      </c>
      <c r="W1177">
        <v>23.44</v>
      </c>
      <c r="Y1177">
        <v>13.45</v>
      </c>
    </row>
    <row r="1178" spans="1:25" x14ac:dyDescent="0.25">
      <c r="A1178">
        <v>2007</v>
      </c>
      <c r="B1178">
        <v>126</v>
      </c>
      <c r="C1178">
        <v>800</v>
      </c>
      <c r="D1178">
        <v>204.4</v>
      </c>
      <c r="E1178">
        <v>110.3</v>
      </c>
      <c r="F1178">
        <v>8</v>
      </c>
      <c r="G1178">
        <v>10.8</v>
      </c>
      <c r="K1178">
        <v>3.4969999999999999</v>
      </c>
      <c r="L1178">
        <v>226.5</v>
      </c>
      <c r="M1178">
        <v>0</v>
      </c>
      <c r="O1178">
        <v>268</v>
      </c>
      <c r="P1178">
        <v>79.599999999999994</v>
      </c>
      <c r="Q1178">
        <v>13.67</v>
      </c>
      <c r="S1178">
        <v>13.4</v>
      </c>
      <c r="T1178">
        <v>0</v>
      </c>
      <c r="U1178">
        <v>68.19</v>
      </c>
      <c r="V1178">
        <v>572.9</v>
      </c>
      <c r="W1178">
        <v>22.87</v>
      </c>
      <c r="Y1178">
        <v>13.89</v>
      </c>
    </row>
    <row r="1179" spans="1:25" x14ac:dyDescent="0.25">
      <c r="A1179">
        <v>2007</v>
      </c>
      <c r="B1179">
        <v>126</v>
      </c>
      <c r="C1179">
        <v>900</v>
      </c>
      <c r="D1179">
        <v>147.30000000000001</v>
      </c>
      <c r="E1179">
        <v>71.099999999999994</v>
      </c>
      <c r="F1179">
        <v>8.1199999999999992</v>
      </c>
      <c r="G1179">
        <v>10.87</v>
      </c>
      <c r="H1179">
        <f>AVERAGE(G1179:G1202)</f>
        <v>10.037083333333332</v>
      </c>
      <c r="I1179">
        <f>MIN(G1179:G1202)</f>
        <v>7.68</v>
      </c>
      <c r="J1179">
        <f>MAX(F1179:F1202)</f>
        <v>9.4499999999999993</v>
      </c>
      <c r="K1179">
        <v>3.6619999999999999</v>
      </c>
      <c r="L1179">
        <v>226.3</v>
      </c>
      <c r="M1179">
        <v>0</v>
      </c>
      <c r="N1179">
        <f>SUM(M1179:M1202)</f>
        <v>1.2000000000000002</v>
      </c>
      <c r="O1179">
        <v>190.2</v>
      </c>
      <c r="P1179">
        <v>50.23</v>
      </c>
      <c r="Q1179">
        <v>13.7</v>
      </c>
      <c r="S1179">
        <v>13.34</v>
      </c>
      <c r="T1179">
        <v>0</v>
      </c>
      <c r="U1179">
        <v>68.88</v>
      </c>
      <c r="V1179">
        <v>578.29999999999995</v>
      </c>
      <c r="W1179">
        <v>23.11</v>
      </c>
      <c r="Y1179">
        <v>13.75</v>
      </c>
    </row>
    <row r="1180" spans="1:25" x14ac:dyDescent="0.25">
      <c r="A1180">
        <v>2007</v>
      </c>
      <c r="B1180">
        <v>126</v>
      </c>
      <c r="C1180">
        <v>1000</v>
      </c>
      <c r="D1180">
        <v>104</v>
      </c>
      <c r="E1180">
        <v>48.2</v>
      </c>
      <c r="F1180">
        <v>7.89</v>
      </c>
      <c r="G1180">
        <v>9.66</v>
      </c>
      <c r="K1180">
        <v>2.5819999999999999</v>
      </c>
      <c r="L1180">
        <v>227.9</v>
      </c>
      <c r="M1180">
        <v>0.4</v>
      </c>
      <c r="O1180">
        <v>139.80000000000001</v>
      </c>
      <c r="P1180">
        <v>27.53</v>
      </c>
      <c r="Q1180">
        <v>13.72</v>
      </c>
      <c r="S1180">
        <v>13.22</v>
      </c>
      <c r="T1180">
        <v>0</v>
      </c>
      <c r="U1180">
        <v>78.8</v>
      </c>
      <c r="V1180">
        <v>578.79999999999995</v>
      </c>
      <c r="W1180">
        <v>23.14</v>
      </c>
      <c r="Y1180">
        <v>13.67</v>
      </c>
    </row>
    <row r="1181" spans="1:25" x14ac:dyDescent="0.25">
      <c r="A1181">
        <v>2007</v>
      </c>
      <c r="B1181">
        <v>126</v>
      </c>
      <c r="C1181">
        <v>1100</v>
      </c>
      <c r="D1181">
        <v>260.3</v>
      </c>
      <c r="E1181">
        <v>150.1</v>
      </c>
      <c r="F1181">
        <v>8.42</v>
      </c>
      <c r="G1181">
        <v>10.7</v>
      </c>
      <c r="K1181">
        <v>2.76</v>
      </c>
      <c r="L1181">
        <v>227.5</v>
      </c>
      <c r="M1181">
        <v>0</v>
      </c>
      <c r="O1181">
        <v>334.7</v>
      </c>
      <c r="P1181">
        <v>75.099999999999994</v>
      </c>
      <c r="Q1181">
        <v>13.71</v>
      </c>
      <c r="S1181">
        <v>13.16</v>
      </c>
      <c r="T1181">
        <v>0</v>
      </c>
      <c r="U1181">
        <v>73.900000000000006</v>
      </c>
      <c r="V1181">
        <v>577.70000000000005</v>
      </c>
      <c r="W1181">
        <v>23.09</v>
      </c>
      <c r="Y1181">
        <v>13.87</v>
      </c>
    </row>
    <row r="1182" spans="1:25" x14ac:dyDescent="0.25">
      <c r="A1182">
        <v>2007</v>
      </c>
      <c r="B1182">
        <v>126</v>
      </c>
      <c r="C1182">
        <v>1200</v>
      </c>
      <c r="D1182">
        <v>198.9</v>
      </c>
      <c r="E1182">
        <v>107.5</v>
      </c>
      <c r="F1182">
        <v>8.14</v>
      </c>
      <c r="G1182">
        <v>10.69</v>
      </c>
      <c r="K1182">
        <v>3.5</v>
      </c>
      <c r="L1182">
        <v>226.8</v>
      </c>
      <c r="M1182">
        <v>0</v>
      </c>
      <c r="O1182">
        <v>259.10000000000002</v>
      </c>
      <c r="P1182">
        <v>64.58</v>
      </c>
      <c r="Q1182">
        <v>13.87</v>
      </c>
      <c r="S1182">
        <v>13.16</v>
      </c>
      <c r="T1182">
        <v>0</v>
      </c>
      <c r="U1182">
        <v>70.8</v>
      </c>
      <c r="V1182">
        <v>575.20000000000005</v>
      </c>
      <c r="W1182">
        <v>22.98</v>
      </c>
      <c r="Y1182">
        <v>13.86</v>
      </c>
    </row>
    <row r="1183" spans="1:25" x14ac:dyDescent="0.25">
      <c r="A1183">
        <v>2007</v>
      </c>
      <c r="B1183">
        <v>126</v>
      </c>
      <c r="C1183">
        <v>1300</v>
      </c>
      <c r="D1183">
        <v>486.4</v>
      </c>
      <c r="E1183">
        <v>289.2</v>
      </c>
      <c r="F1183">
        <v>8.49</v>
      </c>
      <c r="G1183">
        <v>11.98</v>
      </c>
      <c r="K1183">
        <v>3.8580000000000001</v>
      </c>
      <c r="L1183">
        <v>227.3</v>
      </c>
      <c r="M1183">
        <v>0</v>
      </c>
      <c r="O1183">
        <v>607.9</v>
      </c>
      <c r="P1183">
        <v>167.9</v>
      </c>
      <c r="Q1183">
        <v>14</v>
      </c>
      <c r="S1183">
        <v>13.21</v>
      </c>
      <c r="T1183">
        <v>0</v>
      </c>
      <c r="U1183">
        <v>62.49</v>
      </c>
      <c r="V1183">
        <v>573.6</v>
      </c>
      <c r="W1183">
        <v>22.9</v>
      </c>
      <c r="Y1183">
        <v>14.22</v>
      </c>
    </row>
    <row r="1184" spans="1:25" x14ac:dyDescent="0.25">
      <c r="A1184">
        <v>2007</v>
      </c>
      <c r="B1184">
        <v>126</v>
      </c>
      <c r="C1184">
        <v>1400</v>
      </c>
      <c r="D1184">
        <v>312.5</v>
      </c>
      <c r="E1184">
        <v>172.7</v>
      </c>
      <c r="F1184">
        <v>8.77</v>
      </c>
      <c r="G1184">
        <v>12.49</v>
      </c>
      <c r="K1184">
        <v>3.6560000000000001</v>
      </c>
      <c r="L1184">
        <v>226.6</v>
      </c>
      <c r="M1184">
        <v>0</v>
      </c>
      <c r="O1184">
        <v>398.2</v>
      </c>
      <c r="P1184">
        <v>111.1</v>
      </c>
      <c r="Q1184">
        <v>14.3</v>
      </c>
      <c r="S1184">
        <v>13.26</v>
      </c>
      <c r="T1184">
        <v>0</v>
      </c>
      <c r="U1184">
        <v>60.69</v>
      </c>
      <c r="V1184">
        <v>571.4</v>
      </c>
      <c r="W1184">
        <v>22.81</v>
      </c>
      <c r="Y1184">
        <v>14.09</v>
      </c>
    </row>
    <row r="1185" spans="1:25" x14ac:dyDescent="0.25">
      <c r="A1185">
        <v>2007</v>
      </c>
      <c r="B1185">
        <v>126</v>
      </c>
      <c r="C1185">
        <v>1500</v>
      </c>
      <c r="D1185">
        <v>168.8</v>
      </c>
      <c r="E1185">
        <v>82.1</v>
      </c>
      <c r="F1185">
        <v>8.64</v>
      </c>
      <c r="G1185">
        <v>11.69</v>
      </c>
      <c r="K1185">
        <v>3.5089999999999999</v>
      </c>
      <c r="L1185">
        <v>226.8</v>
      </c>
      <c r="M1185">
        <v>0.2</v>
      </c>
      <c r="O1185">
        <v>220</v>
      </c>
      <c r="P1185">
        <v>57.23</v>
      </c>
      <c r="Q1185">
        <v>14.54</v>
      </c>
      <c r="S1185">
        <v>13.27</v>
      </c>
      <c r="T1185">
        <v>0</v>
      </c>
      <c r="U1185">
        <v>66.88</v>
      </c>
      <c r="V1185">
        <v>569.9</v>
      </c>
      <c r="W1185">
        <v>22.74</v>
      </c>
      <c r="Y1185">
        <v>13.85</v>
      </c>
    </row>
    <row r="1186" spans="1:25" x14ac:dyDescent="0.25">
      <c r="A1186">
        <v>2007</v>
      </c>
      <c r="B1186">
        <v>126</v>
      </c>
      <c r="C1186">
        <v>1600</v>
      </c>
      <c r="D1186">
        <v>306.7</v>
      </c>
      <c r="E1186">
        <v>180.5</v>
      </c>
      <c r="F1186">
        <v>9.23</v>
      </c>
      <c r="G1186">
        <v>11.44</v>
      </c>
      <c r="K1186">
        <v>2.7210000000000001</v>
      </c>
      <c r="L1186">
        <v>227</v>
      </c>
      <c r="M1186">
        <v>0.2</v>
      </c>
      <c r="O1186">
        <v>383.3</v>
      </c>
      <c r="P1186">
        <v>94.8</v>
      </c>
      <c r="Q1186">
        <v>14.57</v>
      </c>
      <c r="S1186">
        <v>13.27</v>
      </c>
      <c r="T1186">
        <v>0</v>
      </c>
      <c r="U1186">
        <v>75.5</v>
      </c>
      <c r="V1186">
        <v>568.79999999999995</v>
      </c>
      <c r="W1186">
        <v>22.69</v>
      </c>
      <c r="Y1186">
        <v>14</v>
      </c>
    </row>
    <row r="1187" spans="1:25" x14ac:dyDescent="0.25">
      <c r="A1187">
        <v>2007</v>
      </c>
      <c r="B1187">
        <v>126</v>
      </c>
      <c r="C1187">
        <v>1700</v>
      </c>
      <c r="D1187">
        <v>290.5</v>
      </c>
      <c r="E1187">
        <v>172.1</v>
      </c>
      <c r="F1187">
        <v>9.4499999999999993</v>
      </c>
      <c r="G1187">
        <v>12.6</v>
      </c>
      <c r="K1187">
        <v>3.0990000000000002</v>
      </c>
      <c r="L1187">
        <v>227.3</v>
      </c>
      <c r="M1187">
        <v>0</v>
      </c>
      <c r="O1187">
        <v>357.4</v>
      </c>
      <c r="P1187">
        <v>120.2</v>
      </c>
      <c r="Q1187">
        <v>14.69</v>
      </c>
      <c r="S1187">
        <v>13.34</v>
      </c>
      <c r="T1187">
        <v>0</v>
      </c>
      <c r="U1187">
        <v>66.5</v>
      </c>
      <c r="V1187">
        <v>568.4</v>
      </c>
      <c r="W1187">
        <v>22.67</v>
      </c>
      <c r="Y1187">
        <v>13.98</v>
      </c>
    </row>
    <row r="1188" spans="1:25" x14ac:dyDescent="0.25">
      <c r="A1188">
        <v>2007</v>
      </c>
      <c r="B1188">
        <v>126</v>
      </c>
      <c r="C1188">
        <v>1800</v>
      </c>
      <c r="D1188">
        <v>143.1</v>
      </c>
      <c r="E1188">
        <v>72.099999999999994</v>
      </c>
      <c r="F1188">
        <v>8.84</v>
      </c>
      <c r="G1188">
        <v>11.1</v>
      </c>
      <c r="K1188">
        <v>3.0760000000000001</v>
      </c>
      <c r="L1188">
        <v>228.3</v>
      </c>
      <c r="M1188">
        <v>0.4</v>
      </c>
      <c r="O1188">
        <v>178.7</v>
      </c>
      <c r="P1188">
        <v>52.28</v>
      </c>
      <c r="Q1188">
        <v>14.76</v>
      </c>
      <c r="S1188">
        <v>13.38</v>
      </c>
      <c r="T1188">
        <v>0</v>
      </c>
      <c r="U1188">
        <v>74.7</v>
      </c>
      <c r="V1188">
        <v>568.29999999999995</v>
      </c>
      <c r="W1188">
        <v>22.67</v>
      </c>
      <c r="Y1188">
        <v>13.76</v>
      </c>
    </row>
    <row r="1189" spans="1:25" x14ac:dyDescent="0.25">
      <c r="A1189">
        <v>2007</v>
      </c>
      <c r="B1189">
        <v>126</v>
      </c>
      <c r="C1189">
        <v>1900</v>
      </c>
      <c r="D1189">
        <v>157</v>
      </c>
      <c r="E1189">
        <v>73.8</v>
      </c>
      <c r="F1189">
        <v>8.43</v>
      </c>
      <c r="G1189">
        <v>10.94</v>
      </c>
      <c r="K1189">
        <v>2.742</v>
      </c>
      <c r="L1189">
        <v>228</v>
      </c>
      <c r="M1189">
        <v>0</v>
      </c>
      <c r="O1189">
        <v>187.8</v>
      </c>
      <c r="P1189">
        <v>118.9</v>
      </c>
      <c r="Q1189">
        <v>14.68</v>
      </c>
      <c r="S1189">
        <v>13.39</v>
      </c>
      <c r="T1189">
        <v>0</v>
      </c>
      <c r="U1189">
        <v>71.599999999999994</v>
      </c>
      <c r="V1189">
        <v>569</v>
      </c>
      <c r="W1189">
        <v>22.7</v>
      </c>
      <c r="Y1189">
        <v>13.61</v>
      </c>
    </row>
    <row r="1190" spans="1:25" x14ac:dyDescent="0.25">
      <c r="A1190">
        <v>2007</v>
      </c>
      <c r="B1190">
        <v>126</v>
      </c>
      <c r="C1190">
        <v>2000</v>
      </c>
      <c r="D1190">
        <v>25.91</v>
      </c>
      <c r="E1190">
        <v>-29.5</v>
      </c>
      <c r="F1190">
        <v>7.86</v>
      </c>
      <c r="G1190">
        <v>9.98</v>
      </c>
      <c r="K1190">
        <v>2.2890000000000001</v>
      </c>
      <c r="L1190">
        <v>228.1</v>
      </c>
      <c r="M1190">
        <v>0</v>
      </c>
      <c r="O1190">
        <v>21.23</v>
      </c>
      <c r="P1190">
        <v>12.64</v>
      </c>
      <c r="Q1190">
        <v>14.58</v>
      </c>
      <c r="S1190">
        <v>13.38</v>
      </c>
      <c r="T1190">
        <v>0</v>
      </c>
      <c r="U1190">
        <v>75</v>
      </c>
      <c r="V1190">
        <v>572.29999999999995</v>
      </c>
      <c r="W1190">
        <v>22.85</v>
      </c>
      <c r="Y1190">
        <v>13.48</v>
      </c>
    </row>
    <row r="1191" spans="1:25" x14ac:dyDescent="0.25">
      <c r="A1191">
        <v>2007</v>
      </c>
      <c r="B1191">
        <v>126</v>
      </c>
      <c r="C1191">
        <v>2100</v>
      </c>
      <c r="D1191">
        <v>-1.726</v>
      </c>
      <c r="E1191">
        <v>-39.93</v>
      </c>
      <c r="F1191">
        <v>6.9820000000000002</v>
      </c>
      <c r="G1191">
        <v>8.59</v>
      </c>
      <c r="K1191">
        <v>0.83799999999999997</v>
      </c>
      <c r="L1191">
        <v>226.8</v>
      </c>
      <c r="M1191">
        <v>0</v>
      </c>
      <c r="O1191">
        <v>-11.1</v>
      </c>
      <c r="P1191">
        <v>-11.1</v>
      </c>
      <c r="Q1191">
        <v>14.27</v>
      </c>
      <c r="S1191">
        <v>13.34</v>
      </c>
      <c r="T1191">
        <v>0</v>
      </c>
      <c r="U1191">
        <v>79.900000000000006</v>
      </c>
      <c r="V1191">
        <v>586.70000000000005</v>
      </c>
      <c r="W1191">
        <v>23.49</v>
      </c>
      <c r="Y1191">
        <v>13.37</v>
      </c>
    </row>
    <row r="1192" spans="1:25" x14ac:dyDescent="0.25">
      <c r="A1192">
        <v>2007</v>
      </c>
      <c r="B1192">
        <v>126</v>
      </c>
      <c r="C1192">
        <v>2200</v>
      </c>
      <c r="D1192">
        <v>-1.68</v>
      </c>
      <c r="E1192">
        <v>-28.04</v>
      </c>
      <c r="F1192">
        <v>7.1</v>
      </c>
      <c r="G1192">
        <v>8.48</v>
      </c>
      <c r="K1192">
        <v>0.92200000000000004</v>
      </c>
      <c r="L1192">
        <v>226.8</v>
      </c>
      <c r="M1192">
        <v>0</v>
      </c>
      <c r="O1192">
        <v>-12.17</v>
      </c>
      <c r="P1192">
        <v>-11.48</v>
      </c>
      <c r="Q1192">
        <v>13.98</v>
      </c>
      <c r="S1192">
        <v>13.33</v>
      </c>
      <c r="T1192">
        <v>0</v>
      </c>
      <c r="U1192">
        <v>82.6</v>
      </c>
      <c r="V1192">
        <v>755</v>
      </c>
      <c r="W1192">
        <v>31.4</v>
      </c>
      <c r="Y1192">
        <v>13.29</v>
      </c>
    </row>
    <row r="1193" spans="1:25" x14ac:dyDescent="0.25">
      <c r="A1193">
        <v>2007</v>
      </c>
      <c r="B1193">
        <v>126</v>
      </c>
      <c r="C1193">
        <v>2300</v>
      </c>
      <c r="D1193">
        <v>-1.6639999999999999</v>
      </c>
      <c r="E1193">
        <v>-27.04</v>
      </c>
      <c r="F1193">
        <v>7.45</v>
      </c>
      <c r="G1193">
        <v>8.76</v>
      </c>
      <c r="K1193">
        <v>1.0720000000000001</v>
      </c>
      <c r="L1193">
        <v>225.4</v>
      </c>
      <c r="M1193">
        <v>0</v>
      </c>
      <c r="O1193">
        <v>-12.17</v>
      </c>
      <c r="P1193">
        <v>-11.48</v>
      </c>
      <c r="Q1193">
        <v>13.69</v>
      </c>
      <c r="S1193">
        <v>13.25</v>
      </c>
      <c r="T1193">
        <v>0</v>
      </c>
      <c r="U1193">
        <v>83.7</v>
      </c>
      <c r="V1193">
        <v>944</v>
      </c>
      <c r="W1193">
        <v>43.12</v>
      </c>
      <c r="Y1193">
        <v>13.21</v>
      </c>
    </row>
    <row r="1194" spans="1:25" x14ac:dyDescent="0.25">
      <c r="A1194">
        <v>2007</v>
      </c>
      <c r="B1194">
        <v>127</v>
      </c>
      <c r="C1194">
        <v>100</v>
      </c>
      <c r="D1194">
        <v>-1.284</v>
      </c>
      <c r="E1194">
        <v>-19.93</v>
      </c>
      <c r="F1194">
        <v>7.48</v>
      </c>
      <c r="G1194">
        <v>9.1300000000000008</v>
      </c>
      <c r="K1194">
        <v>2.0459999999999998</v>
      </c>
      <c r="L1194">
        <v>226.2</v>
      </c>
      <c r="M1194">
        <v>0</v>
      </c>
      <c r="O1194">
        <v>-12.16</v>
      </c>
      <c r="P1194">
        <v>-11.44</v>
      </c>
      <c r="Q1194">
        <v>13.24</v>
      </c>
      <c r="S1194">
        <v>13.05</v>
      </c>
      <c r="T1194">
        <v>0</v>
      </c>
      <c r="U1194">
        <v>79.7</v>
      </c>
      <c r="V1194">
        <v>620.9</v>
      </c>
      <c r="W1194">
        <v>25</v>
      </c>
      <c r="Y1194">
        <v>13.06</v>
      </c>
    </row>
    <row r="1195" spans="1:25" x14ac:dyDescent="0.25">
      <c r="A1195">
        <v>2007</v>
      </c>
      <c r="B1195">
        <v>127</v>
      </c>
      <c r="C1195">
        <v>200</v>
      </c>
      <c r="D1195">
        <v>-2.5870000000000002</v>
      </c>
      <c r="E1195">
        <v>-47.09</v>
      </c>
      <c r="F1195">
        <v>7.21</v>
      </c>
      <c r="G1195">
        <v>8.73</v>
      </c>
      <c r="K1195">
        <v>1.931</v>
      </c>
      <c r="L1195">
        <v>225.9</v>
      </c>
      <c r="M1195">
        <v>0</v>
      </c>
      <c r="O1195">
        <v>-12.17</v>
      </c>
      <c r="P1195">
        <v>-11.43</v>
      </c>
      <c r="Q1195">
        <v>13.05</v>
      </c>
      <c r="S1195">
        <v>12.94</v>
      </c>
      <c r="T1195">
        <v>0</v>
      </c>
      <c r="U1195">
        <v>81.099999999999994</v>
      </c>
      <c r="V1195">
        <v>606.20000000000005</v>
      </c>
      <c r="W1195">
        <v>24.35</v>
      </c>
      <c r="Y1195">
        <v>13</v>
      </c>
    </row>
    <row r="1196" spans="1:25" x14ac:dyDescent="0.25">
      <c r="A1196">
        <v>2007</v>
      </c>
      <c r="B1196">
        <v>127</v>
      </c>
      <c r="C1196">
        <v>300</v>
      </c>
      <c r="D1196">
        <v>-2.87</v>
      </c>
      <c r="E1196">
        <v>-47.22</v>
      </c>
      <c r="F1196">
        <v>6.944</v>
      </c>
      <c r="G1196">
        <v>8.09</v>
      </c>
      <c r="K1196">
        <v>1.446</v>
      </c>
      <c r="L1196">
        <v>223.4</v>
      </c>
      <c r="M1196">
        <v>0</v>
      </c>
      <c r="O1196">
        <v>-12.13</v>
      </c>
      <c r="P1196">
        <v>-11.4</v>
      </c>
      <c r="Q1196">
        <v>12.84</v>
      </c>
      <c r="S1196">
        <v>12.82</v>
      </c>
      <c r="T1196">
        <v>0</v>
      </c>
      <c r="U1196">
        <v>85.3</v>
      </c>
      <c r="V1196">
        <v>594.9</v>
      </c>
      <c r="W1196">
        <v>23.86</v>
      </c>
      <c r="Y1196">
        <v>12.94</v>
      </c>
    </row>
    <row r="1197" spans="1:25" x14ac:dyDescent="0.25">
      <c r="A1197">
        <v>2007</v>
      </c>
      <c r="B1197">
        <v>127</v>
      </c>
      <c r="C1197">
        <v>400</v>
      </c>
      <c r="D1197">
        <v>-2.8879999999999999</v>
      </c>
      <c r="E1197">
        <v>-39.75</v>
      </c>
      <c r="F1197">
        <v>6.7140000000000004</v>
      </c>
      <c r="G1197">
        <v>7.68</v>
      </c>
      <c r="K1197">
        <v>1.393</v>
      </c>
      <c r="L1197">
        <v>221.1</v>
      </c>
      <c r="M1197">
        <v>0</v>
      </c>
      <c r="O1197">
        <v>-11.98</v>
      </c>
      <c r="P1197">
        <v>-11.27</v>
      </c>
      <c r="Q1197">
        <v>12.63</v>
      </c>
      <c r="S1197">
        <v>12.73</v>
      </c>
      <c r="T1197">
        <v>0</v>
      </c>
      <c r="U1197">
        <v>87.4</v>
      </c>
      <c r="V1197">
        <v>588.29999999999995</v>
      </c>
      <c r="W1197">
        <v>23.56</v>
      </c>
      <c r="Y1197">
        <v>12.9</v>
      </c>
    </row>
    <row r="1198" spans="1:25" x14ac:dyDescent="0.25">
      <c r="A1198">
        <v>2007</v>
      </c>
      <c r="B1198">
        <v>127</v>
      </c>
      <c r="C1198">
        <v>500</v>
      </c>
      <c r="D1198">
        <v>4.9029999999999996</v>
      </c>
      <c r="E1198">
        <v>-29.87</v>
      </c>
      <c r="F1198">
        <v>6.6769999999999996</v>
      </c>
      <c r="G1198">
        <v>7.69</v>
      </c>
      <c r="K1198">
        <v>2.129</v>
      </c>
      <c r="L1198">
        <v>225.5</v>
      </c>
      <c r="M1198">
        <v>0</v>
      </c>
      <c r="O1198">
        <v>-1.248</v>
      </c>
      <c r="P1198">
        <v>-7.44</v>
      </c>
      <c r="Q1198">
        <v>12.41</v>
      </c>
      <c r="S1198">
        <v>12.64</v>
      </c>
      <c r="T1198">
        <v>0</v>
      </c>
      <c r="U1198">
        <v>86.8</v>
      </c>
      <c r="V1198">
        <v>585.70000000000005</v>
      </c>
      <c r="W1198">
        <v>23.45</v>
      </c>
      <c r="Y1198">
        <v>12.86</v>
      </c>
    </row>
    <row r="1199" spans="1:25" x14ac:dyDescent="0.25">
      <c r="A1199">
        <v>2007</v>
      </c>
      <c r="B1199">
        <v>127</v>
      </c>
      <c r="C1199">
        <v>600</v>
      </c>
      <c r="D1199">
        <v>67.680000000000007</v>
      </c>
      <c r="E1199">
        <v>16.84</v>
      </c>
      <c r="F1199">
        <v>7.18</v>
      </c>
      <c r="G1199">
        <v>8.35</v>
      </c>
      <c r="K1199">
        <v>2.649</v>
      </c>
      <c r="L1199">
        <v>225</v>
      </c>
      <c r="M1199">
        <v>0</v>
      </c>
      <c r="O1199">
        <v>82.4</v>
      </c>
      <c r="P1199">
        <v>22.76</v>
      </c>
      <c r="Q1199">
        <v>12.21</v>
      </c>
      <c r="S1199">
        <v>12.57</v>
      </c>
      <c r="T1199">
        <v>0</v>
      </c>
      <c r="U1199">
        <v>85.2</v>
      </c>
      <c r="V1199">
        <v>581.29999999999995</v>
      </c>
      <c r="W1199">
        <v>23.25</v>
      </c>
      <c r="Y1199">
        <v>13.08</v>
      </c>
    </row>
    <row r="1200" spans="1:25" x14ac:dyDescent="0.25">
      <c r="A1200">
        <v>2007</v>
      </c>
      <c r="B1200">
        <v>127</v>
      </c>
      <c r="C1200">
        <v>700</v>
      </c>
      <c r="D1200">
        <v>110.5</v>
      </c>
      <c r="E1200">
        <v>45.78</v>
      </c>
      <c r="F1200">
        <v>7.77</v>
      </c>
      <c r="G1200">
        <v>9.16</v>
      </c>
      <c r="K1200">
        <v>2.2789999999999999</v>
      </c>
      <c r="L1200">
        <v>224.8</v>
      </c>
      <c r="M1200">
        <v>0</v>
      </c>
      <c r="O1200">
        <v>135.69999999999999</v>
      </c>
      <c r="P1200">
        <v>33.89</v>
      </c>
      <c r="Q1200">
        <v>12.1</v>
      </c>
      <c r="S1200">
        <v>12.42</v>
      </c>
      <c r="T1200">
        <v>0</v>
      </c>
      <c r="U1200">
        <v>82.9</v>
      </c>
      <c r="V1200">
        <v>576.6</v>
      </c>
      <c r="W1200">
        <v>23.04</v>
      </c>
      <c r="Y1200">
        <v>13.55</v>
      </c>
    </row>
    <row r="1201" spans="1:25" x14ac:dyDescent="0.25">
      <c r="A1201">
        <v>2007</v>
      </c>
      <c r="B1201">
        <v>127</v>
      </c>
      <c r="C1201">
        <v>800</v>
      </c>
      <c r="D1201">
        <v>277.5</v>
      </c>
      <c r="E1201">
        <v>165.7</v>
      </c>
      <c r="F1201">
        <v>8.61</v>
      </c>
      <c r="G1201">
        <v>10.47</v>
      </c>
      <c r="K1201">
        <v>2.887</v>
      </c>
      <c r="L1201">
        <v>224.6</v>
      </c>
      <c r="M1201">
        <v>0</v>
      </c>
      <c r="O1201">
        <v>357.8</v>
      </c>
      <c r="P1201">
        <v>112.6</v>
      </c>
      <c r="Q1201">
        <v>12.16</v>
      </c>
      <c r="S1201">
        <v>12.39</v>
      </c>
      <c r="T1201">
        <v>0</v>
      </c>
      <c r="U1201">
        <v>78.3</v>
      </c>
      <c r="V1201">
        <v>573.20000000000005</v>
      </c>
      <c r="W1201">
        <v>22.89</v>
      </c>
      <c r="Y1201">
        <v>14.05</v>
      </c>
    </row>
    <row r="1202" spans="1:25" x14ac:dyDescent="0.25">
      <c r="A1202">
        <v>2007</v>
      </c>
      <c r="B1202">
        <v>127</v>
      </c>
      <c r="C1202">
        <v>900</v>
      </c>
      <c r="D1202">
        <v>384.4</v>
      </c>
      <c r="E1202">
        <v>227.6</v>
      </c>
      <c r="F1202">
        <v>9.02</v>
      </c>
      <c r="G1202">
        <v>11.62</v>
      </c>
      <c r="H1202">
        <f>AVERAGE(G1202:G1225)</f>
        <v>10.168333333333335</v>
      </c>
      <c r="I1202">
        <f>MIN(G1202:G1225)</f>
        <v>7.61</v>
      </c>
      <c r="J1202">
        <f>MAX(F1202:F1225)</f>
        <v>9.9499999999999993</v>
      </c>
      <c r="K1202">
        <v>3.581</v>
      </c>
      <c r="L1202">
        <v>226.3</v>
      </c>
      <c r="M1202">
        <v>0</v>
      </c>
      <c r="N1202">
        <f>SUM(M1202:M1225)</f>
        <v>6.2000000000000011</v>
      </c>
      <c r="O1202">
        <v>481.6</v>
      </c>
      <c r="P1202">
        <v>143.4</v>
      </c>
      <c r="Q1202">
        <v>12.35</v>
      </c>
      <c r="S1202">
        <v>12.34</v>
      </c>
      <c r="T1202">
        <v>0</v>
      </c>
      <c r="U1202">
        <v>71.3</v>
      </c>
      <c r="V1202">
        <v>572.4</v>
      </c>
      <c r="W1202">
        <v>22.85</v>
      </c>
      <c r="Y1202">
        <v>14.29</v>
      </c>
    </row>
    <row r="1203" spans="1:25" x14ac:dyDescent="0.25">
      <c r="A1203">
        <v>2007</v>
      </c>
      <c r="B1203">
        <v>127</v>
      </c>
      <c r="C1203">
        <v>1000</v>
      </c>
      <c r="D1203">
        <v>463.3</v>
      </c>
      <c r="E1203">
        <v>263.39999999999998</v>
      </c>
      <c r="F1203">
        <v>9.24</v>
      </c>
      <c r="G1203">
        <v>12.62</v>
      </c>
      <c r="K1203">
        <v>3.4860000000000002</v>
      </c>
      <c r="L1203">
        <v>225.6</v>
      </c>
      <c r="M1203">
        <v>0</v>
      </c>
      <c r="O1203">
        <v>574.5</v>
      </c>
      <c r="P1203">
        <v>163.19999999999999</v>
      </c>
      <c r="Q1203">
        <v>12.65</v>
      </c>
      <c r="S1203">
        <v>12.33</v>
      </c>
      <c r="T1203">
        <v>0</v>
      </c>
      <c r="U1203">
        <v>64.33</v>
      </c>
      <c r="V1203">
        <v>569.6</v>
      </c>
      <c r="W1203">
        <v>22.73</v>
      </c>
      <c r="Y1203">
        <v>14.44</v>
      </c>
    </row>
    <row r="1204" spans="1:25" x14ac:dyDescent="0.25">
      <c r="A1204">
        <v>2007</v>
      </c>
      <c r="B1204">
        <v>127</v>
      </c>
      <c r="C1204">
        <v>1100</v>
      </c>
      <c r="D1204">
        <v>620</v>
      </c>
      <c r="E1204">
        <v>365.7</v>
      </c>
      <c r="F1204">
        <v>9.9499999999999993</v>
      </c>
      <c r="G1204">
        <v>14.25</v>
      </c>
      <c r="K1204">
        <v>3.9249999999999998</v>
      </c>
      <c r="L1204">
        <v>221.9</v>
      </c>
      <c r="M1204">
        <v>0</v>
      </c>
      <c r="O1204">
        <v>765</v>
      </c>
      <c r="P1204">
        <v>207.7</v>
      </c>
      <c r="Q1204">
        <v>13.11</v>
      </c>
      <c r="S1204">
        <v>12.38</v>
      </c>
      <c r="T1204">
        <v>0</v>
      </c>
      <c r="U1204">
        <v>57.44</v>
      </c>
      <c r="V1204">
        <v>565</v>
      </c>
      <c r="W1204">
        <v>22.52</v>
      </c>
      <c r="Y1204">
        <v>14.44</v>
      </c>
    </row>
    <row r="1205" spans="1:25" x14ac:dyDescent="0.25">
      <c r="A1205">
        <v>2007</v>
      </c>
      <c r="B1205">
        <v>127</v>
      </c>
      <c r="C1205">
        <v>1200</v>
      </c>
      <c r="D1205">
        <v>342.9</v>
      </c>
      <c r="E1205">
        <v>190.1</v>
      </c>
      <c r="F1205">
        <v>9.67</v>
      </c>
      <c r="G1205">
        <v>13.23</v>
      </c>
      <c r="K1205">
        <v>4.0940000000000003</v>
      </c>
      <c r="L1205">
        <v>223</v>
      </c>
      <c r="M1205">
        <v>1.6</v>
      </c>
      <c r="O1205">
        <v>426.4</v>
      </c>
      <c r="P1205">
        <v>109</v>
      </c>
      <c r="Q1205">
        <v>13.63</v>
      </c>
      <c r="S1205">
        <v>12.37</v>
      </c>
      <c r="T1205">
        <v>0</v>
      </c>
      <c r="U1205">
        <v>63.9</v>
      </c>
      <c r="V1205">
        <v>565.4</v>
      </c>
      <c r="W1205">
        <v>22.54</v>
      </c>
      <c r="Y1205">
        <v>14.08</v>
      </c>
    </row>
    <row r="1206" spans="1:25" x14ac:dyDescent="0.25">
      <c r="A1206">
        <v>2007</v>
      </c>
      <c r="B1206">
        <v>127</v>
      </c>
      <c r="C1206">
        <v>1300</v>
      </c>
      <c r="D1206">
        <v>431.9</v>
      </c>
      <c r="E1206">
        <v>265</v>
      </c>
      <c r="F1206">
        <v>8.56</v>
      </c>
      <c r="G1206">
        <v>10.28</v>
      </c>
      <c r="K1206">
        <v>3.5630000000000002</v>
      </c>
      <c r="L1206">
        <v>227.2</v>
      </c>
      <c r="M1206">
        <v>2.8</v>
      </c>
      <c r="O1206">
        <v>533.29999999999995</v>
      </c>
      <c r="P1206">
        <v>110.5</v>
      </c>
      <c r="Q1206">
        <v>14</v>
      </c>
      <c r="S1206">
        <v>12.59</v>
      </c>
      <c r="T1206">
        <v>0</v>
      </c>
      <c r="U1206">
        <v>79.900000000000006</v>
      </c>
      <c r="V1206">
        <v>571.70000000000005</v>
      </c>
      <c r="W1206">
        <v>22.82</v>
      </c>
      <c r="Y1206">
        <v>14.16</v>
      </c>
    </row>
    <row r="1207" spans="1:25" x14ac:dyDescent="0.25">
      <c r="A1207">
        <v>2007</v>
      </c>
      <c r="B1207">
        <v>127</v>
      </c>
      <c r="C1207">
        <v>1400</v>
      </c>
      <c r="D1207">
        <v>608.20000000000005</v>
      </c>
      <c r="E1207">
        <v>356.9</v>
      </c>
      <c r="F1207">
        <v>9.4499999999999993</v>
      </c>
      <c r="G1207">
        <v>12.51</v>
      </c>
      <c r="K1207">
        <v>4.5670000000000002</v>
      </c>
      <c r="L1207">
        <v>228</v>
      </c>
      <c r="M1207">
        <v>0</v>
      </c>
      <c r="O1207">
        <v>732</v>
      </c>
      <c r="P1207">
        <v>173.4</v>
      </c>
      <c r="Q1207">
        <v>14.24</v>
      </c>
      <c r="S1207">
        <v>12.73</v>
      </c>
      <c r="T1207">
        <v>0</v>
      </c>
      <c r="U1207">
        <v>67.44</v>
      </c>
      <c r="V1207">
        <v>571.4</v>
      </c>
      <c r="W1207">
        <v>22.81</v>
      </c>
      <c r="Y1207">
        <v>14.24</v>
      </c>
    </row>
    <row r="1208" spans="1:25" x14ac:dyDescent="0.25">
      <c r="A1208">
        <v>2007</v>
      </c>
      <c r="B1208">
        <v>127</v>
      </c>
      <c r="C1208">
        <v>1500</v>
      </c>
      <c r="D1208">
        <v>542.20000000000005</v>
      </c>
      <c r="E1208">
        <v>306.39999999999998</v>
      </c>
      <c r="F1208">
        <v>8.74</v>
      </c>
      <c r="G1208">
        <v>13.15</v>
      </c>
      <c r="K1208">
        <v>5.726</v>
      </c>
      <c r="L1208">
        <v>229.2</v>
      </c>
      <c r="M1208">
        <v>0</v>
      </c>
      <c r="O1208">
        <v>650.6</v>
      </c>
      <c r="P1208">
        <v>175.5</v>
      </c>
      <c r="Q1208">
        <v>14.72</v>
      </c>
      <c r="S1208">
        <v>12.81</v>
      </c>
      <c r="T1208">
        <v>0</v>
      </c>
      <c r="U1208">
        <v>54.93</v>
      </c>
      <c r="V1208">
        <v>567.9</v>
      </c>
      <c r="W1208">
        <v>22.65</v>
      </c>
      <c r="Y1208">
        <v>14.22</v>
      </c>
    </row>
    <row r="1209" spans="1:25" x14ac:dyDescent="0.25">
      <c r="A1209">
        <v>2007</v>
      </c>
      <c r="B1209">
        <v>127</v>
      </c>
      <c r="C1209">
        <v>1600</v>
      </c>
      <c r="D1209">
        <v>398.3</v>
      </c>
      <c r="E1209">
        <v>216.5</v>
      </c>
      <c r="F1209">
        <v>8.34</v>
      </c>
      <c r="G1209">
        <v>12.86</v>
      </c>
      <c r="K1209">
        <v>5.1719999999999997</v>
      </c>
      <c r="L1209">
        <v>228.7</v>
      </c>
      <c r="M1209">
        <v>0</v>
      </c>
      <c r="O1209">
        <v>473.5</v>
      </c>
      <c r="P1209">
        <v>150</v>
      </c>
      <c r="Q1209">
        <v>15.07</v>
      </c>
      <c r="S1209">
        <v>12.94</v>
      </c>
      <c r="T1209">
        <v>0</v>
      </c>
      <c r="U1209">
        <v>53.44</v>
      </c>
      <c r="V1209">
        <v>564.20000000000005</v>
      </c>
      <c r="W1209">
        <v>22.49</v>
      </c>
      <c r="Y1209">
        <v>14.14</v>
      </c>
    </row>
    <row r="1210" spans="1:25" x14ac:dyDescent="0.25">
      <c r="A1210">
        <v>2007</v>
      </c>
      <c r="B1210">
        <v>127</v>
      </c>
      <c r="C1210">
        <v>1700</v>
      </c>
      <c r="D1210">
        <v>208.1</v>
      </c>
      <c r="E1210">
        <v>98.8</v>
      </c>
      <c r="F1210">
        <v>8.02</v>
      </c>
      <c r="G1210">
        <v>11.01</v>
      </c>
      <c r="K1210">
        <v>4.0670000000000002</v>
      </c>
      <c r="L1210">
        <v>227.8</v>
      </c>
      <c r="M1210">
        <v>0.4</v>
      </c>
      <c r="O1210">
        <v>245.5</v>
      </c>
      <c r="P1210">
        <v>74.099999999999994</v>
      </c>
      <c r="Q1210">
        <v>15.12</v>
      </c>
      <c r="S1210">
        <v>13.05</v>
      </c>
      <c r="T1210">
        <v>0</v>
      </c>
      <c r="U1210">
        <v>67.040000000000006</v>
      </c>
      <c r="V1210">
        <v>565</v>
      </c>
      <c r="W1210">
        <v>22.52</v>
      </c>
      <c r="Y1210">
        <v>13.87</v>
      </c>
    </row>
    <row r="1211" spans="1:25" x14ac:dyDescent="0.25">
      <c r="A1211">
        <v>2007</v>
      </c>
      <c r="B1211">
        <v>127</v>
      </c>
      <c r="C1211">
        <v>1800</v>
      </c>
      <c r="D1211">
        <v>213.8</v>
      </c>
      <c r="E1211">
        <v>116.5</v>
      </c>
      <c r="F1211">
        <v>8.2799999999999994</v>
      </c>
      <c r="G1211">
        <v>10.88</v>
      </c>
      <c r="K1211">
        <v>4.1420000000000003</v>
      </c>
      <c r="L1211">
        <v>227.6</v>
      </c>
      <c r="M1211">
        <v>0</v>
      </c>
      <c r="O1211">
        <v>246.4</v>
      </c>
      <c r="P1211">
        <v>97.3</v>
      </c>
      <c r="Q1211">
        <v>15.05</v>
      </c>
      <c r="S1211">
        <v>13.16</v>
      </c>
      <c r="T1211">
        <v>0</v>
      </c>
      <c r="U1211">
        <v>70.5</v>
      </c>
      <c r="V1211">
        <v>565.5</v>
      </c>
      <c r="W1211">
        <v>22.54</v>
      </c>
      <c r="Y1211">
        <v>13.71</v>
      </c>
    </row>
    <row r="1212" spans="1:25" x14ac:dyDescent="0.25">
      <c r="A1212">
        <v>2007</v>
      </c>
      <c r="B1212">
        <v>127</v>
      </c>
      <c r="C1212">
        <v>1900</v>
      </c>
      <c r="D1212">
        <v>67.89</v>
      </c>
      <c r="E1212">
        <v>18.21</v>
      </c>
      <c r="F1212">
        <v>7.82</v>
      </c>
      <c r="G1212">
        <v>9.67</v>
      </c>
      <c r="K1212">
        <v>4</v>
      </c>
      <c r="L1212">
        <v>228.1</v>
      </c>
      <c r="M1212">
        <v>1</v>
      </c>
      <c r="O1212">
        <v>76.2</v>
      </c>
      <c r="P1212">
        <v>25.1</v>
      </c>
      <c r="Q1212">
        <v>14.86</v>
      </c>
      <c r="S1212">
        <v>13.22</v>
      </c>
      <c r="T1212">
        <v>0</v>
      </c>
      <c r="U1212">
        <v>77.8</v>
      </c>
      <c r="V1212">
        <v>565.79999999999995</v>
      </c>
      <c r="W1212">
        <v>22.56</v>
      </c>
      <c r="Y1212">
        <v>13.57</v>
      </c>
    </row>
    <row r="1213" spans="1:25" x14ac:dyDescent="0.25">
      <c r="A1213">
        <v>2007</v>
      </c>
      <c r="B1213">
        <v>127</v>
      </c>
      <c r="C1213">
        <v>2000</v>
      </c>
      <c r="D1213">
        <v>27.74</v>
      </c>
      <c r="E1213">
        <v>-16.75</v>
      </c>
      <c r="F1213">
        <v>7.15</v>
      </c>
      <c r="G1213">
        <v>9.11</v>
      </c>
      <c r="K1213">
        <v>4.0650000000000004</v>
      </c>
      <c r="L1213">
        <v>228</v>
      </c>
      <c r="M1213">
        <v>0</v>
      </c>
      <c r="O1213">
        <v>25.24</v>
      </c>
      <c r="P1213">
        <v>14.28</v>
      </c>
      <c r="Q1213">
        <v>14.57</v>
      </c>
      <c r="S1213">
        <v>13.22</v>
      </c>
      <c r="T1213">
        <v>0</v>
      </c>
      <c r="U1213">
        <v>76.099999999999994</v>
      </c>
      <c r="V1213">
        <v>575.20000000000005</v>
      </c>
      <c r="W1213">
        <v>22.98</v>
      </c>
      <c r="Y1213">
        <v>13.45</v>
      </c>
    </row>
    <row r="1214" spans="1:25" x14ac:dyDescent="0.25">
      <c r="A1214">
        <v>2007</v>
      </c>
      <c r="B1214">
        <v>127</v>
      </c>
      <c r="C1214">
        <v>2100</v>
      </c>
      <c r="D1214">
        <v>-1.278</v>
      </c>
      <c r="E1214">
        <v>-48.07</v>
      </c>
      <c r="F1214">
        <v>6.7430000000000003</v>
      </c>
      <c r="G1214">
        <v>8.69</v>
      </c>
      <c r="K1214">
        <v>3.59</v>
      </c>
      <c r="L1214">
        <v>227.4</v>
      </c>
      <c r="M1214">
        <v>0</v>
      </c>
      <c r="O1214">
        <v>-10.54</v>
      </c>
      <c r="P1214">
        <v>-10.9</v>
      </c>
      <c r="Q1214">
        <v>14.25</v>
      </c>
      <c r="S1214">
        <v>13.23</v>
      </c>
      <c r="T1214">
        <v>0</v>
      </c>
      <c r="U1214">
        <v>75.8</v>
      </c>
      <c r="V1214">
        <v>580.4</v>
      </c>
      <c r="W1214">
        <v>23.21</v>
      </c>
      <c r="Y1214">
        <v>13.36</v>
      </c>
    </row>
    <row r="1215" spans="1:25" x14ac:dyDescent="0.25">
      <c r="A1215">
        <v>2007</v>
      </c>
      <c r="B1215">
        <v>127</v>
      </c>
      <c r="C1215">
        <v>2200</v>
      </c>
      <c r="D1215">
        <v>-2.302</v>
      </c>
      <c r="E1215">
        <v>-44.61</v>
      </c>
      <c r="F1215">
        <v>6.3230000000000004</v>
      </c>
      <c r="G1215">
        <v>8.15</v>
      </c>
      <c r="K1215">
        <v>3.2639999999999998</v>
      </c>
      <c r="L1215">
        <v>226.1</v>
      </c>
      <c r="M1215">
        <v>0</v>
      </c>
      <c r="O1215">
        <v>-12.17</v>
      </c>
      <c r="P1215">
        <v>-11.48</v>
      </c>
      <c r="Q1215">
        <v>13.86</v>
      </c>
      <c r="S1215">
        <v>13.15</v>
      </c>
      <c r="T1215">
        <v>0</v>
      </c>
      <c r="U1215">
        <v>76.8</v>
      </c>
      <c r="V1215">
        <v>671.8</v>
      </c>
      <c r="W1215">
        <v>27.3</v>
      </c>
      <c r="Y1215">
        <v>13.27</v>
      </c>
    </row>
    <row r="1216" spans="1:25" x14ac:dyDescent="0.25">
      <c r="A1216">
        <v>2007</v>
      </c>
      <c r="B1216">
        <v>127</v>
      </c>
      <c r="C1216">
        <v>2300</v>
      </c>
      <c r="D1216">
        <v>-1.548</v>
      </c>
      <c r="E1216">
        <v>-33.340000000000003</v>
      </c>
      <c r="F1216">
        <v>6.2279999999999998</v>
      </c>
      <c r="G1216">
        <v>8.02</v>
      </c>
      <c r="K1216">
        <v>2.98</v>
      </c>
      <c r="L1216">
        <v>225.9</v>
      </c>
      <c r="M1216">
        <v>0</v>
      </c>
      <c r="O1216">
        <v>-12.16</v>
      </c>
      <c r="P1216">
        <v>-11.43</v>
      </c>
      <c r="Q1216">
        <v>13.47</v>
      </c>
      <c r="S1216">
        <v>13.05</v>
      </c>
      <c r="T1216">
        <v>0</v>
      </c>
      <c r="U1216">
        <v>77.2</v>
      </c>
      <c r="V1216">
        <v>1047</v>
      </c>
      <c r="W1216">
        <v>58.88</v>
      </c>
      <c r="Y1216">
        <v>13.19</v>
      </c>
    </row>
    <row r="1217" spans="1:25" x14ac:dyDescent="0.25">
      <c r="A1217">
        <v>2007</v>
      </c>
      <c r="B1217">
        <v>127</v>
      </c>
      <c r="C1217">
        <v>2400</v>
      </c>
      <c r="D1217">
        <v>-2.6269999999999998</v>
      </c>
      <c r="E1217">
        <v>-49.78</v>
      </c>
      <c r="F1217">
        <v>6.0229999999999997</v>
      </c>
      <c r="G1217">
        <v>7.61</v>
      </c>
      <c r="K1217">
        <v>2.7519999999999998</v>
      </c>
      <c r="L1217">
        <v>226.9</v>
      </c>
      <c r="M1217">
        <v>0.2</v>
      </c>
      <c r="O1217">
        <v>-12.15</v>
      </c>
      <c r="P1217">
        <v>-11.39</v>
      </c>
      <c r="Q1217">
        <v>13.16</v>
      </c>
      <c r="S1217">
        <v>12.93</v>
      </c>
      <c r="T1217">
        <v>0</v>
      </c>
      <c r="U1217">
        <v>79.400000000000006</v>
      </c>
      <c r="V1217">
        <v>1089</v>
      </c>
      <c r="W1217">
        <v>64.06</v>
      </c>
      <c r="Y1217">
        <v>13.12</v>
      </c>
    </row>
    <row r="1218" spans="1:25" x14ac:dyDescent="0.25">
      <c r="A1218">
        <v>2007</v>
      </c>
      <c r="B1218">
        <v>128</v>
      </c>
      <c r="C1218">
        <v>100</v>
      </c>
      <c r="D1218">
        <v>-1.929</v>
      </c>
      <c r="E1218">
        <v>-32.57</v>
      </c>
      <c r="F1218">
        <v>6.4039999999999999</v>
      </c>
      <c r="G1218">
        <v>7.87</v>
      </c>
      <c r="K1218">
        <v>2.8370000000000002</v>
      </c>
      <c r="L1218">
        <v>226</v>
      </c>
      <c r="M1218">
        <v>0</v>
      </c>
      <c r="O1218">
        <v>-12.05</v>
      </c>
      <c r="P1218">
        <v>-11.33</v>
      </c>
      <c r="Q1218">
        <v>12.86</v>
      </c>
      <c r="S1218">
        <v>12.82</v>
      </c>
      <c r="T1218">
        <v>0</v>
      </c>
      <c r="U1218">
        <v>81.099999999999994</v>
      </c>
      <c r="V1218">
        <v>741</v>
      </c>
      <c r="W1218">
        <v>32.090000000000003</v>
      </c>
      <c r="Y1218">
        <v>13.05</v>
      </c>
    </row>
    <row r="1219" spans="1:25" x14ac:dyDescent="0.25">
      <c r="A1219">
        <v>2007</v>
      </c>
      <c r="B1219">
        <v>128</v>
      </c>
      <c r="C1219">
        <v>200</v>
      </c>
      <c r="D1219">
        <v>-1.397</v>
      </c>
      <c r="E1219">
        <v>-23.84</v>
      </c>
      <c r="F1219">
        <v>6.9960000000000004</v>
      </c>
      <c r="G1219">
        <v>8.64</v>
      </c>
      <c r="K1219">
        <v>3.3450000000000002</v>
      </c>
      <c r="L1219">
        <v>225.9</v>
      </c>
      <c r="M1219">
        <v>0</v>
      </c>
      <c r="O1219">
        <v>-12.04</v>
      </c>
      <c r="P1219">
        <v>-11.3</v>
      </c>
      <c r="Q1219">
        <v>12.6</v>
      </c>
      <c r="S1219">
        <v>12.71</v>
      </c>
      <c r="T1219">
        <v>0</v>
      </c>
      <c r="U1219">
        <v>79.5</v>
      </c>
      <c r="V1219">
        <v>586.5</v>
      </c>
      <c r="W1219">
        <v>23.48</v>
      </c>
      <c r="Y1219">
        <v>12.99</v>
      </c>
    </row>
    <row r="1220" spans="1:25" x14ac:dyDescent="0.25">
      <c r="A1220">
        <v>2007</v>
      </c>
      <c r="B1220">
        <v>128</v>
      </c>
      <c r="C1220">
        <v>300</v>
      </c>
      <c r="D1220">
        <v>-1.3109999999999999</v>
      </c>
      <c r="E1220">
        <v>-18.510000000000002</v>
      </c>
      <c r="F1220">
        <v>7.03</v>
      </c>
      <c r="G1220">
        <v>8.81</v>
      </c>
      <c r="K1220">
        <v>3.62</v>
      </c>
      <c r="L1220">
        <v>227</v>
      </c>
      <c r="M1220">
        <v>0</v>
      </c>
      <c r="O1220">
        <v>-12.07</v>
      </c>
      <c r="P1220">
        <v>-11.35</v>
      </c>
      <c r="Q1220">
        <v>12.41</v>
      </c>
      <c r="S1220">
        <v>12.6</v>
      </c>
      <c r="T1220">
        <v>0</v>
      </c>
      <c r="U1220">
        <v>78</v>
      </c>
      <c r="V1220">
        <v>572.1</v>
      </c>
      <c r="W1220">
        <v>22.84</v>
      </c>
      <c r="Y1220">
        <v>12.93</v>
      </c>
    </row>
    <row r="1221" spans="1:25" x14ac:dyDescent="0.25">
      <c r="A1221">
        <v>2007</v>
      </c>
      <c r="B1221">
        <v>128</v>
      </c>
      <c r="C1221">
        <v>400</v>
      </c>
      <c r="D1221">
        <v>-1.19</v>
      </c>
      <c r="E1221">
        <v>-12.75</v>
      </c>
      <c r="F1221">
        <v>6.9580000000000002</v>
      </c>
      <c r="G1221">
        <v>8.69</v>
      </c>
      <c r="K1221">
        <v>3.2130000000000001</v>
      </c>
      <c r="L1221">
        <v>226.3</v>
      </c>
      <c r="M1221">
        <v>0</v>
      </c>
      <c r="O1221">
        <v>-12.1</v>
      </c>
      <c r="P1221">
        <v>-11.38</v>
      </c>
      <c r="Q1221">
        <v>12.23</v>
      </c>
      <c r="S1221">
        <v>12.44</v>
      </c>
      <c r="T1221">
        <v>0</v>
      </c>
      <c r="U1221">
        <v>78.400000000000006</v>
      </c>
      <c r="V1221">
        <v>567</v>
      </c>
      <c r="W1221">
        <v>22.61</v>
      </c>
      <c r="Y1221">
        <v>12.89</v>
      </c>
    </row>
    <row r="1222" spans="1:25" x14ac:dyDescent="0.25">
      <c r="A1222">
        <v>2007</v>
      </c>
      <c r="B1222">
        <v>128</v>
      </c>
      <c r="C1222">
        <v>500</v>
      </c>
      <c r="D1222">
        <v>1.1930000000000001</v>
      </c>
      <c r="E1222">
        <v>-11.06</v>
      </c>
      <c r="F1222">
        <v>7.09</v>
      </c>
      <c r="G1222">
        <v>8.64</v>
      </c>
      <c r="K1222">
        <v>2.2229999999999999</v>
      </c>
      <c r="L1222">
        <v>224.9</v>
      </c>
      <c r="M1222">
        <v>0</v>
      </c>
      <c r="O1222">
        <v>-7.91</v>
      </c>
      <c r="P1222">
        <v>-10.18</v>
      </c>
      <c r="Q1222">
        <v>12.11</v>
      </c>
      <c r="S1222">
        <v>12.33</v>
      </c>
      <c r="T1222">
        <v>0</v>
      </c>
      <c r="U1222">
        <v>80.7</v>
      </c>
      <c r="V1222">
        <v>568.79999999999995</v>
      </c>
      <c r="W1222">
        <v>22.69</v>
      </c>
      <c r="Y1222">
        <v>12.86</v>
      </c>
    </row>
    <row r="1223" spans="1:25" x14ac:dyDescent="0.25">
      <c r="A1223">
        <v>2007</v>
      </c>
      <c r="B1223">
        <v>128</v>
      </c>
      <c r="C1223">
        <v>600</v>
      </c>
      <c r="D1223">
        <v>33.36</v>
      </c>
      <c r="E1223">
        <v>8.3699999999999992</v>
      </c>
      <c r="F1223">
        <v>7.58</v>
      </c>
      <c r="G1223">
        <v>8.65</v>
      </c>
      <c r="K1223">
        <v>2.0859999999999999</v>
      </c>
      <c r="L1223">
        <v>222.8</v>
      </c>
      <c r="M1223">
        <v>0</v>
      </c>
      <c r="O1223">
        <v>35</v>
      </c>
      <c r="P1223">
        <v>0.32800000000000001</v>
      </c>
      <c r="Q1223">
        <v>12.02</v>
      </c>
      <c r="S1223">
        <v>12.23</v>
      </c>
      <c r="T1223">
        <v>0</v>
      </c>
      <c r="U1223">
        <v>86.5</v>
      </c>
      <c r="V1223">
        <v>567.70000000000005</v>
      </c>
      <c r="W1223">
        <v>22.64</v>
      </c>
      <c r="Y1223">
        <v>12.88</v>
      </c>
    </row>
    <row r="1224" spans="1:25" x14ac:dyDescent="0.25">
      <c r="A1224">
        <v>2007</v>
      </c>
      <c r="B1224">
        <v>128</v>
      </c>
      <c r="C1224">
        <v>700</v>
      </c>
      <c r="D1224">
        <v>111.6</v>
      </c>
      <c r="E1224">
        <v>63.59</v>
      </c>
      <c r="F1224">
        <v>8.07</v>
      </c>
      <c r="G1224">
        <v>9.24</v>
      </c>
      <c r="K1224">
        <v>2.573</v>
      </c>
      <c r="L1224">
        <v>225.7</v>
      </c>
      <c r="M1224">
        <v>0</v>
      </c>
      <c r="O1224">
        <v>136.6</v>
      </c>
      <c r="P1224">
        <v>29.92</v>
      </c>
      <c r="Q1224">
        <v>11.97</v>
      </c>
      <c r="S1224">
        <v>12.18</v>
      </c>
      <c r="T1224">
        <v>0</v>
      </c>
      <c r="U1224">
        <v>85.6</v>
      </c>
      <c r="V1224">
        <v>568.6</v>
      </c>
      <c r="W1224">
        <v>22.68</v>
      </c>
      <c r="Y1224">
        <v>13.34</v>
      </c>
    </row>
    <row r="1225" spans="1:25" x14ac:dyDescent="0.25">
      <c r="A1225">
        <v>2007</v>
      </c>
      <c r="B1225">
        <v>128</v>
      </c>
      <c r="C1225">
        <v>800</v>
      </c>
      <c r="D1225">
        <v>198.7</v>
      </c>
      <c r="E1225">
        <v>125.6</v>
      </c>
      <c r="F1225">
        <v>8.57</v>
      </c>
      <c r="G1225">
        <v>9.84</v>
      </c>
      <c r="K1225">
        <v>3.335</v>
      </c>
      <c r="L1225">
        <v>228.1</v>
      </c>
      <c r="M1225">
        <v>0.2</v>
      </c>
      <c r="O1225">
        <v>255.4</v>
      </c>
      <c r="P1225">
        <v>56.7</v>
      </c>
      <c r="Q1225">
        <v>12.07</v>
      </c>
      <c r="S1225">
        <v>12.17</v>
      </c>
      <c r="T1225">
        <v>0</v>
      </c>
      <c r="U1225">
        <v>84.7</v>
      </c>
      <c r="V1225">
        <v>575.70000000000005</v>
      </c>
      <c r="W1225">
        <v>23</v>
      </c>
      <c r="Y1225">
        <v>13.81</v>
      </c>
    </row>
    <row r="1226" spans="1:25" x14ac:dyDescent="0.25">
      <c r="A1226">
        <v>2007</v>
      </c>
      <c r="B1226">
        <v>128</v>
      </c>
      <c r="C1226">
        <v>900</v>
      </c>
      <c r="D1226">
        <v>375.9</v>
      </c>
      <c r="E1226">
        <v>247.3</v>
      </c>
      <c r="F1226">
        <v>8.73</v>
      </c>
      <c r="G1226">
        <v>10.82</v>
      </c>
      <c r="H1226">
        <f>AVERAGE(G1226:G1249)</f>
        <v>9.8430000000000017</v>
      </c>
      <c r="I1226">
        <f>MIN(G1226:G1249)</f>
        <v>5.8040000000000003</v>
      </c>
      <c r="J1226">
        <f>MAX(F1226:F1249)</f>
        <v>9.83</v>
      </c>
      <c r="K1226">
        <v>3.8580000000000001</v>
      </c>
      <c r="L1226">
        <v>228.7</v>
      </c>
      <c r="M1226">
        <v>0</v>
      </c>
      <c r="N1226">
        <f>SUM(M1226:M1249)</f>
        <v>0.8</v>
      </c>
      <c r="O1226">
        <v>469.9</v>
      </c>
      <c r="P1226">
        <v>116.2</v>
      </c>
      <c r="Q1226">
        <v>12.25</v>
      </c>
      <c r="S1226">
        <v>12.13</v>
      </c>
      <c r="T1226">
        <v>0</v>
      </c>
      <c r="U1226">
        <v>76.099999999999994</v>
      </c>
      <c r="V1226">
        <v>574.4</v>
      </c>
      <c r="W1226">
        <v>22.94</v>
      </c>
      <c r="Y1226">
        <v>14.28</v>
      </c>
    </row>
    <row r="1227" spans="1:25" x14ac:dyDescent="0.25">
      <c r="A1227">
        <v>2007</v>
      </c>
      <c r="B1227">
        <v>128</v>
      </c>
      <c r="C1227">
        <v>1000</v>
      </c>
      <c r="D1227">
        <v>297.7</v>
      </c>
      <c r="E1227">
        <v>181.4</v>
      </c>
      <c r="F1227">
        <v>8.68</v>
      </c>
      <c r="G1227">
        <v>11.04</v>
      </c>
      <c r="K1227">
        <v>4.0750000000000002</v>
      </c>
      <c r="L1227">
        <v>231.4</v>
      </c>
      <c r="M1227">
        <v>0</v>
      </c>
      <c r="O1227">
        <v>375.3</v>
      </c>
      <c r="P1227">
        <v>100</v>
      </c>
      <c r="Q1227">
        <v>12.53</v>
      </c>
      <c r="S1227">
        <v>12.08</v>
      </c>
      <c r="T1227">
        <v>0</v>
      </c>
      <c r="U1227">
        <v>73.3</v>
      </c>
      <c r="V1227">
        <v>575.5</v>
      </c>
      <c r="W1227">
        <v>22.99</v>
      </c>
      <c r="Y1227">
        <v>14.01</v>
      </c>
    </row>
    <row r="1228" spans="1:25" x14ac:dyDescent="0.25">
      <c r="A1228">
        <v>2007</v>
      </c>
      <c r="B1228">
        <v>128</v>
      </c>
      <c r="C1228">
        <v>1100</v>
      </c>
      <c r="D1228">
        <v>595.29999999999995</v>
      </c>
      <c r="E1228">
        <v>359.1</v>
      </c>
      <c r="F1228">
        <v>9.65</v>
      </c>
      <c r="G1228">
        <v>12.35</v>
      </c>
      <c r="K1228">
        <v>4.5049999999999999</v>
      </c>
      <c r="L1228">
        <v>229.9</v>
      </c>
      <c r="M1228">
        <v>0</v>
      </c>
      <c r="O1228">
        <v>739</v>
      </c>
      <c r="P1228">
        <v>189.8</v>
      </c>
      <c r="Q1228">
        <v>12.91</v>
      </c>
      <c r="S1228">
        <v>12.13</v>
      </c>
      <c r="T1228">
        <v>0</v>
      </c>
      <c r="U1228">
        <v>70.900000000000006</v>
      </c>
      <c r="V1228">
        <v>573.6</v>
      </c>
      <c r="W1228">
        <v>22.91</v>
      </c>
      <c r="Y1228">
        <v>14.45</v>
      </c>
    </row>
    <row r="1229" spans="1:25" x14ac:dyDescent="0.25">
      <c r="A1229">
        <v>2007</v>
      </c>
      <c r="B1229">
        <v>128</v>
      </c>
      <c r="C1229">
        <v>1200</v>
      </c>
      <c r="D1229">
        <v>702</v>
      </c>
      <c r="E1229">
        <v>416.1</v>
      </c>
      <c r="F1229">
        <v>9.5299999999999994</v>
      </c>
      <c r="G1229">
        <v>13.25</v>
      </c>
      <c r="K1229">
        <v>5.0650000000000004</v>
      </c>
      <c r="L1229">
        <v>231</v>
      </c>
      <c r="M1229">
        <v>0</v>
      </c>
      <c r="O1229">
        <v>869</v>
      </c>
      <c r="P1229">
        <v>223.5</v>
      </c>
      <c r="Q1229">
        <v>13.41</v>
      </c>
      <c r="S1229">
        <v>12.22</v>
      </c>
      <c r="T1229">
        <v>0</v>
      </c>
      <c r="U1229">
        <v>61.6</v>
      </c>
      <c r="V1229">
        <v>575.29999999999995</v>
      </c>
      <c r="W1229">
        <v>22.98</v>
      </c>
      <c r="Y1229">
        <v>14.43</v>
      </c>
    </row>
    <row r="1230" spans="1:25" x14ac:dyDescent="0.25">
      <c r="A1230">
        <v>2007</v>
      </c>
      <c r="B1230">
        <v>128</v>
      </c>
      <c r="C1230">
        <v>1300</v>
      </c>
      <c r="D1230">
        <v>607.1</v>
      </c>
      <c r="E1230">
        <v>341.1</v>
      </c>
      <c r="F1230">
        <v>9.34</v>
      </c>
      <c r="G1230">
        <v>13.45</v>
      </c>
      <c r="K1230">
        <v>4.9029999999999996</v>
      </c>
      <c r="L1230">
        <v>230.4</v>
      </c>
      <c r="M1230">
        <v>0</v>
      </c>
      <c r="O1230">
        <v>734</v>
      </c>
      <c r="P1230">
        <v>187.2</v>
      </c>
      <c r="Q1230">
        <v>14.07</v>
      </c>
      <c r="S1230">
        <v>12.35</v>
      </c>
      <c r="T1230">
        <v>0</v>
      </c>
      <c r="U1230">
        <v>58.22</v>
      </c>
      <c r="V1230">
        <v>578.1</v>
      </c>
      <c r="W1230">
        <v>23.11</v>
      </c>
      <c r="Y1230">
        <v>14.32</v>
      </c>
    </row>
    <row r="1231" spans="1:25" x14ac:dyDescent="0.25">
      <c r="A1231">
        <v>2007</v>
      </c>
      <c r="B1231">
        <v>128</v>
      </c>
      <c r="C1231">
        <v>1400</v>
      </c>
      <c r="D1231">
        <v>573.1</v>
      </c>
      <c r="E1231">
        <v>322.5</v>
      </c>
      <c r="F1231">
        <v>9.83</v>
      </c>
      <c r="G1231">
        <v>13.12</v>
      </c>
      <c r="K1231">
        <v>3.891</v>
      </c>
      <c r="L1231">
        <v>229.6</v>
      </c>
      <c r="M1231">
        <v>0.4</v>
      </c>
      <c r="O1231">
        <v>694.3</v>
      </c>
      <c r="P1231">
        <v>164.7</v>
      </c>
      <c r="Q1231">
        <v>14.65</v>
      </c>
      <c r="S1231">
        <v>12.51</v>
      </c>
      <c r="T1231">
        <v>0</v>
      </c>
      <c r="U1231">
        <v>66.02</v>
      </c>
      <c r="V1231">
        <v>578.1</v>
      </c>
      <c r="W1231">
        <v>23.11</v>
      </c>
      <c r="Y1231">
        <v>14.23</v>
      </c>
    </row>
    <row r="1232" spans="1:25" x14ac:dyDescent="0.25">
      <c r="A1232">
        <v>2007</v>
      </c>
      <c r="B1232">
        <v>128</v>
      </c>
      <c r="C1232">
        <v>1500</v>
      </c>
      <c r="D1232">
        <v>497.3</v>
      </c>
      <c r="E1232">
        <v>280.3</v>
      </c>
      <c r="F1232">
        <v>9.58</v>
      </c>
      <c r="G1232">
        <v>13.65</v>
      </c>
      <c r="K1232">
        <v>3.9990000000000001</v>
      </c>
      <c r="L1232">
        <v>229.6</v>
      </c>
      <c r="M1232">
        <v>0</v>
      </c>
      <c r="O1232">
        <v>596.20000000000005</v>
      </c>
      <c r="P1232">
        <v>165.7</v>
      </c>
      <c r="Q1232">
        <v>15.12</v>
      </c>
      <c r="S1232">
        <v>12.7</v>
      </c>
      <c r="T1232">
        <v>0</v>
      </c>
      <c r="U1232">
        <v>58.86</v>
      </c>
      <c r="V1232">
        <v>579.29999999999995</v>
      </c>
      <c r="W1232">
        <v>23.16</v>
      </c>
      <c r="Y1232">
        <v>14.18</v>
      </c>
    </row>
    <row r="1233" spans="1:25" x14ac:dyDescent="0.25">
      <c r="A1233">
        <v>2007</v>
      </c>
      <c r="B1233">
        <v>128</v>
      </c>
      <c r="C1233">
        <v>1600</v>
      </c>
      <c r="D1233">
        <v>430.5</v>
      </c>
      <c r="E1233">
        <v>235.5</v>
      </c>
      <c r="F1233">
        <v>9.44</v>
      </c>
      <c r="G1233">
        <v>13.2</v>
      </c>
      <c r="K1233">
        <v>3.7629999999999999</v>
      </c>
      <c r="L1233">
        <v>230.6</v>
      </c>
      <c r="M1233">
        <v>0</v>
      </c>
      <c r="O1233">
        <v>514.9</v>
      </c>
      <c r="P1233">
        <v>161.80000000000001</v>
      </c>
      <c r="Q1233">
        <v>15.48</v>
      </c>
      <c r="S1233">
        <v>12.92</v>
      </c>
      <c r="T1233">
        <v>0</v>
      </c>
      <c r="U1233">
        <v>61.24</v>
      </c>
      <c r="V1233">
        <v>579.29999999999995</v>
      </c>
      <c r="W1233">
        <v>23.16</v>
      </c>
      <c r="Y1233">
        <v>14.19</v>
      </c>
    </row>
    <row r="1234" spans="1:25" x14ac:dyDescent="0.25">
      <c r="A1234">
        <v>2007</v>
      </c>
      <c r="B1234">
        <v>128</v>
      </c>
      <c r="C1234">
        <v>1700</v>
      </c>
      <c r="D1234">
        <v>344.3</v>
      </c>
      <c r="E1234">
        <v>186.9</v>
      </c>
      <c r="F1234">
        <v>9.44</v>
      </c>
      <c r="G1234">
        <v>13.22</v>
      </c>
      <c r="K1234">
        <v>2.9390000000000001</v>
      </c>
      <c r="L1234">
        <v>260.8</v>
      </c>
      <c r="M1234">
        <v>0.4</v>
      </c>
      <c r="O1234">
        <v>416.3</v>
      </c>
      <c r="P1234">
        <v>147.4</v>
      </c>
      <c r="Q1234">
        <v>15.69</v>
      </c>
      <c r="S1234">
        <v>13.12</v>
      </c>
      <c r="T1234">
        <v>0</v>
      </c>
      <c r="U1234">
        <v>61.17</v>
      </c>
      <c r="V1234">
        <v>576.20000000000005</v>
      </c>
      <c r="W1234">
        <v>23.02</v>
      </c>
      <c r="Y1234">
        <v>13.99</v>
      </c>
    </row>
    <row r="1235" spans="1:25" x14ac:dyDescent="0.25">
      <c r="A1235">
        <v>2007</v>
      </c>
      <c r="B1235">
        <v>128</v>
      </c>
      <c r="C1235">
        <v>1800</v>
      </c>
      <c r="D1235">
        <v>216.9</v>
      </c>
      <c r="E1235">
        <v>111.3</v>
      </c>
      <c r="F1235">
        <v>9.34</v>
      </c>
      <c r="G1235">
        <v>12.15</v>
      </c>
      <c r="K1235">
        <v>1.7110000000000001</v>
      </c>
      <c r="L1235">
        <v>234.4</v>
      </c>
      <c r="M1235">
        <v>0</v>
      </c>
      <c r="O1235">
        <v>261.5</v>
      </c>
      <c r="P1235">
        <v>93.2</v>
      </c>
      <c r="Q1235">
        <v>15.72</v>
      </c>
      <c r="S1235">
        <v>13.2</v>
      </c>
      <c r="T1235">
        <v>0</v>
      </c>
      <c r="U1235">
        <v>69.61</v>
      </c>
      <c r="V1235">
        <v>575.1</v>
      </c>
      <c r="W1235">
        <v>22.97</v>
      </c>
      <c r="Y1235">
        <v>13.75</v>
      </c>
    </row>
    <row r="1236" spans="1:25" x14ac:dyDescent="0.25">
      <c r="A1236">
        <v>2007</v>
      </c>
      <c r="B1236">
        <v>128</v>
      </c>
      <c r="C1236">
        <v>1900</v>
      </c>
      <c r="D1236">
        <v>104.8</v>
      </c>
      <c r="E1236">
        <v>37.18</v>
      </c>
      <c r="F1236">
        <v>8.58</v>
      </c>
      <c r="G1236">
        <v>11.58</v>
      </c>
      <c r="K1236">
        <v>2.198</v>
      </c>
      <c r="L1236">
        <v>234.1</v>
      </c>
      <c r="M1236">
        <v>0</v>
      </c>
      <c r="O1236">
        <v>127.8</v>
      </c>
      <c r="P1236">
        <v>46.95</v>
      </c>
      <c r="Q1236">
        <v>15.6</v>
      </c>
      <c r="S1236">
        <v>13.32</v>
      </c>
      <c r="T1236">
        <v>0</v>
      </c>
      <c r="U1236">
        <v>67.010000000000005</v>
      </c>
      <c r="V1236">
        <v>574.29999999999995</v>
      </c>
      <c r="W1236">
        <v>22.94</v>
      </c>
      <c r="Y1236">
        <v>13.62</v>
      </c>
    </row>
    <row r="1237" spans="1:25" x14ac:dyDescent="0.25">
      <c r="A1237">
        <v>2007</v>
      </c>
      <c r="B1237">
        <v>128</v>
      </c>
      <c r="C1237">
        <v>2000</v>
      </c>
      <c r="D1237">
        <v>18.36</v>
      </c>
      <c r="E1237">
        <v>-29.41</v>
      </c>
      <c r="F1237">
        <v>7.9</v>
      </c>
      <c r="G1237">
        <v>9.75</v>
      </c>
      <c r="K1237">
        <v>1.0720000000000001</v>
      </c>
      <c r="L1237">
        <v>268.2</v>
      </c>
      <c r="M1237">
        <v>0</v>
      </c>
      <c r="O1237">
        <v>13.37</v>
      </c>
      <c r="P1237">
        <v>3.8660000000000001</v>
      </c>
      <c r="Q1237">
        <v>15.38</v>
      </c>
      <c r="S1237">
        <v>13.38</v>
      </c>
      <c r="T1237">
        <v>0</v>
      </c>
      <c r="U1237">
        <v>77.900000000000006</v>
      </c>
      <c r="V1237">
        <v>577.20000000000005</v>
      </c>
      <c r="W1237">
        <v>23.07</v>
      </c>
      <c r="Y1237">
        <v>13.51</v>
      </c>
    </row>
    <row r="1238" spans="1:25" x14ac:dyDescent="0.25">
      <c r="A1238">
        <v>2007</v>
      </c>
      <c r="B1238">
        <v>128</v>
      </c>
      <c r="C1238">
        <v>2100</v>
      </c>
      <c r="D1238">
        <v>-2.569</v>
      </c>
      <c r="E1238">
        <v>-55.13</v>
      </c>
      <c r="F1238">
        <v>5.5620000000000003</v>
      </c>
      <c r="G1238">
        <v>6.4640000000000004</v>
      </c>
      <c r="K1238">
        <v>0.29799999999999999</v>
      </c>
      <c r="L1238">
        <v>218.5</v>
      </c>
      <c r="M1238">
        <v>0</v>
      </c>
      <c r="O1238">
        <v>-10.039999999999999</v>
      </c>
      <c r="P1238">
        <v>-10.57</v>
      </c>
      <c r="Q1238">
        <v>15.05</v>
      </c>
      <c r="S1238">
        <v>13.37</v>
      </c>
      <c r="T1238">
        <v>0</v>
      </c>
      <c r="U1238">
        <v>87.8</v>
      </c>
      <c r="V1238">
        <v>587.79999999999995</v>
      </c>
      <c r="W1238">
        <v>23.54</v>
      </c>
      <c r="Y1238">
        <v>13.39</v>
      </c>
    </row>
    <row r="1239" spans="1:25" x14ac:dyDescent="0.25">
      <c r="A1239">
        <v>2007</v>
      </c>
      <c r="B1239">
        <v>128</v>
      </c>
      <c r="C1239">
        <v>2200</v>
      </c>
      <c r="D1239">
        <v>-2.7410000000000001</v>
      </c>
      <c r="E1239">
        <v>-34</v>
      </c>
      <c r="F1239">
        <v>4.9210000000000003</v>
      </c>
      <c r="G1239">
        <v>5.8040000000000003</v>
      </c>
      <c r="K1239">
        <v>0.47799999999999998</v>
      </c>
      <c r="L1239">
        <v>224.9</v>
      </c>
      <c r="M1239">
        <v>0</v>
      </c>
      <c r="O1239">
        <v>-12.17</v>
      </c>
      <c r="P1239">
        <v>-11.48</v>
      </c>
      <c r="Q1239">
        <v>14.57</v>
      </c>
      <c r="S1239">
        <v>13.35</v>
      </c>
      <c r="T1239">
        <v>0</v>
      </c>
      <c r="U1239">
        <v>87.7</v>
      </c>
      <c r="V1239">
        <v>595.4</v>
      </c>
      <c r="W1239">
        <v>23.88</v>
      </c>
      <c r="Y1239">
        <v>13.3</v>
      </c>
    </row>
    <row r="1240" spans="1:25" x14ac:dyDescent="0.25">
      <c r="A1240">
        <v>2007</v>
      </c>
      <c r="B1240">
        <v>128</v>
      </c>
      <c r="C1240">
        <v>2300</v>
      </c>
      <c r="D1240">
        <v>-2.1150000000000002</v>
      </c>
      <c r="E1240">
        <v>-30.82</v>
      </c>
      <c r="F1240">
        <v>6.6589999999999998</v>
      </c>
      <c r="G1240">
        <v>8.0500000000000007</v>
      </c>
      <c r="K1240">
        <v>1.0489999999999999</v>
      </c>
      <c r="L1240">
        <v>222.2</v>
      </c>
      <c r="M1240">
        <v>0</v>
      </c>
      <c r="O1240">
        <v>-12.17</v>
      </c>
      <c r="P1240">
        <v>-11.47</v>
      </c>
      <c r="Q1240">
        <v>14.09</v>
      </c>
      <c r="S1240">
        <v>13.29</v>
      </c>
      <c r="T1240">
        <v>0</v>
      </c>
      <c r="U1240">
        <v>82.2</v>
      </c>
      <c r="V1240">
        <v>595.1</v>
      </c>
      <c r="W1240">
        <v>23.86</v>
      </c>
      <c r="Y1240">
        <v>13.22</v>
      </c>
    </row>
    <row r="1241" spans="1:25" x14ac:dyDescent="0.25">
      <c r="A1241">
        <v>2007</v>
      </c>
      <c r="B1241">
        <v>128</v>
      </c>
      <c r="C1241">
        <v>2400</v>
      </c>
      <c r="D1241">
        <v>-1.86</v>
      </c>
      <c r="E1241">
        <v>-28.2</v>
      </c>
      <c r="F1241">
        <v>6.617</v>
      </c>
      <c r="G1241">
        <v>7.84</v>
      </c>
      <c r="K1241">
        <v>0.92500000000000004</v>
      </c>
      <c r="L1241">
        <v>225.4</v>
      </c>
      <c r="M1241">
        <v>0</v>
      </c>
      <c r="O1241">
        <v>-12.17</v>
      </c>
      <c r="P1241">
        <v>-11.46</v>
      </c>
      <c r="Q1241">
        <v>13.72</v>
      </c>
      <c r="S1241">
        <v>13.18</v>
      </c>
      <c r="T1241">
        <v>0</v>
      </c>
      <c r="U1241">
        <v>84.2</v>
      </c>
      <c r="V1241">
        <v>592.29999999999995</v>
      </c>
      <c r="W1241">
        <v>23.74</v>
      </c>
      <c r="Y1241">
        <v>13.14</v>
      </c>
    </row>
    <row r="1242" spans="1:25" x14ac:dyDescent="0.25">
      <c r="A1242">
        <v>2007</v>
      </c>
      <c r="B1242">
        <v>129</v>
      </c>
      <c r="C1242">
        <v>100</v>
      </c>
      <c r="D1242">
        <v>-2.0379999999999998</v>
      </c>
      <c r="E1242">
        <v>-29.99</v>
      </c>
      <c r="F1242">
        <v>6.375</v>
      </c>
      <c r="G1242">
        <v>7.59</v>
      </c>
      <c r="K1242">
        <v>0.86199999999999999</v>
      </c>
      <c r="L1242">
        <v>221.6</v>
      </c>
      <c r="M1242">
        <v>0</v>
      </c>
      <c r="O1242">
        <v>-12.17</v>
      </c>
      <c r="P1242">
        <v>-11.44</v>
      </c>
      <c r="Q1242">
        <v>13.42</v>
      </c>
      <c r="S1242">
        <v>13.05</v>
      </c>
      <c r="T1242">
        <v>0</v>
      </c>
      <c r="U1242">
        <v>84.2</v>
      </c>
      <c r="V1242">
        <v>589.20000000000005</v>
      </c>
      <c r="W1242">
        <v>23.6</v>
      </c>
      <c r="Y1242">
        <v>13.07</v>
      </c>
    </row>
    <row r="1243" spans="1:25" x14ac:dyDescent="0.25">
      <c r="A1243">
        <v>2007</v>
      </c>
      <c r="B1243">
        <v>129</v>
      </c>
      <c r="C1243">
        <v>200</v>
      </c>
      <c r="D1243">
        <v>-1.744</v>
      </c>
      <c r="E1243">
        <v>-31.29</v>
      </c>
      <c r="F1243">
        <v>6.234</v>
      </c>
      <c r="G1243">
        <v>7.51</v>
      </c>
      <c r="K1243">
        <v>1.02</v>
      </c>
      <c r="L1243">
        <v>213.6</v>
      </c>
      <c r="M1243">
        <v>0</v>
      </c>
      <c r="O1243">
        <v>-12.15</v>
      </c>
      <c r="P1243">
        <v>-11.42</v>
      </c>
      <c r="Q1243">
        <v>13.17</v>
      </c>
      <c r="S1243">
        <v>12.95</v>
      </c>
      <c r="T1243">
        <v>0</v>
      </c>
      <c r="U1243">
        <v>83.4</v>
      </c>
      <c r="V1243">
        <v>583.79999999999995</v>
      </c>
      <c r="W1243">
        <v>23.36</v>
      </c>
      <c r="Y1243">
        <v>13.01</v>
      </c>
    </row>
    <row r="1244" spans="1:25" x14ac:dyDescent="0.25">
      <c r="A1244">
        <v>2007</v>
      </c>
      <c r="B1244">
        <v>129</v>
      </c>
      <c r="C1244">
        <v>300</v>
      </c>
      <c r="D1244">
        <v>-2.8879999999999999</v>
      </c>
      <c r="E1244">
        <v>-45.32</v>
      </c>
      <c r="F1244">
        <v>5.3380000000000001</v>
      </c>
      <c r="G1244">
        <v>6.3719999999999999</v>
      </c>
      <c r="K1244">
        <v>1.212</v>
      </c>
      <c r="L1244">
        <v>205.2</v>
      </c>
      <c r="M1244">
        <v>0</v>
      </c>
      <c r="O1244">
        <v>-12.14</v>
      </c>
      <c r="P1244">
        <v>-11.37</v>
      </c>
      <c r="Q1244">
        <v>12.92</v>
      </c>
      <c r="S1244">
        <v>12.82</v>
      </c>
      <c r="T1244">
        <v>0</v>
      </c>
      <c r="U1244">
        <v>85.8</v>
      </c>
      <c r="V1244">
        <v>571.9</v>
      </c>
      <c r="W1244">
        <v>22.83</v>
      </c>
      <c r="Y1244">
        <v>12.95</v>
      </c>
    </row>
    <row r="1245" spans="1:25" x14ac:dyDescent="0.25">
      <c r="A1245">
        <v>2007</v>
      </c>
      <c r="B1245">
        <v>129</v>
      </c>
      <c r="C1245">
        <v>400</v>
      </c>
      <c r="D1245">
        <v>-2.5310000000000001</v>
      </c>
      <c r="E1245">
        <v>-37.74</v>
      </c>
      <c r="F1245">
        <v>5.21</v>
      </c>
      <c r="G1245">
        <v>6.194</v>
      </c>
      <c r="K1245">
        <v>1.3839999999999999</v>
      </c>
      <c r="L1245">
        <v>204.8</v>
      </c>
      <c r="M1245">
        <v>0</v>
      </c>
      <c r="O1245">
        <v>-11.9</v>
      </c>
      <c r="P1245">
        <v>-11.23</v>
      </c>
      <c r="Q1245">
        <v>12.64</v>
      </c>
      <c r="S1245">
        <v>12.68</v>
      </c>
      <c r="T1245">
        <v>0</v>
      </c>
      <c r="U1245">
        <v>86.4</v>
      </c>
      <c r="V1245">
        <v>576.5</v>
      </c>
      <c r="W1245">
        <v>23.04</v>
      </c>
      <c r="Y1245">
        <v>12.9</v>
      </c>
    </row>
    <row r="1246" spans="1:25" x14ac:dyDescent="0.25">
      <c r="A1246">
        <v>2007</v>
      </c>
      <c r="B1246">
        <v>129</v>
      </c>
      <c r="C1246">
        <v>500</v>
      </c>
      <c r="D1246">
        <v>5.4160000000000004</v>
      </c>
      <c r="E1246">
        <v>-21.18</v>
      </c>
      <c r="F1246">
        <v>5.3460000000000001</v>
      </c>
      <c r="G1246">
        <v>6.3179999999999996</v>
      </c>
      <c r="K1246">
        <v>1.2030000000000001</v>
      </c>
      <c r="L1246">
        <v>211.6</v>
      </c>
      <c r="M1246">
        <v>0</v>
      </c>
      <c r="O1246">
        <v>-1.3380000000000001</v>
      </c>
      <c r="P1246">
        <v>-7.51</v>
      </c>
      <c r="Q1246">
        <v>12.35</v>
      </c>
      <c r="S1246">
        <v>12.55</v>
      </c>
      <c r="T1246">
        <v>0</v>
      </c>
      <c r="U1246">
        <v>86.7</v>
      </c>
      <c r="V1246">
        <v>578.4</v>
      </c>
      <c r="W1246">
        <v>23.12</v>
      </c>
      <c r="Y1246">
        <v>12.86</v>
      </c>
    </row>
    <row r="1247" spans="1:25" x14ac:dyDescent="0.25">
      <c r="A1247">
        <v>2007</v>
      </c>
      <c r="B1247">
        <v>129</v>
      </c>
      <c r="C1247">
        <v>600</v>
      </c>
      <c r="D1247">
        <v>94.2</v>
      </c>
      <c r="E1247">
        <v>45.06</v>
      </c>
      <c r="F1247">
        <v>6.4729999999999999</v>
      </c>
      <c r="G1247">
        <v>7.73</v>
      </c>
      <c r="K1247">
        <v>1.2190000000000001</v>
      </c>
      <c r="L1247">
        <v>209.9</v>
      </c>
      <c r="M1247">
        <v>0</v>
      </c>
      <c r="O1247">
        <v>125.8</v>
      </c>
      <c r="P1247">
        <v>44.12</v>
      </c>
      <c r="Q1247">
        <v>12.14</v>
      </c>
      <c r="S1247">
        <v>12.49</v>
      </c>
      <c r="T1247">
        <v>0</v>
      </c>
      <c r="U1247">
        <v>83.8</v>
      </c>
      <c r="V1247">
        <v>574.20000000000005</v>
      </c>
      <c r="W1247">
        <v>22.93</v>
      </c>
      <c r="Y1247">
        <v>13.09</v>
      </c>
    </row>
    <row r="1248" spans="1:25" x14ac:dyDescent="0.25">
      <c r="A1248">
        <v>2007</v>
      </c>
      <c r="B1248">
        <v>129</v>
      </c>
      <c r="C1248">
        <v>700</v>
      </c>
      <c r="D1248">
        <v>165</v>
      </c>
      <c r="E1248">
        <v>86.9</v>
      </c>
      <c r="F1248">
        <v>7.41</v>
      </c>
      <c r="G1248">
        <v>8.92</v>
      </c>
      <c r="K1248">
        <v>1.3260000000000001</v>
      </c>
      <c r="L1248">
        <v>206</v>
      </c>
      <c r="M1248">
        <v>0</v>
      </c>
      <c r="O1248">
        <v>208.3</v>
      </c>
      <c r="P1248">
        <v>64.739999999999995</v>
      </c>
      <c r="Q1248">
        <v>12.08</v>
      </c>
      <c r="S1248">
        <v>12.4</v>
      </c>
      <c r="T1248">
        <v>0</v>
      </c>
      <c r="U1248">
        <v>81.3</v>
      </c>
      <c r="V1248">
        <v>569</v>
      </c>
      <c r="W1248">
        <v>22.7</v>
      </c>
      <c r="Y1248">
        <v>13.75</v>
      </c>
    </row>
    <row r="1249" spans="1:25" x14ac:dyDescent="0.25">
      <c r="A1249">
        <v>2007</v>
      </c>
      <c r="B1249">
        <v>129</v>
      </c>
      <c r="C1249">
        <v>800</v>
      </c>
      <c r="D1249">
        <v>240.3</v>
      </c>
      <c r="E1249">
        <v>137.9</v>
      </c>
      <c r="F1249">
        <v>8.32</v>
      </c>
      <c r="G1249">
        <v>9.86</v>
      </c>
      <c r="K1249">
        <v>1.655</v>
      </c>
      <c r="L1249">
        <v>212.7</v>
      </c>
      <c r="M1249">
        <v>0</v>
      </c>
      <c r="O1249">
        <v>297.8</v>
      </c>
      <c r="P1249">
        <v>86.6</v>
      </c>
      <c r="Q1249">
        <v>12.15</v>
      </c>
      <c r="S1249">
        <v>12.29</v>
      </c>
      <c r="T1249">
        <v>0</v>
      </c>
      <c r="U1249">
        <v>81.599999999999994</v>
      </c>
      <c r="V1249">
        <v>570</v>
      </c>
      <c r="W1249">
        <v>22.74</v>
      </c>
      <c r="Y1249">
        <v>13.97</v>
      </c>
    </row>
    <row r="1250" spans="1:25" x14ac:dyDescent="0.25">
      <c r="A1250">
        <v>2007</v>
      </c>
      <c r="B1250">
        <v>129</v>
      </c>
      <c r="C1250">
        <v>900</v>
      </c>
      <c r="D1250">
        <v>448.4</v>
      </c>
      <c r="E1250">
        <v>275.3</v>
      </c>
      <c r="F1250">
        <v>8.99</v>
      </c>
      <c r="G1250">
        <v>10.97</v>
      </c>
      <c r="H1250">
        <f>AVERAGE(G1250:G1273)</f>
        <v>10.641666666666667</v>
      </c>
      <c r="I1250">
        <f>MIN(G1250:G1273)</f>
        <v>8.1199999999999992</v>
      </c>
      <c r="J1250">
        <f>MAX(F1250:F1273)</f>
        <v>10.23</v>
      </c>
      <c r="K1250">
        <v>2.056</v>
      </c>
      <c r="L1250">
        <v>217</v>
      </c>
      <c r="M1250">
        <v>0</v>
      </c>
      <c r="N1250">
        <f>SUM(M1250:M1273)</f>
        <v>4</v>
      </c>
      <c r="O1250">
        <v>552.1</v>
      </c>
      <c r="P1250">
        <v>167.7</v>
      </c>
      <c r="Q1250">
        <v>12.37</v>
      </c>
      <c r="S1250">
        <v>12.24</v>
      </c>
      <c r="T1250">
        <v>0</v>
      </c>
      <c r="U1250">
        <v>77.400000000000006</v>
      </c>
      <c r="V1250">
        <v>569.70000000000005</v>
      </c>
      <c r="W1250">
        <v>22.73</v>
      </c>
      <c r="Y1250">
        <v>14.49</v>
      </c>
    </row>
    <row r="1251" spans="1:25" x14ac:dyDescent="0.25">
      <c r="A1251">
        <v>2007</v>
      </c>
      <c r="B1251">
        <v>129</v>
      </c>
      <c r="C1251">
        <v>1000</v>
      </c>
      <c r="D1251">
        <v>423.7</v>
      </c>
      <c r="E1251">
        <v>249.5</v>
      </c>
      <c r="F1251">
        <v>9.4499999999999993</v>
      </c>
      <c r="G1251">
        <v>11.96</v>
      </c>
      <c r="K1251">
        <v>1.9</v>
      </c>
      <c r="L1251">
        <v>222.9</v>
      </c>
      <c r="M1251">
        <v>0</v>
      </c>
      <c r="O1251">
        <v>532.20000000000005</v>
      </c>
      <c r="P1251">
        <v>152.5</v>
      </c>
      <c r="Q1251">
        <v>12.83</v>
      </c>
      <c r="S1251">
        <v>12.25</v>
      </c>
      <c r="T1251">
        <v>0</v>
      </c>
      <c r="U1251">
        <v>72.5</v>
      </c>
      <c r="V1251">
        <v>569.1</v>
      </c>
      <c r="W1251">
        <v>22.7</v>
      </c>
      <c r="Y1251">
        <v>14.38</v>
      </c>
    </row>
    <row r="1252" spans="1:25" x14ac:dyDescent="0.25">
      <c r="A1252">
        <v>2007</v>
      </c>
      <c r="B1252">
        <v>129</v>
      </c>
      <c r="C1252">
        <v>1100</v>
      </c>
      <c r="D1252">
        <v>536.9</v>
      </c>
      <c r="E1252">
        <v>309.89999999999998</v>
      </c>
      <c r="F1252">
        <v>9.69</v>
      </c>
      <c r="G1252">
        <v>12.88</v>
      </c>
      <c r="K1252">
        <v>1.9359999999999999</v>
      </c>
      <c r="L1252">
        <v>213.4</v>
      </c>
      <c r="M1252">
        <v>0</v>
      </c>
      <c r="O1252">
        <v>665.1</v>
      </c>
      <c r="P1252">
        <v>175.8</v>
      </c>
      <c r="Q1252">
        <v>13.31</v>
      </c>
      <c r="S1252">
        <v>12.25</v>
      </c>
      <c r="T1252">
        <v>0</v>
      </c>
      <c r="U1252">
        <v>66.739999999999995</v>
      </c>
      <c r="V1252">
        <v>568.9</v>
      </c>
      <c r="W1252">
        <v>22.7</v>
      </c>
      <c r="Y1252">
        <v>14.35</v>
      </c>
    </row>
    <row r="1253" spans="1:25" x14ac:dyDescent="0.25">
      <c r="A1253">
        <v>2007</v>
      </c>
      <c r="B1253">
        <v>129</v>
      </c>
      <c r="C1253">
        <v>1200</v>
      </c>
      <c r="D1253">
        <v>649.29999999999995</v>
      </c>
      <c r="E1253">
        <v>369.8</v>
      </c>
      <c r="F1253">
        <v>10.23</v>
      </c>
      <c r="G1253">
        <v>14.19</v>
      </c>
      <c r="K1253">
        <v>2.19</v>
      </c>
      <c r="L1253">
        <v>203.5</v>
      </c>
      <c r="M1253">
        <v>0</v>
      </c>
      <c r="O1253">
        <v>794</v>
      </c>
      <c r="P1253">
        <v>197.3</v>
      </c>
      <c r="Q1253">
        <v>13.94</v>
      </c>
      <c r="S1253">
        <v>12.39</v>
      </c>
      <c r="T1253">
        <v>0</v>
      </c>
      <c r="U1253">
        <v>60.59</v>
      </c>
      <c r="V1253">
        <v>570.6</v>
      </c>
      <c r="W1253">
        <v>22.77</v>
      </c>
      <c r="Y1253">
        <v>14.23</v>
      </c>
    </row>
    <row r="1254" spans="1:25" x14ac:dyDescent="0.25">
      <c r="A1254">
        <v>2007</v>
      </c>
      <c r="B1254">
        <v>129</v>
      </c>
      <c r="C1254">
        <v>1300</v>
      </c>
      <c r="D1254">
        <v>456.6</v>
      </c>
      <c r="E1254">
        <v>249.6</v>
      </c>
      <c r="F1254">
        <v>10.08</v>
      </c>
      <c r="G1254">
        <v>14.4</v>
      </c>
      <c r="K1254">
        <v>1.9730000000000001</v>
      </c>
      <c r="L1254">
        <v>185.4</v>
      </c>
      <c r="M1254">
        <v>0</v>
      </c>
      <c r="O1254">
        <v>571.20000000000005</v>
      </c>
      <c r="P1254">
        <v>155.4</v>
      </c>
      <c r="Q1254">
        <v>14.74</v>
      </c>
      <c r="S1254">
        <v>12.54</v>
      </c>
      <c r="T1254">
        <v>0</v>
      </c>
      <c r="U1254">
        <v>57.42</v>
      </c>
      <c r="V1254">
        <v>573.1</v>
      </c>
      <c r="W1254">
        <v>22.89</v>
      </c>
      <c r="Y1254">
        <v>14.15</v>
      </c>
    </row>
    <row r="1255" spans="1:25" x14ac:dyDescent="0.25">
      <c r="A1255">
        <v>2007</v>
      </c>
      <c r="B1255">
        <v>129</v>
      </c>
      <c r="C1255">
        <v>1400</v>
      </c>
      <c r="D1255">
        <v>377.1</v>
      </c>
      <c r="E1255">
        <v>203.1</v>
      </c>
      <c r="F1255">
        <v>9.75</v>
      </c>
      <c r="G1255">
        <v>13.9</v>
      </c>
      <c r="K1255">
        <v>2.3650000000000002</v>
      </c>
      <c r="L1255">
        <v>172.1</v>
      </c>
      <c r="M1255">
        <v>0</v>
      </c>
      <c r="O1255">
        <v>479.7</v>
      </c>
      <c r="P1255">
        <v>139</v>
      </c>
      <c r="Q1255">
        <v>15.3</v>
      </c>
      <c r="S1255">
        <v>12.69</v>
      </c>
      <c r="T1255">
        <v>0</v>
      </c>
      <c r="U1255">
        <v>58.39</v>
      </c>
      <c r="V1255">
        <v>572.79999999999995</v>
      </c>
      <c r="W1255">
        <v>22.87</v>
      </c>
      <c r="Y1255">
        <v>14.08</v>
      </c>
    </row>
    <row r="1256" spans="1:25" x14ac:dyDescent="0.25">
      <c r="A1256">
        <v>2007</v>
      </c>
      <c r="B1256">
        <v>129</v>
      </c>
      <c r="C1256">
        <v>1500</v>
      </c>
      <c r="D1256">
        <v>401.6</v>
      </c>
      <c r="E1256">
        <v>216.6</v>
      </c>
      <c r="F1256">
        <v>9.83</v>
      </c>
      <c r="G1256">
        <v>13.73</v>
      </c>
      <c r="K1256">
        <v>2.5920000000000001</v>
      </c>
      <c r="L1256">
        <v>156.9</v>
      </c>
      <c r="M1256">
        <v>0</v>
      </c>
      <c r="O1256">
        <v>502</v>
      </c>
      <c r="P1256">
        <v>144.6</v>
      </c>
      <c r="Q1256">
        <v>15.56</v>
      </c>
      <c r="S1256">
        <v>12.9</v>
      </c>
      <c r="T1256">
        <v>0</v>
      </c>
      <c r="U1256">
        <v>60.61</v>
      </c>
      <c r="V1256">
        <v>572.1</v>
      </c>
      <c r="W1256">
        <v>22.84</v>
      </c>
      <c r="Y1256">
        <v>14.13</v>
      </c>
    </row>
    <row r="1257" spans="1:25" x14ac:dyDescent="0.25">
      <c r="A1257">
        <v>2007</v>
      </c>
      <c r="B1257">
        <v>129</v>
      </c>
      <c r="C1257">
        <v>1600</v>
      </c>
      <c r="D1257">
        <v>256</v>
      </c>
      <c r="E1257">
        <v>131</v>
      </c>
      <c r="F1257">
        <v>9.73</v>
      </c>
      <c r="G1257">
        <v>12.98</v>
      </c>
      <c r="K1257">
        <v>2.7370000000000001</v>
      </c>
      <c r="L1257">
        <v>142</v>
      </c>
      <c r="M1257">
        <v>0</v>
      </c>
      <c r="O1257">
        <v>321.8</v>
      </c>
      <c r="P1257">
        <v>89.4</v>
      </c>
      <c r="Q1257">
        <v>15.75</v>
      </c>
      <c r="S1257">
        <v>13.12</v>
      </c>
      <c r="T1257">
        <v>0</v>
      </c>
      <c r="U1257">
        <v>65.930000000000007</v>
      </c>
      <c r="V1257">
        <v>570.70000000000005</v>
      </c>
      <c r="W1257">
        <v>22.77</v>
      </c>
      <c r="Y1257">
        <v>13.93</v>
      </c>
    </row>
    <row r="1258" spans="1:25" x14ac:dyDescent="0.25">
      <c r="A1258">
        <v>2007</v>
      </c>
      <c r="B1258">
        <v>129</v>
      </c>
      <c r="C1258">
        <v>1700</v>
      </c>
      <c r="D1258">
        <v>127.2</v>
      </c>
      <c r="E1258">
        <v>55.24</v>
      </c>
      <c r="F1258">
        <v>9.48</v>
      </c>
      <c r="G1258">
        <v>11.72</v>
      </c>
      <c r="K1258">
        <v>2.8420000000000001</v>
      </c>
      <c r="L1258">
        <v>136.9</v>
      </c>
      <c r="M1258">
        <v>0</v>
      </c>
      <c r="O1258">
        <v>156.6</v>
      </c>
      <c r="P1258">
        <v>39.89</v>
      </c>
      <c r="Q1258">
        <v>15.77</v>
      </c>
      <c r="S1258">
        <v>13.26</v>
      </c>
      <c r="T1258">
        <v>0</v>
      </c>
      <c r="U1258">
        <v>75.099999999999994</v>
      </c>
      <c r="V1258">
        <v>569.4</v>
      </c>
      <c r="W1258">
        <v>22.72</v>
      </c>
      <c r="Y1258">
        <v>13.75</v>
      </c>
    </row>
    <row r="1259" spans="1:25" x14ac:dyDescent="0.25">
      <c r="A1259">
        <v>2007</v>
      </c>
      <c r="B1259">
        <v>129</v>
      </c>
      <c r="C1259">
        <v>1800</v>
      </c>
      <c r="D1259">
        <v>39.22</v>
      </c>
      <c r="E1259">
        <v>4.2359999999999998</v>
      </c>
      <c r="F1259">
        <v>9.17</v>
      </c>
      <c r="G1259">
        <v>10.77</v>
      </c>
      <c r="K1259">
        <v>2.7879999999999998</v>
      </c>
      <c r="L1259">
        <v>143.4</v>
      </c>
      <c r="M1259">
        <v>0.6</v>
      </c>
      <c r="O1259">
        <v>44.9</v>
      </c>
      <c r="P1259">
        <v>4.149</v>
      </c>
      <c r="Q1259">
        <v>15.63</v>
      </c>
      <c r="S1259">
        <v>13.38</v>
      </c>
      <c r="T1259">
        <v>0</v>
      </c>
      <c r="U1259">
        <v>81.599999999999994</v>
      </c>
      <c r="V1259">
        <v>569.1</v>
      </c>
      <c r="W1259">
        <v>22.7</v>
      </c>
      <c r="Y1259">
        <v>13.56</v>
      </c>
    </row>
    <row r="1260" spans="1:25" x14ac:dyDescent="0.25">
      <c r="A1260">
        <v>2007</v>
      </c>
      <c r="B1260">
        <v>129</v>
      </c>
      <c r="C1260">
        <v>1900</v>
      </c>
      <c r="D1260">
        <v>22.77</v>
      </c>
      <c r="E1260">
        <v>2.6840000000000002</v>
      </c>
      <c r="F1260">
        <v>9.41</v>
      </c>
      <c r="G1260">
        <v>10.39</v>
      </c>
      <c r="K1260">
        <v>3.0880000000000001</v>
      </c>
      <c r="L1260">
        <v>138.9</v>
      </c>
      <c r="M1260">
        <v>2.2000000000000002</v>
      </c>
      <c r="O1260">
        <v>21.41</v>
      </c>
      <c r="P1260">
        <v>-3.552</v>
      </c>
      <c r="Q1260">
        <v>15.36</v>
      </c>
      <c r="S1260">
        <v>13.46</v>
      </c>
      <c r="T1260">
        <v>0</v>
      </c>
      <c r="U1260">
        <v>88.4</v>
      </c>
      <c r="V1260">
        <v>571.20000000000005</v>
      </c>
      <c r="W1260">
        <v>22.8</v>
      </c>
      <c r="Y1260">
        <v>13.45</v>
      </c>
    </row>
    <row r="1261" spans="1:25" x14ac:dyDescent="0.25">
      <c r="A1261">
        <v>2007</v>
      </c>
      <c r="B1261">
        <v>129</v>
      </c>
      <c r="C1261">
        <v>2000</v>
      </c>
      <c r="D1261">
        <v>23.92</v>
      </c>
      <c r="E1261">
        <v>-9.7200000000000006</v>
      </c>
      <c r="F1261">
        <v>9</v>
      </c>
      <c r="G1261">
        <v>10.26</v>
      </c>
      <c r="K1261">
        <v>2.8079999999999998</v>
      </c>
      <c r="L1261">
        <v>210.7</v>
      </c>
      <c r="M1261">
        <v>1</v>
      </c>
      <c r="O1261">
        <v>24.75</v>
      </c>
      <c r="P1261">
        <v>3.7240000000000002</v>
      </c>
      <c r="Q1261">
        <v>15.02</v>
      </c>
      <c r="S1261">
        <v>13.48</v>
      </c>
      <c r="T1261">
        <v>0</v>
      </c>
      <c r="U1261">
        <v>85</v>
      </c>
      <c r="V1261">
        <v>576.79999999999995</v>
      </c>
      <c r="W1261">
        <v>23.05</v>
      </c>
      <c r="Y1261">
        <v>13.37</v>
      </c>
    </row>
    <row r="1262" spans="1:25" x14ac:dyDescent="0.25">
      <c r="A1262">
        <v>2007</v>
      </c>
      <c r="B1262">
        <v>129</v>
      </c>
      <c r="C1262">
        <v>2100</v>
      </c>
      <c r="D1262">
        <v>-0.36899999999999999</v>
      </c>
      <c r="E1262">
        <v>-51.02</v>
      </c>
      <c r="F1262">
        <v>7.53</v>
      </c>
      <c r="G1262">
        <v>8.92</v>
      </c>
      <c r="K1262">
        <v>2.4209999999999998</v>
      </c>
      <c r="L1262">
        <v>226.5</v>
      </c>
      <c r="M1262">
        <v>0</v>
      </c>
      <c r="O1262">
        <v>-9.4700000000000006</v>
      </c>
      <c r="P1262">
        <v>-10.31</v>
      </c>
      <c r="Q1262">
        <v>14.66</v>
      </c>
      <c r="S1262">
        <v>13.41</v>
      </c>
      <c r="T1262">
        <v>0</v>
      </c>
      <c r="U1262">
        <v>82.7</v>
      </c>
      <c r="V1262">
        <v>579.79999999999995</v>
      </c>
      <c r="W1262">
        <v>23.18</v>
      </c>
      <c r="Y1262">
        <v>13.29</v>
      </c>
    </row>
    <row r="1263" spans="1:25" x14ac:dyDescent="0.25">
      <c r="A1263">
        <v>2007</v>
      </c>
      <c r="B1263">
        <v>129</v>
      </c>
      <c r="C1263">
        <v>2200</v>
      </c>
      <c r="D1263">
        <v>-2.5110000000000001</v>
      </c>
      <c r="E1263">
        <v>-46.28</v>
      </c>
      <c r="F1263">
        <v>6.976</v>
      </c>
      <c r="G1263">
        <v>8.4700000000000006</v>
      </c>
      <c r="K1263">
        <v>2.4460000000000002</v>
      </c>
      <c r="L1263">
        <v>225.1</v>
      </c>
      <c r="M1263">
        <v>0</v>
      </c>
      <c r="O1263">
        <v>-11.62</v>
      </c>
      <c r="P1263">
        <v>-11.03</v>
      </c>
      <c r="Q1263">
        <v>14.31</v>
      </c>
      <c r="S1263">
        <v>13.38</v>
      </c>
      <c r="T1263">
        <v>0</v>
      </c>
      <c r="U1263">
        <v>81.2</v>
      </c>
      <c r="V1263">
        <v>596.9</v>
      </c>
      <c r="W1263">
        <v>23.94</v>
      </c>
      <c r="Y1263">
        <v>13.21</v>
      </c>
    </row>
    <row r="1264" spans="1:25" x14ac:dyDescent="0.25">
      <c r="A1264">
        <v>2007</v>
      </c>
      <c r="B1264">
        <v>129</v>
      </c>
      <c r="C1264">
        <v>2300</v>
      </c>
      <c r="D1264">
        <v>-2.8069999999999999</v>
      </c>
      <c r="E1264">
        <v>-49.19</v>
      </c>
      <c r="F1264">
        <v>6.6740000000000004</v>
      </c>
      <c r="G1264">
        <v>8.1199999999999992</v>
      </c>
      <c r="K1264">
        <v>2.181</v>
      </c>
      <c r="L1264">
        <v>221.7</v>
      </c>
      <c r="M1264">
        <v>0</v>
      </c>
      <c r="O1264">
        <v>-11.56</v>
      </c>
      <c r="P1264">
        <v>-10.92</v>
      </c>
      <c r="Q1264">
        <v>13.89</v>
      </c>
      <c r="S1264">
        <v>13.26</v>
      </c>
      <c r="T1264">
        <v>0</v>
      </c>
      <c r="U1264">
        <v>81.599999999999994</v>
      </c>
      <c r="V1264">
        <v>602.70000000000005</v>
      </c>
      <c r="W1264">
        <v>24.2</v>
      </c>
      <c r="Y1264">
        <v>13.13</v>
      </c>
    </row>
    <row r="1265" spans="1:25" x14ac:dyDescent="0.25">
      <c r="A1265">
        <v>2007</v>
      </c>
      <c r="B1265">
        <v>129</v>
      </c>
      <c r="C1265">
        <v>2400</v>
      </c>
      <c r="D1265">
        <v>-1.3560000000000001</v>
      </c>
      <c r="E1265">
        <v>-21.63</v>
      </c>
      <c r="F1265">
        <v>6.93</v>
      </c>
      <c r="G1265">
        <v>8.57</v>
      </c>
      <c r="K1265">
        <v>2.5910000000000002</v>
      </c>
      <c r="L1265">
        <v>212.6</v>
      </c>
      <c r="M1265">
        <v>0</v>
      </c>
      <c r="O1265">
        <v>-11.51</v>
      </c>
      <c r="P1265">
        <v>-10.88</v>
      </c>
      <c r="Q1265">
        <v>13.51</v>
      </c>
      <c r="S1265">
        <v>13.13</v>
      </c>
      <c r="T1265">
        <v>0</v>
      </c>
      <c r="U1265">
        <v>79.5</v>
      </c>
      <c r="V1265">
        <v>658.3</v>
      </c>
      <c r="W1265">
        <v>26.65</v>
      </c>
      <c r="Y1265">
        <v>13.06</v>
      </c>
    </row>
    <row r="1266" spans="1:25" x14ac:dyDescent="0.25">
      <c r="A1266">
        <v>2007</v>
      </c>
      <c r="B1266">
        <v>130</v>
      </c>
      <c r="C1266">
        <v>100</v>
      </c>
      <c r="D1266">
        <v>-1.456</v>
      </c>
      <c r="E1266">
        <v>-12.68</v>
      </c>
      <c r="F1266">
        <v>7.21</v>
      </c>
      <c r="G1266">
        <v>8.56</v>
      </c>
      <c r="K1266">
        <v>2.8809999999999998</v>
      </c>
      <c r="L1266">
        <v>214.3</v>
      </c>
      <c r="M1266">
        <v>0</v>
      </c>
      <c r="O1266">
        <v>-11.52</v>
      </c>
      <c r="P1266">
        <v>-10.87</v>
      </c>
      <c r="Q1266">
        <v>13.21</v>
      </c>
      <c r="S1266">
        <v>13.01</v>
      </c>
      <c r="T1266">
        <v>0</v>
      </c>
      <c r="U1266">
        <v>83</v>
      </c>
      <c r="V1266">
        <v>624.29999999999995</v>
      </c>
      <c r="W1266">
        <v>25.15</v>
      </c>
      <c r="Y1266">
        <v>13</v>
      </c>
    </row>
    <row r="1267" spans="1:25" x14ac:dyDescent="0.25">
      <c r="A1267">
        <v>2007</v>
      </c>
      <c r="B1267">
        <v>130</v>
      </c>
      <c r="C1267">
        <v>200</v>
      </c>
      <c r="D1267">
        <v>-1.133</v>
      </c>
      <c r="E1267">
        <v>-11.91</v>
      </c>
      <c r="F1267">
        <v>7.55</v>
      </c>
      <c r="G1267">
        <v>9</v>
      </c>
      <c r="K1267">
        <v>3.1160000000000001</v>
      </c>
      <c r="L1267">
        <v>224.5</v>
      </c>
      <c r="M1267">
        <v>0</v>
      </c>
      <c r="O1267">
        <v>-11.51</v>
      </c>
      <c r="P1267">
        <v>-10.86</v>
      </c>
      <c r="Q1267">
        <v>12.99</v>
      </c>
      <c r="S1267">
        <v>12.88</v>
      </c>
      <c r="T1267">
        <v>0</v>
      </c>
      <c r="U1267">
        <v>82.2</v>
      </c>
      <c r="V1267">
        <v>581.1</v>
      </c>
      <c r="W1267">
        <v>23.24</v>
      </c>
      <c r="Y1267">
        <v>12.94</v>
      </c>
    </row>
    <row r="1268" spans="1:25" x14ac:dyDescent="0.25">
      <c r="A1268">
        <v>2007</v>
      </c>
      <c r="B1268">
        <v>130</v>
      </c>
      <c r="C1268">
        <v>300</v>
      </c>
      <c r="D1268">
        <v>-0.97199999999999998</v>
      </c>
      <c r="E1268">
        <v>-16.2</v>
      </c>
      <c r="F1268">
        <v>7.59</v>
      </c>
      <c r="G1268">
        <v>9.39</v>
      </c>
      <c r="K1268">
        <v>3.9630000000000001</v>
      </c>
      <c r="L1268">
        <v>225.8</v>
      </c>
      <c r="M1268">
        <v>0</v>
      </c>
      <c r="O1268">
        <v>-11.52</v>
      </c>
      <c r="P1268">
        <v>-10.89</v>
      </c>
      <c r="Q1268">
        <v>12.83</v>
      </c>
      <c r="S1268">
        <v>12.76</v>
      </c>
      <c r="T1268">
        <v>0</v>
      </c>
      <c r="U1268">
        <v>78.099999999999994</v>
      </c>
      <c r="V1268">
        <v>575.4</v>
      </c>
      <c r="W1268">
        <v>22.99</v>
      </c>
      <c r="Y1268">
        <v>12.9</v>
      </c>
    </row>
    <row r="1269" spans="1:25" x14ac:dyDescent="0.25">
      <c r="A1269">
        <v>2007</v>
      </c>
      <c r="B1269">
        <v>130</v>
      </c>
      <c r="C1269">
        <v>400</v>
      </c>
      <c r="D1269">
        <v>-1.298</v>
      </c>
      <c r="E1269">
        <v>-25.87</v>
      </c>
      <c r="F1269">
        <v>7.26</v>
      </c>
      <c r="G1269">
        <v>9.08</v>
      </c>
      <c r="K1269">
        <v>3.996</v>
      </c>
      <c r="L1269">
        <v>225.6</v>
      </c>
      <c r="M1269">
        <v>0</v>
      </c>
      <c r="O1269">
        <v>-11.53</v>
      </c>
      <c r="P1269">
        <v>-10.89</v>
      </c>
      <c r="Q1269">
        <v>12.68</v>
      </c>
      <c r="S1269">
        <v>12.65</v>
      </c>
      <c r="T1269">
        <v>0</v>
      </c>
      <c r="U1269">
        <v>77.8</v>
      </c>
      <c r="V1269">
        <v>573</v>
      </c>
      <c r="W1269">
        <v>22.88</v>
      </c>
      <c r="Y1269">
        <v>12.87</v>
      </c>
    </row>
    <row r="1270" spans="1:25" x14ac:dyDescent="0.25">
      <c r="A1270">
        <v>2007</v>
      </c>
      <c r="B1270">
        <v>130</v>
      </c>
      <c r="C1270">
        <v>500</v>
      </c>
      <c r="D1270">
        <v>2.7490000000000001</v>
      </c>
      <c r="E1270">
        <v>-11.21</v>
      </c>
      <c r="F1270">
        <v>7.36</v>
      </c>
      <c r="G1270">
        <v>9.18</v>
      </c>
      <c r="K1270">
        <v>4.056</v>
      </c>
      <c r="L1270">
        <v>225</v>
      </c>
      <c r="M1270">
        <v>0</v>
      </c>
      <c r="O1270">
        <v>-6.7629999999999999</v>
      </c>
      <c r="P1270">
        <v>-9.6999999999999993</v>
      </c>
      <c r="Q1270">
        <v>12.51</v>
      </c>
      <c r="S1270">
        <v>12.54</v>
      </c>
      <c r="T1270">
        <v>0</v>
      </c>
      <c r="U1270">
        <v>77.8</v>
      </c>
      <c r="V1270">
        <v>577.70000000000005</v>
      </c>
      <c r="W1270">
        <v>23.09</v>
      </c>
      <c r="Y1270">
        <v>12.84</v>
      </c>
    </row>
    <row r="1271" spans="1:25" x14ac:dyDescent="0.25">
      <c r="A1271">
        <v>2007</v>
      </c>
      <c r="B1271">
        <v>130</v>
      </c>
      <c r="C1271">
        <v>600</v>
      </c>
      <c r="D1271">
        <v>26.28</v>
      </c>
      <c r="E1271">
        <v>6.2519999999999998</v>
      </c>
      <c r="F1271">
        <v>7.54</v>
      </c>
      <c r="G1271">
        <v>9.07</v>
      </c>
      <c r="K1271">
        <v>4.0179999999999998</v>
      </c>
      <c r="L1271">
        <v>226.3</v>
      </c>
      <c r="M1271">
        <v>0.2</v>
      </c>
      <c r="O1271">
        <v>24.21</v>
      </c>
      <c r="P1271">
        <v>-1.881</v>
      </c>
      <c r="Q1271">
        <v>12.37</v>
      </c>
      <c r="S1271">
        <v>12.44</v>
      </c>
      <c r="T1271">
        <v>0</v>
      </c>
      <c r="U1271">
        <v>81.099999999999994</v>
      </c>
      <c r="V1271">
        <v>581.9</v>
      </c>
      <c r="W1271">
        <v>23.28</v>
      </c>
      <c r="Y1271">
        <v>12.84</v>
      </c>
    </row>
    <row r="1272" spans="1:25" x14ac:dyDescent="0.25">
      <c r="A1272">
        <v>2007</v>
      </c>
      <c r="B1272">
        <v>130</v>
      </c>
      <c r="C1272">
        <v>700</v>
      </c>
      <c r="D1272">
        <v>123</v>
      </c>
      <c r="E1272">
        <v>68.91</v>
      </c>
      <c r="F1272">
        <v>7.83</v>
      </c>
      <c r="G1272">
        <v>9.16</v>
      </c>
      <c r="K1272">
        <v>3.3479999999999999</v>
      </c>
      <c r="L1272">
        <v>226.8</v>
      </c>
      <c r="M1272">
        <v>0</v>
      </c>
      <c r="O1272">
        <v>148.6</v>
      </c>
      <c r="P1272">
        <v>42.47</v>
      </c>
      <c r="Q1272">
        <v>12.29</v>
      </c>
      <c r="S1272">
        <v>12.39</v>
      </c>
      <c r="T1272">
        <v>0</v>
      </c>
      <c r="U1272">
        <v>83.7</v>
      </c>
      <c r="V1272">
        <v>580.4</v>
      </c>
      <c r="W1272">
        <v>23.21</v>
      </c>
      <c r="Y1272">
        <v>13.43</v>
      </c>
    </row>
    <row r="1273" spans="1:25" x14ac:dyDescent="0.25">
      <c r="A1273">
        <v>2007</v>
      </c>
      <c r="B1273">
        <v>130</v>
      </c>
      <c r="C1273">
        <v>800</v>
      </c>
      <c r="D1273">
        <v>139.6</v>
      </c>
      <c r="E1273">
        <v>77.599999999999994</v>
      </c>
      <c r="F1273">
        <v>7.78</v>
      </c>
      <c r="G1273">
        <v>9.73</v>
      </c>
      <c r="K1273">
        <v>3.677</v>
      </c>
      <c r="L1273">
        <v>227.3</v>
      </c>
      <c r="M1273">
        <v>0</v>
      </c>
      <c r="O1273">
        <v>164.1</v>
      </c>
      <c r="P1273">
        <v>33.5</v>
      </c>
      <c r="Q1273">
        <v>12.26</v>
      </c>
      <c r="S1273">
        <v>12.3</v>
      </c>
      <c r="T1273">
        <v>0</v>
      </c>
      <c r="U1273">
        <v>76.8</v>
      </c>
      <c r="V1273">
        <v>579.29999999999995</v>
      </c>
      <c r="W1273">
        <v>23.16</v>
      </c>
      <c r="Y1273">
        <v>13.72</v>
      </c>
    </row>
    <row r="1274" spans="1:25" x14ac:dyDescent="0.25">
      <c r="A1274">
        <v>2007</v>
      </c>
      <c r="B1274">
        <v>130</v>
      </c>
      <c r="C1274">
        <v>900</v>
      </c>
      <c r="D1274">
        <v>130.69999999999999</v>
      </c>
      <c r="E1274">
        <v>74.900000000000006</v>
      </c>
      <c r="F1274">
        <v>8.0399999999999991</v>
      </c>
      <c r="G1274">
        <v>9.99</v>
      </c>
      <c r="H1274">
        <f>AVERAGE(G1274:G1297)</f>
        <v>10.314166666666667</v>
      </c>
      <c r="I1274">
        <f>MIN(G1274:G1297)</f>
        <v>7.48</v>
      </c>
      <c r="J1274">
        <f>MAX(F1274:F1297)</f>
        <v>10.41</v>
      </c>
      <c r="K1274">
        <v>3.395</v>
      </c>
      <c r="L1274">
        <v>227.1</v>
      </c>
      <c r="M1274">
        <v>0</v>
      </c>
      <c r="N1274">
        <f>SUM(M1274:M1297)</f>
        <v>3.5999999999999996</v>
      </c>
      <c r="O1274">
        <v>167.7</v>
      </c>
      <c r="P1274">
        <v>36.78</v>
      </c>
      <c r="Q1274">
        <v>12.3</v>
      </c>
      <c r="S1274">
        <v>12.22</v>
      </c>
      <c r="T1274">
        <v>0</v>
      </c>
      <c r="U1274">
        <v>76.900000000000006</v>
      </c>
      <c r="V1274">
        <v>579.1</v>
      </c>
      <c r="W1274">
        <v>23.15</v>
      </c>
      <c r="Y1274">
        <v>13.71</v>
      </c>
    </row>
    <row r="1275" spans="1:25" x14ac:dyDescent="0.25">
      <c r="A1275">
        <v>2007</v>
      </c>
      <c r="B1275">
        <v>130</v>
      </c>
      <c r="C1275">
        <v>1000</v>
      </c>
      <c r="D1275">
        <v>455.5</v>
      </c>
      <c r="E1275">
        <v>289</v>
      </c>
      <c r="F1275">
        <v>9.06</v>
      </c>
      <c r="G1275">
        <v>11.4</v>
      </c>
      <c r="K1275">
        <v>4.1369999999999996</v>
      </c>
      <c r="L1275">
        <v>227.3</v>
      </c>
      <c r="M1275">
        <v>0</v>
      </c>
      <c r="O1275">
        <v>565.4</v>
      </c>
      <c r="P1275">
        <v>149</v>
      </c>
      <c r="Q1275">
        <v>12.44</v>
      </c>
      <c r="S1275">
        <v>12.23</v>
      </c>
      <c r="T1275">
        <v>0</v>
      </c>
      <c r="U1275">
        <v>73.900000000000006</v>
      </c>
      <c r="V1275">
        <v>579.20000000000005</v>
      </c>
      <c r="W1275">
        <v>23.16</v>
      </c>
      <c r="Y1275">
        <v>14.34</v>
      </c>
    </row>
    <row r="1276" spans="1:25" x14ac:dyDescent="0.25">
      <c r="A1276">
        <v>2007</v>
      </c>
      <c r="B1276">
        <v>130</v>
      </c>
      <c r="C1276">
        <v>1100</v>
      </c>
      <c r="D1276">
        <v>375.8</v>
      </c>
      <c r="E1276">
        <v>226.8</v>
      </c>
      <c r="F1276">
        <v>9.16</v>
      </c>
      <c r="G1276">
        <v>11.54</v>
      </c>
      <c r="K1276">
        <v>3.6949999999999998</v>
      </c>
      <c r="L1276">
        <v>227.4</v>
      </c>
      <c r="M1276">
        <v>0.6</v>
      </c>
      <c r="O1276">
        <v>481</v>
      </c>
      <c r="P1276">
        <v>126.6</v>
      </c>
      <c r="Q1276">
        <v>12.78</v>
      </c>
      <c r="S1276">
        <v>12.22</v>
      </c>
      <c r="T1276">
        <v>0</v>
      </c>
      <c r="U1276">
        <v>73.7</v>
      </c>
      <c r="V1276">
        <v>578.20000000000005</v>
      </c>
      <c r="W1276">
        <v>23.11</v>
      </c>
      <c r="Y1276">
        <v>14.15</v>
      </c>
    </row>
    <row r="1277" spans="1:25" x14ac:dyDescent="0.25">
      <c r="A1277">
        <v>2007</v>
      </c>
      <c r="B1277">
        <v>130</v>
      </c>
      <c r="C1277">
        <v>1200</v>
      </c>
      <c r="D1277">
        <v>465.7</v>
      </c>
      <c r="E1277">
        <v>287.89999999999998</v>
      </c>
      <c r="F1277">
        <v>9.51</v>
      </c>
      <c r="G1277">
        <v>11.32</v>
      </c>
      <c r="K1277">
        <v>2.819</v>
      </c>
      <c r="L1277">
        <v>227.4</v>
      </c>
      <c r="M1277">
        <v>0</v>
      </c>
      <c r="O1277">
        <v>582.5</v>
      </c>
      <c r="P1277">
        <v>131.30000000000001</v>
      </c>
      <c r="Q1277">
        <v>13.22</v>
      </c>
      <c r="S1277">
        <v>12.21</v>
      </c>
      <c r="T1277">
        <v>0</v>
      </c>
      <c r="U1277">
        <v>79.599999999999994</v>
      </c>
      <c r="V1277">
        <v>577.29999999999995</v>
      </c>
      <c r="W1277">
        <v>23.07</v>
      </c>
      <c r="Y1277">
        <v>14.1</v>
      </c>
    </row>
    <row r="1278" spans="1:25" x14ac:dyDescent="0.25">
      <c r="A1278">
        <v>2007</v>
      </c>
      <c r="B1278">
        <v>130</v>
      </c>
      <c r="C1278">
        <v>1300</v>
      </c>
      <c r="D1278">
        <v>630.29999999999995</v>
      </c>
      <c r="E1278">
        <v>381.8</v>
      </c>
      <c r="F1278">
        <v>9.99</v>
      </c>
      <c r="G1278">
        <v>12.48</v>
      </c>
      <c r="K1278">
        <v>3.077</v>
      </c>
      <c r="L1278">
        <v>229</v>
      </c>
      <c r="M1278">
        <v>0.4</v>
      </c>
      <c r="O1278">
        <v>805</v>
      </c>
      <c r="P1278">
        <v>186.5</v>
      </c>
      <c r="Q1278">
        <v>13.75</v>
      </c>
      <c r="S1278">
        <v>12.35</v>
      </c>
      <c r="T1278">
        <v>0</v>
      </c>
      <c r="U1278">
        <v>73.400000000000006</v>
      </c>
      <c r="V1278">
        <v>576.70000000000005</v>
      </c>
      <c r="W1278">
        <v>23.05</v>
      </c>
      <c r="Y1278">
        <v>14.13</v>
      </c>
    </row>
    <row r="1279" spans="1:25" x14ac:dyDescent="0.25">
      <c r="A1279">
        <v>2007</v>
      </c>
      <c r="B1279">
        <v>130</v>
      </c>
      <c r="C1279">
        <v>1400</v>
      </c>
      <c r="D1279">
        <v>480</v>
      </c>
      <c r="E1279">
        <v>277.3</v>
      </c>
      <c r="F1279">
        <v>9.91</v>
      </c>
      <c r="G1279">
        <v>12.77</v>
      </c>
      <c r="K1279">
        <v>2.1709999999999998</v>
      </c>
      <c r="L1279">
        <v>229.9</v>
      </c>
      <c r="M1279">
        <v>0</v>
      </c>
      <c r="O1279">
        <v>579.6</v>
      </c>
      <c r="P1279">
        <v>132.80000000000001</v>
      </c>
      <c r="Q1279">
        <v>14.45</v>
      </c>
      <c r="S1279">
        <v>12.41</v>
      </c>
      <c r="T1279">
        <v>0</v>
      </c>
      <c r="U1279">
        <v>69.75</v>
      </c>
      <c r="V1279">
        <v>578.1</v>
      </c>
      <c r="W1279">
        <v>23.11</v>
      </c>
      <c r="Y1279">
        <v>14.26</v>
      </c>
    </row>
    <row r="1280" spans="1:25" x14ac:dyDescent="0.25">
      <c r="A1280">
        <v>2007</v>
      </c>
      <c r="B1280">
        <v>130</v>
      </c>
      <c r="C1280">
        <v>1500</v>
      </c>
      <c r="D1280">
        <v>515.4</v>
      </c>
      <c r="E1280">
        <v>294.5</v>
      </c>
      <c r="F1280">
        <v>10.41</v>
      </c>
      <c r="G1280">
        <v>13.88</v>
      </c>
      <c r="K1280">
        <v>2.1970000000000001</v>
      </c>
      <c r="L1280">
        <v>227.3</v>
      </c>
      <c r="M1280">
        <v>0</v>
      </c>
      <c r="O1280">
        <v>613.20000000000005</v>
      </c>
      <c r="P1280">
        <v>165.9</v>
      </c>
      <c r="Q1280">
        <v>15.07</v>
      </c>
      <c r="S1280">
        <v>12.67</v>
      </c>
      <c r="T1280">
        <v>0</v>
      </c>
      <c r="U1280">
        <v>64.78</v>
      </c>
      <c r="V1280">
        <v>576.79999999999995</v>
      </c>
      <c r="W1280">
        <v>23.05</v>
      </c>
      <c r="Y1280">
        <v>14.22</v>
      </c>
    </row>
    <row r="1281" spans="1:25" x14ac:dyDescent="0.25">
      <c r="A1281">
        <v>2007</v>
      </c>
      <c r="B1281">
        <v>130</v>
      </c>
      <c r="C1281">
        <v>1600</v>
      </c>
      <c r="D1281">
        <v>426.2</v>
      </c>
      <c r="E1281">
        <v>234.2</v>
      </c>
      <c r="F1281">
        <v>9.9</v>
      </c>
      <c r="G1281">
        <v>14.19</v>
      </c>
      <c r="K1281">
        <v>2.3199999999999998</v>
      </c>
      <c r="L1281">
        <v>229.3</v>
      </c>
      <c r="M1281">
        <v>0</v>
      </c>
      <c r="O1281">
        <v>500.7</v>
      </c>
      <c r="P1281">
        <v>165.2</v>
      </c>
      <c r="Q1281">
        <v>15.53</v>
      </c>
      <c r="S1281">
        <v>12.85</v>
      </c>
      <c r="T1281">
        <v>0</v>
      </c>
      <c r="U1281">
        <v>57.69</v>
      </c>
      <c r="V1281">
        <v>577.70000000000005</v>
      </c>
      <c r="W1281">
        <v>23.09</v>
      </c>
      <c r="Y1281">
        <v>14.2</v>
      </c>
    </row>
    <row r="1282" spans="1:25" x14ac:dyDescent="0.25">
      <c r="A1282">
        <v>2007</v>
      </c>
      <c r="B1282">
        <v>130</v>
      </c>
      <c r="C1282">
        <v>1700</v>
      </c>
      <c r="D1282">
        <v>249.9</v>
      </c>
      <c r="E1282">
        <v>122.9</v>
      </c>
      <c r="F1282">
        <v>8.93</v>
      </c>
      <c r="G1282">
        <v>13.57</v>
      </c>
      <c r="K1282">
        <v>2.4940000000000002</v>
      </c>
      <c r="L1282">
        <v>231.1</v>
      </c>
      <c r="M1282">
        <v>0</v>
      </c>
      <c r="O1282">
        <v>288.8</v>
      </c>
      <c r="P1282">
        <v>99.1</v>
      </c>
      <c r="Q1282">
        <v>15.81</v>
      </c>
      <c r="S1282">
        <v>13.02</v>
      </c>
      <c r="T1282">
        <v>0</v>
      </c>
      <c r="U1282">
        <v>53.47</v>
      </c>
      <c r="V1282">
        <v>577.5</v>
      </c>
      <c r="W1282">
        <v>23.08</v>
      </c>
      <c r="Y1282">
        <v>13.96</v>
      </c>
    </row>
    <row r="1283" spans="1:25" x14ac:dyDescent="0.25">
      <c r="A1283">
        <v>2007</v>
      </c>
      <c r="B1283">
        <v>130</v>
      </c>
      <c r="C1283">
        <v>1800</v>
      </c>
      <c r="D1283">
        <v>67.64</v>
      </c>
      <c r="E1283">
        <v>15.56</v>
      </c>
      <c r="F1283">
        <v>9.25</v>
      </c>
      <c r="G1283">
        <v>12.56</v>
      </c>
      <c r="K1283">
        <v>1.4059999999999999</v>
      </c>
      <c r="L1283">
        <v>351</v>
      </c>
      <c r="M1283">
        <v>0</v>
      </c>
      <c r="O1283">
        <v>82.8</v>
      </c>
      <c r="P1283">
        <v>17.829999999999998</v>
      </c>
      <c r="Q1283">
        <v>15.88</v>
      </c>
      <c r="S1283">
        <v>13.17</v>
      </c>
      <c r="T1283">
        <v>0</v>
      </c>
      <c r="U1283">
        <v>64.930000000000007</v>
      </c>
      <c r="V1283">
        <v>576.20000000000005</v>
      </c>
      <c r="W1283">
        <v>23.02</v>
      </c>
      <c r="Y1283">
        <v>13.63</v>
      </c>
    </row>
    <row r="1284" spans="1:25" x14ac:dyDescent="0.25">
      <c r="A1284">
        <v>2007</v>
      </c>
      <c r="B1284">
        <v>130</v>
      </c>
      <c r="C1284">
        <v>1900</v>
      </c>
      <c r="D1284">
        <v>33.369999999999997</v>
      </c>
      <c r="E1284">
        <v>-2.64</v>
      </c>
      <c r="F1284">
        <v>9.35</v>
      </c>
      <c r="G1284">
        <v>11.99</v>
      </c>
      <c r="K1284">
        <v>1.2290000000000001</v>
      </c>
      <c r="L1284">
        <v>348.4</v>
      </c>
      <c r="M1284">
        <v>0.6</v>
      </c>
      <c r="O1284">
        <v>36.32</v>
      </c>
      <c r="P1284">
        <v>3.6150000000000002</v>
      </c>
      <c r="Q1284">
        <v>15.72</v>
      </c>
      <c r="S1284">
        <v>13.35</v>
      </c>
      <c r="T1284">
        <v>0</v>
      </c>
      <c r="U1284">
        <v>71.3</v>
      </c>
      <c r="V1284">
        <v>564.70000000000005</v>
      </c>
      <c r="W1284">
        <v>22.5</v>
      </c>
      <c r="Y1284">
        <v>13.53</v>
      </c>
    </row>
    <row r="1285" spans="1:25" x14ac:dyDescent="0.25">
      <c r="A1285">
        <v>2007</v>
      </c>
      <c r="B1285">
        <v>130</v>
      </c>
      <c r="C1285">
        <v>2000</v>
      </c>
      <c r="D1285">
        <v>18.059999999999999</v>
      </c>
      <c r="E1285">
        <v>-11.31</v>
      </c>
      <c r="F1285">
        <v>9.44</v>
      </c>
      <c r="G1285">
        <v>10.7</v>
      </c>
      <c r="K1285">
        <v>0.311</v>
      </c>
      <c r="L1285">
        <v>141.6</v>
      </c>
      <c r="M1285">
        <v>0.2</v>
      </c>
      <c r="O1285">
        <v>18</v>
      </c>
      <c r="P1285">
        <v>2.2130000000000001</v>
      </c>
      <c r="Q1285">
        <v>15.46</v>
      </c>
      <c r="S1285">
        <v>13.38</v>
      </c>
      <c r="T1285">
        <v>0</v>
      </c>
      <c r="U1285">
        <v>85.2</v>
      </c>
      <c r="V1285">
        <v>576.1</v>
      </c>
      <c r="W1285">
        <v>23.02</v>
      </c>
      <c r="Y1285">
        <v>13.41</v>
      </c>
    </row>
    <row r="1286" spans="1:25" x14ac:dyDescent="0.25">
      <c r="A1286">
        <v>2007</v>
      </c>
      <c r="B1286">
        <v>130</v>
      </c>
      <c r="C1286">
        <v>2100</v>
      </c>
      <c r="D1286">
        <v>-0.44700000000000001</v>
      </c>
      <c r="E1286">
        <v>-26.03</v>
      </c>
      <c r="F1286">
        <v>8.59</v>
      </c>
      <c r="G1286">
        <v>9.6300000000000008</v>
      </c>
      <c r="K1286">
        <v>0.86199999999999999</v>
      </c>
      <c r="L1286">
        <v>220.2</v>
      </c>
      <c r="M1286">
        <v>0</v>
      </c>
      <c r="O1286">
        <v>-10.25</v>
      </c>
      <c r="P1286">
        <v>-10.97</v>
      </c>
      <c r="Q1286">
        <v>15.19</v>
      </c>
      <c r="S1286">
        <v>13.45</v>
      </c>
      <c r="T1286">
        <v>0</v>
      </c>
      <c r="U1286">
        <v>87.4</v>
      </c>
      <c r="V1286">
        <v>581.20000000000005</v>
      </c>
      <c r="W1286">
        <v>23.24</v>
      </c>
      <c r="Y1286">
        <v>13.31</v>
      </c>
    </row>
    <row r="1287" spans="1:25" x14ac:dyDescent="0.25">
      <c r="A1287">
        <v>2007</v>
      </c>
      <c r="B1287">
        <v>130</v>
      </c>
      <c r="C1287">
        <v>2200</v>
      </c>
      <c r="D1287">
        <v>-1.1479999999999999</v>
      </c>
      <c r="E1287">
        <v>-31.6</v>
      </c>
      <c r="F1287">
        <v>7.69</v>
      </c>
      <c r="G1287">
        <v>9.02</v>
      </c>
      <c r="K1287">
        <v>1.373</v>
      </c>
      <c r="L1287">
        <v>228.5</v>
      </c>
      <c r="M1287">
        <v>0</v>
      </c>
      <c r="O1287">
        <v>-12.16</v>
      </c>
      <c r="P1287">
        <v>-11.45</v>
      </c>
      <c r="Q1287">
        <v>14.84</v>
      </c>
      <c r="S1287">
        <v>13.38</v>
      </c>
      <c r="T1287">
        <v>0</v>
      </c>
      <c r="U1287">
        <v>83.6</v>
      </c>
      <c r="V1287">
        <v>581.9</v>
      </c>
      <c r="W1287">
        <v>23.28</v>
      </c>
      <c r="Y1287">
        <v>13.23</v>
      </c>
    </row>
    <row r="1288" spans="1:25" x14ac:dyDescent="0.25">
      <c r="A1288">
        <v>2007</v>
      </c>
      <c r="B1288">
        <v>130</v>
      </c>
      <c r="C1288">
        <v>2300</v>
      </c>
      <c r="D1288">
        <v>-1.4330000000000001</v>
      </c>
      <c r="E1288">
        <v>-28.3</v>
      </c>
      <c r="F1288">
        <v>7.47</v>
      </c>
      <c r="G1288">
        <v>8.5399999999999991</v>
      </c>
      <c r="K1288">
        <v>1.264</v>
      </c>
      <c r="L1288">
        <v>228.5</v>
      </c>
      <c r="M1288">
        <v>0</v>
      </c>
      <c r="O1288">
        <v>-11.99</v>
      </c>
      <c r="P1288">
        <v>-11.26</v>
      </c>
      <c r="Q1288">
        <v>14.51</v>
      </c>
      <c r="S1288">
        <v>13.35</v>
      </c>
      <c r="T1288">
        <v>0</v>
      </c>
      <c r="U1288">
        <v>86.5</v>
      </c>
      <c r="V1288">
        <v>592.6</v>
      </c>
      <c r="W1288">
        <v>23.75</v>
      </c>
      <c r="Y1288">
        <v>13.15</v>
      </c>
    </row>
    <row r="1289" spans="1:25" x14ac:dyDescent="0.25">
      <c r="A1289">
        <v>2007</v>
      </c>
      <c r="B1289">
        <v>130</v>
      </c>
      <c r="C1289">
        <v>2400</v>
      </c>
      <c r="D1289">
        <v>-1.3140000000000001</v>
      </c>
      <c r="E1289">
        <v>-21.39</v>
      </c>
      <c r="F1289">
        <v>7.79</v>
      </c>
      <c r="G1289">
        <v>8.61</v>
      </c>
      <c r="K1289">
        <v>1.0780000000000001</v>
      </c>
      <c r="L1289">
        <v>228.5</v>
      </c>
      <c r="M1289">
        <v>0</v>
      </c>
      <c r="O1289">
        <v>-11.77</v>
      </c>
      <c r="P1289">
        <v>-11.1</v>
      </c>
      <c r="Q1289">
        <v>14.2</v>
      </c>
      <c r="S1289">
        <v>13.31</v>
      </c>
      <c r="T1289">
        <v>0</v>
      </c>
      <c r="U1289">
        <v>89.5</v>
      </c>
      <c r="V1289">
        <v>592.9</v>
      </c>
      <c r="W1289">
        <v>23.77</v>
      </c>
      <c r="Y1289">
        <v>13.08</v>
      </c>
    </row>
    <row r="1290" spans="1:25" x14ac:dyDescent="0.25">
      <c r="A1290">
        <v>2007</v>
      </c>
      <c r="B1290">
        <v>131</v>
      </c>
      <c r="C1290">
        <v>100</v>
      </c>
      <c r="D1290">
        <v>-0.63500000000000001</v>
      </c>
      <c r="E1290">
        <v>-12.82</v>
      </c>
      <c r="F1290">
        <v>7.72</v>
      </c>
      <c r="G1290">
        <v>8.52</v>
      </c>
      <c r="K1290">
        <v>1.4239999999999999</v>
      </c>
      <c r="L1290">
        <v>231.9</v>
      </c>
      <c r="M1290">
        <v>0</v>
      </c>
      <c r="O1290">
        <v>-11.68</v>
      </c>
      <c r="P1290">
        <v>-11.05</v>
      </c>
      <c r="Q1290">
        <v>13.89</v>
      </c>
      <c r="S1290">
        <v>13.21</v>
      </c>
      <c r="T1290">
        <v>0</v>
      </c>
      <c r="U1290">
        <v>89.7</v>
      </c>
      <c r="V1290">
        <v>594.20000000000005</v>
      </c>
      <c r="W1290">
        <v>23.82</v>
      </c>
      <c r="Y1290">
        <v>13.01</v>
      </c>
    </row>
    <row r="1291" spans="1:25" x14ac:dyDescent="0.25">
      <c r="A1291">
        <v>2007</v>
      </c>
      <c r="B1291">
        <v>131</v>
      </c>
      <c r="C1291">
        <v>200</v>
      </c>
      <c r="D1291">
        <v>-0.80300000000000005</v>
      </c>
      <c r="E1291">
        <v>-15.13</v>
      </c>
      <c r="F1291">
        <v>7.74</v>
      </c>
      <c r="G1291">
        <v>8.5399999999999991</v>
      </c>
      <c r="K1291">
        <v>1.534</v>
      </c>
      <c r="L1291">
        <v>230.4</v>
      </c>
      <c r="M1291">
        <v>0</v>
      </c>
      <c r="O1291">
        <v>-11.63</v>
      </c>
      <c r="P1291">
        <v>-10.97</v>
      </c>
      <c r="Q1291">
        <v>13.65</v>
      </c>
      <c r="S1291">
        <v>13.1</v>
      </c>
      <c r="T1291">
        <v>0</v>
      </c>
      <c r="U1291">
        <v>89.9</v>
      </c>
      <c r="V1291">
        <v>602.1</v>
      </c>
      <c r="W1291">
        <v>24.17</v>
      </c>
      <c r="Y1291">
        <v>12.95</v>
      </c>
    </row>
    <row r="1292" spans="1:25" x14ac:dyDescent="0.25">
      <c r="A1292">
        <v>2007</v>
      </c>
      <c r="B1292">
        <v>131</v>
      </c>
      <c r="C1292">
        <v>300</v>
      </c>
      <c r="D1292">
        <v>-0.84599999999999997</v>
      </c>
      <c r="E1292">
        <v>-12.11</v>
      </c>
      <c r="F1292">
        <v>6.99</v>
      </c>
      <c r="G1292">
        <v>7.81</v>
      </c>
      <c r="K1292">
        <v>1.49</v>
      </c>
      <c r="L1292">
        <v>228.9</v>
      </c>
      <c r="M1292">
        <v>0.6</v>
      </c>
      <c r="O1292">
        <v>-11.59</v>
      </c>
      <c r="P1292">
        <v>-10.94</v>
      </c>
      <c r="Q1292">
        <v>13.44</v>
      </c>
      <c r="S1292">
        <v>12.99</v>
      </c>
      <c r="T1292">
        <v>0</v>
      </c>
      <c r="U1292">
        <v>89.3</v>
      </c>
      <c r="V1292">
        <v>601.20000000000005</v>
      </c>
      <c r="W1292">
        <v>24.14</v>
      </c>
      <c r="Y1292">
        <v>12.91</v>
      </c>
    </row>
    <row r="1293" spans="1:25" x14ac:dyDescent="0.25">
      <c r="A1293">
        <v>2007</v>
      </c>
      <c r="B1293">
        <v>131</v>
      </c>
      <c r="C1293">
        <v>400</v>
      </c>
      <c r="D1293">
        <v>-0.59199999999999997</v>
      </c>
      <c r="E1293">
        <v>-11.79</v>
      </c>
      <c r="F1293">
        <v>6.8849999999999998</v>
      </c>
      <c r="G1293">
        <v>7.62</v>
      </c>
      <c r="K1293">
        <v>1.069</v>
      </c>
      <c r="L1293">
        <v>227.8</v>
      </c>
      <c r="M1293">
        <v>1.2</v>
      </c>
      <c r="O1293">
        <v>-11.52</v>
      </c>
      <c r="P1293">
        <v>-10.9</v>
      </c>
      <c r="Q1293">
        <v>13.24</v>
      </c>
      <c r="S1293">
        <v>12.88</v>
      </c>
      <c r="T1293">
        <v>0</v>
      </c>
      <c r="U1293">
        <v>90.4</v>
      </c>
      <c r="V1293">
        <v>583.29999999999995</v>
      </c>
      <c r="W1293">
        <v>23.34</v>
      </c>
      <c r="Y1293">
        <v>12.87</v>
      </c>
    </row>
    <row r="1294" spans="1:25" x14ac:dyDescent="0.25">
      <c r="A1294">
        <v>2007</v>
      </c>
      <c r="B1294">
        <v>131</v>
      </c>
      <c r="C1294">
        <v>500</v>
      </c>
      <c r="D1294">
        <v>3.0489999999999999</v>
      </c>
      <c r="E1294">
        <v>-15.25</v>
      </c>
      <c r="F1294">
        <v>6.7480000000000002</v>
      </c>
      <c r="G1294">
        <v>7.48</v>
      </c>
      <c r="K1294">
        <v>0.85199999999999998</v>
      </c>
      <c r="L1294">
        <v>226.6</v>
      </c>
      <c r="M1294">
        <v>0</v>
      </c>
      <c r="O1294">
        <v>-6.6980000000000004</v>
      </c>
      <c r="P1294">
        <v>-9.83</v>
      </c>
      <c r="Q1294">
        <v>13.08</v>
      </c>
      <c r="S1294">
        <v>12.81</v>
      </c>
      <c r="T1294">
        <v>0</v>
      </c>
      <c r="U1294">
        <v>90.3</v>
      </c>
      <c r="V1294">
        <v>585.79999999999995</v>
      </c>
      <c r="W1294">
        <v>23.45</v>
      </c>
      <c r="Y1294">
        <v>12.85</v>
      </c>
    </row>
    <row r="1295" spans="1:25" x14ac:dyDescent="0.25">
      <c r="A1295">
        <v>2007</v>
      </c>
      <c r="B1295">
        <v>131</v>
      </c>
      <c r="C1295">
        <v>600</v>
      </c>
      <c r="D1295">
        <v>42.03</v>
      </c>
      <c r="E1295">
        <v>8.4</v>
      </c>
      <c r="F1295">
        <v>6.8470000000000004</v>
      </c>
      <c r="G1295">
        <v>7.6</v>
      </c>
      <c r="K1295">
        <v>0.97899999999999998</v>
      </c>
      <c r="L1295">
        <v>225.9</v>
      </c>
      <c r="M1295">
        <v>0</v>
      </c>
      <c r="O1295">
        <v>41.68</v>
      </c>
      <c r="P1295">
        <v>1.607</v>
      </c>
      <c r="Q1295">
        <v>12.9</v>
      </c>
      <c r="S1295">
        <v>12.7</v>
      </c>
      <c r="T1295">
        <v>0</v>
      </c>
      <c r="U1295">
        <v>90.2</v>
      </c>
      <c r="V1295">
        <v>587.1</v>
      </c>
      <c r="W1295">
        <v>23.51</v>
      </c>
      <c r="Y1295">
        <v>12.92</v>
      </c>
    </row>
    <row r="1296" spans="1:25" x14ac:dyDescent="0.25">
      <c r="A1296">
        <v>2007</v>
      </c>
      <c r="B1296">
        <v>131</v>
      </c>
      <c r="C1296">
        <v>700</v>
      </c>
      <c r="D1296">
        <v>132.1</v>
      </c>
      <c r="E1296">
        <v>61.37</v>
      </c>
      <c r="F1296">
        <v>7.38</v>
      </c>
      <c r="G1296">
        <v>8.18</v>
      </c>
      <c r="K1296">
        <v>1.286</v>
      </c>
      <c r="L1296">
        <v>226.4</v>
      </c>
      <c r="M1296">
        <v>0</v>
      </c>
      <c r="O1296">
        <v>156.80000000000001</v>
      </c>
      <c r="P1296">
        <v>31.92</v>
      </c>
      <c r="Q1296">
        <v>12.77</v>
      </c>
      <c r="S1296">
        <v>12.64</v>
      </c>
      <c r="T1296">
        <v>0</v>
      </c>
      <c r="U1296">
        <v>89.7</v>
      </c>
      <c r="V1296">
        <v>583</v>
      </c>
      <c r="W1296">
        <v>23.33</v>
      </c>
      <c r="Y1296">
        <v>13.53</v>
      </c>
    </row>
    <row r="1297" spans="1:25" x14ac:dyDescent="0.25">
      <c r="A1297">
        <v>2007</v>
      </c>
      <c r="B1297">
        <v>131</v>
      </c>
      <c r="C1297">
        <v>800</v>
      </c>
      <c r="D1297">
        <v>234</v>
      </c>
      <c r="E1297">
        <v>140.80000000000001</v>
      </c>
      <c r="F1297">
        <v>8.44</v>
      </c>
      <c r="G1297">
        <v>9.6</v>
      </c>
      <c r="K1297">
        <v>1.3360000000000001</v>
      </c>
      <c r="L1297">
        <v>226.5</v>
      </c>
      <c r="M1297">
        <v>0</v>
      </c>
      <c r="O1297">
        <v>294.60000000000002</v>
      </c>
      <c r="P1297">
        <v>70.099999999999994</v>
      </c>
      <c r="Q1297">
        <v>12.78</v>
      </c>
      <c r="S1297">
        <v>12.59</v>
      </c>
      <c r="T1297">
        <v>0</v>
      </c>
      <c r="U1297">
        <v>85.9</v>
      </c>
      <c r="V1297">
        <v>579.5</v>
      </c>
      <c r="W1297">
        <v>23.17</v>
      </c>
      <c r="Y1297">
        <v>13.92</v>
      </c>
    </row>
    <row r="1298" spans="1:25" x14ac:dyDescent="0.25">
      <c r="A1298">
        <v>2007</v>
      </c>
      <c r="B1298">
        <v>131</v>
      </c>
      <c r="C1298">
        <v>900</v>
      </c>
      <c r="D1298">
        <v>285.3</v>
      </c>
      <c r="E1298">
        <v>171.4</v>
      </c>
      <c r="F1298">
        <v>8.81</v>
      </c>
      <c r="G1298">
        <v>10.85</v>
      </c>
      <c r="K1298">
        <v>1.0920000000000001</v>
      </c>
      <c r="L1298">
        <v>221.2</v>
      </c>
      <c r="M1298">
        <v>0</v>
      </c>
      <c r="O1298">
        <v>360.2</v>
      </c>
      <c r="P1298">
        <v>95.4</v>
      </c>
      <c r="Q1298">
        <v>12.94</v>
      </c>
      <c r="S1298">
        <v>12.56</v>
      </c>
      <c r="T1298">
        <v>0</v>
      </c>
      <c r="U1298">
        <v>76.7</v>
      </c>
      <c r="V1298">
        <v>579.70000000000005</v>
      </c>
      <c r="W1298">
        <v>23.18</v>
      </c>
      <c r="Y1298">
        <v>14.09</v>
      </c>
    </row>
    <row r="1299" spans="1:25" x14ac:dyDescent="0.25">
      <c r="A1299">
        <v>2007</v>
      </c>
      <c r="B1299">
        <v>131</v>
      </c>
      <c r="C1299">
        <v>1000</v>
      </c>
      <c r="D1299">
        <v>276.2</v>
      </c>
      <c r="E1299">
        <v>154.80000000000001</v>
      </c>
      <c r="F1299">
        <v>8.76</v>
      </c>
      <c r="G1299">
        <v>11.45</v>
      </c>
      <c r="K1299">
        <v>1.0509999999999999</v>
      </c>
      <c r="L1299">
        <v>208.7</v>
      </c>
      <c r="M1299">
        <v>0</v>
      </c>
      <c r="O1299">
        <v>350.4</v>
      </c>
      <c r="P1299">
        <v>93.4</v>
      </c>
      <c r="Q1299">
        <v>13.26</v>
      </c>
      <c r="S1299">
        <v>12.52</v>
      </c>
      <c r="T1299">
        <v>0</v>
      </c>
      <c r="U1299">
        <v>70.2</v>
      </c>
      <c r="V1299">
        <v>578.9</v>
      </c>
      <c r="W1299">
        <v>23.15</v>
      </c>
      <c r="Y1299">
        <v>13.97</v>
      </c>
    </row>
    <row r="1300" spans="1:25" x14ac:dyDescent="0.25">
      <c r="A1300">
        <v>2007</v>
      </c>
      <c r="B1300">
        <v>131</v>
      </c>
      <c r="C1300">
        <v>1100</v>
      </c>
      <c r="D1300">
        <v>493.7</v>
      </c>
      <c r="E1300">
        <v>297.7</v>
      </c>
      <c r="F1300">
        <v>9.34</v>
      </c>
      <c r="G1300">
        <v>12.96</v>
      </c>
      <c r="K1300">
        <v>1.177</v>
      </c>
      <c r="L1300">
        <v>152.5</v>
      </c>
      <c r="M1300">
        <v>0</v>
      </c>
      <c r="O1300">
        <v>634.20000000000005</v>
      </c>
      <c r="P1300">
        <v>168.6</v>
      </c>
      <c r="Q1300">
        <v>13.66</v>
      </c>
      <c r="S1300">
        <v>12.57</v>
      </c>
      <c r="T1300">
        <v>0</v>
      </c>
      <c r="U1300">
        <v>62.37</v>
      </c>
      <c r="V1300">
        <v>579</v>
      </c>
      <c r="W1300">
        <v>23.15</v>
      </c>
      <c r="Y1300">
        <v>14.29</v>
      </c>
    </row>
    <row r="1301" spans="1:25" x14ac:dyDescent="0.25">
      <c r="A1301">
        <v>2007</v>
      </c>
      <c r="B1301">
        <v>131</v>
      </c>
      <c r="C1301">
        <v>1200</v>
      </c>
      <c r="D1301">
        <v>532.5</v>
      </c>
      <c r="E1301">
        <v>316.89999999999998</v>
      </c>
      <c r="F1301">
        <v>9.3699999999999992</v>
      </c>
      <c r="G1301">
        <v>13.68</v>
      </c>
      <c r="K1301">
        <v>1.58</v>
      </c>
      <c r="L1301">
        <v>193.8</v>
      </c>
      <c r="M1301">
        <v>0</v>
      </c>
      <c r="O1301">
        <v>669.5</v>
      </c>
      <c r="P1301">
        <v>178.3</v>
      </c>
      <c r="Q1301">
        <v>14.2</v>
      </c>
      <c r="S1301">
        <v>12.65</v>
      </c>
      <c r="T1301">
        <v>0</v>
      </c>
      <c r="U1301">
        <v>56.63</v>
      </c>
      <c r="V1301">
        <v>579.9</v>
      </c>
      <c r="W1301">
        <v>23.19</v>
      </c>
      <c r="Y1301">
        <v>14.25</v>
      </c>
    </row>
    <row r="1302" spans="1:25" x14ac:dyDescent="0.25">
      <c r="A1302">
        <v>2007</v>
      </c>
      <c r="B1302">
        <v>131</v>
      </c>
      <c r="C1302">
        <v>1300</v>
      </c>
      <c r="D1302">
        <v>272.5</v>
      </c>
      <c r="E1302">
        <v>139.19999999999999</v>
      </c>
      <c r="F1302">
        <v>9</v>
      </c>
      <c r="G1302">
        <v>13.09</v>
      </c>
      <c r="K1302">
        <v>1.8720000000000001</v>
      </c>
      <c r="L1302">
        <v>158</v>
      </c>
      <c r="M1302">
        <v>0</v>
      </c>
      <c r="O1302">
        <v>338.3</v>
      </c>
      <c r="P1302">
        <v>90.7</v>
      </c>
      <c r="Q1302">
        <v>14.81</v>
      </c>
      <c r="S1302">
        <v>12.66</v>
      </c>
      <c r="T1302">
        <v>0</v>
      </c>
      <c r="U1302">
        <v>57.98</v>
      </c>
      <c r="V1302">
        <v>578.79999999999995</v>
      </c>
      <c r="W1302">
        <v>23.14</v>
      </c>
      <c r="Y1302">
        <v>13.97</v>
      </c>
    </row>
    <row r="1303" spans="1:25" x14ac:dyDescent="0.25">
      <c r="A1303">
        <v>2007</v>
      </c>
      <c r="B1303">
        <v>131</v>
      </c>
      <c r="C1303">
        <v>1400</v>
      </c>
      <c r="D1303">
        <v>282.5</v>
      </c>
      <c r="E1303">
        <v>149.6</v>
      </c>
      <c r="F1303">
        <v>9.08</v>
      </c>
      <c r="G1303">
        <v>12.77</v>
      </c>
      <c r="K1303">
        <v>1.899</v>
      </c>
      <c r="L1303">
        <v>152</v>
      </c>
      <c r="M1303">
        <v>0</v>
      </c>
      <c r="O1303">
        <v>370.4</v>
      </c>
      <c r="P1303">
        <v>101</v>
      </c>
      <c r="Q1303">
        <v>15.27</v>
      </c>
      <c r="S1303">
        <v>12.85</v>
      </c>
      <c r="T1303">
        <v>0</v>
      </c>
      <c r="U1303">
        <v>61.32</v>
      </c>
      <c r="V1303">
        <v>577.6</v>
      </c>
      <c r="W1303">
        <v>23.08</v>
      </c>
      <c r="Y1303">
        <v>13.97</v>
      </c>
    </row>
    <row r="1304" spans="1:25" x14ac:dyDescent="0.25">
      <c r="A1304">
        <v>2007</v>
      </c>
      <c r="B1304">
        <v>131</v>
      </c>
      <c r="C1304">
        <v>1500</v>
      </c>
      <c r="D1304">
        <v>258.10000000000002</v>
      </c>
      <c r="E1304">
        <v>131.30000000000001</v>
      </c>
      <c r="F1304">
        <v>8.6999999999999993</v>
      </c>
      <c r="G1304">
        <v>11.95</v>
      </c>
      <c r="K1304">
        <v>2.8290000000000002</v>
      </c>
      <c r="L1304">
        <v>140.80000000000001</v>
      </c>
      <c r="M1304">
        <v>0</v>
      </c>
      <c r="O1304">
        <v>333.4</v>
      </c>
      <c r="P1304">
        <v>90.1</v>
      </c>
      <c r="Q1304">
        <v>15.41</v>
      </c>
      <c r="S1304">
        <v>13</v>
      </c>
      <c r="T1304">
        <v>0</v>
      </c>
      <c r="U1304">
        <v>64.98</v>
      </c>
      <c r="V1304">
        <v>576.70000000000005</v>
      </c>
      <c r="W1304">
        <v>23.05</v>
      </c>
      <c r="Y1304">
        <v>13.96</v>
      </c>
    </row>
    <row r="1305" spans="1:25" x14ac:dyDescent="0.25">
      <c r="A1305">
        <v>2007</v>
      </c>
      <c r="B1305">
        <v>131</v>
      </c>
      <c r="C1305">
        <v>1600</v>
      </c>
      <c r="D1305">
        <v>136.69999999999999</v>
      </c>
      <c r="E1305">
        <v>63.73</v>
      </c>
      <c r="F1305">
        <v>8.91</v>
      </c>
      <c r="G1305">
        <v>10.58</v>
      </c>
      <c r="K1305">
        <v>2.0830000000000002</v>
      </c>
      <c r="L1305">
        <v>146.4</v>
      </c>
      <c r="M1305">
        <v>0.4</v>
      </c>
      <c r="O1305">
        <v>184.8</v>
      </c>
      <c r="P1305">
        <v>37.94</v>
      </c>
      <c r="Q1305">
        <v>15.46</v>
      </c>
      <c r="S1305">
        <v>13.14</v>
      </c>
      <c r="T1305">
        <v>0</v>
      </c>
      <c r="U1305">
        <v>80.599999999999994</v>
      </c>
      <c r="V1305">
        <v>576.20000000000005</v>
      </c>
      <c r="W1305">
        <v>23.02</v>
      </c>
      <c r="Y1305">
        <v>13.75</v>
      </c>
    </row>
    <row r="1306" spans="1:25" x14ac:dyDescent="0.25">
      <c r="A1306">
        <v>2007</v>
      </c>
      <c r="B1306">
        <v>131</v>
      </c>
      <c r="C1306">
        <v>1700</v>
      </c>
      <c r="D1306">
        <v>101.2</v>
      </c>
      <c r="E1306">
        <v>43.38</v>
      </c>
      <c r="F1306">
        <v>7.3</v>
      </c>
      <c r="G1306">
        <v>8.99</v>
      </c>
      <c r="K1306">
        <v>2.3159999999999998</v>
      </c>
      <c r="L1306">
        <v>132.69999999999999</v>
      </c>
      <c r="M1306">
        <v>0.8</v>
      </c>
      <c r="O1306">
        <v>134.69999999999999</v>
      </c>
      <c r="P1306">
        <v>21.93</v>
      </c>
      <c r="Q1306">
        <v>15.33</v>
      </c>
      <c r="S1306">
        <v>13.21</v>
      </c>
      <c r="T1306">
        <v>0</v>
      </c>
      <c r="U1306">
        <v>79.099999999999994</v>
      </c>
      <c r="V1306">
        <v>576.5</v>
      </c>
      <c r="W1306">
        <v>23.04</v>
      </c>
      <c r="Y1306">
        <v>13.69</v>
      </c>
    </row>
    <row r="1307" spans="1:25" x14ac:dyDescent="0.25">
      <c r="A1307">
        <v>2007</v>
      </c>
      <c r="B1307">
        <v>131</v>
      </c>
      <c r="C1307">
        <v>1800</v>
      </c>
      <c r="D1307">
        <v>45.46</v>
      </c>
      <c r="E1307">
        <v>11.96</v>
      </c>
      <c r="F1307">
        <v>6.8609999999999998</v>
      </c>
      <c r="G1307">
        <v>8.08</v>
      </c>
      <c r="K1307">
        <v>2.5499999999999998</v>
      </c>
      <c r="L1307">
        <v>112.1</v>
      </c>
      <c r="M1307">
        <v>1.8</v>
      </c>
      <c r="O1307">
        <v>55.53</v>
      </c>
      <c r="P1307">
        <v>4.2619999999999996</v>
      </c>
      <c r="Q1307">
        <v>15.12</v>
      </c>
      <c r="S1307">
        <v>13.28</v>
      </c>
      <c r="T1307">
        <v>0</v>
      </c>
      <c r="U1307">
        <v>84.4</v>
      </c>
      <c r="V1307">
        <v>579</v>
      </c>
      <c r="W1307">
        <v>23.15</v>
      </c>
      <c r="Y1307">
        <v>13.54</v>
      </c>
    </row>
    <row r="1308" spans="1:25" x14ac:dyDescent="0.25">
      <c r="A1308">
        <v>2007</v>
      </c>
      <c r="B1308">
        <v>131</v>
      </c>
      <c r="C1308">
        <v>1900</v>
      </c>
      <c r="D1308">
        <v>23.4</v>
      </c>
      <c r="E1308">
        <v>0.93899999999999995</v>
      </c>
      <c r="F1308">
        <v>6.8440000000000003</v>
      </c>
      <c r="G1308">
        <v>7.8</v>
      </c>
      <c r="K1308">
        <v>2.3090000000000002</v>
      </c>
      <c r="L1308">
        <v>107.6</v>
      </c>
      <c r="M1308">
        <v>1.6</v>
      </c>
      <c r="O1308">
        <v>23.49</v>
      </c>
      <c r="P1308">
        <v>-2.6520000000000001</v>
      </c>
      <c r="Q1308">
        <v>14.83</v>
      </c>
      <c r="S1308">
        <v>13.36</v>
      </c>
      <c r="T1308">
        <v>0</v>
      </c>
      <c r="U1308">
        <v>87.6</v>
      </c>
      <c r="V1308">
        <v>678.5</v>
      </c>
      <c r="W1308">
        <v>27.54</v>
      </c>
      <c r="Y1308">
        <v>13.43</v>
      </c>
    </row>
    <row r="1309" spans="1:25" x14ac:dyDescent="0.25">
      <c r="A1309">
        <v>2007</v>
      </c>
      <c r="B1309">
        <v>131</v>
      </c>
      <c r="C1309">
        <v>2000</v>
      </c>
      <c r="D1309">
        <v>8.9700000000000006</v>
      </c>
      <c r="E1309">
        <v>-6.0940000000000003</v>
      </c>
      <c r="F1309">
        <v>6.6280000000000001</v>
      </c>
      <c r="G1309">
        <v>7.41</v>
      </c>
      <c r="K1309">
        <v>1.5580000000000001</v>
      </c>
      <c r="L1309">
        <v>90.6</v>
      </c>
      <c r="M1309">
        <v>1.2</v>
      </c>
      <c r="O1309">
        <v>2.677</v>
      </c>
      <c r="P1309">
        <v>-7.61</v>
      </c>
      <c r="Q1309">
        <v>14.45</v>
      </c>
      <c r="S1309">
        <v>13.31</v>
      </c>
      <c r="T1309">
        <v>0</v>
      </c>
      <c r="U1309">
        <v>89.7</v>
      </c>
      <c r="V1309">
        <v>753</v>
      </c>
      <c r="W1309">
        <v>30.92</v>
      </c>
      <c r="Y1309">
        <v>13.34</v>
      </c>
    </row>
    <row r="1310" spans="1:25" x14ac:dyDescent="0.25">
      <c r="A1310">
        <v>2007</v>
      </c>
      <c r="B1310">
        <v>131</v>
      </c>
      <c r="C1310">
        <v>2100</v>
      </c>
      <c r="D1310">
        <v>8.3000000000000004E-2</v>
      </c>
      <c r="E1310">
        <v>-11.19</v>
      </c>
      <c r="F1310">
        <v>6.6390000000000002</v>
      </c>
      <c r="G1310">
        <v>7.37</v>
      </c>
      <c r="K1310">
        <v>1.504</v>
      </c>
      <c r="L1310">
        <v>88.3</v>
      </c>
      <c r="M1310">
        <v>0</v>
      </c>
      <c r="O1310">
        <v>-10.81</v>
      </c>
      <c r="P1310">
        <v>-10.76</v>
      </c>
      <c r="Q1310">
        <v>14.1</v>
      </c>
      <c r="S1310">
        <v>13.25</v>
      </c>
      <c r="T1310">
        <v>0</v>
      </c>
      <c r="U1310">
        <v>90.4</v>
      </c>
      <c r="V1310">
        <v>788</v>
      </c>
      <c r="W1310">
        <v>32.68</v>
      </c>
      <c r="Y1310">
        <v>13.26</v>
      </c>
    </row>
    <row r="1311" spans="1:25" x14ac:dyDescent="0.25">
      <c r="A1311">
        <v>2007</v>
      </c>
      <c r="B1311">
        <v>131</v>
      </c>
      <c r="C1311">
        <v>2200</v>
      </c>
      <c r="D1311">
        <v>-0.57299999999999995</v>
      </c>
      <c r="E1311">
        <v>-10.32</v>
      </c>
      <c r="F1311">
        <v>6.7249999999999996</v>
      </c>
      <c r="G1311">
        <v>7.4</v>
      </c>
      <c r="K1311">
        <v>1.3480000000000001</v>
      </c>
      <c r="L1311">
        <v>82.7</v>
      </c>
      <c r="M1311">
        <v>0.2</v>
      </c>
      <c r="O1311">
        <v>-11.52</v>
      </c>
      <c r="P1311">
        <v>-10.88</v>
      </c>
      <c r="Q1311">
        <v>13.83</v>
      </c>
      <c r="S1311">
        <v>13.18</v>
      </c>
      <c r="T1311">
        <v>0</v>
      </c>
      <c r="U1311">
        <v>91</v>
      </c>
      <c r="V1311">
        <v>792</v>
      </c>
      <c r="W1311">
        <v>32.840000000000003</v>
      </c>
      <c r="Y1311">
        <v>13.19</v>
      </c>
    </row>
    <row r="1312" spans="1:25" x14ac:dyDescent="0.25">
      <c r="A1312">
        <v>2007</v>
      </c>
      <c r="B1312">
        <v>131</v>
      </c>
      <c r="C1312">
        <v>2300</v>
      </c>
      <c r="D1312">
        <v>-0.55900000000000005</v>
      </c>
      <c r="E1312">
        <v>-10.44</v>
      </c>
      <c r="F1312">
        <v>6.9619999999999997</v>
      </c>
      <c r="G1312">
        <v>7.63</v>
      </c>
      <c r="K1312">
        <v>1.1970000000000001</v>
      </c>
      <c r="L1312">
        <v>77</v>
      </c>
      <c r="M1312">
        <v>0</v>
      </c>
      <c r="O1312">
        <v>-11.51</v>
      </c>
      <c r="P1312">
        <v>-10.86</v>
      </c>
      <c r="Q1312">
        <v>13.58</v>
      </c>
      <c r="S1312">
        <v>13.08</v>
      </c>
      <c r="T1312">
        <v>0</v>
      </c>
      <c r="U1312">
        <v>91.2</v>
      </c>
      <c r="V1312">
        <v>815</v>
      </c>
      <c r="W1312">
        <v>34.049999999999997</v>
      </c>
      <c r="Y1312">
        <v>13.11</v>
      </c>
    </row>
    <row r="1313" spans="1:25" x14ac:dyDescent="0.25">
      <c r="A1313">
        <v>2007</v>
      </c>
      <c r="B1313">
        <v>131</v>
      </c>
      <c r="C1313">
        <v>2400</v>
      </c>
      <c r="D1313">
        <v>-7.4999999999999997E-2</v>
      </c>
      <c r="E1313">
        <v>-8.3000000000000007</v>
      </c>
      <c r="F1313">
        <v>7.07</v>
      </c>
      <c r="G1313">
        <v>7.67</v>
      </c>
      <c r="K1313">
        <v>1.3049999999999999</v>
      </c>
      <c r="L1313">
        <v>7.95</v>
      </c>
      <c r="M1313">
        <v>0</v>
      </c>
      <c r="O1313">
        <v>-11.51</v>
      </c>
      <c r="P1313">
        <v>-10.86</v>
      </c>
      <c r="Q1313">
        <v>13.37</v>
      </c>
      <c r="S1313">
        <v>12.98</v>
      </c>
      <c r="T1313">
        <v>0</v>
      </c>
      <c r="U1313">
        <v>92.1</v>
      </c>
      <c r="V1313">
        <v>787</v>
      </c>
      <c r="W1313">
        <v>32.590000000000003</v>
      </c>
      <c r="Y1313">
        <v>13.05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388F-058F-43A4-BF15-661226371058}">
  <sheetPr codeName="Sheet5"/>
  <dimension ref="C1:L70"/>
  <sheetViews>
    <sheetView workbookViewId="0">
      <selection activeCell="G1" sqref="G1"/>
    </sheetView>
  </sheetViews>
  <sheetFormatPr defaultRowHeight="15" x14ac:dyDescent="0.25"/>
  <cols>
    <col min="3" max="3" width="9.85546875" bestFit="1" customWidth="1"/>
    <col min="5" max="5" width="18.28515625" bestFit="1" customWidth="1"/>
    <col min="6" max="6" width="16.7109375" bestFit="1" customWidth="1"/>
    <col min="7" max="7" width="15.28515625" bestFit="1" customWidth="1"/>
    <col min="8" max="9" width="14.28515625" bestFit="1" customWidth="1"/>
    <col min="10" max="10" width="14.85546875" bestFit="1" customWidth="1"/>
    <col min="11" max="12" width="19.5703125" bestFit="1" customWidth="1"/>
  </cols>
  <sheetData>
    <row r="1" spans="3:12" x14ac:dyDescent="0.25">
      <c r="C1" t="s">
        <v>64</v>
      </c>
      <c r="D1" t="s">
        <v>81</v>
      </c>
      <c r="E1" t="s">
        <v>84</v>
      </c>
      <c r="F1" t="s">
        <v>80</v>
      </c>
      <c r="G1" t="s">
        <v>147</v>
      </c>
      <c r="J1" s="23" t="s">
        <v>152</v>
      </c>
      <c r="L1" t="s">
        <v>151</v>
      </c>
    </row>
    <row r="2" spans="3:12" x14ac:dyDescent="0.25">
      <c r="C2">
        <v>302</v>
      </c>
      <c r="D2">
        <v>0</v>
      </c>
      <c r="E2">
        <v>12.085599999999999</v>
      </c>
      <c r="F2">
        <v>4.4000000000000004</v>
      </c>
      <c r="G2" t="s">
        <v>96</v>
      </c>
      <c r="H2" t="s">
        <v>97</v>
      </c>
      <c r="I2" s="22" t="s">
        <v>98</v>
      </c>
      <c r="J2" t="s">
        <v>99</v>
      </c>
      <c r="K2">
        <v>1</v>
      </c>
      <c r="L2" t="s">
        <v>98</v>
      </c>
    </row>
    <row r="3" spans="3:12" x14ac:dyDescent="0.25">
      <c r="C3">
        <v>303</v>
      </c>
      <c r="D3">
        <v>1</v>
      </c>
      <c r="E3">
        <v>11.9788</v>
      </c>
      <c r="F3">
        <v>12.2</v>
      </c>
      <c r="G3" t="s">
        <v>97</v>
      </c>
      <c r="H3" s="22" t="s">
        <v>98</v>
      </c>
      <c r="I3" t="s">
        <v>99</v>
      </c>
      <c r="J3" t="s">
        <v>100</v>
      </c>
      <c r="K3">
        <v>2</v>
      </c>
      <c r="L3" t="s">
        <v>105</v>
      </c>
    </row>
    <row r="4" spans="3:12" s="21" customFormat="1" x14ac:dyDescent="0.25">
      <c r="C4" s="21">
        <v>304</v>
      </c>
      <c r="D4" s="21">
        <v>2</v>
      </c>
      <c r="E4" s="21">
        <v>5.931840000000002</v>
      </c>
      <c r="F4" s="21">
        <v>0.6</v>
      </c>
      <c r="G4" s="24" t="s">
        <v>98</v>
      </c>
      <c r="H4" s="21" t="s">
        <v>99</v>
      </c>
      <c r="I4" s="21" t="s">
        <v>100</v>
      </c>
      <c r="J4" s="21" t="s">
        <v>101</v>
      </c>
      <c r="K4" s="21">
        <v>3</v>
      </c>
      <c r="L4" s="21" t="s">
        <v>115</v>
      </c>
    </row>
    <row r="5" spans="3:12" x14ac:dyDescent="0.25">
      <c r="C5">
        <v>305</v>
      </c>
      <c r="D5">
        <v>3</v>
      </c>
      <c r="E5">
        <v>3.778760000000001</v>
      </c>
      <c r="F5">
        <v>0</v>
      </c>
      <c r="G5" t="s">
        <v>99</v>
      </c>
      <c r="H5" t="s">
        <v>100</v>
      </c>
      <c r="I5" t="s">
        <v>101</v>
      </c>
      <c r="J5" t="s">
        <v>102</v>
      </c>
      <c r="K5">
        <v>4</v>
      </c>
      <c r="L5" t="s">
        <v>120</v>
      </c>
    </row>
    <row r="6" spans="3:12" x14ac:dyDescent="0.25">
      <c r="C6">
        <v>306</v>
      </c>
      <c r="D6">
        <v>4</v>
      </c>
      <c r="E6">
        <v>1.6366399999999997</v>
      </c>
      <c r="F6">
        <v>0</v>
      </c>
      <c r="G6" t="s">
        <v>100</v>
      </c>
      <c r="H6" t="s">
        <v>101</v>
      </c>
      <c r="I6" t="s">
        <v>102</v>
      </c>
      <c r="J6" t="s">
        <v>103</v>
      </c>
      <c r="K6">
        <v>5</v>
      </c>
      <c r="L6" t="s">
        <v>126</v>
      </c>
    </row>
    <row r="7" spans="3:12" x14ac:dyDescent="0.25">
      <c r="C7">
        <v>307</v>
      </c>
      <c r="D7">
        <v>5</v>
      </c>
      <c r="E7">
        <v>5.2502800000000001</v>
      </c>
      <c r="F7">
        <v>0</v>
      </c>
      <c r="G7" t="s">
        <v>101</v>
      </c>
      <c r="H7" t="s">
        <v>102</v>
      </c>
      <c r="I7" t="s">
        <v>103</v>
      </c>
      <c r="J7" t="s">
        <v>104</v>
      </c>
      <c r="K7">
        <v>6</v>
      </c>
      <c r="L7" t="s">
        <v>133</v>
      </c>
    </row>
    <row r="8" spans="3:12" x14ac:dyDescent="0.25">
      <c r="C8">
        <v>308</v>
      </c>
      <c r="D8">
        <v>6</v>
      </c>
      <c r="E8">
        <v>9.3419999999999987</v>
      </c>
      <c r="F8">
        <v>0</v>
      </c>
      <c r="G8" t="s">
        <v>102</v>
      </c>
      <c r="H8" t="s">
        <v>103</v>
      </c>
      <c r="I8" t="s">
        <v>104</v>
      </c>
      <c r="J8" s="22" t="s">
        <v>105</v>
      </c>
      <c r="K8">
        <v>7</v>
      </c>
      <c r="L8" t="s">
        <v>141</v>
      </c>
    </row>
    <row r="9" spans="3:12" x14ac:dyDescent="0.25">
      <c r="C9">
        <v>309</v>
      </c>
      <c r="D9">
        <v>7</v>
      </c>
      <c r="E9">
        <v>9.0673999999999992</v>
      </c>
      <c r="F9">
        <v>0</v>
      </c>
      <c r="G9" t="s">
        <v>103</v>
      </c>
      <c r="H9" t="s">
        <v>104</v>
      </c>
      <c r="I9" s="22" t="s">
        <v>105</v>
      </c>
      <c r="J9" t="s">
        <v>106</v>
      </c>
      <c r="K9">
        <v>8</v>
      </c>
      <c r="L9" t="s">
        <v>146</v>
      </c>
    </row>
    <row r="10" spans="3:12" x14ac:dyDescent="0.25">
      <c r="C10">
        <v>310</v>
      </c>
      <c r="D10">
        <v>8</v>
      </c>
      <c r="E10">
        <v>8.3246399999999987</v>
      </c>
      <c r="F10">
        <v>0.8</v>
      </c>
      <c r="G10" t="s">
        <v>104</v>
      </c>
      <c r="H10" s="22" t="s">
        <v>105</v>
      </c>
      <c r="I10" t="s">
        <v>106</v>
      </c>
      <c r="J10" t="s">
        <v>107</v>
      </c>
    </row>
    <row r="11" spans="3:12" x14ac:dyDescent="0.25">
      <c r="C11">
        <v>311</v>
      </c>
      <c r="D11">
        <v>9</v>
      </c>
      <c r="E11">
        <v>10.866000000000001</v>
      </c>
      <c r="F11">
        <v>4.2</v>
      </c>
      <c r="G11" s="22" t="s">
        <v>105</v>
      </c>
      <c r="H11" t="s">
        <v>106</v>
      </c>
      <c r="I11" t="s">
        <v>107</v>
      </c>
      <c r="J11" t="s">
        <v>108</v>
      </c>
    </row>
    <row r="12" spans="3:12" s="21" customFormat="1" x14ac:dyDescent="0.25">
      <c r="C12" s="21">
        <v>312</v>
      </c>
      <c r="D12" s="21">
        <v>10</v>
      </c>
      <c r="E12" s="21">
        <v>6.9949199999999996</v>
      </c>
      <c r="F12" s="21">
        <v>3</v>
      </c>
      <c r="G12" s="21" t="s">
        <v>106</v>
      </c>
      <c r="H12" s="21" t="s">
        <v>107</v>
      </c>
      <c r="I12" s="21" t="s">
        <v>108</v>
      </c>
      <c r="J12" s="21" t="s">
        <v>109</v>
      </c>
    </row>
    <row r="13" spans="3:12" x14ac:dyDescent="0.25">
      <c r="C13">
        <v>313</v>
      </c>
      <c r="D13">
        <v>11</v>
      </c>
      <c r="E13">
        <v>6.4138400000000004</v>
      </c>
      <c r="F13">
        <v>0</v>
      </c>
      <c r="G13" t="s">
        <v>107</v>
      </c>
      <c r="H13" t="s">
        <v>108</v>
      </c>
      <c r="I13" t="s">
        <v>109</v>
      </c>
      <c r="J13" t="s">
        <v>110</v>
      </c>
    </row>
    <row r="14" spans="3:12" x14ac:dyDescent="0.25">
      <c r="C14">
        <v>314</v>
      </c>
      <c r="D14">
        <v>12</v>
      </c>
      <c r="E14">
        <v>8.750840000000002</v>
      </c>
      <c r="F14">
        <v>10.4</v>
      </c>
      <c r="G14" t="s">
        <v>108</v>
      </c>
      <c r="H14" t="s">
        <v>109</v>
      </c>
      <c r="I14" t="s">
        <v>110</v>
      </c>
      <c r="J14" t="s">
        <v>111</v>
      </c>
    </row>
    <row r="15" spans="3:12" x14ac:dyDescent="0.25">
      <c r="C15">
        <v>315</v>
      </c>
      <c r="D15">
        <v>13</v>
      </c>
      <c r="E15">
        <v>8.2059599999999993</v>
      </c>
      <c r="F15">
        <v>5.6</v>
      </c>
      <c r="G15" t="s">
        <v>109</v>
      </c>
      <c r="H15" t="s">
        <v>110</v>
      </c>
      <c r="I15" t="s">
        <v>111</v>
      </c>
      <c r="J15" t="s">
        <v>112</v>
      </c>
    </row>
    <row r="16" spans="3:12" x14ac:dyDescent="0.25">
      <c r="C16">
        <v>316</v>
      </c>
      <c r="D16">
        <v>14</v>
      </c>
      <c r="E16">
        <v>10.347999999999999</v>
      </c>
      <c r="F16">
        <v>3.4000000000000004</v>
      </c>
      <c r="G16" t="s">
        <v>110</v>
      </c>
      <c r="H16" t="s">
        <v>111</v>
      </c>
      <c r="I16" t="s">
        <v>112</v>
      </c>
      <c r="J16" t="s">
        <v>113</v>
      </c>
    </row>
    <row r="17" spans="3:10" x14ac:dyDescent="0.25">
      <c r="C17">
        <v>317</v>
      </c>
      <c r="D17">
        <v>15</v>
      </c>
      <c r="E17">
        <v>8.6139200000000002</v>
      </c>
      <c r="F17">
        <v>1</v>
      </c>
      <c r="G17" t="s">
        <v>111</v>
      </c>
      <c r="H17" t="s">
        <v>112</v>
      </c>
      <c r="I17" t="s">
        <v>113</v>
      </c>
      <c r="J17" t="s">
        <v>114</v>
      </c>
    </row>
    <row r="18" spans="3:10" x14ac:dyDescent="0.25">
      <c r="C18">
        <v>318</v>
      </c>
      <c r="D18">
        <v>16</v>
      </c>
      <c r="E18">
        <v>6.7644799999999998</v>
      </c>
      <c r="F18">
        <v>2.8000000000000003</v>
      </c>
      <c r="G18" t="s">
        <v>112</v>
      </c>
      <c r="H18" t="s">
        <v>113</v>
      </c>
      <c r="I18" t="s">
        <v>114</v>
      </c>
      <c r="J18" s="22" t="s">
        <v>115</v>
      </c>
    </row>
    <row r="19" spans="3:10" x14ac:dyDescent="0.25">
      <c r="C19">
        <v>319</v>
      </c>
      <c r="D19">
        <v>17</v>
      </c>
      <c r="E19">
        <v>6.0214799999999995</v>
      </c>
      <c r="F19">
        <v>66.40000000000002</v>
      </c>
      <c r="G19" t="s">
        <v>113</v>
      </c>
      <c r="H19" t="s">
        <v>114</v>
      </c>
      <c r="I19" s="22" t="s">
        <v>115</v>
      </c>
      <c r="J19" t="s">
        <v>116</v>
      </c>
    </row>
    <row r="20" spans="3:10" x14ac:dyDescent="0.25">
      <c r="C20">
        <v>320</v>
      </c>
      <c r="D20">
        <v>18</v>
      </c>
      <c r="E20">
        <v>4.9475199999999999</v>
      </c>
      <c r="F20">
        <v>3.0000000000000004</v>
      </c>
      <c r="G20" t="s">
        <v>114</v>
      </c>
      <c r="H20" s="22" t="s">
        <v>115</v>
      </c>
      <c r="I20" t="s">
        <v>116</v>
      </c>
      <c r="J20" t="s">
        <v>117</v>
      </c>
    </row>
    <row r="21" spans="3:10" x14ac:dyDescent="0.25">
      <c r="C21">
        <v>321</v>
      </c>
      <c r="D21">
        <v>19</v>
      </c>
      <c r="E21">
        <v>3.0378400000000001</v>
      </c>
      <c r="F21">
        <v>15</v>
      </c>
      <c r="G21" s="22" t="s">
        <v>115</v>
      </c>
      <c r="H21" t="s">
        <v>116</v>
      </c>
      <c r="I21" t="s">
        <v>117</v>
      </c>
      <c r="J21" t="s">
        <v>118</v>
      </c>
    </row>
    <row r="22" spans="3:10" x14ac:dyDescent="0.25">
      <c r="C22">
        <v>322</v>
      </c>
      <c r="D22">
        <v>20</v>
      </c>
      <c r="E22">
        <v>2.9127599999999991</v>
      </c>
      <c r="F22">
        <v>1.2000000000000002</v>
      </c>
      <c r="G22" t="s">
        <v>116</v>
      </c>
      <c r="H22" t="s">
        <v>117</v>
      </c>
      <c r="I22" t="s">
        <v>118</v>
      </c>
      <c r="J22" t="s">
        <v>119</v>
      </c>
    </row>
    <row r="23" spans="3:10" x14ac:dyDescent="0.25">
      <c r="C23">
        <v>323</v>
      </c>
      <c r="D23">
        <v>21</v>
      </c>
      <c r="E23">
        <v>7.2544000000000004</v>
      </c>
      <c r="F23">
        <v>16</v>
      </c>
      <c r="G23" t="s">
        <v>117</v>
      </c>
      <c r="H23" t="s">
        <v>118</v>
      </c>
      <c r="I23" t="s">
        <v>119</v>
      </c>
      <c r="J23" s="22" t="s">
        <v>120</v>
      </c>
    </row>
    <row r="24" spans="3:10" x14ac:dyDescent="0.25">
      <c r="C24">
        <v>324</v>
      </c>
      <c r="D24">
        <v>22</v>
      </c>
      <c r="E24">
        <v>4.8401200000000015</v>
      </c>
      <c r="F24">
        <v>4.4000000000000004</v>
      </c>
      <c r="G24" t="s">
        <v>118</v>
      </c>
      <c r="H24" t="s">
        <v>119</v>
      </c>
      <c r="I24" s="22" t="s">
        <v>120</v>
      </c>
      <c r="J24" t="s">
        <v>121</v>
      </c>
    </row>
    <row r="25" spans="3:10" x14ac:dyDescent="0.25">
      <c r="C25">
        <v>325</v>
      </c>
      <c r="D25">
        <v>23</v>
      </c>
      <c r="E25">
        <v>5.3116000000000012</v>
      </c>
      <c r="F25">
        <v>0.4</v>
      </c>
      <c r="G25" t="s">
        <v>119</v>
      </c>
      <c r="H25" s="22" t="s">
        <v>120</v>
      </c>
      <c r="I25" t="s">
        <v>121</v>
      </c>
      <c r="J25" t="s">
        <v>122</v>
      </c>
    </row>
    <row r="26" spans="3:10" x14ac:dyDescent="0.25">
      <c r="C26">
        <v>326</v>
      </c>
      <c r="D26">
        <v>24</v>
      </c>
      <c r="E26">
        <v>7.1650800000000014</v>
      </c>
      <c r="F26">
        <v>7.9999999999999991</v>
      </c>
      <c r="G26" s="22" t="s">
        <v>120</v>
      </c>
      <c r="H26" t="s">
        <v>121</v>
      </c>
      <c r="I26" t="s">
        <v>122</v>
      </c>
      <c r="J26" t="s">
        <v>123</v>
      </c>
    </row>
    <row r="27" spans="3:10" x14ac:dyDescent="0.25">
      <c r="C27">
        <v>327</v>
      </c>
      <c r="D27">
        <v>25</v>
      </c>
      <c r="E27">
        <v>5.8688000000000002</v>
      </c>
      <c r="F27">
        <v>5.2</v>
      </c>
      <c r="G27" t="s">
        <v>121</v>
      </c>
      <c r="H27" t="s">
        <v>122</v>
      </c>
      <c r="I27" t="s">
        <v>123</v>
      </c>
      <c r="J27" t="s">
        <v>124</v>
      </c>
    </row>
    <row r="28" spans="3:10" x14ac:dyDescent="0.25">
      <c r="C28">
        <v>328</v>
      </c>
      <c r="D28">
        <v>26</v>
      </c>
      <c r="E28">
        <v>6.7003199999999996</v>
      </c>
      <c r="F28">
        <v>38.799999999999997</v>
      </c>
      <c r="G28" t="s">
        <v>122</v>
      </c>
      <c r="H28" t="s">
        <v>123</v>
      </c>
      <c r="I28" t="s">
        <v>124</v>
      </c>
      <c r="J28" t="s">
        <v>125</v>
      </c>
    </row>
    <row r="29" spans="3:10" x14ac:dyDescent="0.25">
      <c r="C29">
        <v>329</v>
      </c>
      <c r="D29">
        <v>27</v>
      </c>
      <c r="E29">
        <v>6.2715200000000015</v>
      </c>
      <c r="F29">
        <v>4.4000000000000004</v>
      </c>
      <c r="G29" t="s">
        <v>123</v>
      </c>
      <c r="H29" t="s">
        <v>124</v>
      </c>
      <c r="I29" t="s">
        <v>125</v>
      </c>
      <c r="J29" s="22" t="s">
        <v>126</v>
      </c>
    </row>
    <row r="30" spans="3:10" x14ac:dyDescent="0.25">
      <c r="C30">
        <v>330</v>
      </c>
      <c r="D30">
        <v>28</v>
      </c>
      <c r="E30">
        <v>9.6724800000000002</v>
      </c>
      <c r="F30">
        <v>11.200000000000001</v>
      </c>
      <c r="G30" t="s">
        <v>124</v>
      </c>
      <c r="H30" t="s">
        <v>125</v>
      </c>
      <c r="I30" s="22" t="s">
        <v>126</v>
      </c>
      <c r="J30" t="s">
        <v>127</v>
      </c>
    </row>
    <row r="31" spans="3:10" x14ac:dyDescent="0.25">
      <c r="C31">
        <v>331</v>
      </c>
      <c r="D31">
        <v>29</v>
      </c>
      <c r="E31">
        <v>9.2175600000000024</v>
      </c>
      <c r="F31">
        <v>10</v>
      </c>
      <c r="G31" t="s">
        <v>125</v>
      </c>
      <c r="H31" s="22" t="s">
        <v>126</v>
      </c>
      <c r="I31" t="s">
        <v>127</v>
      </c>
      <c r="J31" t="s">
        <v>128</v>
      </c>
    </row>
    <row r="32" spans="3:10" s="21" customFormat="1" x14ac:dyDescent="0.25">
      <c r="C32" s="21">
        <v>332</v>
      </c>
      <c r="D32" s="21">
        <v>30</v>
      </c>
      <c r="E32" s="21">
        <v>7.1416000000000004</v>
      </c>
      <c r="F32" s="21">
        <v>2</v>
      </c>
      <c r="G32" s="24" t="s">
        <v>126</v>
      </c>
      <c r="H32" s="21" t="s">
        <v>127</v>
      </c>
      <c r="I32" s="21" t="s">
        <v>128</v>
      </c>
      <c r="J32" s="21" t="s">
        <v>129</v>
      </c>
    </row>
    <row r="33" spans="3:10" x14ac:dyDescent="0.25">
      <c r="C33">
        <v>333</v>
      </c>
      <c r="D33">
        <v>31</v>
      </c>
      <c r="E33">
        <v>10.9796</v>
      </c>
      <c r="F33">
        <v>0</v>
      </c>
      <c r="G33" t="s">
        <v>127</v>
      </c>
      <c r="H33" t="s">
        <v>128</v>
      </c>
      <c r="I33" t="s">
        <v>129</v>
      </c>
      <c r="J33" t="s">
        <v>130</v>
      </c>
    </row>
    <row r="34" spans="3:10" x14ac:dyDescent="0.25">
      <c r="C34">
        <v>334</v>
      </c>
      <c r="D34">
        <v>32</v>
      </c>
      <c r="E34">
        <v>10.484519999999998</v>
      </c>
      <c r="F34">
        <v>28.4</v>
      </c>
      <c r="G34" t="s">
        <v>128</v>
      </c>
      <c r="H34" t="s">
        <v>129</v>
      </c>
      <c r="I34" t="s">
        <v>130</v>
      </c>
      <c r="J34" t="s">
        <v>131</v>
      </c>
    </row>
    <row r="35" spans="3:10" x14ac:dyDescent="0.25">
      <c r="C35">
        <v>335</v>
      </c>
      <c r="D35">
        <v>33</v>
      </c>
      <c r="E35">
        <v>7.1861199999999972</v>
      </c>
      <c r="F35">
        <v>3.5999999999999996</v>
      </c>
      <c r="G35" t="s">
        <v>129</v>
      </c>
      <c r="H35" t="s">
        <v>130</v>
      </c>
      <c r="I35" t="s">
        <v>131</v>
      </c>
      <c r="J35" t="s">
        <v>132</v>
      </c>
    </row>
    <row r="36" spans="3:10" x14ac:dyDescent="0.25">
      <c r="C36">
        <v>336</v>
      </c>
      <c r="D36">
        <v>34</v>
      </c>
      <c r="E36">
        <v>8.4252000000000002</v>
      </c>
      <c r="F36">
        <v>19.399999999999995</v>
      </c>
      <c r="G36" t="s">
        <v>130</v>
      </c>
      <c r="H36" t="s">
        <v>131</v>
      </c>
      <c r="I36" t="s">
        <v>132</v>
      </c>
      <c r="J36" s="22" t="s">
        <v>133</v>
      </c>
    </row>
    <row r="37" spans="3:10" x14ac:dyDescent="0.25">
      <c r="C37">
        <v>337</v>
      </c>
      <c r="D37">
        <v>35</v>
      </c>
      <c r="E37">
        <v>6.6653200000000004</v>
      </c>
      <c r="F37">
        <v>30.200000000000003</v>
      </c>
      <c r="G37" t="s">
        <v>131</v>
      </c>
      <c r="H37" t="s">
        <v>132</v>
      </c>
      <c r="I37" s="22" t="s">
        <v>133</v>
      </c>
      <c r="J37" t="s">
        <v>134</v>
      </c>
    </row>
    <row r="38" spans="3:10" x14ac:dyDescent="0.25">
      <c r="C38">
        <v>338</v>
      </c>
      <c r="D38">
        <v>36</v>
      </c>
      <c r="E38">
        <v>8.6719599999999986</v>
      </c>
      <c r="F38">
        <v>18</v>
      </c>
      <c r="G38" t="s">
        <v>132</v>
      </c>
      <c r="H38" s="22" t="s">
        <v>133</v>
      </c>
      <c r="I38" t="s">
        <v>134</v>
      </c>
      <c r="J38" t="s">
        <v>135</v>
      </c>
    </row>
    <row r="39" spans="3:10" x14ac:dyDescent="0.25">
      <c r="C39">
        <v>339</v>
      </c>
      <c r="D39">
        <v>37</v>
      </c>
      <c r="E39">
        <v>6.2703200000000017</v>
      </c>
      <c r="F39">
        <v>2</v>
      </c>
      <c r="G39" s="22" t="s">
        <v>133</v>
      </c>
      <c r="H39" t="s">
        <v>134</v>
      </c>
      <c r="I39" t="s">
        <v>135</v>
      </c>
      <c r="J39" t="s">
        <v>136</v>
      </c>
    </row>
    <row r="40" spans="3:10" x14ac:dyDescent="0.25">
      <c r="C40">
        <v>340</v>
      </c>
      <c r="D40">
        <v>38</v>
      </c>
      <c r="E40">
        <v>6.5026799999999989</v>
      </c>
      <c r="F40">
        <v>20.8</v>
      </c>
      <c r="G40" t="s">
        <v>134</v>
      </c>
      <c r="H40" t="s">
        <v>135</v>
      </c>
      <c r="I40" t="s">
        <v>136</v>
      </c>
      <c r="J40" t="s">
        <v>137</v>
      </c>
    </row>
    <row r="41" spans="3:10" x14ac:dyDescent="0.25">
      <c r="C41">
        <v>341</v>
      </c>
      <c r="D41">
        <v>39</v>
      </c>
      <c r="E41">
        <v>5.8111999999999986</v>
      </c>
      <c r="F41">
        <v>15.600000000000001</v>
      </c>
      <c r="G41" t="s">
        <v>135</v>
      </c>
      <c r="H41" t="s">
        <v>136</v>
      </c>
      <c r="I41" t="s">
        <v>137</v>
      </c>
      <c r="J41" t="s">
        <v>138</v>
      </c>
    </row>
    <row r="42" spans="3:10" x14ac:dyDescent="0.25">
      <c r="C42">
        <v>342</v>
      </c>
      <c r="D42">
        <v>40</v>
      </c>
      <c r="E42">
        <v>4.3328800000000003</v>
      </c>
      <c r="F42">
        <v>1.6</v>
      </c>
      <c r="G42" t="s">
        <v>136</v>
      </c>
      <c r="H42" t="s">
        <v>137</v>
      </c>
      <c r="I42" t="s">
        <v>138</v>
      </c>
      <c r="J42" t="s">
        <v>139</v>
      </c>
    </row>
    <row r="43" spans="3:10" x14ac:dyDescent="0.25">
      <c r="C43">
        <v>343</v>
      </c>
      <c r="D43">
        <v>41</v>
      </c>
      <c r="E43">
        <v>4.452840000000001</v>
      </c>
      <c r="F43">
        <v>5.2</v>
      </c>
      <c r="G43" t="s">
        <v>137</v>
      </c>
      <c r="H43" t="s">
        <v>138</v>
      </c>
      <c r="I43" t="s">
        <v>139</v>
      </c>
      <c r="J43" t="s">
        <v>140</v>
      </c>
    </row>
    <row r="44" spans="3:10" x14ac:dyDescent="0.25">
      <c r="C44">
        <v>344</v>
      </c>
      <c r="D44">
        <v>42</v>
      </c>
      <c r="E44">
        <v>10.07888</v>
      </c>
      <c r="F44">
        <v>18.399999999999999</v>
      </c>
      <c r="G44" t="s">
        <v>138</v>
      </c>
      <c r="H44" t="s">
        <v>139</v>
      </c>
      <c r="I44" t="s">
        <v>140</v>
      </c>
      <c r="J44" s="22" t="s">
        <v>141</v>
      </c>
    </row>
    <row r="45" spans="3:10" x14ac:dyDescent="0.25">
      <c r="C45">
        <v>345</v>
      </c>
      <c r="D45">
        <v>43</v>
      </c>
      <c r="E45">
        <v>4.9218399999999995</v>
      </c>
      <c r="F45">
        <v>1.2000000000000002</v>
      </c>
      <c r="G45" t="s">
        <v>139</v>
      </c>
      <c r="H45" t="s">
        <v>140</v>
      </c>
      <c r="I45" s="22" t="s">
        <v>141</v>
      </c>
      <c r="J45" t="s">
        <v>142</v>
      </c>
    </row>
    <row r="46" spans="3:10" x14ac:dyDescent="0.25">
      <c r="C46">
        <v>346</v>
      </c>
      <c r="D46">
        <v>44</v>
      </c>
      <c r="E46">
        <v>7.3699600000000025</v>
      </c>
      <c r="F46">
        <v>16.8</v>
      </c>
      <c r="G46" t="s">
        <v>140</v>
      </c>
      <c r="H46" s="22" t="s">
        <v>141</v>
      </c>
      <c r="I46" t="s">
        <v>142</v>
      </c>
      <c r="J46" t="s">
        <v>143</v>
      </c>
    </row>
    <row r="47" spans="3:10" x14ac:dyDescent="0.25">
      <c r="C47">
        <v>347</v>
      </c>
      <c r="D47">
        <v>45</v>
      </c>
      <c r="E47">
        <v>11.357599999999998</v>
      </c>
      <c r="F47">
        <v>9.7999999999999989</v>
      </c>
      <c r="G47" s="22" t="s">
        <v>141</v>
      </c>
      <c r="H47" t="s">
        <v>142</v>
      </c>
      <c r="I47" t="s">
        <v>143</v>
      </c>
      <c r="J47" t="s">
        <v>144</v>
      </c>
    </row>
    <row r="48" spans="3:10" x14ac:dyDescent="0.25">
      <c r="C48">
        <v>348</v>
      </c>
      <c r="D48">
        <v>46</v>
      </c>
      <c r="E48">
        <v>6.6679199999999987</v>
      </c>
      <c r="F48">
        <v>19</v>
      </c>
      <c r="G48" t="s">
        <v>142</v>
      </c>
      <c r="H48" t="s">
        <v>143</v>
      </c>
      <c r="I48" t="s">
        <v>144</v>
      </c>
      <c r="J48" t="s">
        <v>145</v>
      </c>
    </row>
    <row r="49" spans="3:10" x14ac:dyDescent="0.25">
      <c r="C49">
        <v>349</v>
      </c>
      <c r="D49">
        <v>47</v>
      </c>
      <c r="E49">
        <v>3.7260400000000002</v>
      </c>
      <c r="F49">
        <v>0</v>
      </c>
      <c r="G49" t="s">
        <v>143</v>
      </c>
      <c r="H49" t="s">
        <v>144</v>
      </c>
      <c r="I49" t="s">
        <v>145</v>
      </c>
      <c r="J49" s="22" t="s">
        <v>146</v>
      </c>
    </row>
    <row r="50" spans="3:10" x14ac:dyDescent="0.25">
      <c r="C50">
        <v>350</v>
      </c>
      <c r="D50">
        <v>48</v>
      </c>
      <c r="E50">
        <v>4.1708800000000004</v>
      </c>
      <c r="F50">
        <v>0.4</v>
      </c>
      <c r="G50" t="s">
        <v>144</v>
      </c>
      <c r="H50" t="s">
        <v>145</v>
      </c>
      <c r="I50" s="22" t="s">
        <v>146</v>
      </c>
      <c r="J50" t="s">
        <v>148</v>
      </c>
    </row>
    <row r="51" spans="3:10" x14ac:dyDescent="0.25">
      <c r="C51">
        <v>351</v>
      </c>
      <c r="D51">
        <v>49</v>
      </c>
      <c r="E51">
        <v>5.3720000000000008</v>
      </c>
      <c r="F51">
        <v>2</v>
      </c>
      <c r="G51" t="s">
        <v>145</v>
      </c>
      <c r="H51" s="22" t="s">
        <v>146</v>
      </c>
      <c r="I51" t="s">
        <v>148</v>
      </c>
      <c r="J51" t="s">
        <v>149</v>
      </c>
    </row>
    <row r="52" spans="3:10" s="21" customFormat="1" x14ac:dyDescent="0.25">
      <c r="C52" s="21">
        <v>352</v>
      </c>
      <c r="D52" s="21">
        <v>50</v>
      </c>
      <c r="E52" s="21">
        <v>1.8912</v>
      </c>
      <c r="F52" s="21">
        <v>0</v>
      </c>
      <c r="G52" s="24" t="s">
        <v>152</v>
      </c>
      <c r="H52" s="21" t="s">
        <v>148</v>
      </c>
      <c r="I52" s="21" t="s">
        <v>149</v>
      </c>
      <c r="J52" s="21" t="s">
        <v>150</v>
      </c>
    </row>
    <row r="53" spans="3:10" x14ac:dyDescent="0.25">
      <c r="C53">
        <v>353</v>
      </c>
      <c r="D53">
        <v>51</v>
      </c>
      <c r="E53">
        <v>0.58344000000000018</v>
      </c>
      <c r="F53">
        <v>0.8</v>
      </c>
    </row>
    <row r="54" spans="3:10" x14ac:dyDescent="0.25">
      <c r="C54">
        <v>354</v>
      </c>
      <c r="D54">
        <v>52</v>
      </c>
      <c r="E54">
        <v>1.06088</v>
      </c>
      <c r="F54">
        <v>0.60000000000000009</v>
      </c>
    </row>
    <row r="55" spans="3:10" x14ac:dyDescent="0.25">
      <c r="C55">
        <v>355</v>
      </c>
      <c r="D55">
        <v>53</v>
      </c>
      <c r="E55">
        <v>6.4433999999999996</v>
      </c>
      <c r="F55">
        <v>0.2</v>
      </c>
    </row>
    <row r="56" spans="3:10" x14ac:dyDescent="0.25">
      <c r="C56">
        <v>356</v>
      </c>
      <c r="D56">
        <v>54</v>
      </c>
      <c r="E56">
        <v>3.4242000000000008</v>
      </c>
      <c r="F56">
        <v>0</v>
      </c>
    </row>
    <row r="57" spans="3:10" x14ac:dyDescent="0.25">
      <c r="C57">
        <v>357</v>
      </c>
      <c r="D57">
        <v>55</v>
      </c>
      <c r="E57">
        <v>2.2618799999999997</v>
      </c>
      <c r="F57">
        <v>0</v>
      </c>
    </row>
    <row r="58" spans="3:10" x14ac:dyDescent="0.25">
      <c r="C58">
        <v>358</v>
      </c>
      <c r="D58">
        <v>56</v>
      </c>
      <c r="E58">
        <v>4.6011999999999986</v>
      </c>
      <c r="F58">
        <v>0</v>
      </c>
    </row>
    <row r="59" spans="3:10" x14ac:dyDescent="0.25">
      <c r="C59">
        <v>359</v>
      </c>
      <c r="D59">
        <v>57</v>
      </c>
      <c r="E59">
        <v>5.8026800000000005</v>
      </c>
      <c r="F59">
        <v>2.2000000000000002</v>
      </c>
    </row>
    <row r="60" spans="3:10" x14ac:dyDescent="0.25">
      <c r="C60">
        <v>360</v>
      </c>
      <c r="D60">
        <v>58</v>
      </c>
      <c r="E60">
        <v>6.57104</v>
      </c>
      <c r="F60">
        <v>3.2</v>
      </c>
    </row>
    <row r="61" spans="3:10" x14ac:dyDescent="0.25">
      <c r="C61">
        <v>361</v>
      </c>
      <c r="D61">
        <v>59</v>
      </c>
      <c r="E61">
        <v>6.4630400000000012</v>
      </c>
      <c r="F61">
        <v>12.2</v>
      </c>
    </row>
    <row r="62" spans="3:10" x14ac:dyDescent="0.25">
      <c r="C62">
        <v>362</v>
      </c>
      <c r="D62">
        <v>60</v>
      </c>
      <c r="E62">
        <v>9.9832000000000001</v>
      </c>
      <c r="F62">
        <v>3.4000000000000004</v>
      </c>
    </row>
    <row r="63" spans="3:10" x14ac:dyDescent="0.25">
      <c r="C63">
        <v>363</v>
      </c>
      <c r="D63">
        <v>61</v>
      </c>
      <c r="E63">
        <v>9.219120000000002</v>
      </c>
      <c r="F63">
        <v>9.2000000000000011</v>
      </c>
    </row>
    <row r="64" spans="3:10" x14ac:dyDescent="0.25">
      <c r="C64">
        <v>364</v>
      </c>
      <c r="D64">
        <v>62</v>
      </c>
      <c r="E64">
        <v>5.59856</v>
      </c>
      <c r="F64">
        <v>4</v>
      </c>
    </row>
    <row r="65" spans="3:6" x14ac:dyDescent="0.25">
      <c r="C65">
        <v>365</v>
      </c>
      <c r="D65">
        <v>63</v>
      </c>
      <c r="E65">
        <v>6.3975599999999995</v>
      </c>
      <c r="F65">
        <v>19.599999999999994</v>
      </c>
    </row>
    <row r="66" spans="3:6" x14ac:dyDescent="0.25">
      <c r="C66">
        <v>1</v>
      </c>
      <c r="D66">
        <v>64</v>
      </c>
      <c r="E66">
        <v>4.2017500000000005</v>
      </c>
      <c r="F66">
        <v>5.8000000000000007</v>
      </c>
    </row>
    <row r="67" spans="3:6" x14ac:dyDescent="0.25">
      <c r="C67">
        <v>2</v>
      </c>
      <c r="D67">
        <v>65</v>
      </c>
      <c r="E67">
        <v>7.8096666666666676</v>
      </c>
      <c r="F67">
        <v>1.7999999999999998</v>
      </c>
    </row>
    <row r="68" spans="3:6" x14ac:dyDescent="0.25">
      <c r="C68">
        <v>3</v>
      </c>
      <c r="D68">
        <v>66</v>
      </c>
      <c r="E68">
        <v>9.4129166666666659</v>
      </c>
      <c r="F68">
        <v>3.0000000000000009</v>
      </c>
    </row>
    <row r="69" spans="3:6" x14ac:dyDescent="0.25">
      <c r="C69">
        <v>4</v>
      </c>
      <c r="D69">
        <v>67</v>
      </c>
      <c r="E69">
        <v>8.1437499999999989</v>
      </c>
      <c r="F69">
        <v>1</v>
      </c>
    </row>
    <row r="70" spans="3:6" x14ac:dyDescent="0.25">
      <c r="C70">
        <v>5</v>
      </c>
      <c r="D70">
        <v>68</v>
      </c>
      <c r="E70">
        <v>6.3154583333333356</v>
      </c>
      <c r="F70">
        <v>0.2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E005-0E46-41DA-9FDD-FEDD52C36E9A}">
  <dimension ref="A1:Q25"/>
  <sheetViews>
    <sheetView workbookViewId="0">
      <selection activeCell="O19" sqref="O1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64</v>
      </c>
      <c r="E1" t="s">
        <v>198</v>
      </c>
      <c r="F1" t="s">
        <v>199</v>
      </c>
      <c r="G1" t="s">
        <v>3</v>
      </c>
      <c r="H1" t="s">
        <v>64</v>
      </c>
      <c r="I1" t="s">
        <v>198</v>
      </c>
      <c r="J1" t="s">
        <v>199</v>
      </c>
      <c r="K1" t="s">
        <v>4</v>
      </c>
      <c r="L1" t="s">
        <v>64</v>
      </c>
      <c r="M1" t="s">
        <v>198</v>
      </c>
      <c r="N1" t="s">
        <v>199</v>
      </c>
    </row>
    <row r="2" spans="1:17" x14ac:dyDescent="0.25">
      <c r="G2">
        <v>2006</v>
      </c>
      <c r="K2">
        <v>2007</v>
      </c>
    </row>
    <row r="3" spans="1:17" x14ac:dyDescent="0.25">
      <c r="A3" t="s">
        <v>5</v>
      </c>
      <c r="B3">
        <v>1</v>
      </c>
      <c r="C3" t="s">
        <v>186</v>
      </c>
      <c r="D3">
        <v>121</v>
      </c>
      <c r="E3">
        <v>33.422500000000007</v>
      </c>
      <c r="F3">
        <v>10.549166666666666</v>
      </c>
      <c r="G3" t="s">
        <v>187</v>
      </c>
      <c r="H3">
        <v>302</v>
      </c>
      <c r="I3">
        <v>37.332000000000001</v>
      </c>
      <c r="J3">
        <v>11.605600000000003</v>
      </c>
      <c r="K3" t="s">
        <v>188</v>
      </c>
      <c r="L3">
        <v>76</v>
      </c>
      <c r="M3">
        <v>44.29791666666668</v>
      </c>
      <c r="N3">
        <v>7.738666666666667</v>
      </c>
    </row>
    <row r="4" spans="1:17" x14ac:dyDescent="0.25">
      <c r="B4">
        <v>2</v>
      </c>
      <c r="C4" t="s">
        <v>189</v>
      </c>
      <c r="D4">
        <v>122</v>
      </c>
      <c r="E4">
        <v>36.598750000000003</v>
      </c>
      <c r="F4">
        <v>9.6795833333333352</v>
      </c>
      <c r="G4" t="s">
        <v>187</v>
      </c>
      <c r="H4">
        <v>302</v>
      </c>
      <c r="I4">
        <v>37.332000000000001</v>
      </c>
      <c r="J4">
        <v>11.605600000000003</v>
      </c>
      <c r="K4" t="s">
        <v>190</v>
      </c>
      <c r="L4">
        <v>77</v>
      </c>
      <c r="M4">
        <v>47.307083333333338</v>
      </c>
      <c r="N4">
        <v>5.4819166666666668</v>
      </c>
    </row>
    <row r="5" spans="1:17" x14ac:dyDescent="0.25">
      <c r="B5">
        <v>3</v>
      </c>
      <c r="C5" t="s">
        <v>191</v>
      </c>
      <c r="D5">
        <v>127</v>
      </c>
      <c r="E5">
        <v>32.324166666666663</v>
      </c>
      <c r="F5">
        <v>11.836666666666671</v>
      </c>
      <c r="G5" t="s">
        <v>192</v>
      </c>
      <c r="H5">
        <v>303</v>
      </c>
      <c r="I5">
        <v>38.645599999999995</v>
      </c>
      <c r="J5">
        <v>12.032799999999998</v>
      </c>
      <c r="K5" t="s">
        <v>190</v>
      </c>
      <c r="L5">
        <v>77</v>
      </c>
      <c r="M5">
        <v>47.307083333333338</v>
      </c>
      <c r="N5">
        <v>5.4819166666666668</v>
      </c>
    </row>
    <row r="6" spans="1:17" x14ac:dyDescent="0.25">
      <c r="B6">
        <v>4</v>
      </c>
      <c r="C6" t="s">
        <v>193</v>
      </c>
      <c r="D6">
        <v>128</v>
      </c>
      <c r="E6">
        <v>37.435416666666676</v>
      </c>
      <c r="F6">
        <v>11.879166666666668</v>
      </c>
      <c r="G6" t="s">
        <v>194</v>
      </c>
      <c r="H6">
        <v>304</v>
      </c>
      <c r="I6">
        <v>37.937600000000003</v>
      </c>
      <c r="J6">
        <v>10.9244</v>
      </c>
      <c r="K6" t="s">
        <v>195</v>
      </c>
      <c r="L6">
        <v>78</v>
      </c>
      <c r="M6">
        <v>54.568749999999994</v>
      </c>
      <c r="N6">
        <v>4.2051249999999998</v>
      </c>
    </row>
    <row r="7" spans="1:17" x14ac:dyDescent="0.25">
      <c r="B7">
        <v>5</v>
      </c>
      <c r="C7" t="s">
        <v>196</v>
      </c>
      <c r="D7">
        <v>130</v>
      </c>
      <c r="E7">
        <v>32.097500000000011</v>
      </c>
      <c r="F7">
        <v>13.112083333333333</v>
      </c>
      <c r="G7" t="s">
        <v>197</v>
      </c>
      <c r="H7">
        <v>305</v>
      </c>
      <c r="I7">
        <v>36.262799999999999</v>
      </c>
      <c r="J7">
        <v>9.2924000000000007</v>
      </c>
      <c r="K7" t="s">
        <v>195</v>
      </c>
      <c r="L7">
        <v>78</v>
      </c>
      <c r="M7">
        <v>54.568749999999994</v>
      </c>
      <c r="N7">
        <v>4.2051249999999998</v>
      </c>
    </row>
    <row r="8" spans="1:17" x14ac:dyDescent="0.25">
      <c r="Q8" t="s">
        <v>203</v>
      </c>
    </row>
    <row r="9" spans="1:17" x14ac:dyDescent="0.25">
      <c r="Q9" t="s">
        <v>204</v>
      </c>
    </row>
    <row r="10" spans="1:17" x14ac:dyDescent="0.25">
      <c r="Q10" t="s">
        <v>205</v>
      </c>
    </row>
    <row r="11" spans="1:17" x14ac:dyDescent="0.25">
      <c r="E11">
        <v>33.422500000000007</v>
      </c>
      <c r="F11" s="30">
        <v>0.39796999999999999</v>
      </c>
      <c r="G11">
        <f>F11*100</f>
        <v>39.796999999999997</v>
      </c>
    </row>
    <row r="12" spans="1:17" x14ac:dyDescent="0.25">
      <c r="E12">
        <v>36.598750000000003</v>
      </c>
      <c r="F12" s="22">
        <v>0.46860000000000002</v>
      </c>
      <c r="G12">
        <f t="shared" ref="G12:G15" si="0">F12*100</f>
        <v>46.86</v>
      </c>
    </row>
    <row r="13" spans="1:17" x14ac:dyDescent="0.25">
      <c r="E13">
        <v>32.324166666666663</v>
      </c>
      <c r="F13" s="22">
        <v>0.40867999999999993</v>
      </c>
      <c r="G13">
        <f t="shared" si="0"/>
        <v>40.867999999999995</v>
      </c>
    </row>
    <row r="14" spans="1:17" x14ac:dyDescent="0.25">
      <c r="E14">
        <v>37.435416666666676</v>
      </c>
      <c r="F14" s="22">
        <v>0.41165000000000002</v>
      </c>
      <c r="G14">
        <f t="shared" si="0"/>
        <v>41.164999999999999</v>
      </c>
    </row>
    <row r="15" spans="1:17" x14ac:dyDescent="0.25">
      <c r="E15">
        <v>32.097500000000011</v>
      </c>
      <c r="F15" s="22">
        <v>0.37560000000000004</v>
      </c>
      <c r="G15">
        <f t="shared" si="0"/>
        <v>37.56</v>
      </c>
    </row>
    <row r="16" spans="1:17" x14ac:dyDescent="0.25">
      <c r="F16" s="30">
        <v>0.3674</v>
      </c>
    </row>
    <row r="17" spans="6:6" x14ac:dyDescent="0.25">
      <c r="F17" s="22">
        <v>0.40831999999999996</v>
      </c>
    </row>
    <row r="18" spans="6:6" x14ac:dyDescent="0.25">
      <c r="F18" s="22">
        <v>0.46356000000000003</v>
      </c>
    </row>
    <row r="19" spans="6:6" x14ac:dyDescent="0.25">
      <c r="F19" s="22">
        <v>0.42259000000000002</v>
      </c>
    </row>
    <row r="20" spans="6:6" x14ac:dyDescent="0.25">
      <c r="F20" s="22">
        <v>0.45804</v>
      </c>
    </row>
    <row r="21" spans="6:6" x14ac:dyDescent="0.25">
      <c r="F21" s="30">
        <v>0.50470959999999998</v>
      </c>
    </row>
    <row r="22" spans="6:6" x14ac:dyDescent="0.25">
      <c r="F22" s="22">
        <v>0.45800080000000004</v>
      </c>
    </row>
    <row r="23" spans="6:6" x14ac:dyDescent="0.25">
      <c r="F23" s="22">
        <v>0.44056639999999997</v>
      </c>
    </row>
    <row r="24" spans="6:6" x14ac:dyDescent="0.25">
      <c r="F24" s="22">
        <v>0.41944891428571429</v>
      </c>
    </row>
    <row r="25" spans="6:6" x14ac:dyDescent="0.25">
      <c r="F25" s="22">
        <v>0.44844000000000001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Julian Day</vt:lpstr>
      <vt:lpstr>Summer 2006</vt:lpstr>
      <vt:lpstr>Summer 2006_Joseph_Formulas</vt:lpstr>
      <vt:lpstr>Summer 2006_Joseph_Values</vt:lpstr>
      <vt:lpstr>winter 2006</vt:lpstr>
      <vt:lpstr>Spring 2007</vt:lpstr>
      <vt:lpstr>Winter_Natural rainfall</vt:lpstr>
      <vt:lpstr>Moisture and 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</dc:creator>
  <cp:lastModifiedBy>Joseph Merhi</cp:lastModifiedBy>
  <dcterms:created xsi:type="dcterms:W3CDTF">2020-12-14T15:55:31Z</dcterms:created>
  <dcterms:modified xsi:type="dcterms:W3CDTF">2021-05-24T23:37:50Z</dcterms:modified>
</cp:coreProperties>
</file>