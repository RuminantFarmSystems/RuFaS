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da472\Box\Non-shared files\KFR\RuFaS\Nutrition\"/>
    </mc:Choice>
  </mc:AlternateContent>
  <xr:revisionPtr revIDLastSave="0" documentId="13_ncr:1_{B5D7CED3-EDD9-4493-AC60-1B82520926FF}" xr6:coauthVersionLast="47" xr6:coauthVersionMax="47" xr10:uidLastSave="{00000000-0000-0000-0000-000000000000}"/>
  <bookViews>
    <workbookView xWindow="-80" yWindow="-80" windowWidth="19360" windowHeight="11440" firstSheet="1" activeTab="6" xr2:uid="{E6CAEBDB-B402-477D-8026-7FA4C94B353E}"/>
  </bookViews>
  <sheets>
    <sheet name="Readme" sheetId="7" r:id="rId1"/>
    <sheet name="calf" sheetId="9" r:id="rId2"/>
    <sheet name="growing" sheetId="3" r:id="rId3"/>
    <sheet name="close_up" sheetId="8" r:id="rId4"/>
    <sheet name="lac_cow" sheetId="4" r:id="rId5"/>
    <sheet name="Global_inputs" sheetId="5" r:id="rId6"/>
    <sheet name="Feed library" sheetId="1" r:id="rId7"/>
    <sheet name="Helper" sheetId="6" state="hidden" r:id="rId8"/>
  </sheets>
  <functionGroups builtInGroupCount="19"/>
  <definedNames>
    <definedName name="_xleta.MATCH" hidden="1" xlm="1">#NAME?</definedName>
    <definedName name="_xleta.NA" hidden="1" xlm="1">#NAME?</definedName>
    <definedName name="_xleta.UPPER" hidden="1" xlm="1">#NAME?</definedName>
    <definedName name="A_PA">Global_inputs!$M$20</definedName>
    <definedName name="buffer">Global_inputs!$M$18</definedName>
    <definedName name="MAX_EE">Global_inputs!$M$13</definedName>
    <definedName name="MAX_NDF">Global_inputs!$M$6</definedName>
    <definedName name="MIN_ForNDF">Global_inputs!$M$10</definedName>
    <definedName name="MIN_NDF">Global_inputs!$M$3</definedName>
    <definedName name="PC_A">Global_inputs!$M$21</definedName>
    <definedName name="RT_PA">Global_inputs!$M$19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5" i="4" l="1"/>
  <c r="D25" i="3"/>
  <c r="G24" i="5"/>
  <c r="F24" i="5"/>
  <c r="D24" i="9"/>
  <c r="D24" i="4"/>
  <c r="B22" i="4"/>
  <c r="B21" i="4"/>
  <c r="B20" i="4"/>
  <c r="B19" i="4"/>
  <c r="B18" i="4"/>
  <c r="B17" i="4"/>
  <c r="B16" i="4"/>
  <c r="B15" i="4"/>
  <c r="B14" i="4"/>
  <c r="B13" i="4"/>
  <c r="B12" i="4"/>
  <c r="B11" i="4"/>
  <c r="B10" i="4"/>
  <c r="B9" i="4"/>
  <c r="B8" i="4"/>
  <c r="B7" i="4"/>
  <c r="B6" i="4"/>
  <c r="B5" i="4"/>
  <c r="B4" i="4"/>
  <c r="B3" i="4"/>
  <c r="N22" i="9"/>
  <c r="M22" i="9"/>
  <c r="L22" i="9"/>
  <c r="K22" i="9"/>
  <c r="J22" i="9"/>
  <c r="I22" i="9"/>
  <c r="H22" i="9"/>
  <c r="G22" i="9"/>
  <c r="F22" i="9"/>
  <c r="E22" i="9"/>
  <c r="N21" i="9"/>
  <c r="M21" i="9"/>
  <c r="L21" i="9"/>
  <c r="K21" i="9"/>
  <c r="J21" i="9"/>
  <c r="I21" i="9"/>
  <c r="H21" i="9"/>
  <c r="G21" i="9"/>
  <c r="F21" i="9"/>
  <c r="E21" i="9"/>
  <c r="N20" i="9"/>
  <c r="M20" i="9"/>
  <c r="L20" i="9"/>
  <c r="K20" i="9"/>
  <c r="J20" i="9"/>
  <c r="I20" i="9"/>
  <c r="H20" i="9"/>
  <c r="G20" i="9"/>
  <c r="F20" i="9"/>
  <c r="E20" i="9"/>
  <c r="N19" i="9"/>
  <c r="M19" i="9"/>
  <c r="L19" i="9"/>
  <c r="K19" i="9"/>
  <c r="J19" i="9"/>
  <c r="I19" i="9"/>
  <c r="H19" i="9"/>
  <c r="G19" i="9"/>
  <c r="F19" i="9"/>
  <c r="E19" i="9"/>
  <c r="N18" i="9"/>
  <c r="M18" i="9"/>
  <c r="L18" i="9"/>
  <c r="K18" i="9"/>
  <c r="J18" i="9"/>
  <c r="I18" i="9"/>
  <c r="H18" i="9"/>
  <c r="G18" i="9"/>
  <c r="F18" i="9"/>
  <c r="E18" i="9"/>
  <c r="N17" i="9"/>
  <c r="M17" i="9"/>
  <c r="L17" i="9"/>
  <c r="K17" i="9"/>
  <c r="J17" i="9"/>
  <c r="I17" i="9"/>
  <c r="H17" i="9"/>
  <c r="G17" i="9"/>
  <c r="F17" i="9"/>
  <c r="E17" i="9"/>
  <c r="N16" i="9"/>
  <c r="M16" i="9"/>
  <c r="L16" i="9"/>
  <c r="K16" i="9"/>
  <c r="J16" i="9"/>
  <c r="I16" i="9"/>
  <c r="H16" i="9"/>
  <c r="G16" i="9"/>
  <c r="F16" i="9"/>
  <c r="E16" i="9"/>
  <c r="N15" i="9"/>
  <c r="M15" i="9"/>
  <c r="L15" i="9"/>
  <c r="K15" i="9"/>
  <c r="J15" i="9"/>
  <c r="I15" i="9"/>
  <c r="H15" i="9"/>
  <c r="G15" i="9"/>
  <c r="F15" i="9"/>
  <c r="E15" i="9"/>
  <c r="N14" i="9"/>
  <c r="M14" i="9"/>
  <c r="L14" i="9"/>
  <c r="K14" i="9"/>
  <c r="J14" i="9"/>
  <c r="I14" i="9"/>
  <c r="H14" i="9"/>
  <c r="G14" i="9"/>
  <c r="F14" i="9"/>
  <c r="E14" i="9"/>
  <c r="N13" i="9"/>
  <c r="M13" i="9"/>
  <c r="L13" i="9"/>
  <c r="K13" i="9"/>
  <c r="J13" i="9"/>
  <c r="I13" i="9"/>
  <c r="H13" i="9"/>
  <c r="G13" i="9"/>
  <c r="F13" i="9"/>
  <c r="E13" i="9"/>
  <c r="N12" i="9"/>
  <c r="M12" i="9"/>
  <c r="L12" i="9"/>
  <c r="K12" i="9"/>
  <c r="J12" i="9"/>
  <c r="I12" i="9"/>
  <c r="H12" i="9"/>
  <c r="G12" i="9"/>
  <c r="F12" i="9"/>
  <c r="E12" i="9"/>
  <c r="N11" i="9"/>
  <c r="M11" i="9"/>
  <c r="L11" i="9"/>
  <c r="K11" i="9"/>
  <c r="J11" i="9"/>
  <c r="I11" i="9"/>
  <c r="H11" i="9"/>
  <c r="G11" i="9"/>
  <c r="F11" i="9"/>
  <c r="E11" i="9"/>
  <c r="N10" i="9"/>
  <c r="M10" i="9"/>
  <c r="L10" i="9"/>
  <c r="K10" i="9"/>
  <c r="J10" i="9"/>
  <c r="I10" i="9"/>
  <c r="H10" i="9"/>
  <c r="G10" i="9"/>
  <c r="F10" i="9"/>
  <c r="E10" i="9"/>
  <c r="N9" i="9"/>
  <c r="M9" i="9"/>
  <c r="L9" i="9"/>
  <c r="K9" i="9"/>
  <c r="J9" i="9"/>
  <c r="I9" i="9"/>
  <c r="H9" i="9"/>
  <c r="G9" i="9"/>
  <c r="F9" i="9"/>
  <c r="E9" i="9"/>
  <c r="N8" i="9"/>
  <c r="M8" i="9"/>
  <c r="L8" i="9"/>
  <c r="K8" i="9"/>
  <c r="J8" i="9"/>
  <c r="I8" i="9"/>
  <c r="H8" i="9"/>
  <c r="G8" i="9"/>
  <c r="F8" i="9"/>
  <c r="E8" i="9"/>
  <c r="N7" i="9"/>
  <c r="M7" i="9"/>
  <c r="L7" i="9"/>
  <c r="K7" i="9"/>
  <c r="J7" i="9"/>
  <c r="I7" i="9"/>
  <c r="H7" i="9"/>
  <c r="G7" i="9"/>
  <c r="F7" i="9"/>
  <c r="E7" i="9"/>
  <c r="N6" i="9"/>
  <c r="M6" i="9"/>
  <c r="L6" i="9"/>
  <c r="K6" i="9"/>
  <c r="J6" i="9"/>
  <c r="I6" i="9"/>
  <c r="H6" i="9"/>
  <c r="G6" i="9"/>
  <c r="F6" i="9"/>
  <c r="E6" i="9"/>
  <c r="N5" i="9"/>
  <c r="M5" i="9"/>
  <c r="L5" i="9"/>
  <c r="K5" i="9"/>
  <c r="J5" i="9"/>
  <c r="I5" i="9"/>
  <c r="H5" i="9"/>
  <c r="G5" i="9"/>
  <c r="F5" i="9"/>
  <c r="E5" i="9"/>
  <c r="N4" i="9"/>
  <c r="M4" i="9"/>
  <c r="L4" i="9"/>
  <c r="K4" i="9"/>
  <c r="J4" i="9"/>
  <c r="I4" i="9"/>
  <c r="H4" i="9"/>
  <c r="G4" i="9"/>
  <c r="F4" i="9"/>
  <c r="E4" i="9"/>
  <c r="N3" i="9"/>
  <c r="M3" i="9"/>
  <c r="L3" i="9"/>
  <c r="K3" i="9"/>
  <c r="J3" i="9"/>
  <c r="I3" i="9"/>
  <c r="H3" i="9"/>
  <c r="G3" i="9"/>
  <c r="F3" i="9"/>
  <c r="E3" i="9"/>
  <c r="N22" i="4"/>
  <c r="M22" i="4"/>
  <c r="L22" i="4"/>
  <c r="K22" i="4"/>
  <c r="J22" i="4"/>
  <c r="I22" i="4"/>
  <c r="H22" i="4"/>
  <c r="G22" i="4"/>
  <c r="F22" i="4"/>
  <c r="E22" i="4"/>
  <c r="N21" i="4"/>
  <c r="M21" i="4"/>
  <c r="L21" i="4"/>
  <c r="K21" i="4"/>
  <c r="J21" i="4"/>
  <c r="I21" i="4"/>
  <c r="H21" i="4"/>
  <c r="G21" i="4"/>
  <c r="F21" i="4"/>
  <c r="E21" i="4"/>
  <c r="N20" i="4"/>
  <c r="M20" i="4"/>
  <c r="L20" i="4"/>
  <c r="K20" i="4"/>
  <c r="J20" i="4"/>
  <c r="I20" i="4"/>
  <c r="H20" i="4"/>
  <c r="G20" i="4"/>
  <c r="F20" i="4"/>
  <c r="E20" i="4"/>
  <c r="N19" i="4"/>
  <c r="M19" i="4"/>
  <c r="L19" i="4"/>
  <c r="K19" i="4"/>
  <c r="J19" i="4"/>
  <c r="I19" i="4"/>
  <c r="H19" i="4"/>
  <c r="G19" i="4"/>
  <c r="F19" i="4"/>
  <c r="E19" i="4"/>
  <c r="N18" i="4"/>
  <c r="M18" i="4"/>
  <c r="L18" i="4"/>
  <c r="K18" i="4"/>
  <c r="J18" i="4"/>
  <c r="I18" i="4"/>
  <c r="H18" i="4"/>
  <c r="G18" i="4"/>
  <c r="F18" i="4"/>
  <c r="E18" i="4"/>
  <c r="N17" i="4"/>
  <c r="M17" i="4"/>
  <c r="L17" i="4"/>
  <c r="K17" i="4"/>
  <c r="J17" i="4"/>
  <c r="I17" i="4"/>
  <c r="H17" i="4"/>
  <c r="G17" i="4"/>
  <c r="F17" i="4"/>
  <c r="E17" i="4"/>
  <c r="N16" i="4"/>
  <c r="M16" i="4"/>
  <c r="L16" i="4"/>
  <c r="K16" i="4"/>
  <c r="J16" i="4"/>
  <c r="I16" i="4"/>
  <c r="H16" i="4"/>
  <c r="G16" i="4"/>
  <c r="F16" i="4"/>
  <c r="E16" i="4"/>
  <c r="N15" i="4"/>
  <c r="M15" i="4"/>
  <c r="L15" i="4"/>
  <c r="K15" i="4"/>
  <c r="J15" i="4"/>
  <c r="I15" i="4"/>
  <c r="H15" i="4"/>
  <c r="G15" i="4"/>
  <c r="F15" i="4"/>
  <c r="E15" i="4"/>
  <c r="N14" i="4"/>
  <c r="M14" i="4"/>
  <c r="L14" i="4"/>
  <c r="K14" i="4"/>
  <c r="J14" i="4"/>
  <c r="I14" i="4"/>
  <c r="H14" i="4"/>
  <c r="G14" i="4"/>
  <c r="F14" i="4"/>
  <c r="E14" i="4"/>
  <c r="N13" i="4"/>
  <c r="M13" i="4"/>
  <c r="L13" i="4"/>
  <c r="K13" i="4"/>
  <c r="J13" i="4"/>
  <c r="I13" i="4"/>
  <c r="H13" i="4"/>
  <c r="G13" i="4"/>
  <c r="F13" i="4"/>
  <c r="E13" i="4"/>
  <c r="N12" i="4"/>
  <c r="M12" i="4"/>
  <c r="L12" i="4"/>
  <c r="K12" i="4"/>
  <c r="J12" i="4"/>
  <c r="I12" i="4"/>
  <c r="H12" i="4"/>
  <c r="G12" i="4"/>
  <c r="F12" i="4"/>
  <c r="E12" i="4"/>
  <c r="N11" i="4"/>
  <c r="M11" i="4"/>
  <c r="L11" i="4"/>
  <c r="K11" i="4"/>
  <c r="J11" i="4"/>
  <c r="I11" i="4"/>
  <c r="H11" i="4"/>
  <c r="G11" i="4"/>
  <c r="F11" i="4"/>
  <c r="E11" i="4"/>
  <c r="N10" i="4"/>
  <c r="M10" i="4"/>
  <c r="L10" i="4"/>
  <c r="K10" i="4"/>
  <c r="J10" i="4"/>
  <c r="I10" i="4"/>
  <c r="H10" i="4"/>
  <c r="G10" i="4"/>
  <c r="F10" i="4"/>
  <c r="E10" i="4"/>
  <c r="N9" i="4"/>
  <c r="M9" i="4"/>
  <c r="L9" i="4"/>
  <c r="K9" i="4"/>
  <c r="J9" i="4"/>
  <c r="I9" i="4"/>
  <c r="H9" i="4"/>
  <c r="G9" i="4"/>
  <c r="F9" i="4"/>
  <c r="E9" i="4"/>
  <c r="N8" i="4"/>
  <c r="M8" i="4"/>
  <c r="L8" i="4"/>
  <c r="K8" i="4"/>
  <c r="J8" i="4"/>
  <c r="I8" i="4"/>
  <c r="H8" i="4"/>
  <c r="G8" i="4"/>
  <c r="F8" i="4"/>
  <c r="E8" i="4"/>
  <c r="N7" i="4"/>
  <c r="M7" i="4"/>
  <c r="L7" i="4"/>
  <c r="K7" i="4"/>
  <c r="J7" i="4"/>
  <c r="I7" i="4"/>
  <c r="H7" i="4"/>
  <c r="G7" i="4"/>
  <c r="F7" i="4"/>
  <c r="E7" i="4"/>
  <c r="N6" i="4"/>
  <c r="M6" i="4"/>
  <c r="L6" i="4"/>
  <c r="K6" i="4"/>
  <c r="J6" i="4"/>
  <c r="I6" i="4"/>
  <c r="H6" i="4"/>
  <c r="G6" i="4"/>
  <c r="F6" i="4"/>
  <c r="E6" i="4"/>
  <c r="N5" i="4"/>
  <c r="M5" i="4"/>
  <c r="L5" i="4"/>
  <c r="K5" i="4"/>
  <c r="Q10" i="4" s="1"/>
  <c r="R10" i="4" s="1"/>
  <c r="J5" i="4"/>
  <c r="Q9" i="4" s="1"/>
  <c r="I5" i="4"/>
  <c r="Q7" i="4" s="1"/>
  <c r="R7" i="4" s="1"/>
  <c r="H5" i="4"/>
  <c r="Q6" i="4" s="1"/>
  <c r="G5" i="4"/>
  <c r="Q5" i="4" s="1"/>
  <c r="F5" i="4"/>
  <c r="Q8" i="4" s="1" a="1"/>
  <c r="R8" i="4" s="1"/>
  <c r="E5" i="4"/>
  <c r="N4" i="4"/>
  <c r="M4" i="4"/>
  <c r="L4" i="4"/>
  <c r="K4" i="4"/>
  <c r="J4" i="4"/>
  <c r="I4" i="4"/>
  <c r="H4" i="4"/>
  <c r="G4" i="4"/>
  <c r="F4" i="4"/>
  <c r="E4" i="4"/>
  <c r="N3" i="4"/>
  <c r="M3" i="4"/>
  <c r="Q12" i="4" s="1"/>
  <c r="L3" i="4"/>
  <c r="Q11" i="4" s="1"/>
  <c r="K3" i="4"/>
  <c r="J3" i="4"/>
  <c r="I3" i="4"/>
  <c r="H3" i="4"/>
  <c r="G3" i="4"/>
  <c r="F3" i="4"/>
  <c r="E3" i="4"/>
  <c r="Q3" i="4" s="1"/>
  <c r="N22" i="8"/>
  <c r="M22" i="8"/>
  <c r="L22" i="8"/>
  <c r="K22" i="8"/>
  <c r="J22" i="8"/>
  <c r="I22" i="8"/>
  <c r="H22" i="8"/>
  <c r="G22" i="8"/>
  <c r="F22" i="8"/>
  <c r="E22" i="8"/>
  <c r="N21" i="8"/>
  <c r="M21" i="8"/>
  <c r="L21" i="8"/>
  <c r="K21" i="8"/>
  <c r="J21" i="8"/>
  <c r="I21" i="8"/>
  <c r="H21" i="8"/>
  <c r="G21" i="8"/>
  <c r="F21" i="8"/>
  <c r="E21" i="8"/>
  <c r="N20" i="8"/>
  <c r="M20" i="8"/>
  <c r="L20" i="8"/>
  <c r="K20" i="8"/>
  <c r="J20" i="8"/>
  <c r="I20" i="8"/>
  <c r="H20" i="8"/>
  <c r="G20" i="8"/>
  <c r="F20" i="8"/>
  <c r="E20" i="8"/>
  <c r="N19" i="8"/>
  <c r="M19" i="8"/>
  <c r="L19" i="8"/>
  <c r="K19" i="8"/>
  <c r="J19" i="8"/>
  <c r="I19" i="8"/>
  <c r="H19" i="8"/>
  <c r="G19" i="8"/>
  <c r="F19" i="8"/>
  <c r="E19" i="8"/>
  <c r="N18" i="8"/>
  <c r="M18" i="8"/>
  <c r="L18" i="8"/>
  <c r="K18" i="8"/>
  <c r="J18" i="8"/>
  <c r="I18" i="8"/>
  <c r="H18" i="8"/>
  <c r="G18" i="8"/>
  <c r="F18" i="8"/>
  <c r="E18" i="8"/>
  <c r="N17" i="8"/>
  <c r="M17" i="8"/>
  <c r="L17" i="8"/>
  <c r="K17" i="8"/>
  <c r="J17" i="8"/>
  <c r="I17" i="8"/>
  <c r="H17" i="8"/>
  <c r="G17" i="8"/>
  <c r="F17" i="8"/>
  <c r="E17" i="8"/>
  <c r="N16" i="8"/>
  <c r="M16" i="8"/>
  <c r="L16" i="8"/>
  <c r="K16" i="8"/>
  <c r="J16" i="8"/>
  <c r="I16" i="8"/>
  <c r="H16" i="8"/>
  <c r="G16" i="8"/>
  <c r="F16" i="8"/>
  <c r="E16" i="8"/>
  <c r="N15" i="8"/>
  <c r="M15" i="8"/>
  <c r="L15" i="8"/>
  <c r="K15" i="8"/>
  <c r="J15" i="8"/>
  <c r="I15" i="8"/>
  <c r="H15" i="8"/>
  <c r="G15" i="8"/>
  <c r="F15" i="8"/>
  <c r="E15" i="8"/>
  <c r="N14" i="8"/>
  <c r="M14" i="8"/>
  <c r="L14" i="8"/>
  <c r="K14" i="8"/>
  <c r="J14" i="8"/>
  <c r="I14" i="8"/>
  <c r="H14" i="8"/>
  <c r="G14" i="8"/>
  <c r="F14" i="8"/>
  <c r="E14" i="8"/>
  <c r="N13" i="8"/>
  <c r="M13" i="8"/>
  <c r="L13" i="8"/>
  <c r="K13" i="8"/>
  <c r="J13" i="8"/>
  <c r="I13" i="8"/>
  <c r="H13" i="8"/>
  <c r="G13" i="8"/>
  <c r="F13" i="8"/>
  <c r="E13" i="8"/>
  <c r="N12" i="8"/>
  <c r="M12" i="8"/>
  <c r="L12" i="8"/>
  <c r="K12" i="8"/>
  <c r="J12" i="8"/>
  <c r="I12" i="8"/>
  <c r="H12" i="8"/>
  <c r="G12" i="8"/>
  <c r="F12" i="8"/>
  <c r="E12" i="8"/>
  <c r="N11" i="8"/>
  <c r="M11" i="8"/>
  <c r="L11" i="8"/>
  <c r="K11" i="8"/>
  <c r="J11" i="8"/>
  <c r="I11" i="8"/>
  <c r="H11" i="8"/>
  <c r="G11" i="8"/>
  <c r="F11" i="8"/>
  <c r="E11" i="8"/>
  <c r="N10" i="8"/>
  <c r="M10" i="8"/>
  <c r="L10" i="8"/>
  <c r="K10" i="8"/>
  <c r="J10" i="8"/>
  <c r="I10" i="8"/>
  <c r="H10" i="8"/>
  <c r="G10" i="8"/>
  <c r="F10" i="8"/>
  <c r="E10" i="8"/>
  <c r="N9" i="8"/>
  <c r="M9" i="8"/>
  <c r="L9" i="8"/>
  <c r="K9" i="8"/>
  <c r="J9" i="8"/>
  <c r="I9" i="8"/>
  <c r="H9" i="8"/>
  <c r="G9" i="8"/>
  <c r="F9" i="8"/>
  <c r="E9" i="8"/>
  <c r="N8" i="8"/>
  <c r="M8" i="8"/>
  <c r="L8" i="8"/>
  <c r="K8" i="8"/>
  <c r="J8" i="8"/>
  <c r="I8" i="8"/>
  <c r="H8" i="8"/>
  <c r="G8" i="8"/>
  <c r="F8" i="8"/>
  <c r="E8" i="8"/>
  <c r="N7" i="8"/>
  <c r="M7" i="8"/>
  <c r="L7" i="8"/>
  <c r="K7" i="8"/>
  <c r="J7" i="8"/>
  <c r="I7" i="8"/>
  <c r="H7" i="8"/>
  <c r="G7" i="8"/>
  <c r="F7" i="8"/>
  <c r="E7" i="8"/>
  <c r="N6" i="8"/>
  <c r="M6" i="8"/>
  <c r="L6" i="8"/>
  <c r="K6" i="8"/>
  <c r="J6" i="8"/>
  <c r="I6" i="8"/>
  <c r="H6" i="8"/>
  <c r="G6" i="8"/>
  <c r="F6" i="8"/>
  <c r="E6" i="8"/>
  <c r="N5" i="8"/>
  <c r="M5" i="8"/>
  <c r="L5" i="8"/>
  <c r="K5" i="8"/>
  <c r="J5" i="8"/>
  <c r="I5" i="8"/>
  <c r="H5" i="8"/>
  <c r="G5" i="8"/>
  <c r="F5" i="8"/>
  <c r="E5" i="8"/>
  <c r="N4" i="8"/>
  <c r="M4" i="8"/>
  <c r="L4" i="8"/>
  <c r="K4" i="8"/>
  <c r="J4" i="8"/>
  <c r="I4" i="8"/>
  <c r="H4" i="8"/>
  <c r="G4" i="8"/>
  <c r="F4" i="8"/>
  <c r="E4" i="8"/>
  <c r="N3" i="8"/>
  <c r="M3" i="8"/>
  <c r="Q12" i="8" s="1"/>
  <c r="L3" i="8"/>
  <c r="Q11" i="8" s="1"/>
  <c r="K3" i="8"/>
  <c r="Q10" i="8" s="1"/>
  <c r="R10" i="8" s="1"/>
  <c r="J3" i="8"/>
  <c r="Q9" i="8" s="1"/>
  <c r="I3" i="8"/>
  <c r="Q7" i="8" s="1"/>
  <c r="R7" i="8" s="1"/>
  <c r="H3" i="8"/>
  <c r="Q6" i="8" s="1"/>
  <c r="G3" i="8"/>
  <c r="Q5" i="8" s="1"/>
  <c r="F3" i="8"/>
  <c r="E3" i="8"/>
  <c r="Q3" i="8" s="1"/>
  <c r="N4" i="3"/>
  <c r="N5" i="3"/>
  <c r="N6" i="3"/>
  <c r="N7" i="3"/>
  <c r="N8" i="3"/>
  <c r="N9" i="3"/>
  <c r="N10" i="3"/>
  <c r="N11" i="3"/>
  <c r="N12" i="3"/>
  <c r="N13" i="3"/>
  <c r="N14" i="3"/>
  <c r="N15" i="3"/>
  <c r="N16" i="3"/>
  <c r="N17" i="3"/>
  <c r="N18" i="3"/>
  <c r="N19" i="3"/>
  <c r="N20" i="3"/>
  <c r="N21" i="3"/>
  <c r="N22" i="3"/>
  <c r="N3" i="3"/>
  <c r="I33" i="5"/>
  <c r="I34" i="5"/>
  <c r="I35" i="5"/>
  <c r="I36" i="5"/>
  <c r="I37" i="5"/>
  <c r="I38" i="5"/>
  <c r="I39" i="5"/>
  <c r="I40" i="5"/>
  <c r="I41" i="5"/>
  <c r="I42" i="5"/>
  <c r="I43" i="5"/>
  <c r="I44" i="5"/>
  <c r="I45" i="5"/>
  <c r="I46" i="5"/>
  <c r="I47" i="5"/>
  <c r="I48" i="5"/>
  <c r="I49" i="5"/>
  <c r="I50" i="5"/>
  <c r="I51" i="5"/>
  <c r="I52" i="5"/>
  <c r="I53" i="5"/>
  <c r="I54" i="5"/>
  <c r="I55" i="5"/>
  <c r="I56" i="5"/>
  <c r="D3" i="6" a="1"/>
  <c r="B3" i="6" a="1"/>
  <c r="A22" i="9"/>
  <c r="A21" i="9"/>
  <c r="A20" i="9"/>
  <c r="A19" i="9"/>
  <c r="A18" i="9"/>
  <c r="A17" i="9"/>
  <c r="A16" i="9"/>
  <c r="A15" i="9"/>
  <c r="A14" i="9"/>
  <c r="A13" i="9"/>
  <c r="A12" i="9"/>
  <c r="A11" i="9"/>
  <c r="A10" i="9"/>
  <c r="A9" i="9"/>
  <c r="A8" i="9"/>
  <c r="A7" i="9"/>
  <c r="A6" i="9"/>
  <c r="A5" i="9"/>
  <c r="A4" i="9"/>
  <c r="A3" i="9"/>
  <c r="D24" i="8"/>
  <c r="B22" i="8"/>
  <c r="A22" i="8"/>
  <c r="B21" i="8"/>
  <c r="A21" i="8"/>
  <c r="B20" i="8"/>
  <c r="A20" i="8"/>
  <c r="B19" i="8"/>
  <c r="A19" i="8"/>
  <c r="B18" i="8"/>
  <c r="A18" i="8"/>
  <c r="B17" i="8"/>
  <c r="A17" i="8"/>
  <c r="B16" i="8"/>
  <c r="A16" i="8"/>
  <c r="A15" i="8"/>
  <c r="B14" i="8"/>
  <c r="A14" i="8"/>
  <c r="B13" i="8"/>
  <c r="A13" i="8"/>
  <c r="B12" i="8"/>
  <c r="A12" i="8"/>
  <c r="B11" i="8"/>
  <c r="A11" i="8"/>
  <c r="B10" i="8"/>
  <c r="A10" i="8"/>
  <c r="B9" i="8"/>
  <c r="A9" i="8"/>
  <c r="A8" i="8"/>
  <c r="B7" i="8"/>
  <c r="A7" i="8"/>
  <c r="B6" i="8"/>
  <c r="A6" i="8"/>
  <c r="B5" i="8"/>
  <c r="A5" i="8"/>
  <c r="B4" i="8"/>
  <c r="A4" i="8"/>
  <c r="B3" i="8"/>
  <c r="A3" i="8"/>
  <c r="D24" i="3"/>
  <c r="A22" i="3"/>
  <c r="A21" i="3"/>
  <c r="A20" i="3"/>
  <c r="A19" i="3"/>
  <c r="A18" i="3"/>
  <c r="A17" i="3"/>
  <c r="A16" i="3"/>
  <c r="A15" i="3"/>
  <c r="A14" i="3"/>
  <c r="A13" i="3"/>
  <c r="A12" i="3"/>
  <c r="A11" i="3"/>
  <c r="A10" i="3"/>
  <c r="A9" i="3"/>
  <c r="A8" i="3"/>
  <c r="A7" i="3"/>
  <c r="A6" i="3"/>
  <c r="A5" i="3"/>
  <c r="A4" i="3"/>
  <c r="A3" i="3"/>
  <c r="E18" i="5"/>
  <c r="F18" i="5"/>
  <c r="G18" i="5"/>
  <c r="H18" i="5"/>
  <c r="E19" i="5"/>
  <c r="F19" i="5"/>
  <c r="G19" i="5"/>
  <c r="H19" i="5"/>
  <c r="E20" i="5"/>
  <c r="F20" i="5"/>
  <c r="G20" i="5"/>
  <c r="H20" i="5"/>
  <c r="E21" i="5"/>
  <c r="F21" i="5"/>
  <c r="G21" i="5"/>
  <c r="H21" i="5"/>
  <c r="E22" i="5"/>
  <c r="F22" i="5"/>
  <c r="G22" i="5"/>
  <c r="H22" i="5"/>
  <c r="E23" i="5"/>
  <c r="F23" i="5"/>
  <c r="G23" i="5"/>
  <c r="H23" i="5"/>
  <c r="E24" i="5"/>
  <c r="H24" i="5"/>
  <c r="E25" i="5"/>
  <c r="F25" i="5"/>
  <c r="G25" i="5"/>
  <c r="H25" i="5"/>
  <c r="E26" i="5"/>
  <c r="F26" i="5"/>
  <c r="G26" i="5"/>
  <c r="H26" i="5"/>
  <c r="E27" i="5"/>
  <c r="F27" i="5"/>
  <c r="G27" i="5"/>
  <c r="H27" i="5"/>
  <c r="E28" i="5"/>
  <c r="F28" i="5"/>
  <c r="G28" i="5"/>
  <c r="H28" i="5"/>
  <c r="E29" i="5"/>
  <c r="F29" i="5"/>
  <c r="G29" i="5"/>
  <c r="H29" i="5"/>
  <c r="E30" i="5"/>
  <c r="F30" i="5"/>
  <c r="G30" i="5"/>
  <c r="H30" i="5"/>
  <c r="E31" i="5"/>
  <c r="F31" i="5"/>
  <c r="G31" i="5"/>
  <c r="H31" i="5"/>
  <c r="E32" i="5"/>
  <c r="F32" i="5"/>
  <c r="G32" i="5"/>
  <c r="H32" i="5"/>
  <c r="E33" i="5"/>
  <c r="F33" i="5"/>
  <c r="G33" i="5"/>
  <c r="H33" i="5"/>
  <c r="E34" i="5"/>
  <c r="F34" i="5"/>
  <c r="G34" i="5"/>
  <c r="H34" i="5"/>
  <c r="E35" i="5"/>
  <c r="F35" i="5"/>
  <c r="G35" i="5"/>
  <c r="H35" i="5"/>
  <c r="E36" i="5"/>
  <c r="F36" i="5"/>
  <c r="G36" i="5"/>
  <c r="H36" i="5"/>
  <c r="E37" i="5"/>
  <c r="F37" i="5"/>
  <c r="G37" i="5"/>
  <c r="H37" i="5"/>
  <c r="E38" i="5"/>
  <c r="F38" i="5"/>
  <c r="G38" i="5"/>
  <c r="H38" i="5"/>
  <c r="E39" i="5"/>
  <c r="F39" i="5"/>
  <c r="G39" i="5"/>
  <c r="H39" i="5"/>
  <c r="E40" i="5"/>
  <c r="F40" i="5"/>
  <c r="G40" i="5"/>
  <c r="H40" i="5"/>
  <c r="E41" i="5"/>
  <c r="F41" i="5"/>
  <c r="G41" i="5"/>
  <c r="H41" i="5"/>
  <c r="E42" i="5"/>
  <c r="F42" i="5"/>
  <c r="G42" i="5"/>
  <c r="H42" i="5"/>
  <c r="E43" i="5"/>
  <c r="F43" i="5"/>
  <c r="G43" i="5"/>
  <c r="H43" i="5"/>
  <c r="E44" i="5"/>
  <c r="F44" i="5"/>
  <c r="G44" i="5"/>
  <c r="H44" i="5"/>
  <c r="E45" i="5"/>
  <c r="F45" i="5"/>
  <c r="G45" i="5"/>
  <c r="H45" i="5"/>
  <c r="E46" i="5"/>
  <c r="F46" i="5"/>
  <c r="G46" i="5"/>
  <c r="H46" i="5"/>
  <c r="E47" i="5"/>
  <c r="F47" i="5"/>
  <c r="G47" i="5"/>
  <c r="H47" i="5"/>
  <c r="E48" i="5"/>
  <c r="F48" i="5"/>
  <c r="G48" i="5"/>
  <c r="H48" i="5"/>
  <c r="E49" i="5"/>
  <c r="F49" i="5"/>
  <c r="G49" i="5"/>
  <c r="H49" i="5"/>
  <c r="E50" i="5"/>
  <c r="F50" i="5"/>
  <c r="G50" i="5"/>
  <c r="H50" i="5"/>
  <c r="E51" i="5"/>
  <c r="F51" i="5"/>
  <c r="G51" i="5"/>
  <c r="H51" i="5"/>
  <c r="E52" i="5"/>
  <c r="F52" i="5"/>
  <c r="G52" i="5"/>
  <c r="H52" i="5"/>
  <c r="E53" i="5"/>
  <c r="F53" i="5"/>
  <c r="G53" i="5"/>
  <c r="H53" i="5"/>
  <c r="E54" i="5"/>
  <c r="F54" i="5"/>
  <c r="G54" i="5"/>
  <c r="H54" i="5"/>
  <c r="E55" i="5"/>
  <c r="F55" i="5"/>
  <c r="G55" i="5"/>
  <c r="H55" i="5"/>
  <c r="E56" i="5"/>
  <c r="F56" i="5"/>
  <c r="G56" i="5"/>
  <c r="H56" i="5"/>
  <c r="H17" i="5"/>
  <c r="G17" i="5"/>
  <c r="F17" i="5"/>
  <c r="E17" i="5"/>
  <c r="A22" i="4"/>
  <c r="A21" i="4"/>
  <c r="A20" i="4"/>
  <c r="A19" i="4"/>
  <c r="A18" i="4"/>
  <c r="A17" i="4"/>
  <c r="A16" i="4"/>
  <c r="A15" i="4"/>
  <c r="A14" i="4"/>
  <c r="A13" i="4"/>
  <c r="A12" i="4"/>
  <c r="A11" i="4"/>
  <c r="A10" i="4"/>
  <c r="A9" i="4"/>
  <c r="A8" i="4"/>
  <c r="A7" i="4"/>
  <c r="A6" i="4"/>
  <c r="A5" i="4"/>
  <c r="A4" i="4"/>
  <c r="A3" i="4"/>
  <c r="A3" i="6" s="1" a="1"/>
  <c r="B20" i="9" l="1"/>
  <c r="B17" i="9"/>
  <c r="B22" i="9"/>
  <c r="B21" i="9"/>
  <c r="B19" i="9"/>
  <c r="B18" i="9"/>
  <c r="B16" i="9"/>
  <c r="B15" i="9"/>
  <c r="B14" i="9"/>
  <c r="B13" i="9"/>
  <c r="B12" i="9"/>
  <c r="B11" i="9"/>
  <c r="B10" i="9"/>
  <c r="B9" i="9"/>
  <c r="B8" i="9"/>
  <c r="B7" i="9"/>
  <c r="B6" i="9"/>
  <c r="B5" i="9"/>
  <c r="B4" i="9"/>
  <c r="B3" i="9"/>
  <c r="Q4" i="9"/>
  <c r="Q4" i="8"/>
  <c r="Q8" i="8" a="1"/>
  <c r="R8" i="8" s="1"/>
  <c r="B8" i="8"/>
  <c r="B15" i="8"/>
  <c r="B11" i="3"/>
  <c r="B10" i="3"/>
  <c r="B8" i="3"/>
  <c r="B6" i="3"/>
  <c r="B4" i="3"/>
  <c r="B12" i="3"/>
  <c r="B9" i="3"/>
  <c r="B7" i="3"/>
  <c r="B5" i="3"/>
  <c r="B3" i="3"/>
  <c r="B22" i="3"/>
  <c r="B21" i="3"/>
  <c r="B20" i="3"/>
  <c r="B19" i="3"/>
  <c r="B18" i="3"/>
  <c r="B17" i="3"/>
  <c r="B16" i="3"/>
  <c r="B15" i="3"/>
  <c r="B14" i="3"/>
  <c r="B13" i="3"/>
  <c r="M15" i="3"/>
  <c r="L15" i="3"/>
  <c r="F22" i="3"/>
  <c r="L22" i="3"/>
  <c r="H22" i="3"/>
  <c r="J22" i="3"/>
  <c r="K22" i="3"/>
  <c r="M22" i="3"/>
  <c r="G22" i="3"/>
  <c r="I22" i="3"/>
  <c r="E22" i="3"/>
  <c r="F21" i="3"/>
  <c r="M21" i="3"/>
  <c r="K21" i="3"/>
  <c r="H21" i="3"/>
  <c r="I21" i="3"/>
  <c r="E21" i="3"/>
  <c r="J21" i="3"/>
  <c r="G21" i="3"/>
  <c r="L21" i="3"/>
  <c r="H20" i="3"/>
  <c r="G20" i="3"/>
  <c r="F20" i="3"/>
  <c r="I20" i="3"/>
  <c r="E20" i="3"/>
  <c r="M20" i="3"/>
  <c r="L20" i="3"/>
  <c r="K20" i="3"/>
  <c r="J20" i="3"/>
  <c r="I19" i="3"/>
  <c r="J19" i="3"/>
  <c r="K19" i="3"/>
  <c r="L19" i="3"/>
  <c r="M19" i="3"/>
  <c r="G19" i="3"/>
  <c r="F19" i="3"/>
  <c r="H19" i="3"/>
  <c r="E19" i="3"/>
  <c r="I18" i="3"/>
  <c r="F18" i="3"/>
  <c r="K18" i="3"/>
  <c r="M18" i="3"/>
  <c r="L18" i="3"/>
  <c r="J18" i="3"/>
  <c r="H18" i="3"/>
  <c r="G18" i="3"/>
  <c r="E18" i="3"/>
  <c r="F17" i="3"/>
  <c r="E17" i="3"/>
  <c r="L17" i="3"/>
  <c r="H17" i="3"/>
  <c r="K17" i="3"/>
  <c r="J17" i="3"/>
  <c r="I17" i="3"/>
  <c r="G17" i="3"/>
  <c r="M17" i="3"/>
  <c r="M16" i="3"/>
  <c r="F16" i="3"/>
  <c r="I16" i="3"/>
  <c r="E16" i="3"/>
  <c r="G16" i="3"/>
  <c r="H16" i="3"/>
  <c r="J16" i="3"/>
  <c r="K16" i="3"/>
  <c r="L16" i="3"/>
  <c r="H15" i="3"/>
  <c r="G15" i="3"/>
  <c r="F15" i="3"/>
  <c r="E15" i="3"/>
  <c r="K15" i="3"/>
  <c r="J15" i="3"/>
  <c r="I15" i="3"/>
  <c r="F14" i="3"/>
  <c r="H14" i="3"/>
  <c r="L14" i="3"/>
  <c r="K14" i="3"/>
  <c r="J14" i="3"/>
  <c r="I14" i="3"/>
  <c r="G14" i="3"/>
  <c r="E14" i="3"/>
  <c r="M14" i="3"/>
  <c r="K13" i="3"/>
  <c r="L13" i="3"/>
  <c r="M13" i="3"/>
  <c r="F13" i="3"/>
  <c r="E13" i="3"/>
  <c r="G13" i="3"/>
  <c r="H13" i="3"/>
  <c r="I13" i="3"/>
  <c r="J13" i="3"/>
  <c r="L12" i="3"/>
  <c r="G12" i="3"/>
  <c r="M12" i="3"/>
  <c r="F12" i="3"/>
  <c r="J12" i="3"/>
  <c r="I12" i="3"/>
  <c r="K12" i="3"/>
  <c r="E12" i="3"/>
  <c r="H12" i="3"/>
  <c r="L11" i="3"/>
  <c r="I11" i="3"/>
  <c r="G11" i="3"/>
  <c r="J11" i="3"/>
  <c r="F11" i="3"/>
  <c r="H11" i="3"/>
  <c r="M11" i="3"/>
  <c r="K11" i="3"/>
  <c r="E11" i="3"/>
  <c r="J10" i="3"/>
  <c r="H10" i="3"/>
  <c r="M10" i="3"/>
  <c r="G10" i="3"/>
  <c r="E10" i="3"/>
  <c r="K10" i="3"/>
  <c r="I10" i="3"/>
  <c r="F10" i="3"/>
  <c r="L10" i="3"/>
  <c r="H9" i="3"/>
  <c r="K9" i="3"/>
  <c r="E9" i="3"/>
  <c r="F9" i="3"/>
  <c r="J9" i="3"/>
  <c r="G9" i="3"/>
  <c r="I9" i="3"/>
  <c r="L9" i="3"/>
  <c r="M9" i="3"/>
  <c r="H8" i="3"/>
  <c r="E8" i="3"/>
  <c r="F8" i="3"/>
  <c r="G8" i="3"/>
  <c r="M8" i="3"/>
  <c r="I8" i="3"/>
  <c r="J8" i="3"/>
  <c r="K8" i="3"/>
  <c r="L8" i="3"/>
  <c r="L7" i="3"/>
  <c r="K7" i="3"/>
  <c r="J7" i="3"/>
  <c r="I7" i="3"/>
  <c r="M7" i="3"/>
  <c r="G7" i="3"/>
  <c r="F7" i="3"/>
  <c r="H7" i="3"/>
  <c r="E7" i="3"/>
  <c r="H6" i="3"/>
  <c r="M6" i="3"/>
  <c r="L6" i="3"/>
  <c r="K6" i="3"/>
  <c r="J6" i="3"/>
  <c r="I6" i="3"/>
  <c r="G6" i="3"/>
  <c r="F6" i="3"/>
  <c r="E6" i="3"/>
  <c r="H5" i="3"/>
  <c r="G5" i="3"/>
  <c r="F5" i="3"/>
  <c r="E5" i="3"/>
  <c r="M5" i="3"/>
  <c r="L5" i="3"/>
  <c r="K5" i="3"/>
  <c r="J5" i="3"/>
  <c r="I5" i="3"/>
  <c r="H4" i="3"/>
  <c r="E4" i="3"/>
  <c r="F4" i="3"/>
  <c r="G4" i="3"/>
  <c r="I4" i="3"/>
  <c r="J4" i="3"/>
  <c r="K4" i="3"/>
  <c r="L4" i="3"/>
  <c r="M4" i="3"/>
  <c r="K3" i="3"/>
  <c r="J3" i="3"/>
  <c r="I3" i="3"/>
  <c r="F3" i="3"/>
  <c r="M3" i="3"/>
  <c r="C3" i="6" a="1"/>
  <c r="E3" i="3"/>
  <c r="L3" i="3"/>
  <c r="G3" i="3"/>
  <c r="H3" i="3"/>
  <c r="Q11" i="9" l="1"/>
  <c r="Q10" i="9"/>
  <c r="Q3" i="9"/>
  <c r="Q5" i="9"/>
  <c r="Q6" i="9"/>
  <c r="Q7" i="9"/>
  <c r="Q12" i="9"/>
  <c r="Q9" i="9"/>
  <c r="D25" i="9"/>
  <c r="Q8" i="9" a="1"/>
  <c r="D25" i="8"/>
  <c r="Q8" i="3" a="1"/>
  <c r="R8" i="3" s="1"/>
  <c r="Q12" i="3"/>
  <c r="Q3" i="3"/>
  <c r="Q11" i="3"/>
  <c r="Q5" i="3"/>
  <c r="Q6" i="3"/>
  <c r="Q10" i="3"/>
  <c r="R10" i="3" s="1"/>
  <c r="Q9" i="3"/>
  <c r="Q7" i="3"/>
  <c r="R7" i="3" s="1"/>
  <c r="C17" i="5" a="1"/>
  <c r="I17" i="5" l="1"/>
  <c r="I18" i="5"/>
  <c r="I19" i="5"/>
  <c r="I20" i="5"/>
  <c r="I21" i="5"/>
  <c r="I22" i="5"/>
  <c r="I23" i="5"/>
  <c r="I24" i="5"/>
  <c r="I25" i="5"/>
  <c r="I26" i="5"/>
  <c r="I27" i="5"/>
  <c r="I28" i="5"/>
  <c r="I29" i="5"/>
  <c r="I30" i="5"/>
  <c r="I31" i="5"/>
  <c r="I32" i="5"/>
  <c r="Q4" i="4"/>
  <c r="Q4"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<sst xmlns="http://schemas.openxmlformats.org/spreadsheetml/2006/main" count="980" uniqueCount="330">
  <si>
    <t>rufas_id</t>
  </si>
  <si>
    <t>Name</t>
  </si>
  <si>
    <t>Fd_Category</t>
  </si>
  <si>
    <t>feed_type</t>
  </si>
  <si>
    <t>DM</t>
  </si>
  <si>
    <t>ash</t>
  </si>
  <si>
    <t>CP</t>
  </si>
  <si>
    <t>N_A</t>
  </si>
  <si>
    <t>N_B</t>
  </si>
  <si>
    <t>N_C</t>
  </si>
  <si>
    <t>Kd</t>
  </si>
  <si>
    <t>RUP</t>
  </si>
  <si>
    <t>dRUP</t>
  </si>
  <si>
    <t>sol_prot</t>
  </si>
  <si>
    <t>ADICP</t>
  </si>
  <si>
    <t>NDICP</t>
  </si>
  <si>
    <t>ADF</t>
  </si>
  <si>
    <t>NDF</t>
  </si>
  <si>
    <t>NDF48</t>
  </si>
  <si>
    <t>lignin</t>
  </si>
  <si>
    <t>starch</t>
  </si>
  <si>
    <t>WSC</t>
  </si>
  <si>
    <t>FA</t>
  </si>
  <si>
    <t>EE</t>
  </si>
  <si>
    <t>DE_Base</t>
  </si>
  <si>
    <t>calcium</t>
  </si>
  <si>
    <t>phosphorus</t>
  </si>
  <si>
    <t>magnesium</t>
  </si>
  <si>
    <t>potassium</t>
  </si>
  <si>
    <t>sodium</t>
  </si>
  <si>
    <t>chlorine</t>
  </si>
  <si>
    <t>sulfur</t>
  </si>
  <si>
    <t>copper</t>
  </si>
  <si>
    <t>iron</t>
  </si>
  <si>
    <t>manganese</t>
  </si>
  <si>
    <t>zinc</t>
  </si>
  <si>
    <t>molibdenum</t>
  </si>
  <si>
    <t>chromium</t>
  </si>
  <si>
    <t>cobalt</t>
  </si>
  <si>
    <t>iodine</t>
  </si>
  <si>
    <t>selenium</t>
  </si>
  <si>
    <t>arginine</t>
  </si>
  <si>
    <t>histidine</t>
  </si>
  <si>
    <t>isoleucine</t>
  </si>
  <si>
    <t>leucine</t>
  </si>
  <si>
    <t>lysine</t>
  </si>
  <si>
    <t>methionine</t>
  </si>
  <si>
    <t>phenylalanine</t>
  </si>
  <si>
    <t>threonine</t>
  </si>
  <si>
    <t>triptophan</t>
  </si>
  <si>
    <t>valine</t>
  </si>
  <si>
    <t>C120_FA</t>
  </si>
  <si>
    <t>C140_FA</t>
  </si>
  <si>
    <t>C160_FA</t>
  </si>
  <si>
    <t>C161_FA</t>
  </si>
  <si>
    <t>C180_FA</t>
  </si>
  <si>
    <t>C181t_FA</t>
  </si>
  <si>
    <t>C181c_FA</t>
  </si>
  <si>
    <t>C182_FA</t>
  </si>
  <si>
    <t>C183_FA</t>
  </si>
  <si>
    <t>otherFA_FA</t>
  </si>
  <si>
    <t>NPN_source</t>
  </si>
  <si>
    <t>starch_digested</t>
  </si>
  <si>
    <t>FA_dig</t>
  </si>
  <si>
    <t>P_inorg</t>
  </si>
  <si>
    <t>P_org</t>
  </si>
  <si>
    <t>B_Carotene</t>
  </si>
  <si>
    <t>biotin</t>
  </si>
  <si>
    <t>choline</t>
  </si>
  <si>
    <t>niacin</t>
  </si>
  <si>
    <t>Vit_A</t>
  </si>
  <si>
    <t>Vit_D</t>
  </si>
  <si>
    <t>Vit_E</t>
  </si>
  <si>
    <t>Abs_calcium</t>
  </si>
  <si>
    <t>Abs_phosphorus</t>
  </si>
  <si>
    <t>Abs_sodium</t>
  </si>
  <si>
    <t>Abs_chloride</t>
  </si>
  <si>
    <t>Abs_potassium</t>
  </si>
  <si>
    <t>Abs_copper</t>
  </si>
  <si>
    <t>Abs_iron</t>
  </si>
  <si>
    <t>Abs_magnesium</t>
  </si>
  <si>
    <t>Abs_manganesum</t>
  </si>
  <si>
    <t>Abs_zinc</t>
  </si>
  <si>
    <t>is_fat</t>
  </si>
  <si>
    <t>is_wetforage</t>
  </si>
  <si>
    <t>units</t>
  </si>
  <si>
    <t>limit</t>
  </si>
  <si>
    <t>lower_limit</t>
  </si>
  <si>
    <t>TDN</t>
  </si>
  <si>
    <t>DE</t>
  </si>
  <si>
    <t>Alfalfa meal</t>
  </si>
  <si>
    <t>Plant Protein</t>
  </si>
  <si>
    <t>Forage</t>
  </si>
  <si>
    <t>kg</t>
  </si>
  <si>
    <t>Almond hulls</t>
  </si>
  <si>
    <t>By-Product/Other</t>
  </si>
  <si>
    <t>Conc</t>
  </si>
  <si>
    <t>Apple pomace or byproduct, wet</t>
  </si>
  <si>
    <t>Bakery byproduct</t>
  </si>
  <si>
    <t>Bakery byproduct, bread waste</t>
  </si>
  <si>
    <t>Bakery byproduct, cereal</t>
  </si>
  <si>
    <t>Bakery byproduct, cookies</t>
  </si>
  <si>
    <t>Barley grain, dry, ground</t>
  </si>
  <si>
    <t>Energy Source</t>
  </si>
  <si>
    <t>Barley malt sprouts</t>
  </si>
  <si>
    <t>Barley silage, headed</t>
  </si>
  <si>
    <t>Grain Crop Forage</t>
  </si>
  <si>
    <t>Beet pulp, dry</t>
  </si>
  <si>
    <t>Bermudagrass hay</t>
  </si>
  <si>
    <t>Grass/Legume Forage</t>
  </si>
  <si>
    <t>Blood meal, high dRUP</t>
  </si>
  <si>
    <t>Blood meal, low dRUP</t>
  </si>
  <si>
    <t>Brewers grains, dry</t>
  </si>
  <si>
    <t>Brewers grains, wet</t>
  </si>
  <si>
    <t>Canola seed, ground</t>
  </si>
  <si>
    <t>Canola meal</t>
  </si>
  <si>
    <t>Chocolate byproduct</t>
  </si>
  <si>
    <t>Citrus pulp, dry</t>
  </si>
  <si>
    <t>Citrus pulp, wet</t>
  </si>
  <si>
    <t>Corn cobs</t>
  </si>
  <si>
    <t>Corn gluten feed, dry</t>
  </si>
  <si>
    <t>Corn and cob meal, dry</t>
  </si>
  <si>
    <t>Corn gluten meal</t>
  </si>
  <si>
    <t>Corn grain dry, coarse grind</t>
  </si>
  <si>
    <t>Corn grain dry, medium grind</t>
  </si>
  <si>
    <t>Corn grain HM, coarse grind</t>
  </si>
  <si>
    <t>Corn grain, steam-flaked</t>
  </si>
  <si>
    <t>Corn hominy feed</t>
  </si>
  <si>
    <t>Corn silage, immature</t>
  </si>
  <si>
    <t>Corn silage, typical</t>
  </si>
  <si>
    <t>Corn silage, mature</t>
  </si>
  <si>
    <t>Cottonseed, whole</t>
  </si>
  <si>
    <t>Cottonseed hulls</t>
  </si>
  <si>
    <t>Cottonseed meal</t>
  </si>
  <si>
    <t>Distillers solubles</t>
  </si>
  <si>
    <t>Calcium soaps</t>
  </si>
  <si>
    <t>Fat, tallow</t>
  </si>
  <si>
    <t>Feather meal</t>
  </si>
  <si>
    <t>Fish meal</t>
  </si>
  <si>
    <t>Cool season grass hay, mature</t>
  </si>
  <si>
    <t>Cool season grass hay, mid-mtr</t>
  </si>
  <si>
    <t>Cool season grass silage</t>
  </si>
  <si>
    <t>Pasture, grass</t>
  </si>
  <si>
    <t>Pasture</t>
  </si>
  <si>
    <t>Grass lg mixt, grass hay, mid</t>
  </si>
  <si>
    <t>Grass lg mixt, grass hay, mtr</t>
  </si>
  <si>
    <t>Grass legume mixt, grass slg</t>
  </si>
  <si>
    <t>Grass lg mixt, mix hay</t>
  </si>
  <si>
    <t>Grass lg mixt, mix silage</t>
  </si>
  <si>
    <t>Grass lg mixt, leg. hay, mtr</t>
  </si>
  <si>
    <t>Grass lg mixt, leg., hay, immtr</t>
  </si>
  <si>
    <t>Grass lg mixt, legume slg</t>
  </si>
  <si>
    <t>Pasture, legume</t>
  </si>
  <si>
    <t>Legume hay, immature</t>
  </si>
  <si>
    <t>Legume hay, mid-maturity</t>
  </si>
  <si>
    <t>Legume hay, mature</t>
  </si>
  <si>
    <t>Legume silage, immature</t>
  </si>
  <si>
    <t>Legume silage, mid-maturity</t>
  </si>
  <si>
    <t>Flaxseed meal</t>
  </si>
  <si>
    <t>Meat and bone meal, porcine</t>
  </si>
  <si>
    <t>Molasses</t>
  </si>
  <si>
    <t>Oat grain</t>
  </si>
  <si>
    <t>Oat hay mid-maturity</t>
  </si>
  <si>
    <t>Peanut meal, expellers</t>
  </si>
  <si>
    <t>Potato byproduct</t>
  </si>
  <si>
    <t>Poultry byproduct meal</t>
  </si>
  <si>
    <t>Rice bran</t>
  </si>
  <si>
    <t>Rye annual silage, mature</t>
  </si>
  <si>
    <t>Safflower meal</t>
  </si>
  <si>
    <t>Sorghum grain, dry, ground</t>
  </si>
  <si>
    <t>Sorghum grain, steam flaked</t>
  </si>
  <si>
    <t>Sorghum forage silage, mature</t>
  </si>
  <si>
    <t>Sorghum-sudangrass silage</t>
  </si>
  <si>
    <t>Sorghum-sudangrass hay</t>
  </si>
  <si>
    <t>Soybean hulls</t>
  </si>
  <si>
    <t>Soybean meal, expellers</t>
  </si>
  <si>
    <t>Soybean meal, solvent 48CP</t>
  </si>
  <si>
    <t>Soybeans, whole raw</t>
  </si>
  <si>
    <t>Soybeans, whole roasted</t>
  </si>
  <si>
    <t>Sudangrass silage, mature</t>
  </si>
  <si>
    <t>Sunflower meal</t>
  </si>
  <si>
    <t>Sunflower seed</t>
  </si>
  <si>
    <t>Tomato pomace</t>
  </si>
  <si>
    <t>Triticale silage, mature</t>
  </si>
  <si>
    <t>Wheat bran</t>
  </si>
  <si>
    <t>Wheat grain</t>
  </si>
  <si>
    <t>Wheat hay, headed</t>
  </si>
  <si>
    <t>Wheat middlings</t>
  </si>
  <si>
    <t>Wheat silage, HEADED</t>
  </si>
  <si>
    <t>Wheat straw</t>
  </si>
  <si>
    <t>Skim milk, powder</t>
  </si>
  <si>
    <t>Calf Liquid Feed</t>
  </si>
  <si>
    <t>Whole milk</t>
  </si>
  <si>
    <t>Milk replacer 28 CP 17.5 fat</t>
  </si>
  <si>
    <t>Whey, delactosed</t>
  </si>
  <si>
    <t>Whey, dry</t>
  </si>
  <si>
    <t>Whey, wet</t>
  </si>
  <si>
    <t>Calf starter 18CP high starch (Fed to calves only)</t>
  </si>
  <si>
    <t>Bone meal</t>
  </si>
  <si>
    <t>Vitamin/Mineral</t>
  </si>
  <si>
    <t>Calcium carbonate</t>
  </si>
  <si>
    <t>Mineral</t>
  </si>
  <si>
    <t>Calcium phosphate (di)</t>
  </si>
  <si>
    <t>Calcium phosphate (mono)</t>
  </si>
  <si>
    <t>Calcium sulfate (2H2O)</t>
  </si>
  <si>
    <t>Limestone</t>
  </si>
  <si>
    <t>Dolomite limestone (magnesium)</t>
  </si>
  <si>
    <t>Magnesium oxide</t>
  </si>
  <si>
    <t>Potassium chloride</t>
  </si>
  <si>
    <t>Sodium chloride (salt)</t>
  </si>
  <si>
    <t>Sodium bicarbonate</t>
  </si>
  <si>
    <t>Phosphate, monosodium (H2O)</t>
  </si>
  <si>
    <t>Sodium sulfate</t>
  </si>
  <si>
    <t>Potassium sulfate</t>
  </si>
  <si>
    <t>Ammonium sulfate</t>
  </si>
  <si>
    <t>NPN Supplement</t>
  </si>
  <si>
    <t>Ammonium phosphate (dibasic)</t>
  </si>
  <si>
    <t>Ammonium chloride</t>
  </si>
  <si>
    <t>Calcium chloride (2H2O)</t>
  </si>
  <si>
    <t>Calcium chloride</t>
  </si>
  <si>
    <t>Calcium hydroxide</t>
  </si>
  <si>
    <t>Calcium oxide</t>
  </si>
  <si>
    <t>Magnesium chloride (6H2O)</t>
  </si>
  <si>
    <t>Oystershell</t>
  </si>
  <si>
    <t>Magnesium carbonate</t>
  </si>
  <si>
    <t>Magnesium hydroxide</t>
  </si>
  <si>
    <t>Magnesium sulfate (7H2O)</t>
  </si>
  <si>
    <t>Ammonium phosphate (monobasic)</t>
  </si>
  <si>
    <t>Phosphate, Curacao</t>
  </si>
  <si>
    <t>Phosphate, defluorinated</t>
  </si>
  <si>
    <t>Phosphoric acid</t>
  </si>
  <si>
    <t>Sodium tripolyphosphate</t>
  </si>
  <si>
    <t>Potassium bicarbonate</t>
  </si>
  <si>
    <t>Potassium carbonate</t>
  </si>
  <si>
    <t>Potassium iodide</t>
  </si>
  <si>
    <t>Sodium carbonate (H2O)</t>
  </si>
  <si>
    <t>Sodium sesquicarbonate (2H2O)</t>
  </si>
  <si>
    <t>Cobalt carbonate</t>
  </si>
  <si>
    <t>Cobalt carbonate (6H2O)</t>
  </si>
  <si>
    <t>Cobalt chloride (6H2O)</t>
  </si>
  <si>
    <t>Cobalt sulfate (7H2O)</t>
  </si>
  <si>
    <t>Cobalt organic generic</t>
  </si>
  <si>
    <t>Copper chloride (2H2O)</t>
  </si>
  <si>
    <t>Copper sulfate (5H2O)</t>
  </si>
  <si>
    <t>Copper oxide</t>
  </si>
  <si>
    <t>Copper organic, generic</t>
  </si>
  <si>
    <t>EDDI</t>
  </si>
  <si>
    <t>Calcium iodate</t>
  </si>
  <si>
    <t>Ferrous sulfate (7H2O)</t>
  </si>
  <si>
    <t>Ferrous sulfate (H2O)</t>
  </si>
  <si>
    <t>Ferrous carbonate</t>
  </si>
  <si>
    <t>Iron oxide</t>
  </si>
  <si>
    <t>Iron, organic generic</t>
  </si>
  <si>
    <t>Manganese chloride</t>
  </si>
  <si>
    <t>Manganese chloride (4H2O)</t>
  </si>
  <si>
    <t>Manganese carbonate</t>
  </si>
  <si>
    <t>Manganese sulfate (H2O)</t>
  </si>
  <si>
    <t>Manganese sulfate (5H2O)</t>
  </si>
  <si>
    <t>Manganese oxide</t>
  </si>
  <si>
    <t>Manganese organic generic</t>
  </si>
  <si>
    <t>Selenite, sodium</t>
  </si>
  <si>
    <t>Selenate, sodium (10 H2O)</t>
  </si>
  <si>
    <t>Selenium yeast, generic</t>
  </si>
  <si>
    <t>Zinc carbonate</t>
  </si>
  <si>
    <t>Zinc chloride</t>
  </si>
  <si>
    <t>Zinc oxide</t>
  </si>
  <si>
    <t>Zinc sulfate (H2O)</t>
  </si>
  <si>
    <t>Zinc, organic generic</t>
  </si>
  <si>
    <t>Vit A premix</t>
  </si>
  <si>
    <t>Vit D premix</t>
  </si>
  <si>
    <t>Vit E premix</t>
  </si>
  <si>
    <t>VitTM Premix, generic</t>
  </si>
  <si>
    <t>Farm ES Mineral Mix</t>
  </si>
  <si>
    <t>Farm ES Midwest BP Blend</t>
  </si>
  <si>
    <t>Farm ES Northeast BP Blend</t>
  </si>
  <si>
    <t>Farm ES South BP Blend</t>
  </si>
  <si>
    <t>Farm ES West BP Blend</t>
  </si>
  <si>
    <t>Aminoplus</t>
  </si>
  <si>
    <t>ID</t>
  </si>
  <si>
    <t>Urea</t>
  </si>
  <si>
    <t>FEED SELECTION AND INCLUSION</t>
  </si>
  <si>
    <t>FEED SPECS</t>
  </si>
  <si>
    <t>Type</t>
  </si>
  <si>
    <t>DIET COMPOSITION</t>
  </si>
  <si>
    <t>DMI</t>
  </si>
  <si>
    <t>Ash, %DM</t>
  </si>
  <si>
    <t>CP, %DM</t>
  </si>
  <si>
    <t>NDF, %DM</t>
  </si>
  <si>
    <t>Starch, %DM</t>
  </si>
  <si>
    <t>EE, %DM</t>
  </si>
  <si>
    <t>Ca, %DM</t>
  </si>
  <si>
    <t>Feed name</t>
  </si>
  <si>
    <t>DM, %</t>
  </si>
  <si>
    <t>Forage NDF, %NDF</t>
  </si>
  <si>
    <t>Forage, %DM</t>
  </si>
  <si>
    <t>MAXIMUM_RATION_NDF</t>
  </si>
  <si>
    <t>MINIMUM_RATION_NDF</t>
  </si>
  <si>
    <t>MINIMUM_RATION_FORAGE_NDF</t>
  </si>
  <si>
    <t>MAXIMUM_RATION_FAT</t>
  </si>
  <si>
    <t>Validations</t>
  </si>
  <si>
    <t>Milk reduction maximum</t>
  </si>
  <si>
    <t>Max daily feed recalculations</t>
  </si>
  <si>
    <t>Tolerance</t>
  </si>
  <si>
    <t>Allowable amount of milk reduction (kg) when dietary nutrient supply cannot meet animal requirements</t>
  </si>
  <si>
    <t>The maximum number of feed recalculations that can be performed per year</t>
  </si>
  <si>
    <t>Allowable +/- fractional variance for each defined ration inclusion percentage values.</t>
  </si>
  <si>
    <t>E.g. a feed with a user defined ration percentage value of 20% and tolerance of 0.1 would correspond to an allowable range of 18% to 22%</t>
  </si>
  <si>
    <t>purchased_feed_cost</t>
  </si>
  <si>
    <t>buffer</t>
  </si>
  <si>
    <t>runtime_purchase_allowance</t>
  </si>
  <si>
    <t>advance_purchase_allowance</t>
  </si>
  <si>
    <t>planning_cycle_allowance</t>
  </si>
  <si>
    <t>Price ($/kg DM)</t>
  </si>
  <si>
    <t>Total DMI (kg)</t>
  </si>
  <si>
    <t>LAC</t>
  </si>
  <si>
    <t>GROW</t>
  </si>
  <si>
    <t>FEED COSTS</t>
  </si>
  <si>
    <t>$/kg DM</t>
  </si>
  <si>
    <t>HERD-LEVEL INPUTS</t>
  </si>
  <si>
    <t>CLOSE_UP</t>
  </si>
  <si>
    <t>CALF</t>
  </si>
  <si>
    <t>Used in combination(s)</t>
  </si>
  <si>
    <t>Minimum percentage of a pen's ration's dry matter that must be neutral detergent fiber (NDF) (percent)."""</t>
  </si>
  <si>
    <t>Maximum percentage of a pen's ration's dry matter that must be NDF (percent)."""</t>
  </si>
  <si>
    <t>Minimum percentage of a pen's ration's dry matter that must be NDF from forages (percent)."""</t>
  </si>
  <si>
    <t>Maximum percentage of a ration's dry matter that must be fat (percent)."""</t>
  </si>
  <si>
    <t>RuFaS Constants</t>
  </si>
  <si>
    <t>Feeds used</t>
  </si>
  <si>
    <t>Inclusion, %DM</t>
  </si>
  <si>
    <t>Purchasing allowance defaults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</si>
</sst>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5" formatCode="0.0%"/>
    <numFmt numFmtId="166" formatCode="0.0000"/>
    <numFmt numFmtId="167" formatCode="0.00000"/>
    <numFmt numFmtId="168" formatCode="0.0"/>
  </numFmts>
  <fonts count="20"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1"/>
      <color rgb="FF9CDCFE"/>
      <name val="Consolas"/>
      <family val="3"/>
    </font>
    <font>
      <sz val="11"/>
      <color rgb="FF000000"/>
      <name val="Aptos Narrow"/>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2"/>
        <bgColor indexed="64"/>
      </patternFill>
    </fill>
    <fill>
      <patternFill patternType="solid">
        <fgColor rgb="FFCCECFF"/>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5">
    <xf numFmtId="0" fontId="0" fillId="0" borderId="0" xfId="0"/>
    <xf numFmtId="10" fontId="0" fillId="0" borderId="0" xfId="1" applyNumberFormat="1" applyFont="1"/>
    <xf numFmtId="0" fontId="0" fillId="33" borderId="0" xfId="0" applyFill="1"/>
    <xf numFmtId="2" fontId="0" fillId="33" borderId="0" xfId="0" applyNumberFormat="1" applyFill="1"/>
    <xf numFmtId="2" fontId="0" fillId="0" borderId="0" xfId="0" applyNumberFormat="1"/>
    <xf numFmtId="0" fontId="16" fillId="0" borderId="0" xfId="0" applyFont="1"/>
    <xf numFmtId="0" fontId="0" fillId="0" borderId="11" xfId="0" applyBorder="1"/>
    <xf numFmtId="0" fontId="0" fillId="0" borderId="12" xfId="0" applyBorder="1"/>
    <xf numFmtId="0" fontId="0" fillId="0" borderId="14" xfId="0" applyBorder="1"/>
    <xf numFmtId="0" fontId="0" fillId="0" borderId="13" xfId="0" applyBorder="1"/>
    <xf numFmtId="0" fontId="0" fillId="0" borderId="15" xfId="0" applyBorder="1"/>
    <xf numFmtId="0" fontId="0" fillId="0" borderId="16" xfId="0" applyBorder="1"/>
    <xf numFmtId="0" fontId="0" fillId="0" borderId="17" xfId="0" applyBorder="1"/>
    <xf numFmtId="9" fontId="0" fillId="0" borderId="0" xfId="1" applyFont="1"/>
    <xf numFmtId="165" fontId="0" fillId="0" borderId="0" xfId="1" applyNumberFormat="1" applyFont="1"/>
    <xf numFmtId="0" fontId="0" fillId="0" borderId="10" xfId="0" applyBorder="1" applyAlignment="1">
      <alignment horizontal="center"/>
    </xf>
    <xf numFmtId="0" fontId="0" fillId="33" borderId="11" xfId="0" applyFill="1" applyBorder="1" applyAlignment="1">
      <alignment horizontal="center"/>
    </xf>
    <xf numFmtId="0" fontId="0" fillId="0" borderId="11" xfId="0" applyBorder="1" applyAlignment="1">
      <alignment horizontal="center"/>
    </xf>
    <xf numFmtId="0" fontId="0" fillId="0" borderId="13" xfId="0" applyBorder="1" applyAlignment="1">
      <alignment horizontal="center"/>
    </xf>
    <xf numFmtId="0" fontId="0" fillId="33" borderId="0" xfId="0" applyFill="1" applyAlignment="1">
      <alignment horizontal="center"/>
    </xf>
    <xf numFmtId="0" fontId="0" fillId="0" borderId="0" xfId="0" applyAlignment="1">
      <alignment horizontal="center"/>
    </xf>
    <xf numFmtId="0" fontId="0" fillId="0" borderId="15" xfId="0" applyBorder="1" applyAlignment="1">
      <alignment horizontal="center"/>
    </xf>
    <xf numFmtId="0" fontId="0" fillId="33" borderId="16" xfId="0" applyFill="1" applyBorder="1" applyAlignment="1">
      <alignment horizontal="center"/>
    </xf>
    <xf numFmtId="0" fontId="0" fillId="0" borderId="16" xfId="0" applyBorder="1" applyAlignment="1">
      <alignment horizontal="center"/>
    </xf>
    <xf numFmtId="0" fontId="0" fillId="0" borderId="0" xfId="0" applyAlignment="1">
      <alignment horizontal="left"/>
    </xf>
    <xf numFmtId="166" fontId="0" fillId="0" borderId="0" xfId="0" applyNumberFormat="1"/>
    <xf numFmtId="167" fontId="0" fillId="0" borderId="0" xfId="0" applyNumberFormat="1"/>
    <xf numFmtId="0" fontId="0" fillId="34" borderId="0" xfId="0" applyFill="1"/>
    <xf numFmtId="9" fontId="0" fillId="33" borderId="0" xfId="1" applyFont="1" applyFill="1"/>
    <xf numFmtId="168" fontId="0" fillId="33" borderId="0" xfId="0" applyNumberFormat="1" applyFill="1"/>
    <xf numFmtId="0" fontId="18" fillId="0" borderId="0" xfId="0" applyFont="1" applyAlignment="1">
      <alignment vertical="center"/>
    </xf>
    <xf numFmtId="0" fontId="0" fillId="0" borderId="10" xfId="0" applyBorder="1"/>
    <xf numFmtId="0" fontId="0" fillId="0" borderId="12" xfId="0" applyBorder="1" applyAlignment="1">
      <alignment horizontal="center"/>
    </xf>
    <xf numFmtId="0" fontId="0" fillId="0" borderId="14" xfId="0" applyBorder="1" applyAlignment="1">
      <alignment horizontal="center"/>
    </xf>
    <xf numFmtId="0" fontId="0" fillId="0" borderId="17" xfId="0" applyBorder="1" applyAlignment="1">
      <alignment horizontal="center"/>
    </xf>
    <xf numFmtId="10" fontId="0" fillId="0" borderId="0" xfId="0" applyNumberFormat="1"/>
    <xf numFmtId="0" fontId="0" fillId="0" borderId="18" xfId="0" applyBorder="1" applyAlignment="1">
      <alignment horizontal="center"/>
    </xf>
    <xf numFmtId="10" fontId="0" fillId="0" borderId="18" xfId="1" applyNumberFormat="1" applyFont="1" applyFill="1" applyBorder="1" applyAlignment="1">
      <alignment horizontal="center"/>
    </xf>
    <xf numFmtId="0" fontId="0" fillId="33" borderId="18" xfId="0" applyFill="1" applyBorder="1" applyAlignment="1">
      <alignment horizontal="left"/>
    </xf>
    <xf numFmtId="2" fontId="0" fillId="0" borderId="18" xfId="0" applyNumberFormat="1" applyBorder="1" applyAlignment="1">
      <alignment horizontal="center"/>
    </xf>
    <xf numFmtId="0" fontId="0" fillId="33" borderId="18" xfId="0" applyFill="1" applyBorder="1" applyAlignment="1">
      <alignment horizontal="center"/>
    </xf>
    <xf numFmtId="2" fontId="0" fillId="35" borderId="18" xfId="0" applyNumberFormat="1" applyFill="1" applyBorder="1" applyAlignment="1">
      <alignment horizontal="center"/>
    </xf>
    <xf numFmtId="168" fontId="0" fillId="0" borderId="11" xfId="0" applyNumberFormat="1" applyBorder="1" applyAlignment="1">
      <alignment horizontal="center"/>
    </xf>
    <xf numFmtId="168" fontId="0" fillId="0" borderId="0" xfId="0" applyNumberFormat="1" applyAlignment="1">
      <alignment horizontal="center"/>
    </xf>
    <xf numFmtId="168" fontId="0" fillId="0" borderId="16" xfId="0" applyNumberFormat="1" applyBorder="1" applyAlignment="1">
      <alignment horizont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6350</xdr:colOff>
      <xdr:row>0</xdr:row>
      <xdr:rowOff>158750</xdr:rowOff>
    </xdr:from>
    <xdr:to>
      <xdr:col>14</xdr:col>
      <xdr:colOff>577850</xdr:colOff>
      <xdr:row>35</xdr:row>
      <xdr:rowOff>73025</xdr:rowOff>
    </xdr:to>
    <xdr:sp macro="" textlink="">
      <xdr:nvSpPr>
        <xdr:cNvPr id="2" name="TextBox 1">
          <a:extLst>
            <a:ext uri="{FF2B5EF4-FFF2-40B4-BE49-F238E27FC236}">
              <a16:creationId xmlns:a16="http://schemas.microsoft.com/office/drawing/2014/main" id="{E22F9641-16E2-B299-432D-14DAFB0D708A}"/>
            </a:ext>
          </a:extLst>
        </xdr:cNvPr>
        <xdr:cNvSpPr txBox="1"/>
      </xdr:nvSpPr>
      <xdr:spPr>
        <a:xfrm>
          <a:off x="615950" y="158750"/>
          <a:ext cx="8496300" cy="624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a:buNone/>
          </a:pPr>
          <a:r>
            <a:rPr lang="en-US" sz="1400" b="1">
              <a:effectLst/>
              <a:latin typeface="Calibri" panose="020F0502020204030204" pitchFamily="34" charset="0"/>
            </a:rPr>
            <a:t>How to use this file to generate feed input JSON files:</a:t>
          </a:r>
          <a:endParaRPr lang="en-US" sz="1400">
            <a:effectLst/>
            <a:latin typeface="Calibri" panose="020F0502020204030204" pitchFamily="34" charset="0"/>
          </a:endParaRPr>
        </a:p>
        <a:p>
          <a:pPr marL="0" marR="0">
            <a:buNone/>
          </a:pPr>
          <a:r>
            <a:rPr lang="en-US" sz="1100">
              <a:effectLst/>
              <a:latin typeface="Calibri" panose="020F0502020204030204" pitchFamily="34" charset="0"/>
            </a:rPr>
            <a:t> </a:t>
          </a:r>
        </a:p>
        <a:p>
          <a:pPr marL="342900" lvl="0" indent="-342900" rtl="0" fontAlgn="ctr">
            <a:buFont typeface="+mj-lt"/>
            <a:buAutoNum type="arabicPeriod"/>
          </a:pPr>
          <a:r>
            <a:rPr lang="en-US" sz="1100" b="0" i="0">
              <a:effectLst/>
              <a:latin typeface="Calibri" panose="020F0502020204030204" pitchFamily="34" charset="0"/>
            </a:rPr>
            <a:t>Update the contents of the "Feed library" tab if necessary. This tab contains the contents of the "NASEM_Comp_with_TDN.csv" file in the RuFaS repository.</a:t>
          </a:r>
        </a:p>
        <a:p>
          <a:pPr marL="342900" lvl="0" indent="-342900" rtl="0" fontAlgn="ctr">
            <a:buFont typeface="+mj-lt"/>
            <a:buAutoNum type="arabicPeriod"/>
          </a:pPr>
          <a:r>
            <a:rPr lang="en-US" sz="1100" b="0" i="0">
              <a:effectLst/>
              <a:latin typeface="Calibri" panose="020F0502020204030204" pitchFamily="34" charset="0"/>
            </a:rPr>
            <a:t>Each animal combination in RuFaS has a separate tab in this file. In each tab, </a:t>
          </a:r>
          <a:r>
            <a:rPr lang="en-US" sz="1100" b="1" i="0">
              <a:effectLst/>
              <a:latin typeface="Calibri" panose="020F0502020204030204" pitchFamily="34" charset="0"/>
            </a:rPr>
            <a:t>modify only the blue cells</a:t>
          </a:r>
          <a:r>
            <a:rPr lang="en-US" sz="1100" b="0" i="0">
              <a:effectLst/>
              <a:latin typeface="Calibri" panose="020F0502020204030204" pitchFamily="34" charset="0"/>
            </a:rPr>
            <a:t>. Other cells are formulas and should not be changed.</a:t>
          </a:r>
        </a:p>
        <a:p>
          <a:pPr marL="742950" lvl="1" indent="-285750" rtl="0" fontAlgn="ctr">
            <a:buFont typeface="+mj-lt"/>
            <a:buAutoNum type="alphaLcPeriod"/>
          </a:pPr>
          <a:r>
            <a:rPr lang="en-US" sz="1100" b="0" i="0">
              <a:effectLst/>
              <a:latin typeface="Calibri" panose="020F0502020204030204" pitchFamily="34" charset="0"/>
            </a:rPr>
            <a:t>Select the name of each feed you want to use using the dropdowns in column C. The spreadsheet can accommodate 20 feeds per animal combination, and 40 unique feeds total across all combinations.</a:t>
          </a:r>
        </a:p>
        <a:p>
          <a:pPr marL="742950" lvl="1" indent="-285750" rtl="0" fontAlgn="ctr">
            <a:buFont typeface="+mj-lt"/>
            <a:buAutoNum type="alphaLcPeriod"/>
          </a:pPr>
          <a:r>
            <a:rPr lang="en-US" sz="1100" b="0" i="0">
              <a:effectLst/>
              <a:latin typeface="Calibri" panose="020F0502020204030204" pitchFamily="34" charset="0"/>
            </a:rPr>
            <a:t>You can set the inclusion of each feed either by kg of DMI (col D), or by setting total DMI in cell D24 and inputting inclusion % (col B) for each feed. Use the "Set by DMI" and "Set by inclusion %" buttons to switch between these options.</a:t>
          </a:r>
        </a:p>
        <a:p>
          <a:pPr marL="742950" lvl="1" indent="-285750" rtl="0" fontAlgn="ctr">
            <a:buFont typeface="+mj-lt"/>
            <a:buAutoNum type="alphaLcPeriod"/>
          </a:pPr>
          <a:r>
            <a:rPr lang="en-US" sz="1100" b="0" i="0">
              <a:effectLst/>
              <a:latin typeface="Calibri" panose="020F0502020204030204" pitchFamily="34" charset="0"/>
            </a:rPr>
            <a:t>Cols E-N show the nutritive specifications of each feed. Cols P:Q show the specs of the complete diet, as well as any basic validations (e.g. forage NDF %) that are violated.</a:t>
          </a:r>
        </a:p>
        <a:p>
          <a:pPr marL="342900" lvl="0" indent="-342900" rtl="0" fontAlgn="ctr">
            <a:buFont typeface="+mj-lt"/>
            <a:buAutoNum type="arabicPeriod"/>
          </a:pPr>
          <a:r>
            <a:rPr lang="en-US" sz="1100" b="0" i="0">
              <a:effectLst/>
              <a:latin typeface="Calibri" panose="020F0502020204030204" pitchFamily="34" charset="0"/>
            </a:rPr>
            <a:t>In the "Global_inputs" tab, herd-level inputs like milk reduction maximum and tolerance are set, and a price can be inputted for each feed. Here you can also overwrite the sample values for purchasing allowances.</a:t>
          </a:r>
        </a:p>
        <a:p>
          <a:pPr marL="342900" lvl="0" indent="-342900" rtl="0" fontAlgn="ctr">
            <a:buFont typeface="+mj-lt"/>
            <a:buAutoNum type="arabicPeriod"/>
          </a:pPr>
          <a:r>
            <a:rPr lang="en-US" sz="1100" b="0" i="0">
              <a:effectLst/>
              <a:latin typeface="Calibri" panose="020F0502020204030204" pitchFamily="34" charset="0"/>
            </a:rPr>
            <a:t>When you're finished making your diets, press the "Generate input JSON" button in the global inputs tab. The file vill</a:t>
          </a:r>
          <a:r>
            <a:rPr lang="en-US" sz="1100" b="0" i="0" baseline="0">
              <a:effectLst/>
              <a:latin typeface="Calibri" panose="020F0502020204030204" pitchFamily="34" charset="0"/>
            </a:rPr>
            <a:t> be validated to confirm that all required values are present and valid. A box</a:t>
          </a:r>
          <a:r>
            <a:rPr lang="en-US" sz="1100" b="0" i="0">
              <a:effectLst/>
              <a:latin typeface="Calibri" panose="020F0502020204030204" pitchFamily="34" charset="0"/>
            </a:rPr>
            <a:t> will prompt for a location and file name to save the JSON. The JSON should be ready to run!</a:t>
          </a:r>
        </a:p>
        <a:p>
          <a:pPr marL="342900" lvl="0" indent="-342900" rtl="0" fontAlgn="ctr">
            <a:buFont typeface="+mj-lt"/>
            <a:buAutoNum type="arabicPeriod"/>
          </a:pPr>
          <a:endParaRPr lang="en-US" sz="1100" b="0" i="0">
            <a:effectLst/>
            <a:latin typeface="Calibri" panose="020F0502020204030204" pitchFamily="34" charset="0"/>
          </a:endParaRPr>
        </a:p>
        <a:p>
          <a:endParaRPr lang="en-US" sz="1100"/>
        </a:p>
        <a:p>
          <a:endParaRPr lang="en-US" sz="1100"/>
        </a:p>
        <a:p>
          <a:endParaRPr lang="en-US" sz="1100" baseline="0"/>
        </a:p>
        <a:p>
          <a:endParaRPr lang="en-US" sz="1100" baseline="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22</xdr:row>
          <xdr:rowOff>152400</xdr:rowOff>
        </xdr:from>
        <xdr:to>
          <xdr:col>5</xdr:col>
          <xdr:colOff>95250</xdr:colOff>
          <xdr:row>24</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Set by DMI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24</xdr:row>
          <xdr:rowOff>28575</xdr:rowOff>
        </xdr:from>
        <xdr:to>
          <xdr:col>5</xdr:col>
          <xdr:colOff>419100</xdr:colOff>
          <xdr:row>25</xdr:row>
          <xdr:rowOff>123825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Set by inclusion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24</xdr:row>
          <xdr:rowOff>28575</xdr:rowOff>
        </xdr:from>
        <xdr:to>
          <xdr:col>5</xdr:col>
          <xdr:colOff>419100</xdr:colOff>
          <xdr:row>25</xdr:row>
          <xdr:rowOff>123825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Set by inclusion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22</xdr:row>
          <xdr:rowOff>152400</xdr:rowOff>
        </xdr:from>
        <xdr:to>
          <xdr:col>5</xdr:col>
          <xdr:colOff>95250</xdr:colOff>
          <xdr:row>24</xdr:row>
          <xdr:rowOff>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Set by DMI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22</xdr:row>
          <xdr:rowOff>152400</xdr:rowOff>
        </xdr:from>
        <xdr:to>
          <xdr:col>5</xdr:col>
          <xdr:colOff>95250</xdr:colOff>
          <xdr:row>24</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Set by DMI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24</xdr:row>
          <xdr:rowOff>28575</xdr:rowOff>
        </xdr:from>
        <xdr:to>
          <xdr:col>5</xdr:col>
          <xdr:colOff>419100</xdr:colOff>
          <xdr:row>25</xdr:row>
          <xdr:rowOff>123825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Set by inclusion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22</xdr:row>
          <xdr:rowOff>152400</xdr:rowOff>
        </xdr:from>
        <xdr:to>
          <xdr:col>5</xdr:col>
          <xdr:colOff>95250</xdr:colOff>
          <xdr:row>24</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Set by DMI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24</xdr:row>
          <xdr:rowOff>28575</xdr:rowOff>
        </xdr:from>
        <xdr:to>
          <xdr:col>5</xdr:col>
          <xdr:colOff>419100</xdr:colOff>
          <xdr:row>25</xdr:row>
          <xdr:rowOff>123825</xdr:rowOff>
        </xdr:to>
        <xdr:sp macro="" textlink="">
          <xdr:nvSpPr>
            <xdr:cNvPr id="6191" name="Button 47" hidden="1">
              <a:extLst>
                <a:ext uri="{63B3BB69-23CF-44E3-9099-C40C66FF867C}">
                  <a14:compatExt spid="_x0000_s6191"/>
                </a:ext>
                <a:ext uri="{FF2B5EF4-FFF2-40B4-BE49-F238E27FC236}">
                  <a16:creationId xmlns:a16="http://schemas.microsoft.com/office/drawing/2014/main" id="{00000000-0008-0000-0500-00002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Set by inclusion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0</xdr:row>
          <xdr:rowOff>161925</xdr:rowOff>
        </xdr:from>
        <xdr:to>
          <xdr:col>8</xdr:col>
          <xdr:colOff>923925</xdr:colOff>
          <xdr:row>4</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input JSON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EC10C-BEFF-4F24-B68E-E95B0DA8870C}">
  <sheetPr codeName="Sheet7"/>
  <dimension ref="A1"/>
  <sheetViews>
    <sheetView workbookViewId="0">
      <selection activeCell="Q18" sqref="Q18"/>
    </sheetView>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23D4FF-B1C0-4953-9C49-AA9C9439D1CC}">
  <sheetPr codeName="Sheet9"/>
  <dimension ref="A1:Q25"/>
  <sheetViews>
    <sheetView topLeftCell="A11" workbookViewId="0">
      <selection activeCell="D25" sqref="D25"/>
    </sheetView>
  </sheetViews>
  <sheetFormatPr defaultRowHeight="15" x14ac:dyDescent="0.25"/>
  <cols>
    <col min="1" max="1" width="7" customWidth="1"/>
    <col min="2" max="2" width="14.140625" bestFit="1" customWidth="1"/>
    <col min="3" max="3" width="27.5703125" customWidth="1"/>
    <col min="4" max="4" width="8.7109375" customWidth="1"/>
    <col min="5" max="5" width="14.42578125" bestFit="1" customWidth="1"/>
    <col min="8" max="8" width="9.7109375" bestFit="1" customWidth="1"/>
    <col min="9" max="9" width="11.28515625" bestFit="1" customWidth="1"/>
    <col min="10" max="10" width="10.140625" bestFit="1" customWidth="1"/>
    <col min="11" max="11" width="12" bestFit="1" customWidth="1"/>
    <col min="12" max="12" width="8.42578125" bestFit="1" customWidth="1"/>
    <col min="13" max="13" width="8.7109375" bestFit="1" customWidth="1"/>
    <col min="14" max="14" width="8.85546875" customWidth="1"/>
    <col min="16" max="16" width="17.5703125" customWidth="1"/>
    <col min="17" max="17" width="12" bestFit="1" customWidth="1"/>
  </cols>
  <sheetData>
    <row r="1" spans="1:17" x14ac:dyDescent="0.25">
      <c r="A1" s="5" t="s">
        <v>280</v>
      </c>
      <c r="E1" s="5" t="s">
        <v>281</v>
      </c>
      <c r="P1" s="5" t="s">
        <v>283</v>
      </c>
    </row>
    <row r="2" spans="1:17" x14ac:dyDescent="0.25">
      <c r="A2" s="20" t="s">
        <v>278</v>
      </c>
      <c r="B2" s="20" t="s">
        <v>328</v>
      </c>
      <c r="C2" s="24" t="s">
        <v>291</v>
      </c>
      <c r="D2" s="20" t="s">
        <v>284</v>
      </c>
      <c r="E2" s="20" t="s">
        <v>292</v>
      </c>
      <c r="F2" s="20" t="s">
        <v>282</v>
      </c>
      <c r="G2" s="20" t="s">
        <v>285</v>
      </c>
      <c r="H2" s="20" t="s">
        <v>286</v>
      </c>
      <c r="I2" s="20" t="s">
        <v>287</v>
      </c>
      <c r="J2" s="20" t="s">
        <v>288</v>
      </c>
      <c r="K2" s="20" t="s">
        <v>289</v>
      </c>
      <c r="L2" s="20" t="s">
        <v>290</v>
      </c>
      <c r="M2" s="20" t="s">
        <v>88</v>
      </c>
      <c r="N2" s="20" t="s">
        <v>312</v>
      </c>
    </row>
    <row r="3" spans="1:17" x14ac:dyDescent="0.25">
      <c r="A3" s="36">
        <f>IFERROR(INDEX('Feed library'!A:A,MATCH(C3,'Feed library'!B:B,0)),"")</f>
        <v>202</v>
      </c>
      <c r="B3" s="37">
        <f t="shared" ref="B3:B22" si="0">IFERROR(IF((D3/D$24)&gt;0,D3/D$24,0),0)</f>
        <v>0.5</v>
      </c>
      <c r="C3" s="38" t="s">
        <v>192</v>
      </c>
      <c r="D3" s="41">
        <v>1.5</v>
      </c>
      <c r="E3" s="39">
        <f>IFERROR(INDEX('Feed library'!$B$2:$CL$177,MATCH($A3,'Feed library'!$A$2:$A$177,0),MATCH("DM",'Feed library'!$B$1:$CL$1,0)),0)</f>
        <v>12.5</v>
      </c>
      <c r="F3" s="36" t="str">
        <f>IFERROR(INDEX('Feed library'!$B$2:$CL$177,MATCH($A3,'Feed library'!$A$2:$A$177,0),MATCH("feed_type",'Feed library'!$B$1:$CL$1,0)),0)</f>
        <v>Conc</v>
      </c>
      <c r="G3" s="39">
        <f>IFERROR(INDEX('Feed library'!$B$2:$CL$177,MATCH($A3,'Feed library'!$A$2:$A$177,0),MATCH("ash",'Feed library'!$B$1:$CL$1,0)),0)</f>
        <v>6.3</v>
      </c>
      <c r="H3" s="39">
        <f>IFERROR(INDEX('Feed library'!$B$2:$CL$177,MATCH($A3,'Feed library'!$A$2:$A$177,0),MATCH("CP",'Feed library'!$B$1:$CL$1,0)),0)</f>
        <v>25.4</v>
      </c>
      <c r="I3" s="39">
        <f>IFERROR(INDEX('Feed library'!$B$2:$CL$177,MATCH($A3,'Feed library'!$A$2:$A$177,0),MATCH("NDF",'Feed library'!$B$1:$CL$1,0)),0)</f>
        <v>0</v>
      </c>
      <c r="J3" s="39">
        <f>IFERROR(INDEX('Feed library'!$B$2:$CL$177,MATCH($A3,'Feed library'!$A$2:$A$177,0),MATCH("starch",'Feed library'!$B$1:$CL$1,0)),0)</f>
        <v>0</v>
      </c>
      <c r="K3" s="39">
        <f>IFERROR(INDEX('Feed library'!$B$2:$CL$177,MATCH($A3,'Feed library'!$A$2:$A$177,0),MATCH("EE",'Feed library'!$B$1:$CL$1,0)),0)</f>
        <v>30.8</v>
      </c>
      <c r="L3" s="39">
        <f>IFERROR(INDEX('Feed library'!$B$2:$CL$177,MATCH($A3,'Feed library'!$A$2:$A$177,0),MATCH("calcium",'Feed library'!$B$1:$CL$1,0)),0)</f>
        <v>1</v>
      </c>
      <c r="M3" s="39">
        <f>IFERROR(INDEX('Feed library'!$B$2:$CL$177,MATCH($A3,'Feed library'!$A$2:$A$177,0),MATCH("TDN",'Feed library'!$B$1:$CL$1,0)),0)</f>
        <v>0</v>
      </c>
      <c r="N3" s="39">
        <f>INDEX(Global_inputs!$D$17:$D$56,MATCH(growing!A3,Global_inputs!$C$17:$C$56,0))</f>
        <v>0.01</v>
      </c>
      <c r="P3" s="24" t="s">
        <v>292</v>
      </c>
      <c r="Q3" s="1">
        <f>SUMPRODUCT(B$3:B$22,$E$3:$E$22)*0.01</f>
        <v>0.50250000000000006</v>
      </c>
    </row>
    <row r="4" spans="1:17" x14ac:dyDescent="0.25">
      <c r="A4" s="36">
        <f>IFERROR(INDEX('Feed library'!A:A,MATCH(C4,'Feed library'!B:B,0)),"")</f>
        <v>216</v>
      </c>
      <c r="B4" s="37">
        <f t="shared" si="0"/>
        <v>0.5</v>
      </c>
      <c r="C4" s="38" t="s">
        <v>197</v>
      </c>
      <c r="D4" s="41">
        <v>1.5</v>
      </c>
      <c r="E4" s="39">
        <f>IFERROR(INDEX('Feed library'!$B$2:$CL$177,MATCH($A4,'Feed library'!$A$2:$A$177,0),MATCH("DM",'Feed library'!$B$1:$CL$1,0)),0)</f>
        <v>88</v>
      </c>
      <c r="F4" s="36" t="str">
        <f>IFERROR(INDEX('Feed library'!$B$2:$CL$177,MATCH($A4,'Feed library'!$A$2:$A$177,0),MATCH("feed_type",'Feed library'!$B$1:$CL$1,0)),0)</f>
        <v>Conc</v>
      </c>
      <c r="G4" s="39">
        <f>IFERROR(INDEX('Feed library'!$B$2:$CL$177,MATCH($A4,'Feed library'!$A$2:$A$177,0),MATCH("ash",'Feed library'!$B$1:$CL$1,0)),0)</f>
        <v>8.01</v>
      </c>
      <c r="H4" s="39">
        <f>IFERROR(INDEX('Feed library'!$B$2:$CL$177,MATCH($A4,'Feed library'!$A$2:$A$177,0),MATCH("CP",'Feed library'!$B$1:$CL$1,0)),0)</f>
        <v>20.6</v>
      </c>
      <c r="I4" s="39">
        <f>IFERROR(INDEX('Feed library'!$B$2:$CL$177,MATCH($A4,'Feed library'!$A$2:$A$177,0),MATCH("NDF",'Feed library'!$B$1:$CL$1,0)),0)</f>
        <v>17.37</v>
      </c>
      <c r="J4" s="39">
        <f>IFERROR(INDEX('Feed library'!$B$2:$CL$177,MATCH($A4,'Feed library'!$A$2:$A$177,0),MATCH("starch",'Feed library'!$B$1:$CL$1,0)),0)</f>
        <v>37.92</v>
      </c>
      <c r="K4" s="39">
        <f>IFERROR(INDEX('Feed library'!$B$2:$CL$177,MATCH($A4,'Feed library'!$A$2:$A$177,0),MATCH("EE",'Feed library'!$B$1:$CL$1,0)),0)</f>
        <v>3.73</v>
      </c>
      <c r="L4" s="39">
        <f>IFERROR(INDEX('Feed library'!$B$2:$CL$177,MATCH($A4,'Feed library'!$A$2:$A$177,0),MATCH("calcium",'Feed library'!$B$1:$CL$1,0)),0)</f>
        <v>0.75</v>
      </c>
      <c r="M4" s="39">
        <f>IFERROR(INDEX('Feed library'!$B$2:$CL$177,MATCH($A4,'Feed library'!$A$2:$A$177,0),MATCH("TDN",'Feed library'!$B$1:$CL$1,0)),0)</f>
        <v>0</v>
      </c>
      <c r="N4" s="39">
        <f>INDEX(Global_inputs!$D$17:$D$56,MATCH(growing!A4,Global_inputs!$C$17:$C$56,0))</f>
        <v>0.01</v>
      </c>
      <c r="P4" s="24" t="s">
        <v>294</v>
      </c>
      <c r="Q4" s="14">
        <f>SUMIF(F3:F22,"Forage",D3:D22) / D24</f>
        <v>0</v>
      </c>
    </row>
    <row r="5" spans="1:17" x14ac:dyDescent="0.25">
      <c r="A5" s="36" t="str">
        <f>IFERROR(INDEX('Feed library'!A:A,MATCH(C5,'Feed library'!B:B,0)),"")</f>
        <v/>
      </c>
      <c r="B5" s="37">
        <f t="shared" si="0"/>
        <v>0</v>
      </c>
      <c r="C5" s="38"/>
      <c r="D5" s="41"/>
      <c r="E5" s="39">
        <f>IFERROR(INDEX('Feed library'!$B$2:$CL$177,MATCH($A5,'Feed library'!$A$2:$A$177,0),MATCH("DM",'Feed library'!$B$1:$CL$1,0)),0)</f>
        <v>0</v>
      </c>
      <c r="F5" s="36">
        <f>IFERROR(INDEX('Feed library'!$B$2:$CL$177,MATCH($A5,'Feed library'!$A$2:$A$177,0),MATCH("feed_type",'Feed library'!$B$1:$CL$1,0)),0)</f>
        <v>0</v>
      </c>
      <c r="G5" s="39">
        <f>IFERROR(INDEX('Feed library'!$B$2:$CL$177,MATCH($A5,'Feed library'!$A$2:$A$177,0),MATCH("ash",'Feed library'!$B$1:$CL$1,0)),0)</f>
        <v>0</v>
      </c>
      <c r="H5" s="39">
        <f>IFERROR(INDEX('Feed library'!$B$2:$CL$177,MATCH($A5,'Feed library'!$A$2:$A$177,0),MATCH("CP",'Feed library'!$B$1:$CL$1,0)),0)</f>
        <v>0</v>
      </c>
      <c r="I5" s="39">
        <f>IFERROR(INDEX('Feed library'!$B$2:$CL$177,MATCH($A5,'Feed library'!$A$2:$A$177,0),MATCH("NDF",'Feed library'!$B$1:$CL$1,0)),0)</f>
        <v>0</v>
      </c>
      <c r="J5" s="39">
        <f>IFERROR(INDEX('Feed library'!$B$2:$CL$177,MATCH($A5,'Feed library'!$A$2:$A$177,0),MATCH("starch",'Feed library'!$B$1:$CL$1,0)),0)</f>
        <v>0</v>
      </c>
      <c r="K5" s="39">
        <f>IFERROR(INDEX('Feed library'!$B$2:$CL$177,MATCH($A5,'Feed library'!$A$2:$A$177,0),MATCH("EE",'Feed library'!$B$1:$CL$1,0)),0)</f>
        <v>0</v>
      </c>
      <c r="L5" s="39">
        <f>IFERROR(INDEX('Feed library'!$B$2:$CL$177,MATCH($A5,'Feed library'!$A$2:$A$177,0),MATCH("calcium",'Feed library'!$B$1:$CL$1,0)),0)</f>
        <v>0</v>
      </c>
      <c r="M5" s="39">
        <f>IFERROR(INDEX('Feed library'!$B$2:$CL$177,MATCH($A5,'Feed library'!$A$2:$A$177,0),MATCH("TDN",'Feed library'!$B$1:$CL$1,0)),0)</f>
        <v>0</v>
      </c>
      <c r="N5" s="39">
        <f>INDEX(Global_inputs!$D$17:$D$56,MATCH(growing!A5,Global_inputs!$C$17:$C$56,0))</f>
        <v>0.01</v>
      </c>
      <c r="P5" s="24" t="s">
        <v>285</v>
      </c>
      <c r="Q5" s="14">
        <f>SUMPRODUCT(G$3:G$22,$B$3:$B$22)*0.01</f>
        <v>7.1549999999999989E-2</v>
      </c>
    </row>
    <row r="6" spans="1:17" x14ac:dyDescent="0.25">
      <c r="A6" s="36" t="str">
        <f>IFERROR(INDEX('Feed library'!A:A,MATCH(C6,'Feed library'!B:B,0)),"")</f>
        <v/>
      </c>
      <c r="B6" s="37">
        <f t="shared" si="0"/>
        <v>0</v>
      </c>
      <c r="C6" s="38"/>
      <c r="D6" s="41"/>
      <c r="E6" s="39">
        <f>IFERROR(INDEX('Feed library'!$B$2:$CL$177,MATCH($A6,'Feed library'!$A$2:$A$177,0),MATCH("DM",'Feed library'!$B$1:$CL$1,0)),0)</f>
        <v>0</v>
      </c>
      <c r="F6" s="36">
        <f>IFERROR(INDEX('Feed library'!$B$2:$CL$177,MATCH($A6,'Feed library'!$A$2:$A$177,0),MATCH("feed_type",'Feed library'!$B$1:$CL$1,0)),0)</f>
        <v>0</v>
      </c>
      <c r="G6" s="39">
        <f>IFERROR(INDEX('Feed library'!$B$2:$CL$177,MATCH($A6,'Feed library'!$A$2:$A$177,0),MATCH("ash",'Feed library'!$B$1:$CL$1,0)),0)</f>
        <v>0</v>
      </c>
      <c r="H6" s="39">
        <f>IFERROR(INDEX('Feed library'!$B$2:$CL$177,MATCH($A6,'Feed library'!$A$2:$A$177,0),MATCH("CP",'Feed library'!$B$1:$CL$1,0)),0)</f>
        <v>0</v>
      </c>
      <c r="I6" s="39">
        <f>IFERROR(INDEX('Feed library'!$B$2:$CL$177,MATCH($A6,'Feed library'!$A$2:$A$177,0),MATCH("NDF",'Feed library'!$B$1:$CL$1,0)),0)</f>
        <v>0</v>
      </c>
      <c r="J6" s="39">
        <f>IFERROR(INDEX('Feed library'!$B$2:$CL$177,MATCH($A6,'Feed library'!$A$2:$A$177,0),MATCH("starch",'Feed library'!$B$1:$CL$1,0)),0)</f>
        <v>0</v>
      </c>
      <c r="K6" s="39">
        <f>IFERROR(INDEX('Feed library'!$B$2:$CL$177,MATCH($A6,'Feed library'!$A$2:$A$177,0),MATCH("EE",'Feed library'!$B$1:$CL$1,0)),0)</f>
        <v>0</v>
      </c>
      <c r="L6" s="39">
        <f>IFERROR(INDEX('Feed library'!$B$2:$CL$177,MATCH($A6,'Feed library'!$A$2:$A$177,0),MATCH("calcium",'Feed library'!$B$1:$CL$1,0)),0)</f>
        <v>0</v>
      </c>
      <c r="M6" s="39">
        <f>IFERROR(INDEX('Feed library'!$B$2:$CL$177,MATCH($A6,'Feed library'!$A$2:$A$177,0),MATCH("TDN",'Feed library'!$B$1:$CL$1,0)),0)</f>
        <v>0</v>
      </c>
      <c r="N6" s="39">
        <f>INDEX(Global_inputs!$D$17:$D$56,MATCH(growing!A6,Global_inputs!$C$17:$C$56,0))</f>
        <v>0.01</v>
      </c>
      <c r="P6" s="24" t="s">
        <v>286</v>
      </c>
      <c r="Q6" s="14">
        <f>SUMPRODUCT(H$3:H$22,$B$3:$B$22)*0.01</f>
        <v>0.23</v>
      </c>
    </row>
    <row r="7" spans="1:17" x14ac:dyDescent="0.25">
      <c r="A7" s="36" t="str">
        <f>IFERROR(INDEX('Feed library'!A:A,MATCH(C7,'Feed library'!B:B,0)),"")</f>
        <v/>
      </c>
      <c r="B7" s="37">
        <f t="shared" si="0"/>
        <v>0</v>
      </c>
      <c r="C7" s="38"/>
      <c r="D7" s="41"/>
      <c r="E7" s="39">
        <f>IFERROR(INDEX('Feed library'!$B$2:$CL$177,MATCH($A7,'Feed library'!$A$2:$A$177,0),MATCH("DM",'Feed library'!$B$1:$CL$1,0)),0)</f>
        <v>0</v>
      </c>
      <c r="F7" s="36">
        <f>IFERROR(INDEX('Feed library'!$B$2:$CL$177,MATCH($A7,'Feed library'!$A$2:$A$177,0),MATCH("feed_type",'Feed library'!$B$1:$CL$1,0)),0)</f>
        <v>0</v>
      </c>
      <c r="G7" s="39">
        <f>IFERROR(INDEX('Feed library'!$B$2:$CL$177,MATCH($A7,'Feed library'!$A$2:$A$177,0),MATCH("ash",'Feed library'!$B$1:$CL$1,0)),0)</f>
        <v>0</v>
      </c>
      <c r="H7" s="39">
        <f>IFERROR(INDEX('Feed library'!$B$2:$CL$177,MATCH($A7,'Feed library'!$A$2:$A$177,0),MATCH("CP",'Feed library'!$B$1:$CL$1,0)),0)</f>
        <v>0</v>
      </c>
      <c r="I7" s="39">
        <f>IFERROR(INDEX('Feed library'!$B$2:$CL$177,MATCH($A7,'Feed library'!$A$2:$A$177,0),MATCH("NDF",'Feed library'!$B$1:$CL$1,0)),0)</f>
        <v>0</v>
      </c>
      <c r="J7" s="39">
        <f>IFERROR(INDEX('Feed library'!$B$2:$CL$177,MATCH($A7,'Feed library'!$A$2:$A$177,0),MATCH("starch",'Feed library'!$B$1:$CL$1,0)),0)</f>
        <v>0</v>
      </c>
      <c r="K7" s="39">
        <f>IFERROR(INDEX('Feed library'!$B$2:$CL$177,MATCH($A7,'Feed library'!$A$2:$A$177,0),MATCH("EE",'Feed library'!$B$1:$CL$1,0)),0)</f>
        <v>0</v>
      </c>
      <c r="L7" s="39">
        <f>IFERROR(INDEX('Feed library'!$B$2:$CL$177,MATCH($A7,'Feed library'!$A$2:$A$177,0),MATCH("calcium",'Feed library'!$B$1:$CL$1,0)),0)</f>
        <v>0</v>
      </c>
      <c r="M7" s="39">
        <f>IFERROR(INDEX('Feed library'!$B$2:$CL$177,MATCH($A7,'Feed library'!$A$2:$A$177,0),MATCH("TDN",'Feed library'!$B$1:$CL$1,0)),0)</f>
        <v>0</v>
      </c>
      <c r="N7" s="39">
        <f>INDEX(Global_inputs!$D$17:$D$56,MATCH(growing!A7,Global_inputs!$C$17:$C$56,0))</f>
        <v>0.01</v>
      </c>
      <c r="P7" s="24" t="s">
        <v>287</v>
      </c>
      <c r="Q7" s="14">
        <f>SUMPRODUCT(I$3:I$22,$B$3:$B$22)*0.01</f>
        <v>8.6850000000000011E-2</v>
      </c>
    </row>
    <row r="8" spans="1:17" x14ac:dyDescent="0.25">
      <c r="A8" s="36" t="str">
        <f>IFERROR(INDEX('Feed library'!A:A,MATCH(C8,'Feed library'!B:B,0)),"")</f>
        <v/>
      </c>
      <c r="B8" s="37">
        <f t="shared" si="0"/>
        <v>0</v>
      </c>
      <c r="C8" s="38"/>
      <c r="D8" s="41"/>
      <c r="E8" s="39">
        <f>IFERROR(INDEX('Feed library'!$B$2:$CL$177,MATCH($A8,'Feed library'!$A$2:$A$177,0),MATCH("DM",'Feed library'!$B$1:$CL$1,0)),0)</f>
        <v>0</v>
      </c>
      <c r="F8" s="36">
        <f>IFERROR(INDEX('Feed library'!$B$2:$CL$177,MATCH($A8,'Feed library'!$A$2:$A$177,0),MATCH("feed_type",'Feed library'!$B$1:$CL$1,0)),0)</f>
        <v>0</v>
      </c>
      <c r="G8" s="39">
        <f>IFERROR(INDEX('Feed library'!$B$2:$CL$177,MATCH($A8,'Feed library'!$A$2:$A$177,0),MATCH("ash",'Feed library'!$B$1:$CL$1,0)),0)</f>
        <v>0</v>
      </c>
      <c r="H8" s="39">
        <f>IFERROR(INDEX('Feed library'!$B$2:$CL$177,MATCH($A8,'Feed library'!$A$2:$A$177,0),MATCH("CP",'Feed library'!$B$1:$CL$1,0)),0)</f>
        <v>0</v>
      </c>
      <c r="I8" s="39">
        <f>IFERROR(INDEX('Feed library'!$B$2:$CL$177,MATCH($A8,'Feed library'!$A$2:$A$177,0),MATCH("NDF",'Feed library'!$B$1:$CL$1,0)),0)</f>
        <v>0</v>
      </c>
      <c r="J8" s="39">
        <f>IFERROR(INDEX('Feed library'!$B$2:$CL$177,MATCH($A8,'Feed library'!$A$2:$A$177,0),MATCH("starch",'Feed library'!$B$1:$CL$1,0)),0)</f>
        <v>0</v>
      </c>
      <c r="K8" s="39">
        <f>IFERROR(INDEX('Feed library'!$B$2:$CL$177,MATCH($A8,'Feed library'!$A$2:$A$177,0),MATCH("EE",'Feed library'!$B$1:$CL$1,0)),0)</f>
        <v>0</v>
      </c>
      <c r="L8" s="39">
        <f>IFERROR(INDEX('Feed library'!$B$2:$CL$177,MATCH($A8,'Feed library'!$A$2:$A$177,0),MATCH("calcium",'Feed library'!$B$1:$CL$1,0)),0)</f>
        <v>0</v>
      </c>
      <c r="M8" s="39">
        <f>IFERROR(INDEX('Feed library'!$B$2:$CL$177,MATCH($A8,'Feed library'!$A$2:$A$177,0),MATCH("TDN",'Feed library'!$B$1:$CL$1,0)),0)</f>
        <v>0</v>
      </c>
      <c r="N8" s="39">
        <f>INDEX(Global_inputs!$D$17:$D$56,MATCH(growing!A8,Global_inputs!$C$17:$C$56,0))</f>
        <v>0.01</v>
      </c>
      <c r="P8" s="24" t="s">
        <v>293</v>
      </c>
      <c r="Q8" s="14" cm="1">
        <f t="array" ref="Q8">SUMPRODUCT(($F$3:$F$22="Forage")*($B$3:$B$22)*($I$3:$I$22))/SUMPRODUCT(($B$3:$B$22)*($I$3:$I$22))</f>
        <v>0</v>
      </c>
    </row>
    <row r="9" spans="1:17" x14ac:dyDescent="0.25">
      <c r="A9" s="36" t="str">
        <f>IFERROR(INDEX('Feed library'!A:A,MATCH(C9,'Feed library'!B:B,0)),"")</f>
        <v/>
      </c>
      <c r="B9" s="37">
        <f t="shared" si="0"/>
        <v>0</v>
      </c>
      <c r="C9" s="38"/>
      <c r="D9" s="41"/>
      <c r="E9" s="39">
        <f>IFERROR(INDEX('Feed library'!$B$2:$CL$177,MATCH($A9,'Feed library'!$A$2:$A$177,0),MATCH("DM",'Feed library'!$B$1:$CL$1,0)),0)</f>
        <v>0</v>
      </c>
      <c r="F9" s="36">
        <f>IFERROR(INDEX('Feed library'!$B$2:$CL$177,MATCH($A9,'Feed library'!$A$2:$A$177,0),MATCH("feed_type",'Feed library'!$B$1:$CL$1,0)),0)</f>
        <v>0</v>
      </c>
      <c r="G9" s="39">
        <f>IFERROR(INDEX('Feed library'!$B$2:$CL$177,MATCH($A9,'Feed library'!$A$2:$A$177,0),MATCH("ash",'Feed library'!$B$1:$CL$1,0)),0)</f>
        <v>0</v>
      </c>
      <c r="H9" s="39">
        <f>IFERROR(INDEX('Feed library'!$B$2:$CL$177,MATCH($A9,'Feed library'!$A$2:$A$177,0),MATCH("CP",'Feed library'!$B$1:$CL$1,0)),0)</f>
        <v>0</v>
      </c>
      <c r="I9" s="39">
        <f>IFERROR(INDEX('Feed library'!$B$2:$CL$177,MATCH($A9,'Feed library'!$A$2:$A$177,0),MATCH("NDF",'Feed library'!$B$1:$CL$1,0)),0)</f>
        <v>0</v>
      </c>
      <c r="J9" s="39">
        <f>IFERROR(INDEX('Feed library'!$B$2:$CL$177,MATCH($A9,'Feed library'!$A$2:$A$177,0),MATCH("starch",'Feed library'!$B$1:$CL$1,0)),0)</f>
        <v>0</v>
      </c>
      <c r="K9" s="39">
        <f>IFERROR(INDEX('Feed library'!$B$2:$CL$177,MATCH($A9,'Feed library'!$A$2:$A$177,0),MATCH("EE",'Feed library'!$B$1:$CL$1,0)),0)</f>
        <v>0</v>
      </c>
      <c r="L9" s="39">
        <f>IFERROR(INDEX('Feed library'!$B$2:$CL$177,MATCH($A9,'Feed library'!$A$2:$A$177,0),MATCH("calcium",'Feed library'!$B$1:$CL$1,0)),0)</f>
        <v>0</v>
      </c>
      <c r="M9" s="39">
        <f>IFERROR(INDEX('Feed library'!$B$2:$CL$177,MATCH($A9,'Feed library'!$A$2:$A$177,0),MATCH("TDN",'Feed library'!$B$1:$CL$1,0)),0)</f>
        <v>0</v>
      </c>
      <c r="N9" s="39">
        <f>INDEX(Global_inputs!$D$17:$D$56,MATCH(growing!A9,Global_inputs!$C$17:$C$56,0))</f>
        <v>0.01</v>
      </c>
      <c r="P9" s="24" t="s">
        <v>288</v>
      </c>
      <c r="Q9" s="14">
        <f>SUMPRODUCT(J$3:J$22,$B$3:$B$22)*0.01</f>
        <v>0.18960000000000002</v>
      </c>
    </row>
    <row r="10" spans="1:17" x14ac:dyDescent="0.25">
      <c r="A10" s="36" t="str">
        <f>IFERROR(INDEX('Feed library'!A:A,MATCH(C10,'Feed library'!B:B,0)),"")</f>
        <v/>
      </c>
      <c r="B10" s="37">
        <f t="shared" si="0"/>
        <v>0</v>
      </c>
      <c r="C10" s="38"/>
      <c r="D10" s="41"/>
      <c r="E10" s="39">
        <f>IFERROR(INDEX('Feed library'!$B$2:$CL$177,MATCH($A10,'Feed library'!$A$2:$A$177,0),MATCH("DM",'Feed library'!$B$1:$CL$1,0)),0)</f>
        <v>0</v>
      </c>
      <c r="F10" s="36">
        <f>IFERROR(INDEX('Feed library'!$B$2:$CL$177,MATCH($A10,'Feed library'!$A$2:$A$177,0),MATCH("feed_type",'Feed library'!$B$1:$CL$1,0)),0)</f>
        <v>0</v>
      </c>
      <c r="G10" s="39">
        <f>IFERROR(INDEX('Feed library'!$B$2:$CL$177,MATCH($A10,'Feed library'!$A$2:$A$177,0),MATCH("ash",'Feed library'!$B$1:$CL$1,0)),0)</f>
        <v>0</v>
      </c>
      <c r="H10" s="39">
        <f>IFERROR(INDEX('Feed library'!$B$2:$CL$177,MATCH($A10,'Feed library'!$A$2:$A$177,0),MATCH("CP",'Feed library'!$B$1:$CL$1,0)),0)</f>
        <v>0</v>
      </c>
      <c r="I10" s="39">
        <f>IFERROR(INDEX('Feed library'!$B$2:$CL$177,MATCH($A10,'Feed library'!$A$2:$A$177,0),MATCH("NDF",'Feed library'!$B$1:$CL$1,0)),0)</f>
        <v>0</v>
      </c>
      <c r="J10" s="39">
        <f>IFERROR(INDEX('Feed library'!$B$2:$CL$177,MATCH($A10,'Feed library'!$A$2:$A$177,0),MATCH("starch",'Feed library'!$B$1:$CL$1,0)),0)</f>
        <v>0</v>
      </c>
      <c r="K10" s="39">
        <f>IFERROR(INDEX('Feed library'!$B$2:$CL$177,MATCH($A10,'Feed library'!$A$2:$A$177,0),MATCH("EE",'Feed library'!$B$1:$CL$1,0)),0)</f>
        <v>0</v>
      </c>
      <c r="L10" s="39">
        <f>IFERROR(INDEX('Feed library'!$B$2:$CL$177,MATCH($A10,'Feed library'!$A$2:$A$177,0),MATCH("calcium",'Feed library'!$B$1:$CL$1,0)),0)</f>
        <v>0</v>
      </c>
      <c r="M10" s="39">
        <f>IFERROR(INDEX('Feed library'!$B$2:$CL$177,MATCH($A10,'Feed library'!$A$2:$A$177,0),MATCH("TDN",'Feed library'!$B$1:$CL$1,0)),0)</f>
        <v>0</v>
      </c>
      <c r="N10" s="39">
        <f>INDEX(Global_inputs!$D$17:$D$56,MATCH(growing!A10,Global_inputs!$C$17:$C$56,0))</f>
        <v>0</v>
      </c>
      <c r="P10" s="24" t="s">
        <v>289</v>
      </c>
      <c r="Q10" s="14">
        <f>SUMPRODUCT(K$3:K$22,$B$3:$B$22)*0.01</f>
        <v>0.17265</v>
      </c>
    </row>
    <row r="11" spans="1:17" x14ac:dyDescent="0.25">
      <c r="A11" s="36" t="str">
        <f>IFERROR(INDEX('Feed library'!A:A,MATCH(C11,'Feed library'!B:B,0)),"")</f>
        <v/>
      </c>
      <c r="B11" s="37">
        <f t="shared" si="0"/>
        <v>0</v>
      </c>
      <c r="C11" s="38"/>
      <c r="D11" s="41"/>
      <c r="E11" s="39">
        <f>IFERROR(INDEX('Feed library'!$B$2:$CL$177,MATCH($A11,'Feed library'!$A$2:$A$177,0),MATCH("DM",'Feed library'!$B$1:$CL$1,0)),0)</f>
        <v>0</v>
      </c>
      <c r="F11" s="36">
        <f>IFERROR(INDEX('Feed library'!$B$2:$CL$177,MATCH($A11,'Feed library'!$A$2:$A$177,0),MATCH("feed_type",'Feed library'!$B$1:$CL$1,0)),0)</f>
        <v>0</v>
      </c>
      <c r="G11" s="39">
        <f>IFERROR(INDEX('Feed library'!$B$2:$CL$177,MATCH($A11,'Feed library'!$A$2:$A$177,0),MATCH("ash",'Feed library'!$B$1:$CL$1,0)),0)</f>
        <v>0</v>
      </c>
      <c r="H11" s="39">
        <f>IFERROR(INDEX('Feed library'!$B$2:$CL$177,MATCH($A11,'Feed library'!$A$2:$A$177,0),MATCH("CP",'Feed library'!$B$1:$CL$1,0)),0)</f>
        <v>0</v>
      </c>
      <c r="I11" s="39">
        <f>IFERROR(INDEX('Feed library'!$B$2:$CL$177,MATCH($A11,'Feed library'!$A$2:$A$177,0),MATCH("NDF",'Feed library'!$B$1:$CL$1,0)),0)</f>
        <v>0</v>
      </c>
      <c r="J11" s="39">
        <f>IFERROR(INDEX('Feed library'!$B$2:$CL$177,MATCH($A11,'Feed library'!$A$2:$A$177,0),MATCH("starch",'Feed library'!$B$1:$CL$1,0)),0)</f>
        <v>0</v>
      </c>
      <c r="K11" s="39">
        <f>IFERROR(INDEX('Feed library'!$B$2:$CL$177,MATCH($A11,'Feed library'!$A$2:$A$177,0),MATCH("EE",'Feed library'!$B$1:$CL$1,0)),0)</f>
        <v>0</v>
      </c>
      <c r="L11" s="39">
        <f>IFERROR(INDEX('Feed library'!$B$2:$CL$177,MATCH($A11,'Feed library'!$A$2:$A$177,0),MATCH("calcium",'Feed library'!$B$1:$CL$1,0)),0)</f>
        <v>0</v>
      </c>
      <c r="M11" s="39">
        <f>IFERROR(INDEX('Feed library'!$B$2:$CL$177,MATCH($A11,'Feed library'!$A$2:$A$177,0),MATCH("TDN",'Feed library'!$B$1:$CL$1,0)),0)</f>
        <v>0</v>
      </c>
      <c r="N11" s="39">
        <f>INDEX(Global_inputs!$D$17:$D$56,MATCH(growing!A11,Global_inputs!$C$17:$C$56,0))</f>
        <v>0</v>
      </c>
      <c r="P11" s="24" t="s">
        <v>290</v>
      </c>
      <c r="Q11" s="14">
        <f>SUMPRODUCT(L$3:L$22,$B$3:$B$22)*0.01</f>
        <v>8.7500000000000008E-3</v>
      </c>
    </row>
    <row r="12" spans="1:17" x14ac:dyDescent="0.25">
      <c r="A12" s="36" t="str">
        <f>IFERROR(INDEX('Feed library'!A:A,MATCH(C12,'Feed library'!B:B,0)),"")</f>
        <v/>
      </c>
      <c r="B12" s="37">
        <f t="shared" si="0"/>
        <v>0</v>
      </c>
      <c r="C12" s="38"/>
      <c r="D12" s="41"/>
      <c r="E12" s="39">
        <f>IFERROR(INDEX('Feed library'!$B$2:$CL$177,MATCH($A12,'Feed library'!$A$2:$A$177,0),MATCH("DM",'Feed library'!$B$1:$CL$1,0)),0)</f>
        <v>0</v>
      </c>
      <c r="F12" s="36">
        <f>IFERROR(INDEX('Feed library'!$B$2:$CL$177,MATCH($A12,'Feed library'!$A$2:$A$177,0),MATCH("feed_type",'Feed library'!$B$1:$CL$1,0)),0)</f>
        <v>0</v>
      </c>
      <c r="G12" s="39">
        <f>IFERROR(INDEX('Feed library'!$B$2:$CL$177,MATCH($A12,'Feed library'!$A$2:$A$177,0),MATCH("ash",'Feed library'!$B$1:$CL$1,0)),0)</f>
        <v>0</v>
      </c>
      <c r="H12" s="39">
        <f>IFERROR(INDEX('Feed library'!$B$2:$CL$177,MATCH($A12,'Feed library'!$A$2:$A$177,0),MATCH("CP",'Feed library'!$B$1:$CL$1,0)),0)</f>
        <v>0</v>
      </c>
      <c r="I12" s="39">
        <f>IFERROR(INDEX('Feed library'!$B$2:$CL$177,MATCH($A12,'Feed library'!$A$2:$A$177,0),MATCH("NDF",'Feed library'!$B$1:$CL$1,0)),0)</f>
        <v>0</v>
      </c>
      <c r="J12" s="39">
        <f>IFERROR(INDEX('Feed library'!$B$2:$CL$177,MATCH($A12,'Feed library'!$A$2:$A$177,0),MATCH("starch",'Feed library'!$B$1:$CL$1,0)),0)</f>
        <v>0</v>
      </c>
      <c r="K12" s="39">
        <f>IFERROR(INDEX('Feed library'!$B$2:$CL$177,MATCH($A12,'Feed library'!$A$2:$A$177,0),MATCH("EE",'Feed library'!$B$1:$CL$1,0)),0)</f>
        <v>0</v>
      </c>
      <c r="L12" s="39">
        <f>IFERROR(INDEX('Feed library'!$B$2:$CL$177,MATCH($A12,'Feed library'!$A$2:$A$177,0),MATCH("calcium",'Feed library'!$B$1:$CL$1,0)),0)</f>
        <v>0</v>
      </c>
      <c r="M12" s="39">
        <f>IFERROR(INDEX('Feed library'!$B$2:$CL$177,MATCH($A12,'Feed library'!$A$2:$A$177,0),MATCH("TDN",'Feed library'!$B$1:$CL$1,0)),0)</f>
        <v>0</v>
      </c>
      <c r="N12" s="39">
        <f>INDEX(Global_inputs!$D$17:$D$56,MATCH(growing!A12,Global_inputs!$C$17:$C$56,0))</f>
        <v>0</v>
      </c>
      <c r="P12" s="24" t="s">
        <v>88</v>
      </c>
      <c r="Q12" s="14">
        <f>SUMPRODUCT(M$3:M$22,$B$3:$B$22)*0.01</f>
        <v>0</v>
      </c>
    </row>
    <row r="13" spans="1:17" x14ac:dyDescent="0.25">
      <c r="A13" s="36" t="str">
        <f>IFERROR(INDEX('Feed library'!A:A,MATCH(C13,'Feed library'!B:B,0)),"")</f>
        <v/>
      </c>
      <c r="B13" s="37">
        <f t="shared" si="0"/>
        <v>0</v>
      </c>
      <c r="C13" s="38"/>
      <c r="D13" s="41"/>
      <c r="E13" s="39">
        <f>IFERROR(INDEX('Feed library'!$B$2:$CL$177,MATCH($A13,'Feed library'!$A$2:$A$177,0),MATCH("DM",'Feed library'!$B$1:$CL$1,0)),0)</f>
        <v>0</v>
      </c>
      <c r="F13" s="36">
        <f>IFERROR(INDEX('Feed library'!$B$2:$CL$177,MATCH($A13,'Feed library'!$A$2:$A$177,0),MATCH("feed_type",'Feed library'!$B$1:$CL$1,0)),0)</f>
        <v>0</v>
      </c>
      <c r="G13" s="39">
        <f>IFERROR(INDEX('Feed library'!$B$2:$CL$177,MATCH($A13,'Feed library'!$A$2:$A$177,0),MATCH("ash",'Feed library'!$B$1:$CL$1,0)),0)</f>
        <v>0</v>
      </c>
      <c r="H13" s="39">
        <f>IFERROR(INDEX('Feed library'!$B$2:$CL$177,MATCH($A13,'Feed library'!$A$2:$A$177,0),MATCH("CP",'Feed library'!$B$1:$CL$1,0)),0)</f>
        <v>0</v>
      </c>
      <c r="I13" s="39">
        <f>IFERROR(INDEX('Feed library'!$B$2:$CL$177,MATCH($A13,'Feed library'!$A$2:$A$177,0),MATCH("NDF",'Feed library'!$B$1:$CL$1,0)),0)</f>
        <v>0</v>
      </c>
      <c r="J13" s="39">
        <f>IFERROR(INDEX('Feed library'!$B$2:$CL$177,MATCH($A13,'Feed library'!$A$2:$A$177,0),MATCH("starch",'Feed library'!$B$1:$CL$1,0)),0)</f>
        <v>0</v>
      </c>
      <c r="K13" s="39">
        <f>IFERROR(INDEX('Feed library'!$B$2:$CL$177,MATCH($A13,'Feed library'!$A$2:$A$177,0),MATCH("EE",'Feed library'!$B$1:$CL$1,0)),0)</f>
        <v>0</v>
      </c>
      <c r="L13" s="39">
        <f>IFERROR(INDEX('Feed library'!$B$2:$CL$177,MATCH($A13,'Feed library'!$A$2:$A$177,0),MATCH("calcium",'Feed library'!$B$1:$CL$1,0)),0)</f>
        <v>0</v>
      </c>
      <c r="M13" s="39">
        <f>IFERROR(INDEX('Feed library'!$B$2:$CL$177,MATCH($A13,'Feed library'!$A$2:$A$177,0),MATCH("TDN",'Feed library'!$B$1:$CL$1,0)),0)</f>
        <v>0</v>
      </c>
      <c r="N13" s="39">
        <f>INDEX(Global_inputs!$D$17:$D$56,MATCH(growing!A13,Global_inputs!$C$17:$C$56,0))</f>
        <v>0</v>
      </c>
    </row>
    <row r="14" spans="1:17" x14ac:dyDescent="0.25">
      <c r="A14" s="36" t="str">
        <f>IFERROR(INDEX('Feed library'!A:A,MATCH(C14,'Feed library'!B:B,0)),"")</f>
        <v/>
      </c>
      <c r="B14" s="37">
        <f t="shared" si="0"/>
        <v>0</v>
      </c>
      <c r="C14" s="38"/>
      <c r="D14" s="41"/>
      <c r="E14" s="39">
        <f>IFERROR(INDEX('Feed library'!$B$2:$CL$177,MATCH($A14,'Feed library'!$A$2:$A$177,0),MATCH("DM",'Feed library'!$B$1:$CL$1,0)),0)</f>
        <v>0</v>
      </c>
      <c r="F14" s="36">
        <f>IFERROR(INDEX('Feed library'!$B$2:$CL$177,MATCH($A14,'Feed library'!$A$2:$A$177,0),MATCH("feed_type",'Feed library'!$B$1:$CL$1,0)),0)</f>
        <v>0</v>
      </c>
      <c r="G14" s="39">
        <f>IFERROR(INDEX('Feed library'!$B$2:$CL$177,MATCH($A14,'Feed library'!$A$2:$A$177,0),MATCH("ash",'Feed library'!$B$1:$CL$1,0)),0)</f>
        <v>0</v>
      </c>
      <c r="H14" s="39">
        <f>IFERROR(INDEX('Feed library'!$B$2:$CL$177,MATCH($A14,'Feed library'!$A$2:$A$177,0),MATCH("CP",'Feed library'!$B$1:$CL$1,0)),0)</f>
        <v>0</v>
      </c>
      <c r="I14" s="39">
        <f>IFERROR(INDEX('Feed library'!$B$2:$CL$177,MATCH($A14,'Feed library'!$A$2:$A$177,0),MATCH("NDF",'Feed library'!$B$1:$CL$1,0)),0)</f>
        <v>0</v>
      </c>
      <c r="J14" s="39">
        <f>IFERROR(INDEX('Feed library'!$B$2:$CL$177,MATCH($A14,'Feed library'!$A$2:$A$177,0),MATCH("starch",'Feed library'!$B$1:$CL$1,0)),0)</f>
        <v>0</v>
      </c>
      <c r="K14" s="39">
        <f>IFERROR(INDEX('Feed library'!$B$2:$CL$177,MATCH($A14,'Feed library'!$A$2:$A$177,0),MATCH("EE",'Feed library'!$B$1:$CL$1,0)),0)</f>
        <v>0</v>
      </c>
      <c r="L14" s="39">
        <f>IFERROR(INDEX('Feed library'!$B$2:$CL$177,MATCH($A14,'Feed library'!$A$2:$A$177,0),MATCH("calcium",'Feed library'!$B$1:$CL$1,0)),0)</f>
        <v>0</v>
      </c>
      <c r="M14" s="39">
        <f>IFERROR(INDEX('Feed library'!$B$2:$CL$177,MATCH($A14,'Feed library'!$A$2:$A$177,0),MATCH("TDN",'Feed library'!$B$1:$CL$1,0)),0)</f>
        <v>0</v>
      </c>
      <c r="N14" s="39">
        <f>INDEX(Global_inputs!$D$17:$D$56,MATCH(growing!A14,Global_inputs!$C$17:$C$56,0))</f>
        <v>0</v>
      </c>
      <c r="Q14" s="25"/>
    </row>
    <row r="15" spans="1:17" x14ac:dyDescent="0.25">
      <c r="A15" s="36" t="str">
        <f>IFERROR(INDEX('Feed library'!A:A,MATCH(C15,'Feed library'!B:B,0)),"")</f>
        <v/>
      </c>
      <c r="B15" s="37">
        <f t="shared" si="0"/>
        <v>0</v>
      </c>
      <c r="C15" s="38"/>
      <c r="D15" s="41"/>
      <c r="E15" s="39">
        <f>IFERROR(INDEX('Feed library'!$B$2:$CL$177,MATCH($A15,'Feed library'!$A$2:$A$177,0),MATCH("DM",'Feed library'!$B$1:$CL$1,0)),0)</f>
        <v>0</v>
      </c>
      <c r="F15" s="36">
        <f>IFERROR(INDEX('Feed library'!$B$2:$CL$177,MATCH($A15,'Feed library'!$A$2:$A$177,0),MATCH("feed_type",'Feed library'!$B$1:$CL$1,0)),0)</f>
        <v>0</v>
      </c>
      <c r="G15" s="39">
        <f>IFERROR(INDEX('Feed library'!$B$2:$CL$177,MATCH($A15,'Feed library'!$A$2:$A$177,0),MATCH("ash",'Feed library'!$B$1:$CL$1,0)),0)</f>
        <v>0</v>
      </c>
      <c r="H15" s="39">
        <f>IFERROR(INDEX('Feed library'!$B$2:$CL$177,MATCH($A15,'Feed library'!$A$2:$A$177,0),MATCH("CP",'Feed library'!$B$1:$CL$1,0)),0)</f>
        <v>0</v>
      </c>
      <c r="I15" s="39">
        <f>IFERROR(INDEX('Feed library'!$B$2:$CL$177,MATCH($A15,'Feed library'!$A$2:$A$177,0),MATCH("NDF",'Feed library'!$B$1:$CL$1,0)),0)</f>
        <v>0</v>
      </c>
      <c r="J15" s="39">
        <f>IFERROR(INDEX('Feed library'!$B$2:$CL$177,MATCH($A15,'Feed library'!$A$2:$A$177,0),MATCH("starch",'Feed library'!$B$1:$CL$1,0)),0)</f>
        <v>0</v>
      </c>
      <c r="K15" s="39">
        <f>IFERROR(INDEX('Feed library'!$B$2:$CL$177,MATCH($A15,'Feed library'!$A$2:$A$177,0),MATCH("EE",'Feed library'!$B$1:$CL$1,0)),0)</f>
        <v>0</v>
      </c>
      <c r="L15" s="39">
        <f>IFERROR(INDEX('Feed library'!$B$2:$CL$177,MATCH($A15,'Feed library'!$A$2:$A$177,0),MATCH("calcium",'Feed library'!$B$1:$CL$1,0)),0)</f>
        <v>0</v>
      </c>
      <c r="M15" s="39">
        <f>IFERROR(INDEX('Feed library'!$B$2:$CL$177,MATCH($A15,'Feed library'!$A$2:$A$177,0),MATCH("TDN",'Feed library'!$B$1:$CL$1,0)),0)</f>
        <v>0</v>
      </c>
      <c r="N15" s="39">
        <f>INDEX(Global_inputs!$D$17:$D$56,MATCH(growing!A15,Global_inputs!$C$17:$C$56,0))</f>
        <v>0</v>
      </c>
      <c r="P15" s="26"/>
    </row>
    <row r="16" spans="1:17" x14ac:dyDescent="0.25">
      <c r="A16" s="36" t="str">
        <f>IFERROR(INDEX('Feed library'!A:A,MATCH(C16,'Feed library'!B:B,0)),"")</f>
        <v/>
      </c>
      <c r="B16" s="37">
        <f t="shared" si="0"/>
        <v>0</v>
      </c>
      <c r="C16" s="40"/>
      <c r="D16" s="41"/>
      <c r="E16" s="39">
        <f>IFERROR(INDEX('Feed library'!$B$2:$CL$177,MATCH($A16,'Feed library'!$A$2:$A$177,0),MATCH("DM",'Feed library'!$B$1:$CL$1,0)),0)</f>
        <v>0</v>
      </c>
      <c r="F16" s="36">
        <f>IFERROR(INDEX('Feed library'!$B$2:$CL$177,MATCH($A16,'Feed library'!$A$2:$A$177,0),MATCH("feed_type",'Feed library'!$B$1:$CL$1,0)),0)</f>
        <v>0</v>
      </c>
      <c r="G16" s="39">
        <f>IFERROR(INDEX('Feed library'!$B$2:$CL$177,MATCH($A16,'Feed library'!$A$2:$A$177,0),MATCH("ash",'Feed library'!$B$1:$CL$1,0)),0)</f>
        <v>0</v>
      </c>
      <c r="H16" s="39">
        <f>IFERROR(INDEX('Feed library'!$B$2:$CL$177,MATCH($A16,'Feed library'!$A$2:$A$177,0),MATCH("CP",'Feed library'!$B$1:$CL$1,0)),0)</f>
        <v>0</v>
      </c>
      <c r="I16" s="39">
        <f>IFERROR(INDEX('Feed library'!$B$2:$CL$177,MATCH($A16,'Feed library'!$A$2:$A$177,0),MATCH("NDF",'Feed library'!$B$1:$CL$1,0)),0)</f>
        <v>0</v>
      </c>
      <c r="J16" s="39">
        <f>IFERROR(INDEX('Feed library'!$B$2:$CL$177,MATCH($A16,'Feed library'!$A$2:$A$177,0),MATCH("starch",'Feed library'!$B$1:$CL$1,0)),0)</f>
        <v>0</v>
      </c>
      <c r="K16" s="39">
        <f>IFERROR(INDEX('Feed library'!$B$2:$CL$177,MATCH($A16,'Feed library'!$A$2:$A$177,0),MATCH("EE",'Feed library'!$B$1:$CL$1,0)),0)</f>
        <v>0</v>
      </c>
      <c r="L16" s="39">
        <f>IFERROR(INDEX('Feed library'!$B$2:$CL$177,MATCH($A16,'Feed library'!$A$2:$A$177,0),MATCH("calcium",'Feed library'!$B$1:$CL$1,0)),0)</f>
        <v>0</v>
      </c>
      <c r="M16" s="39">
        <f>IFERROR(INDEX('Feed library'!$B$2:$CL$177,MATCH($A16,'Feed library'!$A$2:$A$177,0),MATCH("TDN",'Feed library'!$B$1:$CL$1,0)),0)</f>
        <v>0</v>
      </c>
      <c r="N16" s="39">
        <f>INDEX(Global_inputs!$D$17:$D$56,MATCH(growing!A16,Global_inputs!$C$17:$C$56,0))</f>
        <v>0</v>
      </c>
    </row>
    <row r="17" spans="1:14" x14ac:dyDescent="0.25">
      <c r="A17" s="36" t="str">
        <f>IFERROR(INDEX('Feed library'!A:A,MATCH(C17,'Feed library'!B:B,0)),"")</f>
        <v/>
      </c>
      <c r="B17" s="37">
        <f t="shared" si="0"/>
        <v>0</v>
      </c>
      <c r="C17" s="40"/>
      <c r="D17" s="41"/>
      <c r="E17" s="39">
        <f>IFERROR(INDEX('Feed library'!$B$2:$CL$177,MATCH($A17,'Feed library'!$A$2:$A$177,0),MATCH("DM",'Feed library'!$B$1:$CL$1,0)),0)</f>
        <v>0</v>
      </c>
      <c r="F17" s="36">
        <f>IFERROR(INDEX('Feed library'!$B$2:$CL$177,MATCH($A17,'Feed library'!$A$2:$A$177,0),MATCH("feed_type",'Feed library'!$B$1:$CL$1,0)),0)</f>
        <v>0</v>
      </c>
      <c r="G17" s="39">
        <f>IFERROR(INDEX('Feed library'!$B$2:$CL$177,MATCH($A17,'Feed library'!$A$2:$A$177,0),MATCH("ash",'Feed library'!$B$1:$CL$1,0)),0)</f>
        <v>0</v>
      </c>
      <c r="H17" s="39">
        <f>IFERROR(INDEX('Feed library'!$B$2:$CL$177,MATCH($A17,'Feed library'!$A$2:$A$177,0),MATCH("CP",'Feed library'!$B$1:$CL$1,0)),0)</f>
        <v>0</v>
      </c>
      <c r="I17" s="39">
        <f>IFERROR(INDEX('Feed library'!$B$2:$CL$177,MATCH($A17,'Feed library'!$A$2:$A$177,0),MATCH("NDF",'Feed library'!$B$1:$CL$1,0)),0)</f>
        <v>0</v>
      </c>
      <c r="J17" s="39">
        <f>IFERROR(INDEX('Feed library'!$B$2:$CL$177,MATCH($A17,'Feed library'!$A$2:$A$177,0),MATCH("starch",'Feed library'!$B$1:$CL$1,0)),0)</f>
        <v>0</v>
      </c>
      <c r="K17" s="39">
        <f>IFERROR(INDEX('Feed library'!$B$2:$CL$177,MATCH($A17,'Feed library'!$A$2:$A$177,0),MATCH("EE",'Feed library'!$B$1:$CL$1,0)),0)</f>
        <v>0</v>
      </c>
      <c r="L17" s="39">
        <f>IFERROR(INDEX('Feed library'!$B$2:$CL$177,MATCH($A17,'Feed library'!$A$2:$A$177,0),MATCH("calcium",'Feed library'!$B$1:$CL$1,0)),0)</f>
        <v>0</v>
      </c>
      <c r="M17" s="39">
        <f>IFERROR(INDEX('Feed library'!$B$2:$CL$177,MATCH($A17,'Feed library'!$A$2:$A$177,0),MATCH("TDN",'Feed library'!$B$1:$CL$1,0)),0)</f>
        <v>0</v>
      </c>
      <c r="N17" s="39">
        <f>INDEX(Global_inputs!$D$17:$D$56,MATCH(growing!A17,Global_inputs!$C$17:$C$56,0))</f>
        <v>0</v>
      </c>
    </row>
    <row r="18" spans="1:14" x14ac:dyDescent="0.25">
      <c r="A18" s="36" t="str">
        <f>IFERROR(INDEX('Feed library'!A:A,MATCH(C18,'Feed library'!B:B,0)),"")</f>
        <v/>
      </c>
      <c r="B18" s="37">
        <f t="shared" si="0"/>
        <v>0</v>
      </c>
      <c r="C18" s="40"/>
      <c r="D18" s="41"/>
      <c r="E18" s="39">
        <f>IFERROR(INDEX('Feed library'!$B$2:$CL$177,MATCH($A18,'Feed library'!$A$2:$A$177,0),MATCH("DM",'Feed library'!$B$1:$CL$1,0)),0)</f>
        <v>0</v>
      </c>
      <c r="F18" s="36">
        <f>IFERROR(INDEX('Feed library'!$B$2:$CL$177,MATCH($A18,'Feed library'!$A$2:$A$177,0),MATCH("feed_type",'Feed library'!$B$1:$CL$1,0)),0)</f>
        <v>0</v>
      </c>
      <c r="G18" s="39">
        <f>IFERROR(INDEX('Feed library'!$B$2:$CL$177,MATCH($A18,'Feed library'!$A$2:$A$177,0),MATCH("ash",'Feed library'!$B$1:$CL$1,0)),0)</f>
        <v>0</v>
      </c>
      <c r="H18" s="39">
        <f>IFERROR(INDEX('Feed library'!$B$2:$CL$177,MATCH($A18,'Feed library'!$A$2:$A$177,0),MATCH("CP",'Feed library'!$B$1:$CL$1,0)),0)</f>
        <v>0</v>
      </c>
      <c r="I18" s="39">
        <f>IFERROR(INDEX('Feed library'!$B$2:$CL$177,MATCH($A18,'Feed library'!$A$2:$A$177,0),MATCH("NDF",'Feed library'!$B$1:$CL$1,0)),0)</f>
        <v>0</v>
      </c>
      <c r="J18" s="39">
        <f>IFERROR(INDEX('Feed library'!$B$2:$CL$177,MATCH($A18,'Feed library'!$A$2:$A$177,0),MATCH("starch",'Feed library'!$B$1:$CL$1,0)),0)</f>
        <v>0</v>
      </c>
      <c r="K18" s="39">
        <f>IFERROR(INDEX('Feed library'!$B$2:$CL$177,MATCH($A18,'Feed library'!$A$2:$A$177,0),MATCH("EE",'Feed library'!$B$1:$CL$1,0)),0)</f>
        <v>0</v>
      </c>
      <c r="L18" s="39">
        <f>IFERROR(INDEX('Feed library'!$B$2:$CL$177,MATCH($A18,'Feed library'!$A$2:$A$177,0),MATCH("calcium",'Feed library'!$B$1:$CL$1,0)),0)</f>
        <v>0</v>
      </c>
      <c r="M18" s="39">
        <f>IFERROR(INDEX('Feed library'!$B$2:$CL$177,MATCH($A18,'Feed library'!$A$2:$A$177,0),MATCH("TDN",'Feed library'!$B$1:$CL$1,0)),0)</f>
        <v>0</v>
      </c>
      <c r="N18" s="39">
        <f>INDEX(Global_inputs!$D$17:$D$56,MATCH(growing!A18,Global_inputs!$C$17:$C$56,0))</f>
        <v>0</v>
      </c>
    </row>
    <row r="19" spans="1:14" x14ac:dyDescent="0.25">
      <c r="A19" s="36" t="str">
        <f>IFERROR(INDEX('Feed library'!A:A,MATCH(C19,'Feed library'!B:B,0)),"")</f>
        <v/>
      </c>
      <c r="B19" s="37">
        <f t="shared" si="0"/>
        <v>0</v>
      </c>
      <c r="C19" s="40"/>
      <c r="D19" s="41"/>
      <c r="E19" s="39">
        <f>IFERROR(INDEX('Feed library'!$B$2:$CL$177,MATCH($A19,'Feed library'!$A$2:$A$177,0),MATCH("DM",'Feed library'!$B$1:$CL$1,0)),0)</f>
        <v>0</v>
      </c>
      <c r="F19" s="36">
        <f>IFERROR(INDEX('Feed library'!$B$2:$CL$177,MATCH($A19,'Feed library'!$A$2:$A$177,0),MATCH("feed_type",'Feed library'!$B$1:$CL$1,0)),0)</f>
        <v>0</v>
      </c>
      <c r="G19" s="39">
        <f>IFERROR(INDEX('Feed library'!$B$2:$CL$177,MATCH($A19,'Feed library'!$A$2:$A$177,0),MATCH("ash",'Feed library'!$B$1:$CL$1,0)),0)</f>
        <v>0</v>
      </c>
      <c r="H19" s="39">
        <f>IFERROR(INDEX('Feed library'!$B$2:$CL$177,MATCH($A19,'Feed library'!$A$2:$A$177,0),MATCH("CP",'Feed library'!$B$1:$CL$1,0)),0)</f>
        <v>0</v>
      </c>
      <c r="I19" s="39">
        <f>IFERROR(INDEX('Feed library'!$B$2:$CL$177,MATCH($A19,'Feed library'!$A$2:$A$177,0),MATCH("NDF",'Feed library'!$B$1:$CL$1,0)),0)</f>
        <v>0</v>
      </c>
      <c r="J19" s="39">
        <f>IFERROR(INDEX('Feed library'!$B$2:$CL$177,MATCH($A19,'Feed library'!$A$2:$A$177,0),MATCH("starch",'Feed library'!$B$1:$CL$1,0)),0)</f>
        <v>0</v>
      </c>
      <c r="K19" s="39">
        <f>IFERROR(INDEX('Feed library'!$B$2:$CL$177,MATCH($A19,'Feed library'!$A$2:$A$177,0),MATCH("EE",'Feed library'!$B$1:$CL$1,0)),0)</f>
        <v>0</v>
      </c>
      <c r="L19" s="39">
        <f>IFERROR(INDEX('Feed library'!$B$2:$CL$177,MATCH($A19,'Feed library'!$A$2:$A$177,0),MATCH("calcium",'Feed library'!$B$1:$CL$1,0)),0)</f>
        <v>0</v>
      </c>
      <c r="M19" s="39">
        <f>IFERROR(INDEX('Feed library'!$B$2:$CL$177,MATCH($A19,'Feed library'!$A$2:$A$177,0),MATCH("TDN",'Feed library'!$B$1:$CL$1,0)),0)</f>
        <v>0</v>
      </c>
      <c r="N19" s="39">
        <f>INDEX(Global_inputs!$D$17:$D$56,MATCH(growing!A19,Global_inputs!$C$17:$C$56,0))</f>
        <v>0</v>
      </c>
    </row>
    <row r="20" spans="1:14" x14ac:dyDescent="0.25">
      <c r="A20" s="36" t="str">
        <f>IFERROR(INDEX('Feed library'!A:A,MATCH(C20,'Feed library'!B:B,0)),"")</f>
        <v/>
      </c>
      <c r="B20" s="37">
        <f t="shared" si="0"/>
        <v>0</v>
      </c>
      <c r="C20" s="40"/>
      <c r="D20" s="41"/>
      <c r="E20" s="39">
        <f>IFERROR(INDEX('Feed library'!$B$2:$CL$177,MATCH($A20,'Feed library'!$A$2:$A$177,0),MATCH("DM",'Feed library'!$B$1:$CL$1,0)),0)</f>
        <v>0</v>
      </c>
      <c r="F20" s="36">
        <f>IFERROR(INDEX('Feed library'!$B$2:$CL$177,MATCH($A20,'Feed library'!$A$2:$A$177,0),MATCH("feed_type",'Feed library'!$B$1:$CL$1,0)),0)</f>
        <v>0</v>
      </c>
      <c r="G20" s="39">
        <f>IFERROR(INDEX('Feed library'!$B$2:$CL$177,MATCH($A20,'Feed library'!$A$2:$A$177,0),MATCH("ash",'Feed library'!$B$1:$CL$1,0)),0)</f>
        <v>0</v>
      </c>
      <c r="H20" s="39">
        <f>IFERROR(INDEX('Feed library'!$B$2:$CL$177,MATCH($A20,'Feed library'!$A$2:$A$177,0),MATCH("CP",'Feed library'!$B$1:$CL$1,0)),0)</f>
        <v>0</v>
      </c>
      <c r="I20" s="39">
        <f>IFERROR(INDEX('Feed library'!$B$2:$CL$177,MATCH($A20,'Feed library'!$A$2:$A$177,0),MATCH("NDF",'Feed library'!$B$1:$CL$1,0)),0)</f>
        <v>0</v>
      </c>
      <c r="J20" s="39">
        <f>IFERROR(INDEX('Feed library'!$B$2:$CL$177,MATCH($A20,'Feed library'!$A$2:$A$177,0),MATCH("starch",'Feed library'!$B$1:$CL$1,0)),0)</f>
        <v>0</v>
      </c>
      <c r="K20" s="39">
        <f>IFERROR(INDEX('Feed library'!$B$2:$CL$177,MATCH($A20,'Feed library'!$A$2:$A$177,0),MATCH("EE",'Feed library'!$B$1:$CL$1,0)),0)</f>
        <v>0</v>
      </c>
      <c r="L20" s="39">
        <f>IFERROR(INDEX('Feed library'!$B$2:$CL$177,MATCH($A20,'Feed library'!$A$2:$A$177,0),MATCH("calcium",'Feed library'!$B$1:$CL$1,0)),0)</f>
        <v>0</v>
      </c>
      <c r="M20" s="39">
        <f>IFERROR(INDEX('Feed library'!$B$2:$CL$177,MATCH($A20,'Feed library'!$A$2:$A$177,0),MATCH("TDN",'Feed library'!$B$1:$CL$1,0)),0)</f>
        <v>0</v>
      </c>
      <c r="N20" s="39">
        <f>INDEX(Global_inputs!$D$17:$D$56,MATCH(growing!A20,Global_inputs!$C$17:$C$56,0))</f>
        <v>0</v>
      </c>
    </row>
    <row r="21" spans="1:14" x14ac:dyDescent="0.25">
      <c r="A21" s="36" t="str">
        <f>IFERROR(INDEX('Feed library'!A:A,MATCH(C21,'Feed library'!B:B,0)),"")</f>
        <v/>
      </c>
      <c r="B21" s="37">
        <f t="shared" si="0"/>
        <v>0</v>
      </c>
      <c r="C21" s="40"/>
      <c r="D21" s="41"/>
      <c r="E21" s="39">
        <f>IFERROR(INDEX('Feed library'!$B$2:$CL$177,MATCH($A21,'Feed library'!$A$2:$A$177,0),MATCH("DM",'Feed library'!$B$1:$CL$1,0)),0)</f>
        <v>0</v>
      </c>
      <c r="F21" s="36">
        <f>IFERROR(INDEX('Feed library'!$B$2:$CL$177,MATCH($A21,'Feed library'!$A$2:$A$177,0),MATCH("feed_type",'Feed library'!$B$1:$CL$1,0)),0)</f>
        <v>0</v>
      </c>
      <c r="G21" s="39">
        <f>IFERROR(INDEX('Feed library'!$B$2:$CL$177,MATCH($A21,'Feed library'!$A$2:$A$177,0),MATCH("ash",'Feed library'!$B$1:$CL$1,0)),0)</f>
        <v>0</v>
      </c>
      <c r="H21" s="39">
        <f>IFERROR(INDEX('Feed library'!$B$2:$CL$177,MATCH($A21,'Feed library'!$A$2:$A$177,0),MATCH("CP",'Feed library'!$B$1:$CL$1,0)),0)</f>
        <v>0</v>
      </c>
      <c r="I21" s="39">
        <f>IFERROR(INDEX('Feed library'!$B$2:$CL$177,MATCH($A21,'Feed library'!$A$2:$A$177,0),MATCH("NDF",'Feed library'!$B$1:$CL$1,0)),0)</f>
        <v>0</v>
      </c>
      <c r="J21" s="39">
        <f>IFERROR(INDEX('Feed library'!$B$2:$CL$177,MATCH($A21,'Feed library'!$A$2:$A$177,0),MATCH("starch",'Feed library'!$B$1:$CL$1,0)),0)</f>
        <v>0</v>
      </c>
      <c r="K21" s="39">
        <f>IFERROR(INDEX('Feed library'!$B$2:$CL$177,MATCH($A21,'Feed library'!$A$2:$A$177,0),MATCH("EE",'Feed library'!$B$1:$CL$1,0)),0)</f>
        <v>0</v>
      </c>
      <c r="L21" s="39">
        <f>IFERROR(INDEX('Feed library'!$B$2:$CL$177,MATCH($A21,'Feed library'!$A$2:$A$177,0),MATCH("calcium",'Feed library'!$B$1:$CL$1,0)),0)</f>
        <v>0</v>
      </c>
      <c r="M21" s="39">
        <f>IFERROR(INDEX('Feed library'!$B$2:$CL$177,MATCH($A21,'Feed library'!$A$2:$A$177,0),MATCH("TDN",'Feed library'!$B$1:$CL$1,0)),0)</f>
        <v>0</v>
      </c>
      <c r="N21" s="39">
        <f>INDEX(Global_inputs!$D$17:$D$56,MATCH(growing!A21,Global_inputs!$C$17:$C$56,0))</f>
        <v>0</v>
      </c>
    </row>
    <row r="22" spans="1:14" x14ac:dyDescent="0.25">
      <c r="A22" s="36" t="str">
        <f>IFERROR(INDEX('Feed library'!A:A,MATCH(C22,'Feed library'!B:B,0)),"")</f>
        <v/>
      </c>
      <c r="B22" s="37">
        <f t="shared" si="0"/>
        <v>0</v>
      </c>
      <c r="C22" s="40"/>
      <c r="D22" s="41"/>
      <c r="E22" s="39">
        <f>IFERROR(INDEX('Feed library'!$B$2:$CL$177,MATCH($A22,'Feed library'!$A$2:$A$177,0),MATCH("DM",'Feed library'!$B$1:$CL$1,0)),0)</f>
        <v>0</v>
      </c>
      <c r="F22" s="36">
        <f>IFERROR(INDEX('Feed library'!$B$2:$CL$177,MATCH($A22,'Feed library'!$A$2:$A$177,0),MATCH("feed_type",'Feed library'!$B$1:$CL$1,0)),0)</f>
        <v>0</v>
      </c>
      <c r="G22" s="39">
        <f>IFERROR(INDEX('Feed library'!$B$2:$CL$177,MATCH($A22,'Feed library'!$A$2:$A$177,0),MATCH("ash",'Feed library'!$B$1:$CL$1,0)),0)</f>
        <v>0</v>
      </c>
      <c r="H22" s="39">
        <f>IFERROR(INDEX('Feed library'!$B$2:$CL$177,MATCH($A22,'Feed library'!$A$2:$A$177,0),MATCH("CP",'Feed library'!$B$1:$CL$1,0)),0)</f>
        <v>0</v>
      </c>
      <c r="I22" s="39">
        <f>IFERROR(INDEX('Feed library'!$B$2:$CL$177,MATCH($A22,'Feed library'!$A$2:$A$177,0),MATCH("NDF",'Feed library'!$B$1:$CL$1,0)),0)</f>
        <v>0</v>
      </c>
      <c r="J22" s="39">
        <f>IFERROR(INDEX('Feed library'!$B$2:$CL$177,MATCH($A22,'Feed library'!$A$2:$A$177,0),MATCH("starch",'Feed library'!$B$1:$CL$1,0)),0)</f>
        <v>0</v>
      </c>
      <c r="K22" s="39">
        <f>IFERROR(INDEX('Feed library'!$B$2:$CL$177,MATCH($A22,'Feed library'!$A$2:$A$177,0),MATCH("EE",'Feed library'!$B$1:$CL$1,0)),0)</f>
        <v>0</v>
      </c>
      <c r="L22" s="39">
        <f>IFERROR(INDEX('Feed library'!$B$2:$CL$177,MATCH($A22,'Feed library'!$A$2:$A$177,0),MATCH("calcium",'Feed library'!$B$1:$CL$1,0)),0)</f>
        <v>0</v>
      </c>
      <c r="M22" s="39">
        <f>IFERROR(INDEX('Feed library'!$B$2:$CL$177,MATCH($A22,'Feed library'!$A$2:$A$177,0),MATCH("TDN",'Feed library'!$B$1:$CL$1,0)),0)</f>
        <v>0</v>
      </c>
      <c r="N22" s="39">
        <f>INDEX(Global_inputs!$D$17:$D$56,MATCH(growing!A22,Global_inputs!$C$17:$C$56,0))</f>
        <v>0</v>
      </c>
    </row>
    <row r="24" spans="1:14" x14ac:dyDescent="0.25">
      <c r="C24" t="s">
        <v>313</v>
      </c>
      <c r="D24" s="3">
        <f>SUM(D3:D22)</f>
        <v>3</v>
      </c>
      <c r="E24" s="4"/>
    </row>
    <row r="25" spans="1:14" x14ac:dyDescent="0.25">
      <c r="D25" s="35">
        <f>SUM(B3:B22)</f>
        <v>1</v>
      </c>
    </row>
  </sheetData>
  <conditionalFormatting sqref="D25">
    <cfRule type="cellIs" dxfId="11" priority="1" operator="lessThan">
      <formula>1</formula>
    </cfRule>
    <cfRule type="cellIs" dxfId="10" priority="2" operator="greaterThan">
      <formul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SetByDMI">
                <anchor moveWithCells="1" sizeWithCells="1">
                  <from>
                    <xdr:col>4</xdr:col>
                    <xdr:colOff>66675</xdr:colOff>
                    <xdr:row>22</xdr:row>
                    <xdr:rowOff>152400</xdr:rowOff>
                  </from>
                  <to>
                    <xdr:col>5</xdr:col>
                    <xdr:colOff>95250</xdr:colOff>
                    <xdr:row>24</xdr:row>
                    <xdr:rowOff>0</xdr:rowOff>
                  </to>
                </anchor>
              </controlPr>
            </control>
          </mc:Choice>
        </mc:AlternateContent>
        <mc:AlternateContent xmlns:mc="http://schemas.openxmlformats.org/markup-compatibility/2006">
          <mc:Choice Requires="x14">
            <control shapeId="9218" r:id="rId4" name="Button 2">
              <controlPr defaultSize="0" print="0" autoFill="0" autoPict="0" macro="[0]!SetByPct">
                <anchor moveWithCells="1" sizeWithCells="1">
                  <from>
                    <xdr:col>4</xdr:col>
                    <xdr:colOff>76200</xdr:colOff>
                    <xdr:row>24</xdr:row>
                    <xdr:rowOff>28575</xdr:rowOff>
                  </from>
                  <to>
                    <xdr:col>5</xdr:col>
                    <xdr:colOff>419100</xdr:colOff>
                    <xdr:row>25</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A6F691E-1A9A-4309-930A-72BD2EA146C7}">
          <x14:formula1>
            <xm:f>'Feed library'!$B$2:$B$177</xm:f>
          </x14:formula1>
          <xm:sqref>C3:C18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D4781-3FFD-4E6E-863C-CA16677B24F1}">
  <sheetPr codeName="Sheet3"/>
  <dimension ref="A1:R25"/>
  <sheetViews>
    <sheetView topLeftCell="A16" workbookViewId="0">
      <selection activeCell="D25" sqref="D25"/>
    </sheetView>
  </sheetViews>
  <sheetFormatPr defaultRowHeight="15" x14ac:dyDescent="0.25"/>
  <cols>
    <col min="1" max="1" width="7" customWidth="1"/>
    <col min="2" max="2" width="14.140625" bestFit="1" customWidth="1"/>
    <col min="3" max="3" width="27.5703125" customWidth="1"/>
    <col min="4" max="4" width="8.7109375" customWidth="1"/>
    <col min="5" max="5" width="14.42578125" bestFit="1" customWidth="1"/>
    <col min="8" max="8" width="9.7109375" bestFit="1" customWidth="1"/>
    <col min="9" max="9" width="11.28515625" bestFit="1" customWidth="1"/>
    <col min="10" max="10" width="10.140625" bestFit="1" customWidth="1"/>
    <col min="11" max="11" width="12" bestFit="1" customWidth="1"/>
    <col min="12" max="12" width="8.42578125" bestFit="1" customWidth="1"/>
    <col min="13" max="13" width="8.7109375" bestFit="1" customWidth="1"/>
    <col min="14" max="14" width="13.7109375" bestFit="1" customWidth="1"/>
    <col min="16" max="16" width="17.5703125" customWidth="1"/>
    <col min="17" max="17" width="12" bestFit="1" customWidth="1"/>
  </cols>
  <sheetData>
    <row r="1" spans="1:18" x14ac:dyDescent="0.25">
      <c r="A1" s="5" t="s">
        <v>280</v>
      </c>
      <c r="E1" s="5" t="s">
        <v>281</v>
      </c>
      <c r="P1" s="5" t="s">
        <v>283</v>
      </c>
    </row>
    <row r="2" spans="1:18" x14ac:dyDescent="0.25">
      <c r="A2" s="20" t="s">
        <v>278</v>
      </c>
      <c r="B2" s="20" t="s">
        <v>328</v>
      </c>
      <c r="C2" s="24" t="s">
        <v>291</v>
      </c>
      <c r="D2" s="20" t="s">
        <v>284</v>
      </c>
      <c r="E2" s="20" t="s">
        <v>292</v>
      </c>
      <c r="F2" s="20" t="s">
        <v>282</v>
      </c>
      <c r="G2" s="20" t="s">
        <v>285</v>
      </c>
      <c r="H2" s="20" t="s">
        <v>286</v>
      </c>
      <c r="I2" s="20" t="s">
        <v>287</v>
      </c>
      <c r="J2" s="20" t="s">
        <v>288</v>
      </c>
      <c r="K2" s="20" t="s">
        <v>289</v>
      </c>
      <c r="L2" s="20" t="s">
        <v>290</v>
      </c>
      <c r="M2" s="20" t="s">
        <v>88</v>
      </c>
      <c r="N2" s="20" t="s">
        <v>312</v>
      </c>
      <c r="R2" t="s">
        <v>299</v>
      </c>
    </row>
    <row r="3" spans="1:18" x14ac:dyDescent="0.25">
      <c r="A3" s="36">
        <f>IFERROR(INDEX('Feed library'!A:A,MATCH(C3,'Feed library'!B:B,0)),"")</f>
        <v>51</v>
      </c>
      <c r="B3" s="37">
        <f t="shared" ref="B3:B22" si="0">IFERROR(IF((D3/D$24)&gt;0,D3/D$24,0),0)</f>
        <v>0.64</v>
      </c>
      <c r="C3" s="38" t="s">
        <v>129</v>
      </c>
      <c r="D3" s="41">
        <v>8</v>
      </c>
      <c r="E3" s="39">
        <f>IFERROR(INDEX('Feed library'!$B$2:$CL$177,MATCH($A3,'Feed library'!$A$2:$A$177,0),MATCH("DM",'Feed library'!$B$1:$CL$1,0)),0)</f>
        <v>35.360999999999997</v>
      </c>
      <c r="F3" s="36" t="str">
        <f>IFERROR(INDEX('Feed library'!$B$2:$CL$177,MATCH($A3,'Feed library'!$A$2:$A$177,0),MATCH("feed_type",'Feed library'!$B$1:$CL$1,0)),0)</f>
        <v>Forage</v>
      </c>
      <c r="G3" s="39">
        <f>IFERROR(INDEX('Feed library'!$B$2:$CL$177,MATCH($A3,'Feed library'!$A$2:$A$177,0),MATCH("ash",'Feed library'!$B$1:$CL$1,0)),0)</f>
        <v>3.843</v>
      </c>
      <c r="H3" s="39">
        <f>IFERROR(INDEX('Feed library'!$B$2:$CL$177,MATCH($A3,'Feed library'!$A$2:$A$177,0),MATCH("CP",'Feed library'!$B$1:$CL$1,0)),0)</f>
        <v>7.7069999999999999</v>
      </c>
      <c r="I3" s="39">
        <f>IFERROR(INDEX('Feed library'!$B$2:$CL$177,MATCH($A3,'Feed library'!$A$2:$A$177,0),MATCH("NDF",'Feed library'!$B$1:$CL$1,0)),0)</f>
        <v>40.930999999999997</v>
      </c>
      <c r="J3" s="39">
        <f>IFERROR(INDEX('Feed library'!$B$2:$CL$177,MATCH($A3,'Feed library'!$A$2:$A$177,0),MATCH("starch",'Feed library'!$B$1:$CL$1,0)),0)</f>
        <v>32.866999999999997</v>
      </c>
      <c r="K3" s="39">
        <f>IFERROR(INDEX('Feed library'!$B$2:$CL$177,MATCH($A3,'Feed library'!$A$2:$A$177,0),MATCH("EE",'Feed library'!$B$1:$CL$1,0)),0)</f>
        <v>2.9159999999999999</v>
      </c>
      <c r="L3" s="39">
        <f>IFERROR(INDEX('Feed library'!$B$2:$CL$177,MATCH($A3,'Feed library'!$A$2:$A$177,0),MATCH("calcium",'Feed library'!$B$1:$CL$1,0)),0)</f>
        <v>0.23699999999999999</v>
      </c>
      <c r="M3" s="39">
        <f>IFERROR(INDEX('Feed library'!$B$2:$CL$177,MATCH($A3,'Feed library'!$A$2:$A$177,0),MATCH("TDN",'Feed library'!$B$1:$CL$1,0)),0)</f>
        <v>68.819999999999993</v>
      </c>
      <c r="N3" s="39">
        <f>INDEX(Global_inputs!$D$17:$D$56,MATCH(growing!A3,Global_inputs!$C$17:$C$56,0))</f>
        <v>0.01</v>
      </c>
      <c r="P3" s="24" t="s">
        <v>292</v>
      </c>
      <c r="Q3" s="1">
        <f>SUMPRODUCT(B$3:B$22,$E$3:$E$22)*0.01</f>
        <v>0.45042207999999995</v>
      </c>
      <c r="R3" s="27"/>
    </row>
    <row r="4" spans="1:18" x14ac:dyDescent="0.25">
      <c r="A4" s="36">
        <f>IFERROR(INDEX('Feed library'!A:A,MATCH(C4,'Feed library'!B:B,0)),"")</f>
        <v>100</v>
      </c>
      <c r="B4" s="37">
        <f t="shared" si="0"/>
        <v>0.08</v>
      </c>
      <c r="C4" s="38" t="s">
        <v>148</v>
      </c>
      <c r="D4" s="41">
        <v>1</v>
      </c>
      <c r="E4" s="39">
        <f>IFERROR(INDEX('Feed library'!$B$2:$CL$177,MATCH($A4,'Feed library'!$A$2:$A$177,0),MATCH("DM",'Feed library'!$B$1:$CL$1,0)),0)</f>
        <v>40.021000000000001</v>
      </c>
      <c r="F4" s="36" t="str">
        <f>IFERROR(INDEX('Feed library'!$B$2:$CL$177,MATCH($A4,'Feed library'!$A$2:$A$177,0),MATCH("feed_type",'Feed library'!$B$1:$CL$1,0)),0)</f>
        <v>Forage</v>
      </c>
      <c r="G4" s="39">
        <f>IFERROR(INDEX('Feed library'!$B$2:$CL$177,MATCH($A4,'Feed library'!$A$2:$A$177,0),MATCH("ash",'Feed library'!$B$1:$CL$1,0)),0)</f>
        <v>9.5169999999999995</v>
      </c>
      <c r="H4" s="39">
        <f>IFERROR(INDEX('Feed library'!$B$2:$CL$177,MATCH($A4,'Feed library'!$A$2:$A$177,0),MATCH("CP",'Feed library'!$B$1:$CL$1,0)),0)</f>
        <v>17.678999999999998</v>
      </c>
      <c r="I4" s="39">
        <f>IFERROR(INDEX('Feed library'!$B$2:$CL$177,MATCH($A4,'Feed library'!$A$2:$A$177,0),MATCH("NDF",'Feed library'!$B$1:$CL$1,0)),0)</f>
        <v>51.231999999999999</v>
      </c>
      <c r="J4" s="39">
        <f>IFERROR(INDEX('Feed library'!$B$2:$CL$177,MATCH($A4,'Feed library'!$A$2:$A$177,0),MATCH("starch",'Feed library'!$B$1:$CL$1,0)),0)</f>
        <v>2.1179999999999999</v>
      </c>
      <c r="K4" s="39">
        <f>IFERROR(INDEX('Feed library'!$B$2:$CL$177,MATCH($A4,'Feed library'!$A$2:$A$177,0),MATCH("EE",'Feed library'!$B$1:$CL$1,0)),0)</f>
        <v>4.0380000000000003</v>
      </c>
      <c r="L4" s="39">
        <f>IFERROR(INDEX('Feed library'!$B$2:$CL$177,MATCH($A4,'Feed library'!$A$2:$A$177,0),MATCH("calcium",'Feed library'!$B$1:$CL$1,0)),0)</f>
        <v>0.87</v>
      </c>
      <c r="M4" s="39">
        <f>IFERROR(INDEX('Feed library'!$B$2:$CL$177,MATCH($A4,'Feed library'!$A$2:$A$177,0),MATCH("TDN",'Feed library'!$B$1:$CL$1,0)),0)</f>
        <v>57.66</v>
      </c>
      <c r="N4" s="39">
        <f>INDEX(Global_inputs!$D$17:$D$56,MATCH(growing!A4,Global_inputs!$C$17:$C$56,0))</f>
        <v>0.01</v>
      </c>
      <c r="P4" s="24" t="s">
        <v>294</v>
      </c>
      <c r="Q4" s="14">
        <f>SUMIF(F3:F22,"Forage",D3:D22) / D24</f>
        <v>0.72</v>
      </c>
      <c r="R4" s="27"/>
    </row>
    <row r="5" spans="1:18" x14ac:dyDescent="0.25">
      <c r="A5" s="36">
        <f>IFERROR(INDEX('Feed library'!A:A,MATCH(C5,'Feed library'!B:B,0)),"")</f>
        <v>210</v>
      </c>
      <c r="B5" s="37">
        <f t="shared" si="0"/>
        <v>0.08</v>
      </c>
      <c r="C5" s="38" t="s">
        <v>196</v>
      </c>
      <c r="D5" s="41">
        <v>1</v>
      </c>
      <c r="E5" s="39">
        <f>IFERROR(INDEX('Feed library'!$B$2:$CL$177,MATCH($A5,'Feed library'!$A$2:$A$177,0),MATCH("DM",'Feed library'!$B$1:$CL$1,0)),0)</f>
        <v>22.87</v>
      </c>
      <c r="F5" s="36" t="str">
        <f>IFERROR(INDEX('Feed library'!$B$2:$CL$177,MATCH($A5,'Feed library'!$A$2:$A$177,0),MATCH("feed_type",'Feed library'!$B$1:$CL$1,0)),0)</f>
        <v>Conc</v>
      </c>
      <c r="G5" s="39">
        <f>IFERROR(INDEX('Feed library'!$B$2:$CL$177,MATCH($A5,'Feed library'!$A$2:$A$177,0),MATCH("ash",'Feed library'!$B$1:$CL$1,0)),0)</f>
        <v>13.529</v>
      </c>
      <c r="H5" s="39">
        <f>IFERROR(INDEX('Feed library'!$B$2:$CL$177,MATCH($A5,'Feed library'!$A$2:$A$177,0),MATCH("CP",'Feed library'!$B$1:$CL$1,0)),0)</f>
        <v>7.4160000000000004</v>
      </c>
      <c r="I5" s="39">
        <f>IFERROR(INDEX('Feed library'!$B$2:$CL$177,MATCH($A5,'Feed library'!$A$2:$A$177,0),MATCH("NDF",'Feed library'!$B$1:$CL$1,0)),0)</f>
        <v>2.1720000000000002</v>
      </c>
      <c r="J5" s="39">
        <f>IFERROR(INDEX('Feed library'!$B$2:$CL$177,MATCH($A5,'Feed library'!$A$2:$A$177,0),MATCH("starch",'Feed library'!$B$1:$CL$1,0)),0)</f>
        <v>1.43</v>
      </c>
      <c r="K5" s="39">
        <f>IFERROR(INDEX('Feed library'!$B$2:$CL$177,MATCH($A5,'Feed library'!$A$2:$A$177,0),MATCH("EE",'Feed library'!$B$1:$CL$1,0)),0)</f>
        <v>1.9710000000000001</v>
      </c>
      <c r="L5" s="39">
        <f>IFERROR(INDEX('Feed library'!$B$2:$CL$177,MATCH($A5,'Feed library'!$A$2:$A$177,0),MATCH("calcium",'Feed library'!$B$1:$CL$1,0)),0)</f>
        <v>1.26</v>
      </c>
      <c r="M5" s="39">
        <f>IFERROR(INDEX('Feed library'!$B$2:$CL$177,MATCH($A5,'Feed library'!$A$2:$A$177,0),MATCH("TDN",'Feed library'!$B$1:$CL$1,0)),0)</f>
        <v>80.33</v>
      </c>
      <c r="N5" s="39">
        <f>INDEX(Global_inputs!$D$17:$D$56,MATCH(growing!A5,Global_inputs!$C$17:$C$56,0))</f>
        <v>0.01</v>
      </c>
      <c r="P5" s="24" t="s">
        <v>285</v>
      </c>
      <c r="Q5" s="14">
        <f>SUMPRODUCT(G$3:G$22,$B$3:$B$22)*0.01</f>
        <v>7.3680339999999997E-2</v>
      </c>
      <c r="R5" s="27"/>
    </row>
    <row r="6" spans="1:18" x14ac:dyDescent="0.25">
      <c r="A6" s="36">
        <f>IFERROR(INDEX('Feed library'!A:A,MATCH(C6,'Feed library'!B:B,0)),"")</f>
        <v>119</v>
      </c>
      <c r="B6" s="37">
        <f t="shared" si="0"/>
        <v>0.02</v>
      </c>
      <c r="C6" s="38" t="s">
        <v>160</v>
      </c>
      <c r="D6" s="41">
        <v>0.25</v>
      </c>
      <c r="E6" s="39">
        <f>IFERROR(INDEX('Feed library'!$B$2:$CL$177,MATCH($A6,'Feed library'!$A$2:$A$177,0),MATCH("DM",'Feed library'!$B$1:$CL$1,0)),0)</f>
        <v>65.394999999999996</v>
      </c>
      <c r="F6" s="36" t="str">
        <f>IFERROR(INDEX('Feed library'!$B$2:$CL$177,MATCH($A6,'Feed library'!$A$2:$A$177,0),MATCH("feed_type",'Feed library'!$B$1:$CL$1,0)),0)</f>
        <v>Conc</v>
      </c>
      <c r="G6" s="39">
        <f>IFERROR(INDEX('Feed library'!$B$2:$CL$177,MATCH($A6,'Feed library'!$A$2:$A$177,0),MATCH("ash",'Feed library'!$B$1:$CL$1,0)),0)</f>
        <v>15.962999999999999</v>
      </c>
      <c r="H6" s="39">
        <f>IFERROR(INDEX('Feed library'!$B$2:$CL$177,MATCH($A6,'Feed library'!$A$2:$A$177,0),MATCH("CP",'Feed library'!$B$1:$CL$1,0)),0)</f>
        <v>9.2710000000000008</v>
      </c>
      <c r="I6" s="39">
        <f>IFERROR(INDEX('Feed library'!$B$2:$CL$177,MATCH($A6,'Feed library'!$A$2:$A$177,0),MATCH("NDF",'Feed library'!$B$1:$CL$1,0)),0)</f>
        <v>0.56799999999999995</v>
      </c>
      <c r="J6" s="39">
        <f>IFERROR(INDEX('Feed library'!$B$2:$CL$177,MATCH($A6,'Feed library'!$A$2:$A$177,0),MATCH("starch",'Feed library'!$B$1:$CL$1,0)),0)</f>
        <v>0.84599999999999997</v>
      </c>
      <c r="K6" s="39">
        <f>IFERROR(INDEX('Feed library'!$B$2:$CL$177,MATCH($A6,'Feed library'!$A$2:$A$177,0),MATCH("EE",'Feed library'!$B$1:$CL$1,0)),0)</f>
        <v>0.61099999999999999</v>
      </c>
      <c r="L6" s="39">
        <f>IFERROR(INDEX('Feed library'!$B$2:$CL$177,MATCH($A6,'Feed library'!$A$2:$A$177,0),MATCH("calcium",'Feed library'!$B$1:$CL$1,0)),0)</f>
        <v>0.72899999999999998</v>
      </c>
      <c r="M6" s="39">
        <f>IFERROR(INDEX('Feed library'!$B$2:$CL$177,MATCH($A6,'Feed library'!$A$2:$A$177,0),MATCH("TDN",'Feed library'!$B$1:$CL$1,0)),0)</f>
        <v>80.94</v>
      </c>
      <c r="N6" s="39">
        <f>INDEX(Global_inputs!$D$17:$D$56,MATCH(growing!A6,Global_inputs!$C$17:$C$56,0))</f>
        <v>0.01</v>
      </c>
      <c r="P6" s="24" t="s">
        <v>286</v>
      </c>
      <c r="Q6" s="14">
        <f>SUMPRODUCT(H$3:H$22,$B$3:$B$22)*0.01</f>
        <v>0.11126681999999999</v>
      </c>
      <c r="R6" s="27"/>
    </row>
    <row r="7" spans="1:18" x14ac:dyDescent="0.25">
      <c r="A7" s="36">
        <f>IFERROR(INDEX('Feed library'!A:A,MATCH(C7,'Feed library'!B:B,0)),"")</f>
        <v>44</v>
      </c>
      <c r="B7" s="37">
        <f t="shared" si="0"/>
        <v>0.08</v>
      </c>
      <c r="C7" s="38" t="s">
        <v>124</v>
      </c>
      <c r="D7" s="41">
        <v>1</v>
      </c>
      <c r="E7" s="39">
        <f>IFERROR(INDEX('Feed library'!$B$2:$CL$177,MATCH($A7,'Feed library'!$A$2:$A$177,0),MATCH("DM",'Feed library'!$B$1:$CL$1,0)),0)</f>
        <v>86.906999999999996</v>
      </c>
      <c r="F7" s="36" t="str">
        <f>IFERROR(INDEX('Feed library'!$B$2:$CL$177,MATCH($A7,'Feed library'!$A$2:$A$177,0),MATCH("feed_type",'Feed library'!$B$1:$CL$1,0)),0)</f>
        <v>Conc</v>
      </c>
      <c r="G7" s="39">
        <f>IFERROR(INDEX('Feed library'!$B$2:$CL$177,MATCH($A7,'Feed library'!$A$2:$A$177,0),MATCH("ash",'Feed library'!$B$1:$CL$1,0)),0)</f>
        <v>1.504</v>
      </c>
      <c r="H7" s="39">
        <f>IFERROR(INDEX('Feed library'!$B$2:$CL$177,MATCH($A7,'Feed library'!$A$2:$A$177,0),MATCH("CP",'Feed library'!$B$1:$CL$1,0)),0)</f>
        <v>8.5139999999999993</v>
      </c>
      <c r="I7" s="39">
        <f>IFERROR(INDEX('Feed library'!$B$2:$CL$177,MATCH($A7,'Feed library'!$A$2:$A$177,0),MATCH("NDF",'Feed library'!$B$1:$CL$1,0)),0)</f>
        <v>9.7609999999999992</v>
      </c>
      <c r="J7" s="39">
        <f>IFERROR(INDEX('Feed library'!$B$2:$CL$177,MATCH($A7,'Feed library'!$A$2:$A$177,0),MATCH("starch",'Feed library'!$B$1:$CL$1,0)),0)</f>
        <v>70.367000000000004</v>
      </c>
      <c r="K7" s="39">
        <f>IFERROR(INDEX('Feed library'!$B$2:$CL$177,MATCH($A7,'Feed library'!$A$2:$A$177,0),MATCH("EE",'Feed library'!$B$1:$CL$1,0)),0)</f>
        <v>3.8450000000000002</v>
      </c>
      <c r="L7" s="39">
        <f>IFERROR(INDEX('Feed library'!$B$2:$CL$177,MATCH($A7,'Feed library'!$A$2:$A$177,0),MATCH("calcium",'Feed library'!$B$1:$CL$1,0)),0)</f>
        <v>3.5000000000000003E-2</v>
      </c>
      <c r="M7" s="39">
        <f>IFERROR(INDEX('Feed library'!$B$2:$CL$177,MATCH($A7,'Feed library'!$A$2:$A$177,0),MATCH("TDN",'Feed library'!$B$1:$CL$1,0)),0)</f>
        <v>88.69</v>
      </c>
      <c r="N7" s="39">
        <f>INDEX(Global_inputs!$D$17:$D$56,MATCH(growing!A7,Global_inputs!$C$17:$C$56,0))</f>
        <v>0.01</v>
      </c>
      <c r="P7" s="24" t="s">
        <v>287</v>
      </c>
      <c r="Q7" s="14">
        <f>SUMPRODUCT(I$3:I$22,$B$3:$B$22)*0.01</f>
        <v>0.33580098000000003</v>
      </c>
      <c r="R7" s="27" t="str">
        <f>IF(Q7&gt;MAX_NDF,"NDF upper limit exceeded",(IF(Q7&lt;MIN_NDF,"NDF lower limit exceeded","")))</f>
        <v/>
      </c>
    </row>
    <row r="8" spans="1:18" x14ac:dyDescent="0.25">
      <c r="A8" s="36">
        <f>IFERROR(INDEX('Feed library'!A:A,MATCH(C8,'Feed library'!B:B,0)),"")</f>
        <v>31</v>
      </c>
      <c r="B8" s="37">
        <f t="shared" si="0"/>
        <v>0.08</v>
      </c>
      <c r="C8" s="38" t="s">
        <v>115</v>
      </c>
      <c r="D8" s="41">
        <v>1</v>
      </c>
      <c r="E8" s="39">
        <f>IFERROR(INDEX('Feed library'!$B$2:$CL$177,MATCH($A8,'Feed library'!$A$2:$A$177,0),MATCH("DM",'Feed library'!$B$1:$CL$1,0)),0)</f>
        <v>89.128</v>
      </c>
      <c r="F8" s="36" t="str">
        <f>IFERROR(INDEX('Feed library'!$B$2:$CL$177,MATCH($A8,'Feed library'!$A$2:$A$177,0),MATCH("feed_type",'Feed library'!$B$1:$CL$1,0)),0)</f>
        <v>Conc</v>
      </c>
      <c r="G8" s="39">
        <f>IFERROR(INDEX('Feed library'!$B$2:$CL$177,MATCH($A8,'Feed library'!$A$2:$A$177,0),MATCH("ash",'Feed library'!$B$1:$CL$1,0)),0)</f>
        <v>7.8819999999999997</v>
      </c>
      <c r="H8" s="39">
        <f>IFERROR(INDEX('Feed library'!$B$2:$CL$177,MATCH($A8,'Feed library'!$A$2:$A$177,0),MATCH("CP",'Feed library'!$B$1:$CL$1,0)),0)</f>
        <v>41.491999999999997</v>
      </c>
      <c r="I8" s="39">
        <f>IFERROR(INDEX('Feed library'!$B$2:$CL$177,MATCH($A8,'Feed library'!$A$2:$A$177,0),MATCH("NDF",'Feed library'!$B$1:$CL$1,0)),0)</f>
        <v>28.96</v>
      </c>
      <c r="J8" s="39">
        <f>IFERROR(INDEX('Feed library'!$B$2:$CL$177,MATCH($A8,'Feed library'!$A$2:$A$177,0),MATCH("starch",'Feed library'!$B$1:$CL$1,0)),0)</f>
        <v>1.57</v>
      </c>
      <c r="K8" s="39">
        <f>IFERROR(INDEX('Feed library'!$B$2:$CL$177,MATCH($A8,'Feed library'!$A$2:$A$177,0),MATCH("EE",'Feed library'!$B$1:$CL$1,0)),0)</f>
        <v>3.5139999999999998</v>
      </c>
      <c r="L8" s="39">
        <f>IFERROR(INDEX('Feed library'!$B$2:$CL$177,MATCH($A8,'Feed library'!$A$2:$A$177,0),MATCH("calcium",'Feed library'!$B$1:$CL$1,0)),0)</f>
        <v>0.79</v>
      </c>
      <c r="M8" s="39">
        <f>IFERROR(INDEX('Feed library'!$B$2:$CL$177,MATCH($A8,'Feed library'!$A$2:$A$177,0),MATCH("TDN",'Feed library'!$B$1:$CL$1,0)),0)</f>
        <v>69.88</v>
      </c>
      <c r="N8" s="39">
        <f>INDEX(Global_inputs!$D$17:$D$56,MATCH(growing!A8,Global_inputs!$C$17:$C$56,0))</f>
        <v>0.01</v>
      </c>
      <c r="P8" s="24" t="s">
        <v>293</v>
      </c>
      <c r="Q8" s="14" cm="1">
        <f t="array" ref="Q8">SUMPRODUCT(($F$3:$F$22="Forage")*($B$3:$B$22)*($I$3:$I$22))/SUMPRODUCT(($B$3:$B$22)*($I$3:$I$22))</f>
        <v>0.90215341241708114</v>
      </c>
      <c r="R8" s="27" t="str">
        <f>IF(Q8&lt;MIN_ForNDF,"Forage NDF lower limit exceeded","")</f>
        <v/>
      </c>
    </row>
    <row r="9" spans="1:18" x14ac:dyDescent="0.25">
      <c r="A9" s="36">
        <f>IFERROR(INDEX('Feed library'!A:A,MATCH(C9,'Feed library'!B:B,0)),"")</f>
        <v>301</v>
      </c>
      <c r="B9" s="37">
        <f t="shared" si="0"/>
        <v>0.02</v>
      </c>
      <c r="C9" s="38" t="s">
        <v>272</v>
      </c>
      <c r="D9" s="41">
        <v>0.25</v>
      </c>
      <c r="E9" s="39">
        <f>IFERROR(INDEX('Feed library'!$B$2:$CL$177,MATCH($A9,'Feed library'!$A$2:$A$177,0),MATCH("DM",'Feed library'!$B$1:$CL$1,0)),0)</f>
        <v>99.459400000000002</v>
      </c>
      <c r="F9" s="36" t="str">
        <f>IFERROR(INDEX('Feed library'!$B$2:$CL$177,MATCH($A9,'Feed library'!$A$2:$A$177,0),MATCH("feed_type",'Feed library'!$B$1:$CL$1,0)),0)</f>
        <v>Mineral</v>
      </c>
      <c r="G9" s="39">
        <f>IFERROR(INDEX('Feed library'!$B$2:$CL$177,MATCH($A9,'Feed library'!$A$2:$A$177,0),MATCH("ash",'Feed library'!$B$1:$CL$1,0)),0)</f>
        <v>99.734700000000004</v>
      </c>
      <c r="H9" s="39">
        <f>IFERROR(INDEX('Feed library'!$B$2:$CL$177,MATCH($A9,'Feed library'!$A$2:$A$177,0),MATCH("CP",'Feed library'!$B$1:$CL$1,0)),0)</f>
        <v>3.5099999999999999E-2</v>
      </c>
      <c r="I9" s="39">
        <f>IFERROR(INDEX('Feed library'!$B$2:$CL$177,MATCH($A9,'Feed library'!$A$2:$A$177,0),MATCH("NDF",'Feed library'!$B$1:$CL$1,0)),0)</f>
        <v>0.1449</v>
      </c>
      <c r="J9" s="39">
        <f>IFERROR(INDEX('Feed library'!$B$2:$CL$177,MATCH($A9,'Feed library'!$A$2:$A$177,0),MATCH("starch",'Feed library'!$B$1:$CL$1,0)),0)</f>
        <v>8.2000000000000007E-3</v>
      </c>
      <c r="K9" s="39">
        <f>IFERROR(INDEX('Feed library'!$B$2:$CL$177,MATCH($A9,'Feed library'!$A$2:$A$177,0),MATCH("EE",'Feed library'!$B$1:$CL$1,0)),0)</f>
        <v>1.1999999999999999E-3</v>
      </c>
      <c r="L9" s="39">
        <f>IFERROR(INDEX('Feed library'!$B$2:$CL$177,MATCH($A9,'Feed library'!$A$2:$A$177,0),MATCH("calcium",'Feed library'!$B$1:$CL$1,0)),0)</f>
        <v>15.43</v>
      </c>
      <c r="M9" s="39">
        <f>IFERROR(INDEX('Feed library'!$B$2:$CL$177,MATCH($A9,'Feed library'!$A$2:$A$177,0),MATCH("TDN",'Feed library'!$B$1:$CL$1,0)),0)</f>
        <v>0</v>
      </c>
      <c r="N9" s="39">
        <f>INDEX(Global_inputs!$D$17:$D$56,MATCH(growing!A9,Global_inputs!$C$17:$C$56,0))</f>
        <v>0.01</v>
      </c>
      <c r="P9" s="24" t="s">
        <v>288</v>
      </c>
      <c r="Q9" s="14">
        <f>SUMPRODUCT(J$3:J$22,$B$3:$B$22)*0.01</f>
        <v>0.27090763999999995</v>
      </c>
      <c r="R9" s="27"/>
    </row>
    <row r="10" spans="1:18" x14ac:dyDescent="0.25">
      <c r="A10" s="36" t="str">
        <f>IFERROR(INDEX('Feed library'!A:A,MATCH(C10,'Feed library'!B:B,0)),"")</f>
        <v/>
      </c>
      <c r="B10" s="37">
        <f t="shared" si="0"/>
        <v>0</v>
      </c>
      <c r="C10" s="38"/>
      <c r="D10" s="41"/>
      <c r="E10" s="39">
        <f>IFERROR(INDEX('Feed library'!$B$2:$CL$177,MATCH($A10,'Feed library'!$A$2:$A$177,0),MATCH("DM",'Feed library'!$B$1:$CL$1,0)),0)</f>
        <v>0</v>
      </c>
      <c r="F10" s="36">
        <f>IFERROR(INDEX('Feed library'!$B$2:$CL$177,MATCH($A10,'Feed library'!$A$2:$A$177,0),MATCH("feed_type",'Feed library'!$B$1:$CL$1,0)),0)</f>
        <v>0</v>
      </c>
      <c r="G10" s="39">
        <f>IFERROR(INDEX('Feed library'!$B$2:$CL$177,MATCH($A10,'Feed library'!$A$2:$A$177,0),MATCH("ash",'Feed library'!$B$1:$CL$1,0)),0)</f>
        <v>0</v>
      </c>
      <c r="H10" s="39">
        <f>IFERROR(INDEX('Feed library'!$B$2:$CL$177,MATCH($A10,'Feed library'!$A$2:$A$177,0),MATCH("CP",'Feed library'!$B$1:$CL$1,0)),0)</f>
        <v>0</v>
      </c>
      <c r="I10" s="39">
        <f>IFERROR(INDEX('Feed library'!$B$2:$CL$177,MATCH($A10,'Feed library'!$A$2:$A$177,0),MATCH("NDF",'Feed library'!$B$1:$CL$1,0)),0)</f>
        <v>0</v>
      </c>
      <c r="J10" s="39">
        <f>IFERROR(INDEX('Feed library'!$B$2:$CL$177,MATCH($A10,'Feed library'!$A$2:$A$177,0),MATCH("starch",'Feed library'!$B$1:$CL$1,0)),0)</f>
        <v>0</v>
      </c>
      <c r="K10" s="39">
        <f>IFERROR(INDEX('Feed library'!$B$2:$CL$177,MATCH($A10,'Feed library'!$A$2:$A$177,0),MATCH("EE",'Feed library'!$B$1:$CL$1,0)),0)</f>
        <v>0</v>
      </c>
      <c r="L10" s="39">
        <f>IFERROR(INDEX('Feed library'!$B$2:$CL$177,MATCH($A10,'Feed library'!$A$2:$A$177,0),MATCH("calcium",'Feed library'!$B$1:$CL$1,0)),0)</f>
        <v>0</v>
      </c>
      <c r="M10" s="39">
        <f>IFERROR(INDEX('Feed library'!$B$2:$CL$177,MATCH($A10,'Feed library'!$A$2:$A$177,0),MATCH("TDN",'Feed library'!$B$1:$CL$1,0)),0)</f>
        <v>0</v>
      </c>
      <c r="N10" s="39">
        <f>INDEX(Global_inputs!$D$17:$D$56,MATCH(growing!A10,Global_inputs!$C$17:$C$56,0))</f>
        <v>0</v>
      </c>
      <c r="P10" s="24" t="s">
        <v>289</v>
      </c>
      <c r="Q10" s="14">
        <f>SUMPRODUCT(K$3:K$22,$B$3:$B$22)*0.01</f>
        <v>2.947924E-2</v>
      </c>
      <c r="R10" s="27" t="str">
        <f>IF(Q10&gt;MAX_EE,"Upper EE limit exceed","")</f>
        <v/>
      </c>
    </row>
    <row r="11" spans="1:18" x14ac:dyDescent="0.25">
      <c r="A11" s="36" t="str">
        <f>IFERROR(INDEX('Feed library'!A:A,MATCH(C11,'Feed library'!B:B,0)),"")</f>
        <v/>
      </c>
      <c r="B11" s="37">
        <f t="shared" si="0"/>
        <v>0</v>
      </c>
      <c r="C11" s="38"/>
      <c r="D11" s="41"/>
      <c r="E11" s="39">
        <f>IFERROR(INDEX('Feed library'!$B$2:$CL$177,MATCH($A11,'Feed library'!$A$2:$A$177,0),MATCH("DM",'Feed library'!$B$1:$CL$1,0)),0)</f>
        <v>0</v>
      </c>
      <c r="F11" s="36">
        <f>IFERROR(INDEX('Feed library'!$B$2:$CL$177,MATCH($A11,'Feed library'!$A$2:$A$177,0),MATCH("feed_type",'Feed library'!$B$1:$CL$1,0)),0)</f>
        <v>0</v>
      </c>
      <c r="G11" s="39">
        <f>IFERROR(INDEX('Feed library'!$B$2:$CL$177,MATCH($A11,'Feed library'!$A$2:$A$177,0),MATCH("ash",'Feed library'!$B$1:$CL$1,0)),0)</f>
        <v>0</v>
      </c>
      <c r="H11" s="39">
        <f>IFERROR(INDEX('Feed library'!$B$2:$CL$177,MATCH($A11,'Feed library'!$A$2:$A$177,0),MATCH("CP",'Feed library'!$B$1:$CL$1,0)),0)</f>
        <v>0</v>
      </c>
      <c r="I11" s="39">
        <f>IFERROR(INDEX('Feed library'!$B$2:$CL$177,MATCH($A11,'Feed library'!$A$2:$A$177,0),MATCH("NDF",'Feed library'!$B$1:$CL$1,0)),0)</f>
        <v>0</v>
      </c>
      <c r="J11" s="39">
        <f>IFERROR(INDEX('Feed library'!$B$2:$CL$177,MATCH($A11,'Feed library'!$A$2:$A$177,0),MATCH("starch",'Feed library'!$B$1:$CL$1,0)),0)</f>
        <v>0</v>
      </c>
      <c r="K11" s="39">
        <f>IFERROR(INDEX('Feed library'!$B$2:$CL$177,MATCH($A11,'Feed library'!$A$2:$A$177,0),MATCH("EE",'Feed library'!$B$1:$CL$1,0)),0)</f>
        <v>0</v>
      </c>
      <c r="L11" s="39">
        <f>IFERROR(INDEX('Feed library'!$B$2:$CL$177,MATCH($A11,'Feed library'!$A$2:$A$177,0),MATCH("calcium",'Feed library'!$B$1:$CL$1,0)),0)</f>
        <v>0</v>
      </c>
      <c r="M11" s="39">
        <f>IFERROR(INDEX('Feed library'!$B$2:$CL$177,MATCH($A11,'Feed library'!$A$2:$A$177,0),MATCH("TDN",'Feed library'!$B$1:$CL$1,0)),0)</f>
        <v>0</v>
      </c>
      <c r="N11" s="39">
        <f>INDEX(Global_inputs!$D$17:$D$56,MATCH(growing!A11,Global_inputs!$C$17:$C$56,0))</f>
        <v>0</v>
      </c>
      <c r="P11" s="24" t="s">
        <v>290</v>
      </c>
      <c r="Q11" s="14">
        <f>SUMPRODUCT(L$3:L$22,$B$3:$B$22)*0.01</f>
        <v>7.1126000000000002E-3</v>
      </c>
      <c r="R11" s="27"/>
    </row>
    <row r="12" spans="1:18" x14ac:dyDescent="0.25">
      <c r="A12" s="36" t="str">
        <f>IFERROR(INDEX('Feed library'!A:A,MATCH(C12,'Feed library'!B:B,0)),"")</f>
        <v/>
      </c>
      <c r="B12" s="37">
        <f t="shared" si="0"/>
        <v>0</v>
      </c>
      <c r="C12" s="38"/>
      <c r="D12" s="41"/>
      <c r="E12" s="39">
        <f>IFERROR(INDEX('Feed library'!$B$2:$CL$177,MATCH($A12,'Feed library'!$A$2:$A$177,0),MATCH("DM",'Feed library'!$B$1:$CL$1,0)),0)</f>
        <v>0</v>
      </c>
      <c r="F12" s="36">
        <f>IFERROR(INDEX('Feed library'!$B$2:$CL$177,MATCH($A12,'Feed library'!$A$2:$A$177,0),MATCH("feed_type",'Feed library'!$B$1:$CL$1,0)),0)</f>
        <v>0</v>
      </c>
      <c r="G12" s="39">
        <f>IFERROR(INDEX('Feed library'!$B$2:$CL$177,MATCH($A12,'Feed library'!$A$2:$A$177,0),MATCH("ash",'Feed library'!$B$1:$CL$1,0)),0)</f>
        <v>0</v>
      </c>
      <c r="H12" s="39">
        <f>IFERROR(INDEX('Feed library'!$B$2:$CL$177,MATCH($A12,'Feed library'!$A$2:$A$177,0),MATCH("CP",'Feed library'!$B$1:$CL$1,0)),0)</f>
        <v>0</v>
      </c>
      <c r="I12" s="39">
        <f>IFERROR(INDEX('Feed library'!$B$2:$CL$177,MATCH($A12,'Feed library'!$A$2:$A$177,0),MATCH("NDF",'Feed library'!$B$1:$CL$1,0)),0)</f>
        <v>0</v>
      </c>
      <c r="J12" s="39">
        <f>IFERROR(INDEX('Feed library'!$B$2:$CL$177,MATCH($A12,'Feed library'!$A$2:$A$177,0),MATCH("starch",'Feed library'!$B$1:$CL$1,0)),0)</f>
        <v>0</v>
      </c>
      <c r="K12" s="39">
        <f>IFERROR(INDEX('Feed library'!$B$2:$CL$177,MATCH($A12,'Feed library'!$A$2:$A$177,0),MATCH("EE",'Feed library'!$B$1:$CL$1,0)),0)</f>
        <v>0</v>
      </c>
      <c r="L12" s="39">
        <f>IFERROR(INDEX('Feed library'!$B$2:$CL$177,MATCH($A12,'Feed library'!$A$2:$A$177,0),MATCH("calcium",'Feed library'!$B$1:$CL$1,0)),0)</f>
        <v>0</v>
      </c>
      <c r="M12" s="39">
        <f>IFERROR(INDEX('Feed library'!$B$2:$CL$177,MATCH($A12,'Feed library'!$A$2:$A$177,0),MATCH("TDN",'Feed library'!$B$1:$CL$1,0)),0)</f>
        <v>0</v>
      </c>
      <c r="N12" s="39">
        <f>INDEX(Global_inputs!$D$17:$D$56,MATCH(growing!A12,Global_inputs!$C$17:$C$56,0))</f>
        <v>0</v>
      </c>
      <c r="P12" s="24" t="s">
        <v>88</v>
      </c>
      <c r="Q12" s="14">
        <f>SUMPRODUCT(M$3:M$22,$B$3:$B$22)*0.01</f>
        <v>0.69388399999999995</v>
      </c>
      <c r="R12" s="27"/>
    </row>
    <row r="13" spans="1:18" x14ac:dyDescent="0.25">
      <c r="A13" s="36" t="str">
        <f>IFERROR(INDEX('Feed library'!A:A,MATCH(C13,'Feed library'!B:B,0)),"")</f>
        <v/>
      </c>
      <c r="B13" s="37">
        <f t="shared" si="0"/>
        <v>0</v>
      </c>
      <c r="C13" s="38"/>
      <c r="D13" s="41"/>
      <c r="E13" s="39">
        <f>IFERROR(INDEX('Feed library'!$B$2:$CL$177,MATCH($A13,'Feed library'!$A$2:$A$177,0),MATCH("DM",'Feed library'!$B$1:$CL$1,0)),0)</f>
        <v>0</v>
      </c>
      <c r="F13" s="36">
        <f>IFERROR(INDEX('Feed library'!$B$2:$CL$177,MATCH($A13,'Feed library'!$A$2:$A$177,0),MATCH("feed_type",'Feed library'!$B$1:$CL$1,0)),0)</f>
        <v>0</v>
      </c>
      <c r="G13" s="39">
        <f>IFERROR(INDEX('Feed library'!$B$2:$CL$177,MATCH($A13,'Feed library'!$A$2:$A$177,0),MATCH("ash",'Feed library'!$B$1:$CL$1,0)),0)</f>
        <v>0</v>
      </c>
      <c r="H13" s="39">
        <f>IFERROR(INDEX('Feed library'!$B$2:$CL$177,MATCH($A13,'Feed library'!$A$2:$A$177,0),MATCH("CP",'Feed library'!$B$1:$CL$1,0)),0)</f>
        <v>0</v>
      </c>
      <c r="I13" s="39">
        <f>IFERROR(INDEX('Feed library'!$B$2:$CL$177,MATCH($A13,'Feed library'!$A$2:$A$177,0),MATCH("NDF",'Feed library'!$B$1:$CL$1,0)),0)</f>
        <v>0</v>
      </c>
      <c r="J13" s="39">
        <f>IFERROR(INDEX('Feed library'!$B$2:$CL$177,MATCH($A13,'Feed library'!$A$2:$A$177,0),MATCH("starch",'Feed library'!$B$1:$CL$1,0)),0)</f>
        <v>0</v>
      </c>
      <c r="K13" s="39">
        <f>IFERROR(INDEX('Feed library'!$B$2:$CL$177,MATCH($A13,'Feed library'!$A$2:$A$177,0),MATCH("EE",'Feed library'!$B$1:$CL$1,0)),0)</f>
        <v>0</v>
      </c>
      <c r="L13" s="39">
        <f>IFERROR(INDEX('Feed library'!$B$2:$CL$177,MATCH($A13,'Feed library'!$A$2:$A$177,0),MATCH("calcium",'Feed library'!$B$1:$CL$1,0)),0)</f>
        <v>0</v>
      </c>
      <c r="M13" s="39">
        <f>IFERROR(INDEX('Feed library'!$B$2:$CL$177,MATCH($A13,'Feed library'!$A$2:$A$177,0),MATCH("TDN",'Feed library'!$B$1:$CL$1,0)),0)</f>
        <v>0</v>
      </c>
      <c r="N13" s="39">
        <f>INDEX(Global_inputs!$D$17:$D$56,MATCH(growing!A13,Global_inputs!$C$17:$C$56,0))</f>
        <v>0</v>
      </c>
    </row>
    <row r="14" spans="1:18" x14ac:dyDescent="0.25">
      <c r="A14" s="36" t="str">
        <f>IFERROR(INDEX('Feed library'!A:A,MATCH(C14,'Feed library'!B:B,0)),"")</f>
        <v/>
      </c>
      <c r="B14" s="37">
        <f t="shared" si="0"/>
        <v>0</v>
      </c>
      <c r="C14" s="38"/>
      <c r="D14" s="41"/>
      <c r="E14" s="39">
        <f>IFERROR(INDEX('Feed library'!$B$2:$CL$177,MATCH($A14,'Feed library'!$A$2:$A$177,0),MATCH("DM",'Feed library'!$B$1:$CL$1,0)),0)</f>
        <v>0</v>
      </c>
      <c r="F14" s="36">
        <f>IFERROR(INDEX('Feed library'!$B$2:$CL$177,MATCH($A14,'Feed library'!$A$2:$A$177,0),MATCH("feed_type",'Feed library'!$B$1:$CL$1,0)),0)</f>
        <v>0</v>
      </c>
      <c r="G14" s="39">
        <f>IFERROR(INDEX('Feed library'!$B$2:$CL$177,MATCH($A14,'Feed library'!$A$2:$A$177,0),MATCH("ash",'Feed library'!$B$1:$CL$1,0)),0)</f>
        <v>0</v>
      </c>
      <c r="H14" s="39">
        <f>IFERROR(INDEX('Feed library'!$B$2:$CL$177,MATCH($A14,'Feed library'!$A$2:$A$177,0),MATCH("CP",'Feed library'!$B$1:$CL$1,0)),0)</f>
        <v>0</v>
      </c>
      <c r="I14" s="39">
        <f>IFERROR(INDEX('Feed library'!$B$2:$CL$177,MATCH($A14,'Feed library'!$A$2:$A$177,0),MATCH("NDF",'Feed library'!$B$1:$CL$1,0)),0)</f>
        <v>0</v>
      </c>
      <c r="J14" s="39">
        <f>IFERROR(INDEX('Feed library'!$B$2:$CL$177,MATCH($A14,'Feed library'!$A$2:$A$177,0),MATCH("starch",'Feed library'!$B$1:$CL$1,0)),0)</f>
        <v>0</v>
      </c>
      <c r="K14" s="39">
        <f>IFERROR(INDEX('Feed library'!$B$2:$CL$177,MATCH($A14,'Feed library'!$A$2:$A$177,0),MATCH("EE",'Feed library'!$B$1:$CL$1,0)),0)</f>
        <v>0</v>
      </c>
      <c r="L14" s="39">
        <f>IFERROR(INDEX('Feed library'!$B$2:$CL$177,MATCH($A14,'Feed library'!$A$2:$A$177,0),MATCH("calcium",'Feed library'!$B$1:$CL$1,0)),0)</f>
        <v>0</v>
      </c>
      <c r="M14" s="39">
        <f>IFERROR(INDEX('Feed library'!$B$2:$CL$177,MATCH($A14,'Feed library'!$A$2:$A$177,0),MATCH("TDN",'Feed library'!$B$1:$CL$1,0)),0)</f>
        <v>0</v>
      </c>
      <c r="N14" s="39">
        <f>INDEX(Global_inputs!$D$17:$D$56,MATCH(growing!A14,Global_inputs!$C$17:$C$56,0))</f>
        <v>0</v>
      </c>
      <c r="Q14" s="25"/>
    </row>
    <row r="15" spans="1:18" x14ac:dyDescent="0.25">
      <c r="A15" s="36" t="str">
        <f>IFERROR(INDEX('Feed library'!A:A,MATCH(C15,'Feed library'!B:B,0)),"")</f>
        <v/>
      </c>
      <c r="B15" s="37">
        <f t="shared" si="0"/>
        <v>0</v>
      </c>
      <c r="C15" s="38"/>
      <c r="D15" s="41"/>
      <c r="E15" s="39">
        <f>IFERROR(INDEX('Feed library'!$B$2:$CL$177,MATCH($A15,'Feed library'!$A$2:$A$177,0),MATCH("DM",'Feed library'!$B$1:$CL$1,0)),0)</f>
        <v>0</v>
      </c>
      <c r="F15" s="36">
        <f>IFERROR(INDEX('Feed library'!$B$2:$CL$177,MATCH($A15,'Feed library'!$A$2:$A$177,0),MATCH("feed_type",'Feed library'!$B$1:$CL$1,0)),0)</f>
        <v>0</v>
      </c>
      <c r="G15" s="39">
        <f>IFERROR(INDEX('Feed library'!$B$2:$CL$177,MATCH($A15,'Feed library'!$A$2:$A$177,0),MATCH("ash",'Feed library'!$B$1:$CL$1,0)),0)</f>
        <v>0</v>
      </c>
      <c r="H15" s="39">
        <f>IFERROR(INDEX('Feed library'!$B$2:$CL$177,MATCH($A15,'Feed library'!$A$2:$A$177,0),MATCH("CP",'Feed library'!$B$1:$CL$1,0)),0)</f>
        <v>0</v>
      </c>
      <c r="I15" s="39">
        <f>IFERROR(INDEX('Feed library'!$B$2:$CL$177,MATCH($A15,'Feed library'!$A$2:$A$177,0),MATCH("NDF",'Feed library'!$B$1:$CL$1,0)),0)</f>
        <v>0</v>
      </c>
      <c r="J15" s="39">
        <f>IFERROR(INDEX('Feed library'!$B$2:$CL$177,MATCH($A15,'Feed library'!$A$2:$A$177,0),MATCH("starch",'Feed library'!$B$1:$CL$1,0)),0)</f>
        <v>0</v>
      </c>
      <c r="K15" s="39">
        <f>IFERROR(INDEX('Feed library'!$B$2:$CL$177,MATCH($A15,'Feed library'!$A$2:$A$177,0),MATCH("EE",'Feed library'!$B$1:$CL$1,0)),0)</f>
        <v>0</v>
      </c>
      <c r="L15" s="39">
        <f>IFERROR(INDEX('Feed library'!$B$2:$CL$177,MATCH($A15,'Feed library'!$A$2:$A$177,0),MATCH("calcium",'Feed library'!$B$1:$CL$1,0)),0)</f>
        <v>0</v>
      </c>
      <c r="M15" s="39">
        <f>IFERROR(INDEX('Feed library'!$B$2:$CL$177,MATCH($A15,'Feed library'!$A$2:$A$177,0),MATCH("TDN",'Feed library'!$B$1:$CL$1,0)),0)</f>
        <v>0</v>
      </c>
      <c r="N15" s="39">
        <f>INDEX(Global_inputs!$D$17:$D$56,MATCH(growing!A15,Global_inputs!$C$17:$C$56,0))</f>
        <v>0</v>
      </c>
      <c r="P15" s="26"/>
    </row>
    <row r="16" spans="1:18" x14ac:dyDescent="0.25">
      <c r="A16" s="36" t="str">
        <f>IFERROR(INDEX('Feed library'!A:A,MATCH(C16,'Feed library'!B:B,0)),"")</f>
        <v/>
      </c>
      <c r="B16" s="37">
        <f t="shared" si="0"/>
        <v>0</v>
      </c>
      <c r="C16" s="40"/>
      <c r="D16" s="41"/>
      <c r="E16" s="39">
        <f>IFERROR(INDEX('Feed library'!$B$2:$CL$177,MATCH($A16,'Feed library'!$A$2:$A$177,0),MATCH("DM",'Feed library'!$B$1:$CL$1,0)),0)</f>
        <v>0</v>
      </c>
      <c r="F16" s="36">
        <f>IFERROR(INDEX('Feed library'!$B$2:$CL$177,MATCH($A16,'Feed library'!$A$2:$A$177,0),MATCH("feed_type",'Feed library'!$B$1:$CL$1,0)),0)</f>
        <v>0</v>
      </c>
      <c r="G16" s="39">
        <f>IFERROR(INDEX('Feed library'!$B$2:$CL$177,MATCH($A16,'Feed library'!$A$2:$A$177,0),MATCH("ash",'Feed library'!$B$1:$CL$1,0)),0)</f>
        <v>0</v>
      </c>
      <c r="H16" s="39">
        <f>IFERROR(INDEX('Feed library'!$B$2:$CL$177,MATCH($A16,'Feed library'!$A$2:$A$177,0),MATCH("CP",'Feed library'!$B$1:$CL$1,0)),0)</f>
        <v>0</v>
      </c>
      <c r="I16" s="39">
        <f>IFERROR(INDEX('Feed library'!$B$2:$CL$177,MATCH($A16,'Feed library'!$A$2:$A$177,0),MATCH("NDF",'Feed library'!$B$1:$CL$1,0)),0)</f>
        <v>0</v>
      </c>
      <c r="J16" s="39">
        <f>IFERROR(INDEX('Feed library'!$B$2:$CL$177,MATCH($A16,'Feed library'!$A$2:$A$177,0),MATCH("starch",'Feed library'!$B$1:$CL$1,0)),0)</f>
        <v>0</v>
      </c>
      <c r="K16" s="39">
        <f>IFERROR(INDEX('Feed library'!$B$2:$CL$177,MATCH($A16,'Feed library'!$A$2:$A$177,0),MATCH("EE",'Feed library'!$B$1:$CL$1,0)),0)</f>
        <v>0</v>
      </c>
      <c r="L16" s="39">
        <f>IFERROR(INDEX('Feed library'!$B$2:$CL$177,MATCH($A16,'Feed library'!$A$2:$A$177,0),MATCH("calcium",'Feed library'!$B$1:$CL$1,0)),0)</f>
        <v>0</v>
      </c>
      <c r="M16" s="39">
        <f>IFERROR(INDEX('Feed library'!$B$2:$CL$177,MATCH($A16,'Feed library'!$A$2:$A$177,0),MATCH("TDN",'Feed library'!$B$1:$CL$1,0)),0)</f>
        <v>0</v>
      </c>
      <c r="N16" s="39">
        <f>INDEX(Global_inputs!$D$17:$D$56,MATCH(growing!A16,Global_inputs!$C$17:$C$56,0))</f>
        <v>0</v>
      </c>
    </row>
    <row r="17" spans="1:14" x14ac:dyDescent="0.25">
      <c r="A17" s="36" t="str">
        <f>IFERROR(INDEX('Feed library'!A:A,MATCH(C17,'Feed library'!B:B,0)),"")</f>
        <v/>
      </c>
      <c r="B17" s="37">
        <f t="shared" si="0"/>
        <v>0</v>
      </c>
      <c r="C17" s="40"/>
      <c r="D17" s="41"/>
      <c r="E17" s="39">
        <f>IFERROR(INDEX('Feed library'!$B$2:$CL$177,MATCH($A17,'Feed library'!$A$2:$A$177,0),MATCH("DM",'Feed library'!$B$1:$CL$1,0)),0)</f>
        <v>0</v>
      </c>
      <c r="F17" s="36">
        <f>IFERROR(INDEX('Feed library'!$B$2:$CL$177,MATCH($A17,'Feed library'!$A$2:$A$177,0),MATCH("feed_type",'Feed library'!$B$1:$CL$1,0)),0)</f>
        <v>0</v>
      </c>
      <c r="G17" s="39">
        <f>IFERROR(INDEX('Feed library'!$B$2:$CL$177,MATCH($A17,'Feed library'!$A$2:$A$177,0),MATCH("ash",'Feed library'!$B$1:$CL$1,0)),0)</f>
        <v>0</v>
      </c>
      <c r="H17" s="39">
        <f>IFERROR(INDEX('Feed library'!$B$2:$CL$177,MATCH($A17,'Feed library'!$A$2:$A$177,0),MATCH("CP",'Feed library'!$B$1:$CL$1,0)),0)</f>
        <v>0</v>
      </c>
      <c r="I17" s="39">
        <f>IFERROR(INDEX('Feed library'!$B$2:$CL$177,MATCH($A17,'Feed library'!$A$2:$A$177,0),MATCH("NDF",'Feed library'!$B$1:$CL$1,0)),0)</f>
        <v>0</v>
      </c>
      <c r="J17" s="39">
        <f>IFERROR(INDEX('Feed library'!$B$2:$CL$177,MATCH($A17,'Feed library'!$A$2:$A$177,0),MATCH("starch",'Feed library'!$B$1:$CL$1,0)),0)</f>
        <v>0</v>
      </c>
      <c r="K17" s="39">
        <f>IFERROR(INDEX('Feed library'!$B$2:$CL$177,MATCH($A17,'Feed library'!$A$2:$A$177,0),MATCH("EE",'Feed library'!$B$1:$CL$1,0)),0)</f>
        <v>0</v>
      </c>
      <c r="L17" s="39">
        <f>IFERROR(INDEX('Feed library'!$B$2:$CL$177,MATCH($A17,'Feed library'!$A$2:$A$177,0),MATCH("calcium",'Feed library'!$B$1:$CL$1,0)),0)</f>
        <v>0</v>
      </c>
      <c r="M17" s="39">
        <f>IFERROR(INDEX('Feed library'!$B$2:$CL$177,MATCH($A17,'Feed library'!$A$2:$A$177,0),MATCH("TDN",'Feed library'!$B$1:$CL$1,0)),0)</f>
        <v>0</v>
      </c>
      <c r="N17" s="39">
        <f>INDEX(Global_inputs!$D$17:$D$56,MATCH(growing!A17,Global_inputs!$C$17:$C$56,0))</f>
        <v>0</v>
      </c>
    </row>
    <row r="18" spans="1:14" x14ac:dyDescent="0.25">
      <c r="A18" s="36" t="str">
        <f>IFERROR(INDEX('Feed library'!A:A,MATCH(C18,'Feed library'!B:B,0)),"")</f>
        <v/>
      </c>
      <c r="B18" s="37">
        <f t="shared" si="0"/>
        <v>0</v>
      </c>
      <c r="C18" s="40"/>
      <c r="D18" s="41"/>
      <c r="E18" s="39">
        <f>IFERROR(INDEX('Feed library'!$B$2:$CL$177,MATCH($A18,'Feed library'!$A$2:$A$177,0),MATCH("DM",'Feed library'!$B$1:$CL$1,0)),0)</f>
        <v>0</v>
      </c>
      <c r="F18" s="36">
        <f>IFERROR(INDEX('Feed library'!$B$2:$CL$177,MATCH($A18,'Feed library'!$A$2:$A$177,0),MATCH("feed_type",'Feed library'!$B$1:$CL$1,0)),0)</f>
        <v>0</v>
      </c>
      <c r="G18" s="39">
        <f>IFERROR(INDEX('Feed library'!$B$2:$CL$177,MATCH($A18,'Feed library'!$A$2:$A$177,0),MATCH("ash",'Feed library'!$B$1:$CL$1,0)),0)</f>
        <v>0</v>
      </c>
      <c r="H18" s="39">
        <f>IFERROR(INDEX('Feed library'!$B$2:$CL$177,MATCH($A18,'Feed library'!$A$2:$A$177,0),MATCH("CP",'Feed library'!$B$1:$CL$1,0)),0)</f>
        <v>0</v>
      </c>
      <c r="I18" s="39">
        <f>IFERROR(INDEX('Feed library'!$B$2:$CL$177,MATCH($A18,'Feed library'!$A$2:$A$177,0),MATCH("NDF",'Feed library'!$B$1:$CL$1,0)),0)</f>
        <v>0</v>
      </c>
      <c r="J18" s="39">
        <f>IFERROR(INDEX('Feed library'!$B$2:$CL$177,MATCH($A18,'Feed library'!$A$2:$A$177,0),MATCH("starch",'Feed library'!$B$1:$CL$1,0)),0)</f>
        <v>0</v>
      </c>
      <c r="K18" s="39">
        <f>IFERROR(INDEX('Feed library'!$B$2:$CL$177,MATCH($A18,'Feed library'!$A$2:$A$177,0),MATCH("EE",'Feed library'!$B$1:$CL$1,0)),0)</f>
        <v>0</v>
      </c>
      <c r="L18" s="39">
        <f>IFERROR(INDEX('Feed library'!$B$2:$CL$177,MATCH($A18,'Feed library'!$A$2:$A$177,0),MATCH("calcium",'Feed library'!$B$1:$CL$1,0)),0)</f>
        <v>0</v>
      </c>
      <c r="M18" s="39">
        <f>IFERROR(INDEX('Feed library'!$B$2:$CL$177,MATCH($A18,'Feed library'!$A$2:$A$177,0),MATCH("TDN",'Feed library'!$B$1:$CL$1,0)),0)</f>
        <v>0</v>
      </c>
      <c r="N18" s="39">
        <f>INDEX(Global_inputs!$D$17:$D$56,MATCH(growing!A18,Global_inputs!$C$17:$C$56,0))</f>
        <v>0</v>
      </c>
    </row>
    <row r="19" spans="1:14" x14ac:dyDescent="0.25">
      <c r="A19" s="36" t="str">
        <f>IFERROR(INDEX('Feed library'!A:A,MATCH(C19,'Feed library'!B:B,0)),"")</f>
        <v/>
      </c>
      <c r="B19" s="37">
        <f t="shared" si="0"/>
        <v>0</v>
      </c>
      <c r="C19" s="40"/>
      <c r="D19" s="41"/>
      <c r="E19" s="39">
        <f>IFERROR(INDEX('Feed library'!$B$2:$CL$177,MATCH($A19,'Feed library'!$A$2:$A$177,0),MATCH("DM",'Feed library'!$B$1:$CL$1,0)),0)</f>
        <v>0</v>
      </c>
      <c r="F19" s="36">
        <f>IFERROR(INDEX('Feed library'!$B$2:$CL$177,MATCH($A19,'Feed library'!$A$2:$A$177,0),MATCH("feed_type",'Feed library'!$B$1:$CL$1,0)),0)</f>
        <v>0</v>
      </c>
      <c r="G19" s="39">
        <f>IFERROR(INDEX('Feed library'!$B$2:$CL$177,MATCH($A19,'Feed library'!$A$2:$A$177,0),MATCH("ash",'Feed library'!$B$1:$CL$1,0)),0)</f>
        <v>0</v>
      </c>
      <c r="H19" s="39">
        <f>IFERROR(INDEX('Feed library'!$B$2:$CL$177,MATCH($A19,'Feed library'!$A$2:$A$177,0),MATCH("CP",'Feed library'!$B$1:$CL$1,0)),0)</f>
        <v>0</v>
      </c>
      <c r="I19" s="39">
        <f>IFERROR(INDEX('Feed library'!$B$2:$CL$177,MATCH($A19,'Feed library'!$A$2:$A$177,0),MATCH("NDF",'Feed library'!$B$1:$CL$1,0)),0)</f>
        <v>0</v>
      </c>
      <c r="J19" s="39">
        <f>IFERROR(INDEX('Feed library'!$B$2:$CL$177,MATCH($A19,'Feed library'!$A$2:$A$177,0),MATCH("starch",'Feed library'!$B$1:$CL$1,0)),0)</f>
        <v>0</v>
      </c>
      <c r="K19" s="39">
        <f>IFERROR(INDEX('Feed library'!$B$2:$CL$177,MATCH($A19,'Feed library'!$A$2:$A$177,0),MATCH("EE",'Feed library'!$B$1:$CL$1,0)),0)</f>
        <v>0</v>
      </c>
      <c r="L19" s="39">
        <f>IFERROR(INDEX('Feed library'!$B$2:$CL$177,MATCH($A19,'Feed library'!$A$2:$A$177,0),MATCH("calcium",'Feed library'!$B$1:$CL$1,0)),0)</f>
        <v>0</v>
      </c>
      <c r="M19" s="39">
        <f>IFERROR(INDEX('Feed library'!$B$2:$CL$177,MATCH($A19,'Feed library'!$A$2:$A$177,0),MATCH("TDN",'Feed library'!$B$1:$CL$1,0)),0)</f>
        <v>0</v>
      </c>
      <c r="N19" s="39">
        <f>INDEX(Global_inputs!$D$17:$D$56,MATCH(growing!A19,Global_inputs!$C$17:$C$56,0))</f>
        <v>0</v>
      </c>
    </row>
    <row r="20" spans="1:14" x14ac:dyDescent="0.25">
      <c r="A20" s="36" t="str">
        <f>IFERROR(INDEX('Feed library'!A:A,MATCH(C20,'Feed library'!B:B,0)),"")</f>
        <v/>
      </c>
      <c r="B20" s="37">
        <f t="shared" si="0"/>
        <v>0</v>
      </c>
      <c r="C20" s="40"/>
      <c r="D20" s="41"/>
      <c r="E20" s="39">
        <f>IFERROR(INDEX('Feed library'!$B$2:$CL$177,MATCH($A20,'Feed library'!$A$2:$A$177,0),MATCH("DM",'Feed library'!$B$1:$CL$1,0)),0)</f>
        <v>0</v>
      </c>
      <c r="F20" s="36">
        <f>IFERROR(INDEX('Feed library'!$B$2:$CL$177,MATCH($A20,'Feed library'!$A$2:$A$177,0),MATCH("feed_type",'Feed library'!$B$1:$CL$1,0)),0)</f>
        <v>0</v>
      </c>
      <c r="G20" s="39">
        <f>IFERROR(INDEX('Feed library'!$B$2:$CL$177,MATCH($A20,'Feed library'!$A$2:$A$177,0),MATCH("ash",'Feed library'!$B$1:$CL$1,0)),0)</f>
        <v>0</v>
      </c>
      <c r="H20" s="39">
        <f>IFERROR(INDEX('Feed library'!$B$2:$CL$177,MATCH($A20,'Feed library'!$A$2:$A$177,0),MATCH("CP",'Feed library'!$B$1:$CL$1,0)),0)</f>
        <v>0</v>
      </c>
      <c r="I20" s="39">
        <f>IFERROR(INDEX('Feed library'!$B$2:$CL$177,MATCH($A20,'Feed library'!$A$2:$A$177,0),MATCH("NDF",'Feed library'!$B$1:$CL$1,0)),0)</f>
        <v>0</v>
      </c>
      <c r="J20" s="39">
        <f>IFERROR(INDEX('Feed library'!$B$2:$CL$177,MATCH($A20,'Feed library'!$A$2:$A$177,0),MATCH("starch",'Feed library'!$B$1:$CL$1,0)),0)</f>
        <v>0</v>
      </c>
      <c r="K20" s="39">
        <f>IFERROR(INDEX('Feed library'!$B$2:$CL$177,MATCH($A20,'Feed library'!$A$2:$A$177,0),MATCH("EE",'Feed library'!$B$1:$CL$1,0)),0)</f>
        <v>0</v>
      </c>
      <c r="L20" s="39">
        <f>IFERROR(INDEX('Feed library'!$B$2:$CL$177,MATCH($A20,'Feed library'!$A$2:$A$177,0),MATCH("calcium",'Feed library'!$B$1:$CL$1,0)),0)</f>
        <v>0</v>
      </c>
      <c r="M20" s="39">
        <f>IFERROR(INDEX('Feed library'!$B$2:$CL$177,MATCH($A20,'Feed library'!$A$2:$A$177,0),MATCH("TDN",'Feed library'!$B$1:$CL$1,0)),0)</f>
        <v>0</v>
      </c>
      <c r="N20" s="39">
        <f>INDEX(Global_inputs!$D$17:$D$56,MATCH(growing!A20,Global_inputs!$C$17:$C$56,0))</f>
        <v>0</v>
      </c>
    </row>
    <row r="21" spans="1:14" x14ac:dyDescent="0.25">
      <c r="A21" s="36" t="str">
        <f>IFERROR(INDEX('Feed library'!A:A,MATCH(C21,'Feed library'!B:B,0)),"")</f>
        <v/>
      </c>
      <c r="B21" s="37">
        <f t="shared" si="0"/>
        <v>0</v>
      </c>
      <c r="C21" s="40"/>
      <c r="D21" s="41"/>
      <c r="E21" s="39">
        <f>IFERROR(INDEX('Feed library'!$B$2:$CL$177,MATCH($A21,'Feed library'!$A$2:$A$177,0),MATCH("DM",'Feed library'!$B$1:$CL$1,0)),0)</f>
        <v>0</v>
      </c>
      <c r="F21" s="36">
        <f>IFERROR(INDEX('Feed library'!$B$2:$CL$177,MATCH($A21,'Feed library'!$A$2:$A$177,0),MATCH("feed_type",'Feed library'!$B$1:$CL$1,0)),0)</f>
        <v>0</v>
      </c>
      <c r="G21" s="39">
        <f>IFERROR(INDEX('Feed library'!$B$2:$CL$177,MATCH($A21,'Feed library'!$A$2:$A$177,0),MATCH("ash",'Feed library'!$B$1:$CL$1,0)),0)</f>
        <v>0</v>
      </c>
      <c r="H21" s="39">
        <f>IFERROR(INDEX('Feed library'!$B$2:$CL$177,MATCH($A21,'Feed library'!$A$2:$A$177,0),MATCH("CP",'Feed library'!$B$1:$CL$1,0)),0)</f>
        <v>0</v>
      </c>
      <c r="I21" s="39">
        <f>IFERROR(INDEX('Feed library'!$B$2:$CL$177,MATCH($A21,'Feed library'!$A$2:$A$177,0),MATCH("NDF",'Feed library'!$B$1:$CL$1,0)),0)</f>
        <v>0</v>
      </c>
      <c r="J21" s="39">
        <f>IFERROR(INDEX('Feed library'!$B$2:$CL$177,MATCH($A21,'Feed library'!$A$2:$A$177,0),MATCH("starch",'Feed library'!$B$1:$CL$1,0)),0)</f>
        <v>0</v>
      </c>
      <c r="K21" s="39">
        <f>IFERROR(INDEX('Feed library'!$B$2:$CL$177,MATCH($A21,'Feed library'!$A$2:$A$177,0),MATCH("EE",'Feed library'!$B$1:$CL$1,0)),0)</f>
        <v>0</v>
      </c>
      <c r="L21" s="39">
        <f>IFERROR(INDEX('Feed library'!$B$2:$CL$177,MATCH($A21,'Feed library'!$A$2:$A$177,0),MATCH("calcium",'Feed library'!$B$1:$CL$1,0)),0)</f>
        <v>0</v>
      </c>
      <c r="M21" s="39">
        <f>IFERROR(INDEX('Feed library'!$B$2:$CL$177,MATCH($A21,'Feed library'!$A$2:$A$177,0),MATCH("TDN",'Feed library'!$B$1:$CL$1,0)),0)</f>
        <v>0</v>
      </c>
      <c r="N21" s="39">
        <f>INDEX(Global_inputs!$D$17:$D$56,MATCH(growing!A21,Global_inputs!$C$17:$C$56,0))</f>
        <v>0</v>
      </c>
    </row>
    <row r="22" spans="1:14" x14ac:dyDescent="0.25">
      <c r="A22" s="36" t="str">
        <f>IFERROR(INDEX('Feed library'!A:A,MATCH(C22,'Feed library'!B:B,0)),"")</f>
        <v/>
      </c>
      <c r="B22" s="37">
        <f t="shared" si="0"/>
        <v>0</v>
      </c>
      <c r="C22" s="40"/>
      <c r="D22" s="41"/>
      <c r="E22" s="39">
        <f>IFERROR(INDEX('Feed library'!$B$2:$CL$177,MATCH($A22,'Feed library'!$A$2:$A$177,0),MATCH("DM",'Feed library'!$B$1:$CL$1,0)),0)</f>
        <v>0</v>
      </c>
      <c r="F22" s="36">
        <f>IFERROR(INDEX('Feed library'!$B$2:$CL$177,MATCH($A22,'Feed library'!$A$2:$A$177,0),MATCH("feed_type",'Feed library'!$B$1:$CL$1,0)),0)</f>
        <v>0</v>
      </c>
      <c r="G22" s="39">
        <f>IFERROR(INDEX('Feed library'!$B$2:$CL$177,MATCH($A22,'Feed library'!$A$2:$A$177,0),MATCH("ash",'Feed library'!$B$1:$CL$1,0)),0)</f>
        <v>0</v>
      </c>
      <c r="H22" s="39">
        <f>IFERROR(INDEX('Feed library'!$B$2:$CL$177,MATCH($A22,'Feed library'!$A$2:$A$177,0),MATCH("CP",'Feed library'!$B$1:$CL$1,0)),0)</f>
        <v>0</v>
      </c>
      <c r="I22" s="39">
        <f>IFERROR(INDEX('Feed library'!$B$2:$CL$177,MATCH($A22,'Feed library'!$A$2:$A$177,0),MATCH("NDF",'Feed library'!$B$1:$CL$1,0)),0)</f>
        <v>0</v>
      </c>
      <c r="J22" s="39">
        <f>IFERROR(INDEX('Feed library'!$B$2:$CL$177,MATCH($A22,'Feed library'!$A$2:$A$177,0),MATCH("starch",'Feed library'!$B$1:$CL$1,0)),0)</f>
        <v>0</v>
      </c>
      <c r="K22" s="39">
        <f>IFERROR(INDEX('Feed library'!$B$2:$CL$177,MATCH($A22,'Feed library'!$A$2:$A$177,0),MATCH("EE",'Feed library'!$B$1:$CL$1,0)),0)</f>
        <v>0</v>
      </c>
      <c r="L22" s="39">
        <f>IFERROR(INDEX('Feed library'!$B$2:$CL$177,MATCH($A22,'Feed library'!$A$2:$A$177,0),MATCH("calcium",'Feed library'!$B$1:$CL$1,0)),0)</f>
        <v>0</v>
      </c>
      <c r="M22" s="39">
        <f>IFERROR(INDEX('Feed library'!$B$2:$CL$177,MATCH($A22,'Feed library'!$A$2:$A$177,0),MATCH("TDN",'Feed library'!$B$1:$CL$1,0)),0)</f>
        <v>0</v>
      </c>
      <c r="N22" s="39">
        <f>INDEX(Global_inputs!$D$17:$D$56,MATCH(growing!A22,Global_inputs!$C$17:$C$56,0))</f>
        <v>0</v>
      </c>
    </row>
    <row r="24" spans="1:14" x14ac:dyDescent="0.25">
      <c r="C24" t="s">
        <v>313</v>
      </c>
      <c r="D24" s="3">
        <f>SUM(D3:D22)</f>
        <v>12.5</v>
      </c>
      <c r="E24" s="4"/>
    </row>
    <row r="25" spans="1:14" x14ac:dyDescent="0.25">
      <c r="D25" s="35">
        <f>SUM(B3:B22)</f>
        <v>0.99999999999999989</v>
      </c>
    </row>
  </sheetData>
  <conditionalFormatting sqref="D25">
    <cfRule type="cellIs" dxfId="3" priority="1" operator="lessThan">
      <formula>1</formula>
    </cfRule>
    <cfRule type="cellIs" dxfId="2" priority="2" operator="greaterThan">
      <formul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SetByPct">
                <anchor moveWithCells="1" sizeWithCells="1">
                  <from>
                    <xdr:col>4</xdr:col>
                    <xdr:colOff>76200</xdr:colOff>
                    <xdr:row>24</xdr:row>
                    <xdr:rowOff>28575</xdr:rowOff>
                  </from>
                  <to>
                    <xdr:col>5</xdr:col>
                    <xdr:colOff>419100</xdr:colOff>
                    <xdr:row>25</xdr:row>
                    <xdr:rowOff>123825</xdr:rowOff>
                  </to>
                </anchor>
              </controlPr>
            </control>
          </mc:Choice>
        </mc:AlternateContent>
        <mc:AlternateContent xmlns:mc="http://schemas.openxmlformats.org/markup-compatibility/2006">
          <mc:Choice Requires="x14">
            <control shapeId="5165" r:id="rId4" name="Button 45">
              <controlPr defaultSize="0" print="0" autoFill="0" autoPict="0" macro="[0]!SetByDMI">
                <anchor moveWithCells="1" sizeWithCells="1">
                  <from>
                    <xdr:col>4</xdr:col>
                    <xdr:colOff>66675</xdr:colOff>
                    <xdr:row>22</xdr:row>
                    <xdr:rowOff>152400</xdr:rowOff>
                  </from>
                  <to>
                    <xdr:col>5</xdr:col>
                    <xdr:colOff>95250</xdr:colOff>
                    <xdr:row>24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D3D61A9-A2E7-4EF9-BE83-C52DF2909BA3}">
          <x14:formula1>
            <xm:f>'Feed library'!$B$2:$B$177</xm:f>
          </x14:formula1>
          <xm:sqref>C3:C18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ED19D-527A-4F24-9DE8-25BF84741940}">
  <sheetPr codeName="Sheet8"/>
  <dimension ref="A1:R25"/>
  <sheetViews>
    <sheetView topLeftCell="A21" workbookViewId="0">
      <selection activeCell="D25" sqref="D25"/>
    </sheetView>
  </sheetViews>
  <sheetFormatPr defaultRowHeight="15" x14ac:dyDescent="0.25"/>
  <cols>
    <col min="1" max="1" width="7" customWidth="1"/>
    <col min="2" max="2" width="14.140625" bestFit="1" customWidth="1"/>
    <col min="3" max="3" width="27.5703125" customWidth="1"/>
    <col min="4" max="4" width="8.7109375" customWidth="1"/>
    <col min="5" max="5" width="14.42578125" bestFit="1" customWidth="1"/>
    <col min="8" max="8" width="9.7109375" bestFit="1" customWidth="1"/>
    <col min="9" max="9" width="11.28515625" bestFit="1" customWidth="1"/>
    <col min="10" max="10" width="10.140625" bestFit="1" customWidth="1"/>
    <col min="11" max="11" width="12" bestFit="1" customWidth="1"/>
    <col min="12" max="12" width="8.42578125" bestFit="1" customWidth="1"/>
    <col min="13" max="13" width="8.7109375" bestFit="1" customWidth="1"/>
    <col min="14" max="14" width="13.7109375" bestFit="1" customWidth="1"/>
    <col min="16" max="16" width="17.5703125" customWidth="1"/>
    <col min="17" max="17" width="12" bestFit="1" customWidth="1"/>
  </cols>
  <sheetData>
    <row r="1" spans="1:18" x14ac:dyDescent="0.25">
      <c r="A1" s="5" t="s">
        <v>280</v>
      </c>
      <c r="E1" s="5" t="s">
        <v>281</v>
      </c>
      <c r="P1" s="5" t="s">
        <v>283</v>
      </c>
    </row>
    <row r="2" spans="1:18" x14ac:dyDescent="0.25">
      <c r="A2" s="20" t="s">
        <v>278</v>
      </c>
      <c r="B2" s="20" t="s">
        <v>328</v>
      </c>
      <c r="C2" s="24" t="s">
        <v>291</v>
      </c>
      <c r="D2" s="20" t="s">
        <v>284</v>
      </c>
      <c r="E2" s="20" t="s">
        <v>292</v>
      </c>
      <c r="F2" s="20" t="s">
        <v>282</v>
      </c>
      <c r="G2" s="20" t="s">
        <v>285</v>
      </c>
      <c r="H2" s="20" t="s">
        <v>286</v>
      </c>
      <c r="I2" s="20" t="s">
        <v>287</v>
      </c>
      <c r="J2" s="20" t="s">
        <v>288</v>
      </c>
      <c r="K2" s="20" t="s">
        <v>289</v>
      </c>
      <c r="L2" s="20" t="s">
        <v>290</v>
      </c>
      <c r="M2" s="20" t="s">
        <v>88</v>
      </c>
      <c r="N2" s="20" t="s">
        <v>312</v>
      </c>
      <c r="R2" t="s">
        <v>299</v>
      </c>
    </row>
    <row r="3" spans="1:18" x14ac:dyDescent="0.25">
      <c r="A3" s="36">
        <f>IFERROR(INDEX('Feed library'!A:A,MATCH(C3,'Feed library'!B:B,0)),"")</f>
        <v>51</v>
      </c>
      <c r="B3" s="37">
        <f t="shared" ref="B3:B22" si="0">IFERROR(IF((D3/D$24)&gt;0,D3/D$24,0),0)</f>
        <v>0.50704225352112675</v>
      </c>
      <c r="C3" s="38" t="s">
        <v>129</v>
      </c>
      <c r="D3" s="41">
        <v>9</v>
      </c>
      <c r="E3" s="39">
        <f>IFERROR(INDEX('Feed library'!$B$2:$CL$177,MATCH($A3,'Feed library'!$A$2:$A$177,0),MATCH("DM",'Feed library'!$B$1:$CL$1,0)),0)</f>
        <v>35.360999999999997</v>
      </c>
      <c r="F3" s="36" t="str">
        <f>IFERROR(INDEX('Feed library'!$B$2:$CL$177,MATCH($A3,'Feed library'!$A$2:$A$177,0),MATCH("feed_type",'Feed library'!$B$1:$CL$1,0)),0)</f>
        <v>Forage</v>
      </c>
      <c r="G3" s="39">
        <f>IFERROR(INDEX('Feed library'!$B$2:$CL$177,MATCH($A3,'Feed library'!$A$2:$A$177,0),MATCH("ash",'Feed library'!$B$1:$CL$1,0)),0)</f>
        <v>3.843</v>
      </c>
      <c r="H3" s="39">
        <f>IFERROR(INDEX('Feed library'!$B$2:$CL$177,MATCH($A3,'Feed library'!$A$2:$A$177,0),MATCH("CP",'Feed library'!$B$1:$CL$1,0)),0)</f>
        <v>7.7069999999999999</v>
      </c>
      <c r="I3" s="39">
        <f>IFERROR(INDEX('Feed library'!$B$2:$CL$177,MATCH($A3,'Feed library'!$A$2:$A$177,0),MATCH("NDF",'Feed library'!$B$1:$CL$1,0)),0)</f>
        <v>40.930999999999997</v>
      </c>
      <c r="J3" s="39">
        <f>IFERROR(INDEX('Feed library'!$B$2:$CL$177,MATCH($A3,'Feed library'!$A$2:$A$177,0),MATCH("starch",'Feed library'!$B$1:$CL$1,0)),0)</f>
        <v>32.866999999999997</v>
      </c>
      <c r="K3" s="39">
        <f>IFERROR(INDEX('Feed library'!$B$2:$CL$177,MATCH($A3,'Feed library'!$A$2:$A$177,0),MATCH("EE",'Feed library'!$B$1:$CL$1,0)),0)</f>
        <v>2.9159999999999999</v>
      </c>
      <c r="L3" s="39">
        <f>IFERROR(INDEX('Feed library'!$B$2:$CL$177,MATCH($A3,'Feed library'!$A$2:$A$177,0),MATCH("calcium",'Feed library'!$B$1:$CL$1,0)),0)</f>
        <v>0.23699999999999999</v>
      </c>
      <c r="M3" s="39">
        <f>IFERROR(INDEX('Feed library'!$B$2:$CL$177,MATCH($A3,'Feed library'!$A$2:$A$177,0),MATCH("TDN",'Feed library'!$B$1:$CL$1,0)),0)</f>
        <v>68.819999999999993</v>
      </c>
      <c r="N3" s="39">
        <f>INDEX(Global_inputs!$D$17:$D$56,MATCH(growing!A3,Global_inputs!$C$17:$C$56,0))</f>
        <v>0.01</v>
      </c>
      <c r="P3" s="24" t="s">
        <v>292</v>
      </c>
      <c r="Q3" s="1">
        <f>SUMPRODUCT(B$3:B$22,$E$3:$E$22)*0.01</f>
        <v>0.52306335211267607</v>
      </c>
      <c r="R3" s="27"/>
    </row>
    <row r="4" spans="1:18" x14ac:dyDescent="0.25">
      <c r="A4" s="36">
        <f>IFERROR(INDEX('Feed library'!A:A,MATCH(C4,'Feed library'!B:B,0)),"")</f>
        <v>100</v>
      </c>
      <c r="B4" s="37">
        <f t="shared" si="0"/>
        <v>0.11267605633802817</v>
      </c>
      <c r="C4" s="38" t="s">
        <v>148</v>
      </c>
      <c r="D4" s="41">
        <v>2</v>
      </c>
      <c r="E4" s="39">
        <f>IFERROR(INDEX('Feed library'!$B$2:$CL$177,MATCH($A4,'Feed library'!$A$2:$A$177,0),MATCH("DM",'Feed library'!$B$1:$CL$1,0)),0)</f>
        <v>40.021000000000001</v>
      </c>
      <c r="F4" s="36" t="str">
        <f>IFERROR(INDEX('Feed library'!$B$2:$CL$177,MATCH($A4,'Feed library'!$A$2:$A$177,0),MATCH("feed_type",'Feed library'!$B$1:$CL$1,0)),0)</f>
        <v>Forage</v>
      </c>
      <c r="G4" s="39">
        <f>IFERROR(INDEX('Feed library'!$B$2:$CL$177,MATCH($A4,'Feed library'!$A$2:$A$177,0),MATCH("ash",'Feed library'!$B$1:$CL$1,0)),0)</f>
        <v>9.5169999999999995</v>
      </c>
      <c r="H4" s="39">
        <f>IFERROR(INDEX('Feed library'!$B$2:$CL$177,MATCH($A4,'Feed library'!$A$2:$A$177,0),MATCH("CP",'Feed library'!$B$1:$CL$1,0)),0)</f>
        <v>17.678999999999998</v>
      </c>
      <c r="I4" s="39">
        <f>IFERROR(INDEX('Feed library'!$B$2:$CL$177,MATCH($A4,'Feed library'!$A$2:$A$177,0),MATCH("NDF",'Feed library'!$B$1:$CL$1,0)),0)</f>
        <v>51.231999999999999</v>
      </c>
      <c r="J4" s="39">
        <f>IFERROR(INDEX('Feed library'!$B$2:$CL$177,MATCH($A4,'Feed library'!$A$2:$A$177,0),MATCH("starch",'Feed library'!$B$1:$CL$1,0)),0)</f>
        <v>2.1179999999999999</v>
      </c>
      <c r="K4" s="39">
        <f>IFERROR(INDEX('Feed library'!$B$2:$CL$177,MATCH($A4,'Feed library'!$A$2:$A$177,0),MATCH("EE",'Feed library'!$B$1:$CL$1,0)),0)</f>
        <v>4.0380000000000003</v>
      </c>
      <c r="L4" s="39">
        <f>IFERROR(INDEX('Feed library'!$B$2:$CL$177,MATCH($A4,'Feed library'!$A$2:$A$177,0),MATCH("calcium",'Feed library'!$B$1:$CL$1,0)),0)</f>
        <v>0.87</v>
      </c>
      <c r="M4" s="39">
        <f>IFERROR(INDEX('Feed library'!$B$2:$CL$177,MATCH($A4,'Feed library'!$A$2:$A$177,0),MATCH("TDN",'Feed library'!$B$1:$CL$1,0)),0)</f>
        <v>57.66</v>
      </c>
      <c r="N4" s="39">
        <f>INDEX(Global_inputs!$D$17:$D$56,MATCH(growing!A4,Global_inputs!$C$17:$C$56,0))</f>
        <v>0.01</v>
      </c>
      <c r="P4" s="24" t="s">
        <v>294</v>
      </c>
      <c r="Q4" s="14">
        <f>SUMIF(F3:F22,"Forage",D3:D22) / D24</f>
        <v>0.61971830985915488</v>
      </c>
      <c r="R4" s="27"/>
    </row>
    <row r="5" spans="1:18" x14ac:dyDescent="0.25">
      <c r="A5" s="36">
        <f>IFERROR(INDEX('Feed library'!A:A,MATCH(C5,'Feed library'!B:B,0)),"")</f>
        <v>210</v>
      </c>
      <c r="B5" s="37">
        <f t="shared" si="0"/>
        <v>5.6338028169014086E-2</v>
      </c>
      <c r="C5" s="38" t="s">
        <v>196</v>
      </c>
      <c r="D5" s="41">
        <v>1</v>
      </c>
      <c r="E5" s="39">
        <f>IFERROR(INDEX('Feed library'!$B$2:$CL$177,MATCH($A5,'Feed library'!$A$2:$A$177,0),MATCH("DM",'Feed library'!$B$1:$CL$1,0)),0)</f>
        <v>22.87</v>
      </c>
      <c r="F5" s="36" t="str">
        <f>IFERROR(INDEX('Feed library'!$B$2:$CL$177,MATCH($A5,'Feed library'!$A$2:$A$177,0),MATCH("feed_type",'Feed library'!$B$1:$CL$1,0)),0)</f>
        <v>Conc</v>
      </c>
      <c r="G5" s="39">
        <f>IFERROR(INDEX('Feed library'!$B$2:$CL$177,MATCH($A5,'Feed library'!$A$2:$A$177,0),MATCH("ash",'Feed library'!$B$1:$CL$1,0)),0)</f>
        <v>13.529</v>
      </c>
      <c r="H5" s="39">
        <f>IFERROR(INDEX('Feed library'!$B$2:$CL$177,MATCH($A5,'Feed library'!$A$2:$A$177,0),MATCH("CP",'Feed library'!$B$1:$CL$1,0)),0)</f>
        <v>7.4160000000000004</v>
      </c>
      <c r="I5" s="39">
        <f>IFERROR(INDEX('Feed library'!$B$2:$CL$177,MATCH($A5,'Feed library'!$A$2:$A$177,0),MATCH("NDF",'Feed library'!$B$1:$CL$1,0)),0)</f>
        <v>2.1720000000000002</v>
      </c>
      <c r="J5" s="39">
        <f>IFERROR(INDEX('Feed library'!$B$2:$CL$177,MATCH($A5,'Feed library'!$A$2:$A$177,0),MATCH("starch",'Feed library'!$B$1:$CL$1,0)),0)</f>
        <v>1.43</v>
      </c>
      <c r="K5" s="39">
        <f>IFERROR(INDEX('Feed library'!$B$2:$CL$177,MATCH($A5,'Feed library'!$A$2:$A$177,0),MATCH("EE",'Feed library'!$B$1:$CL$1,0)),0)</f>
        <v>1.9710000000000001</v>
      </c>
      <c r="L5" s="39">
        <f>IFERROR(INDEX('Feed library'!$B$2:$CL$177,MATCH($A5,'Feed library'!$A$2:$A$177,0),MATCH("calcium",'Feed library'!$B$1:$CL$1,0)),0)</f>
        <v>1.26</v>
      </c>
      <c r="M5" s="39">
        <f>IFERROR(INDEX('Feed library'!$B$2:$CL$177,MATCH($A5,'Feed library'!$A$2:$A$177,0),MATCH("TDN",'Feed library'!$B$1:$CL$1,0)),0)</f>
        <v>80.33</v>
      </c>
      <c r="N5" s="39">
        <f>INDEX(Global_inputs!$D$17:$D$56,MATCH(growing!A5,Global_inputs!$C$17:$C$56,0))</f>
        <v>0.01</v>
      </c>
      <c r="P5" s="24" t="s">
        <v>285</v>
      </c>
      <c r="Q5" s="14">
        <f>SUMPRODUCT(G$3:G$22,$B$3:$B$22)*0.01</f>
        <v>8.3189915492957761E-2</v>
      </c>
      <c r="R5" s="27"/>
    </row>
    <row r="6" spans="1:18" x14ac:dyDescent="0.25">
      <c r="A6" s="36">
        <f>IFERROR(INDEX('Feed library'!A:A,MATCH(C6,'Feed library'!B:B,0)),"")</f>
        <v>119</v>
      </c>
      <c r="B6" s="37">
        <f t="shared" si="0"/>
        <v>1.4084507042253521E-2</v>
      </c>
      <c r="C6" s="38" t="s">
        <v>160</v>
      </c>
      <c r="D6" s="41">
        <v>0.25</v>
      </c>
      <c r="E6" s="39">
        <f>IFERROR(INDEX('Feed library'!$B$2:$CL$177,MATCH($A6,'Feed library'!$A$2:$A$177,0),MATCH("DM",'Feed library'!$B$1:$CL$1,0)),0)</f>
        <v>65.394999999999996</v>
      </c>
      <c r="F6" s="36" t="str">
        <f>IFERROR(INDEX('Feed library'!$B$2:$CL$177,MATCH($A6,'Feed library'!$A$2:$A$177,0),MATCH("feed_type",'Feed library'!$B$1:$CL$1,0)),0)</f>
        <v>Conc</v>
      </c>
      <c r="G6" s="39">
        <f>IFERROR(INDEX('Feed library'!$B$2:$CL$177,MATCH($A6,'Feed library'!$A$2:$A$177,0),MATCH("ash",'Feed library'!$B$1:$CL$1,0)),0)</f>
        <v>15.962999999999999</v>
      </c>
      <c r="H6" s="39">
        <f>IFERROR(INDEX('Feed library'!$B$2:$CL$177,MATCH($A6,'Feed library'!$A$2:$A$177,0),MATCH("CP",'Feed library'!$B$1:$CL$1,0)),0)</f>
        <v>9.2710000000000008</v>
      </c>
      <c r="I6" s="39">
        <f>IFERROR(INDEX('Feed library'!$B$2:$CL$177,MATCH($A6,'Feed library'!$A$2:$A$177,0),MATCH("NDF",'Feed library'!$B$1:$CL$1,0)),0)</f>
        <v>0.56799999999999995</v>
      </c>
      <c r="J6" s="39">
        <f>IFERROR(INDEX('Feed library'!$B$2:$CL$177,MATCH($A6,'Feed library'!$A$2:$A$177,0),MATCH("starch",'Feed library'!$B$1:$CL$1,0)),0)</f>
        <v>0.84599999999999997</v>
      </c>
      <c r="K6" s="39">
        <f>IFERROR(INDEX('Feed library'!$B$2:$CL$177,MATCH($A6,'Feed library'!$A$2:$A$177,0),MATCH("EE",'Feed library'!$B$1:$CL$1,0)),0)</f>
        <v>0.61099999999999999</v>
      </c>
      <c r="L6" s="39">
        <f>IFERROR(INDEX('Feed library'!$B$2:$CL$177,MATCH($A6,'Feed library'!$A$2:$A$177,0),MATCH("calcium",'Feed library'!$B$1:$CL$1,0)),0)</f>
        <v>0.72899999999999998</v>
      </c>
      <c r="M6" s="39">
        <f>IFERROR(INDEX('Feed library'!$B$2:$CL$177,MATCH($A6,'Feed library'!$A$2:$A$177,0),MATCH("TDN",'Feed library'!$B$1:$CL$1,0)),0)</f>
        <v>80.94</v>
      </c>
      <c r="N6" s="39">
        <f>INDEX(Global_inputs!$D$17:$D$56,MATCH(growing!A6,Global_inputs!$C$17:$C$56,0))</f>
        <v>0.01</v>
      </c>
      <c r="P6" s="24" t="s">
        <v>286</v>
      </c>
      <c r="Q6" s="14">
        <f>SUMPRODUCT(H$3:H$22,$B$3:$B$22)*0.01</f>
        <v>0.14421200000000001</v>
      </c>
      <c r="R6" s="27"/>
    </row>
    <row r="7" spans="1:18" x14ac:dyDescent="0.25">
      <c r="A7" s="36">
        <f>IFERROR(INDEX('Feed library'!A:A,MATCH(C7,'Feed library'!B:B,0)),"")</f>
        <v>44</v>
      </c>
      <c r="B7" s="37">
        <f t="shared" si="0"/>
        <v>0.11267605633802817</v>
      </c>
      <c r="C7" s="38" t="s">
        <v>124</v>
      </c>
      <c r="D7" s="41">
        <v>2</v>
      </c>
      <c r="E7" s="39">
        <f>IFERROR(INDEX('Feed library'!$B$2:$CL$177,MATCH($A7,'Feed library'!$A$2:$A$177,0),MATCH("DM",'Feed library'!$B$1:$CL$1,0)),0)</f>
        <v>86.906999999999996</v>
      </c>
      <c r="F7" s="36" t="str">
        <f>IFERROR(INDEX('Feed library'!$B$2:$CL$177,MATCH($A7,'Feed library'!$A$2:$A$177,0),MATCH("feed_type",'Feed library'!$B$1:$CL$1,0)),0)</f>
        <v>Conc</v>
      </c>
      <c r="G7" s="39">
        <f>IFERROR(INDEX('Feed library'!$B$2:$CL$177,MATCH($A7,'Feed library'!$A$2:$A$177,0),MATCH("ash",'Feed library'!$B$1:$CL$1,0)),0)</f>
        <v>1.504</v>
      </c>
      <c r="H7" s="39">
        <f>IFERROR(INDEX('Feed library'!$B$2:$CL$177,MATCH($A7,'Feed library'!$A$2:$A$177,0),MATCH("CP",'Feed library'!$B$1:$CL$1,0)),0)</f>
        <v>8.5139999999999993</v>
      </c>
      <c r="I7" s="39">
        <f>IFERROR(INDEX('Feed library'!$B$2:$CL$177,MATCH($A7,'Feed library'!$A$2:$A$177,0),MATCH("NDF",'Feed library'!$B$1:$CL$1,0)),0)</f>
        <v>9.7609999999999992</v>
      </c>
      <c r="J7" s="39">
        <f>IFERROR(INDEX('Feed library'!$B$2:$CL$177,MATCH($A7,'Feed library'!$A$2:$A$177,0),MATCH("starch",'Feed library'!$B$1:$CL$1,0)),0)</f>
        <v>70.367000000000004</v>
      </c>
      <c r="K7" s="39">
        <f>IFERROR(INDEX('Feed library'!$B$2:$CL$177,MATCH($A7,'Feed library'!$A$2:$A$177,0),MATCH("EE",'Feed library'!$B$1:$CL$1,0)),0)</f>
        <v>3.8450000000000002</v>
      </c>
      <c r="L7" s="39">
        <f>IFERROR(INDEX('Feed library'!$B$2:$CL$177,MATCH($A7,'Feed library'!$A$2:$A$177,0),MATCH("calcium",'Feed library'!$B$1:$CL$1,0)),0)</f>
        <v>3.5000000000000003E-2</v>
      </c>
      <c r="M7" s="39">
        <f>IFERROR(INDEX('Feed library'!$B$2:$CL$177,MATCH($A7,'Feed library'!$A$2:$A$177,0),MATCH("TDN",'Feed library'!$B$1:$CL$1,0)),0)</f>
        <v>88.69</v>
      </c>
      <c r="N7" s="39">
        <f>INDEX(Global_inputs!$D$17:$D$56,MATCH(growing!A7,Global_inputs!$C$17:$C$56,0))</f>
        <v>0.01</v>
      </c>
      <c r="P7" s="24" t="s">
        <v>287</v>
      </c>
      <c r="Q7" s="14">
        <f>SUMPRODUCT(I$3:I$22,$B$3:$B$22)*0.01</f>
        <v>0.32655292957746473</v>
      </c>
      <c r="R7" s="27" t="str">
        <f>IF(Q7&gt;MAX_NDF,"NDF upper limit exceeded",(IF(Q7&lt;MIN_NDF,"NDF lower limit exceeded","")))</f>
        <v/>
      </c>
    </row>
    <row r="8" spans="1:18" x14ac:dyDescent="0.25">
      <c r="A8" s="36">
        <f>IFERROR(INDEX('Feed library'!A:A,MATCH(C8,'Feed library'!B:B,0)),"")</f>
        <v>31</v>
      </c>
      <c r="B8" s="37">
        <f t="shared" si="0"/>
        <v>0.16901408450704225</v>
      </c>
      <c r="C8" s="38" t="s">
        <v>115</v>
      </c>
      <c r="D8" s="41">
        <v>3</v>
      </c>
      <c r="E8" s="39">
        <f>IFERROR(INDEX('Feed library'!$B$2:$CL$177,MATCH($A8,'Feed library'!$A$2:$A$177,0),MATCH("DM",'Feed library'!$B$1:$CL$1,0)),0)</f>
        <v>89.128</v>
      </c>
      <c r="F8" s="36" t="str">
        <f>IFERROR(INDEX('Feed library'!$B$2:$CL$177,MATCH($A8,'Feed library'!$A$2:$A$177,0),MATCH("feed_type",'Feed library'!$B$1:$CL$1,0)),0)</f>
        <v>Conc</v>
      </c>
      <c r="G8" s="39">
        <f>IFERROR(INDEX('Feed library'!$B$2:$CL$177,MATCH($A8,'Feed library'!$A$2:$A$177,0),MATCH("ash",'Feed library'!$B$1:$CL$1,0)),0)</f>
        <v>7.8819999999999997</v>
      </c>
      <c r="H8" s="39">
        <f>IFERROR(INDEX('Feed library'!$B$2:$CL$177,MATCH($A8,'Feed library'!$A$2:$A$177,0),MATCH("CP",'Feed library'!$B$1:$CL$1,0)),0)</f>
        <v>41.491999999999997</v>
      </c>
      <c r="I8" s="39">
        <f>IFERROR(INDEX('Feed library'!$B$2:$CL$177,MATCH($A8,'Feed library'!$A$2:$A$177,0),MATCH("NDF",'Feed library'!$B$1:$CL$1,0)),0)</f>
        <v>28.96</v>
      </c>
      <c r="J8" s="39">
        <f>IFERROR(INDEX('Feed library'!$B$2:$CL$177,MATCH($A8,'Feed library'!$A$2:$A$177,0),MATCH("starch",'Feed library'!$B$1:$CL$1,0)),0)</f>
        <v>1.57</v>
      </c>
      <c r="K8" s="39">
        <f>IFERROR(INDEX('Feed library'!$B$2:$CL$177,MATCH($A8,'Feed library'!$A$2:$A$177,0),MATCH("EE",'Feed library'!$B$1:$CL$1,0)),0)</f>
        <v>3.5139999999999998</v>
      </c>
      <c r="L8" s="39">
        <f>IFERROR(INDEX('Feed library'!$B$2:$CL$177,MATCH($A8,'Feed library'!$A$2:$A$177,0),MATCH("calcium",'Feed library'!$B$1:$CL$1,0)),0)</f>
        <v>0.79</v>
      </c>
      <c r="M8" s="39">
        <f>IFERROR(INDEX('Feed library'!$B$2:$CL$177,MATCH($A8,'Feed library'!$A$2:$A$177,0),MATCH("TDN",'Feed library'!$B$1:$CL$1,0)),0)</f>
        <v>69.88</v>
      </c>
      <c r="N8" s="39">
        <f>INDEX(Global_inputs!$D$17:$D$56,MATCH(growing!A8,Global_inputs!$C$17:$C$56,0))</f>
        <v>0.01</v>
      </c>
      <c r="P8" s="24" t="s">
        <v>293</v>
      </c>
      <c r="Q8" s="14" cm="1">
        <f t="array" ref="Q8">SUMPRODUCT(($F$3:$F$22="Forage")*($B$3:$B$22)*($I$3:$I$22))/SUMPRODUCT(($B$3:$B$22)*($I$3:$I$22))</f>
        <v>0.81231444567060684</v>
      </c>
      <c r="R8" s="27" t="str">
        <f>IF(Q8&lt;MIN_ForNDF,"Forage NDF lower limit exceeded","")</f>
        <v/>
      </c>
    </row>
    <row r="9" spans="1:18" x14ac:dyDescent="0.25">
      <c r="A9" s="36">
        <f>IFERROR(INDEX('Feed library'!A:A,MATCH(C9,'Feed library'!B:B,0)),"")</f>
        <v>301</v>
      </c>
      <c r="B9" s="37">
        <f t="shared" si="0"/>
        <v>2.8169014084507043E-2</v>
      </c>
      <c r="C9" s="38" t="s">
        <v>272</v>
      </c>
      <c r="D9" s="41">
        <v>0.5</v>
      </c>
      <c r="E9" s="39">
        <f>IFERROR(INDEX('Feed library'!$B$2:$CL$177,MATCH($A9,'Feed library'!$A$2:$A$177,0),MATCH("DM",'Feed library'!$B$1:$CL$1,0)),0)</f>
        <v>99.459400000000002</v>
      </c>
      <c r="F9" s="36" t="str">
        <f>IFERROR(INDEX('Feed library'!$B$2:$CL$177,MATCH($A9,'Feed library'!$A$2:$A$177,0),MATCH("feed_type",'Feed library'!$B$1:$CL$1,0)),0)</f>
        <v>Mineral</v>
      </c>
      <c r="G9" s="39">
        <f>IFERROR(INDEX('Feed library'!$B$2:$CL$177,MATCH($A9,'Feed library'!$A$2:$A$177,0),MATCH("ash",'Feed library'!$B$1:$CL$1,0)),0)</f>
        <v>99.734700000000004</v>
      </c>
      <c r="H9" s="39">
        <f>IFERROR(INDEX('Feed library'!$B$2:$CL$177,MATCH($A9,'Feed library'!$A$2:$A$177,0),MATCH("CP",'Feed library'!$B$1:$CL$1,0)),0)</f>
        <v>3.5099999999999999E-2</v>
      </c>
      <c r="I9" s="39">
        <f>IFERROR(INDEX('Feed library'!$B$2:$CL$177,MATCH($A9,'Feed library'!$A$2:$A$177,0),MATCH("NDF",'Feed library'!$B$1:$CL$1,0)),0)</f>
        <v>0.1449</v>
      </c>
      <c r="J9" s="39">
        <f>IFERROR(INDEX('Feed library'!$B$2:$CL$177,MATCH($A9,'Feed library'!$A$2:$A$177,0),MATCH("starch",'Feed library'!$B$1:$CL$1,0)),0)</f>
        <v>8.2000000000000007E-3</v>
      </c>
      <c r="K9" s="39">
        <f>IFERROR(INDEX('Feed library'!$B$2:$CL$177,MATCH($A9,'Feed library'!$A$2:$A$177,0),MATCH("EE",'Feed library'!$B$1:$CL$1,0)),0)</f>
        <v>1.1999999999999999E-3</v>
      </c>
      <c r="L9" s="39">
        <f>IFERROR(INDEX('Feed library'!$B$2:$CL$177,MATCH($A9,'Feed library'!$A$2:$A$177,0),MATCH("calcium",'Feed library'!$B$1:$CL$1,0)),0)</f>
        <v>15.43</v>
      </c>
      <c r="M9" s="39">
        <f>IFERROR(INDEX('Feed library'!$B$2:$CL$177,MATCH($A9,'Feed library'!$A$2:$A$177,0),MATCH("TDN",'Feed library'!$B$1:$CL$1,0)),0)</f>
        <v>0</v>
      </c>
      <c r="N9" s="39">
        <f>INDEX(Global_inputs!$D$17:$D$56,MATCH(growing!A9,Global_inputs!$C$17:$C$56,0))</f>
        <v>0.01</v>
      </c>
      <c r="P9" s="24" t="s">
        <v>288</v>
      </c>
      <c r="Q9" s="14">
        <f>SUMPRODUCT(J$3:J$22,$B$3:$B$22)*0.01</f>
        <v>0.25190343661971831</v>
      </c>
      <c r="R9" s="27"/>
    </row>
    <row r="10" spans="1:18" x14ac:dyDescent="0.25">
      <c r="A10" s="36" t="str">
        <f>IFERROR(INDEX('Feed library'!A:A,MATCH(C10,'Feed library'!B:B,0)),"")</f>
        <v/>
      </c>
      <c r="B10" s="37">
        <f t="shared" si="0"/>
        <v>0</v>
      </c>
      <c r="C10" s="38"/>
      <c r="D10" s="41"/>
      <c r="E10" s="39">
        <f>IFERROR(INDEX('Feed library'!$B$2:$CL$177,MATCH($A10,'Feed library'!$A$2:$A$177,0),MATCH("DM",'Feed library'!$B$1:$CL$1,0)),0)</f>
        <v>0</v>
      </c>
      <c r="F10" s="36">
        <f>IFERROR(INDEX('Feed library'!$B$2:$CL$177,MATCH($A10,'Feed library'!$A$2:$A$177,0),MATCH("feed_type",'Feed library'!$B$1:$CL$1,0)),0)</f>
        <v>0</v>
      </c>
      <c r="G10" s="39">
        <f>IFERROR(INDEX('Feed library'!$B$2:$CL$177,MATCH($A10,'Feed library'!$A$2:$A$177,0),MATCH("ash",'Feed library'!$B$1:$CL$1,0)),0)</f>
        <v>0</v>
      </c>
      <c r="H10" s="39">
        <f>IFERROR(INDEX('Feed library'!$B$2:$CL$177,MATCH($A10,'Feed library'!$A$2:$A$177,0),MATCH("CP",'Feed library'!$B$1:$CL$1,0)),0)</f>
        <v>0</v>
      </c>
      <c r="I10" s="39">
        <f>IFERROR(INDEX('Feed library'!$B$2:$CL$177,MATCH($A10,'Feed library'!$A$2:$A$177,0),MATCH("NDF",'Feed library'!$B$1:$CL$1,0)),0)</f>
        <v>0</v>
      </c>
      <c r="J10" s="39">
        <f>IFERROR(INDEX('Feed library'!$B$2:$CL$177,MATCH($A10,'Feed library'!$A$2:$A$177,0),MATCH("starch",'Feed library'!$B$1:$CL$1,0)),0)</f>
        <v>0</v>
      </c>
      <c r="K10" s="39">
        <f>IFERROR(INDEX('Feed library'!$B$2:$CL$177,MATCH($A10,'Feed library'!$A$2:$A$177,0),MATCH("EE",'Feed library'!$B$1:$CL$1,0)),0)</f>
        <v>0</v>
      </c>
      <c r="L10" s="39">
        <f>IFERROR(INDEX('Feed library'!$B$2:$CL$177,MATCH($A10,'Feed library'!$A$2:$A$177,0),MATCH("calcium",'Feed library'!$B$1:$CL$1,0)),0)</f>
        <v>0</v>
      </c>
      <c r="M10" s="39">
        <f>IFERROR(INDEX('Feed library'!$B$2:$CL$177,MATCH($A10,'Feed library'!$A$2:$A$177,0),MATCH("TDN",'Feed library'!$B$1:$CL$1,0)),0)</f>
        <v>0</v>
      </c>
      <c r="N10" s="39">
        <f>INDEX(Global_inputs!$D$17:$D$56,MATCH(growing!A10,Global_inputs!$C$17:$C$56,0))</f>
        <v>0</v>
      </c>
      <c r="P10" s="24" t="s">
        <v>289</v>
      </c>
      <c r="Q10" s="14">
        <f>SUMPRODUCT(K$3:K$22,$B$3:$B$22)*0.01</f>
        <v>3.0803577464788741E-2</v>
      </c>
      <c r="R10" s="27" t="str">
        <f>IF(Q10&gt;MAX_EE,"Upper EE limit exceed","")</f>
        <v/>
      </c>
    </row>
    <row r="11" spans="1:18" x14ac:dyDescent="0.25">
      <c r="A11" s="36" t="str">
        <f>IFERROR(INDEX('Feed library'!A:A,MATCH(C11,'Feed library'!B:B,0)),"")</f>
        <v/>
      </c>
      <c r="B11" s="37">
        <f t="shared" si="0"/>
        <v>0</v>
      </c>
      <c r="C11" s="38"/>
      <c r="D11" s="41"/>
      <c r="E11" s="39">
        <f>IFERROR(INDEX('Feed library'!$B$2:$CL$177,MATCH($A11,'Feed library'!$A$2:$A$177,0),MATCH("DM",'Feed library'!$B$1:$CL$1,0)),0)</f>
        <v>0</v>
      </c>
      <c r="F11" s="36">
        <f>IFERROR(INDEX('Feed library'!$B$2:$CL$177,MATCH($A11,'Feed library'!$A$2:$A$177,0),MATCH("feed_type",'Feed library'!$B$1:$CL$1,0)),0)</f>
        <v>0</v>
      </c>
      <c r="G11" s="39">
        <f>IFERROR(INDEX('Feed library'!$B$2:$CL$177,MATCH($A11,'Feed library'!$A$2:$A$177,0),MATCH("ash",'Feed library'!$B$1:$CL$1,0)),0)</f>
        <v>0</v>
      </c>
      <c r="H11" s="39">
        <f>IFERROR(INDEX('Feed library'!$B$2:$CL$177,MATCH($A11,'Feed library'!$A$2:$A$177,0),MATCH("CP",'Feed library'!$B$1:$CL$1,0)),0)</f>
        <v>0</v>
      </c>
      <c r="I11" s="39">
        <f>IFERROR(INDEX('Feed library'!$B$2:$CL$177,MATCH($A11,'Feed library'!$A$2:$A$177,0),MATCH("NDF",'Feed library'!$B$1:$CL$1,0)),0)</f>
        <v>0</v>
      </c>
      <c r="J11" s="39">
        <f>IFERROR(INDEX('Feed library'!$B$2:$CL$177,MATCH($A11,'Feed library'!$A$2:$A$177,0),MATCH("starch",'Feed library'!$B$1:$CL$1,0)),0)</f>
        <v>0</v>
      </c>
      <c r="K11" s="39">
        <f>IFERROR(INDEX('Feed library'!$B$2:$CL$177,MATCH($A11,'Feed library'!$A$2:$A$177,0),MATCH("EE",'Feed library'!$B$1:$CL$1,0)),0)</f>
        <v>0</v>
      </c>
      <c r="L11" s="39">
        <f>IFERROR(INDEX('Feed library'!$B$2:$CL$177,MATCH($A11,'Feed library'!$A$2:$A$177,0),MATCH("calcium",'Feed library'!$B$1:$CL$1,0)),0)</f>
        <v>0</v>
      </c>
      <c r="M11" s="39">
        <f>IFERROR(INDEX('Feed library'!$B$2:$CL$177,MATCH($A11,'Feed library'!$A$2:$A$177,0),MATCH("TDN",'Feed library'!$B$1:$CL$1,0)),0)</f>
        <v>0</v>
      </c>
      <c r="N11" s="39">
        <f>INDEX(Global_inputs!$D$17:$D$56,MATCH(growing!A11,Global_inputs!$C$17:$C$56,0))</f>
        <v>0</v>
      </c>
      <c r="P11" s="24" t="s">
        <v>290</v>
      </c>
      <c r="Q11" s="14">
        <f>SUMPRODUCT(L$3:L$22,$B$3:$B$22)*0.01</f>
        <v>8.7156338028169019E-3</v>
      </c>
      <c r="R11" s="27"/>
    </row>
    <row r="12" spans="1:18" x14ac:dyDescent="0.25">
      <c r="A12" s="36" t="str">
        <f>IFERROR(INDEX('Feed library'!A:A,MATCH(C12,'Feed library'!B:B,0)),"")</f>
        <v/>
      </c>
      <c r="B12" s="37">
        <f t="shared" si="0"/>
        <v>0</v>
      </c>
      <c r="C12" s="38"/>
      <c r="D12" s="41"/>
      <c r="E12" s="39">
        <f>IFERROR(INDEX('Feed library'!$B$2:$CL$177,MATCH($A12,'Feed library'!$A$2:$A$177,0),MATCH("DM",'Feed library'!$B$1:$CL$1,0)),0)</f>
        <v>0</v>
      </c>
      <c r="F12" s="36">
        <f>IFERROR(INDEX('Feed library'!$B$2:$CL$177,MATCH($A12,'Feed library'!$A$2:$A$177,0),MATCH("feed_type",'Feed library'!$B$1:$CL$1,0)),0)</f>
        <v>0</v>
      </c>
      <c r="G12" s="39">
        <f>IFERROR(INDEX('Feed library'!$B$2:$CL$177,MATCH($A12,'Feed library'!$A$2:$A$177,0),MATCH("ash",'Feed library'!$B$1:$CL$1,0)),0)</f>
        <v>0</v>
      </c>
      <c r="H12" s="39">
        <f>IFERROR(INDEX('Feed library'!$B$2:$CL$177,MATCH($A12,'Feed library'!$A$2:$A$177,0),MATCH("CP",'Feed library'!$B$1:$CL$1,0)),0)</f>
        <v>0</v>
      </c>
      <c r="I12" s="39">
        <f>IFERROR(INDEX('Feed library'!$B$2:$CL$177,MATCH($A12,'Feed library'!$A$2:$A$177,0),MATCH("NDF",'Feed library'!$B$1:$CL$1,0)),0)</f>
        <v>0</v>
      </c>
      <c r="J12" s="39">
        <f>IFERROR(INDEX('Feed library'!$B$2:$CL$177,MATCH($A12,'Feed library'!$A$2:$A$177,0),MATCH("starch",'Feed library'!$B$1:$CL$1,0)),0)</f>
        <v>0</v>
      </c>
      <c r="K12" s="39">
        <f>IFERROR(INDEX('Feed library'!$B$2:$CL$177,MATCH($A12,'Feed library'!$A$2:$A$177,0),MATCH("EE",'Feed library'!$B$1:$CL$1,0)),0)</f>
        <v>0</v>
      </c>
      <c r="L12" s="39">
        <f>IFERROR(INDEX('Feed library'!$B$2:$CL$177,MATCH($A12,'Feed library'!$A$2:$A$177,0),MATCH("calcium",'Feed library'!$B$1:$CL$1,0)),0)</f>
        <v>0</v>
      </c>
      <c r="M12" s="39">
        <f>IFERROR(INDEX('Feed library'!$B$2:$CL$177,MATCH($A12,'Feed library'!$A$2:$A$177,0),MATCH("TDN",'Feed library'!$B$1:$CL$1,0)),0)</f>
        <v>0</v>
      </c>
      <c r="N12" s="39">
        <f>INDEX(Global_inputs!$D$17:$D$56,MATCH(growing!A12,Global_inputs!$C$17:$C$56,0))</f>
        <v>0</v>
      </c>
      <c r="P12" s="24" t="s">
        <v>88</v>
      </c>
      <c r="Q12" s="14">
        <f>SUMPRODUCT(M$3:M$22,$B$3:$B$22)*0.01</f>
        <v>0.68861126760563363</v>
      </c>
      <c r="R12" s="27"/>
    </row>
    <row r="13" spans="1:18" x14ac:dyDescent="0.25">
      <c r="A13" s="36" t="str">
        <f>IFERROR(INDEX('Feed library'!A:A,MATCH(C13,'Feed library'!B:B,0)),"")</f>
        <v/>
      </c>
      <c r="B13" s="37">
        <f t="shared" si="0"/>
        <v>0</v>
      </c>
      <c r="C13" s="38"/>
      <c r="D13" s="41"/>
      <c r="E13" s="39">
        <f>IFERROR(INDEX('Feed library'!$B$2:$CL$177,MATCH($A13,'Feed library'!$A$2:$A$177,0),MATCH("DM",'Feed library'!$B$1:$CL$1,0)),0)</f>
        <v>0</v>
      </c>
      <c r="F13" s="36">
        <f>IFERROR(INDEX('Feed library'!$B$2:$CL$177,MATCH($A13,'Feed library'!$A$2:$A$177,0),MATCH("feed_type",'Feed library'!$B$1:$CL$1,0)),0)</f>
        <v>0</v>
      </c>
      <c r="G13" s="39">
        <f>IFERROR(INDEX('Feed library'!$B$2:$CL$177,MATCH($A13,'Feed library'!$A$2:$A$177,0),MATCH("ash",'Feed library'!$B$1:$CL$1,0)),0)</f>
        <v>0</v>
      </c>
      <c r="H13" s="39">
        <f>IFERROR(INDEX('Feed library'!$B$2:$CL$177,MATCH($A13,'Feed library'!$A$2:$A$177,0),MATCH("CP",'Feed library'!$B$1:$CL$1,0)),0)</f>
        <v>0</v>
      </c>
      <c r="I13" s="39">
        <f>IFERROR(INDEX('Feed library'!$B$2:$CL$177,MATCH($A13,'Feed library'!$A$2:$A$177,0),MATCH("NDF",'Feed library'!$B$1:$CL$1,0)),0)</f>
        <v>0</v>
      </c>
      <c r="J13" s="39">
        <f>IFERROR(INDEX('Feed library'!$B$2:$CL$177,MATCH($A13,'Feed library'!$A$2:$A$177,0),MATCH("starch",'Feed library'!$B$1:$CL$1,0)),0)</f>
        <v>0</v>
      </c>
      <c r="K13" s="39">
        <f>IFERROR(INDEX('Feed library'!$B$2:$CL$177,MATCH($A13,'Feed library'!$A$2:$A$177,0),MATCH("EE",'Feed library'!$B$1:$CL$1,0)),0)</f>
        <v>0</v>
      </c>
      <c r="L13" s="39">
        <f>IFERROR(INDEX('Feed library'!$B$2:$CL$177,MATCH($A13,'Feed library'!$A$2:$A$177,0),MATCH("calcium",'Feed library'!$B$1:$CL$1,0)),0)</f>
        <v>0</v>
      </c>
      <c r="M13" s="39">
        <f>IFERROR(INDEX('Feed library'!$B$2:$CL$177,MATCH($A13,'Feed library'!$A$2:$A$177,0),MATCH("TDN",'Feed library'!$B$1:$CL$1,0)),0)</f>
        <v>0</v>
      </c>
      <c r="N13" s="39">
        <f>INDEX(Global_inputs!$D$17:$D$56,MATCH(growing!A13,Global_inputs!$C$17:$C$56,0))</f>
        <v>0</v>
      </c>
    </row>
    <row r="14" spans="1:18" x14ac:dyDescent="0.25">
      <c r="A14" s="36" t="str">
        <f>IFERROR(INDEX('Feed library'!A:A,MATCH(C14,'Feed library'!B:B,0)),"")</f>
        <v/>
      </c>
      <c r="B14" s="37">
        <f t="shared" si="0"/>
        <v>0</v>
      </c>
      <c r="C14" s="38"/>
      <c r="D14" s="41"/>
      <c r="E14" s="39">
        <f>IFERROR(INDEX('Feed library'!$B$2:$CL$177,MATCH($A14,'Feed library'!$A$2:$A$177,0),MATCH("DM",'Feed library'!$B$1:$CL$1,0)),0)</f>
        <v>0</v>
      </c>
      <c r="F14" s="36">
        <f>IFERROR(INDEX('Feed library'!$B$2:$CL$177,MATCH($A14,'Feed library'!$A$2:$A$177,0),MATCH("feed_type",'Feed library'!$B$1:$CL$1,0)),0)</f>
        <v>0</v>
      </c>
      <c r="G14" s="39">
        <f>IFERROR(INDEX('Feed library'!$B$2:$CL$177,MATCH($A14,'Feed library'!$A$2:$A$177,0),MATCH("ash",'Feed library'!$B$1:$CL$1,0)),0)</f>
        <v>0</v>
      </c>
      <c r="H14" s="39">
        <f>IFERROR(INDEX('Feed library'!$B$2:$CL$177,MATCH($A14,'Feed library'!$A$2:$A$177,0),MATCH("CP",'Feed library'!$B$1:$CL$1,0)),0)</f>
        <v>0</v>
      </c>
      <c r="I14" s="39">
        <f>IFERROR(INDEX('Feed library'!$B$2:$CL$177,MATCH($A14,'Feed library'!$A$2:$A$177,0),MATCH("NDF",'Feed library'!$B$1:$CL$1,0)),0)</f>
        <v>0</v>
      </c>
      <c r="J14" s="39">
        <f>IFERROR(INDEX('Feed library'!$B$2:$CL$177,MATCH($A14,'Feed library'!$A$2:$A$177,0),MATCH("starch",'Feed library'!$B$1:$CL$1,0)),0)</f>
        <v>0</v>
      </c>
      <c r="K14" s="39">
        <f>IFERROR(INDEX('Feed library'!$B$2:$CL$177,MATCH($A14,'Feed library'!$A$2:$A$177,0),MATCH("EE",'Feed library'!$B$1:$CL$1,0)),0)</f>
        <v>0</v>
      </c>
      <c r="L14" s="39">
        <f>IFERROR(INDEX('Feed library'!$B$2:$CL$177,MATCH($A14,'Feed library'!$A$2:$A$177,0),MATCH("calcium",'Feed library'!$B$1:$CL$1,0)),0)</f>
        <v>0</v>
      </c>
      <c r="M14" s="39">
        <f>IFERROR(INDEX('Feed library'!$B$2:$CL$177,MATCH($A14,'Feed library'!$A$2:$A$177,0),MATCH("TDN",'Feed library'!$B$1:$CL$1,0)),0)</f>
        <v>0</v>
      </c>
      <c r="N14" s="39">
        <f>INDEX(Global_inputs!$D$17:$D$56,MATCH(growing!A14,Global_inputs!$C$17:$C$56,0))</f>
        <v>0</v>
      </c>
      <c r="Q14" s="25"/>
    </row>
    <row r="15" spans="1:18" x14ac:dyDescent="0.25">
      <c r="A15" s="36" t="str">
        <f>IFERROR(INDEX('Feed library'!A:A,MATCH(C15,'Feed library'!B:B,0)),"")</f>
        <v/>
      </c>
      <c r="B15" s="37">
        <f t="shared" si="0"/>
        <v>0</v>
      </c>
      <c r="C15" s="38"/>
      <c r="D15" s="41"/>
      <c r="E15" s="39">
        <f>IFERROR(INDEX('Feed library'!$B$2:$CL$177,MATCH($A15,'Feed library'!$A$2:$A$177,0),MATCH("DM",'Feed library'!$B$1:$CL$1,0)),0)</f>
        <v>0</v>
      </c>
      <c r="F15" s="36">
        <f>IFERROR(INDEX('Feed library'!$B$2:$CL$177,MATCH($A15,'Feed library'!$A$2:$A$177,0),MATCH("feed_type",'Feed library'!$B$1:$CL$1,0)),0)</f>
        <v>0</v>
      </c>
      <c r="G15" s="39">
        <f>IFERROR(INDEX('Feed library'!$B$2:$CL$177,MATCH($A15,'Feed library'!$A$2:$A$177,0),MATCH("ash",'Feed library'!$B$1:$CL$1,0)),0)</f>
        <v>0</v>
      </c>
      <c r="H15" s="39">
        <f>IFERROR(INDEX('Feed library'!$B$2:$CL$177,MATCH($A15,'Feed library'!$A$2:$A$177,0),MATCH("CP",'Feed library'!$B$1:$CL$1,0)),0)</f>
        <v>0</v>
      </c>
      <c r="I15" s="39">
        <f>IFERROR(INDEX('Feed library'!$B$2:$CL$177,MATCH($A15,'Feed library'!$A$2:$A$177,0),MATCH("NDF",'Feed library'!$B$1:$CL$1,0)),0)</f>
        <v>0</v>
      </c>
      <c r="J15" s="39">
        <f>IFERROR(INDEX('Feed library'!$B$2:$CL$177,MATCH($A15,'Feed library'!$A$2:$A$177,0),MATCH("starch",'Feed library'!$B$1:$CL$1,0)),0)</f>
        <v>0</v>
      </c>
      <c r="K15" s="39">
        <f>IFERROR(INDEX('Feed library'!$B$2:$CL$177,MATCH($A15,'Feed library'!$A$2:$A$177,0),MATCH("EE",'Feed library'!$B$1:$CL$1,0)),0)</f>
        <v>0</v>
      </c>
      <c r="L15" s="39">
        <f>IFERROR(INDEX('Feed library'!$B$2:$CL$177,MATCH($A15,'Feed library'!$A$2:$A$177,0),MATCH("calcium",'Feed library'!$B$1:$CL$1,0)),0)</f>
        <v>0</v>
      </c>
      <c r="M15" s="39">
        <f>IFERROR(INDEX('Feed library'!$B$2:$CL$177,MATCH($A15,'Feed library'!$A$2:$A$177,0),MATCH("TDN",'Feed library'!$B$1:$CL$1,0)),0)</f>
        <v>0</v>
      </c>
      <c r="N15" s="39">
        <f>INDEX(Global_inputs!$D$17:$D$56,MATCH(growing!A15,Global_inputs!$C$17:$C$56,0))</f>
        <v>0</v>
      </c>
      <c r="P15" s="26"/>
    </row>
    <row r="16" spans="1:18" x14ac:dyDescent="0.25">
      <c r="A16" s="36" t="str">
        <f>IFERROR(INDEX('Feed library'!A:A,MATCH(C16,'Feed library'!B:B,0)),"")</f>
        <v/>
      </c>
      <c r="B16" s="37">
        <f t="shared" si="0"/>
        <v>0</v>
      </c>
      <c r="C16" s="40"/>
      <c r="D16" s="41"/>
      <c r="E16" s="39">
        <f>IFERROR(INDEX('Feed library'!$B$2:$CL$177,MATCH($A16,'Feed library'!$A$2:$A$177,0),MATCH("DM",'Feed library'!$B$1:$CL$1,0)),0)</f>
        <v>0</v>
      </c>
      <c r="F16" s="36">
        <f>IFERROR(INDEX('Feed library'!$B$2:$CL$177,MATCH($A16,'Feed library'!$A$2:$A$177,0),MATCH("feed_type",'Feed library'!$B$1:$CL$1,0)),0)</f>
        <v>0</v>
      </c>
      <c r="G16" s="39">
        <f>IFERROR(INDEX('Feed library'!$B$2:$CL$177,MATCH($A16,'Feed library'!$A$2:$A$177,0),MATCH("ash",'Feed library'!$B$1:$CL$1,0)),0)</f>
        <v>0</v>
      </c>
      <c r="H16" s="39">
        <f>IFERROR(INDEX('Feed library'!$B$2:$CL$177,MATCH($A16,'Feed library'!$A$2:$A$177,0),MATCH("CP",'Feed library'!$B$1:$CL$1,0)),0)</f>
        <v>0</v>
      </c>
      <c r="I16" s="39">
        <f>IFERROR(INDEX('Feed library'!$B$2:$CL$177,MATCH($A16,'Feed library'!$A$2:$A$177,0),MATCH("NDF",'Feed library'!$B$1:$CL$1,0)),0)</f>
        <v>0</v>
      </c>
      <c r="J16" s="39">
        <f>IFERROR(INDEX('Feed library'!$B$2:$CL$177,MATCH($A16,'Feed library'!$A$2:$A$177,0),MATCH("starch",'Feed library'!$B$1:$CL$1,0)),0)</f>
        <v>0</v>
      </c>
      <c r="K16" s="39">
        <f>IFERROR(INDEX('Feed library'!$B$2:$CL$177,MATCH($A16,'Feed library'!$A$2:$A$177,0),MATCH("EE",'Feed library'!$B$1:$CL$1,0)),0)</f>
        <v>0</v>
      </c>
      <c r="L16" s="39">
        <f>IFERROR(INDEX('Feed library'!$B$2:$CL$177,MATCH($A16,'Feed library'!$A$2:$A$177,0),MATCH("calcium",'Feed library'!$B$1:$CL$1,0)),0)</f>
        <v>0</v>
      </c>
      <c r="M16" s="39">
        <f>IFERROR(INDEX('Feed library'!$B$2:$CL$177,MATCH($A16,'Feed library'!$A$2:$A$177,0),MATCH("TDN",'Feed library'!$B$1:$CL$1,0)),0)</f>
        <v>0</v>
      </c>
      <c r="N16" s="39">
        <f>INDEX(Global_inputs!$D$17:$D$56,MATCH(growing!A16,Global_inputs!$C$17:$C$56,0))</f>
        <v>0</v>
      </c>
    </row>
    <row r="17" spans="1:14" x14ac:dyDescent="0.25">
      <c r="A17" s="36" t="str">
        <f>IFERROR(INDEX('Feed library'!A:A,MATCH(C17,'Feed library'!B:B,0)),"")</f>
        <v/>
      </c>
      <c r="B17" s="37">
        <f t="shared" si="0"/>
        <v>0</v>
      </c>
      <c r="C17" s="40"/>
      <c r="D17" s="41"/>
      <c r="E17" s="39">
        <f>IFERROR(INDEX('Feed library'!$B$2:$CL$177,MATCH($A17,'Feed library'!$A$2:$A$177,0),MATCH("DM",'Feed library'!$B$1:$CL$1,0)),0)</f>
        <v>0</v>
      </c>
      <c r="F17" s="36">
        <f>IFERROR(INDEX('Feed library'!$B$2:$CL$177,MATCH($A17,'Feed library'!$A$2:$A$177,0),MATCH("feed_type",'Feed library'!$B$1:$CL$1,0)),0)</f>
        <v>0</v>
      </c>
      <c r="G17" s="39">
        <f>IFERROR(INDEX('Feed library'!$B$2:$CL$177,MATCH($A17,'Feed library'!$A$2:$A$177,0),MATCH("ash",'Feed library'!$B$1:$CL$1,0)),0)</f>
        <v>0</v>
      </c>
      <c r="H17" s="39">
        <f>IFERROR(INDEX('Feed library'!$B$2:$CL$177,MATCH($A17,'Feed library'!$A$2:$A$177,0),MATCH("CP",'Feed library'!$B$1:$CL$1,0)),0)</f>
        <v>0</v>
      </c>
      <c r="I17" s="39">
        <f>IFERROR(INDEX('Feed library'!$B$2:$CL$177,MATCH($A17,'Feed library'!$A$2:$A$177,0),MATCH("NDF",'Feed library'!$B$1:$CL$1,0)),0)</f>
        <v>0</v>
      </c>
      <c r="J17" s="39">
        <f>IFERROR(INDEX('Feed library'!$B$2:$CL$177,MATCH($A17,'Feed library'!$A$2:$A$177,0),MATCH("starch",'Feed library'!$B$1:$CL$1,0)),0)</f>
        <v>0</v>
      </c>
      <c r="K17" s="39">
        <f>IFERROR(INDEX('Feed library'!$B$2:$CL$177,MATCH($A17,'Feed library'!$A$2:$A$177,0),MATCH("EE",'Feed library'!$B$1:$CL$1,0)),0)</f>
        <v>0</v>
      </c>
      <c r="L17" s="39">
        <f>IFERROR(INDEX('Feed library'!$B$2:$CL$177,MATCH($A17,'Feed library'!$A$2:$A$177,0),MATCH("calcium",'Feed library'!$B$1:$CL$1,0)),0)</f>
        <v>0</v>
      </c>
      <c r="M17" s="39">
        <f>IFERROR(INDEX('Feed library'!$B$2:$CL$177,MATCH($A17,'Feed library'!$A$2:$A$177,0),MATCH("TDN",'Feed library'!$B$1:$CL$1,0)),0)</f>
        <v>0</v>
      </c>
      <c r="N17" s="39">
        <f>INDEX(Global_inputs!$D$17:$D$56,MATCH(growing!A17,Global_inputs!$C$17:$C$56,0))</f>
        <v>0</v>
      </c>
    </row>
    <row r="18" spans="1:14" x14ac:dyDescent="0.25">
      <c r="A18" s="36" t="str">
        <f>IFERROR(INDEX('Feed library'!A:A,MATCH(C18,'Feed library'!B:B,0)),"")</f>
        <v/>
      </c>
      <c r="B18" s="37">
        <f t="shared" si="0"/>
        <v>0</v>
      </c>
      <c r="C18" s="40"/>
      <c r="D18" s="41"/>
      <c r="E18" s="39">
        <f>IFERROR(INDEX('Feed library'!$B$2:$CL$177,MATCH($A18,'Feed library'!$A$2:$A$177,0),MATCH("DM",'Feed library'!$B$1:$CL$1,0)),0)</f>
        <v>0</v>
      </c>
      <c r="F18" s="36">
        <f>IFERROR(INDEX('Feed library'!$B$2:$CL$177,MATCH($A18,'Feed library'!$A$2:$A$177,0),MATCH("feed_type",'Feed library'!$B$1:$CL$1,0)),0)</f>
        <v>0</v>
      </c>
      <c r="G18" s="39">
        <f>IFERROR(INDEX('Feed library'!$B$2:$CL$177,MATCH($A18,'Feed library'!$A$2:$A$177,0),MATCH("ash",'Feed library'!$B$1:$CL$1,0)),0)</f>
        <v>0</v>
      </c>
      <c r="H18" s="39">
        <f>IFERROR(INDEX('Feed library'!$B$2:$CL$177,MATCH($A18,'Feed library'!$A$2:$A$177,0),MATCH("CP",'Feed library'!$B$1:$CL$1,0)),0)</f>
        <v>0</v>
      </c>
      <c r="I18" s="39">
        <f>IFERROR(INDEX('Feed library'!$B$2:$CL$177,MATCH($A18,'Feed library'!$A$2:$A$177,0),MATCH("NDF",'Feed library'!$B$1:$CL$1,0)),0)</f>
        <v>0</v>
      </c>
      <c r="J18" s="39">
        <f>IFERROR(INDEX('Feed library'!$B$2:$CL$177,MATCH($A18,'Feed library'!$A$2:$A$177,0),MATCH("starch",'Feed library'!$B$1:$CL$1,0)),0)</f>
        <v>0</v>
      </c>
      <c r="K18" s="39">
        <f>IFERROR(INDEX('Feed library'!$B$2:$CL$177,MATCH($A18,'Feed library'!$A$2:$A$177,0),MATCH("EE",'Feed library'!$B$1:$CL$1,0)),0)</f>
        <v>0</v>
      </c>
      <c r="L18" s="39">
        <f>IFERROR(INDEX('Feed library'!$B$2:$CL$177,MATCH($A18,'Feed library'!$A$2:$A$177,0),MATCH("calcium",'Feed library'!$B$1:$CL$1,0)),0)</f>
        <v>0</v>
      </c>
      <c r="M18" s="39">
        <f>IFERROR(INDEX('Feed library'!$B$2:$CL$177,MATCH($A18,'Feed library'!$A$2:$A$177,0),MATCH("TDN",'Feed library'!$B$1:$CL$1,0)),0)</f>
        <v>0</v>
      </c>
      <c r="N18" s="39">
        <f>INDEX(Global_inputs!$D$17:$D$56,MATCH(growing!A18,Global_inputs!$C$17:$C$56,0))</f>
        <v>0</v>
      </c>
    </row>
    <row r="19" spans="1:14" x14ac:dyDescent="0.25">
      <c r="A19" s="36" t="str">
        <f>IFERROR(INDEX('Feed library'!A:A,MATCH(C19,'Feed library'!B:B,0)),"")</f>
        <v/>
      </c>
      <c r="B19" s="37">
        <f t="shared" si="0"/>
        <v>0</v>
      </c>
      <c r="C19" s="40"/>
      <c r="D19" s="41"/>
      <c r="E19" s="39">
        <f>IFERROR(INDEX('Feed library'!$B$2:$CL$177,MATCH($A19,'Feed library'!$A$2:$A$177,0),MATCH("DM",'Feed library'!$B$1:$CL$1,0)),0)</f>
        <v>0</v>
      </c>
      <c r="F19" s="36">
        <f>IFERROR(INDEX('Feed library'!$B$2:$CL$177,MATCH($A19,'Feed library'!$A$2:$A$177,0),MATCH("feed_type",'Feed library'!$B$1:$CL$1,0)),0)</f>
        <v>0</v>
      </c>
      <c r="G19" s="39">
        <f>IFERROR(INDEX('Feed library'!$B$2:$CL$177,MATCH($A19,'Feed library'!$A$2:$A$177,0),MATCH("ash",'Feed library'!$B$1:$CL$1,0)),0)</f>
        <v>0</v>
      </c>
      <c r="H19" s="39">
        <f>IFERROR(INDEX('Feed library'!$B$2:$CL$177,MATCH($A19,'Feed library'!$A$2:$A$177,0),MATCH("CP",'Feed library'!$B$1:$CL$1,0)),0)</f>
        <v>0</v>
      </c>
      <c r="I19" s="39">
        <f>IFERROR(INDEX('Feed library'!$B$2:$CL$177,MATCH($A19,'Feed library'!$A$2:$A$177,0),MATCH("NDF",'Feed library'!$B$1:$CL$1,0)),0)</f>
        <v>0</v>
      </c>
      <c r="J19" s="39">
        <f>IFERROR(INDEX('Feed library'!$B$2:$CL$177,MATCH($A19,'Feed library'!$A$2:$A$177,0),MATCH("starch",'Feed library'!$B$1:$CL$1,0)),0)</f>
        <v>0</v>
      </c>
      <c r="K19" s="39">
        <f>IFERROR(INDEX('Feed library'!$B$2:$CL$177,MATCH($A19,'Feed library'!$A$2:$A$177,0),MATCH("EE",'Feed library'!$B$1:$CL$1,0)),0)</f>
        <v>0</v>
      </c>
      <c r="L19" s="39">
        <f>IFERROR(INDEX('Feed library'!$B$2:$CL$177,MATCH($A19,'Feed library'!$A$2:$A$177,0),MATCH("calcium",'Feed library'!$B$1:$CL$1,0)),0)</f>
        <v>0</v>
      </c>
      <c r="M19" s="39">
        <f>IFERROR(INDEX('Feed library'!$B$2:$CL$177,MATCH($A19,'Feed library'!$A$2:$A$177,0),MATCH("TDN",'Feed library'!$B$1:$CL$1,0)),0)</f>
        <v>0</v>
      </c>
      <c r="N19" s="39">
        <f>INDEX(Global_inputs!$D$17:$D$56,MATCH(growing!A19,Global_inputs!$C$17:$C$56,0))</f>
        <v>0</v>
      </c>
    </row>
    <row r="20" spans="1:14" x14ac:dyDescent="0.25">
      <c r="A20" s="36" t="str">
        <f>IFERROR(INDEX('Feed library'!A:A,MATCH(C20,'Feed library'!B:B,0)),"")</f>
        <v/>
      </c>
      <c r="B20" s="37">
        <f t="shared" si="0"/>
        <v>0</v>
      </c>
      <c r="C20" s="40"/>
      <c r="D20" s="41"/>
      <c r="E20" s="39">
        <f>IFERROR(INDEX('Feed library'!$B$2:$CL$177,MATCH($A20,'Feed library'!$A$2:$A$177,0),MATCH("DM",'Feed library'!$B$1:$CL$1,0)),0)</f>
        <v>0</v>
      </c>
      <c r="F20" s="36">
        <f>IFERROR(INDEX('Feed library'!$B$2:$CL$177,MATCH($A20,'Feed library'!$A$2:$A$177,0),MATCH("feed_type",'Feed library'!$B$1:$CL$1,0)),0)</f>
        <v>0</v>
      </c>
      <c r="G20" s="39">
        <f>IFERROR(INDEX('Feed library'!$B$2:$CL$177,MATCH($A20,'Feed library'!$A$2:$A$177,0),MATCH("ash",'Feed library'!$B$1:$CL$1,0)),0)</f>
        <v>0</v>
      </c>
      <c r="H20" s="39">
        <f>IFERROR(INDEX('Feed library'!$B$2:$CL$177,MATCH($A20,'Feed library'!$A$2:$A$177,0),MATCH("CP",'Feed library'!$B$1:$CL$1,0)),0)</f>
        <v>0</v>
      </c>
      <c r="I20" s="39">
        <f>IFERROR(INDEX('Feed library'!$B$2:$CL$177,MATCH($A20,'Feed library'!$A$2:$A$177,0),MATCH("NDF",'Feed library'!$B$1:$CL$1,0)),0)</f>
        <v>0</v>
      </c>
      <c r="J20" s="39">
        <f>IFERROR(INDEX('Feed library'!$B$2:$CL$177,MATCH($A20,'Feed library'!$A$2:$A$177,0),MATCH("starch",'Feed library'!$B$1:$CL$1,0)),0)</f>
        <v>0</v>
      </c>
      <c r="K20" s="39">
        <f>IFERROR(INDEX('Feed library'!$B$2:$CL$177,MATCH($A20,'Feed library'!$A$2:$A$177,0),MATCH("EE",'Feed library'!$B$1:$CL$1,0)),0)</f>
        <v>0</v>
      </c>
      <c r="L20" s="39">
        <f>IFERROR(INDEX('Feed library'!$B$2:$CL$177,MATCH($A20,'Feed library'!$A$2:$A$177,0),MATCH("calcium",'Feed library'!$B$1:$CL$1,0)),0)</f>
        <v>0</v>
      </c>
      <c r="M20" s="39">
        <f>IFERROR(INDEX('Feed library'!$B$2:$CL$177,MATCH($A20,'Feed library'!$A$2:$A$177,0),MATCH("TDN",'Feed library'!$B$1:$CL$1,0)),0)</f>
        <v>0</v>
      </c>
      <c r="N20" s="39">
        <f>INDEX(Global_inputs!$D$17:$D$56,MATCH(growing!A20,Global_inputs!$C$17:$C$56,0))</f>
        <v>0</v>
      </c>
    </row>
    <row r="21" spans="1:14" x14ac:dyDescent="0.25">
      <c r="A21" s="36" t="str">
        <f>IFERROR(INDEX('Feed library'!A:A,MATCH(C21,'Feed library'!B:B,0)),"")</f>
        <v/>
      </c>
      <c r="B21" s="37">
        <f t="shared" si="0"/>
        <v>0</v>
      </c>
      <c r="C21" s="40"/>
      <c r="D21" s="41"/>
      <c r="E21" s="39">
        <f>IFERROR(INDEX('Feed library'!$B$2:$CL$177,MATCH($A21,'Feed library'!$A$2:$A$177,0),MATCH("DM",'Feed library'!$B$1:$CL$1,0)),0)</f>
        <v>0</v>
      </c>
      <c r="F21" s="36">
        <f>IFERROR(INDEX('Feed library'!$B$2:$CL$177,MATCH($A21,'Feed library'!$A$2:$A$177,0),MATCH("feed_type",'Feed library'!$B$1:$CL$1,0)),0)</f>
        <v>0</v>
      </c>
      <c r="G21" s="39">
        <f>IFERROR(INDEX('Feed library'!$B$2:$CL$177,MATCH($A21,'Feed library'!$A$2:$A$177,0),MATCH("ash",'Feed library'!$B$1:$CL$1,0)),0)</f>
        <v>0</v>
      </c>
      <c r="H21" s="39">
        <f>IFERROR(INDEX('Feed library'!$B$2:$CL$177,MATCH($A21,'Feed library'!$A$2:$A$177,0),MATCH("CP",'Feed library'!$B$1:$CL$1,0)),0)</f>
        <v>0</v>
      </c>
      <c r="I21" s="39">
        <f>IFERROR(INDEX('Feed library'!$B$2:$CL$177,MATCH($A21,'Feed library'!$A$2:$A$177,0),MATCH("NDF",'Feed library'!$B$1:$CL$1,0)),0)</f>
        <v>0</v>
      </c>
      <c r="J21" s="39">
        <f>IFERROR(INDEX('Feed library'!$B$2:$CL$177,MATCH($A21,'Feed library'!$A$2:$A$177,0),MATCH("starch",'Feed library'!$B$1:$CL$1,0)),0)</f>
        <v>0</v>
      </c>
      <c r="K21" s="39">
        <f>IFERROR(INDEX('Feed library'!$B$2:$CL$177,MATCH($A21,'Feed library'!$A$2:$A$177,0),MATCH("EE",'Feed library'!$B$1:$CL$1,0)),0)</f>
        <v>0</v>
      </c>
      <c r="L21" s="39">
        <f>IFERROR(INDEX('Feed library'!$B$2:$CL$177,MATCH($A21,'Feed library'!$A$2:$A$177,0),MATCH("calcium",'Feed library'!$B$1:$CL$1,0)),0)</f>
        <v>0</v>
      </c>
      <c r="M21" s="39">
        <f>IFERROR(INDEX('Feed library'!$B$2:$CL$177,MATCH($A21,'Feed library'!$A$2:$A$177,0),MATCH("TDN",'Feed library'!$B$1:$CL$1,0)),0)</f>
        <v>0</v>
      </c>
      <c r="N21" s="39">
        <f>INDEX(Global_inputs!$D$17:$D$56,MATCH(growing!A21,Global_inputs!$C$17:$C$56,0))</f>
        <v>0</v>
      </c>
    </row>
    <row r="22" spans="1:14" x14ac:dyDescent="0.25">
      <c r="A22" s="36" t="str">
        <f>IFERROR(INDEX('Feed library'!A:A,MATCH(C22,'Feed library'!B:B,0)),"")</f>
        <v/>
      </c>
      <c r="B22" s="37">
        <f t="shared" si="0"/>
        <v>0</v>
      </c>
      <c r="C22" s="40"/>
      <c r="D22" s="41"/>
      <c r="E22" s="39">
        <f>IFERROR(INDEX('Feed library'!$B$2:$CL$177,MATCH($A22,'Feed library'!$A$2:$A$177,0),MATCH("DM",'Feed library'!$B$1:$CL$1,0)),0)</f>
        <v>0</v>
      </c>
      <c r="F22" s="36">
        <f>IFERROR(INDEX('Feed library'!$B$2:$CL$177,MATCH($A22,'Feed library'!$A$2:$A$177,0),MATCH("feed_type",'Feed library'!$B$1:$CL$1,0)),0)</f>
        <v>0</v>
      </c>
      <c r="G22" s="39">
        <f>IFERROR(INDEX('Feed library'!$B$2:$CL$177,MATCH($A22,'Feed library'!$A$2:$A$177,0),MATCH("ash",'Feed library'!$B$1:$CL$1,0)),0)</f>
        <v>0</v>
      </c>
      <c r="H22" s="39">
        <f>IFERROR(INDEX('Feed library'!$B$2:$CL$177,MATCH($A22,'Feed library'!$A$2:$A$177,0),MATCH("CP",'Feed library'!$B$1:$CL$1,0)),0)</f>
        <v>0</v>
      </c>
      <c r="I22" s="39">
        <f>IFERROR(INDEX('Feed library'!$B$2:$CL$177,MATCH($A22,'Feed library'!$A$2:$A$177,0),MATCH("NDF",'Feed library'!$B$1:$CL$1,0)),0)</f>
        <v>0</v>
      </c>
      <c r="J22" s="39">
        <f>IFERROR(INDEX('Feed library'!$B$2:$CL$177,MATCH($A22,'Feed library'!$A$2:$A$177,0),MATCH("starch",'Feed library'!$B$1:$CL$1,0)),0)</f>
        <v>0</v>
      </c>
      <c r="K22" s="39">
        <f>IFERROR(INDEX('Feed library'!$B$2:$CL$177,MATCH($A22,'Feed library'!$A$2:$A$177,0),MATCH("EE",'Feed library'!$B$1:$CL$1,0)),0)</f>
        <v>0</v>
      </c>
      <c r="L22" s="39">
        <f>IFERROR(INDEX('Feed library'!$B$2:$CL$177,MATCH($A22,'Feed library'!$A$2:$A$177,0),MATCH("calcium",'Feed library'!$B$1:$CL$1,0)),0)</f>
        <v>0</v>
      </c>
      <c r="M22" s="39">
        <f>IFERROR(INDEX('Feed library'!$B$2:$CL$177,MATCH($A22,'Feed library'!$A$2:$A$177,0),MATCH("TDN",'Feed library'!$B$1:$CL$1,0)),0)</f>
        <v>0</v>
      </c>
      <c r="N22" s="39">
        <f>INDEX(Global_inputs!$D$17:$D$56,MATCH(growing!A22,Global_inputs!$C$17:$C$56,0))</f>
        <v>0</v>
      </c>
    </row>
    <row r="24" spans="1:14" x14ac:dyDescent="0.25">
      <c r="C24" t="s">
        <v>313</v>
      </c>
      <c r="D24" s="3">
        <f>SUM(D3:D22)</f>
        <v>17.75</v>
      </c>
      <c r="E24" s="4"/>
    </row>
    <row r="25" spans="1:14" x14ac:dyDescent="0.25">
      <c r="D25" s="35">
        <f>SUM(B3:B22)</f>
        <v>0.99999999999999989</v>
      </c>
    </row>
  </sheetData>
  <conditionalFormatting sqref="D25">
    <cfRule type="cellIs" dxfId="7" priority="1" operator="lessThan">
      <formula>1</formula>
    </cfRule>
    <cfRule type="cellIs" dxfId="6" priority="2" operator="greaterThan">
      <formul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etByDMI">
                <anchor moveWithCells="1" sizeWithCells="1">
                  <from>
                    <xdr:col>4</xdr:col>
                    <xdr:colOff>66675</xdr:colOff>
                    <xdr:row>22</xdr:row>
                    <xdr:rowOff>152400</xdr:rowOff>
                  </from>
                  <to>
                    <xdr:col>5</xdr:col>
                    <xdr:colOff>95250</xdr:colOff>
                    <xdr:row>24</xdr:row>
                    <xdr:rowOff>0</xdr:rowOff>
                  </to>
                </anchor>
              </controlPr>
            </control>
          </mc:Choice>
        </mc:AlternateContent>
        <mc:AlternateContent xmlns:mc="http://schemas.openxmlformats.org/markup-compatibility/2006">
          <mc:Choice Requires="x14">
            <control shapeId="8194" r:id="rId4" name="Button 2">
              <controlPr defaultSize="0" print="0" autoFill="0" autoPict="0" macro="[0]!SetByPct">
                <anchor moveWithCells="1" sizeWithCells="1">
                  <from>
                    <xdr:col>4</xdr:col>
                    <xdr:colOff>76200</xdr:colOff>
                    <xdr:row>24</xdr:row>
                    <xdr:rowOff>28575</xdr:rowOff>
                  </from>
                  <to>
                    <xdr:col>5</xdr:col>
                    <xdr:colOff>419100</xdr:colOff>
                    <xdr:row>25</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B7A9D83-2339-4AEC-8855-D3797C921722}">
          <x14:formula1>
            <xm:f>'Feed library'!$B$2:$B$177</xm:f>
          </x14:formula1>
          <xm:sqref>C3:C18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C9CBA-BBEA-4A6A-8686-6CC605CF8101}">
  <sheetPr codeName="Sheet4"/>
  <dimension ref="A1:R25"/>
  <sheetViews>
    <sheetView topLeftCell="A11" zoomScaleNormal="100" workbookViewId="0">
      <selection activeCell="J27" sqref="J27"/>
    </sheetView>
  </sheetViews>
  <sheetFormatPr defaultRowHeight="15" x14ac:dyDescent="0.25"/>
  <cols>
    <col min="1" max="1" width="7" customWidth="1"/>
    <col min="2" max="2" width="14.140625" bestFit="1" customWidth="1"/>
    <col min="3" max="3" width="27.5703125" customWidth="1"/>
    <col min="4" max="4" width="8.7109375" customWidth="1"/>
    <col min="5" max="5" width="14.42578125" bestFit="1" customWidth="1"/>
    <col min="8" max="8" width="9.7109375" bestFit="1" customWidth="1"/>
    <col min="9" max="9" width="11.28515625" bestFit="1" customWidth="1"/>
    <col min="10" max="10" width="10.140625" bestFit="1" customWidth="1"/>
    <col min="11" max="11" width="12" bestFit="1" customWidth="1"/>
    <col min="12" max="12" width="8.42578125" bestFit="1" customWidth="1"/>
    <col min="13" max="13" width="8.7109375" bestFit="1" customWidth="1"/>
    <col min="14" max="14" width="13.7109375" bestFit="1" customWidth="1"/>
    <col min="16" max="16" width="17.5703125" customWidth="1"/>
    <col min="17" max="17" width="12" bestFit="1" customWidth="1"/>
  </cols>
  <sheetData>
    <row r="1" spans="1:18" x14ac:dyDescent="0.25">
      <c r="A1" s="5" t="s">
        <v>280</v>
      </c>
      <c r="E1" s="5" t="s">
        <v>281</v>
      </c>
      <c r="P1" s="5" t="s">
        <v>283</v>
      </c>
    </row>
    <row r="2" spans="1:18" x14ac:dyDescent="0.25">
      <c r="A2" s="20" t="s">
        <v>278</v>
      </c>
      <c r="B2" s="20" t="s">
        <v>328</v>
      </c>
      <c r="C2" s="24" t="s">
        <v>291</v>
      </c>
      <c r="D2" s="20" t="s">
        <v>284</v>
      </c>
      <c r="E2" s="20" t="s">
        <v>292</v>
      </c>
      <c r="F2" s="20" t="s">
        <v>282</v>
      </c>
      <c r="G2" s="20" t="s">
        <v>285</v>
      </c>
      <c r="H2" s="20" t="s">
        <v>286</v>
      </c>
      <c r="I2" s="20" t="s">
        <v>287</v>
      </c>
      <c r="J2" s="20" t="s">
        <v>288</v>
      </c>
      <c r="K2" s="20" t="s">
        <v>289</v>
      </c>
      <c r="L2" s="20" t="s">
        <v>290</v>
      </c>
      <c r="M2" s="20" t="s">
        <v>88</v>
      </c>
      <c r="N2" s="20" t="s">
        <v>312</v>
      </c>
      <c r="R2" t="s">
        <v>299</v>
      </c>
    </row>
    <row r="3" spans="1:18" x14ac:dyDescent="0.25">
      <c r="A3" s="36">
        <f>IFERROR(INDEX('Feed library'!A:A,MATCH(C3,'Feed library'!B:B,0)),"")</f>
        <v>51</v>
      </c>
      <c r="B3" s="37">
        <f>IFERROR(IF((D3/D$24)&gt;0,D3/D$24,0),0)</f>
        <v>0.41050903119868631</v>
      </c>
      <c r="C3" s="38" t="s">
        <v>129</v>
      </c>
      <c r="D3" s="41">
        <v>11.999999999999998</v>
      </c>
      <c r="E3" s="39">
        <f>IFERROR(INDEX('Feed library'!$B$2:$CL$177,MATCH($A3,'Feed library'!$A$2:$A$177,0),MATCH("DM",'Feed library'!$B$1:$CL$1,0)),0)</f>
        <v>35.360999999999997</v>
      </c>
      <c r="F3" s="36" t="str">
        <f>IFERROR(INDEX('Feed library'!$B$2:$CL$177,MATCH($A3,'Feed library'!$A$2:$A$177,0),MATCH("feed_type",'Feed library'!$B$1:$CL$1,0)),0)</f>
        <v>Forage</v>
      </c>
      <c r="G3" s="39">
        <f>IFERROR(INDEX('Feed library'!$B$2:$CL$177,MATCH($A3,'Feed library'!$A$2:$A$177,0),MATCH("ash",'Feed library'!$B$1:$CL$1,0)),0)</f>
        <v>3.843</v>
      </c>
      <c r="H3" s="39">
        <f>IFERROR(INDEX('Feed library'!$B$2:$CL$177,MATCH($A3,'Feed library'!$A$2:$A$177,0),MATCH("CP",'Feed library'!$B$1:$CL$1,0)),0)</f>
        <v>7.7069999999999999</v>
      </c>
      <c r="I3" s="39">
        <f>IFERROR(INDEX('Feed library'!$B$2:$CL$177,MATCH($A3,'Feed library'!$A$2:$A$177,0),MATCH("NDF",'Feed library'!$B$1:$CL$1,0)),0)</f>
        <v>40.930999999999997</v>
      </c>
      <c r="J3" s="39">
        <f>IFERROR(INDEX('Feed library'!$B$2:$CL$177,MATCH($A3,'Feed library'!$A$2:$A$177,0),MATCH("starch",'Feed library'!$B$1:$CL$1,0)),0)</f>
        <v>32.866999999999997</v>
      </c>
      <c r="K3" s="39">
        <f>IFERROR(INDEX('Feed library'!$B$2:$CL$177,MATCH($A3,'Feed library'!$A$2:$A$177,0),MATCH("EE",'Feed library'!$B$1:$CL$1,0)),0)</f>
        <v>2.9159999999999999</v>
      </c>
      <c r="L3" s="39">
        <f>IFERROR(INDEX('Feed library'!$B$2:$CL$177,MATCH($A3,'Feed library'!$A$2:$A$177,0),MATCH("calcium",'Feed library'!$B$1:$CL$1,0)),0)</f>
        <v>0.23699999999999999</v>
      </c>
      <c r="M3" s="39">
        <f>IFERROR(INDEX('Feed library'!$B$2:$CL$177,MATCH($A3,'Feed library'!$A$2:$A$177,0),MATCH("TDN",'Feed library'!$B$1:$CL$1,0)),0)</f>
        <v>68.819999999999993</v>
      </c>
      <c r="N3" s="39">
        <f>INDEX(Global_inputs!$D$17:$D$56,MATCH(growing!A3,Global_inputs!$C$17:$C$56,0))</f>
        <v>0.01</v>
      </c>
      <c r="P3" s="24" t="s">
        <v>292</v>
      </c>
      <c r="Q3" s="1">
        <f>SUMPRODUCT(B$3:B$22,$E$3:$E$22)*0.01</f>
        <v>0.59906740626710453</v>
      </c>
      <c r="R3" s="27"/>
    </row>
    <row r="4" spans="1:18" x14ac:dyDescent="0.25">
      <c r="A4" s="36">
        <f>IFERROR(INDEX('Feed library'!A:A,MATCH(C4,'Feed library'!B:B,0)),"")</f>
        <v>100</v>
      </c>
      <c r="B4" s="37">
        <f>IFERROR(IF((D4/D$24)&gt;0,D4/D$24,0),0)</f>
        <v>0.13683634373289544</v>
      </c>
      <c r="C4" s="38" t="s">
        <v>148</v>
      </c>
      <c r="D4" s="41">
        <v>3.9999999999999991</v>
      </c>
      <c r="E4" s="39">
        <f>IFERROR(INDEX('Feed library'!$B$2:$CL$177,MATCH($A4,'Feed library'!$A$2:$A$177,0),MATCH("DM",'Feed library'!$B$1:$CL$1,0)),0)</f>
        <v>40.021000000000001</v>
      </c>
      <c r="F4" s="36" t="str">
        <f>IFERROR(INDEX('Feed library'!$B$2:$CL$177,MATCH($A4,'Feed library'!$A$2:$A$177,0),MATCH("feed_type",'Feed library'!$B$1:$CL$1,0)),0)</f>
        <v>Forage</v>
      </c>
      <c r="G4" s="39">
        <f>IFERROR(INDEX('Feed library'!$B$2:$CL$177,MATCH($A4,'Feed library'!$A$2:$A$177,0),MATCH("ash",'Feed library'!$B$1:$CL$1,0)),0)</f>
        <v>9.5169999999999995</v>
      </c>
      <c r="H4" s="39">
        <f>IFERROR(INDEX('Feed library'!$B$2:$CL$177,MATCH($A4,'Feed library'!$A$2:$A$177,0),MATCH("CP",'Feed library'!$B$1:$CL$1,0)),0)</f>
        <v>17.678999999999998</v>
      </c>
      <c r="I4" s="39">
        <f>IFERROR(INDEX('Feed library'!$B$2:$CL$177,MATCH($A4,'Feed library'!$A$2:$A$177,0),MATCH("NDF",'Feed library'!$B$1:$CL$1,0)),0)</f>
        <v>51.231999999999999</v>
      </c>
      <c r="J4" s="39">
        <f>IFERROR(INDEX('Feed library'!$B$2:$CL$177,MATCH($A4,'Feed library'!$A$2:$A$177,0),MATCH("starch",'Feed library'!$B$1:$CL$1,0)),0)</f>
        <v>2.1179999999999999</v>
      </c>
      <c r="K4" s="39">
        <f>IFERROR(INDEX('Feed library'!$B$2:$CL$177,MATCH($A4,'Feed library'!$A$2:$A$177,0),MATCH("EE",'Feed library'!$B$1:$CL$1,0)),0)</f>
        <v>4.0380000000000003</v>
      </c>
      <c r="L4" s="39">
        <f>IFERROR(INDEX('Feed library'!$B$2:$CL$177,MATCH($A4,'Feed library'!$A$2:$A$177,0),MATCH("calcium",'Feed library'!$B$1:$CL$1,0)),0)</f>
        <v>0.87</v>
      </c>
      <c r="M4" s="39">
        <f>IFERROR(INDEX('Feed library'!$B$2:$CL$177,MATCH($A4,'Feed library'!$A$2:$A$177,0),MATCH("TDN",'Feed library'!$B$1:$CL$1,0)),0)</f>
        <v>57.66</v>
      </c>
      <c r="N4" s="39">
        <f>INDEX(Global_inputs!$D$17:$D$56,MATCH(growing!A4,Global_inputs!$C$17:$C$56,0))</f>
        <v>0.01</v>
      </c>
      <c r="P4" s="24" t="s">
        <v>294</v>
      </c>
      <c r="Q4" s="14">
        <f>SUMIF(F3:F22,"Forage",D3:D22) / D24</f>
        <v>0.54734537493158175</v>
      </c>
      <c r="R4" s="27"/>
    </row>
    <row r="5" spans="1:18" x14ac:dyDescent="0.25">
      <c r="A5" s="36">
        <f>IFERROR(INDEX('Feed library'!A:A,MATCH(C5,'Feed library'!B:B,0)),"")</f>
        <v>210</v>
      </c>
      <c r="B5" s="37">
        <f>IFERROR(IF((D5/D$24)&gt;0,D5/D$24,0),0)</f>
        <v>1.710454296661193E-2</v>
      </c>
      <c r="C5" s="38" t="s">
        <v>196</v>
      </c>
      <c r="D5" s="41">
        <v>0.49999999999999989</v>
      </c>
      <c r="E5" s="39">
        <f>IFERROR(INDEX('Feed library'!$B$2:$CL$177,MATCH($A5,'Feed library'!$A$2:$A$177,0),MATCH("DM",'Feed library'!$B$1:$CL$1,0)),0)</f>
        <v>22.87</v>
      </c>
      <c r="F5" s="36" t="str">
        <f>IFERROR(INDEX('Feed library'!$B$2:$CL$177,MATCH($A5,'Feed library'!$A$2:$A$177,0),MATCH("feed_type",'Feed library'!$B$1:$CL$1,0)),0)</f>
        <v>Conc</v>
      </c>
      <c r="G5" s="39">
        <f>IFERROR(INDEX('Feed library'!$B$2:$CL$177,MATCH($A5,'Feed library'!$A$2:$A$177,0),MATCH("ash",'Feed library'!$B$1:$CL$1,0)),0)</f>
        <v>13.529</v>
      </c>
      <c r="H5" s="39">
        <f>IFERROR(INDEX('Feed library'!$B$2:$CL$177,MATCH($A5,'Feed library'!$A$2:$A$177,0),MATCH("CP",'Feed library'!$B$1:$CL$1,0)),0)</f>
        <v>7.4160000000000004</v>
      </c>
      <c r="I5" s="39">
        <f>IFERROR(INDEX('Feed library'!$B$2:$CL$177,MATCH($A5,'Feed library'!$A$2:$A$177,0),MATCH("NDF",'Feed library'!$B$1:$CL$1,0)),0)</f>
        <v>2.1720000000000002</v>
      </c>
      <c r="J5" s="39">
        <f>IFERROR(INDEX('Feed library'!$B$2:$CL$177,MATCH($A5,'Feed library'!$A$2:$A$177,0),MATCH("starch",'Feed library'!$B$1:$CL$1,0)),0)</f>
        <v>1.43</v>
      </c>
      <c r="K5" s="39">
        <f>IFERROR(INDEX('Feed library'!$B$2:$CL$177,MATCH($A5,'Feed library'!$A$2:$A$177,0),MATCH("EE",'Feed library'!$B$1:$CL$1,0)),0)</f>
        <v>1.9710000000000001</v>
      </c>
      <c r="L5" s="39">
        <f>IFERROR(INDEX('Feed library'!$B$2:$CL$177,MATCH($A5,'Feed library'!$A$2:$A$177,0),MATCH("calcium",'Feed library'!$B$1:$CL$1,0)),0)</f>
        <v>1.26</v>
      </c>
      <c r="M5" s="39">
        <f>IFERROR(INDEX('Feed library'!$B$2:$CL$177,MATCH($A5,'Feed library'!$A$2:$A$177,0),MATCH("TDN",'Feed library'!$B$1:$CL$1,0)),0)</f>
        <v>80.33</v>
      </c>
      <c r="N5" s="39">
        <f>INDEX(Global_inputs!$D$17:$D$56,MATCH(growing!A5,Global_inputs!$C$17:$C$56,0))</f>
        <v>0.01</v>
      </c>
      <c r="P5" s="24" t="s">
        <v>285</v>
      </c>
      <c r="Q5" s="14">
        <f>SUMPRODUCT(G$3:G$22,$B$3:$B$22)*0.01</f>
        <v>7.1852434318554995E-2</v>
      </c>
      <c r="R5" s="27"/>
    </row>
    <row r="6" spans="1:18" x14ac:dyDescent="0.25">
      <c r="A6" s="36">
        <f>IFERROR(INDEX('Feed library'!A:A,MATCH(C6,'Feed library'!B:B,0)),"")</f>
        <v>119</v>
      </c>
      <c r="B6" s="37">
        <f>IFERROR(IF((D6/D$24)&gt;0,D6/D$24,0),0)</f>
        <v>1.710454296661193E-2</v>
      </c>
      <c r="C6" s="38" t="s">
        <v>160</v>
      </c>
      <c r="D6" s="41">
        <v>0.49999999999999989</v>
      </c>
      <c r="E6" s="39">
        <f>IFERROR(INDEX('Feed library'!$B$2:$CL$177,MATCH($A6,'Feed library'!$A$2:$A$177,0),MATCH("DM",'Feed library'!$B$1:$CL$1,0)),0)</f>
        <v>65.394999999999996</v>
      </c>
      <c r="F6" s="36" t="str">
        <f>IFERROR(INDEX('Feed library'!$B$2:$CL$177,MATCH($A6,'Feed library'!$A$2:$A$177,0),MATCH("feed_type",'Feed library'!$B$1:$CL$1,0)),0)</f>
        <v>Conc</v>
      </c>
      <c r="G6" s="39">
        <f>IFERROR(INDEX('Feed library'!$B$2:$CL$177,MATCH($A6,'Feed library'!$A$2:$A$177,0),MATCH("ash",'Feed library'!$B$1:$CL$1,0)),0)</f>
        <v>15.962999999999999</v>
      </c>
      <c r="H6" s="39">
        <f>IFERROR(INDEX('Feed library'!$B$2:$CL$177,MATCH($A6,'Feed library'!$A$2:$A$177,0),MATCH("CP",'Feed library'!$B$1:$CL$1,0)),0)</f>
        <v>9.2710000000000008</v>
      </c>
      <c r="I6" s="39">
        <f>IFERROR(INDEX('Feed library'!$B$2:$CL$177,MATCH($A6,'Feed library'!$A$2:$A$177,0),MATCH("NDF",'Feed library'!$B$1:$CL$1,0)),0)</f>
        <v>0.56799999999999995</v>
      </c>
      <c r="J6" s="39">
        <f>IFERROR(INDEX('Feed library'!$B$2:$CL$177,MATCH($A6,'Feed library'!$A$2:$A$177,0),MATCH("starch",'Feed library'!$B$1:$CL$1,0)),0)</f>
        <v>0.84599999999999997</v>
      </c>
      <c r="K6" s="39">
        <f>IFERROR(INDEX('Feed library'!$B$2:$CL$177,MATCH($A6,'Feed library'!$A$2:$A$177,0),MATCH("EE",'Feed library'!$B$1:$CL$1,0)),0)</f>
        <v>0.61099999999999999</v>
      </c>
      <c r="L6" s="39">
        <f>IFERROR(INDEX('Feed library'!$B$2:$CL$177,MATCH($A6,'Feed library'!$A$2:$A$177,0),MATCH("calcium",'Feed library'!$B$1:$CL$1,0)),0)</f>
        <v>0.72899999999999998</v>
      </c>
      <c r="M6" s="39">
        <f>IFERROR(INDEX('Feed library'!$B$2:$CL$177,MATCH($A6,'Feed library'!$A$2:$A$177,0),MATCH("TDN",'Feed library'!$B$1:$CL$1,0)),0)</f>
        <v>80.94</v>
      </c>
      <c r="N6" s="39">
        <f>INDEX(Global_inputs!$D$17:$D$56,MATCH(growing!A6,Global_inputs!$C$17:$C$56,0))</f>
        <v>0.01</v>
      </c>
      <c r="P6" s="24" t="s">
        <v>286</v>
      </c>
      <c r="Q6" s="14">
        <f>SUMPRODUCT(H$3:H$22,$B$3:$B$22)*0.01</f>
        <v>0.18681871100164199</v>
      </c>
      <c r="R6" s="27"/>
    </row>
    <row r="7" spans="1:18" x14ac:dyDescent="0.25">
      <c r="A7" s="36">
        <f>IFERROR(INDEX('Feed library'!A:A,MATCH(C7,'Feed library'!B:B,0)),"")</f>
        <v>44</v>
      </c>
      <c r="B7" s="37">
        <f>IFERROR(IF((D7/D$24)&gt;0,D7/D$24,0),0)</f>
        <v>6.8418171866447719E-2</v>
      </c>
      <c r="C7" s="38" t="s">
        <v>124</v>
      </c>
      <c r="D7" s="41">
        <v>1.9999999999999996</v>
      </c>
      <c r="E7" s="39">
        <f>IFERROR(INDEX('Feed library'!$B$2:$CL$177,MATCH($A7,'Feed library'!$A$2:$A$177,0),MATCH("DM",'Feed library'!$B$1:$CL$1,0)),0)</f>
        <v>86.906999999999996</v>
      </c>
      <c r="F7" s="36" t="str">
        <f>IFERROR(INDEX('Feed library'!$B$2:$CL$177,MATCH($A7,'Feed library'!$A$2:$A$177,0),MATCH("feed_type",'Feed library'!$B$1:$CL$1,0)),0)</f>
        <v>Conc</v>
      </c>
      <c r="G7" s="39">
        <f>IFERROR(INDEX('Feed library'!$B$2:$CL$177,MATCH($A7,'Feed library'!$A$2:$A$177,0),MATCH("ash",'Feed library'!$B$1:$CL$1,0)),0)</f>
        <v>1.504</v>
      </c>
      <c r="H7" s="39">
        <f>IFERROR(INDEX('Feed library'!$B$2:$CL$177,MATCH($A7,'Feed library'!$A$2:$A$177,0),MATCH("CP",'Feed library'!$B$1:$CL$1,0)),0)</f>
        <v>8.5139999999999993</v>
      </c>
      <c r="I7" s="39">
        <f>IFERROR(INDEX('Feed library'!$B$2:$CL$177,MATCH($A7,'Feed library'!$A$2:$A$177,0),MATCH("NDF",'Feed library'!$B$1:$CL$1,0)),0)</f>
        <v>9.7609999999999992</v>
      </c>
      <c r="J7" s="39">
        <f>IFERROR(INDEX('Feed library'!$B$2:$CL$177,MATCH($A7,'Feed library'!$A$2:$A$177,0),MATCH("starch",'Feed library'!$B$1:$CL$1,0)),0)</f>
        <v>70.367000000000004</v>
      </c>
      <c r="K7" s="39">
        <f>IFERROR(INDEX('Feed library'!$B$2:$CL$177,MATCH($A7,'Feed library'!$A$2:$A$177,0),MATCH("EE",'Feed library'!$B$1:$CL$1,0)),0)</f>
        <v>3.8450000000000002</v>
      </c>
      <c r="L7" s="39">
        <f>IFERROR(INDEX('Feed library'!$B$2:$CL$177,MATCH($A7,'Feed library'!$A$2:$A$177,0),MATCH("calcium",'Feed library'!$B$1:$CL$1,0)),0)</f>
        <v>3.5000000000000003E-2</v>
      </c>
      <c r="M7" s="39">
        <f>IFERROR(INDEX('Feed library'!$B$2:$CL$177,MATCH($A7,'Feed library'!$A$2:$A$177,0),MATCH("TDN",'Feed library'!$B$1:$CL$1,0)),0)</f>
        <v>88.69</v>
      </c>
      <c r="N7" s="39">
        <f>INDEX(Global_inputs!$D$17:$D$56,MATCH(growing!A7,Global_inputs!$C$17:$C$56,0))</f>
        <v>0.01</v>
      </c>
      <c r="P7" s="24" t="s">
        <v>287</v>
      </c>
      <c r="Q7" s="14">
        <f>SUMPRODUCT(I$3:I$22,$B$3:$B$22)*0.01</f>
        <v>0.31701324370552814</v>
      </c>
      <c r="R7" s="27" t="str">
        <f>IF(Q7&gt;MAX_NDF,"NDF upper limit exceeded",(IF(Q7&lt;MIN_NDF,"NDF lower limit exceeded","")))</f>
        <v/>
      </c>
    </row>
    <row r="8" spans="1:18" x14ac:dyDescent="0.25">
      <c r="A8" s="36">
        <f>IFERROR(INDEX('Feed library'!A:A,MATCH(C8,'Feed library'!B:B,0)),"")</f>
        <v>31</v>
      </c>
      <c r="B8" s="37">
        <f>IFERROR(IF((D8/D$24)&gt;0,D8/D$24,0),0)</f>
        <v>6.8418171866447719E-2</v>
      </c>
      <c r="C8" s="38" t="s">
        <v>115</v>
      </c>
      <c r="D8" s="41">
        <v>1.9999999999999996</v>
      </c>
      <c r="E8" s="39">
        <f>IFERROR(INDEX('Feed library'!$B$2:$CL$177,MATCH($A8,'Feed library'!$A$2:$A$177,0),MATCH("DM",'Feed library'!$B$1:$CL$1,0)),0)</f>
        <v>89.128</v>
      </c>
      <c r="F8" s="36" t="str">
        <f>IFERROR(INDEX('Feed library'!$B$2:$CL$177,MATCH($A8,'Feed library'!$A$2:$A$177,0),MATCH("feed_type",'Feed library'!$B$1:$CL$1,0)),0)</f>
        <v>Conc</v>
      </c>
      <c r="G8" s="39">
        <f>IFERROR(INDEX('Feed library'!$B$2:$CL$177,MATCH($A8,'Feed library'!$A$2:$A$177,0),MATCH("ash",'Feed library'!$B$1:$CL$1,0)),0)</f>
        <v>7.8819999999999997</v>
      </c>
      <c r="H8" s="39">
        <f>IFERROR(INDEX('Feed library'!$B$2:$CL$177,MATCH($A8,'Feed library'!$A$2:$A$177,0),MATCH("CP",'Feed library'!$B$1:$CL$1,0)),0)</f>
        <v>41.491999999999997</v>
      </c>
      <c r="I8" s="39">
        <f>IFERROR(INDEX('Feed library'!$B$2:$CL$177,MATCH($A8,'Feed library'!$A$2:$A$177,0),MATCH("NDF",'Feed library'!$B$1:$CL$1,0)),0)</f>
        <v>28.96</v>
      </c>
      <c r="J8" s="39">
        <f>IFERROR(INDEX('Feed library'!$B$2:$CL$177,MATCH($A8,'Feed library'!$A$2:$A$177,0),MATCH("starch",'Feed library'!$B$1:$CL$1,0)),0)</f>
        <v>1.57</v>
      </c>
      <c r="K8" s="39">
        <f>IFERROR(INDEX('Feed library'!$B$2:$CL$177,MATCH($A8,'Feed library'!$A$2:$A$177,0),MATCH("EE",'Feed library'!$B$1:$CL$1,0)),0)</f>
        <v>3.5139999999999998</v>
      </c>
      <c r="L8" s="39">
        <f>IFERROR(INDEX('Feed library'!$B$2:$CL$177,MATCH($A8,'Feed library'!$A$2:$A$177,0),MATCH("calcium",'Feed library'!$B$1:$CL$1,0)),0)</f>
        <v>0.79</v>
      </c>
      <c r="M8" s="39">
        <f>IFERROR(INDEX('Feed library'!$B$2:$CL$177,MATCH($A8,'Feed library'!$A$2:$A$177,0),MATCH("TDN",'Feed library'!$B$1:$CL$1,0)),0)</f>
        <v>69.88</v>
      </c>
      <c r="N8" s="39">
        <f>INDEX(Global_inputs!$D$17:$D$56,MATCH(growing!A8,Global_inputs!$C$17:$C$56,0))</f>
        <v>0.01</v>
      </c>
      <c r="P8" s="24" t="s">
        <v>293</v>
      </c>
      <c r="Q8" s="14" cm="1">
        <f t="array" ref="Q8">SUMPRODUCT(($F$3:$F$22="Forage")*($B$3:$B$22)*($I$3:$I$22))/SUMPRODUCT(($B$3:$B$22)*($I$3:$I$22))</f>
        <v>0.75116561187698649</v>
      </c>
      <c r="R8" s="27" t="str">
        <f>IF(Q8&lt;MIN_ForNDF,"Forage NDF lower limit exceeded","")</f>
        <v/>
      </c>
    </row>
    <row r="9" spans="1:18" x14ac:dyDescent="0.25">
      <c r="A9" s="36">
        <f>IFERROR(INDEX('Feed library'!A:A,MATCH(C9,'Feed library'!B:B,0)),"")</f>
        <v>170</v>
      </c>
      <c r="B9" s="37">
        <f>IFERROR(IF((D9/D$24)&gt;0,D9/D$24,0),0)</f>
        <v>0.17521893814997264</v>
      </c>
      <c r="C9" s="38" t="s">
        <v>178</v>
      </c>
      <c r="D9" s="41">
        <v>5.1219999999999999</v>
      </c>
      <c r="E9" s="39">
        <f>IFERROR(INDEX('Feed library'!$B$2:$CL$177,MATCH($A9,'Feed library'!$A$2:$A$177,0),MATCH("DM",'Feed library'!$B$1:$CL$1,0)),0)</f>
        <v>94.040999999999997</v>
      </c>
      <c r="F9" s="36" t="str">
        <f>IFERROR(INDEX('Feed library'!$B$2:$CL$177,MATCH($A9,'Feed library'!$A$2:$A$177,0),MATCH("feed_type",'Feed library'!$B$1:$CL$1,0)),0)</f>
        <v>Conc</v>
      </c>
      <c r="G9" s="39">
        <f>IFERROR(INDEX('Feed library'!$B$2:$CL$177,MATCH($A9,'Feed library'!$A$2:$A$177,0),MATCH("ash",'Feed library'!$B$1:$CL$1,0)),0)</f>
        <v>5.5629999999999997</v>
      </c>
      <c r="H9" s="39">
        <f>IFERROR(INDEX('Feed library'!$B$2:$CL$177,MATCH($A9,'Feed library'!$A$2:$A$177,0),MATCH("CP",'Feed library'!$B$1:$CL$1,0)),0)</f>
        <v>40.023000000000003</v>
      </c>
      <c r="I9" s="39">
        <f>IFERROR(INDEX('Feed library'!$B$2:$CL$177,MATCH($A9,'Feed library'!$A$2:$A$177,0),MATCH("NDF",'Feed library'!$B$1:$CL$1,0)),0)</f>
        <v>18.361999999999998</v>
      </c>
      <c r="J9" s="39">
        <f>IFERROR(INDEX('Feed library'!$B$2:$CL$177,MATCH($A9,'Feed library'!$A$2:$A$177,0),MATCH("starch",'Feed library'!$B$1:$CL$1,0)),0)</f>
        <v>1.544</v>
      </c>
      <c r="K9" s="39">
        <f>IFERROR(INDEX('Feed library'!$B$2:$CL$177,MATCH($A9,'Feed library'!$A$2:$A$177,0),MATCH("EE",'Feed library'!$B$1:$CL$1,0)),0)</f>
        <v>21.257000000000001</v>
      </c>
      <c r="L9" s="39">
        <f>IFERROR(INDEX('Feed library'!$B$2:$CL$177,MATCH($A9,'Feed library'!$A$2:$A$177,0),MATCH("calcium",'Feed library'!$B$1:$CL$1,0)),0)</f>
        <v>0.27700000000000002</v>
      </c>
      <c r="M9" s="39">
        <f>IFERROR(INDEX('Feed library'!$B$2:$CL$177,MATCH($A9,'Feed library'!$A$2:$A$177,0),MATCH("TDN",'Feed library'!$B$1:$CL$1,0)),0)</f>
        <v>99.2</v>
      </c>
      <c r="N9" s="39">
        <f>INDEX(Global_inputs!$D$17:$D$56,MATCH(growing!A9,Global_inputs!$C$17:$C$56,0))</f>
        <v>0.01</v>
      </c>
      <c r="P9" s="24" t="s">
        <v>288</v>
      </c>
      <c r="Q9" s="14">
        <f>SUMPRODUCT(J$3:J$22,$B$3:$B$22)*0.01</f>
        <v>0.19476514367816092</v>
      </c>
      <c r="R9" s="27"/>
    </row>
    <row r="10" spans="1:18" x14ac:dyDescent="0.25">
      <c r="A10" s="36">
        <f>IFERROR(INDEX('Feed library'!A:A,MATCH(C10,'Feed library'!B:B,0)),"")</f>
        <v>67</v>
      </c>
      <c r="B10" s="37">
        <f>IFERROR(IF((D10/D$24)&gt;0,D10/D$24,0),0)</f>
        <v>3.4209085933223863E-3</v>
      </c>
      <c r="C10" s="38" t="s">
        <v>135</v>
      </c>
      <c r="D10" s="41">
        <v>9.9999999999999992E-2</v>
      </c>
      <c r="E10" s="39">
        <f>IFERROR(INDEX('Feed library'!$B$2:$CL$177,MATCH($A10,'Feed library'!$A$2:$A$177,0),MATCH("DM",'Feed library'!$B$1:$CL$1,0)),0)</f>
        <v>95.3</v>
      </c>
      <c r="F10" s="36" t="str">
        <f>IFERROR(INDEX('Feed library'!$B$2:$CL$177,MATCH($A10,'Feed library'!$A$2:$A$177,0),MATCH("feed_type",'Feed library'!$B$1:$CL$1,0)),0)</f>
        <v>Conc</v>
      </c>
      <c r="G10" s="39">
        <f>IFERROR(INDEX('Feed library'!$B$2:$CL$177,MATCH($A10,'Feed library'!$A$2:$A$177,0),MATCH("ash",'Feed library'!$B$1:$CL$1,0)),0)</f>
        <v>15.5</v>
      </c>
      <c r="H10" s="39">
        <f>IFERROR(INDEX('Feed library'!$B$2:$CL$177,MATCH($A10,'Feed library'!$A$2:$A$177,0),MATCH("CP",'Feed library'!$B$1:$CL$1,0)),0)</f>
        <v>0</v>
      </c>
      <c r="I10" s="39">
        <f>IFERROR(INDEX('Feed library'!$B$2:$CL$177,MATCH($A10,'Feed library'!$A$2:$A$177,0),MATCH("NDF",'Feed library'!$B$1:$CL$1,0)),0)</f>
        <v>0</v>
      </c>
      <c r="J10" s="39">
        <f>IFERROR(INDEX('Feed library'!$B$2:$CL$177,MATCH($A10,'Feed library'!$A$2:$A$177,0),MATCH("starch",'Feed library'!$B$1:$CL$1,0)),0)</f>
        <v>0</v>
      </c>
      <c r="K10" s="39">
        <f>IFERROR(INDEX('Feed library'!$B$2:$CL$177,MATCH($A10,'Feed library'!$A$2:$A$177,0),MATCH("EE",'Feed library'!$B$1:$CL$1,0)),0)</f>
        <v>84.5</v>
      </c>
      <c r="L10" s="39">
        <f>IFERROR(INDEX('Feed library'!$B$2:$CL$177,MATCH($A10,'Feed library'!$A$2:$A$177,0),MATCH("calcium",'Feed library'!$B$1:$CL$1,0)),0)</f>
        <v>0</v>
      </c>
      <c r="M10" s="39">
        <f>IFERROR(INDEX('Feed library'!$B$2:$CL$177,MATCH($A10,'Feed library'!$A$2:$A$177,0),MATCH("TDN",'Feed library'!$B$1:$CL$1,0)),0)</f>
        <v>163.51</v>
      </c>
      <c r="N10" s="39">
        <f>INDEX(Global_inputs!$D$17:$D$56,MATCH(growing!A10,Global_inputs!$C$17:$C$56,0))</f>
        <v>0</v>
      </c>
      <c r="P10" s="24" t="s">
        <v>289</v>
      </c>
      <c r="Q10" s="14">
        <f>SUMPRODUCT(K$3:K$22,$B$3:$B$22)*0.01</f>
        <v>7.1475562397372738E-2</v>
      </c>
      <c r="R10" s="27" t="str">
        <f>IF(Q10&gt;MAX_EE,"Upper EE limit exceed","")</f>
        <v>Upper EE limit exceed</v>
      </c>
    </row>
    <row r="11" spans="1:18" x14ac:dyDescent="0.25">
      <c r="A11" s="36">
        <f>IFERROR(INDEX('Feed library'!A:A,MATCH(C11,'Feed library'!B:B,0)),"")</f>
        <v>22</v>
      </c>
      <c r="B11" s="37">
        <f>IFERROR(IF((D11/D$24)&gt;0,D11/D$24,0),0)</f>
        <v>3.4209085933223859E-4</v>
      </c>
      <c r="C11" s="38" t="s">
        <v>110</v>
      </c>
      <c r="D11" s="41">
        <v>9.9999999999999985E-3</v>
      </c>
      <c r="E11" s="39">
        <f>IFERROR(INDEX('Feed library'!$B$2:$CL$177,MATCH($A11,'Feed library'!$A$2:$A$177,0),MATCH("DM",'Feed library'!$B$1:$CL$1,0)),0)</f>
        <v>90.864000000000004</v>
      </c>
      <c r="F11" s="36" t="str">
        <f>IFERROR(INDEX('Feed library'!$B$2:$CL$177,MATCH($A11,'Feed library'!$A$2:$A$177,0),MATCH("feed_type",'Feed library'!$B$1:$CL$1,0)),0)</f>
        <v>Conc</v>
      </c>
      <c r="G11" s="39">
        <f>IFERROR(INDEX('Feed library'!$B$2:$CL$177,MATCH($A11,'Feed library'!$A$2:$A$177,0),MATCH("ash",'Feed library'!$B$1:$CL$1,0)),0)</f>
        <v>3.25</v>
      </c>
      <c r="H11" s="39">
        <f>IFERROR(INDEX('Feed library'!$B$2:$CL$177,MATCH($A11,'Feed library'!$A$2:$A$177,0),MATCH("CP",'Feed library'!$B$1:$CL$1,0)),0)</f>
        <v>95.06</v>
      </c>
      <c r="I11" s="39">
        <f>IFERROR(INDEX('Feed library'!$B$2:$CL$177,MATCH($A11,'Feed library'!$A$2:$A$177,0),MATCH("NDF",'Feed library'!$B$1:$CL$1,0)),0)</f>
        <v>0</v>
      </c>
      <c r="J11" s="39">
        <f>IFERROR(INDEX('Feed library'!$B$2:$CL$177,MATCH($A11,'Feed library'!$A$2:$A$177,0),MATCH("starch",'Feed library'!$B$1:$CL$1,0)),0)</f>
        <v>0</v>
      </c>
      <c r="K11" s="39">
        <f>IFERROR(INDEX('Feed library'!$B$2:$CL$177,MATCH($A11,'Feed library'!$A$2:$A$177,0),MATCH("EE",'Feed library'!$B$1:$CL$1,0)),0)</f>
        <v>1.6910000000000001</v>
      </c>
      <c r="L11" s="39">
        <f>IFERROR(INDEX('Feed library'!$B$2:$CL$177,MATCH($A11,'Feed library'!$A$2:$A$177,0),MATCH("calcium",'Feed library'!$B$1:$CL$1,0)),0)</f>
        <v>0.13500000000000001</v>
      </c>
      <c r="M11" s="39">
        <f>IFERROR(INDEX('Feed library'!$B$2:$CL$177,MATCH($A11,'Feed library'!$A$2:$A$177,0),MATCH("TDN",'Feed library'!$B$1:$CL$1,0)),0)</f>
        <v>76.36</v>
      </c>
      <c r="N11" s="39">
        <f>INDEX(Global_inputs!$D$17:$D$56,MATCH(growing!A11,Global_inputs!$C$17:$C$56,0))</f>
        <v>0</v>
      </c>
      <c r="P11" s="24" t="s">
        <v>290</v>
      </c>
      <c r="Q11" s="14">
        <f>SUMPRODUCT(L$3:L$22,$B$3:$B$22)*0.01</f>
        <v>6.4910522714833043E-3</v>
      </c>
      <c r="R11" s="27"/>
    </row>
    <row r="12" spans="1:18" x14ac:dyDescent="0.25">
      <c r="A12" s="36">
        <f>IFERROR(INDEX('Feed library'!A:A,MATCH(C12,'Feed library'!B:B,0)),"")</f>
        <v>167</v>
      </c>
      <c r="B12" s="37">
        <f>IFERROR(IF((D12/D$24)&gt;0,D12/D$24,0),0)</f>
        <v>3.4209085933223859E-2</v>
      </c>
      <c r="C12" s="38" t="s">
        <v>176</v>
      </c>
      <c r="D12" s="41">
        <v>0.99999999999999978</v>
      </c>
      <c r="E12" s="39">
        <f>IFERROR(INDEX('Feed library'!$B$2:$CL$177,MATCH($A12,'Feed library'!$A$2:$A$177,0),MATCH("DM",'Feed library'!$B$1:$CL$1,0)),0)</f>
        <v>89.266999999999996</v>
      </c>
      <c r="F12" s="36" t="str">
        <f>IFERROR(INDEX('Feed library'!$B$2:$CL$177,MATCH($A12,'Feed library'!$A$2:$A$177,0),MATCH("feed_type",'Feed library'!$B$1:$CL$1,0)),0)</f>
        <v>Conc</v>
      </c>
      <c r="G12" s="39">
        <f>IFERROR(INDEX('Feed library'!$B$2:$CL$177,MATCH($A12,'Feed library'!$A$2:$A$177,0),MATCH("ash",'Feed library'!$B$1:$CL$1,0)),0)</f>
        <v>7.2370000000000001</v>
      </c>
      <c r="H12" s="39">
        <f>IFERROR(INDEX('Feed library'!$B$2:$CL$177,MATCH($A12,'Feed library'!$A$2:$A$177,0),MATCH("CP",'Feed library'!$B$1:$CL$1,0)),0)</f>
        <v>52.643999999999998</v>
      </c>
      <c r="I12" s="39">
        <f>IFERROR(INDEX('Feed library'!$B$2:$CL$177,MATCH($A12,'Feed library'!$A$2:$A$177,0),MATCH("NDF",'Feed library'!$B$1:$CL$1,0)),0)</f>
        <v>11.065</v>
      </c>
      <c r="J12" s="39">
        <f>IFERROR(INDEX('Feed library'!$B$2:$CL$177,MATCH($A12,'Feed library'!$A$2:$A$177,0),MATCH("starch",'Feed library'!$B$1:$CL$1,0)),0)</f>
        <v>1.879</v>
      </c>
      <c r="K12" s="39">
        <f>IFERROR(INDEX('Feed library'!$B$2:$CL$177,MATCH($A12,'Feed library'!$A$2:$A$177,0),MATCH("EE",'Feed library'!$B$1:$CL$1,0)),0)</f>
        <v>1.8149999999999999</v>
      </c>
      <c r="L12" s="39">
        <f>IFERROR(INDEX('Feed library'!$B$2:$CL$177,MATCH($A12,'Feed library'!$A$2:$A$177,0),MATCH("calcium",'Feed library'!$B$1:$CL$1,0)),0)</f>
        <v>0.4</v>
      </c>
      <c r="M12" s="39">
        <f>IFERROR(INDEX('Feed library'!$B$2:$CL$177,MATCH($A12,'Feed library'!$A$2:$A$177,0),MATCH("TDN",'Feed library'!$B$1:$CL$1,0)),0)</f>
        <v>81.39</v>
      </c>
      <c r="N12" s="39">
        <f>INDEX(Global_inputs!$D$17:$D$56,MATCH(growing!A12,Global_inputs!$C$17:$C$56,0))</f>
        <v>0</v>
      </c>
      <c r="P12" s="24" t="s">
        <v>88</v>
      </c>
      <c r="Q12" s="14">
        <f>SUMPRODUCT(M$3:M$22,$B$3:$B$22)*0.01</f>
        <v>0.75164272030651336</v>
      </c>
      <c r="R12" s="27"/>
    </row>
    <row r="13" spans="1:18" x14ac:dyDescent="0.25">
      <c r="A13" s="36">
        <f>IFERROR(INDEX('Feed library'!A:A,MATCH(C13,'Feed library'!B:B,0)),"")</f>
        <v>32</v>
      </c>
      <c r="B13" s="37">
        <f>IFERROR(IF((D13/D$24)&gt;0,D13/D$24,0),0)</f>
        <v>3.4209085933223859E-2</v>
      </c>
      <c r="C13" s="38" t="s">
        <v>116</v>
      </c>
      <c r="D13" s="41">
        <v>0.99999999999999978</v>
      </c>
      <c r="E13" s="39">
        <f>IFERROR(INDEX('Feed library'!$B$2:$CL$177,MATCH($A13,'Feed library'!$A$2:$A$177,0),MATCH("DM",'Feed library'!$B$1:$CL$1,0)),0)</f>
        <v>94.275999999999996</v>
      </c>
      <c r="F13" s="36" t="str">
        <f>IFERROR(INDEX('Feed library'!$B$2:$CL$177,MATCH($A13,'Feed library'!$A$2:$A$177,0),MATCH("feed_type",'Feed library'!$B$1:$CL$1,0)),0)</f>
        <v>Conc</v>
      </c>
      <c r="G13" s="39">
        <f>IFERROR(INDEX('Feed library'!$B$2:$CL$177,MATCH($A13,'Feed library'!$A$2:$A$177,0),MATCH("ash",'Feed library'!$B$1:$CL$1,0)),0)</f>
        <v>2.5670000000000002</v>
      </c>
      <c r="H13" s="39">
        <f>IFERROR(INDEX('Feed library'!$B$2:$CL$177,MATCH($A13,'Feed library'!$A$2:$A$177,0),MATCH("CP",'Feed library'!$B$1:$CL$1,0)),0)</f>
        <v>10.003</v>
      </c>
      <c r="I13" s="39">
        <f>IFERROR(INDEX('Feed library'!$B$2:$CL$177,MATCH($A13,'Feed library'!$A$2:$A$177,0),MATCH("NDF",'Feed library'!$B$1:$CL$1,0)),0)</f>
        <v>13.218999999999999</v>
      </c>
      <c r="J13" s="39">
        <f>IFERROR(INDEX('Feed library'!$B$2:$CL$177,MATCH($A13,'Feed library'!$A$2:$A$177,0),MATCH("starch",'Feed library'!$B$1:$CL$1,0)),0)</f>
        <v>11.166</v>
      </c>
      <c r="K13" s="39">
        <f>IFERROR(INDEX('Feed library'!$B$2:$CL$177,MATCH($A13,'Feed library'!$A$2:$A$177,0),MATCH("EE",'Feed library'!$B$1:$CL$1,0)),0)</f>
        <v>21.681000000000001</v>
      </c>
      <c r="L13" s="39">
        <f>IFERROR(INDEX('Feed library'!$B$2:$CL$177,MATCH($A13,'Feed library'!$A$2:$A$177,0),MATCH("calcium",'Feed library'!$B$1:$CL$1,0)),0)</f>
        <v>0.153</v>
      </c>
      <c r="M13" s="39">
        <f>IFERROR(INDEX('Feed library'!$B$2:$CL$177,MATCH($A13,'Feed library'!$A$2:$A$177,0),MATCH("TDN",'Feed library'!$B$1:$CL$1,0)),0)</f>
        <v>102.67</v>
      </c>
      <c r="N13" s="39">
        <f>INDEX(Global_inputs!$D$17:$D$56,MATCH(growing!A13,Global_inputs!$C$17:$C$56,0))</f>
        <v>0</v>
      </c>
    </row>
    <row r="14" spans="1:18" x14ac:dyDescent="0.25">
      <c r="A14" s="36">
        <f>IFERROR(INDEX('Feed library'!A:A,MATCH(C14,'Feed library'!B:B,0)),"")</f>
        <v>163</v>
      </c>
      <c r="B14" s="37">
        <f>IFERROR(IF((D14/D$24)&gt;0,D14/D$24,0),0)</f>
        <v>1.710454296661193E-2</v>
      </c>
      <c r="C14" s="38" t="s">
        <v>174</v>
      </c>
      <c r="D14" s="41">
        <v>0.49999999999999989</v>
      </c>
      <c r="E14" s="39">
        <f>IFERROR(INDEX('Feed library'!$B$2:$CL$177,MATCH($A14,'Feed library'!$A$2:$A$177,0),MATCH("DM",'Feed library'!$B$1:$CL$1,0)),0)</f>
        <v>90.372</v>
      </c>
      <c r="F14" s="36" t="str">
        <f>IFERROR(INDEX('Feed library'!$B$2:$CL$177,MATCH($A14,'Feed library'!$A$2:$A$177,0),MATCH("feed_type",'Feed library'!$B$1:$CL$1,0)),0)</f>
        <v>Conc</v>
      </c>
      <c r="G14" s="39">
        <f>IFERROR(INDEX('Feed library'!$B$2:$CL$177,MATCH($A14,'Feed library'!$A$2:$A$177,0),MATCH("ash",'Feed library'!$B$1:$CL$1,0)),0)</f>
        <v>5.1790000000000003</v>
      </c>
      <c r="H14" s="39">
        <f>IFERROR(INDEX('Feed library'!$B$2:$CL$177,MATCH($A14,'Feed library'!$A$2:$A$177,0),MATCH("CP",'Feed library'!$B$1:$CL$1,0)),0)</f>
        <v>11.88</v>
      </c>
      <c r="I14" s="39">
        <f>IFERROR(INDEX('Feed library'!$B$2:$CL$177,MATCH($A14,'Feed library'!$A$2:$A$177,0),MATCH("NDF",'Feed library'!$B$1:$CL$1,0)),0)</f>
        <v>66.748999999999995</v>
      </c>
      <c r="J14" s="39">
        <f>IFERROR(INDEX('Feed library'!$B$2:$CL$177,MATCH($A14,'Feed library'!$A$2:$A$177,0),MATCH("starch",'Feed library'!$B$1:$CL$1,0)),0)</f>
        <v>0.98399999999999999</v>
      </c>
      <c r="K14" s="39">
        <f>IFERROR(INDEX('Feed library'!$B$2:$CL$177,MATCH($A14,'Feed library'!$A$2:$A$177,0),MATCH("EE",'Feed library'!$B$1:$CL$1,0)),0)</f>
        <v>1.885</v>
      </c>
      <c r="L14" s="39">
        <f>IFERROR(INDEX('Feed library'!$B$2:$CL$177,MATCH($A14,'Feed library'!$A$2:$A$177,0),MATCH("calcium",'Feed library'!$B$1:$CL$1,0)),0)</f>
        <v>0.63600000000000001</v>
      </c>
      <c r="M14" s="39">
        <f>IFERROR(INDEX('Feed library'!$B$2:$CL$177,MATCH($A14,'Feed library'!$A$2:$A$177,0),MATCH("TDN",'Feed library'!$B$1:$CL$1,0)),0)</f>
        <v>67.34</v>
      </c>
      <c r="N14" s="39">
        <f>INDEX(Global_inputs!$D$17:$D$56,MATCH(growing!A14,Global_inputs!$C$17:$C$56,0))</f>
        <v>0</v>
      </c>
      <c r="Q14" s="25"/>
    </row>
    <row r="15" spans="1:18" x14ac:dyDescent="0.25">
      <c r="A15" s="36">
        <f>IFERROR(INDEX('Feed library'!A:A,MATCH(C15,'Feed library'!B:B,0)),"")</f>
        <v>301</v>
      </c>
      <c r="B15" s="37">
        <f>IFERROR(IF((D15/D$24)&gt;0,D15/D$24,0),0)</f>
        <v>1.710454296661193E-2</v>
      </c>
      <c r="C15" s="38" t="s">
        <v>272</v>
      </c>
      <c r="D15" s="41">
        <v>0.49999999999999989</v>
      </c>
      <c r="E15" s="39">
        <f>IFERROR(INDEX('Feed library'!$B$2:$CL$177,MATCH($A15,'Feed library'!$A$2:$A$177,0),MATCH("DM",'Feed library'!$B$1:$CL$1,0)),0)</f>
        <v>99.459400000000002</v>
      </c>
      <c r="F15" s="36" t="str">
        <f>IFERROR(INDEX('Feed library'!$B$2:$CL$177,MATCH($A15,'Feed library'!$A$2:$A$177,0),MATCH("feed_type",'Feed library'!$B$1:$CL$1,0)),0)</f>
        <v>Mineral</v>
      </c>
      <c r="G15" s="39">
        <f>IFERROR(INDEX('Feed library'!$B$2:$CL$177,MATCH($A15,'Feed library'!$A$2:$A$177,0),MATCH("ash",'Feed library'!$B$1:$CL$1,0)),0)</f>
        <v>99.734700000000004</v>
      </c>
      <c r="H15" s="39">
        <f>IFERROR(INDEX('Feed library'!$B$2:$CL$177,MATCH($A15,'Feed library'!$A$2:$A$177,0),MATCH("CP",'Feed library'!$B$1:$CL$1,0)),0)</f>
        <v>3.5099999999999999E-2</v>
      </c>
      <c r="I15" s="39">
        <f>IFERROR(INDEX('Feed library'!$B$2:$CL$177,MATCH($A15,'Feed library'!$A$2:$A$177,0),MATCH("NDF",'Feed library'!$B$1:$CL$1,0)),0)</f>
        <v>0.1449</v>
      </c>
      <c r="J15" s="39">
        <f>IFERROR(INDEX('Feed library'!$B$2:$CL$177,MATCH($A15,'Feed library'!$A$2:$A$177,0),MATCH("starch",'Feed library'!$B$1:$CL$1,0)),0)</f>
        <v>8.2000000000000007E-3</v>
      </c>
      <c r="K15" s="39">
        <f>IFERROR(INDEX('Feed library'!$B$2:$CL$177,MATCH($A15,'Feed library'!$A$2:$A$177,0),MATCH("EE",'Feed library'!$B$1:$CL$1,0)),0)</f>
        <v>1.1999999999999999E-3</v>
      </c>
      <c r="L15" s="39">
        <f>IFERROR(INDEX('Feed library'!$B$2:$CL$177,MATCH($A15,'Feed library'!$A$2:$A$177,0),MATCH("calcium",'Feed library'!$B$1:$CL$1,0)),0)</f>
        <v>15.43</v>
      </c>
      <c r="M15" s="39">
        <f>IFERROR(INDEX('Feed library'!$B$2:$CL$177,MATCH($A15,'Feed library'!$A$2:$A$177,0),MATCH("TDN",'Feed library'!$B$1:$CL$1,0)),0)</f>
        <v>0</v>
      </c>
      <c r="N15" s="39">
        <f>INDEX(Global_inputs!$D$17:$D$56,MATCH(growing!A15,Global_inputs!$C$17:$C$56,0))</f>
        <v>0</v>
      </c>
      <c r="P15" s="26"/>
    </row>
    <row r="16" spans="1:18" x14ac:dyDescent="0.25">
      <c r="A16" s="36" t="str">
        <f>IFERROR(INDEX('Feed library'!A:A,MATCH(C16,'Feed library'!B:B,0)),"")</f>
        <v/>
      </c>
      <c r="B16" s="37">
        <f>IFERROR(IF((D16/D$24)&gt;0,D16/D$24,0),0)</f>
        <v>0</v>
      </c>
      <c r="C16" s="40"/>
      <c r="D16" s="41"/>
      <c r="E16" s="39">
        <f>IFERROR(INDEX('Feed library'!$B$2:$CL$177,MATCH($A16,'Feed library'!$A$2:$A$177,0),MATCH("DM",'Feed library'!$B$1:$CL$1,0)),0)</f>
        <v>0</v>
      </c>
      <c r="F16" s="36">
        <f>IFERROR(INDEX('Feed library'!$B$2:$CL$177,MATCH($A16,'Feed library'!$A$2:$A$177,0),MATCH("feed_type",'Feed library'!$B$1:$CL$1,0)),0)</f>
        <v>0</v>
      </c>
      <c r="G16" s="39">
        <f>IFERROR(INDEX('Feed library'!$B$2:$CL$177,MATCH($A16,'Feed library'!$A$2:$A$177,0),MATCH("ash",'Feed library'!$B$1:$CL$1,0)),0)</f>
        <v>0</v>
      </c>
      <c r="H16" s="39">
        <f>IFERROR(INDEX('Feed library'!$B$2:$CL$177,MATCH($A16,'Feed library'!$A$2:$A$177,0),MATCH("CP",'Feed library'!$B$1:$CL$1,0)),0)</f>
        <v>0</v>
      </c>
      <c r="I16" s="39">
        <f>IFERROR(INDEX('Feed library'!$B$2:$CL$177,MATCH($A16,'Feed library'!$A$2:$A$177,0),MATCH("NDF",'Feed library'!$B$1:$CL$1,0)),0)</f>
        <v>0</v>
      </c>
      <c r="J16" s="39">
        <f>IFERROR(INDEX('Feed library'!$B$2:$CL$177,MATCH($A16,'Feed library'!$A$2:$A$177,0),MATCH("starch",'Feed library'!$B$1:$CL$1,0)),0)</f>
        <v>0</v>
      </c>
      <c r="K16" s="39">
        <f>IFERROR(INDEX('Feed library'!$B$2:$CL$177,MATCH($A16,'Feed library'!$A$2:$A$177,0),MATCH("EE",'Feed library'!$B$1:$CL$1,0)),0)</f>
        <v>0</v>
      </c>
      <c r="L16" s="39">
        <f>IFERROR(INDEX('Feed library'!$B$2:$CL$177,MATCH($A16,'Feed library'!$A$2:$A$177,0),MATCH("calcium",'Feed library'!$B$1:$CL$1,0)),0)</f>
        <v>0</v>
      </c>
      <c r="M16" s="39">
        <f>IFERROR(INDEX('Feed library'!$B$2:$CL$177,MATCH($A16,'Feed library'!$A$2:$A$177,0),MATCH("TDN",'Feed library'!$B$1:$CL$1,0)),0)</f>
        <v>0</v>
      </c>
      <c r="N16" s="39">
        <f>INDEX(Global_inputs!$D$17:$D$56,MATCH(growing!A16,Global_inputs!$C$17:$C$56,0))</f>
        <v>0</v>
      </c>
    </row>
    <row r="17" spans="1:14" x14ac:dyDescent="0.25">
      <c r="A17" s="36" t="str">
        <f>IFERROR(INDEX('Feed library'!A:A,MATCH(C17,'Feed library'!B:B,0)),"")</f>
        <v/>
      </c>
      <c r="B17" s="37">
        <f>IFERROR(IF((D17/D$24)&gt;0,D17/D$24,0),0)</f>
        <v>0</v>
      </c>
      <c r="C17" s="40"/>
      <c r="D17" s="41"/>
      <c r="E17" s="39">
        <f>IFERROR(INDEX('Feed library'!$B$2:$CL$177,MATCH($A17,'Feed library'!$A$2:$A$177,0),MATCH("DM",'Feed library'!$B$1:$CL$1,0)),0)</f>
        <v>0</v>
      </c>
      <c r="F17" s="36">
        <f>IFERROR(INDEX('Feed library'!$B$2:$CL$177,MATCH($A17,'Feed library'!$A$2:$A$177,0),MATCH("feed_type",'Feed library'!$B$1:$CL$1,0)),0)</f>
        <v>0</v>
      </c>
      <c r="G17" s="39">
        <f>IFERROR(INDEX('Feed library'!$B$2:$CL$177,MATCH($A17,'Feed library'!$A$2:$A$177,0),MATCH("ash",'Feed library'!$B$1:$CL$1,0)),0)</f>
        <v>0</v>
      </c>
      <c r="H17" s="39">
        <f>IFERROR(INDEX('Feed library'!$B$2:$CL$177,MATCH($A17,'Feed library'!$A$2:$A$177,0),MATCH("CP",'Feed library'!$B$1:$CL$1,0)),0)</f>
        <v>0</v>
      </c>
      <c r="I17" s="39">
        <f>IFERROR(INDEX('Feed library'!$B$2:$CL$177,MATCH($A17,'Feed library'!$A$2:$A$177,0),MATCH("NDF",'Feed library'!$B$1:$CL$1,0)),0)</f>
        <v>0</v>
      </c>
      <c r="J17" s="39">
        <f>IFERROR(INDEX('Feed library'!$B$2:$CL$177,MATCH($A17,'Feed library'!$A$2:$A$177,0),MATCH("starch",'Feed library'!$B$1:$CL$1,0)),0)</f>
        <v>0</v>
      </c>
      <c r="K17" s="39">
        <f>IFERROR(INDEX('Feed library'!$B$2:$CL$177,MATCH($A17,'Feed library'!$A$2:$A$177,0),MATCH("EE",'Feed library'!$B$1:$CL$1,0)),0)</f>
        <v>0</v>
      </c>
      <c r="L17" s="39">
        <f>IFERROR(INDEX('Feed library'!$B$2:$CL$177,MATCH($A17,'Feed library'!$A$2:$A$177,0),MATCH("calcium",'Feed library'!$B$1:$CL$1,0)),0)</f>
        <v>0</v>
      </c>
      <c r="M17" s="39">
        <f>IFERROR(INDEX('Feed library'!$B$2:$CL$177,MATCH($A17,'Feed library'!$A$2:$A$177,0),MATCH("TDN",'Feed library'!$B$1:$CL$1,0)),0)</f>
        <v>0</v>
      </c>
      <c r="N17" s="39">
        <f>INDEX(Global_inputs!$D$17:$D$56,MATCH(growing!A17,Global_inputs!$C$17:$C$56,0))</f>
        <v>0</v>
      </c>
    </row>
    <row r="18" spans="1:14" x14ac:dyDescent="0.25">
      <c r="A18" s="36" t="str">
        <f>IFERROR(INDEX('Feed library'!A:A,MATCH(C18,'Feed library'!B:B,0)),"")</f>
        <v/>
      </c>
      <c r="B18" s="37">
        <f>IFERROR(IF((D18/D$24)&gt;0,D18/D$24,0),0)</f>
        <v>0</v>
      </c>
      <c r="C18" s="40"/>
      <c r="D18" s="41"/>
      <c r="E18" s="39">
        <f>IFERROR(INDEX('Feed library'!$B$2:$CL$177,MATCH($A18,'Feed library'!$A$2:$A$177,0),MATCH("DM",'Feed library'!$B$1:$CL$1,0)),0)</f>
        <v>0</v>
      </c>
      <c r="F18" s="36">
        <f>IFERROR(INDEX('Feed library'!$B$2:$CL$177,MATCH($A18,'Feed library'!$A$2:$A$177,0),MATCH("feed_type",'Feed library'!$B$1:$CL$1,0)),0)</f>
        <v>0</v>
      </c>
      <c r="G18" s="39">
        <f>IFERROR(INDEX('Feed library'!$B$2:$CL$177,MATCH($A18,'Feed library'!$A$2:$A$177,0),MATCH("ash",'Feed library'!$B$1:$CL$1,0)),0)</f>
        <v>0</v>
      </c>
      <c r="H18" s="39">
        <f>IFERROR(INDEX('Feed library'!$B$2:$CL$177,MATCH($A18,'Feed library'!$A$2:$A$177,0),MATCH("CP",'Feed library'!$B$1:$CL$1,0)),0)</f>
        <v>0</v>
      </c>
      <c r="I18" s="39">
        <f>IFERROR(INDEX('Feed library'!$B$2:$CL$177,MATCH($A18,'Feed library'!$A$2:$A$177,0),MATCH("NDF",'Feed library'!$B$1:$CL$1,0)),0)</f>
        <v>0</v>
      </c>
      <c r="J18" s="39">
        <f>IFERROR(INDEX('Feed library'!$B$2:$CL$177,MATCH($A18,'Feed library'!$A$2:$A$177,0),MATCH("starch",'Feed library'!$B$1:$CL$1,0)),0)</f>
        <v>0</v>
      </c>
      <c r="K18" s="39">
        <f>IFERROR(INDEX('Feed library'!$B$2:$CL$177,MATCH($A18,'Feed library'!$A$2:$A$177,0),MATCH("EE",'Feed library'!$B$1:$CL$1,0)),0)</f>
        <v>0</v>
      </c>
      <c r="L18" s="39">
        <f>IFERROR(INDEX('Feed library'!$B$2:$CL$177,MATCH($A18,'Feed library'!$A$2:$A$177,0),MATCH("calcium",'Feed library'!$B$1:$CL$1,0)),0)</f>
        <v>0</v>
      </c>
      <c r="M18" s="39">
        <f>IFERROR(INDEX('Feed library'!$B$2:$CL$177,MATCH($A18,'Feed library'!$A$2:$A$177,0),MATCH("TDN",'Feed library'!$B$1:$CL$1,0)),0)</f>
        <v>0</v>
      </c>
      <c r="N18" s="39">
        <f>INDEX(Global_inputs!$D$17:$D$56,MATCH(growing!A18,Global_inputs!$C$17:$C$56,0))</f>
        <v>0</v>
      </c>
    </row>
    <row r="19" spans="1:14" x14ac:dyDescent="0.25">
      <c r="A19" s="36" t="str">
        <f>IFERROR(INDEX('Feed library'!A:A,MATCH(C19,'Feed library'!B:B,0)),"")</f>
        <v/>
      </c>
      <c r="B19" s="37">
        <f>IFERROR(IF((D19/D$24)&gt;0,D19/D$24,0),0)</f>
        <v>0</v>
      </c>
      <c r="C19" s="40"/>
      <c r="D19" s="41"/>
      <c r="E19" s="39">
        <f>IFERROR(INDEX('Feed library'!$B$2:$CL$177,MATCH($A19,'Feed library'!$A$2:$A$177,0),MATCH("DM",'Feed library'!$B$1:$CL$1,0)),0)</f>
        <v>0</v>
      </c>
      <c r="F19" s="36">
        <f>IFERROR(INDEX('Feed library'!$B$2:$CL$177,MATCH($A19,'Feed library'!$A$2:$A$177,0),MATCH("feed_type",'Feed library'!$B$1:$CL$1,0)),0)</f>
        <v>0</v>
      </c>
      <c r="G19" s="39">
        <f>IFERROR(INDEX('Feed library'!$B$2:$CL$177,MATCH($A19,'Feed library'!$A$2:$A$177,0),MATCH("ash",'Feed library'!$B$1:$CL$1,0)),0)</f>
        <v>0</v>
      </c>
      <c r="H19" s="39">
        <f>IFERROR(INDEX('Feed library'!$B$2:$CL$177,MATCH($A19,'Feed library'!$A$2:$A$177,0),MATCH("CP",'Feed library'!$B$1:$CL$1,0)),0)</f>
        <v>0</v>
      </c>
      <c r="I19" s="39">
        <f>IFERROR(INDEX('Feed library'!$B$2:$CL$177,MATCH($A19,'Feed library'!$A$2:$A$177,0),MATCH("NDF",'Feed library'!$B$1:$CL$1,0)),0)</f>
        <v>0</v>
      </c>
      <c r="J19" s="39">
        <f>IFERROR(INDEX('Feed library'!$B$2:$CL$177,MATCH($A19,'Feed library'!$A$2:$A$177,0),MATCH("starch",'Feed library'!$B$1:$CL$1,0)),0)</f>
        <v>0</v>
      </c>
      <c r="K19" s="39">
        <f>IFERROR(INDEX('Feed library'!$B$2:$CL$177,MATCH($A19,'Feed library'!$A$2:$A$177,0),MATCH("EE",'Feed library'!$B$1:$CL$1,0)),0)</f>
        <v>0</v>
      </c>
      <c r="L19" s="39">
        <f>IFERROR(INDEX('Feed library'!$B$2:$CL$177,MATCH($A19,'Feed library'!$A$2:$A$177,0),MATCH("calcium",'Feed library'!$B$1:$CL$1,0)),0)</f>
        <v>0</v>
      </c>
      <c r="M19" s="39">
        <f>IFERROR(INDEX('Feed library'!$B$2:$CL$177,MATCH($A19,'Feed library'!$A$2:$A$177,0),MATCH("TDN",'Feed library'!$B$1:$CL$1,0)),0)</f>
        <v>0</v>
      </c>
      <c r="N19" s="39">
        <f>INDEX(Global_inputs!$D$17:$D$56,MATCH(growing!A19,Global_inputs!$C$17:$C$56,0))</f>
        <v>0</v>
      </c>
    </row>
    <row r="20" spans="1:14" x14ac:dyDescent="0.25">
      <c r="A20" s="36" t="str">
        <f>IFERROR(INDEX('Feed library'!A:A,MATCH(C20,'Feed library'!B:B,0)),"")</f>
        <v/>
      </c>
      <c r="B20" s="37">
        <f>IFERROR(IF((D20/D$24)&gt;0,D20/D$24,0),0)</f>
        <v>0</v>
      </c>
      <c r="C20" s="40"/>
      <c r="D20" s="41"/>
      <c r="E20" s="39">
        <f>IFERROR(INDEX('Feed library'!$B$2:$CL$177,MATCH($A20,'Feed library'!$A$2:$A$177,0),MATCH("DM",'Feed library'!$B$1:$CL$1,0)),0)</f>
        <v>0</v>
      </c>
      <c r="F20" s="36">
        <f>IFERROR(INDEX('Feed library'!$B$2:$CL$177,MATCH($A20,'Feed library'!$A$2:$A$177,0),MATCH("feed_type",'Feed library'!$B$1:$CL$1,0)),0)</f>
        <v>0</v>
      </c>
      <c r="G20" s="39">
        <f>IFERROR(INDEX('Feed library'!$B$2:$CL$177,MATCH($A20,'Feed library'!$A$2:$A$177,0),MATCH("ash",'Feed library'!$B$1:$CL$1,0)),0)</f>
        <v>0</v>
      </c>
      <c r="H20" s="39">
        <f>IFERROR(INDEX('Feed library'!$B$2:$CL$177,MATCH($A20,'Feed library'!$A$2:$A$177,0),MATCH("CP",'Feed library'!$B$1:$CL$1,0)),0)</f>
        <v>0</v>
      </c>
      <c r="I20" s="39">
        <f>IFERROR(INDEX('Feed library'!$B$2:$CL$177,MATCH($A20,'Feed library'!$A$2:$A$177,0),MATCH("NDF",'Feed library'!$B$1:$CL$1,0)),0)</f>
        <v>0</v>
      </c>
      <c r="J20" s="39">
        <f>IFERROR(INDEX('Feed library'!$B$2:$CL$177,MATCH($A20,'Feed library'!$A$2:$A$177,0),MATCH("starch",'Feed library'!$B$1:$CL$1,0)),0)</f>
        <v>0</v>
      </c>
      <c r="K20" s="39">
        <f>IFERROR(INDEX('Feed library'!$B$2:$CL$177,MATCH($A20,'Feed library'!$A$2:$A$177,0),MATCH("EE",'Feed library'!$B$1:$CL$1,0)),0)</f>
        <v>0</v>
      </c>
      <c r="L20" s="39">
        <f>IFERROR(INDEX('Feed library'!$B$2:$CL$177,MATCH($A20,'Feed library'!$A$2:$A$177,0),MATCH("calcium",'Feed library'!$B$1:$CL$1,0)),0)</f>
        <v>0</v>
      </c>
      <c r="M20" s="39">
        <f>IFERROR(INDEX('Feed library'!$B$2:$CL$177,MATCH($A20,'Feed library'!$A$2:$A$177,0),MATCH("TDN",'Feed library'!$B$1:$CL$1,0)),0)</f>
        <v>0</v>
      </c>
      <c r="N20" s="39">
        <f>INDEX(Global_inputs!$D$17:$D$56,MATCH(growing!A20,Global_inputs!$C$17:$C$56,0))</f>
        <v>0</v>
      </c>
    </row>
    <row r="21" spans="1:14" x14ac:dyDescent="0.25">
      <c r="A21" s="36" t="str">
        <f>IFERROR(INDEX('Feed library'!A:A,MATCH(C21,'Feed library'!B:B,0)),"")</f>
        <v/>
      </c>
      <c r="B21" s="37">
        <f>IFERROR(IF((D21/D$24)&gt;0,D21/D$24,0),0)</f>
        <v>0</v>
      </c>
      <c r="C21" s="40"/>
      <c r="D21" s="41"/>
      <c r="E21" s="39">
        <f>IFERROR(INDEX('Feed library'!$B$2:$CL$177,MATCH($A21,'Feed library'!$A$2:$A$177,0),MATCH("DM",'Feed library'!$B$1:$CL$1,0)),0)</f>
        <v>0</v>
      </c>
      <c r="F21" s="36">
        <f>IFERROR(INDEX('Feed library'!$B$2:$CL$177,MATCH($A21,'Feed library'!$A$2:$A$177,0),MATCH("feed_type",'Feed library'!$B$1:$CL$1,0)),0)</f>
        <v>0</v>
      </c>
      <c r="G21" s="39">
        <f>IFERROR(INDEX('Feed library'!$B$2:$CL$177,MATCH($A21,'Feed library'!$A$2:$A$177,0),MATCH("ash",'Feed library'!$B$1:$CL$1,0)),0)</f>
        <v>0</v>
      </c>
      <c r="H21" s="39">
        <f>IFERROR(INDEX('Feed library'!$B$2:$CL$177,MATCH($A21,'Feed library'!$A$2:$A$177,0),MATCH("CP",'Feed library'!$B$1:$CL$1,0)),0)</f>
        <v>0</v>
      </c>
      <c r="I21" s="39">
        <f>IFERROR(INDEX('Feed library'!$B$2:$CL$177,MATCH($A21,'Feed library'!$A$2:$A$177,0),MATCH("NDF",'Feed library'!$B$1:$CL$1,0)),0)</f>
        <v>0</v>
      </c>
      <c r="J21" s="39">
        <f>IFERROR(INDEX('Feed library'!$B$2:$CL$177,MATCH($A21,'Feed library'!$A$2:$A$177,0),MATCH("starch",'Feed library'!$B$1:$CL$1,0)),0)</f>
        <v>0</v>
      </c>
      <c r="K21" s="39">
        <f>IFERROR(INDEX('Feed library'!$B$2:$CL$177,MATCH($A21,'Feed library'!$A$2:$A$177,0),MATCH("EE",'Feed library'!$B$1:$CL$1,0)),0)</f>
        <v>0</v>
      </c>
      <c r="L21" s="39">
        <f>IFERROR(INDEX('Feed library'!$B$2:$CL$177,MATCH($A21,'Feed library'!$A$2:$A$177,0),MATCH("calcium",'Feed library'!$B$1:$CL$1,0)),0)</f>
        <v>0</v>
      </c>
      <c r="M21" s="39">
        <f>IFERROR(INDEX('Feed library'!$B$2:$CL$177,MATCH($A21,'Feed library'!$A$2:$A$177,0),MATCH("TDN",'Feed library'!$B$1:$CL$1,0)),0)</f>
        <v>0</v>
      </c>
      <c r="N21" s="39">
        <f>INDEX(Global_inputs!$D$17:$D$56,MATCH(growing!A21,Global_inputs!$C$17:$C$56,0))</f>
        <v>0</v>
      </c>
    </row>
    <row r="22" spans="1:14" x14ac:dyDescent="0.25">
      <c r="A22" s="36" t="str">
        <f>IFERROR(INDEX('Feed library'!A:A,MATCH(C22,'Feed library'!B:B,0)),"")</f>
        <v/>
      </c>
      <c r="B22" s="37">
        <f>IFERROR(IF((D22/D$24)&gt;0,D22/D$24,0),0)</f>
        <v>0</v>
      </c>
      <c r="C22" s="40"/>
      <c r="D22" s="41"/>
      <c r="E22" s="39">
        <f>IFERROR(INDEX('Feed library'!$B$2:$CL$177,MATCH($A22,'Feed library'!$A$2:$A$177,0),MATCH("DM",'Feed library'!$B$1:$CL$1,0)),0)</f>
        <v>0</v>
      </c>
      <c r="F22" s="36">
        <f>IFERROR(INDEX('Feed library'!$B$2:$CL$177,MATCH($A22,'Feed library'!$A$2:$A$177,0),MATCH("feed_type",'Feed library'!$B$1:$CL$1,0)),0)</f>
        <v>0</v>
      </c>
      <c r="G22" s="39">
        <f>IFERROR(INDEX('Feed library'!$B$2:$CL$177,MATCH($A22,'Feed library'!$A$2:$A$177,0),MATCH("ash",'Feed library'!$B$1:$CL$1,0)),0)</f>
        <v>0</v>
      </c>
      <c r="H22" s="39">
        <f>IFERROR(INDEX('Feed library'!$B$2:$CL$177,MATCH($A22,'Feed library'!$A$2:$A$177,0),MATCH("CP",'Feed library'!$B$1:$CL$1,0)),0)</f>
        <v>0</v>
      </c>
      <c r="I22" s="39">
        <f>IFERROR(INDEX('Feed library'!$B$2:$CL$177,MATCH($A22,'Feed library'!$A$2:$A$177,0),MATCH("NDF",'Feed library'!$B$1:$CL$1,0)),0)</f>
        <v>0</v>
      </c>
      <c r="J22" s="39">
        <f>IFERROR(INDEX('Feed library'!$B$2:$CL$177,MATCH($A22,'Feed library'!$A$2:$A$177,0),MATCH("starch",'Feed library'!$B$1:$CL$1,0)),0)</f>
        <v>0</v>
      </c>
      <c r="K22" s="39">
        <f>IFERROR(INDEX('Feed library'!$B$2:$CL$177,MATCH($A22,'Feed library'!$A$2:$A$177,0),MATCH("EE",'Feed library'!$B$1:$CL$1,0)),0)</f>
        <v>0</v>
      </c>
      <c r="L22" s="39">
        <f>IFERROR(INDEX('Feed library'!$B$2:$CL$177,MATCH($A22,'Feed library'!$A$2:$A$177,0),MATCH("calcium",'Feed library'!$B$1:$CL$1,0)),0)</f>
        <v>0</v>
      </c>
      <c r="M22" s="39">
        <f>IFERROR(INDEX('Feed library'!$B$2:$CL$177,MATCH($A22,'Feed library'!$A$2:$A$177,0),MATCH("TDN",'Feed library'!$B$1:$CL$1,0)),0)</f>
        <v>0</v>
      </c>
      <c r="N22" s="39">
        <f>INDEX(Global_inputs!$D$17:$D$56,MATCH(growing!A22,Global_inputs!$C$17:$C$56,0))</f>
        <v>0</v>
      </c>
    </row>
    <row r="24" spans="1:14" x14ac:dyDescent="0.25">
      <c r="C24" t="s">
        <v>313</v>
      </c>
      <c r="D24" s="3">
        <f>SUM(D3:D22)</f>
        <v>29.231999999999999</v>
      </c>
      <c r="E24" s="4"/>
    </row>
    <row r="25" spans="1:14" x14ac:dyDescent="0.25">
      <c r="D25" s="35">
        <f>SUM(B3:B22)</f>
        <v>0.99999999999999978</v>
      </c>
    </row>
  </sheetData>
  <conditionalFormatting sqref="D25">
    <cfRule type="cellIs" dxfId="1" priority="1" operator="lessThan">
      <formula>1</formula>
    </cfRule>
    <cfRule type="cellIs" dxfId="0" priority="2" operator="greaterThan">
      <formul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SetByDMI">
                <anchor moveWithCells="1" sizeWithCells="1">
                  <from>
                    <xdr:col>4</xdr:col>
                    <xdr:colOff>66675</xdr:colOff>
                    <xdr:row>22</xdr:row>
                    <xdr:rowOff>152400</xdr:rowOff>
                  </from>
                  <to>
                    <xdr:col>5</xdr:col>
                    <xdr:colOff>95250</xdr:colOff>
                    <xdr:row>24</xdr:row>
                    <xdr:rowOff>0</xdr:rowOff>
                  </to>
                </anchor>
              </controlPr>
            </control>
          </mc:Choice>
        </mc:AlternateContent>
        <mc:AlternateContent xmlns:mc="http://schemas.openxmlformats.org/markup-compatibility/2006">
          <mc:Choice Requires="x14">
            <control shapeId="6191" r:id="rId4" name="Button 47">
              <controlPr defaultSize="0" print="0" autoFill="0" autoPict="0" macro="[0]!SetByPct">
                <anchor moveWithCells="1" sizeWithCells="1">
                  <from>
                    <xdr:col>4</xdr:col>
                    <xdr:colOff>76200</xdr:colOff>
                    <xdr:row>24</xdr:row>
                    <xdr:rowOff>28575</xdr:rowOff>
                  </from>
                  <to>
                    <xdr:col>5</xdr:col>
                    <xdr:colOff>419100</xdr:colOff>
                    <xdr:row>25</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3D1AC3-9280-476D-9F42-045B902BEB66}">
          <x14:formula1>
            <xm:f>'Feed library'!$B$2:$B$177</xm:f>
          </x14:formula1>
          <xm:sqref>C3:C18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5BFC2-6281-4A57-AE0D-2CF1E5C5FEF9}">
  <sheetPr codeName="Sheet5"/>
  <dimension ref="B1:M56"/>
  <sheetViews>
    <sheetView topLeftCell="A17" workbookViewId="0">
      <selection activeCell="G24" sqref="G24"/>
    </sheetView>
  </sheetViews>
  <sheetFormatPr defaultRowHeight="15" x14ac:dyDescent="0.25"/>
  <cols>
    <col min="2" max="2" width="4" customWidth="1"/>
    <col min="3" max="3" width="14.5703125" customWidth="1"/>
    <col min="4" max="4" width="15.42578125" customWidth="1"/>
    <col min="6" max="7" width="27.5703125" bestFit="1" customWidth="1"/>
    <col min="8" max="8" width="28.140625" bestFit="1" customWidth="1"/>
    <col min="9" max="9" width="29.42578125" bestFit="1" customWidth="1"/>
    <col min="12" max="12" width="30.28515625" customWidth="1"/>
    <col min="13" max="13" width="9.42578125" bestFit="1" customWidth="1"/>
  </cols>
  <sheetData>
    <row r="1" spans="2:13" x14ac:dyDescent="0.25">
      <c r="B1" s="5" t="s">
        <v>318</v>
      </c>
      <c r="L1" s="5" t="s">
        <v>326</v>
      </c>
    </row>
    <row r="3" spans="2:13" x14ac:dyDescent="0.25">
      <c r="B3" s="5" t="s">
        <v>300</v>
      </c>
      <c r="E3" s="29">
        <v>1</v>
      </c>
      <c r="F3" t="s">
        <v>93</v>
      </c>
      <c r="L3" t="s">
        <v>296</v>
      </c>
      <c r="M3" s="13">
        <v>0.25</v>
      </c>
    </row>
    <row r="4" spans="2:13" x14ac:dyDescent="0.25">
      <c r="C4" t="s">
        <v>303</v>
      </c>
      <c r="L4" t="s">
        <v>322</v>
      </c>
      <c r="M4" s="13"/>
    </row>
    <row r="5" spans="2:13" x14ac:dyDescent="0.25">
      <c r="M5" s="13"/>
    </row>
    <row r="6" spans="2:13" x14ac:dyDescent="0.25">
      <c r="B6" s="5" t="s">
        <v>302</v>
      </c>
      <c r="E6" s="28">
        <v>0.1</v>
      </c>
      <c r="L6" t="s">
        <v>295</v>
      </c>
      <c r="M6" s="13">
        <v>0.45</v>
      </c>
    </row>
    <row r="7" spans="2:13" x14ac:dyDescent="0.25">
      <c r="C7" t="s">
        <v>305</v>
      </c>
      <c r="L7" t="s">
        <v>323</v>
      </c>
      <c r="M7" s="13"/>
    </row>
    <row r="8" spans="2:13" x14ac:dyDescent="0.25">
      <c r="C8" t="s">
        <v>306</v>
      </c>
      <c r="M8" s="13"/>
    </row>
    <row r="9" spans="2:13" x14ac:dyDescent="0.25">
      <c r="M9" s="13"/>
    </row>
    <row r="10" spans="2:13" x14ac:dyDescent="0.25">
      <c r="B10" s="5" t="s">
        <v>301</v>
      </c>
      <c r="E10" s="2">
        <v>4</v>
      </c>
      <c r="L10" t="s">
        <v>297</v>
      </c>
      <c r="M10" s="13">
        <v>0.15</v>
      </c>
    </row>
    <row r="11" spans="2:13" x14ac:dyDescent="0.25">
      <c r="C11" t="s">
        <v>304</v>
      </c>
      <c r="L11" t="s">
        <v>324</v>
      </c>
      <c r="M11" s="13"/>
    </row>
    <row r="12" spans="2:13" x14ac:dyDescent="0.25">
      <c r="M12" s="13"/>
    </row>
    <row r="13" spans="2:13" x14ac:dyDescent="0.25">
      <c r="L13" t="s">
        <v>298</v>
      </c>
      <c r="M13" s="13">
        <v>7.0000000000000007E-2</v>
      </c>
    </row>
    <row r="14" spans="2:13" x14ac:dyDescent="0.25">
      <c r="B14" s="5" t="s">
        <v>316</v>
      </c>
      <c r="L14" t="s">
        <v>325</v>
      </c>
    </row>
    <row r="15" spans="2:13" x14ac:dyDescent="0.25">
      <c r="B15" s="5"/>
      <c r="C15" t="s">
        <v>278</v>
      </c>
      <c r="D15" t="s">
        <v>317</v>
      </c>
      <c r="E15" t="s">
        <v>308</v>
      </c>
      <c r="F15" t="s">
        <v>309</v>
      </c>
      <c r="G15" t="s">
        <v>310</v>
      </c>
      <c r="H15" t="s">
        <v>311</v>
      </c>
      <c r="I15" t="s">
        <v>321</v>
      </c>
    </row>
    <row r="16" spans="2:13" hidden="1" x14ac:dyDescent="0.25">
      <c r="C16" s="30" t="s">
        <v>3</v>
      </c>
      <c r="D16" s="30" t="s">
        <v>307</v>
      </c>
      <c r="E16" s="30" t="s">
        <v>308</v>
      </c>
      <c r="F16" s="30" t="s">
        <v>309</v>
      </c>
      <c r="G16" s="30" t="s">
        <v>310</v>
      </c>
      <c r="H16" s="30" t="s">
        <v>311</v>
      </c>
    </row>
    <row r="17" spans="3:13" x14ac:dyDescent="0.25">
      <c r="C17" s="15" cm="1">
        <f t="array" ref="C17:C32">_xlfn._xlws.SORT(_xlfn.UNIQUE(_xlfn.TOCOL(Helper!A3:D22,1)))</f>
        <v>22</v>
      </c>
      <c r="D17" s="16">
        <v>0.01</v>
      </c>
      <c r="E17" s="17">
        <f t="shared" ref="E17:E56" si="0">buffer</f>
        <v>0.15</v>
      </c>
      <c r="F17" s="42">
        <f t="shared" ref="F17:F56" si="1">RT_PA</f>
        <v>1000</v>
      </c>
      <c r="G17" s="42">
        <f t="shared" ref="G17:G56" si="2">A_PA</f>
        <v>1000000</v>
      </c>
      <c r="H17" s="42">
        <f t="shared" ref="H17:H56" si="3">PC_A</f>
        <v>1000</v>
      </c>
      <c r="I17" s="32" t="str">
        <f>IF(C17="","",IF(ISNA(MATCH(Global_inputs!C17,lac_cow!$A$3:$A$22,0))=TRUE,"","LAC ")&amp;IF(ISNA(MATCH(Global_inputs!C17,close_up!$A$3:$A$22,0))=TRUE,"","CLOSEUP ")&amp;IF(ISNA(MATCH(Global_inputs!C17,growing!$A$3:$A$22,0))=TRUE,"","GROW ")&amp;(IF(ISNA(MATCH(Global_inputs!C17,calf!$A$3:$A$22,0))=TRUE,"","CALF ")))</f>
        <v xml:space="preserve">LAC </v>
      </c>
      <c r="L17" s="5" t="s">
        <v>329</v>
      </c>
    </row>
    <row r="18" spans="3:13" x14ac:dyDescent="0.25">
      <c r="C18" s="18">
        <v>31</v>
      </c>
      <c r="D18" s="19">
        <v>0.01</v>
      </c>
      <c r="E18" s="20">
        <f t="shared" si="0"/>
        <v>0.15</v>
      </c>
      <c r="F18" s="43">
        <f t="shared" si="1"/>
        <v>1000</v>
      </c>
      <c r="G18" s="43">
        <f t="shared" si="2"/>
        <v>1000000</v>
      </c>
      <c r="H18" s="43">
        <f t="shared" si="3"/>
        <v>1000</v>
      </c>
      <c r="I18" s="33" t="str">
        <f>IF(C18="","",IF(ISNA(MATCH(Global_inputs!C18,lac_cow!$A$3:$A$22,0))=TRUE,"","LAC ")&amp;IF(ISNA(MATCH(Global_inputs!C18,close_up!$A$3:$A$22,0))=TRUE,"","CLOSEUP ")&amp;IF(ISNA(MATCH(Global_inputs!C18,growing!$A$3:$A$22,0))=TRUE,"","GROW ")&amp;(IF(ISNA(MATCH(Global_inputs!C18,calf!$A$3:$A$22,0))=TRUE,"","CALF ")))</f>
        <v xml:space="preserve">LAC CLOSEUP GROW </v>
      </c>
      <c r="L18" t="s">
        <v>308</v>
      </c>
      <c r="M18" s="2">
        <v>0.15</v>
      </c>
    </row>
    <row r="19" spans="3:13" x14ac:dyDescent="0.25">
      <c r="C19" s="18">
        <v>32</v>
      </c>
      <c r="D19" s="19">
        <v>0.01</v>
      </c>
      <c r="E19" s="20">
        <f t="shared" si="0"/>
        <v>0.15</v>
      </c>
      <c r="F19" s="43">
        <f t="shared" si="1"/>
        <v>1000</v>
      </c>
      <c r="G19" s="43">
        <f t="shared" si="2"/>
        <v>1000000</v>
      </c>
      <c r="H19" s="43">
        <f t="shared" si="3"/>
        <v>1000</v>
      </c>
      <c r="I19" s="33" t="str">
        <f>IF(C19="","",IF(ISNA(MATCH(Global_inputs!C19,lac_cow!$A$3:$A$22,0))=TRUE,"","LAC ")&amp;IF(ISNA(MATCH(Global_inputs!C19,close_up!$A$3:$A$22,0))=TRUE,"","CLOSEUP ")&amp;IF(ISNA(MATCH(Global_inputs!C19,growing!$A$3:$A$22,0))=TRUE,"","GROW ")&amp;(IF(ISNA(MATCH(Global_inputs!C19,calf!$A$3:$A$22,0))=TRUE,"","CALF ")))</f>
        <v xml:space="preserve">LAC </v>
      </c>
      <c r="L19" t="s">
        <v>309</v>
      </c>
      <c r="M19" s="29">
        <v>1000</v>
      </c>
    </row>
    <row r="20" spans="3:13" x14ac:dyDescent="0.25">
      <c r="C20" s="18">
        <v>44</v>
      </c>
      <c r="D20" s="19">
        <v>0.01</v>
      </c>
      <c r="E20" s="20">
        <f t="shared" si="0"/>
        <v>0.15</v>
      </c>
      <c r="F20" s="43">
        <f t="shared" si="1"/>
        <v>1000</v>
      </c>
      <c r="G20" s="43">
        <f t="shared" si="2"/>
        <v>1000000</v>
      </c>
      <c r="H20" s="43">
        <f t="shared" si="3"/>
        <v>1000</v>
      </c>
      <c r="I20" s="33" t="str">
        <f>IF(C20="","",IF(ISNA(MATCH(Global_inputs!C20,lac_cow!$A$3:$A$22,0))=TRUE,"","LAC ")&amp;IF(ISNA(MATCH(Global_inputs!C20,close_up!$A$3:$A$22,0))=TRUE,"","CLOSEUP ")&amp;IF(ISNA(MATCH(Global_inputs!C20,growing!$A$3:$A$22,0))=TRUE,"","GROW ")&amp;(IF(ISNA(MATCH(Global_inputs!C20,calf!$A$3:$A$22,0))=TRUE,"","CALF ")))</f>
        <v xml:space="preserve">LAC CLOSEUP GROW </v>
      </c>
      <c r="L20" t="s">
        <v>310</v>
      </c>
      <c r="M20" s="29">
        <v>1000000</v>
      </c>
    </row>
    <row r="21" spans="3:13" x14ac:dyDescent="0.25">
      <c r="C21" s="18">
        <v>51</v>
      </c>
      <c r="D21" s="19">
        <v>0.01</v>
      </c>
      <c r="E21" s="20">
        <f t="shared" si="0"/>
        <v>0.15</v>
      </c>
      <c r="F21" s="43">
        <f t="shared" si="1"/>
        <v>1000</v>
      </c>
      <c r="G21" s="43">
        <f t="shared" si="2"/>
        <v>1000000</v>
      </c>
      <c r="H21" s="43">
        <f t="shared" si="3"/>
        <v>1000</v>
      </c>
      <c r="I21" s="33" t="str">
        <f>IF(C21="","",IF(ISNA(MATCH(Global_inputs!C21,lac_cow!$A$3:$A$22,0))=TRUE,"","LAC ")&amp;IF(ISNA(MATCH(Global_inputs!C21,close_up!$A$3:$A$22,0))=TRUE,"","CLOSEUP ")&amp;IF(ISNA(MATCH(Global_inputs!C21,growing!$A$3:$A$22,0))=TRUE,"","GROW ")&amp;(IF(ISNA(MATCH(Global_inputs!C21,calf!$A$3:$A$22,0))=TRUE,"","CALF ")))</f>
        <v xml:space="preserve">LAC CLOSEUP GROW </v>
      </c>
      <c r="L21" t="s">
        <v>311</v>
      </c>
      <c r="M21" s="29">
        <v>1000</v>
      </c>
    </row>
    <row r="22" spans="3:13" x14ac:dyDescent="0.25">
      <c r="C22" s="18">
        <v>67</v>
      </c>
      <c r="D22" s="19">
        <v>0.01</v>
      </c>
      <c r="E22" s="20">
        <f t="shared" si="0"/>
        <v>0.15</v>
      </c>
      <c r="F22" s="43">
        <f t="shared" si="1"/>
        <v>1000</v>
      </c>
      <c r="G22" s="43">
        <f t="shared" si="2"/>
        <v>1000000</v>
      </c>
      <c r="H22" s="43">
        <f t="shared" si="3"/>
        <v>1000</v>
      </c>
      <c r="I22" s="33" t="str">
        <f>IF(C22="","",IF(ISNA(MATCH(Global_inputs!C22,lac_cow!$A$3:$A$22,0))=TRUE,"","LAC ")&amp;IF(ISNA(MATCH(Global_inputs!C22,close_up!$A$3:$A$22,0))=TRUE,"","CLOSEUP ")&amp;IF(ISNA(MATCH(Global_inputs!C22,growing!$A$3:$A$22,0))=TRUE,"","GROW ")&amp;(IF(ISNA(MATCH(Global_inputs!C22,calf!$A$3:$A$22,0))=TRUE,"","CALF ")))</f>
        <v xml:space="preserve">LAC </v>
      </c>
    </row>
    <row r="23" spans="3:13" x14ac:dyDescent="0.25">
      <c r="C23" s="18">
        <v>100</v>
      </c>
      <c r="D23" s="19">
        <v>0.01</v>
      </c>
      <c r="E23" s="20">
        <f t="shared" si="0"/>
        <v>0.15</v>
      </c>
      <c r="F23" s="43">
        <f t="shared" si="1"/>
        <v>1000</v>
      </c>
      <c r="G23" s="43">
        <f t="shared" si="2"/>
        <v>1000000</v>
      </c>
      <c r="H23" s="43">
        <f t="shared" si="3"/>
        <v>1000</v>
      </c>
      <c r="I23" s="33" t="str">
        <f>IF(C23="","",IF(ISNA(MATCH(Global_inputs!C23,lac_cow!$A$3:$A$22,0))=TRUE,"","LAC ")&amp;IF(ISNA(MATCH(Global_inputs!C23,close_up!$A$3:$A$22,0))=TRUE,"","CLOSEUP ")&amp;IF(ISNA(MATCH(Global_inputs!C23,growing!$A$3:$A$22,0))=TRUE,"","GROW ")&amp;(IF(ISNA(MATCH(Global_inputs!C23,calf!$A$3:$A$22,0))=TRUE,"","CALF ")))</f>
        <v xml:space="preserve">LAC CLOSEUP GROW </v>
      </c>
    </row>
    <row r="24" spans="3:13" x14ac:dyDescent="0.25">
      <c r="C24" s="18">
        <v>119</v>
      </c>
      <c r="D24" s="19">
        <v>0.01</v>
      </c>
      <c r="E24" s="20">
        <f t="shared" si="0"/>
        <v>0.15</v>
      </c>
      <c r="F24" s="43">
        <f t="shared" si="1"/>
        <v>1000</v>
      </c>
      <c r="G24" s="43">
        <f t="shared" si="2"/>
        <v>1000000</v>
      </c>
      <c r="H24" s="43">
        <f t="shared" si="3"/>
        <v>1000</v>
      </c>
      <c r="I24" s="33" t="str">
        <f>IF(C24="","",IF(ISNA(MATCH(Global_inputs!C24,lac_cow!$A$3:$A$22,0))=TRUE,"","LAC ")&amp;IF(ISNA(MATCH(Global_inputs!C24,close_up!$A$3:$A$22,0))=TRUE,"","CLOSEUP ")&amp;IF(ISNA(MATCH(Global_inputs!C24,growing!$A$3:$A$22,0))=TRUE,"","GROW ")&amp;(IF(ISNA(MATCH(Global_inputs!C24,calf!$A$3:$A$22,0))=TRUE,"","CALF ")))</f>
        <v xml:space="preserve">LAC CLOSEUP GROW </v>
      </c>
    </row>
    <row r="25" spans="3:13" ht="15.75" customHeight="1" x14ac:dyDescent="0.25">
      <c r="C25" s="18">
        <v>163</v>
      </c>
      <c r="D25" s="19">
        <v>0.01</v>
      </c>
      <c r="E25" s="20">
        <f t="shared" si="0"/>
        <v>0.15</v>
      </c>
      <c r="F25" s="43">
        <f t="shared" si="1"/>
        <v>1000</v>
      </c>
      <c r="G25" s="43">
        <f t="shared" si="2"/>
        <v>1000000</v>
      </c>
      <c r="H25" s="43">
        <f t="shared" si="3"/>
        <v>1000</v>
      </c>
      <c r="I25" s="33" t="str">
        <f>IF(C25="","",IF(ISNA(MATCH(Global_inputs!C25,lac_cow!$A$3:$A$22,0))=TRUE,"","LAC ")&amp;IF(ISNA(MATCH(Global_inputs!C25,close_up!$A$3:$A$22,0))=TRUE,"","CLOSEUP ")&amp;IF(ISNA(MATCH(Global_inputs!C25,growing!$A$3:$A$22,0))=TRUE,"","GROW ")&amp;(IF(ISNA(MATCH(Global_inputs!C25,calf!$A$3:$A$22,0))=TRUE,"","CALF ")))</f>
        <v xml:space="preserve">LAC </v>
      </c>
    </row>
    <row r="26" spans="3:13" x14ac:dyDescent="0.25">
      <c r="C26" s="18">
        <v>167</v>
      </c>
      <c r="D26" s="19">
        <v>0.01</v>
      </c>
      <c r="E26" s="20">
        <f t="shared" si="0"/>
        <v>0.15</v>
      </c>
      <c r="F26" s="43">
        <f t="shared" si="1"/>
        <v>1000</v>
      </c>
      <c r="G26" s="43">
        <f t="shared" si="2"/>
        <v>1000000</v>
      </c>
      <c r="H26" s="43">
        <f t="shared" si="3"/>
        <v>1000</v>
      </c>
      <c r="I26" s="33" t="str">
        <f>IF(C26="","",IF(ISNA(MATCH(Global_inputs!C26,lac_cow!$A$3:$A$22,0))=TRUE,"","LAC ")&amp;IF(ISNA(MATCH(Global_inputs!C26,close_up!$A$3:$A$22,0))=TRUE,"","CLOSEUP ")&amp;IF(ISNA(MATCH(Global_inputs!C26,growing!$A$3:$A$22,0))=TRUE,"","GROW ")&amp;(IF(ISNA(MATCH(Global_inputs!C26,calf!$A$3:$A$22,0))=TRUE,"","CALF ")))</f>
        <v xml:space="preserve">LAC </v>
      </c>
    </row>
    <row r="27" spans="3:13" x14ac:dyDescent="0.25">
      <c r="C27" s="18">
        <v>170</v>
      </c>
      <c r="D27" s="19">
        <v>0.01</v>
      </c>
      <c r="E27" s="20">
        <f t="shared" si="0"/>
        <v>0.15</v>
      </c>
      <c r="F27" s="43">
        <f t="shared" si="1"/>
        <v>1000</v>
      </c>
      <c r="G27" s="43">
        <f t="shared" si="2"/>
        <v>1000000</v>
      </c>
      <c r="H27" s="43">
        <f t="shared" si="3"/>
        <v>1000</v>
      </c>
      <c r="I27" s="33" t="str">
        <f>IF(C27="","",IF(ISNA(MATCH(Global_inputs!C27,lac_cow!$A$3:$A$22,0))=TRUE,"","LAC ")&amp;IF(ISNA(MATCH(Global_inputs!C27,close_up!$A$3:$A$22,0))=TRUE,"","CLOSEUP ")&amp;IF(ISNA(MATCH(Global_inputs!C27,growing!$A$3:$A$22,0))=TRUE,"","GROW ")&amp;(IF(ISNA(MATCH(Global_inputs!C27,calf!$A$3:$A$22,0))=TRUE,"","CALF ")))</f>
        <v xml:space="preserve">LAC </v>
      </c>
    </row>
    <row r="28" spans="3:13" x14ac:dyDescent="0.25">
      <c r="C28" s="18">
        <v>202</v>
      </c>
      <c r="D28" s="19">
        <v>0.01</v>
      </c>
      <c r="E28" s="20">
        <f t="shared" si="0"/>
        <v>0.15</v>
      </c>
      <c r="F28" s="43">
        <f t="shared" si="1"/>
        <v>1000</v>
      </c>
      <c r="G28" s="43">
        <f t="shared" si="2"/>
        <v>1000000</v>
      </c>
      <c r="H28" s="43">
        <f t="shared" si="3"/>
        <v>1000</v>
      </c>
      <c r="I28" s="33" t="str">
        <f>IF(C28="","",IF(ISNA(MATCH(Global_inputs!C28,lac_cow!$A$3:$A$22,0))=TRUE,"","LAC ")&amp;IF(ISNA(MATCH(Global_inputs!C28,close_up!$A$3:$A$22,0))=TRUE,"","CLOSEUP ")&amp;IF(ISNA(MATCH(Global_inputs!C28,growing!$A$3:$A$22,0))=TRUE,"","GROW ")&amp;(IF(ISNA(MATCH(Global_inputs!C28,calf!$A$3:$A$22,0))=TRUE,"","CALF ")))</f>
        <v xml:space="preserve">CALF </v>
      </c>
    </row>
    <row r="29" spans="3:13" x14ac:dyDescent="0.25">
      <c r="C29" s="18">
        <v>210</v>
      </c>
      <c r="D29" s="19">
        <v>0.01</v>
      </c>
      <c r="E29" s="20">
        <f t="shared" si="0"/>
        <v>0.15</v>
      </c>
      <c r="F29" s="43">
        <f t="shared" si="1"/>
        <v>1000</v>
      </c>
      <c r="G29" s="43">
        <f t="shared" si="2"/>
        <v>1000000</v>
      </c>
      <c r="H29" s="43">
        <f t="shared" si="3"/>
        <v>1000</v>
      </c>
      <c r="I29" s="33" t="str">
        <f>IF(C29="","",IF(ISNA(MATCH(Global_inputs!C29,lac_cow!$A$3:$A$22,0))=TRUE,"","LAC ")&amp;IF(ISNA(MATCH(Global_inputs!C29,close_up!$A$3:$A$22,0))=TRUE,"","CLOSEUP ")&amp;IF(ISNA(MATCH(Global_inputs!C29,growing!$A$3:$A$22,0))=TRUE,"","GROW ")&amp;(IF(ISNA(MATCH(Global_inputs!C29,calf!$A$3:$A$22,0))=TRUE,"","CALF ")))</f>
        <v xml:space="preserve">LAC CLOSEUP GROW </v>
      </c>
    </row>
    <row r="30" spans="3:13" x14ac:dyDescent="0.25">
      <c r="C30" s="18">
        <v>216</v>
      </c>
      <c r="D30" s="19">
        <v>0.01</v>
      </c>
      <c r="E30" s="20">
        <f t="shared" si="0"/>
        <v>0.15</v>
      </c>
      <c r="F30" s="43">
        <f t="shared" si="1"/>
        <v>1000</v>
      </c>
      <c r="G30" s="43">
        <f t="shared" si="2"/>
        <v>1000000</v>
      </c>
      <c r="H30" s="43">
        <f t="shared" si="3"/>
        <v>1000</v>
      </c>
      <c r="I30" s="33" t="str">
        <f>IF(C30="","",IF(ISNA(MATCH(Global_inputs!C30,lac_cow!$A$3:$A$22,0))=TRUE,"","LAC ")&amp;IF(ISNA(MATCH(Global_inputs!C30,close_up!$A$3:$A$22,0))=TRUE,"","CLOSEUP ")&amp;IF(ISNA(MATCH(Global_inputs!C30,growing!$A$3:$A$22,0))=TRUE,"","GROW ")&amp;(IF(ISNA(MATCH(Global_inputs!C30,calf!$A$3:$A$22,0))=TRUE,"","CALF ")))</f>
        <v xml:space="preserve">CALF </v>
      </c>
    </row>
    <row r="31" spans="3:13" x14ac:dyDescent="0.25">
      <c r="C31" s="18">
        <v>301</v>
      </c>
      <c r="D31" s="19">
        <v>0.01</v>
      </c>
      <c r="E31" s="20">
        <f t="shared" si="0"/>
        <v>0.15</v>
      </c>
      <c r="F31" s="43">
        <f t="shared" si="1"/>
        <v>1000</v>
      </c>
      <c r="G31" s="43">
        <f t="shared" si="2"/>
        <v>1000000</v>
      </c>
      <c r="H31" s="43">
        <f t="shared" si="3"/>
        <v>1000</v>
      </c>
      <c r="I31" s="33" t="str">
        <f>IF(C31="","",IF(ISNA(MATCH(Global_inputs!C31,lac_cow!$A$3:$A$22,0))=TRUE,"","LAC ")&amp;IF(ISNA(MATCH(Global_inputs!C31,close_up!$A$3:$A$22,0))=TRUE,"","CLOSEUP ")&amp;IF(ISNA(MATCH(Global_inputs!C31,growing!$A$3:$A$22,0))=TRUE,"","GROW ")&amp;(IF(ISNA(MATCH(Global_inputs!C31,calf!$A$3:$A$22,0))=TRUE,"","CALF ")))</f>
        <v xml:space="preserve">LAC CLOSEUP GROW </v>
      </c>
    </row>
    <row r="32" spans="3:13" x14ac:dyDescent="0.25">
      <c r="C32" s="18" t="str">
        <v/>
      </c>
      <c r="D32" s="19"/>
      <c r="E32" s="20">
        <f t="shared" si="0"/>
        <v>0.15</v>
      </c>
      <c r="F32" s="43">
        <f t="shared" si="1"/>
        <v>1000</v>
      </c>
      <c r="G32" s="43">
        <f t="shared" si="2"/>
        <v>1000000</v>
      </c>
      <c r="H32" s="43">
        <f t="shared" si="3"/>
        <v>1000</v>
      </c>
      <c r="I32" s="33" t="str">
        <f>IF(C32="","",IF(ISNA(MATCH(Global_inputs!C32,lac_cow!$A$3:$A$22,0))=TRUE,"","LAC ")&amp;IF(ISNA(MATCH(Global_inputs!C32,growing!$A$3:$A$22,0))=TRUE,"","GROW ")&amp;(IF(ISNA(MATCH(Global_inputs!C32,close_up!$A$3:$A$22,0))=TRUE,"","LAC "))&amp;IF(ISNA(MATCH(Global_inputs!C32,growing!$A$3:$A$22,0))=TRUE,"","GROW ")&amp;(IF(ISNA(MATCH(Global_inputs!C32,lac_cow!$A$3:$A$22,0))=TRUE,"","LAC "))&amp;IF(ISNA(MATCH(Global_inputs!C32,growing!$A$3:$A$22,0))=TRUE,"","GROW ")&amp;(IF(ISNA(MATCH(Global_inputs!C32,calf!$A$3:$A$22,0))=TRUE,"","LAC ")))</f>
        <v/>
      </c>
    </row>
    <row r="33" spans="3:9" x14ac:dyDescent="0.25">
      <c r="C33" s="18"/>
      <c r="D33" s="19"/>
      <c r="E33" s="20">
        <f t="shared" si="0"/>
        <v>0.15</v>
      </c>
      <c r="F33" s="43">
        <f t="shared" si="1"/>
        <v>1000</v>
      </c>
      <c r="G33" s="43">
        <f t="shared" si="2"/>
        <v>1000000</v>
      </c>
      <c r="H33" s="43">
        <f t="shared" si="3"/>
        <v>1000</v>
      </c>
      <c r="I33" s="33" t="str">
        <f>IF(C33="","",IF(ISNA(MATCH(Global_inputs!C33,lac_cow!$A$3:$A$22,0))=TRUE,"","LAC ")&amp;IF(ISNA(MATCH(Global_inputs!C33,growing!$A$3:$A$22,0))=TRUE,"","GROW ")&amp;(IF(ISNA(MATCH(Global_inputs!C33,close_up!$A$3:$A$22,0))=TRUE,"","LAC "))&amp;IF(ISNA(MATCH(Global_inputs!C33,growing!$A$3:$A$22,0))=TRUE,"","GROW ")&amp;(IF(ISNA(MATCH(Global_inputs!C33,lac_cow!$A$3:$A$22,0))=TRUE,"","LAC "))&amp;IF(ISNA(MATCH(Global_inputs!C33,growing!$A$3:$A$22,0))=TRUE,"","GROW ")&amp;(IF(ISNA(MATCH(Global_inputs!C33,calf!$A$3:$A$22,0))=TRUE,"","LAC ")))</f>
        <v/>
      </c>
    </row>
    <row r="34" spans="3:9" x14ac:dyDescent="0.25">
      <c r="C34" s="18"/>
      <c r="D34" s="19"/>
      <c r="E34" s="20">
        <f t="shared" si="0"/>
        <v>0.15</v>
      </c>
      <c r="F34" s="43">
        <f t="shared" si="1"/>
        <v>1000</v>
      </c>
      <c r="G34" s="43">
        <f t="shared" si="2"/>
        <v>1000000</v>
      </c>
      <c r="H34" s="43">
        <f t="shared" si="3"/>
        <v>1000</v>
      </c>
      <c r="I34" s="33" t="str">
        <f>IF(C34="","",IF(ISNA(MATCH(Global_inputs!C34,lac_cow!$A$3:$A$22,0))=TRUE,"","LAC ")&amp;IF(ISNA(MATCH(Global_inputs!C34,growing!$A$3:$A$22,0))=TRUE,"","GROW ")&amp;(IF(ISNA(MATCH(Global_inputs!C34,close_up!$A$3:$A$22,0))=TRUE,"","LAC "))&amp;IF(ISNA(MATCH(Global_inputs!C34,growing!$A$3:$A$22,0))=TRUE,"","GROW ")&amp;(IF(ISNA(MATCH(Global_inputs!C34,lac_cow!$A$3:$A$22,0))=TRUE,"","LAC "))&amp;IF(ISNA(MATCH(Global_inputs!C34,growing!$A$3:$A$22,0))=TRUE,"","GROW ")&amp;(IF(ISNA(MATCH(Global_inputs!C34,calf!$A$3:$A$22,0))=TRUE,"","LAC ")))</f>
        <v/>
      </c>
    </row>
    <row r="35" spans="3:9" x14ac:dyDescent="0.25">
      <c r="C35" s="18"/>
      <c r="D35" s="19"/>
      <c r="E35" s="20">
        <f t="shared" si="0"/>
        <v>0.15</v>
      </c>
      <c r="F35" s="43">
        <f t="shared" si="1"/>
        <v>1000</v>
      </c>
      <c r="G35" s="43">
        <f t="shared" si="2"/>
        <v>1000000</v>
      </c>
      <c r="H35" s="43">
        <f t="shared" si="3"/>
        <v>1000</v>
      </c>
      <c r="I35" s="33" t="str">
        <f>IF(C35="","",IF(ISNA(MATCH(Global_inputs!C35,lac_cow!$A$3:$A$22,0))=TRUE,"","LAC ")&amp;IF(ISNA(MATCH(Global_inputs!C35,growing!$A$3:$A$22,0))=TRUE,"","GROW ")&amp;(IF(ISNA(MATCH(Global_inputs!C35,close_up!$A$3:$A$22,0))=TRUE,"","LAC "))&amp;IF(ISNA(MATCH(Global_inputs!C35,growing!$A$3:$A$22,0))=TRUE,"","GROW ")&amp;(IF(ISNA(MATCH(Global_inputs!C35,lac_cow!$A$3:$A$22,0))=TRUE,"","LAC "))&amp;IF(ISNA(MATCH(Global_inputs!C35,growing!$A$3:$A$22,0))=TRUE,"","GROW ")&amp;(IF(ISNA(MATCH(Global_inputs!C35,calf!$A$3:$A$22,0))=TRUE,"","LAC ")))</f>
        <v/>
      </c>
    </row>
    <row r="36" spans="3:9" x14ac:dyDescent="0.25">
      <c r="C36" s="18"/>
      <c r="D36" s="19"/>
      <c r="E36" s="20">
        <f t="shared" si="0"/>
        <v>0.15</v>
      </c>
      <c r="F36" s="43">
        <f t="shared" si="1"/>
        <v>1000</v>
      </c>
      <c r="G36" s="43">
        <f t="shared" si="2"/>
        <v>1000000</v>
      </c>
      <c r="H36" s="43">
        <f t="shared" si="3"/>
        <v>1000</v>
      </c>
      <c r="I36" s="33" t="str">
        <f>IF(C36="","",IF(ISNA(MATCH(Global_inputs!C36,lac_cow!$A$3:$A$22,0))=TRUE,"","LAC ")&amp;IF(ISNA(MATCH(Global_inputs!C36,growing!$A$3:$A$22,0))=TRUE,"","GROW ")&amp;(IF(ISNA(MATCH(Global_inputs!C36,close_up!$A$3:$A$22,0))=TRUE,"","LAC "))&amp;IF(ISNA(MATCH(Global_inputs!C36,growing!$A$3:$A$22,0))=TRUE,"","GROW ")&amp;(IF(ISNA(MATCH(Global_inputs!C36,lac_cow!$A$3:$A$22,0))=TRUE,"","LAC "))&amp;IF(ISNA(MATCH(Global_inputs!C36,growing!$A$3:$A$22,0))=TRUE,"","GROW ")&amp;(IF(ISNA(MATCH(Global_inputs!C36,calf!$A$3:$A$22,0))=TRUE,"","LAC ")))</f>
        <v/>
      </c>
    </row>
    <row r="37" spans="3:9" x14ac:dyDescent="0.25">
      <c r="C37" s="18"/>
      <c r="D37" s="19"/>
      <c r="E37" s="20">
        <f t="shared" si="0"/>
        <v>0.15</v>
      </c>
      <c r="F37" s="43">
        <f t="shared" si="1"/>
        <v>1000</v>
      </c>
      <c r="G37" s="43">
        <f t="shared" si="2"/>
        <v>1000000</v>
      </c>
      <c r="H37" s="43">
        <f t="shared" si="3"/>
        <v>1000</v>
      </c>
      <c r="I37" s="33" t="str">
        <f>IF(C37="","",IF(ISNA(MATCH(Global_inputs!C37,lac_cow!$A$3:$A$22,0))=TRUE,"","LAC ")&amp;IF(ISNA(MATCH(Global_inputs!C37,growing!$A$3:$A$22,0))=TRUE,"","GROW ")&amp;(IF(ISNA(MATCH(Global_inputs!C37,close_up!$A$3:$A$22,0))=TRUE,"","LAC "))&amp;IF(ISNA(MATCH(Global_inputs!C37,growing!$A$3:$A$22,0))=TRUE,"","GROW ")&amp;(IF(ISNA(MATCH(Global_inputs!C37,lac_cow!$A$3:$A$22,0))=TRUE,"","LAC "))&amp;IF(ISNA(MATCH(Global_inputs!C37,growing!$A$3:$A$22,0))=TRUE,"","GROW ")&amp;(IF(ISNA(MATCH(Global_inputs!C37,calf!$A$3:$A$22,0))=TRUE,"","LAC ")))</f>
        <v/>
      </c>
    </row>
    <row r="38" spans="3:9" x14ac:dyDescent="0.25">
      <c r="C38" s="18"/>
      <c r="D38" s="19"/>
      <c r="E38" s="20">
        <f t="shared" si="0"/>
        <v>0.15</v>
      </c>
      <c r="F38" s="43">
        <f t="shared" si="1"/>
        <v>1000</v>
      </c>
      <c r="G38" s="43">
        <f t="shared" si="2"/>
        <v>1000000</v>
      </c>
      <c r="H38" s="43">
        <f t="shared" si="3"/>
        <v>1000</v>
      </c>
      <c r="I38" s="33" t="str">
        <f>IF(C38="","",IF(ISNA(MATCH(Global_inputs!C38,lac_cow!$A$3:$A$22,0))=TRUE,"","LAC ")&amp;IF(ISNA(MATCH(Global_inputs!C38,growing!$A$3:$A$22,0))=TRUE,"","GROW ")&amp;(IF(ISNA(MATCH(Global_inputs!C38,close_up!$A$3:$A$22,0))=TRUE,"","LAC "))&amp;IF(ISNA(MATCH(Global_inputs!C38,growing!$A$3:$A$22,0))=TRUE,"","GROW ")&amp;(IF(ISNA(MATCH(Global_inputs!C38,lac_cow!$A$3:$A$22,0))=TRUE,"","LAC "))&amp;IF(ISNA(MATCH(Global_inputs!C38,growing!$A$3:$A$22,0))=TRUE,"","GROW ")&amp;(IF(ISNA(MATCH(Global_inputs!C38,calf!$A$3:$A$22,0))=TRUE,"","LAC ")))</f>
        <v/>
      </c>
    </row>
    <row r="39" spans="3:9" x14ac:dyDescent="0.25">
      <c r="C39" s="18"/>
      <c r="D39" s="19"/>
      <c r="E39" s="20">
        <f t="shared" si="0"/>
        <v>0.15</v>
      </c>
      <c r="F39" s="43">
        <f t="shared" si="1"/>
        <v>1000</v>
      </c>
      <c r="G39" s="43">
        <f t="shared" si="2"/>
        <v>1000000</v>
      </c>
      <c r="H39" s="43">
        <f t="shared" si="3"/>
        <v>1000</v>
      </c>
      <c r="I39" s="33" t="str">
        <f>IF(C39="","",IF(ISNA(MATCH(Global_inputs!C39,lac_cow!$A$3:$A$22,0))=TRUE,"","LAC ")&amp;IF(ISNA(MATCH(Global_inputs!C39,growing!$A$3:$A$22,0))=TRUE,"","GROW ")&amp;(IF(ISNA(MATCH(Global_inputs!C39,close_up!$A$3:$A$22,0))=TRUE,"","LAC "))&amp;IF(ISNA(MATCH(Global_inputs!C39,growing!$A$3:$A$22,0))=TRUE,"","GROW ")&amp;(IF(ISNA(MATCH(Global_inputs!C39,lac_cow!$A$3:$A$22,0))=TRUE,"","LAC "))&amp;IF(ISNA(MATCH(Global_inputs!C39,growing!$A$3:$A$22,0))=TRUE,"","GROW ")&amp;(IF(ISNA(MATCH(Global_inputs!C39,calf!$A$3:$A$22,0))=TRUE,"","LAC ")))</f>
        <v/>
      </c>
    </row>
    <row r="40" spans="3:9" x14ac:dyDescent="0.25">
      <c r="C40" s="18"/>
      <c r="D40" s="19"/>
      <c r="E40" s="20">
        <f t="shared" si="0"/>
        <v>0.15</v>
      </c>
      <c r="F40" s="43">
        <f t="shared" si="1"/>
        <v>1000</v>
      </c>
      <c r="G40" s="43">
        <f t="shared" si="2"/>
        <v>1000000</v>
      </c>
      <c r="H40" s="43">
        <f t="shared" si="3"/>
        <v>1000</v>
      </c>
      <c r="I40" s="33" t="str">
        <f>IF(C40="","",IF(ISNA(MATCH(Global_inputs!C40,lac_cow!$A$3:$A$22,0))=TRUE,"","LAC ")&amp;IF(ISNA(MATCH(Global_inputs!C40,growing!$A$3:$A$22,0))=TRUE,"","GROW ")&amp;(IF(ISNA(MATCH(Global_inputs!C40,close_up!$A$3:$A$22,0))=TRUE,"","LAC "))&amp;IF(ISNA(MATCH(Global_inputs!C40,growing!$A$3:$A$22,0))=TRUE,"","GROW ")&amp;(IF(ISNA(MATCH(Global_inputs!C40,lac_cow!$A$3:$A$22,0))=TRUE,"","LAC "))&amp;IF(ISNA(MATCH(Global_inputs!C40,growing!$A$3:$A$22,0))=TRUE,"","GROW ")&amp;(IF(ISNA(MATCH(Global_inputs!C40,calf!$A$3:$A$22,0))=TRUE,"","LAC ")))</f>
        <v/>
      </c>
    </row>
    <row r="41" spans="3:9" x14ac:dyDescent="0.25">
      <c r="C41" s="18"/>
      <c r="D41" s="19"/>
      <c r="E41" s="20">
        <f t="shared" si="0"/>
        <v>0.15</v>
      </c>
      <c r="F41" s="43">
        <f t="shared" si="1"/>
        <v>1000</v>
      </c>
      <c r="G41" s="43">
        <f t="shared" si="2"/>
        <v>1000000</v>
      </c>
      <c r="H41" s="43">
        <f t="shared" si="3"/>
        <v>1000</v>
      </c>
      <c r="I41" s="33" t="str">
        <f>IF(C41="","",IF(ISNA(MATCH(Global_inputs!C41,lac_cow!$A$3:$A$22,0))=TRUE,"","LAC ")&amp;IF(ISNA(MATCH(Global_inputs!C41,growing!$A$3:$A$22,0))=TRUE,"","GROW ")&amp;(IF(ISNA(MATCH(Global_inputs!C41,close_up!$A$3:$A$22,0))=TRUE,"","LAC "))&amp;IF(ISNA(MATCH(Global_inputs!C41,growing!$A$3:$A$22,0))=TRUE,"","GROW ")&amp;(IF(ISNA(MATCH(Global_inputs!C41,lac_cow!$A$3:$A$22,0))=TRUE,"","LAC "))&amp;IF(ISNA(MATCH(Global_inputs!C41,growing!$A$3:$A$22,0))=TRUE,"","GROW ")&amp;(IF(ISNA(MATCH(Global_inputs!C41,calf!$A$3:$A$22,0))=TRUE,"","LAC ")))</f>
        <v/>
      </c>
    </row>
    <row r="42" spans="3:9" x14ac:dyDescent="0.25">
      <c r="C42" s="18"/>
      <c r="D42" s="19"/>
      <c r="E42" s="20">
        <f t="shared" si="0"/>
        <v>0.15</v>
      </c>
      <c r="F42" s="43">
        <f t="shared" si="1"/>
        <v>1000</v>
      </c>
      <c r="G42" s="43">
        <f t="shared" si="2"/>
        <v>1000000</v>
      </c>
      <c r="H42" s="43">
        <f t="shared" si="3"/>
        <v>1000</v>
      </c>
      <c r="I42" s="33" t="str">
        <f>IF(C42="","",IF(ISNA(MATCH(Global_inputs!C42,lac_cow!$A$3:$A$22,0))=TRUE,"","LAC ")&amp;IF(ISNA(MATCH(Global_inputs!C42,growing!$A$3:$A$22,0))=TRUE,"","GROW ")&amp;(IF(ISNA(MATCH(Global_inputs!C42,close_up!$A$3:$A$22,0))=TRUE,"","LAC "))&amp;IF(ISNA(MATCH(Global_inputs!C42,growing!$A$3:$A$22,0))=TRUE,"","GROW ")&amp;(IF(ISNA(MATCH(Global_inputs!C42,lac_cow!$A$3:$A$22,0))=TRUE,"","LAC "))&amp;IF(ISNA(MATCH(Global_inputs!C42,growing!$A$3:$A$22,0))=TRUE,"","GROW ")&amp;(IF(ISNA(MATCH(Global_inputs!C42,calf!$A$3:$A$22,0))=TRUE,"","LAC ")))</f>
        <v/>
      </c>
    </row>
    <row r="43" spans="3:9" x14ac:dyDescent="0.25">
      <c r="C43" s="18"/>
      <c r="D43" s="19"/>
      <c r="E43" s="20">
        <f t="shared" si="0"/>
        <v>0.15</v>
      </c>
      <c r="F43" s="43">
        <f t="shared" si="1"/>
        <v>1000</v>
      </c>
      <c r="G43" s="43">
        <f t="shared" si="2"/>
        <v>1000000</v>
      </c>
      <c r="H43" s="43">
        <f t="shared" si="3"/>
        <v>1000</v>
      </c>
      <c r="I43" s="33" t="str">
        <f>IF(C43="","",IF(ISNA(MATCH(Global_inputs!C43,lac_cow!$A$3:$A$22,0))=TRUE,"","LAC ")&amp;IF(ISNA(MATCH(Global_inputs!C43,growing!$A$3:$A$22,0))=TRUE,"","GROW ")&amp;(IF(ISNA(MATCH(Global_inputs!C43,close_up!$A$3:$A$22,0))=TRUE,"","LAC "))&amp;IF(ISNA(MATCH(Global_inputs!C43,growing!$A$3:$A$22,0))=TRUE,"","GROW ")&amp;(IF(ISNA(MATCH(Global_inputs!C43,lac_cow!$A$3:$A$22,0))=TRUE,"","LAC "))&amp;IF(ISNA(MATCH(Global_inputs!C43,growing!$A$3:$A$22,0))=TRUE,"","GROW ")&amp;(IF(ISNA(MATCH(Global_inputs!C43,calf!$A$3:$A$22,0))=TRUE,"","LAC ")))</f>
        <v/>
      </c>
    </row>
    <row r="44" spans="3:9" x14ac:dyDescent="0.25">
      <c r="C44" s="18"/>
      <c r="D44" s="19"/>
      <c r="E44" s="20">
        <f t="shared" si="0"/>
        <v>0.15</v>
      </c>
      <c r="F44" s="43">
        <f t="shared" si="1"/>
        <v>1000</v>
      </c>
      <c r="G44" s="43">
        <f t="shared" si="2"/>
        <v>1000000</v>
      </c>
      <c r="H44" s="43">
        <f t="shared" si="3"/>
        <v>1000</v>
      </c>
      <c r="I44" s="33" t="str">
        <f>IF(C44="","",IF(ISNA(MATCH(Global_inputs!C44,lac_cow!$A$3:$A$22,0))=TRUE,"","LAC ")&amp;IF(ISNA(MATCH(Global_inputs!C44,growing!$A$3:$A$22,0))=TRUE,"","GROW ")&amp;(IF(ISNA(MATCH(Global_inputs!C44,close_up!$A$3:$A$22,0))=TRUE,"","LAC "))&amp;IF(ISNA(MATCH(Global_inputs!C44,growing!$A$3:$A$22,0))=TRUE,"","GROW ")&amp;(IF(ISNA(MATCH(Global_inputs!C44,lac_cow!$A$3:$A$22,0))=TRUE,"","LAC "))&amp;IF(ISNA(MATCH(Global_inputs!C44,growing!$A$3:$A$22,0))=TRUE,"","GROW ")&amp;(IF(ISNA(MATCH(Global_inputs!C44,calf!$A$3:$A$22,0))=TRUE,"","LAC ")))</f>
        <v/>
      </c>
    </row>
    <row r="45" spans="3:9" x14ac:dyDescent="0.25">
      <c r="C45" s="18"/>
      <c r="D45" s="19"/>
      <c r="E45" s="20">
        <f t="shared" si="0"/>
        <v>0.15</v>
      </c>
      <c r="F45" s="43">
        <f t="shared" si="1"/>
        <v>1000</v>
      </c>
      <c r="G45" s="43">
        <f t="shared" si="2"/>
        <v>1000000</v>
      </c>
      <c r="H45" s="43">
        <f t="shared" si="3"/>
        <v>1000</v>
      </c>
      <c r="I45" s="33" t="str">
        <f>IF(C45="","",IF(ISNA(MATCH(Global_inputs!C45,lac_cow!$A$3:$A$22,0))=TRUE,"","LAC ")&amp;IF(ISNA(MATCH(Global_inputs!C45,growing!$A$3:$A$22,0))=TRUE,"","GROW ")&amp;(IF(ISNA(MATCH(Global_inputs!C45,close_up!$A$3:$A$22,0))=TRUE,"","LAC "))&amp;IF(ISNA(MATCH(Global_inputs!C45,growing!$A$3:$A$22,0))=TRUE,"","GROW ")&amp;(IF(ISNA(MATCH(Global_inputs!C45,lac_cow!$A$3:$A$22,0))=TRUE,"","LAC "))&amp;IF(ISNA(MATCH(Global_inputs!C45,growing!$A$3:$A$22,0))=TRUE,"","GROW ")&amp;(IF(ISNA(MATCH(Global_inputs!C45,calf!$A$3:$A$22,0))=TRUE,"","LAC ")))</f>
        <v/>
      </c>
    </row>
    <row r="46" spans="3:9" x14ac:dyDescent="0.25">
      <c r="C46" s="18"/>
      <c r="D46" s="19"/>
      <c r="E46" s="20">
        <f t="shared" si="0"/>
        <v>0.15</v>
      </c>
      <c r="F46" s="43">
        <f t="shared" si="1"/>
        <v>1000</v>
      </c>
      <c r="G46" s="43">
        <f t="shared" si="2"/>
        <v>1000000</v>
      </c>
      <c r="H46" s="43">
        <f t="shared" si="3"/>
        <v>1000</v>
      </c>
      <c r="I46" s="33" t="str">
        <f>IF(C46="","",IF(ISNA(MATCH(Global_inputs!C46,lac_cow!$A$3:$A$22,0))=TRUE,"","LAC ")&amp;IF(ISNA(MATCH(Global_inputs!C46,growing!$A$3:$A$22,0))=TRUE,"","GROW ")&amp;(IF(ISNA(MATCH(Global_inputs!C46,close_up!$A$3:$A$22,0))=TRUE,"","LAC "))&amp;IF(ISNA(MATCH(Global_inputs!C46,growing!$A$3:$A$22,0))=TRUE,"","GROW ")&amp;(IF(ISNA(MATCH(Global_inputs!C46,lac_cow!$A$3:$A$22,0))=TRUE,"","LAC "))&amp;IF(ISNA(MATCH(Global_inputs!C46,growing!$A$3:$A$22,0))=TRUE,"","GROW ")&amp;(IF(ISNA(MATCH(Global_inputs!C46,calf!$A$3:$A$22,0))=TRUE,"","LAC ")))</f>
        <v/>
      </c>
    </row>
    <row r="47" spans="3:9" x14ac:dyDescent="0.25">
      <c r="C47" s="18"/>
      <c r="D47" s="19"/>
      <c r="E47" s="20">
        <f t="shared" si="0"/>
        <v>0.15</v>
      </c>
      <c r="F47" s="43">
        <f t="shared" si="1"/>
        <v>1000</v>
      </c>
      <c r="G47" s="43">
        <f t="shared" si="2"/>
        <v>1000000</v>
      </c>
      <c r="H47" s="43">
        <f t="shared" si="3"/>
        <v>1000</v>
      </c>
      <c r="I47" s="33" t="str">
        <f>IF(C47="","",IF(ISNA(MATCH(Global_inputs!C47,lac_cow!$A$3:$A$22,0))=TRUE,"","LAC ")&amp;IF(ISNA(MATCH(Global_inputs!C47,growing!$A$3:$A$22,0))=TRUE,"","GROW ")&amp;(IF(ISNA(MATCH(Global_inputs!C47,close_up!$A$3:$A$22,0))=TRUE,"","LAC "))&amp;IF(ISNA(MATCH(Global_inputs!C47,growing!$A$3:$A$22,0))=TRUE,"","GROW ")&amp;(IF(ISNA(MATCH(Global_inputs!C47,lac_cow!$A$3:$A$22,0))=TRUE,"","LAC "))&amp;IF(ISNA(MATCH(Global_inputs!C47,growing!$A$3:$A$22,0))=TRUE,"","GROW ")&amp;(IF(ISNA(MATCH(Global_inputs!C47,calf!$A$3:$A$22,0))=TRUE,"","LAC ")))</f>
        <v/>
      </c>
    </row>
    <row r="48" spans="3:9" x14ac:dyDescent="0.25">
      <c r="C48" s="18"/>
      <c r="D48" s="19"/>
      <c r="E48" s="20">
        <f t="shared" si="0"/>
        <v>0.15</v>
      </c>
      <c r="F48" s="43">
        <f t="shared" si="1"/>
        <v>1000</v>
      </c>
      <c r="G48" s="43">
        <f t="shared" si="2"/>
        <v>1000000</v>
      </c>
      <c r="H48" s="43">
        <f t="shared" si="3"/>
        <v>1000</v>
      </c>
      <c r="I48" s="33" t="str">
        <f>IF(C48="","",IF(ISNA(MATCH(Global_inputs!C48,lac_cow!$A$3:$A$22,0))=TRUE,"","LAC ")&amp;IF(ISNA(MATCH(Global_inputs!C48,growing!$A$3:$A$22,0))=TRUE,"","GROW ")&amp;(IF(ISNA(MATCH(Global_inputs!C48,close_up!$A$3:$A$22,0))=TRUE,"","LAC "))&amp;IF(ISNA(MATCH(Global_inputs!C48,growing!$A$3:$A$22,0))=TRUE,"","GROW ")&amp;(IF(ISNA(MATCH(Global_inputs!C48,lac_cow!$A$3:$A$22,0))=TRUE,"","LAC "))&amp;IF(ISNA(MATCH(Global_inputs!C48,growing!$A$3:$A$22,0))=TRUE,"","GROW ")&amp;(IF(ISNA(MATCH(Global_inputs!C48,calf!$A$3:$A$22,0))=TRUE,"","LAC ")))</f>
        <v/>
      </c>
    </row>
    <row r="49" spans="3:9" x14ac:dyDescent="0.25">
      <c r="C49" s="18"/>
      <c r="D49" s="19"/>
      <c r="E49" s="20">
        <f t="shared" si="0"/>
        <v>0.15</v>
      </c>
      <c r="F49" s="43">
        <f t="shared" si="1"/>
        <v>1000</v>
      </c>
      <c r="G49" s="43">
        <f t="shared" si="2"/>
        <v>1000000</v>
      </c>
      <c r="H49" s="43">
        <f t="shared" si="3"/>
        <v>1000</v>
      </c>
      <c r="I49" s="33" t="str">
        <f>IF(C49="","",IF(ISNA(MATCH(Global_inputs!C49,lac_cow!$A$3:$A$22,0))=TRUE,"","LAC ")&amp;IF(ISNA(MATCH(Global_inputs!C49,growing!$A$3:$A$22,0))=TRUE,"","GROW ")&amp;(IF(ISNA(MATCH(Global_inputs!C49,close_up!$A$3:$A$22,0))=TRUE,"","LAC "))&amp;IF(ISNA(MATCH(Global_inputs!C49,growing!$A$3:$A$22,0))=TRUE,"","GROW ")&amp;(IF(ISNA(MATCH(Global_inputs!C49,lac_cow!$A$3:$A$22,0))=TRUE,"","LAC "))&amp;IF(ISNA(MATCH(Global_inputs!C49,growing!$A$3:$A$22,0))=TRUE,"","GROW ")&amp;(IF(ISNA(MATCH(Global_inputs!C49,calf!$A$3:$A$22,0))=TRUE,"","LAC ")))</f>
        <v/>
      </c>
    </row>
    <row r="50" spans="3:9" x14ac:dyDescent="0.25">
      <c r="C50" s="18"/>
      <c r="D50" s="19"/>
      <c r="E50" s="20">
        <f t="shared" si="0"/>
        <v>0.15</v>
      </c>
      <c r="F50" s="43">
        <f t="shared" si="1"/>
        <v>1000</v>
      </c>
      <c r="G50" s="43">
        <f t="shared" si="2"/>
        <v>1000000</v>
      </c>
      <c r="H50" s="43">
        <f t="shared" si="3"/>
        <v>1000</v>
      </c>
      <c r="I50" s="33" t="str">
        <f>IF(C50="","",IF(ISNA(MATCH(Global_inputs!C50,lac_cow!$A$3:$A$22,0))=TRUE,"","LAC ")&amp;IF(ISNA(MATCH(Global_inputs!C50,growing!$A$3:$A$22,0))=TRUE,"","GROW ")&amp;(IF(ISNA(MATCH(Global_inputs!C50,close_up!$A$3:$A$22,0))=TRUE,"","LAC "))&amp;IF(ISNA(MATCH(Global_inputs!C50,growing!$A$3:$A$22,0))=TRUE,"","GROW ")&amp;(IF(ISNA(MATCH(Global_inputs!C50,lac_cow!$A$3:$A$22,0))=TRUE,"","LAC "))&amp;IF(ISNA(MATCH(Global_inputs!C50,growing!$A$3:$A$22,0))=TRUE,"","GROW ")&amp;(IF(ISNA(MATCH(Global_inputs!C50,calf!$A$3:$A$22,0))=TRUE,"","LAC ")))</f>
        <v/>
      </c>
    </row>
    <row r="51" spans="3:9" x14ac:dyDescent="0.25">
      <c r="C51" s="18"/>
      <c r="D51" s="19"/>
      <c r="E51" s="20">
        <f t="shared" si="0"/>
        <v>0.15</v>
      </c>
      <c r="F51" s="43">
        <f t="shared" si="1"/>
        <v>1000</v>
      </c>
      <c r="G51" s="43">
        <f t="shared" si="2"/>
        <v>1000000</v>
      </c>
      <c r="H51" s="43">
        <f t="shared" si="3"/>
        <v>1000</v>
      </c>
      <c r="I51" s="33" t="str">
        <f>IF(C51="","",IF(ISNA(MATCH(Global_inputs!C51,lac_cow!$A$3:$A$22,0))=TRUE,"","LAC ")&amp;IF(ISNA(MATCH(Global_inputs!C51,growing!$A$3:$A$22,0))=TRUE,"","GROW ")&amp;(IF(ISNA(MATCH(Global_inputs!C51,close_up!$A$3:$A$22,0))=TRUE,"","LAC "))&amp;IF(ISNA(MATCH(Global_inputs!C51,growing!$A$3:$A$22,0))=TRUE,"","GROW ")&amp;(IF(ISNA(MATCH(Global_inputs!C51,lac_cow!$A$3:$A$22,0))=TRUE,"","LAC "))&amp;IF(ISNA(MATCH(Global_inputs!C51,growing!$A$3:$A$22,0))=TRUE,"","GROW ")&amp;(IF(ISNA(MATCH(Global_inputs!C51,calf!$A$3:$A$22,0))=TRUE,"","LAC ")))</f>
        <v/>
      </c>
    </row>
    <row r="52" spans="3:9" x14ac:dyDescent="0.25">
      <c r="C52" s="18"/>
      <c r="D52" s="19"/>
      <c r="E52" s="20">
        <f t="shared" si="0"/>
        <v>0.15</v>
      </c>
      <c r="F52" s="43">
        <f t="shared" si="1"/>
        <v>1000</v>
      </c>
      <c r="G52" s="43">
        <f t="shared" si="2"/>
        <v>1000000</v>
      </c>
      <c r="H52" s="43">
        <f t="shared" si="3"/>
        <v>1000</v>
      </c>
      <c r="I52" s="33" t="str">
        <f>IF(C52="","",IF(ISNA(MATCH(Global_inputs!C52,lac_cow!$A$3:$A$22,0))=TRUE,"","LAC ")&amp;IF(ISNA(MATCH(Global_inputs!C52,growing!$A$3:$A$22,0))=TRUE,"","GROW ")&amp;(IF(ISNA(MATCH(Global_inputs!C52,close_up!$A$3:$A$22,0))=TRUE,"","LAC "))&amp;IF(ISNA(MATCH(Global_inputs!C52,growing!$A$3:$A$22,0))=TRUE,"","GROW ")&amp;(IF(ISNA(MATCH(Global_inputs!C52,lac_cow!$A$3:$A$22,0))=TRUE,"","LAC "))&amp;IF(ISNA(MATCH(Global_inputs!C52,growing!$A$3:$A$22,0))=TRUE,"","GROW ")&amp;(IF(ISNA(MATCH(Global_inputs!C52,calf!$A$3:$A$22,0))=TRUE,"","LAC ")))</f>
        <v/>
      </c>
    </row>
    <row r="53" spans="3:9" x14ac:dyDescent="0.25">
      <c r="C53" s="18"/>
      <c r="D53" s="19"/>
      <c r="E53" s="20">
        <f t="shared" si="0"/>
        <v>0.15</v>
      </c>
      <c r="F53" s="43">
        <f t="shared" si="1"/>
        <v>1000</v>
      </c>
      <c r="G53" s="43">
        <f t="shared" si="2"/>
        <v>1000000</v>
      </c>
      <c r="H53" s="43">
        <f t="shared" si="3"/>
        <v>1000</v>
      </c>
      <c r="I53" s="33" t="str">
        <f>IF(C53="","",IF(ISNA(MATCH(Global_inputs!C53,lac_cow!$A$3:$A$22,0))=TRUE,"","LAC ")&amp;IF(ISNA(MATCH(Global_inputs!C53,growing!$A$3:$A$22,0))=TRUE,"","GROW ")&amp;(IF(ISNA(MATCH(Global_inputs!C53,close_up!$A$3:$A$22,0))=TRUE,"","LAC "))&amp;IF(ISNA(MATCH(Global_inputs!C53,growing!$A$3:$A$22,0))=TRUE,"","GROW ")&amp;(IF(ISNA(MATCH(Global_inputs!C53,lac_cow!$A$3:$A$22,0))=TRUE,"","LAC "))&amp;IF(ISNA(MATCH(Global_inputs!C53,growing!$A$3:$A$22,0))=TRUE,"","GROW ")&amp;(IF(ISNA(MATCH(Global_inputs!C53,calf!$A$3:$A$22,0))=TRUE,"","LAC ")))</f>
        <v/>
      </c>
    </row>
    <row r="54" spans="3:9" x14ac:dyDescent="0.25">
      <c r="C54" s="18"/>
      <c r="D54" s="19"/>
      <c r="E54" s="20">
        <f t="shared" si="0"/>
        <v>0.15</v>
      </c>
      <c r="F54" s="43">
        <f t="shared" si="1"/>
        <v>1000</v>
      </c>
      <c r="G54" s="43">
        <f t="shared" si="2"/>
        <v>1000000</v>
      </c>
      <c r="H54" s="43">
        <f t="shared" si="3"/>
        <v>1000</v>
      </c>
      <c r="I54" s="33" t="str">
        <f>IF(C54="","",IF(ISNA(MATCH(Global_inputs!C54,lac_cow!$A$3:$A$22,0))=TRUE,"","LAC ")&amp;IF(ISNA(MATCH(Global_inputs!C54,growing!$A$3:$A$22,0))=TRUE,"","GROW ")&amp;(IF(ISNA(MATCH(Global_inputs!C54,close_up!$A$3:$A$22,0))=TRUE,"","LAC "))&amp;IF(ISNA(MATCH(Global_inputs!C54,growing!$A$3:$A$22,0))=TRUE,"","GROW ")&amp;(IF(ISNA(MATCH(Global_inputs!C54,lac_cow!$A$3:$A$22,0))=TRUE,"","LAC "))&amp;IF(ISNA(MATCH(Global_inputs!C54,growing!$A$3:$A$22,0))=TRUE,"","GROW ")&amp;(IF(ISNA(MATCH(Global_inputs!C54,calf!$A$3:$A$22,0))=TRUE,"","LAC ")))</f>
        <v/>
      </c>
    </row>
    <row r="55" spans="3:9" x14ac:dyDescent="0.25">
      <c r="C55" s="18"/>
      <c r="D55" s="19"/>
      <c r="E55" s="20">
        <f t="shared" si="0"/>
        <v>0.15</v>
      </c>
      <c r="F55" s="43">
        <f t="shared" si="1"/>
        <v>1000</v>
      </c>
      <c r="G55" s="43">
        <f t="shared" si="2"/>
        <v>1000000</v>
      </c>
      <c r="H55" s="43">
        <f t="shared" si="3"/>
        <v>1000</v>
      </c>
      <c r="I55" s="33" t="str">
        <f>IF(C55="","",IF(ISNA(MATCH(Global_inputs!C55,lac_cow!$A$3:$A$22,0))=TRUE,"","LAC ")&amp;IF(ISNA(MATCH(Global_inputs!C55,growing!$A$3:$A$22,0))=TRUE,"","GROW ")&amp;(IF(ISNA(MATCH(Global_inputs!C55,close_up!$A$3:$A$22,0))=TRUE,"","LAC "))&amp;IF(ISNA(MATCH(Global_inputs!C55,growing!$A$3:$A$22,0))=TRUE,"","GROW ")&amp;(IF(ISNA(MATCH(Global_inputs!C55,lac_cow!$A$3:$A$22,0))=TRUE,"","LAC "))&amp;IF(ISNA(MATCH(Global_inputs!C55,growing!$A$3:$A$22,0))=TRUE,"","GROW ")&amp;(IF(ISNA(MATCH(Global_inputs!C55,calf!$A$3:$A$22,0))=TRUE,"","LAC ")))</f>
        <v/>
      </c>
    </row>
    <row r="56" spans="3:9" x14ac:dyDescent="0.25">
      <c r="C56" s="21"/>
      <c r="D56" s="22"/>
      <c r="E56" s="23">
        <f t="shared" si="0"/>
        <v>0.15</v>
      </c>
      <c r="F56" s="44">
        <f t="shared" si="1"/>
        <v>1000</v>
      </c>
      <c r="G56" s="44">
        <f t="shared" si="2"/>
        <v>1000000</v>
      </c>
      <c r="H56" s="44">
        <f t="shared" si="3"/>
        <v>1000</v>
      </c>
      <c r="I56" s="34" t="str">
        <f>IF(C56="","",IF(ISNA(MATCH(Global_inputs!C56,lac_cow!$A$3:$A$22,0))=TRUE,"","LAC ")&amp;IF(ISNA(MATCH(Global_inputs!C56,growing!$A$3:$A$22,0))=TRUE,"","GROW ")&amp;(IF(ISNA(MATCH(Global_inputs!C56,close_up!$A$3:$A$22,0))=TRUE,"","LAC "))&amp;IF(ISNA(MATCH(Global_inputs!C56,growing!$A$3:$A$22,0))=TRUE,"","GROW ")&amp;(IF(ISNA(MATCH(Global_inputs!C56,lac_cow!$A$3:$A$22,0))=TRUE,"","LAC "))&amp;IF(ISNA(MATCH(Global_inputs!C56,growing!$A$3:$A$22,0))=TRUE,"","GROW ")&amp;(IF(ISNA(MATCH(Global_inputs!C56,calf!$A$3:$A$22,0))=TRUE,"","LAC ")))</f>
        <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JSON_Feed_RationParams">
                <anchor moveWithCells="1" sizeWithCells="1">
                  <from>
                    <xdr:col>7</xdr:col>
                    <xdr:colOff>0</xdr:colOff>
                    <xdr:row>0</xdr:row>
                    <xdr:rowOff>161925</xdr:rowOff>
                  </from>
                  <to>
                    <xdr:col>8</xdr:col>
                    <xdr:colOff>923925</xdr:colOff>
                    <xdr:row>4</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34280-9081-4189-B9D1-ACAA73382E00}">
  <sheetPr codeName="Sheet1"/>
  <dimension ref="A1:CL177"/>
  <sheetViews>
    <sheetView tabSelected="1" zoomScale="90" zoomScaleNormal="90" workbookViewId="0">
      <selection activeCell="J12" sqref="J12"/>
    </sheetView>
  </sheetViews>
  <sheetFormatPr defaultRowHeight="15" x14ac:dyDescent="0.25"/>
  <cols>
    <col min="2" max="2" width="42" bestFit="1" customWidth="1"/>
    <col min="3" max="3" width="19.42578125" bestFit="1" customWidth="1"/>
  </cols>
  <sheetData>
    <row r="1" spans="1:90"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72</v>
      </c>
      <c r="BV1" t="s">
        <v>73</v>
      </c>
      <c r="BW1" t="s">
        <v>74</v>
      </c>
      <c r="BX1" t="s">
        <v>75</v>
      </c>
      <c r="BY1" t="s">
        <v>76</v>
      </c>
      <c r="BZ1" t="s">
        <v>77</v>
      </c>
      <c r="CA1" t="s">
        <v>78</v>
      </c>
      <c r="CB1" t="s">
        <v>79</v>
      </c>
      <c r="CC1" t="s">
        <v>80</v>
      </c>
      <c r="CD1" t="s">
        <v>81</v>
      </c>
      <c r="CE1" t="s">
        <v>82</v>
      </c>
      <c r="CF1" t="s">
        <v>83</v>
      </c>
      <c r="CG1" t="s">
        <v>84</v>
      </c>
      <c r="CH1" t="s">
        <v>85</v>
      </c>
      <c r="CI1" t="s">
        <v>86</v>
      </c>
      <c r="CJ1" t="s">
        <v>87</v>
      </c>
      <c r="CK1" t="s">
        <v>88</v>
      </c>
      <c r="CL1" t="s">
        <v>89</v>
      </c>
    </row>
    <row r="2" spans="1:90" x14ac:dyDescent="0.25">
      <c r="A2">
        <v>1</v>
      </c>
      <c r="B2" t="s">
        <v>90</v>
      </c>
      <c r="C2" t="s">
        <v>91</v>
      </c>
      <c r="D2" t="s">
        <v>92</v>
      </c>
      <c r="E2">
        <v>90.748999999999995</v>
      </c>
      <c r="F2">
        <v>11.657</v>
      </c>
      <c r="G2">
        <v>19.513000000000002</v>
      </c>
      <c r="H2">
        <v>28</v>
      </c>
      <c r="I2">
        <v>66</v>
      </c>
      <c r="J2">
        <v>6</v>
      </c>
      <c r="K2">
        <v>6.7</v>
      </c>
      <c r="L2">
        <v>35.576000000000001</v>
      </c>
      <c r="M2">
        <v>75</v>
      </c>
      <c r="N2">
        <v>37.042000000000002</v>
      </c>
      <c r="O2">
        <v>1.619</v>
      </c>
      <c r="P2">
        <v>3.9740000000000002</v>
      </c>
      <c r="Q2">
        <v>33.881999999999998</v>
      </c>
      <c r="R2">
        <v>42.853000000000002</v>
      </c>
      <c r="S2">
        <v>49.097000000000001</v>
      </c>
      <c r="T2">
        <v>7.55</v>
      </c>
      <c r="U2">
        <v>1.83</v>
      </c>
      <c r="V2">
        <v>8.2639999999999993</v>
      </c>
      <c r="W2">
        <v>1.6080000000000001</v>
      </c>
      <c r="X2">
        <v>2.351</v>
      </c>
      <c r="Y2">
        <v>2.4990000000000001</v>
      </c>
      <c r="Z2">
        <v>1.496</v>
      </c>
      <c r="AA2">
        <v>0.26600000000000001</v>
      </c>
      <c r="AB2">
        <v>0.3</v>
      </c>
      <c r="AC2">
        <v>2.327</v>
      </c>
      <c r="AD2">
        <v>0.122</v>
      </c>
      <c r="AE2">
        <v>0.67100000000000004</v>
      </c>
      <c r="AF2">
        <v>0.25700000000000001</v>
      </c>
      <c r="AG2">
        <v>8.8339999999999996</v>
      </c>
      <c r="AH2">
        <v>951.06600000000003</v>
      </c>
      <c r="AI2">
        <v>49.515999999999998</v>
      </c>
      <c r="AJ2">
        <v>23.12</v>
      </c>
      <c r="AK2">
        <v>1.708</v>
      </c>
      <c r="AL2">
        <v>0.5</v>
      </c>
      <c r="AM2">
        <v>0</v>
      </c>
      <c r="AN2">
        <v>0</v>
      </c>
      <c r="AO2">
        <v>0.4</v>
      </c>
      <c r="AP2">
        <v>4.0359999999999996</v>
      </c>
      <c r="AQ2">
        <v>1.867</v>
      </c>
      <c r="AR2">
        <v>3.7949999999999999</v>
      </c>
      <c r="AS2">
        <v>6.5659999999999998</v>
      </c>
      <c r="AT2">
        <v>4.3979999999999997</v>
      </c>
      <c r="AU2">
        <v>1.2649999999999999</v>
      </c>
      <c r="AV2">
        <v>4.3979999999999997</v>
      </c>
      <c r="AW2">
        <v>3.9159999999999999</v>
      </c>
      <c r="AX2">
        <v>1.627</v>
      </c>
      <c r="AY2">
        <v>4.819</v>
      </c>
      <c r="AZ2">
        <v>1.167</v>
      </c>
      <c r="BA2">
        <v>0.58399999999999996</v>
      </c>
      <c r="BB2">
        <v>20.096</v>
      </c>
      <c r="BC2">
        <v>1.706</v>
      </c>
      <c r="BD2">
        <v>3.3460000000000001</v>
      </c>
      <c r="BE2">
        <v>0</v>
      </c>
      <c r="BF2">
        <v>3.0190000000000001</v>
      </c>
      <c r="BG2">
        <v>21.067</v>
      </c>
      <c r="BH2">
        <v>44.926000000000002</v>
      </c>
      <c r="BI2">
        <v>4.0890000000000004</v>
      </c>
      <c r="BJ2">
        <v>0</v>
      </c>
      <c r="BK2">
        <v>91</v>
      </c>
      <c r="BL2">
        <v>73</v>
      </c>
      <c r="BM2">
        <v>55</v>
      </c>
      <c r="BN2">
        <v>45</v>
      </c>
      <c r="BO2">
        <v>0</v>
      </c>
      <c r="BP2">
        <v>0</v>
      </c>
      <c r="BQ2">
        <v>0</v>
      </c>
      <c r="BR2">
        <v>0</v>
      </c>
      <c r="BS2">
        <v>0</v>
      </c>
      <c r="BT2">
        <v>0</v>
      </c>
      <c r="BU2">
        <v>0</v>
      </c>
      <c r="BV2">
        <v>0.3</v>
      </c>
      <c r="BW2">
        <v>0.76800000000000002</v>
      </c>
      <c r="BX2">
        <v>1</v>
      </c>
      <c r="BY2">
        <v>0.92</v>
      </c>
      <c r="BZ2">
        <v>1</v>
      </c>
      <c r="CA2">
        <v>0.05</v>
      </c>
      <c r="CB2">
        <v>0.1</v>
      </c>
      <c r="CC2">
        <v>0.31</v>
      </c>
      <c r="CD2">
        <v>4.0000000000000001E-3</v>
      </c>
      <c r="CE2">
        <v>0.2</v>
      </c>
      <c r="CF2" t="b">
        <v>0</v>
      </c>
      <c r="CG2" t="b">
        <v>0</v>
      </c>
      <c r="CH2" t="s">
        <v>93</v>
      </c>
      <c r="CI2">
        <v>100</v>
      </c>
      <c r="CJ2">
        <v>0</v>
      </c>
      <c r="CK2">
        <v>56.45</v>
      </c>
      <c r="CL2">
        <v>2.6</v>
      </c>
    </row>
    <row r="3" spans="1:90" x14ac:dyDescent="0.25">
      <c r="A3">
        <v>2</v>
      </c>
      <c r="B3" t="s">
        <v>94</v>
      </c>
      <c r="C3" t="s">
        <v>95</v>
      </c>
      <c r="D3" t="s">
        <v>96</v>
      </c>
      <c r="E3">
        <v>88.200999999999993</v>
      </c>
      <c r="F3">
        <v>7.6239999999999997</v>
      </c>
      <c r="G3">
        <v>5.25</v>
      </c>
      <c r="H3">
        <v>30</v>
      </c>
      <c r="I3">
        <v>35</v>
      </c>
      <c r="J3">
        <v>35</v>
      </c>
      <c r="K3">
        <v>5.3</v>
      </c>
      <c r="L3">
        <v>54.393999999999998</v>
      </c>
      <c r="M3">
        <v>50</v>
      </c>
      <c r="N3">
        <v>37.003</v>
      </c>
      <c r="O3">
        <v>1.4490000000000001</v>
      </c>
      <c r="P3">
        <v>1.9419999999999999</v>
      </c>
      <c r="Q3">
        <v>27.638999999999999</v>
      </c>
      <c r="R3">
        <v>33.005000000000003</v>
      </c>
      <c r="S3">
        <v>43.94</v>
      </c>
      <c r="T3">
        <v>9.5299999999999994</v>
      </c>
      <c r="U3">
        <v>0.92800000000000005</v>
      </c>
      <c r="V3">
        <v>36.418999999999997</v>
      </c>
      <c r="W3">
        <v>1.26</v>
      </c>
      <c r="X3">
        <v>2.5169999999999999</v>
      </c>
      <c r="Y3">
        <v>2.4340000000000002</v>
      </c>
      <c r="Z3">
        <v>0.26700000000000002</v>
      </c>
      <c r="AA3">
        <v>0.11700000000000001</v>
      </c>
      <c r="AB3">
        <v>0.11899999999999999</v>
      </c>
      <c r="AC3">
        <v>2.8220000000000001</v>
      </c>
      <c r="AD3">
        <v>2.3E-2</v>
      </c>
      <c r="AE3">
        <v>7.8E-2</v>
      </c>
      <c r="AF3">
        <v>4.1000000000000002E-2</v>
      </c>
      <c r="AG3">
        <v>5.8029999999999999</v>
      </c>
      <c r="AH3">
        <v>290.851</v>
      </c>
      <c r="AI3">
        <v>16.795000000000002</v>
      </c>
      <c r="AJ3">
        <v>15.847</v>
      </c>
      <c r="AK3">
        <v>1.0620000000000001</v>
      </c>
      <c r="AL3">
        <v>0</v>
      </c>
      <c r="AM3">
        <v>0</v>
      </c>
      <c r="AN3">
        <v>0</v>
      </c>
      <c r="AO3">
        <v>7.0000000000000007E-2</v>
      </c>
      <c r="AP3">
        <v>2.23</v>
      </c>
      <c r="AQ3">
        <v>0.86</v>
      </c>
      <c r="AR3">
        <v>2.35</v>
      </c>
      <c r="AS3">
        <v>4.05</v>
      </c>
      <c r="AT3">
        <v>2.74</v>
      </c>
      <c r="AU3">
        <v>0.9</v>
      </c>
      <c r="AV3">
        <v>2.8</v>
      </c>
      <c r="AW3">
        <v>2.7</v>
      </c>
      <c r="AX3">
        <v>1</v>
      </c>
      <c r="AY3">
        <v>3.53</v>
      </c>
      <c r="AZ3">
        <v>0.222</v>
      </c>
      <c r="BA3">
        <v>5.3999999999999999E-2</v>
      </c>
      <c r="BB3">
        <v>14.493</v>
      </c>
      <c r="BC3">
        <v>0.26200000000000001</v>
      </c>
      <c r="BD3">
        <v>3.9079999999999999</v>
      </c>
      <c r="BE3">
        <v>0</v>
      </c>
      <c r="BF3">
        <v>50.817</v>
      </c>
      <c r="BG3">
        <v>23.39</v>
      </c>
      <c r="BH3">
        <v>3.246</v>
      </c>
      <c r="BI3">
        <v>3.6080000000000001</v>
      </c>
      <c r="BJ3">
        <v>0</v>
      </c>
      <c r="BK3">
        <v>91</v>
      </c>
      <c r="BL3">
        <v>73</v>
      </c>
      <c r="BM3">
        <v>86</v>
      </c>
      <c r="BN3">
        <v>14</v>
      </c>
      <c r="BO3">
        <v>0</v>
      </c>
      <c r="BP3">
        <v>0</v>
      </c>
      <c r="BQ3">
        <v>0</v>
      </c>
      <c r="BR3">
        <v>0</v>
      </c>
      <c r="BS3">
        <v>0</v>
      </c>
      <c r="BT3">
        <v>0</v>
      </c>
      <c r="BU3">
        <v>0</v>
      </c>
      <c r="BV3">
        <v>0.6</v>
      </c>
      <c r="BW3">
        <v>0.81799999999999995</v>
      </c>
      <c r="BX3">
        <v>1</v>
      </c>
      <c r="BY3">
        <v>0.92</v>
      </c>
      <c r="BZ3">
        <v>1</v>
      </c>
      <c r="CA3">
        <v>0.05</v>
      </c>
      <c r="CB3">
        <v>0.1</v>
      </c>
      <c r="CC3">
        <v>0.31</v>
      </c>
      <c r="CD3">
        <v>4.0000000000000001E-3</v>
      </c>
      <c r="CE3">
        <v>0.2</v>
      </c>
      <c r="CF3" t="b">
        <v>0</v>
      </c>
      <c r="CG3" t="b">
        <v>0</v>
      </c>
      <c r="CH3" t="s">
        <v>93</v>
      </c>
      <c r="CI3">
        <v>100</v>
      </c>
      <c r="CJ3">
        <v>0</v>
      </c>
      <c r="CK3">
        <v>58.36</v>
      </c>
      <c r="CL3">
        <v>2.5299999999999998</v>
      </c>
    </row>
    <row r="4" spans="1:90" x14ac:dyDescent="0.25">
      <c r="A4">
        <v>3</v>
      </c>
      <c r="B4" t="s">
        <v>97</v>
      </c>
      <c r="C4" t="s">
        <v>95</v>
      </c>
      <c r="D4" t="s">
        <v>96</v>
      </c>
      <c r="E4">
        <v>18.234000000000002</v>
      </c>
      <c r="F4">
        <v>2.9220000000000002</v>
      </c>
      <c r="G4">
        <v>6.4189999999999996</v>
      </c>
      <c r="H4">
        <v>42</v>
      </c>
      <c r="I4">
        <v>53</v>
      </c>
      <c r="J4">
        <v>5</v>
      </c>
      <c r="K4">
        <v>7.4</v>
      </c>
      <c r="L4">
        <v>29.766999999999999</v>
      </c>
      <c r="M4">
        <v>80</v>
      </c>
      <c r="N4">
        <v>19.704000000000001</v>
      </c>
      <c r="O4">
        <v>1.9810000000000001</v>
      </c>
      <c r="P4">
        <v>3.38</v>
      </c>
      <c r="Q4">
        <v>38.581000000000003</v>
      </c>
      <c r="R4">
        <v>45.725000000000001</v>
      </c>
      <c r="S4">
        <v>66.332999999999998</v>
      </c>
      <c r="T4">
        <v>15.948</v>
      </c>
      <c r="U4">
        <v>3.524</v>
      </c>
      <c r="V4">
        <v>25.533000000000001</v>
      </c>
      <c r="W4">
        <v>1.88</v>
      </c>
      <c r="X4">
        <v>5.9660000000000002</v>
      </c>
      <c r="Y4">
        <v>2.2829999999999999</v>
      </c>
      <c r="Z4">
        <v>0.14599999999999999</v>
      </c>
      <c r="AA4">
        <v>0.14399999999999999</v>
      </c>
      <c r="AB4">
        <v>8.3000000000000004E-2</v>
      </c>
      <c r="AC4">
        <v>0.84399999999999997</v>
      </c>
      <c r="AD4">
        <v>2.1000000000000001E-2</v>
      </c>
      <c r="AE4">
        <v>3.7999999999999999E-2</v>
      </c>
      <c r="AF4">
        <v>7.4999999999999997E-2</v>
      </c>
      <c r="AG4">
        <v>8.9079999999999995</v>
      </c>
      <c r="AH4">
        <v>172.23699999999999</v>
      </c>
      <c r="AI4">
        <v>12.417</v>
      </c>
      <c r="AJ4">
        <v>8.1750000000000007</v>
      </c>
      <c r="AK4">
        <v>1</v>
      </c>
      <c r="AL4">
        <v>0</v>
      </c>
      <c r="AM4">
        <v>0</v>
      </c>
      <c r="AN4">
        <v>0</v>
      </c>
      <c r="AO4">
        <v>0</v>
      </c>
      <c r="AP4">
        <v>4.5199999999999996</v>
      </c>
      <c r="AQ4">
        <v>1.86</v>
      </c>
      <c r="AR4">
        <v>3.13</v>
      </c>
      <c r="AS4">
        <v>5.58</v>
      </c>
      <c r="AT4">
        <v>3.93</v>
      </c>
      <c r="AU4">
        <v>1.38</v>
      </c>
      <c r="AV4">
        <v>3.31</v>
      </c>
      <c r="AW4">
        <v>3.04</v>
      </c>
      <c r="AX4">
        <v>0.88</v>
      </c>
      <c r="AY4">
        <v>4.1100000000000003</v>
      </c>
      <c r="AZ4">
        <v>0.6</v>
      </c>
      <c r="BA4">
        <v>1.2</v>
      </c>
      <c r="BB4">
        <v>26.9</v>
      </c>
      <c r="BC4">
        <v>0.6</v>
      </c>
      <c r="BD4">
        <v>3.9</v>
      </c>
      <c r="BE4">
        <v>0</v>
      </c>
      <c r="BF4">
        <v>7.8</v>
      </c>
      <c r="BG4">
        <v>48.8</v>
      </c>
      <c r="BH4">
        <v>10.1</v>
      </c>
      <c r="BI4">
        <v>0.1</v>
      </c>
      <c r="BJ4">
        <v>0</v>
      </c>
      <c r="BK4">
        <v>91</v>
      </c>
      <c r="BL4">
        <v>73</v>
      </c>
      <c r="BM4">
        <v>0</v>
      </c>
      <c r="BN4">
        <v>100</v>
      </c>
      <c r="BO4">
        <v>0</v>
      </c>
      <c r="BP4">
        <v>0</v>
      </c>
      <c r="BQ4">
        <v>0</v>
      </c>
      <c r="BR4">
        <v>0</v>
      </c>
      <c r="BS4">
        <v>0</v>
      </c>
      <c r="BT4">
        <v>0</v>
      </c>
      <c r="BU4">
        <v>0</v>
      </c>
      <c r="BV4">
        <v>0.6</v>
      </c>
      <c r="BW4">
        <v>0.68</v>
      </c>
      <c r="BX4">
        <v>1</v>
      </c>
      <c r="BY4">
        <v>0.92</v>
      </c>
      <c r="BZ4">
        <v>1</v>
      </c>
      <c r="CA4">
        <v>0.05</v>
      </c>
      <c r="CB4">
        <v>0.1</v>
      </c>
      <c r="CC4">
        <v>0.31</v>
      </c>
      <c r="CD4">
        <v>4.0000000000000001E-3</v>
      </c>
      <c r="CE4">
        <v>0.2</v>
      </c>
      <c r="CF4" t="b">
        <v>0</v>
      </c>
      <c r="CG4" t="b">
        <v>0</v>
      </c>
      <c r="CH4" t="s">
        <v>93</v>
      </c>
      <c r="CI4">
        <v>100</v>
      </c>
      <c r="CJ4">
        <v>0</v>
      </c>
      <c r="CK4">
        <v>57.09</v>
      </c>
      <c r="CL4">
        <v>2.48</v>
      </c>
    </row>
    <row r="5" spans="1:90" x14ac:dyDescent="0.25">
      <c r="A5">
        <v>4</v>
      </c>
      <c r="B5" t="s">
        <v>98</v>
      </c>
      <c r="C5" t="s">
        <v>95</v>
      </c>
      <c r="D5" t="s">
        <v>96</v>
      </c>
      <c r="E5">
        <v>90.129000000000005</v>
      </c>
      <c r="F5">
        <v>4.3680000000000003</v>
      </c>
      <c r="G5">
        <v>12.832000000000001</v>
      </c>
      <c r="H5">
        <v>48</v>
      </c>
      <c r="I5">
        <v>44</v>
      </c>
      <c r="J5">
        <v>8</v>
      </c>
      <c r="K5">
        <v>16.18</v>
      </c>
      <c r="L5">
        <v>21.904</v>
      </c>
      <c r="M5">
        <v>90</v>
      </c>
      <c r="N5">
        <v>17.97</v>
      </c>
      <c r="O5">
        <v>0.45700000000000002</v>
      </c>
      <c r="P5">
        <v>1.0569999999999999</v>
      </c>
      <c r="Q5">
        <v>5.6130000000000004</v>
      </c>
      <c r="R5">
        <v>12.664</v>
      </c>
      <c r="S5">
        <v>52</v>
      </c>
      <c r="T5">
        <v>1.6919999999999999</v>
      </c>
      <c r="U5">
        <v>51.667000000000002</v>
      </c>
      <c r="V5">
        <v>19</v>
      </c>
      <c r="W5">
        <v>7.6820000000000004</v>
      </c>
      <c r="X5">
        <v>8.6820000000000004</v>
      </c>
      <c r="Y5">
        <v>3.593</v>
      </c>
      <c r="Z5">
        <v>0.36899999999999999</v>
      </c>
      <c r="AA5">
        <v>0.34799999999999998</v>
      </c>
      <c r="AB5">
        <v>0.14699999999999999</v>
      </c>
      <c r="AC5">
        <v>0.47099999999999997</v>
      </c>
      <c r="AD5">
        <v>0.60099999999999998</v>
      </c>
      <c r="AE5">
        <v>0.621</v>
      </c>
      <c r="AF5">
        <v>0.16800000000000001</v>
      </c>
      <c r="AG5">
        <v>6.17</v>
      </c>
      <c r="AH5">
        <v>236.61699999999999</v>
      </c>
      <c r="AI5">
        <v>30.332000000000001</v>
      </c>
      <c r="AJ5">
        <v>31.446000000000002</v>
      </c>
      <c r="AK5">
        <v>0</v>
      </c>
      <c r="AL5">
        <v>0</v>
      </c>
      <c r="AM5">
        <v>0</v>
      </c>
      <c r="AN5">
        <v>0</v>
      </c>
      <c r="AO5">
        <v>0.2</v>
      </c>
      <c r="AP5">
        <v>4.63</v>
      </c>
      <c r="AQ5">
        <v>2.222</v>
      </c>
      <c r="AR5">
        <v>3.4260000000000002</v>
      </c>
      <c r="AS5">
        <v>6.944</v>
      </c>
      <c r="AT5">
        <v>2.6850000000000001</v>
      </c>
      <c r="AU5">
        <v>1.4810000000000001</v>
      </c>
      <c r="AV5">
        <v>4.5369999999999999</v>
      </c>
      <c r="AW5">
        <v>3.056</v>
      </c>
      <c r="AX5">
        <v>1.204</v>
      </c>
      <c r="AY5">
        <v>4.3520000000000003</v>
      </c>
      <c r="AZ5">
        <v>0.48699999999999999</v>
      </c>
      <c r="BA5">
        <v>3.161</v>
      </c>
      <c r="BB5">
        <v>15.816000000000001</v>
      </c>
      <c r="BC5">
        <v>0.17899999999999999</v>
      </c>
      <c r="BD5">
        <v>9.2859999999999996</v>
      </c>
      <c r="BE5">
        <v>7.7709999999999999</v>
      </c>
      <c r="BF5">
        <v>26.411000000000001</v>
      </c>
      <c r="BG5">
        <v>33.509</v>
      </c>
      <c r="BH5">
        <v>0.85099999999999998</v>
      </c>
      <c r="BI5">
        <v>2.5289999999999999</v>
      </c>
      <c r="BJ5">
        <v>0</v>
      </c>
      <c r="BK5">
        <v>91</v>
      </c>
      <c r="BL5">
        <v>73</v>
      </c>
      <c r="BM5">
        <v>48</v>
      </c>
      <c r="BN5">
        <v>52</v>
      </c>
      <c r="BO5">
        <v>0</v>
      </c>
      <c r="BP5">
        <v>0</v>
      </c>
      <c r="BQ5">
        <v>0</v>
      </c>
      <c r="BR5">
        <v>0</v>
      </c>
      <c r="BS5">
        <v>0</v>
      </c>
      <c r="BT5">
        <v>0</v>
      </c>
      <c r="BU5">
        <v>0</v>
      </c>
      <c r="BV5">
        <v>0.6</v>
      </c>
      <c r="BW5">
        <v>0.75700000000000001</v>
      </c>
      <c r="BX5">
        <v>1</v>
      </c>
      <c r="BY5">
        <v>0.92</v>
      </c>
      <c r="BZ5">
        <v>1</v>
      </c>
      <c r="CA5">
        <v>0.05</v>
      </c>
      <c r="CB5">
        <v>0.1</v>
      </c>
      <c r="CC5">
        <v>0.31</v>
      </c>
      <c r="CD5">
        <v>4.0000000000000001E-3</v>
      </c>
      <c r="CE5">
        <v>0.2</v>
      </c>
      <c r="CF5" t="b">
        <v>0</v>
      </c>
      <c r="CG5" t="b">
        <v>0</v>
      </c>
      <c r="CH5" t="s">
        <v>93</v>
      </c>
      <c r="CI5">
        <v>100</v>
      </c>
      <c r="CJ5">
        <v>0</v>
      </c>
      <c r="CK5">
        <v>93.49</v>
      </c>
      <c r="CL5">
        <v>4.09</v>
      </c>
    </row>
    <row r="6" spans="1:90" x14ac:dyDescent="0.25">
      <c r="A6">
        <v>5</v>
      </c>
      <c r="B6" t="s">
        <v>99</v>
      </c>
      <c r="C6" t="s">
        <v>95</v>
      </c>
      <c r="D6" t="s">
        <v>96</v>
      </c>
      <c r="E6">
        <v>67.441000000000003</v>
      </c>
      <c r="F6">
        <v>3.5670000000000002</v>
      </c>
      <c r="G6">
        <v>14.9</v>
      </c>
      <c r="H6">
        <v>48</v>
      </c>
      <c r="I6">
        <v>44</v>
      </c>
      <c r="J6">
        <v>8</v>
      </c>
      <c r="K6">
        <v>16.18</v>
      </c>
      <c r="L6">
        <v>21.904</v>
      </c>
      <c r="M6">
        <v>90</v>
      </c>
      <c r="N6">
        <v>20.574000000000002</v>
      </c>
      <c r="O6">
        <v>0.623</v>
      </c>
      <c r="P6">
        <v>1.036</v>
      </c>
      <c r="Q6">
        <v>3.2010000000000001</v>
      </c>
      <c r="R6">
        <v>6.3449999999999998</v>
      </c>
      <c r="S6">
        <v>52</v>
      </c>
      <c r="T6">
        <v>1.2929999999999999</v>
      </c>
      <c r="U6">
        <v>53.462000000000003</v>
      </c>
      <c r="V6">
        <v>11.419</v>
      </c>
      <c r="W6">
        <v>4.7560000000000002</v>
      </c>
      <c r="X6">
        <v>5.7560000000000002</v>
      </c>
      <c r="Y6">
        <v>3.6560000000000001</v>
      </c>
      <c r="Z6">
        <v>0.221</v>
      </c>
      <c r="AA6">
        <v>0.26</v>
      </c>
      <c r="AB6">
        <v>9.4E-2</v>
      </c>
      <c r="AC6">
        <v>0.32600000000000001</v>
      </c>
      <c r="AD6">
        <v>0.64500000000000002</v>
      </c>
      <c r="AE6">
        <v>0.92800000000000005</v>
      </c>
      <c r="AF6">
        <v>0.21099999999999999</v>
      </c>
      <c r="AG6">
        <v>4.194</v>
      </c>
      <c r="AH6">
        <v>125.012</v>
      </c>
      <c r="AI6">
        <v>21.15</v>
      </c>
      <c r="AJ6">
        <v>25.145</v>
      </c>
      <c r="AK6">
        <v>1.0529999999999999</v>
      </c>
      <c r="AL6">
        <v>0</v>
      </c>
      <c r="AM6">
        <v>0</v>
      </c>
      <c r="AN6">
        <v>0</v>
      </c>
      <c r="AO6">
        <v>0.2</v>
      </c>
      <c r="AP6">
        <v>4.74</v>
      </c>
      <c r="AQ6">
        <v>2.61</v>
      </c>
      <c r="AR6">
        <v>4</v>
      </c>
      <c r="AS6">
        <v>7.77</v>
      </c>
      <c r="AT6">
        <v>2.91</v>
      </c>
      <c r="AU6">
        <v>1.73</v>
      </c>
      <c r="AV6">
        <v>5.44</v>
      </c>
      <c r="AW6">
        <v>3.36</v>
      </c>
      <c r="AX6">
        <v>1.1499999999999999</v>
      </c>
      <c r="AY6">
        <v>4.42</v>
      </c>
      <c r="AZ6">
        <v>0</v>
      </c>
      <c r="BA6">
        <v>5.2110000000000003</v>
      </c>
      <c r="BB6">
        <v>18.855</v>
      </c>
      <c r="BC6">
        <v>0</v>
      </c>
      <c r="BD6">
        <v>1.0169999999999999</v>
      </c>
      <c r="BE6">
        <v>0</v>
      </c>
      <c r="BF6">
        <v>13.904</v>
      </c>
      <c r="BG6">
        <v>56.83</v>
      </c>
      <c r="BH6">
        <v>3.8130000000000002</v>
      </c>
      <c r="BI6">
        <v>0.37</v>
      </c>
      <c r="BJ6">
        <v>0</v>
      </c>
      <c r="BK6">
        <v>91</v>
      </c>
      <c r="BL6">
        <v>73</v>
      </c>
      <c r="BM6">
        <v>48</v>
      </c>
      <c r="BN6">
        <v>52</v>
      </c>
      <c r="BO6">
        <v>0</v>
      </c>
      <c r="BP6">
        <v>0</v>
      </c>
      <c r="BQ6">
        <v>0</v>
      </c>
      <c r="BR6">
        <v>0</v>
      </c>
      <c r="BS6">
        <v>0</v>
      </c>
      <c r="BT6">
        <v>0</v>
      </c>
      <c r="BU6">
        <v>0</v>
      </c>
      <c r="BV6">
        <v>0.6</v>
      </c>
      <c r="BW6">
        <v>0.75700000000000001</v>
      </c>
      <c r="BX6">
        <v>1</v>
      </c>
      <c r="BY6">
        <v>0.92</v>
      </c>
      <c r="BZ6">
        <v>1</v>
      </c>
      <c r="CA6">
        <v>0.05</v>
      </c>
      <c r="CB6">
        <v>0.1</v>
      </c>
      <c r="CC6">
        <v>0.31</v>
      </c>
      <c r="CD6">
        <v>4.0000000000000001E-3</v>
      </c>
      <c r="CE6">
        <v>0.2</v>
      </c>
      <c r="CF6" t="b">
        <v>0</v>
      </c>
      <c r="CG6" t="b">
        <v>0</v>
      </c>
      <c r="CH6" t="s">
        <v>93</v>
      </c>
      <c r="CI6">
        <v>100</v>
      </c>
      <c r="CJ6">
        <v>0</v>
      </c>
      <c r="CK6">
        <v>89.4</v>
      </c>
      <c r="CL6">
        <v>3.96</v>
      </c>
    </row>
    <row r="7" spans="1:90" x14ac:dyDescent="0.25">
      <c r="A7">
        <v>6</v>
      </c>
      <c r="B7" t="s">
        <v>100</v>
      </c>
      <c r="C7" t="s">
        <v>95</v>
      </c>
      <c r="D7" t="s">
        <v>96</v>
      </c>
      <c r="E7">
        <v>91.137</v>
      </c>
      <c r="F7">
        <v>3.5409999999999999</v>
      </c>
      <c r="G7">
        <v>9.1950000000000003</v>
      </c>
      <c r="H7">
        <v>34</v>
      </c>
      <c r="I7">
        <v>62</v>
      </c>
      <c r="J7">
        <v>4</v>
      </c>
      <c r="K7">
        <v>20</v>
      </c>
      <c r="L7">
        <v>19.132999999999999</v>
      </c>
      <c r="M7">
        <v>75</v>
      </c>
      <c r="N7">
        <v>18.209</v>
      </c>
      <c r="O7">
        <v>1.0660000000000001</v>
      </c>
      <c r="P7">
        <v>1.5289999999999999</v>
      </c>
      <c r="Q7">
        <v>3.0579999999999998</v>
      </c>
      <c r="R7">
        <v>7.202</v>
      </c>
      <c r="S7">
        <v>52</v>
      </c>
      <c r="T7">
        <v>1.4930000000000001</v>
      </c>
      <c r="U7">
        <v>47.631999999999998</v>
      </c>
      <c r="V7">
        <v>28.068000000000001</v>
      </c>
      <c r="W7">
        <v>1.9490000000000001</v>
      </c>
      <c r="X7">
        <v>2.9489999999999998</v>
      </c>
      <c r="Y7">
        <v>3.4359999999999999</v>
      </c>
      <c r="Z7">
        <v>0.217</v>
      </c>
      <c r="AA7">
        <v>0.27600000000000002</v>
      </c>
      <c r="AB7">
        <v>8.3000000000000004E-2</v>
      </c>
      <c r="AC7">
        <v>0.311</v>
      </c>
      <c r="AD7">
        <v>0.59099999999999997</v>
      </c>
      <c r="AE7">
        <v>0.79</v>
      </c>
      <c r="AF7">
        <v>0.123</v>
      </c>
      <c r="AG7">
        <v>3.331</v>
      </c>
      <c r="AH7">
        <v>189.346</v>
      </c>
      <c r="AI7">
        <v>21.79</v>
      </c>
      <c r="AJ7">
        <v>55.37</v>
      </c>
      <c r="AK7">
        <v>1</v>
      </c>
      <c r="AL7">
        <v>0</v>
      </c>
      <c r="AM7">
        <v>0</v>
      </c>
      <c r="AN7">
        <v>0</v>
      </c>
      <c r="AO7">
        <v>0.2</v>
      </c>
      <c r="AP7">
        <v>6.84</v>
      </c>
      <c r="AQ7">
        <v>2.82</v>
      </c>
      <c r="AR7">
        <v>3.15</v>
      </c>
      <c r="AS7">
        <v>6.16</v>
      </c>
      <c r="AT7">
        <v>4.05</v>
      </c>
      <c r="AU7">
        <v>1.57</v>
      </c>
      <c r="AV7">
        <v>3.97</v>
      </c>
      <c r="AW7">
        <v>3.26</v>
      </c>
      <c r="AX7">
        <v>1.37</v>
      </c>
      <c r="AY7">
        <v>4.5</v>
      </c>
      <c r="AZ7">
        <v>0</v>
      </c>
      <c r="BA7">
        <v>5.2110000000000003</v>
      </c>
      <c r="BB7">
        <v>18.855</v>
      </c>
      <c r="BC7">
        <v>0</v>
      </c>
      <c r="BD7">
        <v>1.0169999999999999</v>
      </c>
      <c r="BE7">
        <v>0</v>
      </c>
      <c r="BF7">
        <v>13.904</v>
      </c>
      <c r="BG7">
        <v>56.83</v>
      </c>
      <c r="BH7">
        <v>3.8130000000000002</v>
      </c>
      <c r="BI7">
        <v>0.37</v>
      </c>
      <c r="BJ7">
        <v>0</v>
      </c>
      <c r="BK7">
        <v>91</v>
      </c>
      <c r="BL7">
        <v>73</v>
      </c>
      <c r="BM7">
        <v>48</v>
      </c>
      <c r="BN7">
        <v>52</v>
      </c>
      <c r="BO7">
        <v>0</v>
      </c>
      <c r="BP7">
        <v>0</v>
      </c>
      <c r="BQ7">
        <v>0</v>
      </c>
      <c r="BR7">
        <v>0</v>
      </c>
      <c r="BS7">
        <v>0</v>
      </c>
      <c r="BT7">
        <v>0</v>
      </c>
      <c r="BU7">
        <v>0</v>
      </c>
      <c r="BV7">
        <v>0.6</v>
      </c>
      <c r="BW7">
        <v>0.75700000000000001</v>
      </c>
      <c r="BX7">
        <v>1</v>
      </c>
      <c r="BY7">
        <v>0.92</v>
      </c>
      <c r="BZ7">
        <v>1</v>
      </c>
      <c r="CA7">
        <v>0.05</v>
      </c>
      <c r="CB7">
        <v>0.1</v>
      </c>
      <c r="CC7">
        <v>0.31</v>
      </c>
      <c r="CD7">
        <v>4.0000000000000001E-3</v>
      </c>
      <c r="CE7">
        <v>0.2</v>
      </c>
      <c r="CF7" t="b">
        <v>0</v>
      </c>
      <c r="CG7" t="b">
        <v>0</v>
      </c>
      <c r="CH7" t="s">
        <v>93</v>
      </c>
      <c r="CI7">
        <v>100</v>
      </c>
      <c r="CJ7">
        <v>0</v>
      </c>
      <c r="CK7">
        <v>87.62</v>
      </c>
      <c r="CL7">
        <v>3.79</v>
      </c>
    </row>
    <row r="8" spans="1:90" x14ac:dyDescent="0.25">
      <c r="A8">
        <v>7</v>
      </c>
      <c r="B8" t="s">
        <v>101</v>
      </c>
      <c r="C8" t="s">
        <v>95</v>
      </c>
      <c r="D8" t="s">
        <v>96</v>
      </c>
      <c r="E8">
        <v>89.269000000000005</v>
      </c>
      <c r="F8">
        <v>4.5940000000000003</v>
      </c>
      <c r="G8">
        <v>12.94</v>
      </c>
      <c r="H8">
        <v>48</v>
      </c>
      <c r="I8">
        <v>44</v>
      </c>
      <c r="J8">
        <v>8</v>
      </c>
      <c r="K8">
        <v>16.18</v>
      </c>
      <c r="L8">
        <v>21.904</v>
      </c>
      <c r="M8">
        <v>90</v>
      </c>
      <c r="N8">
        <v>22.311</v>
      </c>
      <c r="O8">
        <v>1.129</v>
      </c>
      <c r="P8">
        <v>2.105</v>
      </c>
      <c r="Q8">
        <v>7.625</v>
      </c>
      <c r="R8">
        <v>14.436</v>
      </c>
      <c r="S8">
        <v>52</v>
      </c>
      <c r="T8">
        <v>2.169</v>
      </c>
      <c r="U8">
        <v>36.207999999999998</v>
      </c>
      <c r="V8">
        <v>18.163</v>
      </c>
      <c r="W8">
        <v>9.0370000000000008</v>
      </c>
      <c r="X8">
        <v>10.037000000000001</v>
      </c>
      <c r="Y8">
        <v>3.5830000000000002</v>
      </c>
      <c r="Z8">
        <v>0.23899999999999999</v>
      </c>
      <c r="AA8">
        <v>0.41599999999999998</v>
      </c>
      <c r="AB8">
        <v>0.16800000000000001</v>
      </c>
      <c r="AC8">
        <v>0.57099999999999995</v>
      </c>
      <c r="AD8">
        <v>0.59199999999999997</v>
      </c>
      <c r="AE8">
        <v>0.79500000000000004</v>
      </c>
      <c r="AF8">
        <v>0.16900000000000001</v>
      </c>
      <c r="AG8">
        <v>6.5679999999999996</v>
      </c>
      <c r="AH8">
        <v>171.64699999999999</v>
      </c>
      <c r="AI8">
        <v>39.99</v>
      </c>
      <c r="AJ8">
        <v>40.819000000000003</v>
      </c>
      <c r="AK8">
        <v>1.079</v>
      </c>
      <c r="AL8">
        <v>0</v>
      </c>
      <c r="AM8">
        <v>0</v>
      </c>
      <c r="AN8">
        <v>0</v>
      </c>
      <c r="AO8">
        <v>0.2</v>
      </c>
      <c r="AP8">
        <v>4.1900000000000004</v>
      </c>
      <c r="AQ8">
        <v>1.77</v>
      </c>
      <c r="AR8">
        <v>3.12</v>
      </c>
      <c r="AS8">
        <v>7.12</v>
      </c>
      <c r="AT8">
        <v>1.71</v>
      </c>
      <c r="AU8">
        <v>1.83</v>
      </c>
      <c r="AV8">
        <v>4.78</v>
      </c>
      <c r="AW8">
        <v>3.14</v>
      </c>
      <c r="AX8">
        <v>0.88</v>
      </c>
      <c r="AY8">
        <v>4.58</v>
      </c>
      <c r="AZ8">
        <v>0.48699999999999999</v>
      </c>
      <c r="BA8">
        <v>3.161</v>
      </c>
      <c r="BB8">
        <v>15.816000000000001</v>
      </c>
      <c r="BC8">
        <v>0.17899999999999999</v>
      </c>
      <c r="BD8">
        <v>9.2859999999999996</v>
      </c>
      <c r="BE8">
        <v>7.7709999999999999</v>
      </c>
      <c r="BF8">
        <v>26.411000000000001</v>
      </c>
      <c r="BG8">
        <v>33.509</v>
      </c>
      <c r="BH8">
        <v>0.85099999999999998</v>
      </c>
      <c r="BI8">
        <v>2.5289999999999999</v>
      </c>
      <c r="BJ8">
        <v>0</v>
      </c>
      <c r="BK8">
        <v>91</v>
      </c>
      <c r="BL8">
        <v>73</v>
      </c>
      <c r="BM8">
        <v>48</v>
      </c>
      <c r="BN8">
        <v>52</v>
      </c>
      <c r="BO8">
        <v>0</v>
      </c>
      <c r="BP8">
        <v>0</v>
      </c>
      <c r="BQ8">
        <v>0</v>
      </c>
      <c r="BR8">
        <v>0</v>
      </c>
      <c r="BS8">
        <v>0</v>
      </c>
      <c r="BT8">
        <v>0</v>
      </c>
      <c r="BU8">
        <v>0</v>
      </c>
      <c r="BV8">
        <v>0.6</v>
      </c>
      <c r="BW8">
        <v>0.75700000000000001</v>
      </c>
      <c r="BX8">
        <v>1</v>
      </c>
      <c r="BY8">
        <v>0.92</v>
      </c>
      <c r="BZ8">
        <v>1</v>
      </c>
      <c r="CA8">
        <v>0.05</v>
      </c>
      <c r="CB8">
        <v>0.1</v>
      </c>
      <c r="CC8">
        <v>0.31</v>
      </c>
      <c r="CD8">
        <v>4.0000000000000001E-3</v>
      </c>
      <c r="CE8">
        <v>0.2</v>
      </c>
      <c r="CF8" t="b">
        <v>0</v>
      </c>
      <c r="CG8" t="b">
        <v>0</v>
      </c>
      <c r="CH8" t="s">
        <v>93</v>
      </c>
      <c r="CI8">
        <v>100</v>
      </c>
      <c r="CJ8">
        <v>0</v>
      </c>
      <c r="CK8">
        <v>95.04</v>
      </c>
      <c r="CL8">
        <v>4.1100000000000003</v>
      </c>
    </row>
    <row r="9" spans="1:90" x14ac:dyDescent="0.25">
      <c r="A9">
        <v>8</v>
      </c>
      <c r="B9" t="s">
        <v>102</v>
      </c>
      <c r="C9" t="s">
        <v>103</v>
      </c>
      <c r="D9" t="s">
        <v>96</v>
      </c>
      <c r="E9">
        <v>88.742000000000004</v>
      </c>
      <c r="F9">
        <v>2.8180000000000001</v>
      </c>
      <c r="G9">
        <v>11.805999999999999</v>
      </c>
      <c r="H9">
        <v>30</v>
      </c>
      <c r="I9">
        <v>61</v>
      </c>
      <c r="J9">
        <v>9</v>
      </c>
      <c r="K9">
        <v>22.7</v>
      </c>
      <c r="L9">
        <v>22.437999999999999</v>
      </c>
      <c r="M9">
        <v>85</v>
      </c>
      <c r="N9">
        <v>25.312000000000001</v>
      </c>
      <c r="O9">
        <v>0.69699999999999995</v>
      </c>
      <c r="P9">
        <v>1.3779999999999999</v>
      </c>
      <c r="Q9">
        <v>7.3319999999999999</v>
      </c>
      <c r="R9">
        <v>18.634</v>
      </c>
      <c r="S9">
        <v>51.545000000000002</v>
      </c>
      <c r="T9">
        <v>1.724</v>
      </c>
      <c r="U9">
        <v>56.665999999999997</v>
      </c>
      <c r="V9">
        <v>4.9109999999999996</v>
      </c>
      <c r="W9">
        <v>1.3109999999999999</v>
      </c>
      <c r="X9">
        <v>2.3090000000000002</v>
      </c>
      <c r="Y9">
        <v>3.3610000000000002</v>
      </c>
      <c r="Z9">
        <v>0.115</v>
      </c>
      <c r="AA9">
        <v>0.38100000000000001</v>
      </c>
      <c r="AB9">
        <v>0.14000000000000001</v>
      </c>
      <c r="AC9">
        <v>0.59</v>
      </c>
      <c r="AD9">
        <v>2.1000000000000001E-2</v>
      </c>
      <c r="AE9">
        <v>0.15</v>
      </c>
      <c r="AF9">
        <v>0.13700000000000001</v>
      </c>
      <c r="AG9">
        <v>5.5270000000000001</v>
      </c>
      <c r="AH9">
        <v>89.424999999999997</v>
      </c>
      <c r="AI9">
        <v>20.390999999999998</v>
      </c>
      <c r="AJ9">
        <v>33.79</v>
      </c>
      <c r="AK9">
        <v>1.046</v>
      </c>
      <c r="AL9">
        <v>0</v>
      </c>
      <c r="AM9">
        <v>0</v>
      </c>
      <c r="AN9">
        <v>0</v>
      </c>
      <c r="AO9">
        <v>0.11</v>
      </c>
      <c r="AP9">
        <v>4.907</v>
      </c>
      <c r="AQ9">
        <v>2.222</v>
      </c>
      <c r="AR9">
        <v>3.4260000000000002</v>
      </c>
      <c r="AS9">
        <v>6.7590000000000003</v>
      </c>
      <c r="AT9">
        <v>3.6110000000000002</v>
      </c>
      <c r="AU9">
        <v>1.667</v>
      </c>
      <c r="AV9">
        <v>5.093</v>
      </c>
      <c r="AW9">
        <v>3.3330000000000002</v>
      </c>
      <c r="AX9">
        <v>1.204</v>
      </c>
      <c r="AY9">
        <v>4.8150000000000004</v>
      </c>
      <c r="AZ9">
        <v>0</v>
      </c>
      <c r="BA9">
        <v>0.317</v>
      </c>
      <c r="BB9">
        <v>22.966000000000001</v>
      </c>
      <c r="BC9">
        <v>5.5E-2</v>
      </c>
      <c r="BD9">
        <v>1.526</v>
      </c>
      <c r="BE9">
        <v>0</v>
      </c>
      <c r="BF9">
        <v>13.541</v>
      </c>
      <c r="BG9">
        <v>55.933</v>
      </c>
      <c r="BH9">
        <v>4.3410000000000002</v>
      </c>
      <c r="BI9">
        <v>1.321</v>
      </c>
      <c r="BJ9">
        <v>0</v>
      </c>
      <c r="BK9">
        <v>91</v>
      </c>
      <c r="BL9">
        <v>73</v>
      </c>
      <c r="BM9">
        <v>15</v>
      </c>
      <c r="BN9">
        <v>85</v>
      </c>
      <c r="BO9">
        <v>0</v>
      </c>
      <c r="BP9">
        <v>0</v>
      </c>
      <c r="BQ9">
        <v>0</v>
      </c>
      <c r="BR9">
        <v>0</v>
      </c>
      <c r="BS9">
        <v>0</v>
      </c>
      <c r="BT9">
        <v>0</v>
      </c>
      <c r="BU9">
        <v>0</v>
      </c>
      <c r="BV9">
        <v>0.6</v>
      </c>
      <c r="BW9">
        <v>0.70399999999999996</v>
      </c>
      <c r="BX9">
        <v>1</v>
      </c>
      <c r="BY9">
        <v>0.92</v>
      </c>
      <c r="BZ9">
        <v>1</v>
      </c>
      <c r="CA9">
        <v>0.05</v>
      </c>
      <c r="CB9">
        <v>0.1</v>
      </c>
      <c r="CC9">
        <v>0.31</v>
      </c>
      <c r="CD9">
        <v>4.0000000000000001E-3</v>
      </c>
      <c r="CE9">
        <v>0.2</v>
      </c>
      <c r="CF9" t="b">
        <v>0</v>
      </c>
      <c r="CG9" t="b">
        <v>0</v>
      </c>
      <c r="CH9" t="s">
        <v>93</v>
      </c>
      <c r="CI9">
        <v>100</v>
      </c>
      <c r="CJ9">
        <v>0</v>
      </c>
      <c r="CK9">
        <v>82.68</v>
      </c>
      <c r="CL9">
        <v>3.64</v>
      </c>
    </row>
    <row r="10" spans="1:90" x14ac:dyDescent="0.25">
      <c r="A10">
        <v>11</v>
      </c>
      <c r="B10" t="s">
        <v>104</v>
      </c>
      <c r="C10" t="s">
        <v>95</v>
      </c>
      <c r="D10" t="s">
        <v>96</v>
      </c>
      <c r="E10">
        <v>81.164000000000001</v>
      </c>
      <c r="F10">
        <v>5.8730000000000002</v>
      </c>
      <c r="G10">
        <v>23.884</v>
      </c>
      <c r="H10">
        <v>47</v>
      </c>
      <c r="I10">
        <v>45</v>
      </c>
      <c r="J10">
        <v>8</v>
      </c>
      <c r="K10">
        <v>13.324999999999999</v>
      </c>
      <c r="L10">
        <v>23.786000000000001</v>
      </c>
      <c r="M10">
        <v>64.411000000000001</v>
      </c>
      <c r="N10">
        <v>39.947000000000003</v>
      </c>
      <c r="O10">
        <v>0.85899999999999999</v>
      </c>
      <c r="P10">
        <v>5.1260000000000003</v>
      </c>
      <c r="Q10">
        <v>18.338999999999999</v>
      </c>
      <c r="R10">
        <v>40.515999999999998</v>
      </c>
      <c r="S10">
        <v>63</v>
      </c>
      <c r="T10">
        <v>2.6120000000000001</v>
      </c>
      <c r="U10">
        <v>8.5589999999999993</v>
      </c>
      <c r="V10">
        <v>15.898999999999999</v>
      </c>
      <c r="W10">
        <v>1.46</v>
      </c>
      <c r="X10">
        <v>2.726</v>
      </c>
      <c r="Y10">
        <v>3.109</v>
      </c>
      <c r="Z10">
        <v>0.193</v>
      </c>
      <c r="AA10">
        <v>0.61399999999999999</v>
      </c>
      <c r="AB10">
        <v>0.18</v>
      </c>
      <c r="AC10">
        <v>1.1140000000000001</v>
      </c>
      <c r="AD10">
        <v>5.2999999999999999E-2</v>
      </c>
      <c r="AE10">
        <v>0.36399999999999999</v>
      </c>
      <c r="AF10">
        <v>0.33500000000000002</v>
      </c>
      <c r="AG10">
        <v>9.9260000000000002</v>
      </c>
      <c r="AH10">
        <v>180.16200000000001</v>
      </c>
      <c r="AI10">
        <v>46.203000000000003</v>
      </c>
      <c r="AJ10">
        <v>64.564999999999998</v>
      </c>
      <c r="AK10">
        <v>1.359</v>
      </c>
      <c r="AL10">
        <v>0</v>
      </c>
      <c r="AM10">
        <v>0</v>
      </c>
      <c r="AN10">
        <v>0</v>
      </c>
      <c r="AO10">
        <v>0.6</v>
      </c>
      <c r="AP10">
        <v>4.55</v>
      </c>
      <c r="AQ10">
        <v>1.905</v>
      </c>
      <c r="AR10">
        <v>3.2280000000000002</v>
      </c>
      <c r="AS10">
        <v>5.7140000000000004</v>
      </c>
      <c r="AT10">
        <v>4.7089999999999996</v>
      </c>
      <c r="AU10">
        <v>1.4810000000000001</v>
      </c>
      <c r="AV10">
        <v>3.4390000000000001</v>
      </c>
      <c r="AW10">
        <v>3.3860000000000001</v>
      </c>
      <c r="AX10">
        <v>1.27</v>
      </c>
      <c r="AY10">
        <v>4.55</v>
      </c>
      <c r="AZ10">
        <v>0</v>
      </c>
      <c r="BA10">
        <v>0.317</v>
      </c>
      <c r="BB10">
        <v>22.966000000000001</v>
      </c>
      <c r="BC10">
        <v>5.5E-2</v>
      </c>
      <c r="BD10">
        <v>1.526</v>
      </c>
      <c r="BE10">
        <v>0</v>
      </c>
      <c r="BF10">
        <v>13.541</v>
      </c>
      <c r="BG10">
        <v>55.933</v>
      </c>
      <c r="BH10">
        <v>4.3410000000000002</v>
      </c>
      <c r="BI10">
        <v>1.321</v>
      </c>
      <c r="BJ10">
        <v>0</v>
      </c>
      <c r="BK10">
        <v>91</v>
      </c>
      <c r="BL10">
        <v>73</v>
      </c>
      <c r="BM10">
        <v>67</v>
      </c>
      <c r="BN10">
        <v>33</v>
      </c>
      <c r="BO10">
        <v>0</v>
      </c>
      <c r="BP10">
        <v>0</v>
      </c>
      <c r="BQ10">
        <v>0</v>
      </c>
      <c r="BR10">
        <v>0</v>
      </c>
      <c r="BS10">
        <v>0</v>
      </c>
      <c r="BT10">
        <v>0</v>
      </c>
      <c r="BU10">
        <v>0</v>
      </c>
      <c r="BV10">
        <v>0.6</v>
      </c>
      <c r="BW10">
        <v>0.78700000000000003</v>
      </c>
      <c r="BX10">
        <v>1</v>
      </c>
      <c r="BY10">
        <v>0.92</v>
      </c>
      <c r="BZ10">
        <v>1</v>
      </c>
      <c r="CA10">
        <v>0.05</v>
      </c>
      <c r="CB10">
        <v>0.1</v>
      </c>
      <c r="CC10">
        <v>0.31</v>
      </c>
      <c r="CD10">
        <v>4.0000000000000001E-3</v>
      </c>
      <c r="CE10">
        <v>0.2</v>
      </c>
      <c r="CF10" t="b">
        <v>0</v>
      </c>
      <c r="CG10" t="b">
        <v>0</v>
      </c>
      <c r="CH10" t="s">
        <v>93</v>
      </c>
      <c r="CI10">
        <v>100</v>
      </c>
      <c r="CJ10">
        <v>0</v>
      </c>
      <c r="CK10">
        <v>66.39</v>
      </c>
      <c r="CL10">
        <v>3.06</v>
      </c>
    </row>
    <row r="11" spans="1:90" x14ac:dyDescent="0.25">
      <c r="A11">
        <v>12</v>
      </c>
      <c r="B11" t="s">
        <v>105</v>
      </c>
      <c r="C11" t="s">
        <v>106</v>
      </c>
      <c r="D11" t="s">
        <v>92</v>
      </c>
      <c r="E11">
        <v>36.959000000000003</v>
      </c>
      <c r="F11">
        <v>5.9189999999999996</v>
      </c>
      <c r="G11">
        <v>10.875</v>
      </c>
      <c r="H11">
        <v>57</v>
      </c>
      <c r="I11">
        <v>33</v>
      </c>
      <c r="J11">
        <v>10</v>
      </c>
      <c r="K11">
        <v>6.95</v>
      </c>
      <c r="L11">
        <v>27.245999999999999</v>
      </c>
      <c r="M11">
        <v>83.313999999999993</v>
      </c>
      <c r="N11">
        <v>61.374000000000002</v>
      </c>
      <c r="O11">
        <v>0.94899999999999995</v>
      </c>
      <c r="P11">
        <v>1.298</v>
      </c>
      <c r="Q11">
        <v>26.349</v>
      </c>
      <c r="R11">
        <v>44.756999999999998</v>
      </c>
      <c r="S11">
        <v>50</v>
      </c>
      <c r="T11">
        <v>3.8079999999999998</v>
      </c>
      <c r="U11">
        <v>23.867999999999999</v>
      </c>
      <c r="V11">
        <v>7</v>
      </c>
      <c r="W11">
        <v>2.0640000000000001</v>
      </c>
      <c r="X11">
        <v>3.08</v>
      </c>
      <c r="Y11">
        <v>2.855</v>
      </c>
      <c r="Z11">
        <v>0.316</v>
      </c>
      <c r="AA11">
        <v>0.28799999999999998</v>
      </c>
      <c r="AB11">
        <v>0.17699999999999999</v>
      </c>
      <c r="AC11">
        <v>1.571</v>
      </c>
      <c r="AD11">
        <v>0.106</v>
      </c>
      <c r="AE11">
        <v>0.47</v>
      </c>
      <c r="AF11">
        <v>0.184</v>
      </c>
      <c r="AG11">
        <v>5.9589999999999996</v>
      </c>
      <c r="AH11">
        <v>172.43100000000001</v>
      </c>
      <c r="AI11">
        <v>31.263999999999999</v>
      </c>
      <c r="AJ11">
        <v>25.885999999999999</v>
      </c>
      <c r="AK11">
        <v>0.76500000000000001</v>
      </c>
      <c r="AL11">
        <v>0</v>
      </c>
      <c r="AM11">
        <v>0</v>
      </c>
      <c r="AN11">
        <v>0</v>
      </c>
      <c r="AO11">
        <v>0.1</v>
      </c>
      <c r="AP11">
        <v>1.04</v>
      </c>
      <c r="AQ11">
        <v>1.21</v>
      </c>
      <c r="AR11">
        <v>3.45</v>
      </c>
      <c r="AS11">
        <v>4.88</v>
      </c>
      <c r="AT11">
        <v>2.35</v>
      </c>
      <c r="AU11">
        <v>1.1599999999999999</v>
      </c>
      <c r="AV11">
        <v>3.42</v>
      </c>
      <c r="AW11">
        <v>2.5099999999999998</v>
      </c>
      <c r="AX11">
        <v>1.42</v>
      </c>
      <c r="AY11">
        <v>4.8</v>
      </c>
      <c r="AZ11">
        <v>0.8</v>
      </c>
      <c r="BA11">
        <v>5.5</v>
      </c>
      <c r="BB11">
        <v>43.4</v>
      </c>
      <c r="BC11">
        <v>0</v>
      </c>
      <c r="BD11">
        <v>4.0999999999999996</v>
      </c>
      <c r="BE11">
        <v>0</v>
      </c>
      <c r="BF11">
        <v>7.3</v>
      </c>
      <c r="BG11">
        <v>12.3</v>
      </c>
      <c r="BH11">
        <v>2.4</v>
      </c>
      <c r="BI11">
        <v>24.2</v>
      </c>
      <c r="BJ11">
        <v>0</v>
      </c>
      <c r="BK11">
        <v>91</v>
      </c>
      <c r="BL11">
        <v>73</v>
      </c>
      <c r="BM11">
        <v>67</v>
      </c>
      <c r="BN11">
        <v>33</v>
      </c>
      <c r="BO11">
        <v>0</v>
      </c>
      <c r="BP11">
        <v>0</v>
      </c>
      <c r="BQ11">
        <v>0</v>
      </c>
      <c r="BR11">
        <v>0</v>
      </c>
      <c r="BS11">
        <v>0</v>
      </c>
      <c r="BT11">
        <v>0</v>
      </c>
      <c r="BU11">
        <v>0</v>
      </c>
      <c r="BV11">
        <v>0.4</v>
      </c>
      <c r="BW11">
        <v>0.78700000000000003</v>
      </c>
      <c r="BX11">
        <v>1</v>
      </c>
      <c r="BY11">
        <v>0.92</v>
      </c>
      <c r="BZ11">
        <v>1</v>
      </c>
      <c r="CA11">
        <v>0.05</v>
      </c>
      <c r="CB11">
        <v>0.1</v>
      </c>
      <c r="CC11">
        <v>0.31</v>
      </c>
      <c r="CD11">
        <v>4.0000000000000001E-3</v>
      </c>
      <c r="CE11">
        <v>0.2</v>
      </c>
      <c r="CF11" t="b">
        <v>0</v>
      </c>
      <c r="CG11" t="b">
        <v>1</v>
      </c>
      <c r="CH11" t="s">
        <v>93</v>
      </c>
      <c r="CI11">
        <v>100</v>
      </c>
      <c r="CJ11">
        <v>0</v>
      </c>
      <c r="CK11">
        <v>60.22</v>
      </c>
      <c r="CL11">
        <v>2.68</v>
      </c>
    </row>
    <row r="12" spans="1:90" x14ac:dyDescent="0.25">
      <c r="A12">
        <v>15</v>
      </c>
      <c r="B12" t="s">
        <v>107</v>
      </c>
      <c r="C12" t="s">
        <v>95</v>
      </c>
      <c r="D12" t="s">
        <v>96</v>
      </c>
      <c r="E12">
        <v>92.298000000000002</v>
      </c>
      <c r="F12">
        <v>5.2380000000000004</v>
      </c>
      <c r="G12">
        <v>9.9220000000000006</v>
      </c>
      <c r="H12">
        <v>5</v>
      </c>
      <c r="I12">
        <v>90</v>
      </c>
      <c r="J12">
        <v>5</v>
      </c>
      <c r="K12">
        <v>2</v>
      </c>
      <c r="L12">
        <v>70.608000000000004</v>
      </c>
      <c r="M12">
        <v>80</v>
      </c>
      <c r="N12">
        <v>20.58</v>
      </c>
      <c r="O12">
        <v>1.304</v>
      </c>
      <c r="P12">
        <v>5.4649999999999999</v>
      </c>
      <c r="Q12">
        <v>28.245999999999999</v>
      </c>
      <c r="R12">
        <v>46.851999999999997</v>
      </c>
      <c r="S12">
        <v>79</v>
      </c>
      <c r="T12">
        <v>3.88</v>
      </c>
      <c r="U12">
        <v>0.64200000000000002</v>
      </c>
      <c r="V12">
        <v>5.7</v>
      </c>
      <c r="W12">
        <v>0.63</v>
      </c>
      <c r="X12">
        <v>1.0549999999999999</v>
      </c>
      <c r="Y12">
        <v>2.7389999999999999</v>
      </c>
      <c r="Z12">
        <v>0.77300000000000002</v>
      </c>
      <c r="AA12">
        <v>8.3000000000000004E-2</v>
      </c>
      <c r="AB12">
        <v>0.26100000000000001</v>
      </c>
      <c r="AC12">
        <v>0.49399999999999999</v>
      </c>
      <c r="AD12">
        <v>0.114</v>
      </c>
      <c r="AE12">
        <v>7.5999999999999998E-2</v>
      </c>
      <c r="AF12">
        <v>0.19700000000000001</v>
      </c>
      <c r="AG12">
        <v>8.0980000000000008</v>
      </c>
      <c r="AH12">
        <v>588.17999999999995</v>
      </c>
      <c r="AI12">
        <v>78.412000000000006</v>
      </c>
      <c r="AJ12">
        <v>20.672999999999998</v>
      </c>
      <c r="AK12">
        <v>1</v>
      </c>
      <c r="AL12">
        <v>1.2</v>
      </c>
      <c r="AM12">
        <v>0</v>
      </c>
      <c r="AN12">
        <v>0</v>
      </c>
      <c r="AO12">
        <v>0.14000000000000001</v>
      </c>
      <c r="AP12">
        <v>3.7349999999999999</v>
      </c>
      <c r="AQ12">
        <v>3.133</v>
      </c>
      <c r="AR12">
        <v>3.4940000000000002</v>
      </c>
      <c r="AS12">
        <v>5.9039999999999999</v>
      </c>
      <c r="AT12">
        <v>5.7830000000000004</v>
      </c>
      <c r="AU12">
        <v>1.5660000000000001</v>
      </c>
      <c r="AV12">
        <v>3.6139999999999999</v>
      </c>
      <c r="AW12">
        <v>4.4580000000000002</v>
      </c>
      <c r="AX12">
        <v>1.0840000000000001</v>
      </c>
      <c r="AY12">
        <v>5.5419999999999998</v>
      </c>
      <c r="AZ12">
        <v>0</v>
      </c>
      <c r="BA12">
        <v>0</v>
      </c>
      <c r="BB12">
        <v>26.658999999999999</v>
      </c>
      <c r="BC12">
        <v>0.38800000000000001</v>
      </c>
      <c r="BD12">
        <v>0.89</v>
      </c>
      <c r="BE12">
        <v>0.14099999999999999</v>
      </c>
      <c r="BF12">
        <v>11.551</v>
      </c>
      <c r="BG12">
        <v>49.831000000000003</v>
      </c>
      <c r="BH12">
        <v>6.35</v>
      </c>
      <c r="BI12">
        <v>4.1900000000000004</v>
      </c>
      <c r="BJ12">
        <v>0</v>
      </c>
      <c r="BK12">
        <v>91</v>
      </c>
      <c r="BL12">
        <v>73</v>
      </c>
      <c r="BM12">
        <v>0</v>
      </c>
      <c r="BN12">
        <v>100</v>
      </c>
      <c r="BO12">
        <v>0</v>
      </c>
      <c r="BP12">
        <v>0</v>
      </c>
      <c r="BQ12">
        <v>0</v>
      </c>
      <c r="BR12">
        <v>0</v>
      </c>
      <c r="BS12">
        <v>0</v>
      </c>
      <c r="BT12">
        <v>0</v>
      </c>
      <c r="BU12">
        <v>0</v>
      </c>
      <c r="BV12">
        <v>0.6</v>
      </c>
      <c r="BW12">
        <v>0.68</v>
      </c>
      <c r="BX12">
        <v>1</v>
      </c>
      <c r="BY12">
        <v>0.92</v>
      </c>
      <c r="BZ12">
        <v>1</v>
      </c>
      <c r="CA12">
        <v>0.05</v>
      </c>
      <c r="CB12">
        <v>0.1</v>
      </c>
      <c r="CC12">
        <v>0.31</v>
      </c>
      <c r="CD12">
        <v>4.0000000000000001E-3</v>
      </c>
      <c r="CE12">
        <v>0.2</v>
      </c>
      <c r="CF12" t="b">
        <v>0</v>
      </c>
      <c r="CG12" t="b">
        <v>0</v>
      </c>
      <c r="CH12" t="s">
        <v>93</v>
      </c>
      <c r="CI12">
        <v>100</v>
      </c>
      <c r="CJ12">
        <v>0</v>
      </c>
      <c r="CK12">
        <v>69.11</v>
      </c>
      <c r="CL12">
        <v>3.03</v>
      </c>
    </row>
    <row r="13" spans="1:90" x14ac:dyDescent="0.25">
      <c r="A13">
        <v>18</v>
      </c>
      <c r="B13" t="s">
        <v>108</v>
      </c>
      <c r="C13" t="s">
        <v>109</v>
      </c>
      <c r="D13" t="s">
        <v>92</v>
      </c>
      <c r="E13">
        <v>93.373000000000005</v>
      </c>
      <c r="F13">
        <v>8.0440000000000005</v>
      </c>
      <c r="G13">
        <v>10.991</v>
      </c>
      <c r="H13">
        <v>36</v>
      </c>
      <c r="I13">
        <v>52</v>
      </c>
      <c r="J13">
        <v>12</v>
      </c>
      <c r="K13">
        <v>8.1</v>
      </c>
      <c r="L13">
        <v>33.832000000000001</v>
      </c>
      <c r="M13">
        <v>65</v>
      </c>
      <c r="N13">
        <v>32.970999999999997</v>
      </c>
      <c r="O13">
        <v>0.84299999999999997</v>
      </c>
      <c r="P13">
        <v>4.157</v>
      </c>
      <c r="Q13">
        <v>34.942</v>
      </c>
      <c r="R13">
        <v>65.408000000000001</v>
      </c>
      <c r="S13">
        <v>54.152999999999999</v>
      </c>
      <c r="T13">
        <v>5.4059999999999997</v>
      </c>
      <c r="U13">
        <v>4.8949999999999996</v>
      </c>
      <c r="V13">
        <v>7.7069999999999999</v>
      </c>
      <c r="W13">
        <v>1.252</v>
      </c>
      <c r="X13">
        <v>1.9279999999999999</v>
      </c>
      <c r="Y13">
        <v>2.4</v>
      </c>
      <c r="Z13">
        <v>0.49099999999999999</v>
      </c>
      <c r="AA13">
        <v>0.19500000000000001</v>
      </c>
      <c r="AB13">
        <v>0.20799999999999999</v>
      </c>
      <c r="AC13">
        <v>1.7090000000000001</v>
      </c>
      <c r="AD13">
        <v>0.154</v>
      </c>
      <c r="AE13">
        <v>0.73899999999999999</v>
      </c>
      <c r="AF13">
        <v>0.40500000000000003</v>
      </c>
      <c r="AG13">
        <v>9.7620000000000005</v>
      </c>
      <c r="AH13">
        <v>220.846</v>
      </c>
      <c r="AI13">
        <v>58.755000000000003</v>
      </c>
      <c r="AJ13">
        <v>33.948</v>
      </c>
      <c r="AK13">
        <v>1.119</v>
      </c>
      <c r="AL13">
        <v>0</v>
      </c>
      <c r="AM13">
        <v>0</v>
      </c>
      <c r="AN13">
        <v>0</v>
      </c>
      <c r="AO13">
        <v>0.27</v>
      </c>
      <c r="AP13">
        <v>3.88</v>
      </c>
      <c r="AQ13">
        <v>1.63</v>
      </c>
      <c r="AR13">
        <v>3.32</v>
      </c>
      <c r="AS13">
        <v>6.22</v>
      </c>
      <c r="AT13">
        <v>3.49</v>
      </c>
      <c r="AU13">
        <v>1.3</v>
      </c>
      <c r="AV13">
        <v>3.92</v>
      </c>
      <c r="AW13">
        <v>3.6</v>
      </c>
      <c r="AX13">
        <v>1.24</v>
      </c>
      <c r="AY13">
        <v>4.51</v>
      </c>
      <c r="AZ13">
        <v>2.8250000000000002</v>
      </c>
      <c r="BA13">
        <v>1.1779999999999999</v>
      </c>
      <c r="BB13">
        <v>30.297000000000001</v>
      </c>
      <c r="BC13">
        <v>1.423</v>
      </c>
      <c r="BD13">
        <v>3.9889999999999999</v>
      </c>
      <c r="BE13">
        <v>1.1399999999999999</v>
      </c>
      <c r="BF13">
        <v>3.3220000000000001</v>
      </c>
      <c r="BG13">
        <v>18.785</v>
      </c>
      <c r="BH13">
        <v>20.754000000000001</v>
      </c>
      <c r="BI13">
        <v>16.286999999999999</v>
      </c>
      <c r="BJ13">
        <v>0</v>
      </c>
      <c r="BK13">
        <v>91</v>
      </c>
      <c r="BL13">
        <v>73</v>
      </c>
      <c r="BM13">
        <v>67</v>
      </c>
      <c r="BN13">
        <v>33</v>
      </c>
      <c r="BO13">
        <v>0</v>
      </c>
      <c r="BP13">
        <v>0</v>
      </c>
      <c r="BQ13">
        <v>0</v>
      </c>
      <c r="BR13">
        <v>0</v>
      </c>
      <c r="BS13">
        <v>0</v>
      </c>
      <c r="BT13">
        <v>0</v>
      </c>
      <c r="BU13">
        <v>0</v>
      </c>
      <c r="BV13">
        <v>0.4</v>
      </c>
      <c r="BW13">
        <v>0.78700000000000003</v>
      </c>
      <c r="BX13">
        <v>1</v>
      </c>
      <c r="BY13">
        <v>0.92</v>
      </c>
      <c r="BZ13">
        <v>1</v>
      </c>
      <c r="CA13">
        <v>0.05</v>
      </c>
      <c r="CB13">
        <v>0.1</v>
      </c>
      <c r="CC13">
        <v>0.31</v>
      </c>
      <c r="CD13">
        <v>4.0000000000000001E-3</v>
      </c>
      <c r="CE13">
        <v>0.2</v>
      </c>
      <c r="CF13" t="b">
        <v>0</v>
      </c>
      <c r="CG13" t="b">
        <v>0</v>
      </c>
      <c r="CH13" t="s">
        <v>93</v>
      </c>
      <c r="CI13">
        <v>100</v>
      </c>
      <c r="CJ13">
        <v>0</v>
      </c>
      <c r="CK13">
        <v>52.89</v>
      </c>
      <c r="CL13">
        <v>2.35</v>
      </c>
    </row>
    <row r="14" spans="1:90" x14ac:dyDescent="0.25">
      <c r="A14">
        <v>22</v>
      </c>
      <c r="B14" t="s">
        <v>110</v>
      </c>
      <c r="C14" t="s">
        <v>95</v>
      </c>
      <c r="D14" t="s">
        <v>96</v>
      </c>
      <c r="E14">
        <v>90.864000000000004</v>
      </c>
      <c r="F14">
        <v>3.25</v>
      </c>
      <c r="G14">
        <v>95.06</v>
      </c>
      <c r="H14">
        <v>10</v>
      </c>
      <c r="I14">
        <v>61</v>
      </c>
      <c r="J14">
        <v>29</v>
      </c>
      <c r="K14">
        <v>1.9</v>
      </c>
      <c r="L14">
        <v>74.507000000000005</v>
      </c>
      <c r="M14">
        <v>85</v>
      </c>
      <c r="N14">
        <v>19.466000000000001</v>
      </c>
      <c r="O14">
        <v>4.2510000000000003</v>
      </c>
      <c r="P14">
        <v>5.6740000000000004</v>
      </c>
      <c r="Q14">
        <v>0</v>
      </c>
      <c r="R14">
        <v>0</v>
      </c>
      <c r="S14">
        <v>0</v>
      </c>
      <c r="T14">
        <v>0</v>
      </c>
      <c r="U14">
        <v>0</v>
      </c>
      <c r="V14">
        <v>0</v>
      </c>
      <c r="W14">
        <v>1.31</v>
      </c>
      <c r="X14">
        <v>1.6910000000000001</v>
      </c>
      <c r="Y14">
        <v>4.5179999999999998</v>
      </c>
      <c r="Z14">
        <v>0.13500000000000001</v>
      </c>
      <c r="AA14">
        <v>0.27600000000000002</v>
      </c>
      <c r="AB14">
        <v>4.8000000000000001E-2</v>
      </c>
      <c r="AC14">
        <v>0.42499999999999999</v>
      </c>
      <c r="AD14">
        <v>0.41499999999999998</v>
      </c>
      <c r="AE14">
        <v>0.35099999999999998</v>
      </c>
      <c r="AF14">
        <v>0.73599999999999999</v>
      </c>
      <c r="AG14">
        <v>6.0510000000000002</v>
      </c>
      <c r="AH14">
        <v>2266.5709999999999</v>
      </c>
      <c r="AI14">
        <v>4.492</v>
      </c>
      <c r="AJ14">
        <v>33.261000000000003</v>
      </c>
      <c r="AK14">
        <v>0</v>
      </c>
      <c r="AL14">
        <v>0</v>
      </c>
      <c r="AM14">
        <v>0</v>
      </c>
      <c r="AN14">
        <v>0</v>
      </c>
      <c r="AO14">
        <v>0.6</v>
      </c>
      <c r="AP14">
        <v>4.2039999999999997</v>
      </c>
      <c r="AQ14">
        <v>5.9980000000000002</v>
      </c>
      <c r="AR14">
        <v>1.0760000000000001</v>
      </c>
      <c r="AS14">
        <v>12.398999999999999</v>
      </c>
      <c r="AT14">
        <v>8.7669999999999995</v>
      </c>
      <c r="AU14">
        <v>1.155</v>
      </c>
      <c r="AV14">
        <v>6.7939999999999996</v>
      </c>
      <c r="AW14">
        <v>4.5519999999999996</v>
      </c>
      <c r="AX14">
        <v>1.581</v>
      </c>
      <c r="AY14">
        <v>8.3179999999999996</v>
      </c>
      <c r="AZ14">
        <v>0.11</v>
      </c>
      <c r="BA14">
        <v>1.48</v>
      </c>
      <c r="BB14">
        <v>21.62</v>
      </c>
      <c r="BC14">
        <v>1.02</v>
      </c>
      <c r="BD14">
        <v>21.66</v>
      </c>
      <c r="BE14">
        <v>5.13</v>
      </c>
      <c r="BF14">
        <v>26.47</v>
      </c>
      <c r="BG14">
        <v>14.89</v>
      </c>
      <c r="BH14">
        <v>0.46</v>
      </c>
      <c r="BI14">
        <v>7.16</v>
      </c>
      <c r="BJ14">
        <v>0</v>
      </c>
      <c r="BK14">
        <v>91</v>
      </c>
      <c r="BL14">
        <v>73</v>
      </c>
      <c r="BM14">
        <v>10</v>
      </c>
      <c r="BN14">
        <v>90</v>
      </c>
      <c r="BO14">
        <v>0</v>
      </c>
      <c r="BP14">
        <v>0</v>
      </c>
      <c r="BQ14">
        <v>0</v>
      </c>
      <c r="BR14">
        <v>0</v>
      </c>
      <c r="BS14">
        <v>0</v>
      </c>
      <c r="BT14">
        <v>0</v>
      </c>
      <c r="BU14">
        <v>0</v>
      </c>
      <c r="BV14">
        <v>0.6</v>
      </c>
      <c r="BW14">
        <v>0.69599999999999995</v>
      </c>
      <c r="BX14">
        <v>1</v>
      </c>
      <c r="BY14">
        <v>0.92</v>
      </c>
      <c r="BZ14">
        <v>1</v>
      </c>
      <c r="CA14">
        <v>0.05</v>
      </c>
      <c r="CB14">
        <v>0.1</v>
      </c>
      <c r="CC14">
        <v>0.31</v>
      </c>
      <c r="CD14">
        <v>4.0000000000000001E-3</v>
      </c>
      <c r="CE14">
        <v>0.2</v>
      </c>
      <c r="CF14" t="b">
        <v>0</v>
      </c>
      <c r="CG14" t="b">
        <v>0</v>
      </c>
      <c r="CH14" t="s">
        <v>93</v>
      </c>
      <c r="CI14">
        <v>100</v>
      </c>
      <c r="CJ14">
        <v>0</v>
      </c>
      <c r="CK14">
        <v>76.36</v>
      </c>
      <c r="CL14">
        <v>4.3499999999999996</v>
      </c>
    </row>
    <row r="15" spans="1:90" x14ac:dyDescent="0.25">
      <c r="A15">
        <v>23</v>
      </c>
      <c r="B15" t="s">
        <v>111</v>
      </c>
      <c r="C15" t="s">
        <v>95</v>
      </c>
      <c r="D15" t="s">
        <v>96</v>
      </c>
      <c r="E15">
        <v>90.864000000000004</v>
      </c>
      <c r="F15">
        <v>3.25</v>
      </c>
      <c r="G15">
        <v>95.06</v>
      </c>
      <c r="H15">
        <v>10</v>
      </c>
      <c r="I15">
        <v>61</v>
      </c>
      <c r="J15">
        <v>29</v>
      </c>
      <c r="K15">
        <v>1.9</v>
      </c>
      <c r="L15">
        <v>74.507000000000005</v>
      </c>
      <c r="M15">
        <v>65</v>
      </c>
      <c r="N15">
        <v>19.466000000000001</v>
      </c>
      <c r="O15">
        <v>4.2510000000000003</v>
      </c>
      <c r="P15">
        <v>5.6740000000000004</v>
      </c>
      <c r="Q15">
        <v>0</v>
      </c>
      <c r="R15">
        <v>0</v>
      </c>
      <c r="S15">
        <v>0</v>
      </c>
      <c r="T15">
        <v>0</v>
      </c>
      <c r="U15">
        <v>0</v>
      </c>
      <c r="V15">
        <v>0</v>
      </c>
      <c r="W15">
        <v>1.31</v>
      </c>
      <c r="X15">
        <v>1.6910000000000001</v>
      </c>
      <c r="Y15">
        <v>3.7240000000000002</v>
      </c>
      <c r="Z15">
        <v>0.13500000000000001</v>
      </c>
      <c r="AA15">
        <v>0.27600000000000002</v>
      </c>
      <c r="AB15">
        <v>4.8000000000000001E-2</v>
      </c>
      <c r="AC15">
        <v>0.42499999999999999</v>
      </c>
      <c r="AD15">
        <v>0.41499999999999998</v>
      </c>
      <c r="AE15">
        <v>0.35099999999999998</v>
      </c>
      <c r="AF15">
        <v>0.73599999999999999</v>
      </c>
      <c r="AG15">
        <v>6.0510000000000002</v>
      </c>
      <c r="AH15">
        <v>2266.5709999999999</v>
      </c>
      <c r="AI15">
        <v>4.492</v>
      </c>
      <c r="AJ15">
        <v>33.261000000000003</v>
      </c>
      <c r="AK15">
        <v>0</v>
      </c>
      <c r="AL15">
        <v>0</v>
      </c>
      <c r="AM15">
        <v>0</v>
      </c>
      <c r="AN15">
        <v>0</v>
      </c>
      <c r="AO15">
        <v>0.7</v>
      </c>
      <c r="AP15">
        <v>4.2039999999999997</v>
      </c>
      <c r="AQ15">
        <v>5.9980000000000002</v>
      </c>
      <c r="AR15">
        <v>1.0760000000000001</v>
      </c>
      <c r="AS15">
        <v>12.398999999999999</v>
      </c>
      <c r="AT15">
        <v>8.7669999999999995</v>
      </c>
      <c r="AU15">
        <v>1.155</v>
      </c>
      <c r="AV15">
        <v>6.7939999999999996</v>
      </c>
      <c r="AW15">
        <v>4.5519999999999996</v>
      </c>
      <c r="AX15">
        <v>1.581</v>
      </c>
      <c r="AY15">
        <v>8.3179999999999996</v>
      </c>
      <c r="AZ15">
        <v>0.11</v>
      </c>
      <c r="BA15">
        <v>1.48</v>
      </c>
      <c r="BB15">
        <v>21.62</v>
      </c>
      <c r="BC15">
        <v>1.02</v>
      </c>
      <c r="BD15">
        <v>21.66</v>
      </c>
      <c r="BE15">
        <v>5.13</v>
      </c>
      <c r="BF15">
        <v>26.47</v>
      </c>
      <c r="BG15">
        <v>14.89</v>
      </c>
      <c r="BH15">
        <v>0.46</v>
      </c>
      <c r="BI15">
        <v>7.16</v>
      </c>
      <c r="BJ15">
        <v>0</v>
      </c>
      <c r="BK15">
        <v>91</v>
      </c>
      <c r="BL15">
        <v>73</v>
      </c>
      <c r="BM15">
        <v>10</v>
      </c>
      <c r="BN15">
        <v>90</v>
      </c>
      <c r="BO15">
        <v>0</v>
      </c>
      <c r="BP15">
        <v>0</v>
      </c>
      <c r="BQ15">
        <v>0</v>
      </c>
      <c r="BR15">
        <v>0</v>
      </c>
      <c r="BS15">
        <v>0</v>
      </c>
      <c r="BT15">
        <v>0</v>
      </c>
      <c r="BU15">
        <v>0</v>
      </c>
      <c r="BV15">
        <v>0.6</v>
      </c>
      <c r="BW15">
        <v>0.69599999999999995</v>
      </c>
      <c r="BX15">
        <v>1</v>
      </c>
      <c r="BY15">
        <v>0.92</v>
      </c>
      <c r="BZ15">
        <v>1</v>
      </c>
      <c r="CA15">
        <v>0.05</v>
      </c>
      <c r="CB15">
        <v>0.1</v>
      </c>
      <c r="CC15">
        <v>0.31</v>
      </c>
      <c r="CD15">
        <v>4.0000000000000001E-3</v>
      </c>
      <c r="CE15">
        <v>0.2</v>
      </c>
      <c r="CF15" t="b">
        <v>0</v>
      </c>
      <c r="CG15" t="b">
        <v>0</v>
      </c>
      <c r="CH15" t="s">
        <v>93</v>
      </c>
      <c r="CI15">
        <v>100</v>
      </c>
      <c r="CJ15">
        <v>0</v>
      </c>
      <c r="CK15">
        <v>65.86</v>
      </c>
      <c r="CL15">
        <v>3.76</v>
      </c>
    </row>
    <row r="16" spans="1:90" x14ac:dyDescent="0.25">
      <c r="A16">
        <v>24</v>
      </c>
      <c r="B16" t="s">
        <v>112</v>
      </c>
      <c r="C16" t="s">
        <v>95</v>
      </c>
      <c r="D16" t="s">
        <v>96</v>
      </c>
      <c r="E16">
        <v>93.12</v>
      </c>
      <c r="F16">
        <v>4.58</v>
      </c>
      <c r="G16">
        <v>25.33</v>
      </c>
      <c r="H16">
        <v>18</v>
      </c>
      <c r="I16">
        <v>67</v>
      </c>
      <c r="J16">
        <v>15</v>
      </c>
      <c r="K16">
        <v>4.5</v>
      </c>
      <c r="L16">
        <v>52.335999999999999</v>
      </c>
      <c r="M16">
        <v>74</v>
      </c>
      <c r="N16">
        <v>17.654</v>
      </c>
      <c r="O16">
        <v>3.12</v>
      </c>
      <c r="P16">
        <v>8.6</v>
      </c>
      <c r="Q16">
        <v>24.741</v>
      </c>
      <c r="R16">
        <v>51.77</v>
      </c>
      <c r="S16">
        <v>51.5</v>
      </c>
      <c r="T16">
        <v>6.657</v>
      </c>
      <c r="U16">
        <v>6.45</v>
      </c>
      <c r="V16">
        <v>3.7770000000000001</v>
      </c>
      <c r="W16">
        <v>8.31</v>
      </c>
      <c r="X16">
        <v>9.0250000000000004</v>
      </c>
      <c r="Y16">
        <v>2.9510000000000001</v>
      </c>
      <c r="Z16">
        <v>0.30399999999999999</v>
      </c>
      <c r="AA16">
        <v>0.64300000000000002</v>
      </c>
      <c r="AB16">
        <v>0.22500000000000001</v>
      </c>
      <c r="AC16">
        <v>0.23400000000000001</v>
      </c>
      <c r="AD16">
        <v>0.02</v>
      </c>
      <c r="AE16">
        <v>8.8999999999999996E-2</v>
      </c>
      <c r="AF16">
        <v>0.29499999999999998</v>
      </c>
      <c r="AG16">
        <v>15.975</v>
      </c>
      <c r="AH16">
        <v>350</v>
      </c>
      <c r="AI16">
        <v>54.2</v>
      </c>
      <c r="AJ16">
        <v>85.706000000000003</v>
      </c>
      <c r="AK16">
        <v>1.9219999999999999</v>
      </c>
      <c r="AL16">
        <v>0</v>
      </c>
      <c r="AM16">
        <v>0</v>
      </c>
      <c r="AN16">
        <v>0</v>
      </c>
      <c r="AO16">
        <v>1.06</v>
      </c>
      <c r="AP16">
        <v>5.7969999999999997</v>
      </c>
      <c r="AQ16">
        <v>2.2829999999999999</v>
      </c>
      <c r="AR16">
        <v>4.0220000000000002</v>
      </c>
      <c r="AS16">
        <v>8.2970000000000006</v>
      </c>
      <c r="AT16">
        <v>3.5510000000000002</v>
      </c>
      <c r="AU16">
        <v>2.1379999999999999</v>
      </c>
      <c r="AV16">
        <v>5.5430000000000001</v>
      </c>
      <c r="AW16">
        <v>3.5870000000000002</v>
      </c>
      <c r="AX16">
        <v>1.341</v>
      </c>
      <c r="AY16">
        <v>5.4710000000000001</v>
      </c>
      <c r="AZ16">
        <v>0.13800000000000001</v>
      </c>
      <c r="BA16">
        <v>0.73099999999999998</v>
      </c>
      <c r="BB16">
        <v>26.692</v>
      </c>
      <c r="BC16">
        <v>0.20200000000000001</v>
      </c>
      <c r="BD16">
        <v>2.2410000000000001</v>
      </c>
      <c r="BE16">
        <v>0</v>
      </c>
      <c r="BF16">
        <v>14.605</v>
      </c>
      <c r="BG16">
        <v>48.872999999999998</v>
      </c>
      <c r="BH16">
        <v>4.5720000000000001</v>
      </c>
      <c r="BI16">
        <v>1.946</v>
      </c>
      <c r="BJ16">
        <v>0</v>
      </c>
      <c r="BK16">
        <v>91</v>
      </c>
      <c r="BL16">
        <v>73</v>
      </c>
      <c r="BM16">
        <v>12</v>
      </c>
      <c r="BN16">
        <v>88</v>
      </c>
      <c r="BO16">
        <v>0</v>
      </c>
      <c r="BP16">
        <v>0</v>
      </c>
      <c r="BQ16">
        <v>0</v>
      </c>
      <c r="BR16">
        <v>0</v>
      </c>
      <c r="BS16">
        <v>0</v>
      </c>
      <c r="BT16">
        <v>0</v>
      </c>
      <c r="BU16">
        <v>0</v>
      </c>
      <c r="BV16">
        <v>0.6</v>
      </c>
      <c r="BW16">
        <v>0.69899999999999995</v>
      </c>
      <c r="BX16">
        <v>1</v>
      </c>
      <c r="BY16">
        <v>0.92</v>
      </c>
      <c r="BZ16">
        <v>1</v>
      </c>
      <c r="CA16">
        <v>0.05</v>
      </c>
      <c r="CB16">
        <v>0.1</v>
      </c>
      <c r="CC16">
        <v>0.31</v>
      </c>
      <c r="CD16">
        <v>4.0000000000000001E-3</v>
      </c>
      <c r="CE16">
        <v>0.2</v>
      </c>
      <c r="CF16" t="b">
        <v>0</v>
      </c>
      <c r="CG16" t="b">
        <v>0</v>
      </c>
      <c r="CH16" t="s">
        <v>93</v>
      </c>
      <c r="CI16">
        <v>100</v>
      </c>
      <c r="CJ16">
        <v>0</v>
      </c>
      <c r="CK16">
        <v>71.34</v>
      </c>
      <c r="CL16">
        <v>3.38</v>
      </c>
    </row>
    <row r="17" spans="1:90" x14ac:dyDescent="0.25">
      <c r="A17">
        <v>25</v>
      </c>
      <c r="B17" t="s">
        <v>113</v>
      </c>
      <c r="C17" t="s">
        <v>95</v>
      </c>
      <c r="D17" t="s">
        <v>96</v>
      </c>
      <c r="E17">
        <v>22.460999999999999</v>
      </c>
      <c r="F17">
        <v>4.5570000000000004</v>
      </c>
      <c r="G17">
        <v>28.085000000000001</v>
      </c>
      <c r="H17">
        <v>47</v>
      </c>
      <c r="I17">
        <v>44</v>
      </c>
      <c r="J17">
        <v>9</v>
      </c>
      <c r="K17">
        <v>3.9</v>
      </c>
      <c r="L17">
        <v>37.323</v>
      </c>
      <c r="M17">
        <v>82.83</v>
      </c>
      <c r="N17">
        <v>11.217000000000001</v>
      </c>
      <c r="O17">
        <v>2.944</v>
      </c>
      <c r="P17">
        <v>3.9550000000000001</v>
      </c>
      <c r="Q17">
        <v>23.771999999999998</v>
      </c>
      <c r="R17">
        <v>49.293999999999997</v>
      </c>
      <c r="S17">
        <v>47.25</v>
      </c>
      <c r="T17">
        <v>6.6360000000000001</v>
      </c>
      <c r="U17">
        <v>5.1669999999999998</v>
      </c>
      <c r="V17">
        <v>2.0089999999999999</v>
      </c>
      <c r="W17">
        <v>7.61</v>
      </c>
      <c r="X17">
        <v>9.5190000000000001</v>
      </c>
      <c r="Y17">
        <v>3.0990000000000002</v>
      </c>
      <c r="Z17">
        <v>0.36199999999999999</v>
      </c>
      <c r="AA17">
        <v>0.68799999999999994</v>
      </c>
      <c r="AB17">
        <v>0.23200000000000001</v>
      </c>
      <c r="AC17">
        <v>0.12</v>
      </c>
      <c r="AD17">
        <v>2.5000000000000001E-2</v>
      </c>
      <c r="AE17">
        <v>5.8000000000000003E-2</v>
      </c>
      <c r="AF17">
        <v>0.32100000000000001</v>
      </c>
      <c r="AG17">
        <v>10.38</v>
      </c>
      <c r="AH17">
        <v>223.47499999999999</v>
      </c>
      <c r="AI17">
        <v>53.024999999999999</v>
      </c>
      <c r="AJ17">
        <v>93.881</v>
      </c>
      <c r="AK17">
        <v>2.343</v>
      </c>
      <c r="AL17">
        <v>0</v>
      </c>
      <c r="AM17">
        <v>0</v>
      </c>
      <c r="AN17">
        <v>0</v>
      </c>
      <c r="AO17">
        <v>1.06</v>
      </c>
      <c r="AP17">
        <v>5.7969999999999997</v>
      </c>
      <c r="AQ17">
        <v>2.2829999999999999</v>
      </c>
      <c r="AR17">
        <v>4.0220000000000002</v>
      </c>
      <c r="AS17">
        <v>8.2970000000000006</v>
      </c>
      <c r="AT17">
        <v>3.5510000000000002</v>
      </c>
      <c r="AU17">
        <v>2.1379999999999999</v>
      </c>
      <c r="AV17">
        <v>5.5430000000000001</v>
      </c>
      <c r="AW17">
        <v>3.5870000000000002</v>
      </c>
      <c r="AX17">
        <v>1.341</v>
      </c>
      <c r="AY17">
        <v>5.4710000000000001</v>
      </c>
      <c r="AZ17">
        <v>2.8000000000000001E-2</v>
      </c>
      <c r="BA17">
        <v>0.39800000000000002</v>
      </c>
      <c r="BB17">
        <v>24.491</v>
      </c>
      <c r="BC17">
        <v>0.19900000000000001</v>
      </c>
      <c r="BD17">
        <v>1.835</v>
      </c>
      <c r="BE17">
        <v>0</v>
      </c>
      <c r="BF17">
        <v>11.228999999999999</v>
      </c>
      <c r="BG17">
        <v>53.82</v>
      </c>
      <c r="BH17">
        <v>5.3710000000000004</v>
      </c>
      <c r="BI17">
        <v>2.629</v>
      </c>
      <c r="BJ17">
        <v>0</v>
      </c>
      <c r="BK17">
        <v>91</v>
      </c>
      <c r="BL17">
        <v>73</v>
      </c>
      <c r="BM17">
        <v>12</v>
      </c>
      <c r="BN17">
        <v>88</v>
      </c>
      <c r="BO17">
        <v>0</v>
      </c>
      <c r="BP17">
        <v>0</v>
      </c>
      <c r="BQ17">
        <v>0</v>
      </c>
      <c r="BR17">
        <v>0</v>
      </c>
      <c r="BS17">
        <v>0</v>
      </c>
      <c r="BT17">
        <v>0</v>
      </c>
      <c r="BU17">
        <v>0</v>
      </c>
      <c r="BV17">
        <v>0.6</v>
      </c>
      <c r="BW17">
        <v>0.69899999999999995</v>
      </c>
      <c r="BX17">
        <v>1</v>
      </c>
      <c r="BY17">
        <v>0.92</v>
      </c>
      <c r="BZ17">
        <v>1</v>
      </c>
      <c r="CA17">
        <v>0.05</v>
      </c>
      <c r="CB17">
        <v>0.1</v>
      </c>
      <c r="CC17">
        <v>0.31</v>
      </c>
      <c r="CD17">
        <v>4.0000000000000001E-3</v>
      </c>
      <c r="CE17">
        <v>0.2</v>
      </c>
      <c r="CF17" t="b">
        <v>0</v>
      </c>
      <c r="CG17" t="b">
        <v>0</v>
      </c>
      <c r="CH17" t="s">
        <v>93</v>
      </c>
      <c r="CI17">
        <v>100</v>
      </c>
      <c r="CJ17">
        <v>0</v>
      </c>
      <c r="CK17">
        <v>71.56</v>
      </c>
      <c r="CL17">
        <v>3.38</v>
      </c>
    </row>
    <row r="18" spans="1:90" x14ac:dyDescent="0.25">
      <c r="A18">
        <v>30</v>
      </c>
      <c r="B18" t="s">
        <v>114</v>
      </c>
      <c r="C18" t="s">
        <v>95</v>
      </c>
      <c r="D18" t="s">
        <v>96</v>
      </c>
      <c r="E18">
        <v>94.956000000000003</v>
      </c>
      <c r="F18">
        <v>4.5010000000000003</v>
      </c>
      <c r="G18">
        <v>23.364000000000001</v>
      </c>
      <c r="H18">
        <v>35</v>
      </c>
      <c r="I18">
        <v>60</v>
      </c>
      <c r="J18">
        <v>5</v>
      </c>
      <c r="K18">
        <v>20.100000000000001</v>
      </c>
      <c r="L18">
        <v>19.73</v>
      </c>
      <c r="M18">
        <v>50</v>
      </c>
      <c r="N18">
        <v>49.32</v>
      </c>
      <c r="O18">
        <v>2.7949999999999999</v>
      </c>
      <c r="P18">
        <v>4.5339999999999998</v>
      </c>
      <c r="Q18">
        <v>20.21</v>
      </c>
      <c r="R18">
        <v>28.734999999999999</v>
      </c>
      <c r="S18">
        <v>45</v>
      </c>
      <c r="T18">
        <v>6.0090000000000003</v>
      </c>
      <c r="U18">
        <v>2.419</v>
      </c>
      <c r="V18">
        <v>6</v>
      </c>
      <c r="W18">
        <v>39.462000000000003</v>
      </c>
      <c r="X18">
        <v>40.462000000000003</v>
      </c>
      <c r="Y18">
        <v>4.2809999999999997</v>
      </c>
      <c r="Z18">
        <v>0.443</v>
      </c>
      <c r="AA18">
        <v>0.69</v>
      </c>
      <c r="AB18">
        <v>0.33500000000000002</v>
      </c>
      <c r="AC18">
        <v>0.85</v>
      </c>
      <c r="AD18">
        <v>1.2999999999999999E-2</v>
      </c>
      <c r="AE18">
        <v>7.6999999999999999E-2</v>
      </c>
      <c r="AF18">
        <v>0.42599999999999999</v>
      </c>
      <c r="AG18">
        <v>3.944</v>
      </c>
      <c r="AH18">
        <v>298.05599999999998</v>
      </c>
      <c r="AI18">
        <v>47.444000000000003</v>
      </c>
      <c r="AJ18">
        <v>40.167000000000002</v>
      </c>
      <c r="AK18">
        <v>1.4</v>
      </c>
      <c r="AL18">
        <v>0</v>
      </c>
      <c r="AM18">
        <v>0</v>
      </c>
      <c r="AN18">
        <v>0</v>
      </c>
      <c r="AO18">
        <v>0.56000000000000005</v>
      </c>
      <c r="AP18">
        <v>5.9340000000000002</v>
      </c>
      <c r="AQ18">
        <v>2.6560000000000001</v>
      </c>
      <c r="AR18">
        <v>3.9340000000000002</v>
      </c>
      <c r="AS18">
        <v>6.9180000000000001</v>
      </c>
      <c r="AT18">
        <v>5.508</v>
      </c>
      <c r="AU18">
        <v>1.9670000000000001</v>
      </c>
      <c r="AV18">
        <v>4</v>
      </c>
      <c r="AW18">
        <v>4.4260000000000002</v>
      </c>
      <c r="AX18">
        <v>1.3440000000000001</v>
      </c>
      <c r="AY18">
        <v>5.1150000000000002</v>
      </c>
      <c r="AZ18">
        <v>0</v>
      </c>
      <c r="BA18">
        <v>0.188</v>
      </c>
      <c r="BB18">
        <v>9.7620000000000005</v>
      </c>
      <c r="BC18">
        <v>0.90500000000000003</v>
      </c>
      <c r="BD18">
        <v>2.2370000000000001</v>
      </c>
      <c r="BE18">
        <v>0.61299999999999999</v>
      </c>
      <c r="BF18">
        <v>45.207000000000001</v>
      </c>
      <c r="BG18">
        <v>31.451000000000001</v>
      </c>
      <c r="BH18">
        <v>7.7130000000000001</v>
      </c>
      <c r="BI18">
        <v>1.9239999999999999</v>
      </c>
      <c r="BJ18">
        <v>0</v>
      </c>
      <c r="BK18">
        <v>91</v>
      </c>
      <c r="BL18">
        <v>73</v>
      </c>
      <c r="BM18">
        <v>8</v>
      </c>
      <c r="BN18">
        <v>92</v>
      </c>
      <c r="BO18">
        <v>0</v>
      </c>
      <c r="BP18">
        <v>0</v>
      </c>
      <c r="BQ18">
        <v>0</v>
      </c>
      <c r="BR18">
        <v>0</v>
      </c>
      <c r="BS18">
        <v>0</v>
      </c>
      <c r="BT18">
        <v>0</v>
      </c>
      <c r="BU18">
        <v>0</v>
      </c>
      <c r="BV18">
        <v>0.6</v>
      </c>
      <c r="BW18">
        <v>0.69299999999999995</v>
      </c>
      <c r="BX18">
        <v>1</v>
      </c>
      <c r="BY18">
        <v>0.92</v>
      </c>
      <c r="BZ18">
        <v>1</v>
      </c>
      <c r="CA18">
        <v>0.05</v>
      </c>
      <c r="CB18">
        <v>0.1</v>
      </c>
      <c r="CC18">
        <v>0.31</v>
      </c>
      <c r="CD18">
        <v>4.0000000000000001E-3</v>
      </c>
      <c r="CE18">
        <v>0.2</v>
      </c>
      <c r="CF18" t="b">
        <v>0</v>
      </c>
      <c r="CG18" t="b">
        <v>0</v>
      </c>
      <c r="CH18" t="s">
        <v>93</v>
      </c>
      <c r="CI18">
        <v>100</v>
      </c>
      <c r="CJ18">
        <v>0</v>
      </c>
      <c r="CK18">
        <v>127.36</v>
      </c>
      <c r="CL18">
        <v>5.6</v>
      </c>
    </row>
    <row r="19" spans="1:90" x14ac:dyDescent="0.25">
      <c r="A19">
        <v>31</v>
      </c>
      <c r="B19" t="s">
        <v>115</v>
      </c>
      <c r="C19" t="s">
        <v>95</v>
      </c>
      <c r="D19" t="s">
        <v>96</v>
      </c>
      <c r="E19">
        <v>89.128</v>
      </c>
      <c r="F19">
        <v>7.8819999999999997</v>
      </c>
      <c r="G19">
        <v>41.491999999999997</v>
      </c>
      <c r="H19">
        <v>22</v>
      </c>
      <c r="I19">
        <v>71</v>
      </c>
      <c r="J19">
        <v>7</v>
      </c>
      <c r="K19">
        <v>10.537000000000001</v>
      </c>
      <c r="L19">
        <v>32.121000000000002</v>
      </c>
      <c r="M19">
        <v>74</v>
      </c>
      <c r="N19">
        <v>24.995000000000001</v>
      </c>
      <c r="O19">
        <v>2.4969999999999999</v>
      </c>
      <c r="P19">
        <v>4.7469999999999999</v>
      </c>
      <c r="Q19">
        <v>20.335000000000001</v>
      </c>
      <c r="R19">
        <v>28.96</v>
      </c>
      <c r="S19">
        <v>49.378999999999998</v>
      </c>
      <c r="T19">
        <v>8.5090000000000003</v>
      </c>
      <c r="U19">
        <v>1.57</v>
      </c>
      <c r="V19">
        <v>11.005000000000001</v>
      </c>
      <c r="W19">
        <v>2.5139999999999998</v>
      </c>
      <c r="X19">
        <v>3.5139999999999998</v>
      </c>
      <c r="Y19">
        <v>3.1040000000000001</v>
      </c>
      <c r="Z19">
        <v>0.79</v>
      </c>
      <c r="AA19">
        <v>1.1519999999999999</v>
      </c>
      <c r="AB19">
        <v>0.621</v>
      </c>
      <c r="AC19">
        <v>1.3580000000000001</v>
      </c>
      <c r="AD19">
        <v>7.6999999999999999E-2</v>
      </c>
      <c r="AE19">
        <v>0.10199999999999999</v>
      </c>
      <c r="AF19">
        <v>0.76800000000000002</v>
      </c>
      <c r="AG19">
        <v>5.7759999999999998</v>
      </c>
      <c r="AH19">
        <v>253.24600000000001</v>
      </c>
      <c r="AI19">
        <v>73.326999999999998</v>
      </c>
      <c r="AJ19">
        <v>64.39</v>
      </c>
      <c r="AK19">
        <v>1.1220000000000001</v>
      </c>
      <c r="AL19">
        <v>0</v>
      </c>
      <c r="AM19">
        <v>0</v>
      </c>
      <c r="AN19">
        <v>0</v>
      </c>
      <c r="AO19">
        <v>1.01</v>
      </c>
      <c r="AP19">
        <v>5.9340000000000002</v>
      </c>
      <c r="AQ19">
        <v>2.6560000000000001</v>
      </c>
      <c r="AR19">
        <v>3.9340000000000002</v>
      </c>
      <c r="AS19">
        <v>6.9180000000000001</v>
      </c>
      <c r="AT19">
        <v>5.508</v>
      </c>
      <c r="AU19">
        <v>1.9670000000000001</v>
      </c>
      <c r="AV19">
        <v>4</v>
      </c>
      <c r="AW19">
        <v>4.4260000000000002</v>
      </c>
      <c r="AX19">
        <v>1.3440000000000001</v>
      </c>
      <c r="AY19">
        <v>5.1150000000000002</v>
      </c>
      <c r="AZ19">
        <v>0</v>
      </c>
      <c r="BA19">
        <v>0.188</v>
      </c>
      <c r="BB19">
        <v>9.7620000000000005</v>
      </c>
      <c r="BC19">
        <v>0.90500000000000003</v>
      </c>
      <c r="BD19">
        <v>2.2370000000000001</v>
      </c>
      <c r="BE19">
        <v>0.61299999999999999</v>
      </c>
      <c r="BF19">
        <v>45.207000000000001</v>
      </c>
      <c r="BG19">
        <v>31.451000000000001</v>
      </c>
      <c r="BH19">
        <v>7.7130000000000001</v>
      </c>
      <c r="BI19">
        <v>1.9239999999999999</v>
      </c>
      <c r="BJ19">
        <v>0</v>
      </c>
      <c r="BK19">
        <v>91</v>
      </c>
      <c r="BL19">
        <v>73</v>
      </c>
      <c r="BM19">
        <v>8</v>
      </c>
      <c r="BN19">
        <v>92</v>
      </c>
      <c r="BO19">
        <v>0</v>
      </c>
      <c r="BP19">
        <v>0</v>
      </c>
      <c r="BQ19">
        <v>0</v>
      </c>
      <c r="BR19">
        <v>0</v>
      </c>
      <c r="BS19">
        <v>0</v>
      </c>
      <c r="BT19">
        <v>0</v>
      </c>
      <c r="BU19">
        <v>0</v>
      </c>
      <c r="BV19">
        <v>0.6</v>
      </c>
      <c r="BW19">
        <v>0.69299999999999995</v>
      </c>
      <c r="BX19">
        <v>1</v>
      </c>
      <c r="BY19">
        <v>0.92</v>
      </c>
      <c r="BZ19">
        <v>1</v>
      </c>
      <c r="CA19">
        <v>0.05</v>
      </c>
      <c r="CB19">
        <v>0.1</v>
      </c>
      <c r="CC19">
        <v>0.31</v>
      </c>
      <c r="CD19">
        <v>4.0000000000000001E-3</v>
      </c>
      <c r="CE19">
        <v>0.2</v>
      </c>
      <c r="CF19" t="b">
        <v>0</v>
      </c>
      <c r="CG19" t="b">
        <v>0</v>
      </c>
      <c r="CH19" t="s">
        <v>93</v>
      </c>
      <c r="CI19">
        <v>100</v>
      </c>
      <c r="CJ19">
        <v>0</v>
      </c>
      <c r="CK19">
        <v>69.88</v>
      </c>
      <c r="CL19">
        <v>3.44</v>
      </c>
    </row>
    <row r="20" spans="1:90" x14ac:dyDescent="0.25">
      <c r="A20">
        <v>32</v>
      </c>
      <c r="B20" t="s">
        <v>116</v>
      </c>
      <c r="C20" t="s">
        <v>95</v>
      </c>
      <c r="D20" t="s">
        <v>96</v>
      </c>
      <c r="E20">
        <v>94.275999999999996</v>
      </c>
      <c r="F20">
        <v>2.5670000000000002</v>
      </c>
      <c r="G20">
        <v>10.003</v>
      </c>
      <c r="H20">
        <v>74</v>
      </c>
      <c r="I20">
        <v>26</v>
      </c>
      <c r="J20">
        <v>0</v>
      </c>
      <c r="K20">
        <v>3.2</v>
      </c>
      <c r="L20">
        <v>20.928999999999998</v>
      </c>
      <c r="M20">
        <v>90</v>
      </c>
      <c r="N20">
        <v>27.117000000000001</v>
      </c>
      <c r="O20">
        <v>1.0089999999999999</v>
      </c>
      <c r="P20">
        <v>1.921</v>
      </c>
      <c r="Q20">
        <v>8.2949999999999999</v>
      </c>
      <c r="R20">
        <v>13.218999999999999</v>
      </c>
      <c r="S20">
        <v>40</v>
      </c>
      <c r="T20">
        <v>1.425</v>
      </c>
      <c r="U20">
        <v>11.166</v>
      </c>
      <c r="V20">
        <v>39.575000000000003</v>
      </c>
      <c r="W20">
        <v>20.681000000000001</v>
      </c>
      <c r="X20">
        <v>21.681000000000001</v>
      </c>
      <c r="Y20">
        <v>4.0430000000000001</v>
      </c>
      <c r="Z20">
        <v>0.153</v>
      </c>
      <c r="AA20">
        <v>0.28499999999999998</v>
      </c>
      <c r="AB20">
        <v>0.115</v>
      </c>
      <c r="AC20">
        <v>0.51100000000000001</v>
      </c>
      <c r="AD20">
        <v>0.155</v>
      </c>
      <c r="AE20">
        <v>0.21</v>
      </c>
      <c r="AF20">
        <v>9.6000000000000002E-2</v>
      </c>
      <c r="AG20">
        <v>7.6449999999999996</v>
      </c>
      <c r="AH20">
        <v>89.625</v>
      </c>
      <c r="AI20">
        <v>20.097000000000001</v>
      </c>
      <c r="AJ20">
        <v>23.375</v>
      </c>
      <c r="AK20">
        <v>1</v>
      </c>
      <c r="AL20">
        <v>0</v>
      </c>
      <c r="AM20">
        <v>0</v>
      </c>
      <c r="AN20">
        <v>0</v>
      </c>
      <c r="AO20">
        <v>0</v>
      </c>
      <c r="AP20">
        <v>2.25</v>
      </c>
      <c r="AQ20">
        <v>1.57</v>
      </c>
      <c r="AR20">
        <v>3.6</v>
      </c>
      <c r="AS20">
        <v>6.52</v>
      </c>
      <c r="AT20">
        <v>2.25</v>
      </c>
      <c r="AU20">
        <v>1.57</v>
      </c>
      <c r="AV20">
        <v>3.82</v>
      </c>
      <c r="AW20">
        <v>3.82</v>
      </c>
      <c r="AX20">
        <v>0.67</v>
      </c>
      <c r="AY20">
        <v>5.84</v>
      </c>
      <c r="AZ20">
        <v>6.54</v>
      </c>
      <c r="BA20">
        <v>5.13</v>
      </c>
      <c r="BB20">
        <v>18.239999999999998</v>
      </c>
      <c r="BC20">
        <v>0.14000000000000001</v>
      </c>
      <c r="BD20">
        <v>18.809999999999999</v>
      </c>
      <c r="BE20">
        <v>9.08</v>
      </c>
      <c r="BF20">
        <v>30.81</v>
      </c>
      <c r="BG20">
        <v>7.78</v>
      </c>
      <c r="BH20">
        <v>0.57999999999999996</v>
      </c>
      <c r="BI20">
        <v>2.89</v>
      </c>
      <c r="BJ20">
        <v>0</v>
      </c>
      <c r="BK20">
        <v>91</v>
      </c>
      <c r="BL20">
        <v>73</v>
      </c>
      <c r="BM20">
        <v>0</v>
      </c>
      <c r="BN20">
        <v>100</v>
      </c>
      <c r="BO20">
        <v>0</v>
      </c>
      <c r="BP20">
        <v>0</v>
      </c>
      <c r="BQ20">
        <v>0</v>
      </c>
      <c r="BR20">
        <v>0</v>
      </c>
      <c r="BS20">
        <v>0</v>
      </c>
      <c r="BT20">
        <v>0</v>
      </c>
      <c r="BU20">
        <v>0</v>
      </c>
      <c r="BV20">
        <v>0.6</v>
      </c>
      <c r="BW20">
        <v>0.68</v>
      </c>
      <c r="BX20">
        <v>1</v>
      </c>
      <c r="BY20">
        <v>0.92</v>
      </c>
      <c r="BZ20">
        <v>1</v>
      </c>
      <c r="CA20">
        <v>0.05</v>
      </c>
      <c r="CB20">
        <v>0.1</v>
      </c>
      <c r="CC20">
        <v>0.31</v>
      </c>
      <c r="CD20">
        <v>4.0000000000000001E-3</v>
      </c>
      <c r="CE20">
        <v>0.2</v>
      </c>
      <c r="CF20" t="b">
        <v>0</v>
      </c>
      <c r="CG20" t="b">
        <v>0</v>
      </c>
      <c r="CH20" t="s">
        <v>93</v>
      </c>
      <c r="CI20">
        <v>100</v>
      </c>
      <c r="CJ20">
        <v>0</v>
      </c>
      <c r="CK20">
        <v>102.67</v>
      </c>
      <c r="CL20">
        <v>4.46</v>
      </c>
    </row>
    <row r="21" spans="1:90" x14ac:dyDescent="0.25">
      <c r="A21">
        <v>33</v>
      </c>
      <c r="B21" t="s">
        <v>117</v>
      </c>
      <c r="C21" t="s">
        <v>95</v>
      </c>
      <c r="D21" t="s">
        <v>96</v>
      </c>
      <c r="E21">
        <v>88.2</v>
      </c>
      <c r="F21">
        <v>7.07</v>
      </c>
      <c r="G21">
        <v>7.1849999999999996</v>
      </c>
      <c r="H21">
        <v>42</v>
      </c>
      <c r="I21">
        <v>53</v>
      </c>
      <c r="J21">
        <v>5</v>
      </c>
      <c r="K21">
        <v>7.4</v>
      </c>
      <c r="L21">
        <v>29.766999999999999</v>
      </c>
      <c r="M21">
        <v>80</v>
      </c>
      <c r="N21">
        <v>40.319000000000003</v>
      </c>
      <c r="O21">
        <v>1.0249999999999999</v>
      </c>
      <c r="P21">
        <v>1.776</v>
      </c>
      <c r="Q21">
        <v>20.143999999999998</v>
      </c>
      <c r="R21">
        <v>24.073</v>
      </c>
      <c r="S21">
        <v>86.5</v>
      </c>
      <c r="T21">
        <v>2.4910000000000001</v>
      </c>
      <c r="U21">
        <v>1.27</v>
      </c>
      <c r="V21">
        <v>23.041</v>
      </c>
      <c r="W21">
        <v>1.72</v>
      </c>
      <c r="X21">
        <v>2.5459999999999998</v>
      </c>
      <c r="Y21">
        <v>3.0179999999999998</v>
      </c>
      <c r="Z21">
        <v>1.8580000000000001</v>
      </c>
      <c r="AA21">
        <v>0.124</v>
      </c>
      <c r="AB21">
        <v>0.13600000000000001</v>
      </c>
      <c r="AC21">
        <v>1.0629999999999999</v>
      </c>
      <c r="AD21">
        <v>5.8000000000000003E-2</v>
      </c>
      <c r="AE21">
        <v>0.114</v>
      </c>
      <c r="AF21">
        <v>0.104</v>
      </c>
      <c r="AG21">
        <v>6.8540000000000001</v>
      </c>
      <c r="AH21">
        <v>107.741</v>
      </c>
      <c r="AI21">
        <v>10.175000000000001</v>
      </c>
      <c r="AJ21">
        <v>12.840999999999999</v>
      </c>
      <c r="AK21">
        <v>1.373</v>
      </c>
      <c r="AL21">
        <v>0</v>
      </c>
      <c r="AM21">
        <v>0</v>
      </c>
      <c r="AN21">
        <v>0</v>
      </c>
      <c r="AO21">
        <v>0</v>
      </c>
      <c r="AP21">
        <v>3.7160000000000002</v>
      </c>
      <c r="AQ21">
        <v>1.6950000000000001</v>
      </c>
      <c r="AR21">
        <v>2.88</v>
      </c>
      <c r="AS21">
        <v>5.2549999999999999</v>
      </c>
      <c r="AT21">
        <v>2.7240000000000002</v>
      </c>
      <c r="AU21">
        <v>1.036</v>
      </c>
      <c r="AV21">
        <v>3.62</v>
      </c>
      <c r="AW21">
        <v>2.9409999999999998</v>
      </c>
      <c r="AX21">
        <v>0.94699999999999995</v>
      </c>
      <c r="AY21">
        <v>3.8540000000000001</v>
      </c>
      <c r="AZ21">
        <v>0.67</v>
      </c>
      <c r="BA21">
        <v>0.56399999999999995</v>
      </c>
      <c r="BB21">
        <v>26.855</v>
      </c>
      <c r="BC21">
        <v>0.58799999999999997</v>
      </c>
      <c r="BD21">
        <v>4.9290000000000003</v>
      </c>
      <c r="BE21">
        <v>5.1999999999999998E-2</v>
      </c>
      <c r="BF21">
        <v>23.3</v>
      </c>
      <c r="BG21">
        <v>34.917000000000002</v>
      </c>
      <c r="BH21">
        <v>6.4249999999999998</v>
      </c>
      <c r="BI21">
        <v>1.7</v>
      </c>
      <c r="BJ21">
        <v>0</v>
      </c>
      <c r="BK21">
        <v>91</v>
      </c>
      <c r="BL21">
        <v>73</v>
      </c>
      <c r="BM21">
        <v>61</v>
      </c>
      <c r="BN21">
        <v>39</v>
      </c>
      <c r="BO21">
        <v>0</v>
      </c>
      <c r="BP21">
        <v>0</v>
      </c>
      <c r="BQ21">
        <v>0</v>
      </c>
      <c r="BR21">
        <v>0</v>
      </c>
      <c r="BS21">
        <v>0</v>
      </c>
      <c r="BT21">
        <v>0</v>
      </c>
      <c r="BU21">
        <v>0</v>
      </c>
      <c r="BV21">
        <v>0.6</v>
      </c>
      <c r="BW21">
        <v>0.77800000000000002</v>
      </c>
      <c r="BX21">
        <v>1</v>
      </c>
      <c r="BY21">
        <v>0.92</v>
      </c>
      <c r="BZ21">
        <v>1</v>
      </c>
      <c r="CA21">
        <v>0.05</v>
      </c>
      <c r="CB21">
        <v>0.1</v>
      </c>
      <c r="CC21">
        <v>0.31</v>
      </c>
      <c r="CD21">
        <v>4.0000000000000001E-3</v>
      </c>
      <c r="CE21">
        <v>0.2</v>
      </c>
      <c r="CF21" t="b">
        <v>0</v>
      </c>
      <c r="CG21" t="b">
        <v>0</v>
      </c>
      <c r="CH21" t="s">
        <v>93</v>
      </c>
      <c r="CI21">
        <v>100</v>
      </c>
      <c r="CJ21">
        <v>0</v>
      </c>
      <c r="CK21">
        <v>79.849999999999994</v>
      </c>
      <c r="CL21">
        <v>3.44</v>
      </c>
    </row>
    <row r="22" spans="1:90" x14ac:dyDescent="0.25">
      <c r="A22">
        <v>34</v>
      </c>
      <c r="B22" t="s">
        <v>118</v>
      </c>
      <c r="C22" t="s">
        <v>95</v>
      </c>
      <c r="D22" t="s">
        <v>96</v>
      </c>
      <c r="E22">
        <v>18.318999999999999</v>
      </c>
      <c r="F22">
        <v>6.8310000000000004</v>
      </c>
      <c r="G22">
        <v>8.66</v>
      </c>
      <c r="H22">
        <v>42</v>
      </c>
      <c r="I22">
        <v>53</v>
      </c>
      <c r="J22">
        <v>5</v>
      </c>
      <c r="K22">
        <v>7.4</v>
      </c>
      <c r="L22">
        <v>29.766999999999999</v>
      </c>
      <c r="M22">
        <v>80</v>
      </c>
      <c r="N22">
        <v>56.67</v>
      </c>
      <c r="O22">
        <v>0.68100000000000005</v>
      </c>
      <c r="P22">
        <v>1.2050000000000001</v>
      </c>
      <c r="Q22">
        <v>23.18</v>
      </c>
      <c r="R22">
        <v>25.905999999999999</v>
      </c>
      <c r="S22">
        <v>86.5</v>
      </c>
      <c r="T22">
        <v>3.613</v>
      </c>
      <c r="U22">
        <v>0.92</v>
      </c>
      <c r="V22">
        <v>11.496</v>
      </c>
      <c r="W22">
        <v>1.72</v>
      </c>
      <c r="X22">
        <v>3.4159999999999999</v>
      </c>
      <c r="Y22">
        <v>2.9620000000000002</v>
      </c>
      <c r="Z22">
        <v>1.2669999999999999</v>
      </c>
      <c r="AA22">
        <v>0.157</v>
      </c>
      <c r="AB22">
        <v>0.122</v>
      </c>
      <c r="AC22">
        <v>1.2490000000000001</v>
      </c>
      <c r="AD22">
        <v>4.5999999999999999E-2</v>
      </c>
      <c r="AE22">
        <v>0.12</v>
      </c>
      <c r="AF22">
        <v>0.107</v>
      </c>
      <c r="AG22">
        <v>5.4829999999999997</v>
      </c>
      <c r="AH22">
        <v>153.261</v>
      </c>
      <c r="AI22">
        <v>12.112</v>
      </c>
      <c r="AJ22">
        <v>11.492000000000001</v>
      </c>
      <c r="AK22">
        <v>1.071</v>
      </c>
      <c r="AL22">
        <v>0</v>
      </c>
      <c r="AM22">
        <v>0</v>
      </c>
      <c r="AN22">
        <v>0</v>
      </c>
      <c r="AO22">
        <v>0</v>
      </c>
      <c r="AP22">
        <v>3.7160000000000002</v>
      </c>
      <c r="AQ22">
        <v>1.6950000000000001</v>
      </c>
      <c r="AR22">
        <v>2.88</v>
      </c>
      <c r="AS22">
        <v>5.2549999999999999</v>
      </c>
      <c r="AT22">
        <v>2.7240000000000002</v>
      </c>
      <c r="AU22">
        <v>1.036</v>
      </c>
      <c r="AV22">
        <v>3.62</v>
      </c>
      <c r="AW22">
        <v>2.9409999999999998</v>
      </c>
      <c r="AX22">
        <v>0.94699999999999995</v>
      </c>
      <c r="AY22">
        <v>3.8540000000000001</v>
      </c>
      <c r="AZ22">
        <v>0.67</v>
      </c>
      <c r="BA22">
        <v>0.56399999999999995</v>
      </c>
      <c r="BB22">
        <v>26.855</v>
      </c>
      <c r="BC22">
        <v>0.58799999999999997</v>
      </c>
      <c r="BD22">
        <v>4.9290000000000003</v>
      </c>
      <c r="BE22">
        <v>5.1999999999999998E-2</v>
      </c>
      <c r="BF22">
        <v>23.3</v>
      </c>
      <c r="BG22">
        <v>34.917000000000002</v>
      </c>
      <c r="BH22">
        <v>6.4249999999999998</v>
      </c>
      <c r="BI22">
        <v>1.7</v>
      </c>
      <c r="BJ22">
        <v>0</v>
      </c>
      <c r="BK22">
        <v>91</v>
      </c>
      <c r="BL22">
        <v>73</v>
      </c>
      <c r="BM22">
        <v>61</v>
      </c>
      <c r="BN22">
        <v>39</v>
      </c>
      <c r="BO22">
        <v>0</v>
      </c>
      <c r="BP22">
        <v>0</v>
      </c>
      <c r="BQ22">
        <v>0</v>
      </c>
      <c r="BR22">
        <v>0</v>
      </c>
      <c r="BS22">
        <v>0</v>
      </c>
      <c r="BT22">
        <v>0</v>
      </c>
      <c r="BU22">
        <v>0</v>
      </c>
      <c r="BV22">
        <v>0.6</v>
      </c>
      <c r="BW22">
        <v>0.77800000000000002</v>
      </c>
      <c r="BX22">
        <v>1</v>
      </c>
      <c r="BY22">
        <v>0.92</v>
      </c>
      <c r="BZ22">
        <v>1</v>
      </c>
      <c r="CA22">
        <v>0.05</v>
      </c>
      <c r="CB22">
        <v>0.1</v>
      </c>
      <c r="CC22">
        <v>0.31</v>
      </c>
      <c r="CD22">
        <v>4.0000000000000001E-3</v>
      </c>
      <c r="CE22">
        <v>0.2</v>
      </c>
      <c r="CF22" t="b">
        <v>0</v>
      </c>
      <c r="CG22" t="b">
        <v>0</v>
      </c>
      <c r="CH22" t="s">
        <v>93</v>
      </c>
      <c r="CI22">
        <v>100</v>
      </c>
      <c r="CJ22">
        <v>0</v>
      </c>
      <c r="CK22">
        <v>79.849999999999994</v>
      </c>
      <c r="CL22">
        <v>3.44</v>
      </c>
    </row>
    <row r="23" spans="1:90" x14ac:dyDescent="0.25">
      <c r="A23">
        <v>35</v>
      </c>
      <c r="B23" t="s">
        <v>119</v>
      </c>
      <c r="C23" t="s">
        <v>95</v>
      </c>
      <c r="D23" t="s">
        <v>96</v>
      </c>
      <c r="E23">
        <v>89.831000000000003</v>
      </c>
      <c r="F23">
        <v>2.7519999999999998</v>
      </c>
      <c r="G23">
        <v>2.9689999999999999</v>
      </c>
      <c r="H23">
        <v>45</v>
      </c>
      <c r="I23">
        <v>49</v>
      </c>
      <c r="J23">
        <v>6</v>
      </c>
      <c r="K23">
        <v>2.8</v>
      </c>
      <c r="L23">
        <v>40.908000000000001</v>
      </c>
      <c r="M23">
        <v>60</v>
      </c>
      <c r="N23">
        <v>36.021999999999998</v>
      </c>
      <c r="O23">
        <v>0.35399999999999998</v>
      </c>
      <c r="P23">
        <v>0.85</v>
      </c>
      <c r="Q23">
        <v>46.3</v>
      </c>
      <c r="R23">
        <v>83.786000000000001</v>
      </c>
      <c r="S23">
        <v>65</v>
      </c>
      <c r="T23">
        <v>4.1980000000000004</v>
      </c>
      <c r="U23">
        <v>1.127</v>
      </c>
      <c r="V23">
        <v>1.0669999999999999</v>
      </c>
      <c r="W23">
        <v>0.35099999999999998</v>
      </c>
      <c r="X23">
        <v>0.61799999999999999</v>
      </c>
      <c r="Y23">
        <v>2.403</v>
      </c>
      <c r="Z23">
        <v>4.2999999999999997E-2</v>
      </c>
      <c r="AA23">
        <v>5.8999999999999997E-2</v>
      </c>
      <c r="AB23">
        <v>3.5999999999999997E-2</v>
      </c>
      <c r="AC23">
        <v>0.96199999999999997</v>
      </c>
      <c r="AD23">
        <v>8.0000000000000002E-3</v>
      </c>
      <c r="AE23">
        <v>0.27800000000000002</v>
      </c>
      <c r="AF23">
        <v>3.6999999999999998E-2</v>
      </c>
      <c r="AG23">
        <v>5.6</v>
      </c>
      <c r="AH23">
        <v>188.31899999999999</v>
      </c>
      <c r="AI23">
        <v>8.4949999999999992</v>
      </c>
      <c r="AJ23">
        <v>21.879000000000001</v>
      </c>
      <c r="AK23">
        <v>1</v>
      </c>
      <c r="AL23">
        <v>0</v>
      </c>
      <c r="AM23">
        <v>0</v>
      </c>
      <c r="AN23">
        <v>0</v>
      </c>
      <c r="AO23">
        <v>0.08</v>
      </c>
      <c r="AP23">
        <v>4</v>
      </c>
      <c r="AQ23">
        <v>2.94</v>
      </c>
      <c r="AR23">
        <v>3.5</v>
      </c>
      <c r="AS23">
        <v>12.7</v>
      </c>
      <c r="AT23">
        <v>2.78</v>
      </c>
      <c r="AU23">
        <v>2.5</v>
      </c>
      <c r="AV23">
        <v>4.72</v>
      </c>
      <c r="AW23">
        <v>3.59</v>
      </c>
      <c r="AX23">
        <v>0.69</v>
      </c>
      <c r="AY23">
        <v>4.78</v>
      </c>
      <c r="AZ23">
        <v>0</v>
      </c>
      <c r="BA23">
        <v>1.1539999999999999</v>
      </c>
      <c r="BB23">
        <v>12.693</v>
      </c>
      <c r="BC23">
        <v>0.124</v>
      </c>
      <c r="BD23">
        <v>1.9410000000000001</v>
      </c>
      <c r="BE23">
        <v>0</v>
      </c>
      <c r="BF23">
        <v>25.103999999999999</v>
      </c>
      <c r="BG23">
        <v>56.246000000000002</v>
      </c>
      <c r="BH23">
        <v>1.6890000000000001</v>
      </c>
      <c r="BI23">
        <v>1.0489999999999999</v>
      </c>
      <c r="BJ23">
        <v>0</v>
      </c>
      <c r="BK23">
        <v>91</v>
      </c>
      <c r="BL23">
        <v>73</v>
      </c>
      <c r="BM23">
        <v>0</v>
      </c>
      <c r="BN23">
        <v>100</v>
      </c>
      <c r="BO23">
        <v>0</v>
      </c>
      <c r="BP23">
        <v>0</v>
      </c>
      <c r="BQ23">
        <v>0</v>
      </c>
      <c r="BR23">
        <v>0</v>
      </c>
      <c r="BS23">
        <v>0</v>
      </c>
      <c r="BT23">
        <v>0</v>
      </c>
      <c r="BU23">
        <v>0</v>
      </c>
      <c r="BV23">
        <v>0.6</v>
      </c>
      <c r="BW23">
        <v>0.68</v>
      </c>
      <c r="BX23">
        <v>1</v>
      </c>
      <c r="BY23">
        <v>0.92</v>
      </c>
      <c r="BZ23">
        <v>1</v>
      </c>
      <c r="CA23">
        <v>0.05</v>
      </c>
      <c r="CB23">
        <v>0.1</v>
      </c>
      <c r="CC23">
        <v>0.31</v>
      </c>
      <c r="CD23">
        <v>4.0000000000000001E-3</v>
      </c>
      <c r="CE23">
        <v>0.2</v>
      </c>
      <c r="CF23" t="b">
        <v>0</v>
      </c>
      <c r="CG23" t="b">
        <v>0</v>
      </c>
      <c r="CH23" t="s">
        <v>93</v>
      </c>
      <c r="CI23">
        <v>100</v>
      </c>
      <c r="CJ23">
        <v>0</v>
      </c>
      <c r="CK23">
        <v>54.15</v>
      </c>
      <c r="CL23">
        <v>2.31</v>
      </c>
    </row>
    <row r="24" spans="1:90" x14ac:dyDescent="0.25">
      <c r="A24">
        <v>36</v>
      </c>
      <c r="B24" t="s">
        <v>120</v>
      </c>
      <c r="C24" t="s">
        <v>95</v>
      </c>
      <c r="D24" t="s">
        <v>96</v>
      </c>
      <c r="E24">
        <v>89.159000000000006</v>
      </c>
      <c r="F24">
        <v>7.5039999999999996</v>
      </c>
      <c r="G24">
        <v>23.193000000000001</v>
      </c>
      <c r="H24">
        <v>51</v>
      </c>
      <c r="I24">
        <v>39</v>
      </c>
      <c r="J24">
        <v>10</v>
      </c>
      <c r="K24">
        <v>7.0250000000000004</v>
      </c>
      <c r="L24">
        <v>30.006</v>
      </c>
      <c r="M24">
        <v>79.129000000000005</v>
      </c>
      <c r="N24">
        <v>45.713000000000001</v>
      </c>
      <c r="O24">
        <v>4.4359999999999999</v>
      </c>
      <c r="P24">
        <v>9.8840000000000003</v>
      </c>
      <c r="Q24">
        <v>11.515000000000001</v>
      </c>
      <c r="R24">
        <v>35.682000000000002</v>
      </c>
      <c r="S24">
        <v>74.11</v>
      </c>
      <c r="T24">
        <v>2.3119999999999998</v>
      </c>
      <c r="U24">
        <v>15.510999999999999</v>
      </c>
      <c r="V24">
        <v>5.827</v>
      </c>
      <c r="W24">
        <v>3.38</v>
      </c>
      <c r="X24">
        <v>3.91</v>
      </c>
      <c r="Y24">
        <v>3.194</v>
      </c>
      <c r="Z24">
        <v>6.8000000000000005E-2</v>
      </c>
      <c r="AA24">
        <v>1.0740000000000001</v>
      </c>
      <c r="AB24">
        <v>0.42699999999999999</v>
      </c>
      <c r="AC24">
        <v>1.466</v>
      </c>
      <c r="AD24">
        <v>0.32900000000000001</v>
      </c>
      <c r="AE24">
        <v>0.28799999999999998</v>
      </c>
      <c r="AF24">
        <v>0.496</v>
      </c>
      <c r="AG24">
        <v>5.5730000000000004</v>
      </c>
      <c r="AH24">
        <v>146.06100000000001</v>
      </c>
      <c r="AI24">
        <v>21.236999999999998</v>
      </c>
      <c r="AJ24">
        <v>73.623000000000005</v>
      </c>
      <c r="AK24">
        <v>1.2410000000000001</v>
      </c>
      <c r="AL24">
        <v>0</v>
      </c>
      <c r="AM24">
        <v>0</v>
      </c>
      <c r="AN24">
        <v>0</v>
      </c>
      <c r="AO24">
        <v>0.19</v>
      </c>
      <c r="AP24">
        <v>4.577</v>
      </c>
      <c r="AQ24">
        <v>2.9350000000000001</v>
      </c>
      <c r="AR24">
        <v>2.9849999999999999</v>
      </c>
      <c r="AS24">
        <v>8.4580000000000002</v>
      </c>
      <c r="AT24">
        <v>3.085</v>
      </c>
      <c r="AU24">
        <v>1.5920000000000001</v>
      </c>
      <c r="AV24">
        <v>3.4830000000000001</v>
      </c>
      <c r="AW24">
        <v>3.5819999999999999</v>
      </c>
      <c r="AX24">
        <v>0.498</v>
      </c>
      <c r="AY24">
        <v>4.726</v>
      </c>
      <c r="AZ24">
        <v>2.7E-2</v>
      </c>
      <c r="BA24">
        <v>0.99</v>
      </c>
      <c r="BB24">
        <v>23.94</v>
      </c>
      <c r="BC24">
        <v>0.20100000000000001</v>
      </c>
      <c r="BD24">
        <v>2.5139999999999998</v>
      </c>
      <c r="BE24">
        <v>0</v>
      </c>
      <c r="BF24">
        <v>17.190999999999999</v>
      </c>
      <c r="BG24">
        <v>50.484999999999999</v>
      </c>
      <c r="BH24">
        <v>3.2090000000000001</v>
      </c>
      <c r="BI24">
        <v>1.4430000000000001</v>
      </c>
      <c r="BJ24">
        <v>0</v>
      </c>
      <c r="BK24">
        <v>91</v>
      </c>
      <c r="BL24">
        <v>73</v>
      </c>
      <c r="BM24">
        <v>33</v>
      </c>
      <c r="BN24">
        <v>67</v>
      </c>
      <c r="BO24">
        <v>0</v>
      </c>
      <c r="BP24">
        <v>0</v>
      </c>
      <c r="BQ24">
        <v>0</v>
      </c>
      <c r="BR24">
        <v>0</v>
      </c>
      <c r="BS24">
        <v>0</v>
      </c>
      <c r="BT24">
        <v>0</v>
      </c>
      <c r="BU24">
        <v>0</v>
      </c>
      <c r="BV24">
        <v>0.6</v>
      </c>
      <c r="BW24">
        <v>0.73299999999999998</v>
      </c>
      <c r="BX24">
        <v>1</v>
      </c>
      <c r="BY24">
        <v>0.92</v>
      </c>
      <c r="BZ24">
        <v>1</v>
      </c>
      <c r="CA24">
        <v>0.05</v>
      </c>
      <c r="CB24">
        <v>0.1</v>
      </c>
      <c r="CC24">
        <v>0.31</v>
      </c>
      <c r="CD24">
        <v>4.0000000000000001E-3</v>
      </c>
      <c r="CE24">
        <v>0.2</v>
      </c>
      <c r="CF24" t="b">
        <v>0</v>
      </c>
      <c r="CG24" t="b">
        <v>0</v>
      </c>
      <c r="CH24" t="s">
        <v>93</v>
      </c>
      <c r="CI24">
        <v>100</v>
      </c>
      <c r="CJ24">
        <v>0</v>
      </c>
      <c r="CK24">
        <v>74.069999999999993</v>
      </c>
      <c r="CL24">
        <v>3.43</v>
      </c>
    </row>
    <row r="25" spans="1:90" x14ac:dyDescent="0.25">
      <c r="A25">
        <v>40</v>
      </c>
      <c r="B25" t="s">
        <v>121</v>
      </c>
      <c r="C25" t="s">
        <v>103</v>
      </c>
      <c r="D25" t="s">
        <v>96</v>
      </c>
      <c r="E25">
        <v>86.346000000000004</v>
      </c>
      <c r="F25">
        <v>1.86</v>
      </c>
      <c r="G25">
        <v>8.4060000000000006</v>
      </c>
      <c r="H25">
        <v>30</v>
      </c>
      <c r="I25">
        <v>68</v>
      </c>
      <c r="J25">
        <v>1.7</v>
      </c>
      <c r="K25">
        <v>5</v>
      </c>
      <c r="L25">
        <v>38.558999999999997</v>
      </c>
      <c r="M25">
        <v>60.7</v>
      </c>
      <c r="N25">
        <v>21.143000000000001</v>
      </c>
      <c r="O25">
        <v>0.67400000000000004</v>
      </c>
      <c r="P25">
        <v>1.2450000000000001</v>
      </c>
      <c r="Q25">
        <v>8.7620000000000005</v>
      </c>
      <c r="R25">
        <v>19.02</v>
      </c>
      <c r="S25">
        <v>30.5</v>
      </c>
      <c r="T25">
        <v>1.865</v>
      </c>
      <c r="U25">
        <v>62.115000000000002</v>
      </c>
      <c r="V25">
        <v>4.45</v>
      </c>
      <c r="W25">
        <v>3.2629999999999999</v>
      </c>
      <c r="X25">
        <v>3.6859999999999999</v>
      </c>
      <c r="Y25">
        <v>3.3370000000000002</v>
      </c>
      <c r="Z25">
        <v>4.4999999999999998E-2</v>
      </c>
      <c r="AA25">
        <v>0.28999999999999998</v>
      </c>
      <c r="AB25">
        <v>0.11700000000000001</v>
      </c>
      <c r="AC25">
        <v>0.46200000000000002</v>
      </c>
      <c r="AD25">
        <v>8.9999999999999993E-3</v>
      </c>
      <c r="AE25">
        <v>9.5000000000000001E-2</v>
      </c>
      <c r="AF25">
        <v>9.9000000000000005E-2</v>
      </c>
      <c r="AG25">
        <v>3.8839999999999999</v>
      </c>
      <c r="AH25">
        <v>114</v>
      </c>
      <c r="AI25">
        <v>11.321999999999999</v>
      </c>
      <c r="AJ25">
        <v>26.861999999999998</v>
      </c>
      <c r="AK25">
        <v>1</v>
      </c>
      <c r="AL25">
        <v>0.05</v>
      </c>
      <c r="AM25">
        <v>0</v>
      </c>
      <c r="AN25">
        <v>0</v>
      </c>
      <c r="AO25">
        <v>7.0000000000000007E-2</v>
      </c>
      <c r="AP25">
        <v>3.3</v>
      </c>
      <c r="AQ25">
        <v>2.79</v>
      </c>
      <c r="AR25">
        <v>3.54</v>
      </c>
      <c r="AS25">
        <v>13</v>
      </c>
      <c r="AT25">
        <v>2.6</v>
      </c>
      <c r="AU25">
        <v>2</v>
      </c>
      <c r="AV25">
        <v>4.5</v>
      </c>
      <c r="AW25">
        <v>3.56</v>
      </c>
      <c r="AX25">
        <v>0.68</v>
      </c>
      <c r="AY25">
        <v>4.74</v>
      </c>
      <c r="AZ25">
        <v>0</v>
      </c>
      <c r="BA25">
        <v>0.3</v>
      </c>
      <c r="BB25">
        <v>13.6</v>
      </c>
      <c r="BC25">
        <v>0.2</v>
      </c>
      <c r="BD25">
        <v>1.8</v>
      </c>
      <c r="BE25">
        <v>0</v>
      </c>
      <c r="BF25">
        <v>26</v>
      </c>
      <c r="BG25">
        <v>55.1</v>
      </c>
      <c r="BH25">
        <v>1.6</v>
      </c>
      <c r="BI25">
        <v>1.4</v>
      </c>
      <c r="BJ25">
        <v>0</v>
      </c>
      <c r="BK25">
        <v>91</v>
      </c>
      <c r="BL25">
        <v>73</v>
      </c>
      <c r="BM25">
        <v>10</v>
      </c>
      <c r="BN25">
        <v>90</v>
      </c>
      <c r="BO25">
        <v>0</v>
      </c>
      <c r="BP25">
        <v>0</v>
      </c>
      <c r="BQ25">
        <v>0</v>
      </c>
      <c r="BR25">
        <v>0</v>
      </c>
      <c r="BS25">
        <v>0</v>
      </c>
      <c r="BT25">
        <v>0</v>
      </c>
      <c r="BU25">
        <v>0</v>
      </c>
      <c r="BV25">
        <v>0.6</v>
      </c>
      <c r="BW25">
        <v>0.69599999999999995</v>
      </c>
      <c r="BX25">
        <v>1</v>
      </c>
      <c r="BY25">
        <v>0.92</v>
      </c>
      <c r="BZ25">
        <v>1</v>
      </c>
      <c r="CA25">
        <v>0.05</v>
      </c>
      <c r="CB25">
        <v>0.1</v>
      </c>
      <c r="CC25">
        <v>0.31</v>
      </c>
      <c r="CD25">
        <v>4.0000000000000001E-3</v>
      </c>
      <c r="CE25">
        <v>0.2</v>
      </c>
      <c r="CF25" t="b">
        <v>0</v>
      </c>
      <c r="CG25" t="b">
        <v>0</v>
      </c>
      <c r="CH25" t="s">
        <v>93</v>
      </c>
      <c r="CI25">
        <v>100</v>
      </c>
      <c r="CJ25">
        <v>0</v>
      </c>
      <c r="CK25">
        <v>83.52</v>
      </c>
      <c r="CL25">
        <v>3.62</v>
      </c>
    </row>
    <row r="26" spans="1:90" x14ac:dyDescent="0.25">
      <c r="A26">
        <v>42</v>
      </c>
      <c r="B26" t="s">
        <v>122</v>
      </c>
      <c r="C26" t="s">
        <v>95</v>
      </c>
      <c r="D26" t="s">
        <v>96</v>
      </c>
      <c r="E26">
        <v>90.525999999999996</v>
      </c>
      <c r="F26">
        <v>2.7789999999999999</v>
      </c>
      <c r="G26">
        <v>68.522000000000006</v>
      </c>
      <c r="H26">
        <v>8</v>
      </c>
      <c r="I26">
        <v>72</v>
      </c>
      <c r="J26">
        <v>20</v>
      </c>
      <c r="K26">
        <v>2.5049999999999999</v>
      </c>
      <c r="L26">
        <v>69.355999999999995</v>
      </c>
      <c r="M26">
        <v>91.626999999999995</v>
      </c>
      <c r="N26">
        <v>7.5119999999999996</v>
      </c>
      <c r="O26">
        <v>1.113</v>
      </c>
      <c r="P26">
        <v>1.9590000000000001</v>
      </c>
      <c r="Q26">
        <v>3.714</v>
      </c>
      <c r="R26">
        <v>6.8319999999999999</v>
      </c>
      <c r="S26">
        <v>73</v>
      </c>
      <c r="T26">
        <v>1.792</v>
      </c>
      <c r="U26">
        <v>16.398</v>
      </c>
      <c r="V26">
        <v>1.6279999999999999</v>
      </c>
      <c r="W26">
        <v>1.4430000000000001</v>
      </c>
      <c r="X26">
        <v>2.4430000000000001</v>
      </c>
      <c r="Y26">
        <v>4.3099999999999996</v>
      </c>
      <c r="Z26">
        <v>4.2999999999999997E-2</v>
      </c>
      <c r="AA26">
        <v>0.49399999999999999</v>
      </c>
      <c r="AB26">
        <v>6.5000000000000002E-2</v>
      </c>
      <c r="AC26">
        <v>0.222</v>
      </c>
      <c r="AD26">
        <v>5.3999999999999999E-2</v>
      </c>
      <c r="AE26">
        <v>7.5999999999999998E-2</v>
      </c>
      <c r="AF26">
        <v>0.97099999999999997</v>
      </c>
      <c r="AG26">
        <v>5.23</v>
      </c>
      <c r="AH26">
        <v>122.482</v>
      </c>
      <c r="AI26">
        <v>6.1340000000000003</v>
      </c>
      <c r="AJ26">
        <v>29.446000000000002</v>
      </c>
      <c r="AK26">
        <v>1.129</v>
      </c>
      <c r="AL26">
        <v>0</v>
      </c>
      <c r="AM26">
        <v>0</v>
      </c>
      <c r="AN26">
        <v>0</v>
      </c>
      <c r="AO26">
        <v>0.34</v>
      </c>
      <c r="AP26">
        <v>3.141</v>
      </c>
      <c r="AQ26">
        <v>2.0230000000000001</v>
      </c>
      <c r="AR26">
        <v>3.98</v>
      </c>
      <c r="AS26">
        <v>16.349</v>
      </c>
      <c r="AT26">
        <v>1.645</v>
      </c>
      <c r="AU26">
        <v>2.3849999999999998</v>
      </c>
      <c r="AV26">
        <v>6.1840000000000002</v>
      </c>
      <c r="AW26">
        <v>3.339</v>
      </c>
      <c r="AX26">
        <v>0.54300000000000004</v>
      </c>
      <c r="AY26">
        <v>4.5069999999999997</v>
      </c>
      <c r="AZ26">
        <v>0</v>
      </c>
      <c r="BA26">
        <v>0.219</v>
      </c>
      <c r="BB26">
        <v>13.622</v>
      </c>
      <c r="BC26">
        <v>8.3000000000000004E-2</v>
      </c>
      <c r="BD26">
        <v>2.1659999999999999</v>
      </c>
      <c r="BE26">
        <v>0</v>
      </c>
      <c r="BF26">
        <v>22.218</v>
      </c>
      <c r="BG26">
        <v>57.46</v>
      </c>
      <c r="BH26">
        <v>2.766</v>
      </c>
      <c r="BI26">
        <v>1.466</v>
      </c>
      <c r="BJ26">
        <v>0</v>
      </c>
      <c r="BK26">
        <v>91</v>
      </c>
      <c r="BL26">
        <v>73</v>
      </c>
      <c r="BM26">
        <v>10</v>
      </c>
      <c r="BN26">
        <v>90</v>
      </c>
      <c r="BO26">
        <v>0</v>
      </c>
      <c r="BP26">
        <v>0</v>
      </c>
      <c r="BQ26">
        <v>0</v>
      </c>
      <c r="BR26">
        <v>0</v>
      </c>
      <c r="BS26">
        <v>0</v>
      </c>
      <c r="BT26">
        <v>0</v>
      </c>
      <c r="BU26">
        <v>0</v>
      </c>
      <c r="BV26">
        <v>0.6</v>
      </c>
      <c r="BW26">
        <v>0.69599999999999995</v>
      </c>
      <c r="BX26">
        <v>1</v>
      </c>
      <c r="BY26">
        <v>0.92</v>
      </c>
      <c r="BZ26">
        <v>1</v>
      </c>
      <c r="CA26">
        <v>0.05</v>
      </c>
      <c r="CB26">
        <v>0.1</v>
      </c>
      <c r="CC26">
        <v>0.31</v>
      </c>
      <c r="CD26">
        <v>4.0000000000000001E-3</v>
      </c>
      <c r="CE26">
        <v>0.2</v>
      </c>
      <c r="CF26" t="b">
        <v>0</v>
      </c>
      <c r="CG26" t="b">
        <v>0</v>
      </c>
      <c r="CH26" t="s">
        <v>93</v>
      </c>
      <c r="CI26">
        <v>100</v>
      </c>
      <c r="CJ26">
        <v>0</v>
      </c>
      <c r="CK26">
        <v>84.4</v>
      </c>
      <c r="CL26">
        <v>4.43</v>
      </c>
    </row>
    <row r="27" spans="1:90" x14ac:dyDescent="0.25">
      <c r="A27">
        <v>43</v>
      </c>
      <c r="B27" t="s">
        <v>123</v>
      </c>
      <c r="C27" t="s">
        <v>103</v>
      </c>
      <c r="D27" t="s">
        <v>96</v>
      </c>
      <c r="E27">
        <v>86.906999999999996</v>
      </c>
      <c r="F27">
        <v>1.504</v>
      </c>
      <c r="G27">
        <v>8.5139999999999993</v>
      </c>
      <c r="H27">
        <v>23</v>
      </c>
      <c r="I27">
        <v>70</v>
      </c>
      <c r="J27">
        <v>7</v>
      </c>
      <c r="K27">
        <v>5.3550000000000004</v>
      </c>
      <c r="L27">
        <v>43.24</v>
      </c>
      <c r="M27">
        <v>73.069999999999993</v>
      </c>
      <c r="N27">
        <v>22.077999999999999</v>
      </c>
      <c r="O27">
        <v>0.52300000000000002</v>
      </c>
      <c r="P27">
        <v>0.91200000000000003</v>
      </c>
      <c r="Q27">
        <v>3.5510000000000002</v>
      </c>
      <c r="R27">
        <v>9.7609999999999992</v>
      </c>
      <c r="S27">
        <v>62.332000000000001</v>
      </c>
      <c r="T27">
        <v>1.37</v>
      </c>
      <c r="U27">
        <v>70.367000000000004</v>
      </c>
      <c r="V27">
        <v>2.8839999999999999</v>
      </c>
      <c r="W27">
        <v>3.84</v>
      </c>
      <c r="X27">
        <v>3.8450000000000002</v>
      </c>
      <c r="Y27">
        <v>3.0950000000000002</v>
      </c>
      <c r="Z27">
        <v>3.5000000000000003E-2</v>
      </c>
      <c r="AA27">
        <v>0.309</v>
      </c>
      <c r="AB27">
        <v>0.13200000000000001</v>
      </c>
      <c r="AC27">
        <v>0.55700000000000005</v>
      </c>
      <c r="AD27">
        <v>1.7999999999999999E-2</v>
      </c>
      <c r="AE27">
        <v>0.104</v>
      </c>
      <c r="AF27">
        <v>0.104</v>
      </c>
      <c r="AG27">
        <v>2.069</v>
      </c>
      <c r="AH27">
        <v>39.026000000000003</v>
      </c>
      <c r="AI27">
        <v>7.1520000000000001</v>
      </c>
      <c r="AJ27">
        <v>23.428000000000001</v>
      </c>
      <c r="AK27">
        <v>0.91400000000000003</v>
      </c>
      <c r="AL27">
        <v>0.05</v>
      </c>
      <c r="AM27">
        <v>0</v>
      </c>
      <c r="AN27">
        <v>0</v>
      </c>
      <c r="AO27">
        <v>7.0000000000000007E-2</v>
      </c>
      <c r="AP27">
        <v>4.75</v>
      </c>
      <c r="AQ27">
        <v>2.875</v>
      </c>
      <c r="AR27">
        <v>3.375</v>
      </c>
      <c r="AS27">
        <v>12</v>
      </c>
      <c r="AT27">
        <v>3</v>
      </c>
      <c r="AU27">
        <v>2</v>
      </c>
      <c r="AV27">
        <v>4.875</v>
      </c>
      <c r="AW27">
        <v>3.625</v>
      </c>
      <c r="AX27">
        <v>0.75</v>
      </c>
      <c r="AY27">
        <v>4.625</v>
      </c>
      <c r="AZ27">
        <v>0</v>
      </c>
      <c r="BA27">
        <v>2.3290000000000002</v>
      </c>
      <c r="BB27">
        <v>13.209</v>
      </c>
      <c r="BC27">
        <v>0.123</v>
      </c>
      <c r="BD27">
        <v>1.986</v>
      </c>
      <c r="BE27">
        <v>0</v>
      </c>
      <c r="BF27">
        <v>24.091999999999999</v>
      </c>
      <c r="BG27">
        <v>55.704000000000001</v>
      </c>
      <c r="BH27">
        <v>1.623</v>
      </c>
      <c r="BI27">
        <v>0.93400000000000005</v>
      </c>
      <c r="BJ27">
        <v>0</v>
      </c>
      <c r="BK27">
        <v>77</v>
      </c>
      <c r="BL27">
        <v>73</v>
      </c>
      <c r="BM27">
        <v>10</v>
      </c>
      <c r="BN27">
        <v>90</v>
      </c>
      <c r="BO27">
        <v>0</v>
      </c>
      <c r="BP27">
        <v>0</v>
      </c>
      <c r="BQ27">
        <v>0</v>
      </c>
      <c r="BR27">
        <v>0</v>
      </c>
      <c r="BS27">
        <v>0</v>
      </c>
      <c r="BT27">
        <v>0</v>
      </c>
      <c r="BU27">
        <v>0</v>
      </c>
      <c r="BV27">
        <v>0.6</v>
      </c>
      <c r="BW27">
        <v>0.69599999999999995</v>
      </c>
      <c r="BX27">
        <v>1</v>
      </c>
      <c r="BY27">
        <v>0.92</v>
      </c>
      <c r="BZ27">
        <v>1</v>
      </c>
      <c r="CA27">
        <v>0.05</v>
      </c>
      <c r="CB27">
        <v>0.1</v>
      </c>
      <c r="CC27">
        <v>0.31</v>
      </c>
      <c r="CD27">
        <v>4.0000000000000001E-3</v>
      </c>
      <c r="CE27">
        <v>0.2</v>
      </c>
      <c r="CF27" t="b">
        <v>0</v>
      </c>
      <c r="CG27" t="b">
        <v>0</v>
      </c>
      <c r="CH27" t="s">
        <v>93</v>
      </c>
      <c r="CI27">
        <v>100</v>
      </c>
      <c r="CJ27">
        <v>0</v>
      </c>
      <c r="CK27">
        <v>84.96</v>
      </c>
      <c r="CL27">
        <v>3.69</v>
      </c>
    </row>
    <row r="28" spans="1:90" x14ac:dyDescent="0.25">
      <c r="A28">
        <v>44</v>
      </c>
      <c r="B28" t="s">
        <v>124</v>
      </c>
      <c r="C28" t="s">
        <v>103</v>
      </c>
      <c r="D28" t="s">
        <v>96</v>
      </c>
      <c r="E28">
        <v>86.906999999999996</v>
      </c>
      <c r="F28">
        <v>1.504</v>
      </c>
      <c r="G28">
        <v>8.5139999999999993</v>
      </c>
      <c r="H28">
        <v>23</v>
      </c>
      <c r="I28">
        <v>70</v>
      </c>
      <c r="J28">
        <v>7</v>
      </c>
      <c r="K28">
        <v>5.3550000000000004</v>
      </c>
      <c r="L28">
        <v>43.24</v>
      </c>
      <c r="M28">
        <v>73.069999999999993</v>
      </c>
      <c r="N28">
        <v>22.077999999999999</v>
      </c>
      <c r="O28">
        <v>0.52300000000000002</v>
      </c>
      <c r="P28">
        <v>0.91200000000000003</v>
      </c>
      <c r="Q28">
        <v>3.5510000000000002</v>
      </c>
      <c r="R28">
        <v>9.7609999999999992</v>
      </c>
      <c r="S28">
        <v>62.332000000000001</v>
      </c>
      <c r="T28">
        <v>1.37</v>
      </c>
      <c r="U28">
        <v>70.367000000000004</v>
      </c>
      <c r="V28">
        <v>2.8839999999999999</v>
      </c>
      <c r="W28">
        <v>3.84</v>
      </c>
      <c r="X28">
        <v>3.8450000000000002</v>
      </c>
      <c r="Y28">
        <v>3.452</v>
      </c>
      <c r="Z28">
        <v>3.5000000000000003E-2</v>
      </c>
      <c r="AA28">
        <v>0.309</v>
      </c>
      <c r="AB28">
        <v>0.13200000000000001</v>
      </c>
      <c r="AC28">
        <v>0.55700000000000005</v>
      </c>
      <c r="AD28">
        <v>1.7999999999999999E-2</v>
      </c>
      <c r="AE28">
        <v>0.104</v>
      </c>
      <c r="AF28">
        <v>0.104</v>
      </c>
      <c r="AG28">
        <v>2.069</v>
      </c>
      <c r="AH28">
        <v>39.026000000000003</v>
      </c>
      <c r="AI28">
        <v>7.1520000000000001</v>
      </c>
      <c r="AJ28">
        <v>23.428000000000001</v>
      </c>
      <c r="AK28">
        <v>0.91400000000000003</v>
      </c>
      <c r="AL28">
        <v>0.05</v>
      </c>
      <c r="AM28">
        <v>0</v>
      </c>
      <c r="AN28">
        <v>0</v>
      </c>
      <c r="AO28">
        <v>7.0000000000000007E-2</v>
      </c>
      <c r="AP28">
        <v>4.75</v>
      </c>
      <c r="AQ28">
        <v>2.875</v>
      </c>
      <c r="AR28">
        <v>3.375</v>
      </c>
      <c r="AS28">
        <v>12</v>
      </c>
      <c r="AT28">
        <v>3</v>
      </c>
      <c r="AU28">
        <v>2</v>
      </c>
      <c r="AV28">
        <v>4.875</v>
      </c>
      <c r="AW28">
        <v>3.625</v>
      </c>
      <c r="AX28">
        <v>0.75</v>
      </c>
      <c r="AY28">
        <v>4.625</v>
      </c>
      <c r="AZ28">
        <v>0</v>
      </c>
      <c r="BA28">
        <v>2.3290000000000002</v>
      </c>
      <c r="BB28">
        <v>13.209</v>
      </c>
      <c r="BC28">
        <v>0.123</v>
      </c>
      <c r="BD28">
        <v>1.986</v>
      </c>
      <c r="BE28">
        <v>0</v>
      </c>
      <c r="BF28">
        <v>24.091999999999999</v>
      </c>
      <c r="BG28">
        <v>55.704000000000001</v>
      </c>
      <c r="BH28">
        <v>1.623</v>
      </c>
      <c r="BI28">
        <v>0.93400000000000005</v>
      </c>
      <c r="BJ28">
        <v>0</v>
      </c>
      <c r="BK28">
        <v>89</v>
      </c>
      <c r="BL28">
        <v>73</v>
      </c>
      <c r="BM28">
        <v>10</v>
      </c>
      <c r="BN28">
        <v>90</v>
      </c>
      <c r="BO28">
        <v>0</v>
      </c>
      <c r="BP28">
        <v>0</v>
      </c>
      <c r="BQ28">
        <v>0</v>
      </c>
      <c r="BR28">
        <v>0</v>
      </c>
      <c r="BS28">
        <v>0</v>
      </c>
      <c r="BT28">
        <v>0</v>
      </c>
      <c r="BU28">
        <v>0</v>
      </c>
      <c r="BV28">
        <v>0.6</v>
      </c>
      <c r="BW28">
        <v>0.69599999999999995</v>
      </c>
      <c r="BX28">
        <v>1</v>
      </c>
      <c r="BY28">
        <v>0.92</v>
      </c>
      <c r="BZ28">
        <v>1</v>
      </c>
      <c r="CA28">
        <v>0.05</v>
      </c>
      <c r="CB28">
        <v>0.1</v>
      </c>
      <c r="CC28">
        <v>0.31</v>
      </c>
      <c r="CD28">
        <v>4.0000000000000001E-3</v>
      </c>
      <c r="CE28">
        <v>0.2</v>
      </c>
      <c r="CF28" t="b">
        <v>0</v>
      </c>
      <c r="CG28" t="b">
        <v>0</v>
      </c>
      <c r="CH28" t="s">
        <v>93</v>
      </c>
      <c r="CI28">
        <v>100</v>
      </c>
      <c r="CJ28">
        <v>0</v>
      </c>
      <c r="CK28">
        <v>88.69</v>
      </c>
      <c r="CL28">
        <v>3.85</v>
      </c>
    </row>
    <row r="29" spans="1:90" x14ac:dyDescent="0.25">
      <c r="A29">
        <v>46</v>
      </c>
      <c r="B29" t="s">
        <v>125</v>
      </c>
      <c r="C29" t="s">
        <v>103</v>
      </c>
      <c r="D29" t="s">
        <v>96</v>
      </c>
      <c r="E29">
        <v>72.266999999999996</v>
      </c>
      <c r="F29">
        <v>1.5720000000000001</v>
      </c>
      <c r="G29">
        <v>8.5090000000000003</v>
      </c>
      <c r="H29">
        <v>28</v>
      </c>
      <c r="I29">
        <v>71</v>
      </c>
      <c r="J29">
        <v>1</v>
      </c>
      <c r="K29">
        <v>5.0999999999999996</v>
      </c>
      <c r="L29">
        <v>38.920999999999999</v>
      </c>
      <c r="M29">
        <v>90</v>
      </c>
      <c r="N29">
        <v>33.109000000000002</v>
      </c>
      <c r="O29">
        <v>0.441</v>
      </c>
      <c r="P29">
        <v>0.76800000000000002</v>
      </c>
      <c r="Q29">
        <v>3.524</v>
      </c>
      <c r="R29">
        <v>9.5820000000000007</v>
      </c>
      <c r="S29">
        <v>50.898000000000003</v>
      </c>
      <c r="T29">
        <v>1.212</v>
      </c>
      <c r="U29">
        <v>70.927999999999997</v>
      </c>
      <c r="V29">
        <v>2.9750000000000001</v>
      </c>
      <c r="W29">
        <v>3.5710000000000002</v>
      </c>
      <c r="X29">
        <v>3.5779999999999998</v>
      </c>
      <c r="Y29">
        <v>3.5190000000000001</v>
      </c>
      <c r="Z29">
        <v>4.1000000000000002E-2</v>
      </c>
      <c r="AA29">
        <v>0.313</v>
      </c>
      <c r="AB29">
        <v>0.128</v>
      </c>
      <c r="AC29">
        <v>0.44500000000000001</v>
      </c>
      <c r="AD29">
        <v>1.6E-2</v>
      </c>
      <c r="AE29">
        <v>0.11700000000000001</v>
      </c>
      <c r="AF29">
        <v>0.112</v>
      </c>
      <c r="AG29">
        <v>1.6020000000000001</v>
      </c>
      <c r="AH29">
        <v>37.915999999999997</v>
      </c>
      <c r="AI29">
        <v>5.9429999999999996</v>
      </c>
      <c r="AJ29">
        <v>22.713999999999999</v>
      </c>
      <c r="AK29">
        <v>1</v>
      </c>
      <c r="AL29">
        <v>0.05</v>
      </c>
      <c r="AM29">
        <v>0</v>
      </c>
      <c r="AN29">
        <v>0</v>
      </c>
      <c r="AO29">
        <v>7.0000000000000007E-2</v>
      </c>
      <c r="AP29">
        <v>4.75</v>
      </c>
      <c r="AQ29">
        <v>2.875</v>
      </c>
      <c r="AR29">
        <v>3.375</v>
      </c>
      <c r="AS29">
        <v>12</v>
      </c>
      <c r="AT29">
        <v>3</v>
      </c>
      <c r="AU29">
        <v>2</v>
      </c>
      <c r="AV29">
        <v>4.875</v>
      </c>
      <c r="AW29">
        <v>3.625</v>
      </c>
      <c r="AX29">
        <v>0.75</v>
      </c>
      <c r="AY29">
        <v>4.625</v>
      </c>
      <c r="AZ29">
        <v>0</v>
      </c>
      <c r="BA29">
        <v>2.3290000000000002</v>
      </c>
      <c r="BB29">
        <v>13.209</v>
      </c>
      <c r="BC29">
        <v>0.123</v>
      </c>
      <c r="BD29">
        <v>1.986</v>
      </c>
      <c r="BE29">
        <v>0</v>
      </c>
      <c r="BF29">
        <v>24.091999999999999</v>
      </c>
      <c r="BG29">
        <v>55.704000000000001</v>
      </c>
      <c r="BH29">
        <v>1.623</v>
      </c>
      <c r="BI29">
        <v>0.93400000000000005</v>
      </c>
      <c r="BJ29">
        <v>0</v>
      </c>
      <c r="BK29">
        <v>90</v>
      </c>
      <c r="BL29">
        <v>73</v>
      </c>
      <c r="BM29">
        <v>48</v>
      </c>
      <c r="BN29">
        <v>52</v>
      </c>
      <c r="BO29">
        <v>0</v>
      </c>
      <c r="BP29">
        <v>0</v>
      </c>
      <c r="BQ29">
        <v>0</v>
      </c>
      <c r="BR29">
        <v>0</v>
      </c>
      <c r="BS29">
        <v>0</v>
      </c>
      <c r="BT29">
        <v>0</v>
      </c>
      <c r="BU29">
        <v>0</v>
      </c>
      <c r="BV29">
        <v>0.6</v>
      </c>
      <c r="BW29">
        <v>0.75700000000000001</v>
      </c>
      <c r="BX29">
        <v>1</v>
      </c>
      <c r="BY29">
        <v>0.92</v>
      </c>
      <c r="BZ29">
        <v>1</v>
      </c>
      <c r="CA29">
        <v>0.05</v>
      </c>
      <c r="CB29">
        <v>0.1</v>
      </c>
      <c r="CC29">
        <v>0.31</v>
      </c>
      <c r="CD29">
        <v>4.0000000000000001E-3</v>
      </c>
      <c r="CE29">
        <v>0.2</v>
      </c>
      <c r="CF29" t="b">
        <v>0</v>
      </c>
      <c r="CG29" t="b">
        <v>0</v>
      </c>
      <c r="CH29" t="s">
        <v>93</v>
      </c>
      <c r="CI29">
        <v>100</v>
      </c>
      <c r="CJ29">
        <v>0</v>
      </c>
      <c r="CK29">
        <v>91.5</v>
      </c>
      <c r="CL29">
        <v>3.96</v>
      </c>
    </row>
    <row r="30" spans="1:90" x14ac:dyDescent="0.25">
      <c r="A30">
        <v>47</v>
      </c>
      <c r="B30" t="s">
        <v>126</v>
      </c>
      <c r="C30" t="s">
        <v>103</v>
      </c>
      <c r="D30" t="s">
        <v>96</v>
      </c>
      <c r="E30">
        <v>85.74</v>
      </c>
      <c r="F30">
        <v>1.286</v>
      </c>
      <c r="G30">
        <v>7.9980000000000002</v>
      </c>
      <c r="H30">
        <v>2</v>
      </c>
      <c r="I30">
        <v>82</v>
      </c>
      <c r="J30">
        <v>16</v>
      </c>
      <c r="K30">
        <v>3</v>
      </c>
      <c r="L30">
        <v>68.432000000000002</v>
      </c>
      <c r="M30">
        <v>90</v>
      </c>
      <c r="N30">
        <v>13.933999999999999</v>
      </c>
      <c r="O30">
        <v>0.63200000000000001</v>
      </c>
      <c r="P30">
        <v>1.2849999999999999</v>
      </c>
      <c r="Q30">
        <v>3.371</v>
      </c>
      <c r="R30">
        <v>8.641</v>
      </c>
      <c r="S30">
        <v>55.667000000000002</v>
      </c>
      <c r="T30">
        <v>1.2629999999999999</v>
      </c>
      <c r="U30">
        <v>71.744</v>
      </c>
      <c r="V30">
        <v>1.8009999999999999</v>
      </c>
      <c r="W30">
        <v>3.14</v>
      </c>
      <c r="X30">
        <v>3.1379999999999999</v>
      </c>
      <c r="Y30">
        <v>3.6219999999999999</v>
      </c>
      <c r="Z30">
        <v>0.06</v>
      </c>
      <c r="AA30">
        <v>0.24199999999999999</v>
      </c>
      <c r="AB30">
        <v>9.8000000000000004E-2</v>
      </c>
      <c r="AC30">
        <v>0.40300000000000002</v>
      </c>
      <c r="AD30">
        <v>5.0000000000000001E-3</v>
      </c>
      <c r="AE30">
        <v>8.1000000000000003E-2</v>
      </c>
      <c r="AF30">
        <v>9.2999999999999999E-2</v>
      </c>
      <c r="AG30">
        <v>2.077</v>
      </c>
      <c r="AH30">
        <v>31.774999999999999</v>
      </c>
      <c r="AI30">
        <v>5.1760000000000002</v>
      </c>
      <c r="AJ30">
        <v>17.094999999999999</v>
      </c>
      <c r="AK30">
        <v>1</v>
      </c>
      <c r="AL30">
        <v>0.03</v>
      </c>
      <c r="AM30">
        <v>0</v>
      </c>
      <c r="AN30">
        <v>0</v>
      </c>
      <c r="AO30">
        <v>7.0000000000000007E-2</v>
      </c>
      <c r="AP30">
        <v>4.75</v>
      </c>
      <c r="AQ30">
        <v>2.875</v>
      </c>
      <c r="AR30">
        <v>3.375</v>
      </c>
      <c r="AS30">
        <v>12</v>
      </c>
      <c r="AT30">
        <v>3</v>
      </c>
      <c r="AU30">
        <v>2</v>
      </c>
      <c r="AV30">
        <v>4.875</v>
      </c>
      <c r="AW30">
        <v>3.625</v>
      </c>
      <c r="AX30">
        <v>0.75</v>
      </c>
      <c r="AY30">
        <v>4.625</v>
      </c>
      <c r="AZ30">
        <v>0</v>
      </c>
      <c r="BA30">
        <v>0.873</v>
      </c>
      <c r="BB30">
        <v>12.923999999999999</v>
      </c>
      <c r="BC30">
        <v>7.9000000000000001E-2</v>
      </c>
      <c r="BD30">
        <v>1.8560000000000001</v>
      </c>
      <c r="BE30">
        <v>0</v>
      </c>
      <c r="BF30">
        <v>23.166</v>
      </c>
      <c r="BG30">
        <v>58.381</v>
      </c>
      <c r="BH30">
        <v>1.8180000000000001</v>
      </c>
      <c r="BI30">
        <v>0.90300000000000002</v>
      </c>
      <c r="BJ30">
        <v>0</v>
      </c>
      <c r="BK30">
        <v>94</v>
      </c>
      <c r="BL30">
        <v>73</v>
      </c>
      <c r="BM30">
        <v>0</v>
      </c>
      <c r="BN30">
        <v>100</v>
      </c>
      <c r="BO30">
        <v>0</v>
      </c>
      <c r="BP30">
        <v>0</v>
      </c>
      <c r="BQ30">
        <v>0</v>
      </c>
      <c r="BR30">
        <v>0</v>
      </c>
      <c r="BS30">
        <v>0</v>
      </c>
      <c r="BT30">
        <v>0</v>
      </c>
      <c r="BU30">
        <v>0</v>
      </c>
      <c r="BV30">
        <v>0.6</v>
      </c>
      <c r="BW30">
        <v>0.68</v>
      </c>
      <c r="BX30">
        <v>1</v>
      </c>
      <c r="BY30">
        <v>0.92</v>
      </c>
      <c r="BZ30">
        <v>1</v>
      </c>
      <c r="CA30">
        <v>0.05</v>
      </c>
      <c r="CB30">
        <v>0.1</v>
      </c>
      <c r="CC30">
        <v>0.31</v>
      </c>
      <c r="CD30">
        <v>4.0000000000000001E-3</v>
      </c>
      <c r="CE30">
        <v>0.2</v>
      </c>
      <c r="CF30" t="b">
        <v>0</v>
      </c>
      <c r="CG30" t="b">
        <v>0</v>
      </c>
      <c r="CH30" t="s">
        <v>93</v>
      </c>
      <c r="CI30">
        <v>100</v>
      </c>
      <c r="CJ30">
        <v>0</v>
      </c>
      <c r="CK30">
        <v>91.67</v>
      </c>
      <c r="CL30">
        <v>3.97</v>
      </c>
    </row>
    <row r="31" spans="1:90" x14ac:dyDescent="0.25">
      <c r="A31">
        <v>49</v>
      </c>
      <c r="B31" t="s">
        <v>127</v>
      </c>
      <c r="C31" t="s">
        <v>95</v>
      </c>
      <c r="D31" t="s">
        <v>96</v>
      </c>
      <c r="E31">
        <v>89.091999999999999</v>
      </c>
      <c r="F31">
        <v>2.6110000000000002</v>
      </c>
      <c r="G31">
        <v>10.061999999999999</v>
      </c>
      <c r="H31">
        <v>45</v>
      </c>
      <c r="I31">
        <v>49</v>
      </c>
      <c r="J31">
        <v>6</v>
      </c>
      <c r="K31">
        <v>7</v>
      </c>
      <c r="L31">
        <v>29.957000000000001</v>
      </c>
      <c r="M31">
        <v>90</v>
      </c>
      <c r="N31">
        <v>28.331</v>
      </c>
      <c r="O31">
        <v>0.50700000000000001</v>
      </c>
      <c r="P31">
        <v>1.0649999999999999</v>
      </c>
      <c r="Q31">
        <v>5.69</v>
      </c>
      <c r="R31">
        <v>16.902999999999999</v>
      </c>
      <c r="S31">
        <v>75</v>
      </c>
      <c r="T31">
        <v>1.587</v>
      </c>
      <c r="U31">
        <v>55.645000000000003</v>
      </c>
      <c r="V31">
        <v>4.8159999999999998</v>
      </c>
      <c r="W31">
        <v>5.38</v>
      </c>
      <c r="X31">
        <v>7.2149999999999999</v>
      </c>
      <c r="Y31">
        <v>3.5</v>
      </c>
      <c r="Z31">
        <v>6.0999999999999999E-2</v>
      </c>
      <c r="AA31">
        <v>0.52300000000000002</v>
      </c>
      <c r="AB31">
        <v>0.20599999999999999</v>
      </c>
      <c r="AC31">
        <v>0.66400000000000003</v>
      </c>
      <c r="AD31">
        <v>1.7000000000000001E-2</v>
      </c>
      <c r="AE31">
        <v>9.8000000000000004E-2</v>
      </c>
      <c r="AF31">
        <v>0.125</v>
      </c>
      <c r="AG31">
        <v>3.7909999999999999</v>
      </c>
      <c r="AH31">
        <v>76.623000000000005</v>
      </c>
      <c r="AI31">
        <v>11.757999999999999</v>
      </c>
      <c r="AJ31">
        <v>39.689</v>
      </c>
      <c r="AK31">
        <v>1</v>
      </c>
      <c r="AL31">
        <v>0</v>
      </c>
      <c r="AM31">
        <v>0</v>
      </c>
      <c r="AN31">
        <v>0</v>
      </c>
      <c r="AO31">
        <v>0.1</v>
      </c>
      <c r="AP31">
        <v>6.2</v>
      </c>
      <c r="AQ31">
        <v>2.8</v>
      </c>
      <c r="AR31">
        <v>3.2</v>
      </c>
      <c r="AS31">
        <v>9.1</v>
      </c>
      <c r="AT31">
        <v>4.3</v>
      </c>
      <c r="AU31">
        <v>1.9</v>
      </c>
      <c r="AV31">
        <v>4.3</v>
      </c>
      <c r="AW31">
        <v>3.8</v>
      </c>
      <c r="AX31">
        <v>0.9</v>
      </c>
      <c r="AY31">
        <v>4.8</v>
      </c>
      <c r="AZ31">
        <v>0</v>
      </c>
      <c r="BA31">
        <v>2.6190000000000002</v>
      </c>
      <c r="BB31">
        <v>13.962999999999999</v>
      </c>
      <c r="BC31">
        <v>0</v>
      </c>
      <c r="BD31">
        <v>2.3730000000000002</v>
      </c>
      <c r="BE31">
        <v>0</v>
      </c>
      <c r="BF31">
        <v>24.803000000000001</v>
      </c>
      <c r="BG31">
        <v>53.384</v>
      </c>
      <c r="BH31">
        <v>1.806</v>
      </c>
      <c r="BI31">
        <v>1.052</v>
      </c>
      <c r="BJ31">
        <v>0</v>
      </c>
      <c r="BK31">
        <v>91</v>
      </c>
      <c r="BL31">
        <v>73</v>
      </c>
      <c r="BM31">
        <v>10</v>
      </c>
      <c r="BN31">
        <v>90</v>
      </c>
      <c r="BO31">
        <v>0</v>
      </c>
      <c r="BP31">
        <v>0</v>
      </c>
      <c r="BQ31">
        <v>0</v>
      </c>
      <c r="BR31">
        <v>0</v>
      </c>
      <c r="BS31">
        <v>0</v>
      </c>
      <c r="BT31">
        <v>0</v>
      </c>
      <c r="BU31">
        <v>0</v>
      </c>
      <c r="BV31">
        <v>0.6</v>
      </c>
      <c r="BW31">
        <v>0.69599999999999995</v>
      </c>
      <c r="BX31">
        <v>1</v>
      </c>
      <c r="BY31">
        <v>0.92</v>
      </c>
      <c r="BZ31">
        <v>1</v>
      </c>
      <c r="CA31">
        <v>0.05</v>
      </c>
      <c r="CB31">
        <v>0.1</v>
      </c>
      <c r="CC31">
        <v>0.31</v>
      </c>
      <c r="CD31">
        <v>4.0000000000000001E-3</v>
      </c>
      <c r="CE31">
        <v>0.2</v>
      </c>
      <c r="CF31" t="b">
        <v>0</v>
      </c>
      <c r="CG31" t="b">
        <v>0</v>
      </c>
      <c r="CH31" t="s">
        <v>93</v>
      </c>
      <c r="CI31">
        <v>100</v>
      </c>
      <c r="CJ31">
        <v>0</v>
      </c>
      <c r="CK31">
        <v>83.06</v>
      </c>
      <c r="CL31">
        <v>3.64</v>
      </c>
    </row>
    <row r="32" spans="1:90" x14ac:dyDescent="0.25">
      <c r="A32">
        <v>50</v>
      </c>
      <c r="B32" t="s">
        <v>128</v>
      </c>
      <c r="C32" t="s">
        <v>106</v>
      </c>
      <c r="D32" t="s">
        <v>92</v>
      </c>
      <c r="E32">
        <v>31.274999999999999</v>
      </c>
      <c r="F32">
        <v>4.0419999999999998</v>
      </c>
      <c r="G32">
        <v>7.91</v>
      </c>
      <c r="H32">
        <v>58</v>
      </c>
      <c r="I32">
        <v>26</v>
      </c>
      <c r="J32">
        <v>16</v>
      </c>
      <c r="K32">
        <v>4</v>
      </c>
      <c r="L32">
        <v>33.988</v>
      </c>
      <c r="M32">
        <v>70</v>
      </c>
      <c r="N32">
        <v>52.673000000000002</v>
      </c>
      <c r="O32">
        <v>0.84399999999999997</v>
      </c>
      <c r="P32">
        <v>1.256</v>
      </c>
      <c r="Q32">
        <v>25.495999999999999</v>
      </c>
      <c r="R32">
        <v>42.594000000000001</v>
      </c>
      <c r="S32">
        <v>53.406999999999996</v>
      </c>
      <c r="T32">
        <v>3.1520000000000001</v>
      </c>
      <c r="U32">
        <v>30.175999999999998</v>
      </c>
      <c r="V32">
        <v>2.8769999999999998</v>
      </c>
      <c r="W32">
        <v>2.3210000000000002</v>
      </c>
      <c r="X32">
        <v>2.9569999999999999</v>
      </c>
      <c r="Y32">
        <v>2.93</v>
      </c>
      <c r="Z32">
        <v>0.24399999999999999</v>
      </c>
      <c r="AA32">
        <v>0.23599999999999999</v>
      </c>
      <c r="AB32">
        <v>0.17299999999999999</v>
      </c>
      <c r="AC32">
        <v>1.054</v>
      </c>
      <c r="AD32">
        <v>2.4E-2</v>
      </c>
      <c r="AE32">
        <v>0.26800000000000002</v>
      </c>
      <c r="AF32">
        <v>0.107</v>
      </c>
      <c r="AG32">
        <v>6.3380000000000001</v>
      </c>
      <c r="AH32">
        <v>166.06399999999999</v>
      </c>
      <c r="AI32">
        <v>30.052</v>
      </c>
      <c r="AJ32">
        <v>27.617999999999999</v>
      </c>
      <c r="AK32">
        <v>1.1120000000000001</v>
      </c>
      <c r="AL32">
        <v>0.22</v>
      </c>
      <c r="AM32">
        <v>0</v>
      </c>
      <c r="AN32">
        <v>0</v>
      </c>
      <c r="AO32">
        <v>0.04</v>
      </c>
      <c r="AP32">
        <v>2.3170000000000002</v>
      </c>
      <c r="AQ32">
        <v>1.7070000000000001</v>
      </c>
      <c r="AR32">
        <v>3.415</v>
      </c>
      <c r="AS32">
        <v>8.5370000000000008</v>
      </c>
      <c r="AT32">
        <v>2.8050000000000002</v>
      </c>
      <c r="AU32">
        <v>1.585</v>
      </c>
      <c r="AV32">
        <v>3.9020000000000001</v>
      </c>
      <c r="AW32">
        <v>3.415</v>
      </c>
      <c r="AX32">
        <v>0.73199999999999998</v>
      </c>
      <c r="AY32">
        <v>4.5119999999999996</v>
      </c>
      <c r="AZ32">
        <v>0.307</v>
      </c>
      <c r="BA32">
        <v>0.46400000000000002</v>
      </c>
      <c r="BB32">
        <v>17.827999999999999</v>
      </c>
      <c r="BC32">
        <v>0.36299999999999999</v>
      </c>
      <c r="BD32">
        <v>2.4239999999999999</v>
      </c>
      <c r="BE32">
        <v>4.0000000000000001E-3</v>
      </c>
      <c r="BF32">
        <v>19.234999999999999</v>
      </c>
      <c r="BG32">
        <v>47.734999999999999</v>
      </c>
      <c r="BH32">
        <v>8.2449999999999992</v>
      </c>
      <c r="BI32">
        <v>3.395</v>
      </c>
      <c r="BJ32">
        <v>0</v>
      </c>
      <c r="BK32">
        <v>91</v>
      </c>
      <c r="BL32">
        <v>73</v>
      </c>
      <c r="BM32">
        <v>92</v>
      </c>
      <c r="BN32">
        <v>8</v>
      </c>
      <c r="BO32">
        <v>0</v>
      </c>
      <c r="BP32">
        <v>0</v>
      </c>
      <c r="BQ32">
        <v>0</v>
      </c>
      <c r="BR32">
        <v>0</v>
      </c>
      <c r="BS32">
        <v>0</v>
      </c>
      <c r="BT32">
        <v>0</v>
      </c>
      <c r="BU32">
        <v>0</v>
      </c>
      <c r="BV32">
        <v>0.4</v>
      </c>
      <c r="BW32">
        <v>0.82699999999999996</v>
      </c>
      <c r="BX32">
        <v>1</v>
      </c>
      <c r="BY32">
        <v>0.92</v>
      </c>
      <c r="BZ32">
        <v>1</v>
      </c>
      <c r="CA32">
        <v>0.05</v>
      </c>
      <c r="CB32">
        <v>0.1</v>
      </c>
      <c r="CC32">
        <v>0.31</v>
      </c>
      <c r="CD32">
        <v>4.0000000000000001E-3</v>
      </c>
      <c r="CE32">
        <v>0.2</v>
      </c>
      <c r="CF32" t="b">
        <v>0</v>
      </c>
      <c r="CG32" t="b">
        <v>1</v>
      </c>
      <c r="CH32" t="s">
        <v>93</v>
      </c>
      <c r="CI32">
        <v>100</v>
      </c>
      <c r="CJ32">
        <v>0</v>
      </c>
      <c r="CK32">
        <v>65.599999999999994</v>
      </c>
      <c r="CL32">
        <v>2.87</v>
      </c>
    </row>
    <row r="33" spans="1:90" x14ac:dyDescent="0.25">
      <c r="A33">
        <v>51</v>
      </c>
      <c r="B33" t="s">
        <v>129</v>
      </c>
      <c r="C33" t="s">
        <v>106</v>
      </c>
      <c r="D33" t="s">
        <v>92</v>
      </c>
      <c r="E33">
        <v>35.360999999999997</v>
      </c>
      <c r="F33">
        <v>3.843</v>
      </c>
      <c r="G33">
        <v>7.7069999999999999</v>
      </c>
      <c r="H33">
        <v>60</v>
      </c>
      <c r="I33">
        <v>24</v>
      </c>
      <c r="J33">
        <v>16</v>
      </c>
      <c r="K33">
        <v>4.0679999999999996</v>
      </c>
      <c r="L33">
        <v>32.917000000000002</v>
      </c>
      <c r="M33">
        <v>70</v>
      </c>
      <c r="N33">
        <v>51.848999999999997</v>
      </c>
      <c r="O33">
        <v>0.82099999999999995</v>
      </c>
      <c r="P33">
        <v>1.2250000000000001</v>
      </c>
      <c r="Q33">
        <v>24.332000000000001</v>
      </c>
      <c r="R33">
        <v>40.930999999999997</v>
      </c>
      <c r="S33">
        <v>51.972000000000001</v>
      </c>
      <c r="T33">
        <v>3.0539999999999998</v>
      </c>
      <c r="U33">
        <v>32.866999999999997</v>
      </c>
      <c r="V33">
        <v>2.9710000000000001</v>
      </c>
      <c r="W33">
        <v>2.3519999999999999</v>
      </c>
      <c r="X33">
        <v>2.9159999999999999</v>
      </c>
      <c r="Y33">
        <v>2.9319999999999999</v>
      </c>
      <c r="Z33">
        <v>0.23699999999999999</v>
      </c>
      <c r="AA33">
        <v>0.23200000000000001</v>
      </c>
      <c r="AB33">
        <v>0.16800000000000001</v>
      </c>
      <c r="AC33">
        <v>0.98599999999999999</v>
      </c>
      <c r="AD33">
        <v>2.5999999999999999E-2</v>
      </c>
      <c r="AE33">
        <v>0.26200000000000001</v>
      </c>
      <c r="AF33">
        <v>0.105</v>
      </c>
      <c r="AG33">
        <v>6.2169999999999996</v>
      </c>
      <c r="AH33">
        <v>165.05699999999999</v>
      </c>
      <c r="AI33">
        <v>29.55</v>
      </c>
      <c r="AJ33">
        <v>27.401</v>
      </c>
      <c r="AK33">
        <v>1.111</v>
      </c>
      <c r="AL33">
        <v>0.22</v>
      </c>
      <c r="AM33">
        <v>0</v>
      </c>
      <c r="AN33">
        <v>0</v>
      </c>
      <c r="AO33">
        <v>0.04</v>
      </c>
      <c r="AP33">
        <v>2.3170000000000002</v>
      </c>
      <c r="AQ33">
        <v>1.7070000000000001</v>
      </c>
      <c r="AR33">
        <v>3.415</v>
      </c>
      <c r="AS33">
        <v>8.5370000000000008</v>
      </c>
      <c r="AT33">
        <v>2.8050000000000002</v>
      </c>
      <c r="AU33">
        <v>1.585</v>
      </c>
      <c r="AV33">
        <v>3.9020000000000001</v>
      </c>
      <c r="AW33">
        <v>3.415</v>
      </c>
      <c r="AX33">
        <v>0.73199999999999998</v>
      </c>
      <c r="AY33">
        <v>4.5119999999999996</v>
      </c>
      <c r="AZ33">
        <v>0.307</v>
      </c>
      <c r="BA33">
        <v>0.46400000000000002</v>
      </c>
      <c r="BB33">
        <v>17.827999999999999</v>
      </c>
      <c r="BC33">
        <v>0.36299999999999999</v>
      </c>
      <c r="BD33">
        <v>2.4239999999999999</v>
      </c>
      <c r="BE33">
        <v>4.0000000000000001E-3</v>
      </c>
      <c r="BF33">
        <v>19.234999999999999</v>
      </c>
      <c r="BG33">
        <v>47.734999999999999</v>
      </c>
      <c r="BH33">
        <v>8.2449999999999992</v>
      </c>
      <c r="BI33">
        <v>3.395</v>
      </c>
      <c r="BJ33">
        <v>0</v>
      </c>
      <c r="BK33">
        <v>89</v>
      </c>
      <c r="BL33">
        <v>73</v>
      </c>
      <c r="BM33">
        <v>92</v>
      </c>
      <c r="BN33">
        <v>8</v>
      </c>
      <c r="BO33">
        <v>0</v>
      </c>
      <c r="BP33">
        <v>0</v>
      </c>
      <c r="BQ33">
        <v>0</v>
      </c>
      <c r="BR33">
        <v>0</v>
      </c>
      <c r="BS33">
        <v>0</v>
      </c>
      <c r="BT33">
        <v>0</v>
      </c>
      <c r="BU33">
        <v>0</v>
      </c>
      <c r="BV33">
        <v>0.4</v>
      </c>
      <c r="BW33">
        <v>0.82699999999999996</v>
      </c>
      <c r="BX33">
        <v>1</v>
      </c>
      <c r="BY33">
        <v>0.92</v>
      </c>
      <c r="BZ33">
        <v>1</v>
      </c>
      <c r="CA33">
        <v>0.05</v>
      </c>
      <c r="CB33">
        <v>0.1</v>
      </c>
      <c r="CC33">
        <v>0.31</v>
      </c>
      <c r="CD33">
        <v>4.0000000000000001E-3</v>
      </c>
      <c r="CE33">
        <v>0.2</v>
      </c>
      <c r="CF33" t="b">
        <v>0</v>
      </c>
      <c r="CG33" t="b">
        <v>1</v>
      </c>
      <c r="CH33" t="s">
        <v>93</v>
      </c>
      <c r="CI33">
        <v>100</v>
      </c>
      <c r="CJ33">
        <v>0</v>
      </c>
      <c r="CK33">
        <v>68.819999999999993</v>
      </c>
      <c r="CL33">
        <v>2.99</v>
      </c>
    </row>
    <row r="34" spans="1:90" x14ac:dyDescent="0.25">
      <c r="A34">
        <v>52</v>
      </c>
      <c r="B34" t="s">
        <v>130</v>
      </c>
      <c r="C34" t="s">
        <v>106</v>
      </c>
      <c r="D34" t="s">
        <v>92</v>
      </c>
      <c r="E34">
        <v>39.603000000000002</v>
      </c>
      <c r="F34">
        <v>3.6579999999999999</v>
      </c>
      <c r="G34">
        <v>7.4690000000000003</v>
      </c>
      <c r="H34">
        <v>48</v>
      </c>
      <c r="I34">
        <v>28</v>
      </c>
      <c r="J34">
        <v>24</v>
      </c>
      <c r="K34">
        <v>3</v>
      </c>
      <c r="L34">
        <v>44.4</v>
      </c>
      <c r="M34">
        <v>70</v>
      </c>
      <c r="N34">
        <v>51.314999999999998</v>
      </c>
      <c r="O34">
        <v>0.79500000000000004</v>
      </c>
      <c r="P34">
        <v>1.1870000000000001</v>
      </c>
      <c r="Q34">
        <v>23.181999999999999</v>
      </c>
      <c r="R34">
        <v>39.296999999999997</v>
      </c>
      <c r="S34">
        <v>50.761000000000003</v>
      </c>
      <c r="T34">
        <v>2.9710000000000001</v>
      </c>
      <c r="U34">
        <v>35.543999999999997</v>
      </c>
      <c r="V34">
        <v>3.0539999999999998</v>
      </c>
      <c r="W34">
        <v>2.3620000000000001</v>
      </c>
      <c r="X34">
        <v>2.8639999999999999</v>
      </c>
      <c r="Y34">
        <v>2.8809999999999998</v>
      </c>
      <c r="Z34">
        <v>0.23</v>
      </c>
      <c r="AA34">
        <v>0.22800000000000001</v>
      </c>
      <c r="AB34">
        <v>0.16200000000000001</v>
      </c>
      <c r="AC34">
        <v>0.91600000000000004</v>
      </c>
      <c r="AD34">
        <v>2.9000000000000001E-2</v>
      </c>
      <c r="AE34">
        <v>0.24299999999999999</v>
      </c>
      <c r="AF34">
        <v>0.10199999999999999</v>
      </c>
      <c r="AG34">
        <v>5.9139999999999997</v>
      </c>
      <c r="AH34">
        <v>145.94800000000001</v>
      </c>
      <c r="AI34">
        <v>27.552</v>
      </c>
      <c r="AJ34">
        <v>26.492000000000001</v>
      </c>
      <c r="AK34">
        <v>1.107</v>
      </c>
      <c r="AL34">
        <v>0.22</v>
      </c>
      <c r="AM34">
        <v>0</v>
      </c>
      <c r="AN34">
        <v>0</v>
      </c>
      <c r="AO34">
        <v>0.04</v>
      </c>
      <c r="AP34">
        <v>2.3170000000000002</v>
      </c>
      <c r="AQ34">
        <v>1.7070000000000001</v>
      </c>
      <c r="AR34">
        <v>3.415</v>
      </c>
      <c r="AS34">
        <v>8.5370000000000008</v>
      </c>
      <c r="AT34">
        <v>2.8050000000000002</v>
      </c>
      <c r="AU34">
        <v>1.585</v>
      </c>
      <c r="AV34">
        <v>3.9020000000000001</v>
      </c>
      <c r="AW34">
        <v>3.415</v>
      </c>
      <c r="AX34">
        <v>0.73199999999999998</v>
      </c>
      <c r="AY34">
        <v>4.5119999999999996</v>
      </c>
      <c r="AZ34">
        <v>0.307</v>
      </c>
      <c r="BA34">
        <v>0.46400000000000002</v>
      </c>
      <c r="BB34">
        <v>17.827999999999999</v>
      </c>
      <c r="BC34">
        <v>0.36299999999999999</v>
      </c>
      <c r="BD34">
        <v>2.4239999999999999</v>
      </c>
      <c r="BE34">
        <v>4.0000000000000001E-3</v>
      </c>
      <c r="BF34">
        <v>19.234999999999999</v>
      </c>
      <c r="BG34">
        <v>47.734999999999999</v>
      </c>
      <c r="BH34">
        <v>8.2449999999999992</v>
      </c>
      <c r="BI34">
        <v>3.395</v>
      </c>
      <c r="BJ34">
        <v>0</v>
      </c>
      <c r="BK34">
        <v>85</v>
      </c>
      <c r="BL34">
        <v>73</v>
      </c>
      <c r="BM34">
        <v>92</v>
      </c>
      <c r="BN34">
        <v>8</v>
      </c>
      <c r="BO34">
        <v>0</v>
      </c>
      <c r="BP34">
        <v>0</v>
      </c>
      <c r="BQ34">
        <v>0</v>
      </c>
      <c r="BR34">
        <v>0</v>
      </c>
      <c r="BS34">
        <v>0</v>
      </c>
      <c r="BT34">
        <v>0</v>
      </c>
      <c r="BU34">
        <v>0</v>
      </c>
      <c r="BV34">
        <v>0.4</v>
      </c>
      <c r="BW34">
        <v>0.82699999999999996</v>
      </c>
      <c r="BX34">
        <v>1</v>
      </c>
      <c r="BY34">
        <v>0.92</v>
      </c>
      <c r="BZ34">
        <v>1</v>
      </c>
      <c r="CA34">
        <v>0.05</v>
      </c>
      <c r="CB34">
        <v>0.1</v>
      </c>
      <c r="CC34">
        <v>0.31</v>
      </c>
      <c r="CD34">
        <v>4.0000000000000001E-3</v>
      </c>
      <c r="CE34">
        <v>0.2</v>
      </c>
      <c r="CF34" t="b">
        <v>0</v>
      </c>
      <c r="CG34" t="b">
        <v>1</v>
      </c>
      <c r="CH34" t="s">
        <v>93</v>
      </c>
      <c r="CI34">
        <v>100</v>
      </c>
      <c r="CJ34">
        <v>0</v>
      </c>
      <c r="CK34">
        <v>65.36</v>
      </c>
      <c r="CL34">
        <v>2.84</v>
      </c>
    </row>
    <row r="35" spans="1:90" x14ac:dyDescent="0.25">
      <c r="A35">
        <v>58</v>
      </c>
      <c r="B35" t="s">
        <v>131</v>
      </c>
      <c r="C35" t="s">
        <v>95</v>
      </c>
      <c r="D35" t="s">
        <v>96</v>
      </c>
      <c r="E35">
        <v>91.364000000000004</v>
      </c>
      <c r="F35">
        <v>4.2140000000000004</v>
      </c>
      <c r="G35">
        <v>23.315000000000001</v>
      </c>
      <c r="H35">
        <v>45</v>
      </c>
      <c r="I35">
        <v>48</v>
      </c>
      <c r="J35">
        <v>7</v>
      </c>
      <c r="K35">
        <v>14.8</v>
      </c>
      <c r="L35">
        <v>22.509</v>
      </c>
      <c r="M35">
        <v>73.622</v>
      </c>
      <c r="N35">
        <v>26.617999999999999</v>
      </c>
      <c r="O35">
        <v>2.7330000000000001</v>
      </c>
      <c r="P35">
        <v>2.84</v>
      </c>
      <c r="Q35">
        <v>38.567</v>
      </c>
      <c r="R35">
        <v>50.578000000000003</v>
      </c>
      <c r="S35">
        <v>12.8</v>
      </c>
      <c r="T35">
        <v>11.21</v>
      </c>
      <c r="U35">
        <v>0.76</v>
      </c>
      <c r="V35">
        <v>4</v>
      </c>
      <c r="W35">
        <v>18.260000000000002</v>
      </c>
      <c r="X35">
        <v>18.622</v>
      </c>
      <c r="Y35">
        <v>3.1389999999999998</v>
      </c>
      <c r="Z35">
        <v>0.17299999999999999</v>
      </c>
      <c r="AA35">
        <v>0.622</v>
      </c>
      <c r="AB35">
        <v>0.38200000000000001</v>
      </c>
      <c r="AC35">
        <v>1.1759999999999999</v>
      </c>
      <c r="AD35">
        <v>1.6E-2</v>
      </c>
      <c r="AE35">
        <v>8.1000000000000003E-2</v>
      </c>
      <c r="AF35">
        <v>0.23799999999999999</v>
      </c>
      <c r="AG35">
        <v>7.556</v>
      </c>
      <c r="AH35">
        <v>71.795000000000002</v>
      </c>
      <c r="AI35">
        <v>17.431000000000001</v>
      </c>
      <c r="AJ35">
        <v>36.386000000000003</v>
      </c>
      <c r="AK35">
        <v>1.135</v>
      </c>
      <c r="AL35">
        <v>9.4E-2</v>
      </c>
      <c r="AM35">
        <v>0</v>
      </c>
      <c r="AN35">
        <v>0</v>
      </c>
      <c r="AO35">
        <v>0.14000000000000001</v>
      </c>
      <c r="AP35">
        <v>10.814</v>
      </c>
      <c r="AQ35">
        <v>2.8050000000000002</v>
      </c>
      <c r="AR35">
        <v>3.1669999999999998</v>
      </c>
      <c r="AS35">
        <v>5.7919999999999998</v>
      </c>
      <c r="AT35">
        <v>4.3440000000000003</v>
      </c>
      <c r="AU35">
        <v>1.4930000000000001</v>
      </c>
      <c r="AV35">
        <v>5.2039999999999997</v>
      </c>
      <c r="AW35">
        <v>3.2130000000000001</v>
      </c>
      <c r="AX35">
        <v>1.1759999999999999</v>
      </c>
      <c r="AY35">
        <v>4.3440000000000003</v>
      </c>
      <c r="AZ35">
        <v>0</v>
      </c>
      <c r="BA35">
        <v>0.69</v>
      </c>
      <c r="BB35">
        <v>23.91</v>
      </c>
      <c r="BC35">
        <v>0.55000000000000004</v>
      </c>
      <c r="BD35">
        <v>2.33</v>
      </c>
      <c r="BE35">
        <v>0</v>
      </c>
      <c r="BF35">
        <v>15.24</v>
      </c>
      <c r="BG35">
        <v>56.48</v>
      </c>
      <c r="BH35">
        <v>0.19</v>
      </c>
      <c r="BI35">
        <v>0.61</v>
      </c>
      <c r="BJ35">
        <v>0</v>
      </c>
      <c r="BK35">
        <v>91</v>
      </c>
      <c r="BL35">
        <v>73</v>
      </c>
      <c r="BM35">
        <v>11</v>
      </c>
      <c r="BN35">
        <v>89</v>
      </c>
      <c r="BO35">
        <v>0</v>
      </c>
      <c r="BP35">
        <v>0</v>
      </c>
      <c r="BQ35">
        <v>0</v>
      </c>
      <c r="BR35">
        <v>0</v>
      </c>
      <c r="BS35">
        <v>0</v>
      </c>
      <c r="BT35">
        <v>0</v>
      </c>
      <c r="BU35">
        <v>0</v>
      </c>
      <c r="BV35">
        <v>0.6</v>
      </c>
      <c r="BW35">
        <v>0.69799999999999995</v>
      </c>
      <c r="BX35">
        <v>1</v>
      </c>
      <c r="BY35">
        <v>0.92</v>
      </c>
      <c r="BZ35">
        <v>1</v>
      </c>
      <c r="CA35">
        <v>0.05</v>
      </c>
      <c r="CB35">
        <v>0.1</v>
      </c>
      <c r="CC35">
        <v>0.31</v>
      </c>
      <c r="CD35">
        <v>4.0000000000000001E-3</v>
      </c>
      <c r="CE35">
        <v>0.2</v>
      </c>
      <c r="CF35" t="b">
        <v>0</v>
      </c>
      <c r="CG35" t="b">
        <v>0</v>
      </c>
      <c r="CH35" t="s">
        <v>93</v>
      </c>
      <c r="CI35">
        <v>100</v>
      </c>
      <c r="CJ35">
        <v>0</v>
      </c>
      <c r="CK35">
        <v>77.22</v>
      </c>
      <c r="CL35">
        <v>3.55</v>
      </c>
    </row>
    <row r="36" spans="1:90" x14ac:dyDescent="0.25">
      <c r="A36">
        <v>59</v>
      </c>
      <c r="B36" t="s">
        <v>132</v>
      </c>
      <c r="C36" t="s">
        <v>95</v>
      </c>
      <c r="D36" t="s">
        <v>96</v>
      </c>
      <c r="E36">
        <v>91</v>
      </c>
      <c r="F36">
        <v>3.4609999999999999</v>
      </c>
      <c r="G36">
        <v>6.9749999999999996</v>
      </c>
      <c r="H36">
        <v>30</v>
      </c>
      <c r="I36">
        <v>35</v>
      </c>
      <c r="J36">
        <v>35</v>
      </c>
      <c r="K36">
        <v>5.3</v>
      </c>
      <c r="L36">
        <v>54.393999999999998</v>
      </c>
      <c r="M36">
        <v>50</v>
      </c>
      <c r="N36">
        <v>20.654</v>
      </c>
      <c r="O36">
        <v>2.7749999999999999</v>
      </c>
      <c r="P36">
        <v>3.601</v>
      </c>
      <c r="Q36">
        <v>65.963999999999999</v>
      </c>
      <c r="R36">
        <v>80.924000000000007</v>
      </c>
      <c r="S36">
        <v>22.4</v>
      </c>
      <c r="T36">
        <v>19.933</v>
      </c>
      <c r="U36">
        <v>1.2250000000000001</v>
      </c>
      <c r="V36">
        <v>2.1469999999999998</v>
      </c>
      <c r="W36">
        <v>3.14</v>
      </c>
      <c r="X36">
        <v>3.202</v>
      </c>
      <c r="Y36">
        <v>1.569</v>
      </c>
      <c r="Z36">
        <v>0.23499999999999999</v>
      </c>
      <c r="AA36">
        <v>0.151</v>
      </c>
      <c r="AB36">
        <v>0.215</v>
      </c>
      <c r="AC36">
        <v>1.2050000000000001</v>
      </c>
      <c r="AD36">
        <v>2.1999999999999999E-2</v>
      </c>
      <c r="AE36">
        <v>7.3999999999999996E-2</v>
      </c>
      <c r="AF36">
        <v>0.104</v>
      </c>
      <c r="AG36">
        <v>5.18</v>
      </c>
      <c r="AH36">
        <v>83.11</v>
      </c>
      <c r="AI36">
        <v>25.751000000000001</v>
      </c>
      <c r="AJ36">
        <v>18.751000000000001</v>
      </c>
      <c r="AK36">
        <v>1</v>
      </c>
      <c r="AL36">
        <v>0</v>
      </c>
      <c r="AM36">
        <v>0</v>
      </c>
      <c r="AN36">
        <v>0</v>
      </c>
      <c r="AO36">
        <v>0.04</v>
      </c>
      <c r="AP36">
        <v>11.4</v>
      </c>
      <c r="AQ36">
        <v>3.32</v>
      </c>
      <c r="AR36">
        <v>3.39</v>
      </c>
      <c r="AS36">
        <v>7.22</v>
      </c>
      <c r="AT36">
        <v>4.66</v>
      </c>
      <c r="AU36">
        <v>1.83</v>
      </c>
      <c r="AV36">
        <v>5.63</v>
      </c>
      <c r="AW36">
        <v>3.81</v>
      </c>
      <c r="AX36">
        <v>1.42</v>
      </c>
      <c r="AY36">
        <v>5</v>
      </c>
      <c r="AZ36">
        <v>0</v>
      </c>
      <c r="BA36">
        <v>0.7</v>
      </c>
      <c r="BB36">
        <v>23.13</v>
      </c>
      <c r="BC36">
        <v>0.65</v>
      </c>
      <c r="BD36">
        <v>3.25</v>
      </c>
      <c r="BE36">
        <v>0</v>
      </c>
      <c r="BF36">
        <v>19.29</v>
      </c>
      <c r="BG36">
        <v>51.56</v>
      </c>
      <c r="BH36">
        <v>0.53</v>
      </c>
      <c r="BI36">
        <v>0.89</v>
      </c>
      <c r="BJ36">
        <v>0</v>
      </c>
      <c r="BK36">
        <v>91</v>
      </c>
      <c r="BL36">
        <v>73</v>
      </c>
      <c r="BM36">
        <v>11</v>
      </c>
      <c r="BN36">
        <v>89</v>
      </c>
      <c r="BO36">
        <v>0</v>
      </c>
      <c r="BP36">
        <v>0</v>
      </c>
      <c r="BQ36">
        <v>0</v>
      </c>
      <c r="BR36">
        <v>0</v>
      </c>
      <c r="BS36">
        <v>0</v>
      </c>
      <c r="BT36">
        <v>0</v>
      </c>
      <c r="BU36">
        <v>0</v>
      </c>
      <c r="BV36">
        <v>0.6</v>
      </c>
      <c r="BW36">
        <v>0.69799999999999995</v>
      </c>
      <c r="BX36">
        <v>1</v>
      </c>
      <c r="BY36">
        <v>0.92</v>
      </c>
      <c r="BZ36">
        <v>1</v>
      </c>
      <c r="CA36">
        <v>0.05</v>
      </c>
      <c r="CB36">
        <v>0.1</v>
      </c>
      <c r="CC36">
        <v>0.31</v>
      </c>
      <c r="CD36">
        <v>4.0000000000000001E-3</v>
      </c>
      <c r="CE36">
        <v>0.2</v>
      </c>
      <c r="CF36" t="b">
        <v>0</v>
      </c>
      <c r="CG36" t="b">
        <v>0</v>
      </c>
      <c r="CH36" t="s">
        <v>93</v>
      </c>
      <c r="CI36">
        <v>100</v>
      </c>
      <c r="CJ36">
        <v>0</v>
      </c>
      <c r="CK36">
        <v>34.29</v>
      </c>
      <c r="CL36">
        <v>1.51</v>
      </c>
    </row>
    <row r="37" spans="1:90" x14ac:dyDescent="0.25">
      <c r="A37">
        <v>60</v>
      </c>
      <c r="B37" t="s">
        <v>133</v>
      </c>
      <c r="C37" t="s">
        <v>95</v>
      </c>
      <c r="D37" t="s">
        <v>96</v>
      </c>
      <c r="E37">
        <v>89.92</v>
      </c>
      <c r="F37">
        <v>7.6219999999999999</v>
      </c>
      <c r="G37">
        <v>46.686</v>
      </c>
      <c r="H37">
        <v>25</v>
      </c>
      <c r="I37">
        <v>56</v>
      </c>
      <c r="J37">
        <v>19</v>
      </c>
      <c r="K37">
        <v>7.1909999999999998</v>
      </c>
      <c r="L37">
        <v>44.320999999999998</v>
      </c>
      <c r="M37">
        <v>82.584999999999994</v>
      </c>
      <c r="N37">
        <v>14.526999999999999</v>
      </c>
      <c r="O37">
        <v>1.7190000000000001</v>
      </c>
      <c r="P37">
        <v>2.2200000000000002</v>
      </c>
      <c r="Q37">
        <v>19.16</v>
      </c>
      <c r="R37">
        <v>28.052</v>
      </c>
      <c r="S37">
        <v>25</v>
      </c>
      <c r="T37">
        <v>7.0060000000000002</v>
      </c>
      <c r="U37">
        <v>1.095</v>
      </c>
      <c r="V37">
        <v>8.4789999999999992</v>
      </c>
      <c r="W37">
        <v>3.06</v>
      </c>
      <c r="X37">
        <v>3.597</v>
      </c>
      <c r="Y37">
        <v>3.2930000000000001</v>
      </c>
      <c r="Z37">
        <v>0.254</v>
      </c>
      <c r="AA37">
        <v>1.306</v>
      </c>
      <c r="AB37">
        <v>0.69699999999999995</v>
      </c>
      <c r="AC37">
        <v>1.7430000000000001</v>
      </c>
      <c r="AD37">
        <v>0.16600000000000001</v>
      </c>
      <c r="AE37">
        <v>0.08</v>
      </c>
      <c r="AF37">
        <v>0.48199999999999998</v>
      </c>
      <c r="AG37">
        <v>12.475</v>
      </c>
      <c r="AH37">
        <v>208.05799999999999</v>
      </c>
      <c r="AI37">
        <v>23.158000000000001</v>
      </c>
      <c r="AJ37">
        <v>66.180999999999997</v>
      </c>
      <c r="AK37">
        <v>1.762</v>
      </c>
      <c r="AL37">
        <v>0</v>
      </c>
      <c r="AM37">
        <v>0</v>
      </c>
      <c r="AN37">
        <v>0</v>
      </c>
      <c r="AO37">
        <v>0.3</v>
      </c>
      <c r="AP37">
        <v>11.569000000000001</v>
      </c>
      <c r="AQ37">
        <v>2.7229999999999999</v>
      </c>
      <c r="AR37">
        <v>3.0070000000000001</v>
      </c>
      <c r="AS37">
        <v>5.5339999999999998</v>
      </c>
      <c r="AT37">
        <v>3.9649999999999999</v>
      </c>
      <c r="AU37">
        <v>1.3939999999999999</v>
      </c>
      <c r="AV37">
        <v>5.2720000000000002</v>
      </c>
      <c r="AW37">
        <v>3.05</v>
      </c>
      <c r="AX37">
        <v>1.22</v>
      </c>
      <c r="AY37">
        <v>4.2270000000000003</v>
      </c>
      <c r="AZ37">
        <v>0</v>
      </c>
      <c r="BA37">
        <v>0.94299999999999995</v>
      </c>
      <c r="BB37">
        <v>25.795000000000002</v>
      </c>
      <c r="BC37">
        <v>0.52200000000000002</v>
      </c>
      <c r="BD37">
        <v>2.9470000000000001</v>
      </c>
      <c r="BE37">
        <v>4.4999999999999998E-2</v>
      </c>
      <c r="BF37">
        <v>18.332999999999998</v>
      </c>
      <c r="BG37">
        <v>50.195999999999998</v>
      </c>
      <c r="BH37">
        <v>0.30399999999999999</v>
      </c>
      <c r="BI37">
        <v>0.91500000000000004</v>
      </c>
      <c r="BJ37">
        <v>0</v>
      </c>
      <c r="BK37">
        <v>91</v>
      </c>
      <c r="BL37">
        <v>73</v>
      </c>
      <c r="BM37">
        <v>11</v>
      </c>
      <c r="BN37">
        <v>89</v>
      </c>
      <c r="BO37">
        <v>0</v>
      </c>
      <c r="BP37">
        <v>0</v>
      </c>
      <c r="BQ37">
        <v>0</v>
      </c>
      <c r="BR37">
        <v>0</v>
      </c>
      <c r="BS37">
        <v>0</v>
      </c>
      <c r="BT37">
        <v>0</v>
      </c>
      <c r="BU37">
        <v>0</v>
      </c>
      <c r="BV37">
        <v>0.6</v>
      </c>
      <c r="BW37">
        <v>0.69799999999999995</v>
      </c>
      <c r="BX37">
        <v>1</v>
      </c>
      <c r="BY37">
        <v>0.92</v>
      </c>
      <c r="BZ37">
        <v>1</v>
      </c>
      <c r="CA37">
        <v>0.05</v>
      </c>
      <c r="CB37">
        <v>0.1</v>
      </c>
      <c r="CC37">
        <v>0.31</v>
      </c>
      <c r="CD37">
        <v>4.0000000000000001E-3</v>
      </c>
      <c r="CE37">
        <v>0.2</v>
      </c>
      <c r="CF37" t="b">
        <v>0</v>
      </c>
      <c r="CG37" t="b">
        <v>0</v>
      </c>
      <c r="CH37" t="s">
        <v>93</v>
      </c>
      <c r="CI37">
        <v>100</v>
      </c>
      <c r="CJ37">
        <v>0</v>
      </c>
      <c r="CK37">
        <v>66.42</v>
      </c>
      <c r="CL37">
        <v>3.4</v>
      </c>
    </row>
    <row r="38" spans="1:90" x14ac:dyDescent="0.25">
      <c r="A38">
        <v>66</v>
      </c>
      <c r="B38" t="s">
        <v>134</v>
      </c>
      <c r="C38" t="s">
        <v>95</v>
      </c>
      <c r="D38" t="s">
        <v>96</v>
      </c>
      <c r="E38">
        <v>31.204000000000001</v>
      </c>
      <c r="F38">
        <v>11.103999999999999</v>
      </c>
      <c r="G38">
        <v>22.577000000000002</v>
      </c>
      <c r="H38">
        <v>26</v>
      </c>
      <c r="I38">
        <v>62</v>
      </c>
      <c r="J38">
        <v>12</v>
      </c>
      <c r="K38">
        <v>5</v>
      </c>
      <c r="L38">
        <v>45.52</v>
      </c>
      <c r="M38">
        <v>75</v>
      </c>
      <c r="N38">
        <v>69.924000000000007</v>
      </c>
      <c r="O38">
        <v>0.77800000000000002</v>
      </c>
      <c r="P38">
        <v>1.2050000000000001</v>
      </c>
      <c r="Q38">
        <v>3.198</v>
      </c>
      <c r="R38">
        <v>4.8339999999999996</v>
      </c>
      <c r="S38">
        <v>70</v>
      </c>
      <c r="T38">
        <v>0.57199999999999995</v>
      </c>
      <c r="U38">
        <v>4.0010000000000003</v>
      </c>
      <c r="V38">
        <v>28.74</v>
      </c>
      <c r="W38">
        <v>9.9860000000000007</v>
      </c>
      <c r="X38">
        <v>10.986000000000001</v>
      </c>
      <c r="Y38">
        <v>3.5990000000000002</v>
      </c>
      <c r="Z38">
        <v>0.125</v>
      </c>
      <c r="AA38">
        <v>1.821</v>
      </c>
      <c r="AB38">
        <v>0.76800000000000002</v>
      </c>
      <c r="AC38">
        <v>2.778</v>
      </c>
      <c r="AD38">
        <v>0.65400000000000003</v>
      </c>
      <c r="AE38">
        <v>0.499</v>
      </c>
      <c r="AF38">
        <v>1.153</v>
      </c>
      <c r="AG38">
        <v>9.2609999999999992</v>
      </c>
      <c r="AH38">
        <v>148.03</v>
      </c>
      <c r="AI38">
        <v>32.033999999999999</v>
      </c>
      <c r="AJ38">
        <v>108.43899999999999</v>
      </c>
      <c r="AK38">
        <v>0</v>
      </c>
      <c r="AL38">
        <v>0.16</v>
      </c>
      <c r="AM38">
        <v>0</v>
      </c>
      <c r="AN38">
        <v>0</v>
      </c>
      <c r="AO38">
        <v>0.4</v>
      </c>
      <c r="AP38">
        <v>4.2969999999999997</v>
      </c>
      <c r="AQ38">
        <v>2.6619999999999999</v>
      </c>
      <c r="AR38">
        <v>3.65</v>
      </c>
      <c r="AS38">
        <v>11.673</v>
      </c>
      <c r="AT38">
        <v>2.8140000000000001</v>
      </c>
      <c r="AU38">
        <v>1.9770000000000001</v>
      </c>
      <c r="AV38">
        <v>4.867</v>
      </c>
      <c r="AW38">
        <v>3.726</v>
      </c>
      <c r="AX38">
        <v>0.79800000000000004</v>
      </c>
      <c r="AY38">
        <v>4.867</v>
      </c>
      <c r="AZ38">
        <v>0.3</v>
      </c>
      <c r="BA38">
        <v>0.25</v>
      </c>
      <c r="BB38">
        <v>15</v>
      </c>
      <c r="BC38">
        <v>0.1</v>
      </c>
      <c r="BD38">
        <v>2.5</v>
      </c>
      <c r="BE38">
        <v>0.05</v>
      </c>
      <c r="BF38">
        <v>18</v>
      </c>
      <c r="BG38">
        <v>55</v>
      </c>
      <c r="BH38">
        <v>8</v>
      </c>
      <c r="BI38">
        <v>0.8</v>
      </c>
      <c r="BJ38">
        <v>0</v>
      </c>
      <c r="BK38">
        <v>91</v>
      </c>
      <c r="BL38">
        <v>73</v>
      </c>
      <c r="BM38">
        <v>45</v>
      </c>
      <c r="BN38">
        <v>55</v>
      </c>
      <c r="BO38">
        <v>0</v>
      </c>
      <c r="BP38">
        <v>0</v>
      </c>
      <c r="BQ38">
        <v>0</v>
      </c>
      <c r="BR38">
        <v>0</v>
      </c>
      <c r="BS38">
        <v>0</v>
      </c>
      <c r="BT38">
        <v>0</v>
      </c>
      <c r="BU38">
        <v>0</v>
      </c>
      <c r="BV38">
        <v>0.6</v>
      </c>
      <c r="BW38">
        <v>0.752</v>
      </c>
      <c r="BX38">
        <v>1</v>
      </c>
      <c r="BY38">
        <v>0.92</v>
      </c>
      <c r="BZ38">
        <v>1</v>
      </c>
      <c r="CA38">
        <v>0.05</v>
      </c>
      <c r="CB38">
        <v>0.1</v>
      </c>
      <c r="CC38">
        <v>0.31</v>
      </c>
      <c r="CD38">
        <v>4.0000000000000001E-3</v>
      </c>
      <c r="CE38">
        <v>0.2</v>
      </c>
      <c r="CF38" t="b">
        <v>0</v>
      </c>
      <c r="CG38" t="b">
        <v>0</v>
      </c>
      <c r="CH38" t="s">
        <v>93</v>
      </c>
      <c r="CI38">
        <v>100</v>
      </c>
      <c r="CJ38">
        <v>0</v>
      </c>
      <c r="CK38">
        <v>79.48</v>
      </c>
      <c r="CL38">
        <v>3.72</v>
      </c>
    </row>
    <row r="39" spans="1:90" x14ac:dyDescent="0.25">
      <c r="A39">
        <v>67</v>
      </c>
      <c r="B39" t="s">
        <v>135</v>
      </c>
      <c r="C39" t="s">
        <v>95</v>
      </c>
      <c r="D39" t="s">
        <v>96</v>
      </c>
      <c r="E39">
        <v>95.3</v>
      </c>
      <c r="F39">
        <v>15.5</v>
      </c>
      <c r="G39">
        <v>0</v>
      </c>
      <c r="H39">
        <v>0</v>
      </c>
      <c r="I39">
        <v>0</v>
      </c>
      <c r="J39">
        <v>0</v>
      </c>
      <c r="K39">
        <v>0</v>
      </c>
      <c r="L39">
        <v>0</v>
      </c>
      <c r="M39">
        <v>0</v>
      </c>
      <c r="N39">
        <v>0</v>
      </c>
      <c r="O39">
        <v>0</v>
      </c>
      <c r="P39">
        <v>0</v>
      </c>
      <c r="Q39">
        <v>0</v>
      </c>
      <c r="R39">
        <v>0</v>
      </c>
      <c r="S39">
        <v>0</v>
      </c>
      <c r="T39">
        <v>0</v>
      </c>
      <c r="U39">
        <v>0</v>
      </c>
      <c r="V39">
        <v>0</v>
      </c>
      <c r="W39">
        <v>84.5</v>
      </c>
      <c r="X39">
        <v>84.5</v>
      </c>
      <c r="Y39">
        <v>5.4169999999999998</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0.2</v>
      </c>
      <c r="BA39">
        <v>1.6</v>
      </c>
      <c r="BB39">
        <v>50.8</v>
      </c>
      <c r="BC39">
        <v>0</v>
      </c>
      <c r="BD39">
        <v>4.0999999999999996</v>
      </c>
      <c r="BE39">
        <v>0</v>
      </c>
      <c r="BF39">
        <v>35.700000000000003</v>
      </c>
      <c r="BG39">
        <v>7</v>
      </c>
      <c r="BH39">
        <v>0.2</v>
      </c>
      <c r="BI39">
        <v>0.4</v>
      </c>
      <c r="BJ39">
        <v>0</v>
      </c>
      <c r="BK39">
        <v>91</v>
      </c>
      <c r="BL39">
        <v>73</v>
      </c>
      <c r="BM39">
        <v>100</v>
      </c>
      <c r="BN39">
        <v>0</v>
      </c>
      <c r="BO39">
        <v>0</v>
      </c>
      <c r="BP39">
        <v>0</v>
      </c>
      <c r="BQ39">
        <v>0</v>
      </c>
      <c r="BR39">
        <v>0</v>
      </c>
      <c r="BS39">
        <v>0</v>
      </c>
      <c r="BT39">
        <v>0</v>
      </c>
      <c r="BU39">
        <v>0</v>
      </c>
      <c r="BV39">
        <v>0.6</v>
      </c>
      <c r="BW39">
        <v>0.84</v>
      </c>
      <c r="BX39">
        <v>0</v>
      </c>
      <c r="BY39">
        <v>0</v>
      </c>
      <c r="BZ39">
        <v>0</v>
      </c>
      <c r="CA39">
        <v>0</v>
      </c>
      <c r="CB39">
        <v>0</v>
      </c>
      <c r="CC39">
        <v>0</v>
      </c>
      <c r="CD39">
        <v>0</v>
      </c>
      <c r="CE39">
        <v>0</v>
      </c>
      <c r="CF39" t="b">
        <v>1</v>
      </c>
      <c r="CG39" t="b">
        <v>0</v>
      </c>
      <c r="CH39" t="s">
        <v>93</v>
      </c>
      <c r="CI39">
        <v>100</v>
      </c>
      <c r="CJ39">
        <v>0</v>
      </c>
      <c r="CK39">
        <v>163.51</v>
      </c>
      <c r="CL39">
        <v>6.83</v>
      </c>
    </row>
    <row r="40" spans="1:90" x14ac:dyDescent="0.25">
      <c r="A40">
        <v>79</v>
      </c>
      <c r="B40" t="s">
        <v>136</v>
      </c>
      <c r="C40" t="s">
        <v>95</v>
      </c>
      <c r="D40" t="s">
        <v>96</v>
      </c>
      <c r="E40">
        <v>99.8</v>
      </c>
      <c r="F40">
        <v>0</v>
      </c>
      <c r="G40">
        <v>0</v>
      </c>
      <c r="H40">
        <v>0</v>
      </c>
      <c r="I40">
        <v>0</v>
      </c>
      <c r="J40">
        <v>0</v>
      </c>
      <c r="K40">
        <v>0</v>
      </c>
      <c r="L40">
        <v>0</v>
      </c>
      <c r="M40">
        <v>0</v>
      </c>
      <c r="N40">
        <v>0</v>
      </c>
      <c r="O40">
        <v>0</v>
      </c>
      <c r="P40">
        <v>0</v>
      </c>
      <c r="Q40">
        <v>0</v>
      </c>
      <c r="R40">
        <v>0</v>
      </c>
      <c r="S40">
        <v>0</v>
      </c>
      <c r="T40">
        <v>0</v>
      </c>
      <c r="U40">
        <v>0</v>
      </c>
      <c r="V40">
        <v>0</v>
      </c>
      <c r="W40">
        <v>88</v>
      </c>
      <c r="X40">
        <v>99.8</v>
      </c>
      <c r="Y40">
        <v>6.008</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0.09</v>
      </c>
      <c r="BA40">
        <v>3.0030000000000001</v>
      </c>
      <c r="BB40">
        <v>24.431000000000001</v>
      </c>
      <c r="BC40">
        <v>3.7930000000000001</v>
      </c>
      <c r="BD40">
        <v>17.917000000000002</v>
      </c>
      <c r="BE40">
        <v>3.99</v>
      </c>
      <c r="BF40">
        <v>41.616999999999997</v>
      </c>
      <c r="BG40">
        <v>1.0900000000000001</v>
      </c>
      <c r="BH40">
        <v>0.53</v>
      </c>
      <c r="BI40">
        <v>3.5390000000000001</v>
      </c>
      <c r="BJ40">
        <v>0</v>
      </c>
      <c r="BK40">
        <v>91</v>
      </c>
      <c r="BL40">
        <v>68</v>
      </c>
      <c r="BM40">
        <v>0</v>
      </c>
      <c r="BN40">
        <v>100</v>
      </c>
      <c r="BO40">
        <v>0</v>
      </c>
      <c r="BP40">
        <v>0</v>
      </c>
      <c r="BQ40">
        <v>0</v>
      </c>
      <c r="BR40">
        <v>0</v>
      </c>
      <c r="BS40">
        <v>0</v>
      </c>
      <c r="BT40">
        <v>0</v>
      </c>
      <c r="BU40">
        <v>0</v>
      </c>
      <c r="BV40">
        <v>0</v>
      </c>
      <c r="BW40">
        <v>0</v>
      </c>
      <c r="BX40">
        <v>0</v>
      </c>
      <c r="BY40">
        <v>0</v>
      </c>
      <c r="BZ40">
        <v>0</v>
      </c>
      <c r="CA40">
        <v>0</v>
      </c>
      <c r="CB40">
        <v>0</v>
      </c>
      <c r="CC40">
        <v>0</v>
      </c>
      <c r="CD40">
        <v>0</v>
      </c>
      <c r="CE40">
        <v>0</v>
      </c>
      <c r="CF40" t="b">
        <v>1</v>
      </c>
      <c r="CG40" t="b">
        <v>0</v>
      </c>
      <c r="CH40" t="s">
        <v>93</v>
      </c>
      <c r="CI40">
        <v>100</v>
      </c>
      <c r="CJ40">
        <v>0</v>
      </c>
      <c r="CK40">
        <v>147.4</v>
      </c>
      <c r="CL40">
        <v>6.17</v>
      </c>
    </row>
    <row r="41" spans="1:90" x14ac:dyDescent="0.25">
      <c r="A41">
        <v>80</v>
      </c>
      <c r="B41" t="s">
        <v>137</v>
      </c>
      <c r="C41" t="s">
        <v>95</v>
      </c>
      <c r="D41" t="s">
        <v>96</v>
      </c>
      <c r="E41">
        <v>92.867999999999995</v>
      </c>
      <c r="F41">
        <v>2.3079999999999998</v>
      </c>
      <c r="G41">
        <v>90.554000000000002</v>
      </c>
      <c r="H41">
        <v>24</v>
      </c>
      <c r="I41">
        <v>31</v>
      </c>
      <c r="J41">
        <v>45</v>
      </c>
      <c r="K41">
        <v>0.83499999999999996</v>
      </c>
      <c r="L41">
        <v>73.305999999999997</v>
      </c>
      <c r="M41">
        <v>67.88</v>
      </c>
      <c r="N41">
        <v>9.9190000000000005</v>
      </c>
      <c r="O41">
        <v>9.2750000000000004</v>
      </c>
      <c r="P41">
        <v>12.695</v>
      </c>
      <c r="Q41">
        <v>0</v>
      </c>
      <c r="R41">
        <v>0</v>
      </c>
      <c r="S41">
        <v>0</v>
      </c>
      <c r="T41">
        <v>0</v>
      </c>
      <c r="U41">
        <v>0</v>
      </c>
      <c r="V41">
        <v>0</v>
      </c>
      <c r="W41">
        <v>7.85</v>
      </c>
      <c r="X41">
        <v>8.9179999999999993</v>
      </c>
      <c r="Y41">
        <v>4.0869999999999997</v>
      </c>
      <c r="Z41">
        <v>0.503</v>
      </c>
      <c r="AA41">
        <v>0.317</v>
      </c>
      <c r="AB41">
        <v>0.04</v>
      </c>
      <c r="AC41">
        <v>0.183</v>
      </c>
      <c r="AD41">
        <v>0.16400000000000001</v>
      </c>
      <c r="AE41">
        <v>0.22900000000000001</v>
      </c>
      <c r="AF41">
        <v>1.7789999999999999</v>
      </c>
      <c r="AG41">
        <v>9.1199999999999992</v>
      </c>
      <c r="AH41">
        <v>346.84899999999999</v>
      </c>
      <c r="AI41">
        <v>11.785</v>
      </c>
      <c r="AJ41">
        <v>86.915000000000006</v>
      </c>
      <c r="AK41">
        <v>1</v>
      </c>
      <c r="AL41">
        <v>0</v>
      </c>
      <c r="AM41">
        <v>0</v>
      </c>
      <c r="AN41">
        <v>0</v>
      </c>
      <c r="AO41">
        <v>0.7</v>
      </c>
      <c r="AP41">
        <v>6.5629999999999997</v>
      </c>
      <c r="AQ41">
        <v>1.208</v>
      </c>
      <c r="AR41">
        <v>4.5949999999999998</v>
      </c>
      <c r="AS41">
        <v>8.1319999999999997</v>
      </c>
      <c r="AT41">
        <v>2.6030000000000002</v>
      </c>
      <c r="AU41">
        <v>0.69699999999999995</v>
      </c>
      <c r="AV41">
        <v>4.7699999999999996</v>
      </c>
      <c r="AW41">
        <v>4.5330000000000004</v>
      </c>
      <c r="AX41">
        <v>0.76</v>
      </c>
      <c r="AY41">
        <v>7.0110000000000001</v>
      </c>
      <c r="AZ41">
        <v>0.34</v>
      </c>
      <c r="BA41">
        <v>1.0900000000000001</v>
      </c>
      <c r="BB41">
        <v>24.33</v>
      </c>
      <c r="BC41">
        <v>6.51</v>
      </c>
      <c r="BD41">
        <v>8.27</v>
      </c>
      <c r="BE41">
        <v>1.0900000000000001</v>
      </c>
      <c r="BF41">
        <v>32.51</v>
      </c>
      <c r="BG41">
        <v>13.19</v>
      </c>
      <c r="BH41">
        <v>0.54</v>
      </c>
      <c r="BI41">
        <v>12.13</v>
      </c>
      <c r="BJ41">
        <v>0</v>
      </c>
      <c r="BK41">
        <v>91</v>
      </c>
      <c r="BL41">
        <v>73</v>
      </c>
      <c r="BM41">
        <v>0</v>
      </c>
      <c r="BN41">
        <v>100</v>
      </c>
      <c r="BO41">
        <v>0</v>
      </c>
      <c r="BP41">
        <v>0</v>
      </c>
      <c r="BQ41">
        <v>0</v>
      </c>
      <c r="BR41">
        <v>0</v>
      </c>
      <c r="BS41">
        <v>0</v>
      </c>
      <c r="BT41">
        <v>0</v>
      </c>
      <c r="BU41">
        <v>0</v>
      </c>
      <c r="BV41">
        <v>0.6</v>
      </c>
      <c r="BW41">
        <v>0.68</v>
      </c>
      <c r="BX41">
        <v>1</v>
      </c>
      <c r="BY41">
        <v>0.92</v>
      </c>
      <c r="BZ41">
        <v>1</v>
      </c>
      <c r="CA41">
        <v>0.05</v>
      </c>
      <c r="CB41">
        <v>0.1</v>
      </c>
      <c r="CC41">
        <v>0.31</v>
      </c>
      <c r="CD41">
        <v>4.0000000000000001E-3</v>
      </c>
      <c r="CE41">
        <v>0.2</v>
      </c>
      <c r="CF41" t="b">
        <v>0</v>
      </c>
      <c r="CG41" t="b">
        <v>0</v>
      </c>
      <c r="CH41" t="s">
        <v>93</v>
      </c>
      <c r="CI41">
        <v>100</v>
      </c>
      <c r="CJ41">
        <v>0</v>
      </c>
      <c r="CK41">
        <v>72.760000000000005</v>
      </c>
      <c r="CL41">
        <v>4.05</v>
      </c>
    </row>
    <row r="42" spans="1:90" x14ac:dyDescent="0.25">
      <c r="A42">
        <v>83</v>
      </c>
      <c r="B42" t="s">
        <v>138</v>
      </c>
      <c r="C42" t="s">
        <v>95</v>
      </c>
      <c r="D42" t="s">
        <v>96</v>
      </c>
      <c r="E42">
        <v>92.027000000000001</v>
      </c>
      <c r="F42">
        <v>21.12</v>
      </c>
      <c r="G42">
        <v>69.191999999999993</v>
      </c>
      <c r="H42">
        <v>36</v>
      </c>
      <c r="I42">
        <v>38</v>
      </c>
      <c r="J42">
        <v>26</v>
      </c>
      <c r="K42">
        <v>1.85</v>
      </c>
      <c r="L42">
        <v>56.45</v>
      </c>
      <c r="M42">
        <v>75.832999999999998</v>
      </c>
      <c r="N42">
        <v>22.417000000000002</v>
      </c>
      <c r="O42">
        <v>1.04</v>
      </c>
      <c r="P42">
        <v>4.05</v>
      </c>
      <c r="Q42">
        <v>0</v>
      </c>
      <c r="R42">
        <v>0</v>
      </c>
      <c r="S42">
        <v>0</v>
      </c>
      <c r="T42">
        <v>0</v>
      </c>
      <c r="U42">
        <v>0</v>
      </c>
      <c r="V42">
        <v>0</v>
      </c>
      <c r="W42">
        <v>6.44</v>
      </c>
      <c r="X42">
        <v>10.483000000000001</v>
      </c>
      <c r="Y42">
        <v>3.609</v>
      </c>
      <c r="Z42">
        <v>5.5590000000000002</v>
      </c>
      <c r="AA42">
        <v>3.161</v>
      </c>
      <c r="AB42">
        <v>0.23499999999999999</v>
      </c>
      <c r="AC42">
        <v>0.93400000000000005</v>
      </c>
      <c r="AD42">
        <v>0.82099999999999995</v>
      </c>
      <c r="AE42">
        <v>1.0569999999999999</v>
      </c>
      <c r="AF42">
        <v>0.876</v>
      </c>
      <c r="AG42">
        <v>6.016</v>
      </c>
      <c r="AH42">
        <v>803.86400000000003</v>
      </c>
      <c r="AI42">
        <v>44.4</v>
      </c>
      <c r="AJ42">
        <v>91.765000000000001</v>
      </c>
      <c r="AK42">
        <v>1.4810000000000001</v>
      </c>
      <c r="AL42">
        <v>0</v>
      </c>
      <c r="AM42">
        <v>0</v>
      </c>
      <c r="AN42">
        <v>0</v>
      </c>
      <c r="AO42">
        <v>1.5</v>
      </c>
      <c r="AP42">
        <v>5.625</v>
      </c>
      <c r="AQ42">
        <v>2.3479999999999999</v>
      </c>
      <c r="AR42">
        <v>3.8849999999999998</v>
      </c>
      <c r="AS42">
        <v>6.74</v>
      </c>
      <c r="AT42">
        <v>6.8239999999999998</v>
      </c>
      <c r="AU42">
        <v>2.5339999999999998</v>
      </c>
      <c r="AV42">
        <v>3.7330000000000001</v>
      </c>
      <c r="AW42">
        <v>3.8849999999999998</v>
      </c>
      <c r="AX42">
        <v>0.96299999999999997</v>
      </c>
      <c r="AY42">
        <v>4.5949999999999998</v>
      </c>
      <c r="AZ42">
        <v>0</v>
      </c>
      <c r="BA42">
        <v>10.35</v>
      </c>
      <c r="BB42">
        <v>28.463999999999999</v>
      </c>
      <c r="BC42">
        <v>13.006</v>
      </c>
      <c r="BD42">
        <v>5.9950000000000001</v>
      </c>
      <c r="BE42">
        <v>0.2</v>
      </c>
      <c r="BF42">
        <v>10.97</v>
      </c>
      <c r="BG42">
        <v>1.095</v>
      </c>
      <c r="BH42">
        <v>0.96299999999999997</v>
      </c>
      <c r="BI42">
        <v>28.957000000000001</v>
      </c>
      <c r="BJ42">
        <v>0</v>
      </c>
      <c r="BK42">
        <v>91</v>
      </c>
      <c r="BL42">
        <v>73</v>
      </c>
      <c r="BM42">
        <v>0</v>
      </c>
      <c r="BN42">
        <v>100</v>
      </c>
      <c r="BO42">
        <v>0</v>
      </c>
      <c r="BP42">
        <v>0</v>
      </c>
      <c r="BQ42">
        <v>0</v>
      </c>
      <c r="BR42">
        <v>0</v>
      </c>
      <c r="BS42">
        <v>0</v>
      </c>
      <c r="BT42">
        <v>0</v>
      </c>
      <c r="BU42">
        <v>0</v>
      </c>
      <c r="BV42">
        <v>0.6</v>
      </c>
      <c r="BW42">
        <v>0.68</v>
      </c>
      <c r="BX42">
        <v>1</v>
      </c>
      <c r="BY42">
        <v>0.92</v>
      </c>
      <c r="BZ42">
        <v>1</v>
      </c>
      <c r="CA42">
        <v>0.05</v>
      </c>
      <c r="CB42">
        <v>0.1</v>
      </c>
      <c r="CC42">
        <v>0.31</v>
      </c>
      <c r="CD42">
        <v>4.0000000000000001E-3</v>
      </c>
      <c r="CE42">
        <v>0.2</v>
      </c>
      <c r="CF42" t="b">
        <v>0</v>
      </c>
      <c r="CG42" t="b">
        <v>0</v>
      </c>
      <c r="CH42" t="s">
        <v>93</v>
      </c>
      <c r="CI42">
        <v>100</v>
      </c>
      <c r="CJ42">
        <v>0</v>
      </c>
      <c r="CK42">
        <v>79.91</v>
      </c>
      <c r="CL42">
        <v>4.25</v>
      </c>
    </row>
    <row r="43" spans="1:90" x14ac:dyDescent="0.25">
      <c r="A43">
        <v>88</v>
      </c>
      <c r="B43" t="s">
        <v>139</v>
      </c>
      <c r="C43" t="s">
        <v>109</v>
      </c>
      <c r="D43" t="s">
        <v>92</v>
      </c>
      <c r="E43">
        <v>89.847999999999999</v>
      </c>
      <c r="F43">
        <v>6.7119999999999997</v>
      </c>
      <c r="G43">
        <v>9.234</v>
      </c>
      <c r="H43">
        <v>30</v>
      </c>
      <c r="I43">
        <v>56</v>
      </c>
      <c r="J43">
        <v>14</v>
      </c>
      <c r="K43">
        <v>5.5</v>
      </c>
      <c r="L43">
        <v>42.222000000000001</v>
      </c>
      <c r="M43">
        <v>60</v>
      </c>
      <c r="N43">
        <v>29.349</v>
      </c>
      <c r="O43">
        <v>1.484</v>
      </c>
      <c r="P43">
        <v>3.7930000000000001</v>
      </c>
      <c r="Q43">
        <v>41.445</v>
      </c>
      <c r="R43">
        <v>66.667000000000002</v>
      </c>
      <c r="S43">
        <v>55.828000000000003</v>
      </c>
      <c r="T43">
        <v>5.9710000000000001</v>
      </c>
      <c r="U43">
        <v>2.016</v>
      </c>
      <c r="V43">
        <v>10.798</v>
      </c>
      <c r="W43">
        <v>0.95499999999999996</v>
      </c>
      <c r="X43">
        <v>2.351</v>
      </c>
      <c r="Y43">
        <v>2.3439999999999999</v>
      </c>
      <c r="Z43">
        <v>0.438</v>
      </c>
      <c r="AA43">
        <v>0.214</v>
      </c>
      <c r="AB43">
        <v>0.19600000000000001</v>
      </c>
      <c r="AC43">
        <v>1.633</v>
      </c>
      <c r="AD43">
        <v>6.0999999999999999E-2</v>
      </c>
      <c r="AE43">
        <v>0.57999999999999996</v>
      </c>
      <c r="AF43">
        <v>0.153</v>
      </c>
      <c r="AG43">
        <v>8.33</v>
      </c>
      <c r="AH43">
        <v>195.91</v>
      </c>
      <c r="AI43">
        <v>92.683999999999997</v>
      </c>
      <c r="AJ43">
        <v>25.550999999999998</v>
      </c>
      <c r="AK43">
        <v>1.5269999999999999</v>
      </c>
      <c r="AL43">
        <v>0.15</v>
      </c>
      <c r="AM43">
        <v>0</v>
      </c>
      <c r="AN43">
        <v>0</v>
      </c>
      <c r="AO43">
        <v>0.06</v>
      </c>
      <c r="AP43">
        <v>4.1040000000000001</v>
      </c>
      <c r="AQ43">
        <v>1.94</v>
      </c>
      <c r="AR43">
        <v>3.9550000000000001</v>
      </c>
      <c r="AS43">
        <v>7.3879999999999999</v>
      </c>
      <c r="AT43">
        <v>4.851</v>
      </c>
      <c r="AU43">
        <v>1.6419999999999999</v>
      </c>
      <c r="AV43">
        <v>4.7759999999999998</v>
      </c>
      <c r="AW43">
        <v>4.1040000000000001</v>
      </c>
      <c r="AX43">
        <v>2.09</v>
      </c>
      <c r="AY43">
        <v>5.2240000000000002</v>
      </c>
      <c r="AZ43">
        <v>0.89300000000000002</v>
      </c>
      <c r="BA43">
        <v>0</v>
      </c>
      <c r="BB43">
        <v>15.218</v>
      </c>
      <c r="BC43">
        <v>1.476</v>
      </c>
      <c r="BD43">
        <v>1.29</v>
      </c>
      <c r="BE43">
        <v>0</v>
      </c>
      <c r="BF43">
        <v>2.5219999999999998</v>
      </c>
      <c r="BG43">
        <v>16.617999999999999</v>
      </c>
      <c r="BH43">
        <v>55.497</v>
      </c>
      <c r="BI43">
        <v>6.4859999999999998</v>
      </c>
      <c r="BJ43">
        <v>0</v>
      </c>
      <c r="BK43">
        <v>91</v>
      </c>
      <c r="BL43">
        <v>73</v>
      </c>
      <c r="BM43">
        <v>67</v>
      </c>
      <c r="BN43">
        <v>33</v>
      </c>
      <c r="BO43">
        <v>0</v>
      </c>
      <c r="BP43">
        <v>0</v>
      </c>
      <c r="BQ43">
        <v>0</v>
      </c>
      <c r="BR43">
        <v>0</v>
      </c>
      <c r="BS43">
        <v>0</v>
      </c>
      <c r="BT43">
        <v>0</v>
      </c>
      <c r="BU43">
        <v>0</v>
      </c>
      <c r="BV43">
        <v>0.4</v>
      </c>
      <c r="BW43">
        <v>0.78700000000000003</v>
      </c>
      <c r="BX43">
        <v>1</v>
      </c>
      <c r="BY43">
        <v>0.92</v>
      </c>
      <c r="BZ43">
        <v>1</v>
      </c>
      <c r="CA43">
        <v>0.05</v>
      </c>
      <c r="CB43">
        <v>0.1</v>
      </c>
      <c r="CC43">
        <v>0.31</v>
      </c>
      <c r="CD43">
        <v>4.0000000000000001E-3</v>
      </c>
      <c r="CE43">
        <v>0.2</v>
      </c>
      <c r="CF43" t="b">
        <v>0</v>
      </c>
      <c r="CG43" t="b">
        <v>0</v>
      </c>
      <c r="CH43" t="s">
        <v>93</v>
      </c>
      <c r="CI43">
        <v>100</v>
      </c>
      <c r="CJ43">
        <v>0</v>
      </c>
      <c r="CK43">
        <v>56.04</v>
      </c>
      <c r="CL43">
        <v>2.48</v>
      </c>
    </row>
    <row r="44" spans="1:90" x14ac:dyDescent="0.25">
      <c r="A44">
        <v>89</v>
      </c>
      <c r="B44" t="s">
        <v>140</v>
      </c>
      <c r="C44" t="s">
        <v>109</v>
      </c>
      <c r="D44" t="s">
        <v>92</v>
      </c>
      <c r="E44">
        <v>88.331000000000003</v>
      </c>
      <c r="F44">
        <v>8.5670000000000002</v>
      </c>
      <c r="G44">
        <v>13.28</v>
      </c>
      <c r="H44">
        <v>30</v>
      </c>
      <c r="I44">
        <v>56</v>
      </c>
      <c r="J44">
        <v>14</v>
      </c>
      <c r="K44">
        <v>5.5</v>
      </c>
      <c r="L44">
        <v>42.222000000000001</v>
      </c>
      <c r="M44">
        <v>60</v>
      </c>
      <c r="N44">
        <v>30.541</v>
      </c>
      <c r="O44">
        <v>1.4279999999999999</v>
      </c>
      <c r="P44">
        <v>4.8520000000000003</v>
      </c>
      <c r="Q44">
        <v>35.524000000000001</v>
      </c>
      <c r="R44">
        <v>58.006999999999998</v>
      </c>
      <c r="S44">
        <v>67.828999999999994</v>
      </c>
      <c r="T44">
        <v>4.1669999999999998</v>
      </c>
      <c r="U44">
        <v>2.2170000000000001</v>
      </c>
      <c r="V44">
        <v>15.234999999999999</v>
      </c>
      <c r="W44">
        <v>1.5760000000000001</v>
      </c>
      <c r="X44">
        <v>3.2330000000000001</v>
      </c>
      <c r="Y44">
        <v>2.5339999999999998</v>
      </c>
      <c r="Z44">
        <v>0.48199999999999998</v>
      </c>
      <c r="AA44">
        <v>0.28100000000000003</v>
      </c>
      <c r="AB44">
        <v>0.22600000000000001</v>
      </c>
      <c r="AC44">
        <v>2.2650000000000001</v>
      </c>
      <c r="AD44">
        <v>0.105</v>
      </c>
      <c r="AE44">
        <v>0.78100000000000003</v>
      </c>
      <c r="AF44">
        <v>0.19700000000000001</v>
      </c>
      <c r="AG44">
        <v>9.2110000000000003</v>
      </c>
      <c r="AH44">
        <v>216.80600000000001</v>
      </c>
      <c r="AI44">
        <v>86.037000000000006</v>
      </c>
      <c r="AJ44">
        <v>26.556000000000001</v>
      </c>
      <c r="AK44">
        <v>1.69</v>
      </c>
      <c r="AL44">
        <v>0.15</v>
      </c>
      <c r="AM44">
        <v>0</v>
      </c>
      <c r="AN44">
        <v>0</v>
      </c>
      <c r="AO44">
        <v>0.06</v>
      </c>
      <c r="AP44">
        <v>4.1040000000000001</v>
      </c>
      <c r="AQ44">
        <v>1.94</v>
      </c>
      <c r="AR44">
        <v>3.9550000000000001</v>
      </c>
      <c r="AS44">
        <v>7.3879999999999999</v>
      </c>
      <c r="AT44">
        <v>4.851</v>
      </c>
      <c r="AU44">
        <v>1.6419999999999999</v>
      </c>
      <c r="AV44">
        <v>4.7759999999999998</v>
      </c>
      <c r="AW44">
        <v>4.1040000000000001</v>
      </c>
      <c r="AX44">
        <v>2.09</v>
      </c>
      <c r="AY44">
        <v>5.2240000000000002</v>
      </c>
      <c r="AZ44">
        <v>0.89300000000000002</v>
      </c>
      <c r="BA44">
        <v>0</v>
      </c>
      <c r="BB44">
        <v>15.218</v>
      </c>
      <c r="BC44">
        <v>1.476</v>
      </c>
      <c r="BD44">
        <v>1.29</v>
      </c>
      <c r="BE44">
        <v>0</v>
      </c>
      <c r="BF44">
        <v>2.5219999999999998</v>
      </c>
      <c r="BG44">
        <v>16.617999999999999</v>
      </c>
      <c r="BH44">
        <v>55.497</v>
      </c>
      <c r="BI44">
        <v>6.4859999999999998</v>
      </c>
      <c r="BJ44">
        <v>0</v>
      </c>
      <c r="BK44">
        <v>91</v>
      </c>
      <c r="BL44">
        <v>73</v>
      </c>
      <c r="BM44">
        <v>67</v>
      </c>
      <c r="BN44">
        <v>33</v>
      </c>
      <c r="BO44">
        <v>0</v>
      </c>
      <c r="BP44">
        <v>0</v>
      </c>
      <c r="BQ44">
        <v>0</v>
      </c>
      <c r="BR44">
        <v>0</v>
      </c>
      <c r="BS44">
        <v>0</v>
      </c>
      <c r="BT44">
        <v>0</v>
      </c>
      <c r="BU44">
        <v>0</v>
      </c>
      <c r="BV44">
        <v>0.4</v>
      </c>
      <c r="BW44">
        <v>0.78700000000000003</v>
      </c>
      <c r="BX44">
        <v>1</v>
      </c>
      <c r="BY44">
        <v>0.92</v>
      </c>
      <c r="BZ44">
        <v>1</v>
      </c>
      <c r="CA44">
        <v>0.05</v>
      </c>
      <c r="CB44">
        <v>0.1</v>
      </c>
      <c r="CC44">
        <v>0.31</v>
      </c>
      <c r="CD44">
        <v>4.0000000000000001E-3</v>
      </c>
      <c r="CE44">
        <v>0.2</v>
      </c>
      <c r="CF44" t="b">
        <v>0</v>
      </c>
      <c r="CG44" t="b">
        <v>0</v>
      </c>
      <c r="CH44" t="s">
        <v>93</v>
      </c>
      <c r="CI44">
        <v>100</v>
      </c>
      <c r="CJ44">
        <v>0</v>
      </c>
      <c r="CK44">
        <v>59.72</v>
      </c>
      <c r="CL44">
        <v>2.67</v>
      </c>
    </row>
    <row r="45" spans="1:90" x14ac:dyDescent="0.25">
      <c r="A45">
        <v>91</v>
      </c>
      <c r="B45" t="s">
        <v>141</v>
      </c>
      <c r="C45" t="s">
        <v>109</v>
      </c>
      <c r="D45" t="s">
        <v>92</v>
      </c>
      <c r="E45">
        <v>38.843000000000004</v>
      </c>
      <c r="F45">
        <v>8.0779999999999994</v>
      </c>
      <c r="G45">
        <v>13.422000000000001</v>
      </c>
      <c r="H45">
        <v>52</v>
      </c>
      <c r="I45">
        <v>35</v>
      </c>
      <c r="J45">
        <v>13</v>
      </c>
      <c r="K45">
        <v>5.7</v>
      </c>
      <c r="L45">
        <v>32.456000000000003</v>
      </c>
      <c r="M45">
        <v>60</v>
      </c>
      <c r="N45">
        <v>47.978999999999999</v>
      </c>
      <c r="O45">
        <v>1.6040000000000001</v>
      </c>
      <c r="P45">
        <v>3.69</v>
      </c>
      <c r="Q45">
        <v>38.970999999999997</v>
      </c>
      <c r="R45">
        <v>62.067</v>
      </c>
      <c r="S45">
        <v>63.594000000000001</v>
      </c>
      <c r="T45">
        <v>5.8170000000000002</v>
      </c>
      <c r="U45">
        <v>1.9359999999999999</v>
      </c>
      <c r="V45">
        <v>7.29</v>
      </c>
      <c r="W45">
        <v>1.835</v>
      </c>
      <c r="X45">
        <v>3.633</v>
      </c>
      <c r="Y45">
        <v>2.4390000000000001</v>
      </c>
      <c r="Z45">
        <v>0.55300000000000005</v>
      </c>
      <c r="AA45">
        <v>0.307</v>
      </c>
      <c r="AB45">
        <v>0.21099999999999999</v>
      </c>
      <c r="AC45">
        <v>2.2879999999999998</v>
      </c>
      <c r="AD45">
        <v>7.6999999999999999E-2</v>
      </c>
      <c r="AE45">
        <v>0.67100000000000004</v>
      </c>
      <c r="AF45">
        <v>0.2</v>
      </c>
      <c r="AG45">
        <v>9.4570000000000007</v>
      </c>
      <c r="AH45">
        <v>449.65800000000002</v>
      </c>
      <c r="AI45">
        <v>95.480999999999995</v>
      </c>
      <c r="AJ45">
        <v>32.548999999999999</v>
      </c>
      <c r="AK45">
        <v>1.8740000000000001</v>
      </c>
      <c r="AL45">
        <v>0.15</v>
      </c>
      <c r="AM45">
        <v>0</v>
      </c>
      <c r="AN45">
        <v>0</v>
      </c>
      <c r="AO45">
        <v>0.06</v>
      </c>
      <c r="AP45">
        <v>3.06</v>
      </c>
      <c r="AQ45">
        <v>1.66</v>
      </c>
      <c r="AR45">
        <v>3.57</v>
      </c>
      <c r="AS45">
        <v>6.12</v>
      </c>
      <c r="AT45">
        <v>3.28</v>
      </c>
      <c r="AU45">
        <v>1.21</v>
      </c>
      <c r="AV45">
        <v>4.37</v>
      </c>
      <c r="AW45">
        <v>3.34</v>
      </c>
      <c r="AX45">
        <v>1.07</v>
      </c>
      <c r="AY45">
        <v>4.8899999999999997</v>
      </c>
      <c r="AZ45">
        <v>6.5570000000000004</v>
      </c>
      <c r="BA45">
        <v>0.54100000000000004</v>
      </c>
      <c r="BB45">
        <v>16.763000000000002</v>
      </c>
      <c r="BC45">
        <v>1.6739999999999999</v>
      </c>
      <c r="BD45">
        <v>1.944</v>
      </c>
      <c r="BE45">
        <v>0</v>
      </c>
      <c r="BF45">
        <v>3.7970000000000002</v>
      </c>
      <c r="BG45">
        <v>19.963000000000001</v>
      </c>
      <c r="BH45">
        <v>44.298999999999999</v>
      </c>
      <c r="BI45">
        <v>4.4619999999999997</v>
      </c>
      <c r="BJ45">
        <v>0</v>
      </c>
      <c r="BK45">
        <v>91</v>
      </c>
      <c r="BL45">
        <v>73</v>
      </c>
      <c r="BM45">
        <v>67</v>
      </c>
      <c r="BN45">
        <v>33</v>
      </c>
      <c r="BO45">
        <v>0</v>
      </c>
      <c r="BP45">
        <v>0</v>
      </c>
      <c r="BQ45">
        <v>0</v>
      </c>
      <c r="BR45">
        <v>0</v>
      </c>
      <c r="BS45">
        <v>0</v>
      </c>
      <c r="BT45">
        <v>0</v>
      </c>
      <c r="BU45">
        <v>0</v>
      </c>
      <c r="BV45">
        <v>0.4</v>
      </c>
      <c r="BW45">
        <v>0.78700000000000003</v>
      </c>
      <c r="BX45">
        <v>1</v>
      </c>
      <c r="BY45">
        <v>0.92</v>
      </c>
      <c r="BZ45">
        <v>1</v>
      </c>
      <c r="CA45">
        <v>0.05</v>
      </c>
      <c r="CB45">
        <v>0.1</v>
      </c>
      <c r="CC45">
        <v>0.31</v>
      </c>
      <c r="CD45">
        <v>4.0000000000000001E-3</v>
      </c>
      <c r="CE45">
        <v>0.2</v>
      </c>
      <c r="CF45" t="b">
        <v>0</v>
      </c>
      <c r="CG45" t="b">
        <v>1</v>
      </c>
      <c r="CH45" t="s">
        <v>93</v>
      </c>
      <c r="CI45">
        <v>100</v>
      </c>
      <c r="CJ45">
        <v>0</v>
      </c>
      <c r="CK45">
        <v>55.73</v>
      </c>
      <c r="CL45">
        <v>2.4900000000000002</v>
      </c>
    </row>
    <row r="46" spans="1:90" x14ac:dyDescent="0.25">
      <c r="A46">
        <v>92</v>
      </c>
      <c r="B46" t="s">
        <v>142</v>
      </c>
      <c r="C46" t="s">
        <v>143</v>
      </c>
      <c r="D46" t="s">
        <v>92</v>
      </c>
      <c r="E46">
        <v>19.3</v>
      </c>
      <c r="F46">
        <v>9.6</v>
      </c>
      <c r="G46">
        <v>25.1</v>
      </c>
      <c r="H46">
        <v>57</v>
      </c>
      <c r="I46">
        <v>33</v>
      </c>
      <c r="J46">
        <v>10</v>
      </c>
      <c r="K46">
        <v>6</v>
      </c>
      <c r="L46">
        <v>28.434000000000001</v>
      </c>
      <c r="M46">
        <v>65</v>
      </c>
      <c r="N46">
        <v>25.364000000000001</v>
      </c>
      <c r="O46">
        <v>1.2</v>
      </c>
      <c r="P46">
        <v>5.2</v>
      </c>
      <c r="Q46">
        <v>21.8</v>
      </c>
      <c r="R46">
        <v>41.8</v>
      </c>
      <c r="S46">
        <v>86</v>
      </c>
      <c r="T46">
        <v>3.35</v>
      </c>
      <c r="U46">
        <v>2.1</v>
      </c>
      <c r="V46">
        <v>14.6</v>
      </c>
      <c r="W46">
        <v>2.3199999999999998</v>
      </c>
      <c r="X46">
        <v>4.0999999999999996</v>
      </c>
      <c r="Y46">
        <v>2.91</v>
      </c>
      <c r="Z46">
        <v>0.47599999999999998</v>
      </c>
      <c r="AA46">
        <v>0.48599999999999999</v>
      </c>
      <c r="AB46">
        <v>0.28699999999999998</v>
      </c>
      <c r="AC46">
        <v>3.169</v>
      </c>
      <c r="AD46">
        <v>0.4</v>
      </c>
      <c r="AE46">
        <v>1.2</v>
      </c>
      <c r="AF46">
        <v>0.39600000000000002</v>
      </c>
      <c r="AG46">
        <v>10</v>
      </c>
      <c r="AH46">
        <v>275</v>
      </c>
      <c r="AI46">
        <v>75</v>
      </c>
      <c r="AJ46">
        <v>36</v>
      </c>
      <c r="AK46">
        <v>0</v>
      </c>
      <c r="AL46">
        <v>0</v>
      </c>
      <c r="AM46">
        <v>30.8</v>
      </c>
      <c r="AN46">
        <v>0</v>
      </c>
      <c r="AO46">
        <v>7.0000000000000007E-2</v>
      </c>
      <c r="AP46">
        <v>4.1040000000000001</v>
      </c>
      <c r="AQ46">
        <v>1.94</v>
      </c>
      <c r="AR46">
        <v>3.9550000000000001</v>
      </c>
      <c r="AS46">
        <v>7.3879999999999999</v>
      </c>
      <c r="AT46">
        <v>4.851</v>
      </c>
      <c r="AU46">
        <v>1.6419999999999999</v>
      </c>
      <c r="AV46">
        <v>4.7759999999999998</v>
      </c>
      <c r="AW46">
        <v>4.1040000000000001</v>
      </c>
      <c r="AX46">
        <v>2.09</v>
      </c>
      <c r="AY46">
        <v>5.2240000000000002</v>
      </c>
      <c r="AZ46">
        <v>0.84</v>
      </c>
      <c r="BA46">
        <v>0.24</v>
      </c>
      <c r="BB46">
        <v>13.49</v>
      </c>
      <c r="BC46">
        <v>0</v>
      </c>
      <c r="BD46">
        <v>1.07</v>
      </c>
      <c r="BE46">
        <v>0</v>
      </c>
      <c r="BF46">
        <v>2.0699999999999998</v>
      </c>
      <c r="BG46">
        <v>13.34</v>
      </c>
      <c r="BH46">
        <v>66.489999999999995</v>
      </c>
      <c r="BI46">
        <v>2.46</v>
      </c>
      <c r="BJ46">
        <v>0</v>
      </c>
      <c r="BK46">
        <v>91</v>
      </c>
      <c r="BL46">
        <v>73</v>
      </c>
      <c r="BM46">
        <v>67</v>
      </c>
      <c r="BN46">
        <v>33</v>
      </c>
      <c r="BO46">
        <v>0</v>
      </c>
      <c r="BP46">
        <v>0</v>
      </c>
      <c r="BQ46">
        <v>0</v>
      </c>
      <c r="BR46">
        <v>0</v>
      </c>
      <c r="BS46">
        <v>0</v>
      </c>
      <c r="BT46">
        <v>0</v>
      </c>
      <c r="BU46">
        <v>0</v>
      </c>
      <c r="BV46">
        <v>0.6</v>
      </c>
      <c r="BW46">
        <v>0.78700000000000003</v>
      </c>
      <c r="BX46">
        <v>1</v>
      </c>
      <c r="BY46">
        <v>1</v>
      </c>
      <c r="BZ46">
        <v>1</v>
      </c>
      <c r="CA46">
        <v>0.92</v>
      </c>
      <c r="CB46">
        <v>0.05</v>
      </c>
      <c r="CC46">
        <v>0.31</v>
      </c>
      <c r="CD46">
        <v>4.0000000000000001E-3</v>
      </c>
      <c r="CE46">
        <v>0.2</v>
      </c>
      <c r="CF46" t="b">
        <v>0</v>
      </c>
      <c r="CG46" t="b">
        <v>0</v>
      </c>
      <c r="CH46" t="s">
        <v>93</v>
      </c>
      <c r="CI46">
        <v>100</v>
      </c>
      <c r="CJ46">
        <v>0</v>
      </c>
      <c r="CK46">
        <v>66.55</v>
      </c>
      <c r="CL46">
        <v>3.14</v>
      </c>
    </row>
    <row r="47" spans="1:90" x14ac:dyDescent="0.25">
      <c r="A47">
        <v>94</v>
      </c>
      <c r="B47" t="s">
        <v>144</v>
      </c>
      <c r="C47" t="s">
        <v>109</v>
      </c>
      <c r="D47" t="s">
        <v>92</v>
      </c>
      <c r="E47">
        <v>89.239000000000004</v>
      </c>
      <c r="F47">
        <v>9.4120000000000008</v>
      </c>
      <c r="G47">
        <v>15.608000000000001</v>
      </c>
      <c r="H47">
        <v>41</v>
      </c>
      <c r="I47">
        <v>49</v>
      </c>
      <c r="J47">
        <v>10</v>
      </c>
      <c r="K47">
        <v>13</v>
      </c>
      <c r="L47">
        <v>25.98</v>
      </c>
      <c r="M47">
        <v>70</v>
      </c>
      <c r="N47">
        <v>34.213999999999999</v>
      </c>
      <c r="O47">
        <v>0.99299999999999999</v>
      </c>
      <c r="P47">
        <v>1.325</v>
      </c>
      <c r="Q47">
        <v>33.817999999999998</v>
      </c>
      <c r="R47">
        <v>54.685000000000002</v>
      </c>
      <c r="S47">
        <v>67.463999999999999</v>
      </c>
      <c r="T47">
        <v>4.2759999999999998</v>
      </c>
      <c r="U47">
        <v>1.534</v>
      </c>
      <c r="V47">
        <v>12.619</v>
      </c>
      <c r="W47">
        <v>1.927</v>
      </c>
      <c r="X47">
        <v>3.3940000000000001</v>
      </c>
      <c r="Y47">
        <v>2.6349999999999998</v>
      </c>
      <c r="Z47">
        <v>0.625</v>
      </c>
      <c r="AA47">
        <v>0.32900000000000001</v>
      </c>
      <c r="AB47">
        <v>0.26700000000000002</v>
      </c>
      <c r="AC47">
        <v>2.343</v>
      </c>
      <c r="AD47">
        <v>8.2000000000000003E-2</v>
      </c>
      <c r="AE47">
        <v>0.64900000000000002</v>
      </c>
      <c r="AF47">
        <v>0.222</v>
      </c>
      <c r="AG47">
        <v>0.51700000000000002</v>
      </c>
      <c r="AH47">
        <v>10.362</v>
      </c>
      <c r="AI47">
        <v>294.738</v>
      </c>
      <c r="AJ47">
        <v>82.576999999999998</v>
      </c>
      <c r="AK47">
        <v>29.646000000000001</v>
      </c>
      <c r="AL47">
        <v>0</v>
      </c>
      <c r="AM47">
        <v>0</v>
      </c>
      <c r="AN47">
        <v>0</v>
      </c>
      <c r="AO47">
        <v>0.09</v>
      </c>
      <c r="AP47">
        <v>4.47</v>
      </c>
      <c r="AQ47">
        <v>1.79</v>
      </c>
      <c r="AR47">
        <v>3.75</v>
      </c>
      <c r="AS47">
        <v>6.76</v>
      </c>
      <c r="AT47">
        <v>4.25</v>
      </c>
      <c r="AU47">
        <v>1.43</v>
      </c>
      <c r="AV47">
        <v>4.34</v>
      </c>
      <c r="AW47">
        <v>3.98</v>
      </c>
      <c r="AX47">
        <v>1.36</v>
      </c>
      <c r="AY47">
        <v>4.8600000000000003</v>
      </c>
      <c r="AZ47">
        <v>1.1499999999999999</v>
      </c>
      <c r="BA47">
        <v>0.61499999999999999</v>
      </c>
      <c r="BB47">
        <v>18.98</v>
      </c>
      <c r="BC47">
        <v>1.77</v>
      </c>
      <c r="BD47">
        <v>2.7850000000000001</v>
      </c>
      <c r="BE47">
        <v>0.17</v>
      </c>
      <c r="BF47">
        <v>1.85</v>
      </c>
      <c r="BG47">
        <v>33.21</v>
      </c>
      <c r="BH47">
        <v>33.39</v>
      </c>
      <c r="BI47">
        <v>6.08</v>
      </c>
      <c r="BJ47">
        <v>0</v>
      </c>
      <c r="BK47">
        <v>91</v>
      </c>
      <c r="BL47">
        <v>73</v>
      </c>
      <c r="BM47">
        <v>67</v>
      </c>
      <c r="BN47">
        <v>33</v>
      </c>
      <c r="BO47">
        <v>0</v>
      </c>
      <c r="BP47">
        <v>0</v>
      </c>
      <c r="BQ47">
        <v>0</v>
      </c>
      <c r="BR47">
        <v>0</v>
      </c>
      <c r="BS47">
        <v>0</v>
      </c>
      <c r="BT47">
        <v>0</v>
      </c>
      <c r="BU47">
        <v>0</v>
      </c>
      <c r="BV47">
        <v>0.37</v>
      </c>
      <c r="BW47">
        <v>0.78700000000000003</v>
      </c>
      <c r="BX47">
        <v>1</v>
      </c>
      <c r="BY47">
        <v>0.92</v>
      </c>
      <c r="BZ47">
        <v>1</v>
      </c>
      <c r="CA47">
        <v>0.05</v>
      </c>
      <c r="CB47">
        <v>0.1</v>
      </c>
      <c r="CC47">
        <v>0.31</v>
      </c>
      <c r="CD47">
        <v>4.0000000000000001E-3</v>
      </c>
      <c r="CE47">
        <v>0.2</v>
      </c>
      <c r="CF47" t="b">
        <v>0</v>
      </c>
      <c r="CG47" t="b">
        <v>0</v>
      </c>
      <c r="CH47" t="s">
        <v>93</v>
      </c>
      <c r="CI47">
        <v>100</v>
      </c>
      <c r="CJ47">
        <v>0</v>
      </c>
      <c r="CK47">
        <v>59.51</v>
      </c>
      <c r="CL47">
        <v>2.71</v>
      </c>
    </row>
    <row r="48" spans="1:90" x14ac:dyDescent="0.25">
      <c r="A48">
        <v>95</v>
      </c>
      <c r="B48" t="s">
        <v>145</v>
      </c>
      <c r="C48" t="s">
        <v>109</v>
      </c>
      <c r="D48" t="s">
        <v>92</v>
      </c>
      <c r="E48">
        <v>87.4</v>
      </c>
      <c r="F48">
        <v>7.4939999999999998</v>
      </c>
      <c r="G48">
        <v>10.853999999999999</v>
      </c>
      <c r="H48">
        <v>41</v>
      </c>
      <c r="I48">
        <v>49</v>
      </c>
      <c r="J48">
        <v>10</v>
      </c>
      <c r="K48">
        <v>13</v>
      </c>
      <c r="L48">
        <v>25.98</v>
      </c>
      <c r="M48">
        <v>70</v>
      </c>
      <c r="N48">
        <v>29.742000000000001</v>
      </c>
      <c r="O48">
        <v>1.306</v>
      </c>
      <c r="P48">
        <v>3.5710000000000002</v>
      </c>
      <c r="Q48">
        <v>40.005000000000003</v>
      </c>
      <c r="R48">
        <v>61.988999999999997</v>
      </c>
      <c r="S48">
        <v>47.481000000000002</v>
      </c>
      <c r="T48">
        <v>6.0789999999999997</v>
      </c>
      <c r="U48">
        <v>2.5350000000000001</v>
      </c>
      <c r="V48">
        <v>10.911</v>
      </c>
      <c r="W48">
        <v>1.2909999999999999</v>
      </c>
      <c r="X48">
        <v>2.4329999999999998</v>
      </c>
      <c r="Y48">
        <v>2.4319999999999999</v>
      </c>
      <c r="Z48">
        <v>0.51100000000000001</v>
      </c>
      <c r="AA48">
        <v>0.219</v>
      </c>
      <c r="AB48">
        <v>0.215</v>
      </c>
      <c r="AC48">
        <v>1.5489999999999999</v>
      </c>
      <c r="AD48">
        <v>7.3999999999999996E-2</v>
      </c>
      <c r="AE48">
        <v>0.48299999999999998</v>
      </c>
      <c r="AF48">
        <v>0.13700000000000001</v>
      </c>
      <c r="AG48">
        <v>8.7469999999999999</v>
      </c>
      <c r="AH48">
        <v>260.86200000000002</v>
      </c>
      <c r="AI48">
        <v>89.301000000000002</v>
      </c>
      <c r="AJ48">
        <v>26.585000000000001</v>
      </c>
      <c r="AK48">
        <v>1.5389999999999999</v>
      </c>
      <c r="AL48">
        <v>0</v>
      </c>
      <c r="AM48">
        <v>0</v>
      </c>
      <c r="AN48">
        <v>0</v>
      </c>
      <c r="AO48">
        <v>0.09</v>
      </c>
      <c r="AP48">
        <v>4.47</v>
      </c>
      <c r="AQ48">
        <v>1.79</v>
      </c>
      <c r="AR48">
        <v>3.75</v>
      </c>
      <c r="AS48">
        <v>6.76</v>
      </c>
      <c r="AT48">
        <v>4.25</v>
      </c>
      <c r="AU48">
        <v>1.43</v>
      </c>
      <c r="AV48">
        <v>4.34</v>
      </c>
      <c r="AW48">
        <v>3.98</v>
      </c>
      <c r="AX48">
        <v>1.36</v>
      </c>
      <c r="AY48">
        <v>4.8600000000000003</v>
      </c>
      <c r="AZ48">
        <v>1.1499999999999999</v>
      </c>
      <c r="BA48">
        <v>0.61499999999999999</v>
      </c>
      <c r="BB48">
        <v>18.98</v>
      </c>
      <c r="BC48">
        <v>1.77</v>
      </c>
      <c r="BD48">
        <v>2.7850000000000001</v>
      </c>
      <c r="BE48">
        <v>0.17</v>
      </c>
      <c r="BF48">
        <v>1.85</v>
      </c>
      <c r="BG48">
        <v>33.21</v>
      </c>
      <c r="BH48">
        <v>33.39</v>
      </c>
      <c r="BI48">
        <v>6.08</v>
      </c>
      <c r="BJ48">
        <v>0</v>
      </c>
      <c r="BK48">
        <v>91</v>
      </c>
      <c r="BL48">
        <v>73</v>
      </c>
      <c r="BM48">
        <v>67</v>
      </c>
      <c r="BN48">
        <v>33</v>
      </c>
      <c r="BO48">
        <v>0</v>
      </c>
      <c r="BP48">
        <v>0</v>
      </c>
      <c r="BQ48">
        <v>0</v>
      </c>
      <c r="BR48">
        <v>0</v>
      </c>
      <c r="BS48">
        <v>0</v>
      </c>
      <c r="BT48">
        <v>0</v>
      </c>
      <c r="BU48">
        <v>0</v>
      </c>
      <c r="BV48">
        <v>0.37</v>
      </c>
      <c r="BW48">
        <v>0.78700000000000003</v>
      </c>
      <c r="BX48">
        <v>1</v>
      </c>
      <c r="BY48">
        <v>0.92</v>
      </c>
      <c r="BZ48">
        <v>1</v>
      </c>
      <c r="CA48">
        <v>0.05</v>
      </c>
      <c r="CB48">
        <v>0.1</v>
      </c>
      <c r="CC48">
        <v>0.31</v>
      </c>
      <c r="CD48">
        <v>4.0000000000000001E-3</v>
      </c>
      <c r="CE48">
        <v>0.2</v>
      </c>
      <c r="CF48" t="b">
        <v>0</v>
      </c>
      <c r="CG48" t="b">
        <v>0</v>
      </c>
      <c r="CH48" t="s">
        <v>93</v>
      </c>
      <c r="CI48">
        <v>100</v>
      </c>
      <c r="CJ48">
        <v>0</v>
      </c>
      <c r="CK48">
        <v>57.05</v>
      </c>
      <c r="CL48">
        <v>2.5499999999999998</v>
      </c>
    </row>
    <row r="49" spans="1:90" x14ac:dyDescent="0.25">
      <c r="A49">
        <v>97</v>
      </c>
      <c r="B49" t="s">
        <v>146</v>
      </c>
      <c r="C49" t="s">
        <v>109</v>
      </c>
      <c r="D49" t="s">
        <v>92</v>
      </c>
      <c r="E49">
        <v>39.612000000000002</v>
      </c>
      <c r="F49">
        <v>8.125</v>
      </c>
      <c r="G49">
        <v>14.336</v>
      </c>
      <c r="H49">
        <v>41</v>
      </c>
      <c r="I49">
        <v>49</v>
      </c>
      <c r="J49">
        <v>10</v>
      </c>
      <c r="K49">
        <v>13</v>
      </c>
      <c r="L49">
        <v>25.98</v>
      </c>
      <c r="M49">
        <v>70</v>
      </c>
      <c r="N49">
        <v>49.167999999999999</v>
      </c>
      <c r="O49">
        <v>1.6080000000000001</v>
      </c>
      <c r="P49">
        <v>3.5129999999999999</v>
      </c>
      <c r="Q49">
        <v>37.015000000000001</v>
      </c>
      <c r="R49">
        <v>57.731999999999999</v>
      </c>
      <c r="S49">
        <v>55.189</v>
      </c>
      <c r="T49">
        <v>5.6159999999999997</v>
      </c>
      <c r="U49">
        <v>2.609</v>
      </c>
      <c r="V49">
        <v>8</v>
      </c>
      <c r="W49">
        <v>1.9810000000000001</v>
      </c>
      <c r="X49">
        <v>3.7480000000000002</v>
      </c>
      <c r="Y49">
        <v>2.5489999999999999</v>
      </c>
      <c r="Z49">
        <v>0.55200000000000005</v>
      </c>
      <c r="AA49">
        <v>0.30199999999999999</v>
      </c>
      <c r="AB49">
        <v>0.22500000000000001</v>
      </c>
      <c r="AC49">
        <v>2.399</v>
      </c>
      <c r="AD49">
        <v>0.13</v>
      </c>
      <c r="AE49">
        <v>0.82199999999999995</v>
      </c>
      <c r="AF49">
        <v>0.185</v>
      </c>
      <c r="AG49">
        <v>10.661</v>
      </c>
      <c r="AH49">
        <v>394.649</v>
      </c>
      <c r="AI49">
        <v>87.311999999999998</v>
      </c>
      <c r="AJ49">
        <v>32.085000000000001</v>
      </c>
      <c r="AK49">
        <v>2.7719999999999998</v>
      </c>
      <c r="AL49">
        <v>0</v>
      </c>
      <c r="AM49">
        <v>0</v>
      </c>
      <c r="AN49">
        <v>0</v>
      </c>
      <c r="AO49">
        <v>0.09</v>
      </c>
      <c r="AP49">
        <v>3.47</v>
      </c>
      <c r="AQ49">
        <v>1.68</v>
      </c>
      <c r="AR49">
        <v>3.76</v>
      </c>
      <c r="AS49">
        <v>6.24</v>
      </c>
      <c r="AT49">
        <v>3.85</v>
      </c>
      <c r="AU49">
        <v>1.29</v>
      </c>
      <c r="AV49">
        <v>4.28</v>
      </c>
      <c r="AW49">
        <v>3.59</v>
      </c>
      <c r="AX49">
        <v>1.01</v>
      </c>
      <c r="AY49">
        <v>4.95</v>
      </c>
      <c r="AZ49">
        <v>9.27</v>
      </c>
      <c r="BA49">
        <v>0.6</v>
      </c>
      <c r="BB49">
        <v>17.785</v>
      </c>
      <c r="BC49">
        <v>1.79</v>
      </c>
      <c r="BD49">
        <v>2.645</v>
      </c>
      <c r="BE49">
        <v>0</v>
      </c>
      <c r="BF49">
        <v>2.9249999999999998</v>
      </c>
      <c r="BG49">
        <v>17.934999999999999</v>
      </c>
      <c r="BH49">
        <v>41.505000000000003</v>
      </c>
      <c r="BI49">
        <v>5.5449999999999999</v>
      </c>
      <c r="BJ49">
        <v>0</v>
      </c>
      <c r="BK49">
        <v>91</v>
      </c>
      <c r="BL49">
        <v>73</v>
      </c>
      <c r="BM49">
        <v>67</v>
      </c>
      <c r="BN49">
        <v>33</v>
      </c>
      <c r="BO49">
        <v>0</v>
      </c>
      <c r="BP49">
        <v>0</v>
      </c>
      <c r="BQ49">
        <v>0</v>
      </c>
      <c r="BR49">
        <v>0</v>
      </c>
      <c r="BS49">
        <v>0</v>
      </c>
      <c r="BT49">
        <v>0</v>
      </c>
      <c r="BU49">
        <v>0</v>
      </c>
      <c r="BV49">
        <v>0.37</v>
      </c>
      <c r="BW49">
        <v>0.78700000000000003</v>
      </c>
      <c r="BX49">
        <v>1</v>
      </c>
      <c r="BY49">
        <v>0.92</v>
      </c>
      <c r="BZ49">
        <v>1</v>
      </c>
      <c r="CA49">
        <v>0.05</v>
      </c>
      <c r="CB49">
        <v>0.1</v>
      </c>
      <c r="CC49">
        <v>0.31</v>
      </c>
      <c r="CD49">
        <v>4.0000000000000001E-3</v>
      </c>
      <c r="CE49">
        <v>0.2</v>
      </c>
      <c r="CF49" t="b">
        <v>0</v>
      </c>
      <c r="CG49" t="b">
        <v>1</v>
      </c>
      <c r="CH49" t="s">
        <v>93</v>
      </c>
      <c r="CI49">
        <v>100</v>
      </c>
      <c r="CJ49">
        <v>0</v>
      </c>
      <c r="CK49">
        <v>56.7</v>
      </c>
      <c r="CL49">
        <v>2.6</v>
      </c>
    </row>
    <row r="50" spans="1:90" x14ac:dyDescent="0.25">
      <c r="A50">
        <v>99</v>
      </c>
      <c r="B50" t="s">
        <v>147</v>
      </c>
      <c r="C50" t="s">
        <v>109</v>
      </c>
      <c r="D50" t="s">
        <v>92</v>
      </c>
      <c r="E50">
        <v>86.44</v>
      </c>
      <c r="F50">
        <v>9.2360000000000007</v>
      </c>
      <c r="G50">
        <v>12.119</v>
      </c>
      <c r="H50">
        <v>41</v>
      </c>
      <c r="I50">
        <v>49</v>
      </c>
      <c r="J50">
        <v>10</v>
      </c>
      <c r="K50">
        <v>13</v>
      </c>
      <c r="L50">
        <v>25.98</v>
      </c>
      <c r="M50">
        <v>70</v>
      </c>
      <c r="N50">
        <v>26.966999999999999</v>
      </c>
      <c r="O50">
        <v>1.655</v>
      </c>
      <c r="P50">
        <v>4.1230000000000002</v>
      </c>
      <c r="Q50">
        <v>39.279000000000003</v>
      </c>
      <c r="R50">
        <v>58.241</v>
      </c>
      <c r="S50">
        <v>54.453000000000003</v>
      </c>
      <c r="T50">
        <v>6.6970000000000001</v>
      </c>
      <c r="U50">
        <v>2.7469999999999999</v>
      </c>
      <c r="V50">
        <v>10.077999999999999</v>
      </c>
      <c r="W50">
        <v>1.371</v>
      </c>
      <c r="X50">
        <v>2.6579999999999999</v>
      </c>
      <c r="Y50">
        <v>2.3820000000000001</v>
      </c>
      <c r="Z50">
        <v>0.74299999999999999</v>
      </c>
      <c r="AA50">
        <v>0.25</v>
      </c>
      <c r="AB50">
        <v>0.21199999999999999</v>
      </c>
      <c r="AC50">
        <v>1.909</v>
      </c>
      <c r="AD50">
        <v>3.6999999999999998E-2</v>
      </c>
      <c r="AE50">
        <v>0.433</v>
      </c>
      <c r="AF50">
        <v>2.5000000000000001E-2</v>
      </c>
      <c r="AG50">
        <v>9.98</v>
      </c>
      <c r="AH50">
        <v>308.72500000000002</v>
      </c>
      <c r="AI50">
        <v>65.239000000000004</v>
      </c>
      <c r="AJ50">
        <v>27.937999999999999</v>
      </c>
      <c r="AK50">
        <v>1.9079999999999999</v>
      </c>
      <c r="AL50">
        <v>0.33</v>
      </c>
      <c r="AM50">
        <v>0</v>
      </c>
      <c r="AN50">
        <v>0</v>
      </c>
      <c r="AO50">
        <v>0</v>
      </c>
      <c r="AP50">
        <v>4.51</v>
      </c>
      <c r="AQ50">
        <v>1.79</v>
      </c>
      <c r="AR50">
        <v>3.78</v>
      </c>
      <c r="AS50">
        <v>6.79</v>
      </c>
      <c r="AT50">
        <v>4.29</v>
      </c>
      <c r="AU50">
        <v>1.43</v>
      </c>
      <c r="AV50">
        <v>4.34</v>
      </c>
      <c r="AW50">
        <v>3.99</v>
      </c>
      <c r="AX50">
        <v>1.37</v>
      </c>
      <c r="AY50">
        <v>4.88</v>
      </c>
      <c r="AZ50">
        <v>1.1499999999999999</v>
      </c>
      <c r="BA50">
        <v>0.61499999999999999</v>
      </c>
      <c r="BB50">
        <v>18.98</v>
      </c>
      <c r="BC50">
        <v>1.77</v>
      </c>
      <c r="BD50">
        <v>2.7850000000000001</v>
      </c>
      <c r="BE50">
        <v>0.17</v>
      </c>
      <c r="BF50">
        <v>1.85</v>
      </c>
      <c r="BG50">
        <v>33.21</v>
      </c>
      <c r="BH50">
        <v>33.39</v>
      </c>
      <c r="BI50">
        <v>6.08</v>
      </c>
      <c r="BJ50">
        <v>0</v>
      </c>
      <c r="BK50">
        <v>91</v>
      </c>
      <c r="BL50">
        <v>73</v>
      </c>
      <c r="BM50">
        <v>61</v>
      </c>
      <c r="BN50">
        <v>39</v>
      </c>
      <c r="BO50">
        <v>0</v>
      </c>
      <c r="BP50">
        <v>0</v>
      </c>
      <c r="BQ50">
        <v>0</v>
      </c>
      <c r="BR50">
        <v>0</v>
      </c>
      <c r="BS50">
        <v>0</v>
      </c>
      <c r="BT50">
        <v>0</v>
      </c>
      <c r="BU50">
        <v>0</v>
      </c>
      <c r="BV50">
        <v>0.35</v>
      </c>
      <c r="BW50">
        <v>0.77800000000000002</v>
      </c>
      <c r="BX50">
        <v>1</v>
      </c>
      <c r="BY50">
        <v>0.92</v>
      </c>
      <c r="BZ50">
        <v>1</v>
      </c>
      <c r="CA50">
        <v>0.05</v>
      </c>
      <c r="CB50">
        <v>0.1</v>
      </c>
      <c r="CC50">
        <v>0.31</v>
      </c>
      <c r="CD50">
        <v>4.0000000000000001E-3</v>
      </c>
      <c r="CE50">
        <v>0.2</v>
      </c>
      <c r="CF50" t="b">
        <v>0</v>
      </c>
      <c r="CG50" t="b">
        <v>0</v>
      </c>
      <c r="CH50" t="s">
        <v>93</v>
      </c>
      <c r="CI50">
        <v>100</v>
      </c>
      <c r="CJ50">
        <v>0</v>
      </c>
      <c r="CK50">
        <v>58.79</v>
      </c>
      <c r="CL50">
        <v>2.7</v>
      </c>
    </row>
    <row r="51" spans="1:90" x14ac:dyDescent="0.25">
      <c r="A51">
        <v>100</v>
      </c>
      <c r="B51" t="s">
        <v>148</v>
      </c>
      <c r="C51" t="s">
        <v>109</v>
      </c>
      <c r="D51" t="s">
        <v>92</v>
      </c>
      <c r="E51">
        <v>40.021000000000001</v>
      </c>
      <c r="F51">
        <v>9.5169999999999995</v>
      </c>
      <c r="G51">
        <v>17.678999999999998</v>
      </c>
      <c r="H51">
        <v>61</v>
      </c>
      <c r="I51">
        <v>30</v>
      </c>
      <c r="J51">
        <v>9</v>
      </c>
      <c r="K51">
        <v>10.6</v>
      </c>
      <c r="L51">
        <v>22.349</v>
      </c>
      <c r="M51">
        <v>70</v>
      </c>
      <c r="N51">
        <v>50.723999999999997</v>
      </c>
      <c r="O51">
        <v>1.911</v>
      </c>
      <c r="P51">
        <v>3.6989999999999998</v>
      </c>
      <c r="Q51">
        <v>34.848999999999997</v>
      </c>
      <c r="R51">
        <v>51.231999999999999</v>
      </c>
      <c r="S51">
        <v>61.085000000000001</v>
      </c>
      <c r="T51">
        <v>5.9020000000000001</v>
      </c>
      <c r="U51">
        <v>2.1179999999999999</v>
      </c>
      <c r="V51">
        <v>8.0760000000000005</v>
      </c>
      <c r="W51">
        <v>2.0329999999999999</v>
      </c>
      <c r="X51">
        <v>4.0380000000000003</v>
      </c>
      <c r="Y51">
        <v>2.5979999999999999</v>
      </c>
      <c r="Z51">
        <v>0.87</v>
      </c>
      <c r="AA51">
        <v>0.34100000000000003</v>
      </c>
      <c r="AB51">
        <v>0.253</v>
      </c>
      <c r="AC51">
        <v>2.5369999999999999</v>
      </c>
      <c r="AD51">
        <v>5.8000000000000003E-2</v>
      </c>
      <c r="AE51">
        <v>0.58799999999999997</v>
      </c>
      <c r="AF51">
        <v>0.22600000000000001</v>
      </c>
      <c r="AG51">
        <v>10.727</v>
      </c>
      <c r="AH51">
        <v>451.12700000000001</v>
      </c>
      <c r="AI51">
        <v>72.179000000000002</v>
      </c>
      <c r="AJ51">
        <v>31.686</v>
      </c>
      <c r="AK51">
        <v>1.788</v>
      </c>
      <c r="AL51">
        <v>0.33</v>
      </c>
      <c r="AM51">
        <v>0</v>
      </c>
      <c r="AN51">
        <v>0</v>
      </c>
      <c r="AO51">
        <v>0.1</v>
      </c>
      <c r="AP51">
        <v>3.47</v>
      </c>
      <c r="AQ51">
        <v>1.68</v>
      </c>
      <c r="AR51">
        <v>3.76</v>
      </c>
      <c r="AS51">
        <v>6.24</v>
      </c>
      <c r="AT51">
        <v>3.85</v>
      </c>
      <c r="AU51">
        <v>1.29</v>
      </c>
      <c r="AV51">
        <v>4.28</v>
      </c>
      <c r="AW51">
        <v>3.59</v>
      </c>
      <c r="AX51">
        <v>1.01</v>
      </c>
      <c r="AY51">
        <v>4.95</v>
      </c>
      <c r="AZ51">
        <v>9.27</v>
      </c>
      <c r="BA51">
        <v>0.6</v>
      </c>
      <c r="BB51">
        <v>17.785</v>
      </c>
      <c r="BC51">
        <v>1.79</v>
      </c>
      <c r="BD51">
        <v>2.645</v>
      </c>
      <c r="BE51">
        <v>0</v>
      </c>
      <c r="BF51">
        <v>2.9249999999999998</v>
      </c>
      <c r="BG51">
        <v>17.934999999999999</v>
      </c>
      <c r="BH51">
        <v>41.505000000000003</v>
      </c>
      <c r="BI51">
        <v>5.5449999999999999</v>
      </c>
      <c r="BJ51">
        <v>0</v>
      </c>
      <c r="BK51">
        <v>91</v>
      </c>
      <c r="BL51">
        <v>73</v>
      </c>
      <c r="BM51">
        <v>53</v>
      </c>
      <c r="BN51">
        <v>47</v>
      </c>
      <c r="BO51">
        <v>0</v>
      </c>
      <c r="BP51">
        <v>0</v>
      </c>
      <c r="BQ51">
        <v>0</v>
      </c>
      <c r="BR51">
        <v>0</v>
      </c>
      <c r="BS51">
        <v>0</v>
      </c>
      <c r="BT51">
        <v>0</v>
      </c>
      <c r="BU51">
        <v>0</v>
      </c>
      <c r="BV51">
        <v>0.3</v>
      </c>
      <c r="BW51">
        <v>0.76500000000000001</v>
      </c>
      <c r="BX51">
        <v>1</v>
      </c>
      <c r="BY51">
        <v>0.92</v>
      </c>
      <c r="BZ51">
        <v>1</v>
      </c>
      <c r="CA51">
        <v>0.05</v>
      </c>
      <c r="CB51">
        <v>0.1</v>
      </c>
      <c r="CC51">
        <v>0.31</v>
      </c>
      <c r="CD51">
        <v>4.0000000000000001E-3</v>
      </c>
      <c r="CE51">
        <v>0.2</v>
      </c>
      <c r="CF51" t="b">
        <v>0</v>
      </c>
      <c r="CG51" t="b">
        <v>1</v>
      </c>
      <c r="CH51" t="s">
        <v>93</v>
      </c>
      <c r="CI51">
        <v>100</v>
      </c>
      <c r="CJ51">
        <v>0</v>
      </c>
      <c r="CK51">
        <v>57.66</v>
      </c>
      <c r="CL51">
        <v>2.66</v>
      </c>
    </row>
    <row r="52" spans="1:90" x14ac:dyDescent="0.25">
      <c r="A52">
        <v>102</v>
      </c>
      <c r="B52" t="s">
        <v>149</v>
      </c>
      <c r="C52" t="s">
        <v>109</v>
      </c>
      <c r="D52" t="s">
        <v>92</v>
      </c>
      <c r="E52">
        <v>85.292000000000002</v>
      </c>
      <c r="F52">
        <v>9.0060000000000002</v>
      </c>
      <c r="G52">
        <v>17.381</v>
      </c>
      <c r="H52">
        <v>34</v>
      </c>
      <c r="I52">
        <v>51</v>
      </c>
      <c r="J52">
        <v>15</v>
      </c>
      <c r="K52">
        <v>9.5</v>
      </c>
      <c r="L52">
        <v>34.462000000000003</v>
      </c>
      <c r="M52">
        <v>65</v>
      </c>
      <c r="N52">
        <v>31.991</v>
      </c>
      <c r="O52">
        <v>1.8340000000000001</v>
      </c>
      <c r="P52">
        <v>4.383</v>
      </c>
      <c r="Q52">
        <v>38.719000000000001</v>
      </c>
      <c r="R52">
        <v>51.173000000000002</v>
      </c>
      <c r="S52">
        <v>20.100000000000001</v>
      </c>
      <c r="T52">
        <v>8.2739999999999991</v>
      </c>
      <c r="U52">
        <v>2.5459999999999998</v>
      </c>
      <c r="V52">
        <v>5</v>
      </c>
      <c r="W52">
        <v>1.228</v>
      </c>
      <c r="X52">
        <v>2.2730000000000001</v>
      </c>
      <c r="Y52">
        <v>2.3980000000000001</v>
      </c>
      <c r="Z52">
        <v>1.238</v>
      </c>
      <c r="AA52">
        <v>0.26600000000000001</v>
      </c>
      <c r="AB52">
        <v>0.28199999999999997</v>
      </c>
      <c r="AC52">
        <v>2.5179999999999998</v>
      </c>
      <c r="AD52">
        <v>6.3E-2</v>
      </c>
      <c r="AE52">
        <v>0.435</v>
      </c>
      <c r="AF52">
        <v>0.21299999999999999</v>
      </c>
      <c r="AG52">
        <v>10.288</v>
      </c>
      <c r="AH52">
        <v>420.89600000000002</v>
      </c>
      <c r="AI52">
        <v>55.972000000000001</v>
      </c>
      <c r="AJ52">
        <v>26.483000000000001</v>
      </c>
      <c r="AK52">
        <v>1.8129999999999999</v>
      </c>
      <c r="AL52">
        <v>0</v>
      </c>
      <c r="AM52">
        <v>0</v>
      </c>
      <c r="AN52">
        <v>0</v>
      </c>
      <c r="AO52">
        <v>0.09</v>
      </c>
      <c r="AP52">
        <v>4.5</v>
      </c>
      <c r="AQ52">
        <v>1.79</v>
      </c>
      <c r="AR52">
        <v>3.79</v>
      </c>
      <c r="AS52">
        <v>6.81</v>
      </c>
      <c r="AT52">
        <v>4.3099999999999996</v>
      </c>
      <c r="AU52">
        <v>1.43</v>
      </c>
      <c r="AV52">
        <v>4.34</v>
      </c>
      <c r="AW52">
        <v>4</v>
      </c>
      <c r="AX52">
        <v>1.38</v>
      </c>
      <c r="AY52">
        <v>4.8899999999999997</v>
      </c>
      <c r="AZ52">
        <v>1.1499999999999999</v>
      </c>
      <c r="BA52">
        <v>0.61499999999999999</v>
      </c>
      <c r="BB52">
        <v>18.98</v>
      </c>
      <c r="BC52">
        <v>1.77</v>
      </c>
      <c r="BD52">
        <v>2.7850000000000001</v>
      </c>
      <c r="BE52">
        <v>0.17</v>
      </c>
      <c r="BF52">
        <v>1.85</v>
      </c>
      <c r="BG52">
        <v>33.21</v>
      </c>
      <c r="BH52">
        <v>33.39</v>
      </c>
      <c r="BI52">
        <v>6.08</v>
      </c>
      <c r="BJ52">
        <v>0</v>
      </c>
      <c r="BK52">
        <v>91</v>
      </c>
      <c r="BL52">
        <v>73</v>
      </c>
      <c r="BM52">
        <v>55</v>
      </c>
      <c r="BN52">
        <v>45</v>
      </c>
      <c r="BO52">
        <v>0</v>
      </c>
      <c r="BP52">
        <v>0</v>
      </c>
      <c r="BQ52">
        <v>0</v>
      </c>
      <c r="BR52">
        <v>0</v>
      </c>
      <c r="BS52">
        <v>0</v>
      </c>
      <c r="BT52">
        <v>0</v>
      </c>
      <c r="BU52">
        <v>0</v>
      </c>
      <c r="BV52">
        <v>0.32</v>
      </c>
      <c r="BW52">
        <v>0.76800000000000002</v>
      </c>
      <c r="BX52">
        <v>1</v>
      </c>
      <c r="BY52">
        <v>0.92</v>
      </c>
      <c r="BZ52">
        <v>1</v>
      </c>
      <c r="CA52">
        <v>0.05</v>
      </c>
      <c r="CB52">
        <v>0.1</v>
      </c>
      <c r="CC52">
        <v>0.31</v>
      </c>
      <c r="CD52">
        <v>4.0000000000000001E-3</v>
      </c>
      <c r="CE52">
        <v>0.2</v>
      </c>
      <c r="CF52" t="b">
        <v>0</v>
      </c>
      <c r="CG52" t="b">
        <v>0</v>
      </c>
      <c r="CH52" t="s">
        <v>93</v>
      </c>
      <c r="CI52">
        <v>100</v>
      </c>
      <c r="CJ52">
        <v>0</v>
      </c>
      <c r="CK52">
        <v>53.9</v>
      </c>
      <c r="CL52">
        <v>2.4700000000000002</v>
      </c>
    </row>
    <row r="53" spans="1:90" x14ac:dyDescent="0.25">
      <c r="A53">
        <v>103</v>
      </c>
      <c r="B53" t="s">
        <v>150</v>
      </c>
      <c r="C53" t="s">
        <v>109</v>
      </c>
      <c r="D53" t="s">
        <v>92</v>
      </c>
      <c r="E53">
        <v>88.558000000000007</v>
      </c>
      <c r="F53">
        <v>10.016</v>
      </c>
      <c r="G53">
        <v>20.350000000000001</v>
      </c>
      <c r="H53">
        <v>44</v>
      </c>
      <c r="I53">
        <v>49</v>
      </c>
      <c r="J53">
        <v>7</v>
      </c>
      <c r="K53">
        <v>15.1</v>
      </c>
      <c r="L53">
        <v>21.766999999999999</v>
      </c>
      <c r="M53">
        <v>75</v>
      </c>
      <c r="N53">
        <v>37.231999999999999</v>
      </c>
      <c r="O53">
        <v>1.615</v>
      </c>
      <c r="P53">
        <v>4.2519999999999998</v>
      </c>
      <c r="Q53">
        <v>32.94</v>
      </c>
      <c r="R53">
        <v>43.935000000000002</v>
      </c>
      <c r="S53">
        <v>49.921999999999997</v>
      </c>
      <c r="T53">
        <v>6.9210000000000003</v>
      </c>
      <c r="U53">
        <v>1.8879999999999999</v>
      </c>
      <c r="V53">
        <v>8.9960000000000004</v>
      </c>
      <c r="W53">
        <v>1.7769999999999999</v>
      </c>
      <c r="X53">
        <v>2.6280000000000001</v>
      </c>
      <c r="Y53">
        <v>2.64</v>
      </c>
      <c r="Z53">
        <v>1.2829999999999999</v>
      </c>
      <c r="AA53">
        <v>0.30299999999999999</v>
      </c>
      <c r="AB53">
        <v>0.30099999999999999</v>
      </c>
      <c r="AC53">
        <v>2.2450000000000001</v>
      </c>
      <c r="AD53">
        <v>7.2999999999999995E-2</v>
      </c>
      <c r="AE53">
        <v>0.55500000000000005</v>
      </c>
      <c r="AF53">
        <v>0.24399999999999999</v>
      </c>
      <c r="AG53">
        <v>10.238</v>
      </c>
      <c r="AH53">
        <v>285.11200000000002</v>
      </c>
      <c r="AI53">
        <v>44.180999999999997</v>
      </c>
      <c r="AJ53">
        <v>25.506</v>
      </c>
      <c r="AK53">
        <v>1.857</v>
      </c>
      <c r="AL53">
        <v>0</v>
      </c>
      <c r="AM53">
        <v>0</v>
      </c>
      <c r="AN53">
        <v>0</v>
      </c>
      <c r="AO53">
        <v>0.09</v>
      </c>
      <c r="AP53">
        <v>4.5</v>
      </c>
      <c r="AQ53">
        <v>1.79</v>
      </c>
      <c r="AR53">
        <v>3.79</v>
      </c>
      <c r="AS53">
        <v>6.81</v>
      </c>
      <c r="AT53">
        <v>4.3099999999999996</v>
      </c>
      <c r="AU53">
        <v>1.43</v>
      </c>
      <c r="AV53">
        <v>4.34</v>
      </c>
      <c r="AW53">
        <v>4</v>
      </c>
      <c r="AX53">
        <v>1.38</v>
      </c>
      <c r="AY53">
        <v>4.8899999999999997</v>
      </c>
      <c r="AZ53">
        <v>1.1499999999999999</v>
      </c>
      <c r="BA53">
        <v>0.61499999999999999</v>
      </c>
      <c r="BB53">
        <v>18.98</v>
      </c>
      <c r="BC53">
        <v>1.77</v>
      </c>
      <c r="BD53">
        <v>2.7850000000000001</v>
      </c>
      <c r="BE53">
        <v>0.17</v>
      </c>
      <c r="BF53">
        <v>1.85</v>
      </c>
      <c r="BG53">
        <v>33.21</v>
      </c>
      <c r="BH53">
        <v>33.39</v>
      </c>
      <c r="BI53">
        <v>6.08</v>
      </c>
      <c r="BJ53">
        <v>0</v>
      </c>
      <c r="BK53">
        <v>91</v>
      </c>
      <c r="BL53">
        <v>73</v>
      </c>
      <c r="BM53">
        <v>55</v>
      </c>
      <c r="BN53">
        <v>45</v>
      </c>
      <c r="BO53">
        <v>0</v>
      </c>
      <c r="BP53">
        <v>0</v>
      </c>
      <c r="BQ53">
        <v>0</v>
      </c>
      <c r="BR53">
        <v>0</v>
      </c>
      <c r="BS53">
        <v>0</v>
      </c>
      <c r="BT53">
        <v>0</v>
      </c>
      <c r="BU53">
        <v>0</v>
      </c>
      <c r="BV53">
        <v>0.32</v>
      </c>
      <c r="BW53">
        <v>0.76800000000000002</v>
      </c>
      <c r="BX53">
        <v>1</v>
      </c>
      <c r="BY53">
        <v>0.92</v>
      </c>
      <c r="BZ53">
        <v>1</v>
      </c>
      <c r="CA53">
        <v>0.05</v>
      </c>
      <c r="CB53">
        <v>0.1</v>
      </c>
      <c r="CC53">
        <v>0.31</v>
      </c>
      <c r="CD53">
        <v>4.0000000000000001E-3</v>
      </c>
      <c r="CE53">
        <v>0.2</v>
      </c>
      <c r="CF53" t="b">
        <v>0</v>
      </c>
      <c r="CG53" t="b">
        <v>0</v>
      </c>
      <c r="CH53" t="s">
        <v>93</v>
      </c>
      <c r="CI53">
        <v>100</v>
      </c>
      <c r="CJ53">
        <v>0</v>
      </c>
      <c r="CK53">
        <v>60.72</v>
      </c>
      <c r="CL53">
        <v>2.81</v>
      </c>
    </row>
    <row r="54" spans="1:90" x14ac:dyDescent="0.25">
      <c r="A54">
        <v>104</v>
      </c>
      <c r="B54" t="s">
        <v>151</v>
      </c>
      <c r="C54" t="s">
        <v>109</v>
      </c>
      <c r="D54" t="s">
        <v>92</v>
      </c>
      <c r="E54">
        <v>40.978000000000002</v>
      </c>
      <c r="F54">
        <v>10.273999999999999</v>
      </c>
      <c r="G54">
        <v>20.044</v>
      </c>
      <c r="H54">
        <v>52</v>
      </c>
      <c r="I54">
        <v>39</v>
      </c>
      <c r="J54">
        <v>9</v>
      </c>
      <c r="K54">
        <v>8.1739999999999995</v>
      </c>
      <c r="L54">
        <v>26.89</v>
      </c>
      <c r="M54">
        <v>71.849999999999994</v>
      </c>
      <c r="N54">
        <v>53.646999999999998</v>
      </c>
      <c r="O54">
        <v>1.994</v>
      </c>
      <c r="P54">
        <v>3.5430000000000001</v>
      </c>
      <c r="Q54">
        <v>33.887999999999998</v>
      </c>
      <c r="R54">
        <v>45.933999999999997</v>
      </c>
      <c r="S54">
        <v>56.225999999999999</v>
      </c>
      <c r="T54">
        <v>6.6029999999999998</v>
      </c>
      <c r="U54">
        <v>2.097</v>
      </c>
      <c r="V54">
        <v>6.577</v>
      </c>
      <c r="W54">
        <v>1.986</v>
      </c>
      <c r="X54">
        <v>3.8109999999999999</v>
      </c>
      <c r="Y54">
        <v>2.6040000000000001</v>
      </c>
      <c r="Z54">
        <v>1.258</v>
      </c>
      <c r="AA54">
        <v>0.34499999999999997</v>
      </c>
      <c r="AB54">
        <v>0.27200000000000002</v>
      </c>
      <c r="AC54">
        <v>2.7709999999999999</v>
      </c>
      <c r="AD54">
        <v>4.9000000000000002E-2</v>
      </c>
      <c r="AE54">
        <v>0.57399999999999995</v>
      </c>
      <c r="AF54">
        <v>0.24199999999999999</v>
      </c>
      <c r="AG54">
        <v>10.944000000000001</v>
      </c>
      <c r="AH54">
        <v>472.66800000000001</v>
      </c>
      <c r="AI54">
        <v>57.45</v>
      </c>
      <c r="AJ54">
        <v>29.81</v>
      </c>
      <c r="AK54">
        <v>1.69</v>
      </c>
      <c r="AL54">
        <v>0</v>
      </c>
      <c r="AM54">
        <v>0</v>
      </c>
      <c r="AN54">
        <v>0</v>
      </c>
      <c r="AO54">
        <v>0</v>
      </c>
      <c r="AP54">
        <v>3.47</v>
      </c>
      <c r="AQ54">
        <v>1.68</v>
      </c>
      <c r="AR54">
        <v>3.76</v>
      </c>
      <c r="AS54">
        <v>6.24</v>
      </c>
      <c r="AT54">
        <v>3.85</v>
      </c>
      <c r="AU54">
        <v>1.29</v>
      </c>
      <c r="AV54">
        <v>4.28</v>
      </c>
      <c r="AW54">
        <v>3.59</v>
      </c>
      <c r="AX54">
        <v>1.01</v>
      </c>
      <c r="AY54">
        <v>4.95</v>
      </c>
      <c r="AZ54">
        <v>9.27</v>
      </c>
      <c r="BA54">
        <v>0.6</v>
      </c>
      <c r="BB54">
        <v>17.785</v>
      </c>
      <c r="BC54">
        <v>1.79</v>
      </c>
      <c r="BD54">
        <v>2.645</v>
      </c>
      <c r="BE54">
        <v>0</v>
      </c>
      <c r="BF54">
        <v>2.9249999999999998</v>
      </c>
      <c r="BG54">
        <v>17.934999999999999</v>
      </c>
      <c r="BH54">
        <v>41.505000000000003</v>
      </c>
      <c r="BI54">
        <v>5.5449999999999999</v>
      </c>
      <c r="BJ54">
        <v>0</v>
      </c>
      <c r="BK54">
        <v>91</v>
      </c>
      <c r="BL54">
        <v>73</v>
      </c>
      <c r="BM54">
        <v>53</v>
      </c>
      <c r="BN54">
        <v>47</v>
      </c>
      <c r="BO54">
        <v>0</v>
      </c>
      <c r="BP54">
        <v>0</v>
      </c>
      <c r="BQ54">
        <v>0</v>
      </c>
      <c r="BR54">
        <v>0</v>
      </c>
      <c r="BS54">
        <v>0</v>
      </c>
      <c r="BT54">
        <v>0</v>
      </c>
      <c r="BU54">
        <v>0</v>
      </c>
      <c r="BV54">
        <v>0.32</v>
      </c>
      <c r="BW54">
        <v>0.76500000000000001</v>
      </c>
      <c r="BX54">
        <v>1</v>
      </c>
      <c r="BY54">
        <v>0.92</v>
      </c>
      <c r="BZ54">
        <v>1</v>
      </c>
      <c r="CA54">
        <v>0.05</v>
      </c>
      <c r="CB54">
        <v>0.1</v>
      </c>
      <c r="CC54">
        <v>0.31</v>
      </c>
      <c r="CD54">
        <v>4.0000000000000001E-3</v>
      </c>
      <c r="CE54">
        <v>0.2</v>
      </c>
      <c r="CF54" t="b">
        <v>0</v>
      </c>
      <c r="CG54" t="b">
        <v>1</v>
      </c>
      <c r="CH54" t="s">
        <v>93</v>
      </c>
      <c r="CI54">
        <v>100</v>
      </c>
      <c r="CJ54">
        <v>0</v>
      </c>
      <c r="CK54">
        <v>55.28</v>
      </c>
      <c r="CL54">
        <v>2.5499999999999998</v>
      </c>
    </row>
    <row r="55" spans="1:90" x14ac:dyDescent="0.25">
      <c r="A55">
        <v>105</v>
      </c>
      <c r="B55" t="s">
        <v>152</v>
      </c>
      <c r="C55" t="s">
        <v>143</v>
      </c>
      <c r="D55" t="s">
        <v>92</v>
      </c>
      <c r="E55">
        <v>13.9</v>
      </c>
      <c r="F55">
        <v>9.6199999999999992</v>
      </c>
      <c r="G55">
        <v>26.1</v>
      </c>
      <c r="H55">
        <v>62</v>
      </c>
      <c r="I55">
        <v>29</v>
      </c>
      <c r="J55">
        <v>9</v>
      </c>
      <c r="K55">
        <v>13.1</v>
      </c>
      <c r="L55">
        <v>20.827999999999999</v>
      </c>
      <c r="M55">
        <v>70</v>
      </c>
      <c r="N55">
        <v>55.244999999999997</v>
      </c>
      <c r="O55">
        <v>1.6</v>
      </c>
      <c r="P55">
        <v>2.6749999999999998</v>
      </c>
      <c r="Q55">
        <v>25.9</v>
      </c>
      <c r="R55">
        <v>32.4</v>
      </c>
      <c r="S55">
        <v>65.400000000000006</v>
      </c>
      <c r="T55">
        <v>5.19</v>
      </c>
      <c r="U55">
        <v>3.1</v>
      </c>
      <c r="V55">
        <v>8.6999999999999993</v>
      </c>
      <c r="W55">
        <v>2</v>
      </c>
      <c r="X55">
        <v>3.5</v>
      </c>
      <c r="Y55">
        <v>2.9460000000000002</v>
      </c>
      <c r="Z55">
        <v>1.304</v>
      </c>
      <c r="AA55">
        <v>0.34899999999999998</v>
      </c>
      <c r="AB55">
        <v>0.32500000000000001</v>
      </c>
      <c r="AC55">
        <v>2.7919999999999998</v>
      </c>
      <c r="AD55">
        <v>0.16</v>
      </c>
      <c r="AE55">
        <v>0.79900000000000004</v>
      </c>
      <c r="AF55">
        <v>0.217</v>
      </c>
      <c r="AG55">
        <v>11.436</v>
      </c>
      <c r="AH55">
        <v>685.34400000000005</v>
      </c>
      <c r="AI55">
        <v>61.594999999999999</v>
      </c>
      <c r="AJ55">
        <v>30.446999999999999</v>
      </c>
      <c r="AK55">
        <v>0</v>
      </c>
      <c r="AL55">
        <v>0.52</v>
      </c>
      <c r="AM55">
        <v>0</v>
      </c>
      <c r="AN55">
        <v>0</v>
      </c>
      <c r="AO55">
        <v>0.18</v>
      </c>
      <c r="AP55">
        <v>1.762</v>
      </c>
      <c r="AQ55">
        <v>1.917</v>
      </c>
      <c r="AR55">
        <v>4.1449999999999996</v>
      </c>
      <c r="AS55">
        <v>6.7359999999999998</v>
      </c>
      <c r="AT55">
        <v>4.7149999999999999</v>
      </c>
      <c r="AU55">
        <v>1.347</v>
      </c>
      <c r="AV55">
        <v>4.3520000000000003</v>
      </c>
      <c r="AW55">
        <v>3.8340000000000001</v>
      </c>
      <c r="AX55">
        <v>1.1919999999999999</v>
      </c>
      <c r="AY55">
        <v>5.0780000000000003</v>
      </c>
      <c r="AZ55">
        <v>11.978999999999999</v>
      </c>
      <c r="BA55">
        <v>0.65700000000000003</v>
      </c>
      <c r="BB55">
        <v>18.812999999999999</v>
      </c>
      <c r="BC55">
        <v>1.907</v>
      </c>
      <c r="BD55">
        <v>3.3530000000000002</v>
      </c>
      <c r="BE55">
        <v>0</v>
      </c>
      <c r="BF55">
        <v>2.048</v>
      </c>
      <c r="BG55">
        <v>15.906000000000001</v>
      </c>
      <c r="BH55">
        <v>38.707999999999998</v>
      </c>
      <c r="BI55">
        <v>6.6289999999999996</v>
      </c>
      <c r="BJ55">
        <v>0</v>
      </c>
      <c r="BK55">
        <v>91</v>
      </c>
      <c r="BL55">
        <v>73</v>
      </c>
      <c r="BM55">
        <v>87</v>
      </c>
      <c r="BN55">
        <v>13</v>
      </c>
      <c r="BO55">
        <v>0</v>
      </c>
      <c r="BP55">
        <v>0</v>
      </c>
      <c r="BQ55">
        <v>0</v>
      </c>
      <c r="BR55">
        <v>0</v>
      </c>
      <c r="BS55">
        <v>0</v>
      </c>
      <c r="BT55">
        <v>0</v>
      </c>
      <c r="BU55">
        <v>0</v>
      </c>
      <c r="BV55">
        <v>0.3</v>
      </c>
      <c r="BW55">
        <v>0.81899999999999995</v>
      </c>
      <c r="BX55">
        <v>1</v>
      </c>
      <c r="BY55">
        <v>0.92</v>
      </c>
      <c r="BZ55">
        <v>1</v>
      </c>
      <c r="CA55">
        <v>0.05</v>
      </c>
      <c r="CB55">
        <v>0.1</v>
      </c>
      <c r="CC55">
        <v>0.31</v>
      </c>
      <c r="CD55">
        <v>4.0000000000000001E-3</v>
      </c>
      <c r="CE55">
        <v>0.2</v>
      </c>
      <c r="CF55" t="b">
        <v>0</v>
      </c>
      <c r="CG55" t="b">
        <v>0</v>
      </c>
      <c r="CH55" t="s">
        <v>93</v>
      </c>
      <c r="CI55">
        <v>100</v>
      </c>
      <c r="CJ55">
        <v>0</v>
      </c>
      <c r="CK55">
        <v>66.3</v>
      </c>
      <c r="CL55">
        <v>3.13</v>
      </c>
    </row>
    <row r="56" spans="1:90" x14ac:dyDescent="0.25">
      <c r="A56">
        <v>106</v>
      </c>
      <c r="B56" t="s">
        <v>153</v>
      </c>
      <c r="C56" t="s">
        <v>109</v>
      </c>
      <c r="D56" t="s">
        <v>92</v>
      </c>
      <c r="E56">
        <v>89.278000000000006</v>
      </c>
      <c r="F56">
        <v>11.048</v>
      </c>
      <c r="G56">
        <v>21.542000000000002</v>
      </c>
      <c r="H56">
        <v>43</v>
      </c>
      <c r="I56">
        <v>50</v>
      </c>
      <c r="J56">
        <v>7</v>
      </c>
      <c r="K56">
        <v>17.8</v>
      </c>
      <c r="L56">
        <v>20.495000000000001</v>
      </c>
      <c r="M56">
        <v>65</v>
      </c>
      <c r="N56">
        <v>41.057000000000002</v>
      </c>
      <c r="O56">
        <v>1.5069999999999999</v>
      </c>
      <c r="P56">
        <v>2.7970000000000002</v>
      </c>
      <c r="Q56">
        <v>30.731999999999999</v>
      </c>
      <c r="R56">
        <v>37.683999999999997</v>
      </c>
      <c r="S56">
        <v>51.4</v>
      </c>
      <c r="T56">
        <v>6.5910000000000002</v>
      </c>
      <c r="U56">
        <v>2.282</v>
      </c>
      <c r="V56">
        <v>9.7520000000000007</v>
      </c>
      <c r="W56">
        <v>1.54</v>
      </c>
      <c r="X56">
        <v>2.5489999999999999</v>
      </c>
      <c r="Y56">
        <v>2.677</v>
      </c>
      <c r="Z56">
        <v>1.514</v>
      </c>
      <c r="AA56">
        <v>0.28899999999999998</v>
      </c>
      <c r="AB56">
        <v>0.32400000000000001</v>
      </c>
      <c r="AC56">
        <v>2.4860000000000002</v>
      </c>
      <c r="AD56">
        <v>0.20200000000000001</v>
      </c>
      <c r="AE56">
        <v>0.76100000000000001</v>
      </c>
      <c r="AF56">
        <v>0.186</v>
      </c>
      <c r="AG56">
        <v>10.234</v>
      </c>
      <c r="AH56">
        <v>430.12099999999998</v>
      </c>
      <c r="AI56">
        <v>42.703000000000003</v>
      </c>
      <c r="AJ56">
        <v>26.42</v>
      </c>
      <c r="AK56">
        <v>2.746</v>
      </c>
      <c r="AL56">
        <v>0.52</v>
      </c>
      <c r="AM56">
        <v>0</v>
      </c>
      <c r="AN56">
        <v>0</v>
      </c>
      <c r="AO56">
        <v>0.2</v>
      </c>
      <c r="AP56">
        <v>4.1989999999999998</v>
      </c>
      <c r="AQ56">
        <v>1.9339999999999999</v>
      </c>
      <c r="AR56">
        <v>3.923</v>
      </c>
      <c r="AS56">
        <v>6.6849999999999996</v>
      </c>
      <c r="AT56">
        <v>4.8070000000000004</v>
      </c>
      <c r="AU56">
        <v>1.3260000000000001</v>
      </c>
      <c r="AV56">
        <v>4.5860000000000003</v>
      </c>
      <c r="AW56">
        <v>4.0330000000000004</v>
      </c>
      <c r="AX56">
        <v>1.381</v>
      </c>
      <c r="AY56">
        <v>4.9720000000000004</v>
      </c>
      <c r="AZ56">
        <v>1.357</v>
      </c>
      <c r="BA56">
        <v>0.84899999999999998</v>
      </c>
      <c r="BB56">
        <v>25.012</v>
      </c>
      <c r="BC56">
        <v>2.2330000000000001</v>
      </c>
      <c r="BD56">
        <v>4.01</v>
      </c>
      <c r="BE56">
        <v>0.35</v>
      </c>
      <c r="BF56">
        <v>2.4340000000000002</v>
      </c>
      <c r="BG56">
        <v>18.489000000000001</v>
      </c>
      <c r="BH56">
        <v>36.792000000000002</v>
      </c>
      <c r="BI56">
        <v>8.4740000000000002</v>
      </c>
      <c r="BJ56">
        <v>0</v>
      </c>
      <c r="BK56">
        <v>91</v>
      </c>
      <c r="BL56">
        <v>73</v>
      </c>
      <c r="BM56">
        <v>55</v>
      </c>
      <c r="BN56">
        <v>45</v>
      </c>
      <c r="BO56">
        <v>0</v>
      </c>
      <c r="BP56">
        <v>0</v>
      </c>
      <c r="BQ56">
        <v>0</v>
      </c>
      <c r="BR56">
        <v>0</v>
      </c>
      <c r="BS56">
        <v>0</v>
      </c>
      <c r="BT56">
        <v>0</v>
      </c>
      <c r="BU56">
        <v>0</v>
      </c>
      <c r="BV56">
        <v>0.3</v>
      </c>
      <c r="BW56">
        <v>0.76800000000000002</v>
      </c>
      <c r="BX56">
        <v>1</v>
      </c>
      <c r="BY56">
        <v>0.92</v>
      </c>
      <c r="BZ56">
        <v>1</v>
      </c>
      <c r="CA56">
        <v>0.05</v>
      </c>
      <c r="CB56">
        <v>0.1</v>
      </c>
      <c r="CC56">
        <v>0.31</v>
      </c>
      <c r="CD56">
        <v>4.0000000000000001E-3</v>
      </c>
      <c r="CE56">
        <v>0.2</v>
      </c>
      <c r="CF56" t="b">
        <v>0</v>
      </c>
      <c r="CG56" t="b">
        <v>0</v>
      </c>
      <c r="CH56" t="s">
        <v>93</v>
      </c>
      <c r="CI56">
        <v>100</v>
      </c>
      <c r="CJ56">
        <v>0</v>
      </c>
      <c r="CK56">
        <v>62.06</v>
      </c>
      <c r="CL56">
        <v>2.89</v>
      </c>
    </row>
    <row r="57" spans="1:90" x14ac:dyDescent="0.25">
      <c r="A57">
        <v>107</v>
      </c>
      <c r="B57" t="s">
        <v>154</v>
      </c>
      <c r="C57" t="s">
        <v>109</v>
      </c>
      <c r="D57" t="s">
        <v>92</v>
      </c>
      <c r="E57">
        <v>88.135999999999996</v>
      </c>
      <c r="F57">
        <v>10.762</v>
      </c>
      <c r="G57">
        <v>20.745000000000001</v>
      </c>
      <c r="H57">
        <v>45</v>
      </c>
      <c r="I57">
        <v>46</v>
      </c>
      <c r="J57">
        <v>9</v>
      </c>
      <c r="K57">
        <v>17.832999999999998</v>
      </c>
      <c r="L57">
        <v>21.748999999999999</v>
      </c>
      <c r="M57">
        <v>65</v>
      </c>
      <c r="N57">
        <v>34.613</v>
      </c>
      <c r="O57">
        <v>0.74299999999999999</v>
      </c>
      <c r="P57">
        <v>1.85</v>
      </c>
      <c r="Q57">
        <v>32.073</v>
      </c>
      <c r="R57">
        <v>41.109000000000002</v>
      </c>
      <c r="S57">
        <v>52.396000000000001</v>
      </c>
      <c r="T57">
        <v>6.6429999999999998</v>
      </c>
      <c r="U57">
        <v>1.5129999999999999</v>
      </c>
      <c r="V57">
        <v>8.9700000000000006</v>
      </c>
      <c r="W57">
        <v>1.5029999999999999</v>
      </c>
      <c r="X57">
        <v>2.0760000000000001</v>
      </c>
      <c r="Y57">
        <v>2.629</v>
      </c>
      <c r="Z57">
        <v>1.4019999999999999</v>
      </c>
      <c r="AA57">
        <v>0.28199999999999997</v>
      </c>
      <c r="AB57">
        <v>0.32300000000000001</v>
      </c>
      <c r="AC57">
        <v>2.3849999999999998</v>
      </c>
      <c r="AD57">
        <v>0.21099999999999999</v>
      </c>
      <c r="AE57">
        <v>0.76500000000000001</v>
      </c>
      <c r="AF57">
        <v>0.17899999999999999</v>
      </c>
      <c r="AG57">
        <v>9.6910000000000007</v>
      </c>
      <c r="AH57">
        <v>421.33199999999999</v>
      </c>
      <c r="AI57">
        <v>38.494999999999997</v>
      </c>
      <c r="AJ57">
        <v>26.216000000000001</v>
      </c>
      <c r="AK57">
        <v>2.5350000000000001</v>
      </c>
      <c r="AL57">
        <v>0.52</v>
      </c>
      <c r="AM57">
        <v>0</v>
      </c>
      <c r="AN57">
        <v>0</v>
      </c>
      <c r="AO57">
        <v>0.19</v>
      </c>
      <c r="AP57">
        <v>4.1989999999999998</v>
      </c>
      <c r="AQ57">
        <v>1.9339999999999999</v>
      </c>
      <c r="AR57">
        <v>3.923</v>
      </c>
      <c r="AS57">
        <v>6.6849999999999996</v>
      </c>
      <c r="AT57">
        <v>4.8070000000000004</v>
      </c>
      <c r="AU57">
        <v>1.3260000000000001</v>
      </c>
      <c r="AV57">
        <v>4.5860000000000003</v>
      </c>
      <c r="AW57">
        <v>4.0330000000000004</v>
      </c>
      <c r="AX57">
        <v>1.381</v>
      </c>
      <c r="AY57">
        <v>4.9720000000000004</v>
      </c>
      <c r="AZ57">
        <v>1.357</v>
      </c>
      <c r="BA57">
        <v>0.84899999999999998</v>
      </c>
      <c r="BB57">
        <v>25.012</v>
      </c>
      <c r="BC57">
        <v>2.2330000000000001</v>
      </c>
      <c r="BD57">
        <v>4.01</v>
      </c>
      <c r="BE57">
        <v>0.35</v>
      </c>
      <c r="BF57">
        <v>2.4340000000000002</v>
      </c>
      <c r="BG57">
        <v>18.489000000000001</v>
      </c>
      <c r="BH57">
        <v>36.792000000000002</v>
      </c>
      <c r="BI57">
        <v>8.4740000000000002</v>
      </c>
      <c r="BJ57">
        <v>0</v>
      </c>
      <c r="BK57">
        <v>91</v>
      </c>
      <c r="BL57">
        <v>73</v>
      </c>
      <c r="BM57">
        <v>55</v>
      </c>
      <c r="BN57">
        <v>45</v>
      </c>
      <c r="BO57">
        <v>0</v>
      </c>
      <c r="BP57">
        <v>0</v>
      </c>
      <c r="BQ57">
        <v>0</v>
      </c>
      <c r="BR57">
        <v>0</v>
      </c>
      <c r="BS57">
        <v>0</v>
      </c>
      <c r="BT57">
        <v>0</v>
      </c>
      <c r="BU57">
        <v>0</v>
      </c>
      <c r="BV57">
        <v>0.3</v>
      </c>
      <c r="BW57">
        <v>0.76800000000000002</v>
      </c>
      <c r="BX57">
        <v>1</v>
      </c>
      <c r="BY57">
        <v>0.92</v>
      </c>
      <c r="BZ57">
        <v>1</v>
      </c>
      <c r="CA57">
        <v>0.05</v>
      </c>
      <c r="CB57">
        <v>0.1</v>
      </c>
      <c r="CC57">
        <v>0.31</v>
      </c>
      <c r="CD57">
        <v>4.0000000000000001E-3</v>
      </c>
      <c r="CE57">
        <v>0.2</v>
      </c>
      <c r="CF57" t="b">
        <v>0</v>
      </c>
      <c r="CG57" t="b">
        <v>0</v>
      </c>
      <c r="CH57" t="s">
        <v>93</v>
      </c>
      <c r="CI57">
        <v>100</v>
      </c>
      <c r="CJ57">
        <v>0</v>
      </c>
      <c r="CK57">
        <v>59.11</v>
      </c>
      <c r="CL57">
        <v>2.74</v>
      </c>
    </row>
    <row r="58" spans="1:90" x14ac:dyDescent="0.25">
      <c r="A58">
        <v>108</v>
      </c>
      <c r="B58" t="s">
        <v>155</v>
      </c>
      <c r="C58" t="s">
        <v>109</v>
      </c>
      <c r="D58" t="s">
        <v>92</v>
      </c>
      <c r="E58">
        <v>87.652000000000001</v>
      </c>
      <c r="F58">
        <v>9.9740000000000002</v>
      </c>
      <c r="G58">
        <v>18.111000000000001</v>
      </c>
      <c r="H58">
        <v>39</v>
      </c>
      <c r="I58">
        <v>49</v>
      </c>
      <c r="J58">
        <v>12</v>
      </c>
      <c r="K58">
        <v>14</v>
      </c>
      <c r="L58">
        <v>27.143999999999998</v>
      </c>
      <c r="M58">
        <v>65</v>
      </c>
      <c r="N58">
        <v>37.896999999999998</v>
      </c>
      <c r="O58">
        <v>1.7509999999999999</v>
      </c>
      <c r="P58">
        <v>3.887</v>
      </c>
      <c r="Q58">
        <v>37.192999999999998</v>
      </c>
      <c r="R58">
        <v>46.648000000000003</v>
      </c>
      <c r="S58">
        <v>43.423000000000002</v>
      </c>
      <c r="T58">
        <v>8.1170000000000009</v>
      </c>
      <c r="U58">
        <v>2.2730000000000001</v>
      </c>
      <c r="V58">
        <v>9.7720000000000002</v>
      </c>
      <c r="W58">
        <v>1.212</v>
      </c>
      <c r="X58">
        <v>2.2450000000000001</v>
      </c>
      <c r="Y58">
        <v>2.4529999999999998</v>
      </c>
      <c r="Z58">
        <v>1.365</v>
      </c>
      <c r="AA58">
        <v>0.28199999999999997</v>
      </c>
      <c r="AB58">
        <v>0.29299999999999998</v>
      </c>
      <c r="AC58">
        <v>2.3420000000000001</v>
      </c>
      <c r="AD58">
        <v>0.11</v>
      </c>
      <c r="AE58">
        <v>0.66</v>
      </c>
      <c r="AF58">
        <v>0.122</v>
      </c>
      <c r="AG58">
        <v>9.7070000000000007</v>
      </c>
      <c r="AH58">
        <v>380.09399999999999</v>
      </c>
      <c r="AI58">
        <v>44.048000000000002</v>
      </c>
      <c r="AJ58">
        <v>24.341000000000001</v>
      </c>
      <c r="AK58">
        <v>2.234</v>
      </c>
      <c r="AL58">
        <v>0.52</v>
      </c>
      <c r="AM58">
        <v>0</v>
      </c>
      <c r="AN58">
        <v>0</v>
      </c>
      <c r="AO58">
        <v>0.18</v>
      </c>
      <c r="AP58">
        <v>4.1989999999999998</v>
      </c>
      <c r="AQ58">
        <v>1.9339999999999999</v>
      </c>
      <c r="AR58">
        <v>3.923</v>
      </c>
      <c r="AS58">
        <v>6.6849999999999996</v>
      </c>
      <c r="AT58">
        <v>4.8070000000000004</v>
      </c>
      <c r="AU58">
        <v>1.3260000000000001</v>
      </c>
      <c r="AV58">
        <v>4.5860000000000003</v>
      </c>
      <c r="AW58">
        <v>4.0330000000000004</v>
      </c>
      <c r="AX58">
        <v>1.381</v>
      </c>
      <c r="AY58">
        <v>4.9720000000000004</v>
      </c>
      <c r="AZ58">
        <v>1.357</v>
      </c>
      <c r="BA58">
        <v>0.84899999999999998</v>
      </c>
      <c r="BB58">
        <v>25.012</v>
      </c>
      <c r="BC58">
        <v>2.2330000000000001</v>
      </c>
      <c r="BD58">
        <v>4.01</v>
      </c>
      <c r="BE58">
        <v>0.35</v>
      </c>
      <c r="BF58">
        <v>2.4340000000000002</v>
      </c>
      <c r="BG58">
        <v>18.489000000000001</v>
      </c>
      <c r="BH58">
        <v>36.792000000000002</v>
      </c>
      <c r="BI58">
        <v>8.4740000000000002</v>
      </c>
      <c r="BJ58">
        <v>0</v>
      </c>
      <c r="BK58">
        <v>91</v>
      </c>
      <c r="BL58">
        <v>73</v>
      </c>
      <c r="BM58">
        <v>55</v>
      </c>
      <c r="BN58">
        <v>45</v>
      </c>
      <c r="BO58">
        <v>0</v>
      </c>
      <c r="BP58">
        <v>0</v>
      </c>
      <c r="BQ58">
        <v>0</v>
      </c>
      <c r="BR58">
        <v>0</v>
      </c>
      <c r="BS58">
        <v>0</v>
      </c>
      <c r="BT58">
        <v>0</v>
      </c>
      <c r="BU58">
        <v>0</v>
      </c>
      <c r="BV58">
        <v>0.3</v>
      </c>
      <c r="BW58">
        <v>0.76800000000000002</v>
      </c>
      <c r="BX58">
        <v>1</v>
      </c>
      <c r="BY58">
        <v>0.92</v>
      </c>
      <c r="BZ58">
        <v>1</v>
      </c>
      <c r="CA58">
        <v>0.05</v>
      </c>
      <c r="CB58">
        <v>0.1</v>
      </c>
      <c r="CC58">
        <v>0.31</v>
      </c>
      <c r="CD58">
        <v>4.0000000000000001E-3</v>
      </c>
      <c r="CE58">
        <v>0.2</v>
      </c>
      <c r="CF58" t="b">
        <v>0</v>
      </c>
      <c r="CG58" t="b">
        <v>0</v>
      </c>
      <c r="CH58" t="s">
        <v>93</v>
      </c>
      <c r="CI58">
        <v>100</v>
      </c>
      <c r="CJ58">
        <v>0</v>
      </c>
      <c r="CK58">
        <v>54.73</v>
      </c>
      <c r="CL58">
        <v>2.5099999999999998</v>
      </c>
    </row>
    <row r="59" spans="1:90" x14ac:dyDescent="0.25">
      <c r="A59">
        <v>109</v>
      </c>
      <c r="B59" t="s">
        <v>156</v>
      </c>
      <c r="C59" t="s">
        <v>109</v>
      </c>
      <c r="D59" t="s">
        <v>92</v>
      </c>
      <c r="E59">
        <v>41.61</v>
      </c>
      <c r="F59">
        <v>11.122</v>
      </c>
      <c r="G59">
        <v>22.064</v>
      </c>
      <c r="H59">
        <v>62</v>
      </c>
      <c r="I59">
        <v>29</v>
      </c>
      <c r="J59">
        <v>9</v>
      </c>
      <c r="K59">
        <v>13.1</v>
      </c>
      <c r="L59">
        <v>20.827999999999999</v>
      </c>
      <c r="M59">
        <v>70</v>
      </c>
      <c r="N59">
        <v>55.244999999999997</v>
      </c>
      <c r="O59">
        <v>1.6</v>
      </c>
      <c r="P59">
        <v>2.6749999999999998</v>
      </c>
      <c r="Q59">
        <v>32.000999999999998</v>
      </c>
      <c r="R59">
        <v>38.747999999999998</v>
      </c>
      <c r="S59">
        <v>53.25</v>
      </c>
      <c r="T59">
        <v>6.5449999999999999</v>
      </c>
      <c r="U59">
        <v>1.91</v>
      </c>
      <c r="V59">
        <v>7.3179999999999996</v>
      </c>
      <c r="W59">
        <v>1.9770000000000001</v>
      </c>
      <c r="X59">
        <v>3.2240000000000002</v>
      </c>
      <c r="Y59">
        <v>2.6970000000000001</v>
      </c>
      <c r="Z59">
        <v>1.304</v>
      </c>
      <c r="AA59">
        <v>0.34899999999999998</v>
      </c>
      <c r="AB59">
        <v>0.32500000000000001</v>
      </c>
      <c r="AC59">
        <v>2.7919999999999998</v>
      </c>
      <c r="AD59">
        <v>0.16</v>
      </c>
      <c r="AE59">
        <v>0.79900000000000004</v>
      </c>
      <c r="AF59">
        <v>0.217</v>
      </c>
      <c r="AG59">
        <v>11.436</v>
      </c>
      <c r="AH59">
        <v>685.34400000000005</v>
      </c>
      <c r="AI59">
        <v>61.594999999999999</v>
      </c>
      <c r="AJ59">
        <v>30.446999999999999</v>
      </c>
      <c r="AK59">
        <v>3.5139999999999998</v>
      </c>
      <c r="AL59">
        <v>0.52</v>
      </c>
      <c r="AM59">
        <v>0</v>
      </c>
      <c r="AN59">
        <v>0</v>
      </c>
      <c r="AO59">
        <v>0.18</v>
      </c>
      <c r="AP59">
        <v>1.762</v>
      </c>
      <c r="AQ59">
        <v>1.917</v>
      </c>
      <c r="AR59">
        <v>4.1449999999999996</v>
      </c>
      <c r="AS59">
        <v>6.7359999999999998</v>
      </c>
      <c r="AT59">
        <v>4.7149999999999999</v>
      </c>
      <c r="AU59">
        <v>1.347</v>
      </c>
      <c r="AV59">
        <v>4.3520000000000003</v>
      </c>
      <c r="AW59">
        <v>3.8340000000000001</v>
      </c>
      <c r="AX59">
        <v>1.1919999999999999</v>
      </c>
      <c r="AY59">
        <v>5.0780000000000003</v>
      </c>
      <c r="AZ59">
        <v>11.978999999999999</v>
      </c>
      <c r="BA59">
        <v>0.65700000000000003</v>
      </c>
      <c r="BB59">
        <v>18.812999999999999</v>
      </c>
      <c r="BC59">
        <v>1.907</v>
      </c>
      <c r="BD59">
        <v>3.3530000000000002</v>
      </c>
      <c r="BE59">
        <v>0</v>
      </c>
      <c r="BF59">
        <v>2.048</v>
      </c>
      <c r="BG59">
        <v>15.906000000000001</v>
      </c>
      <c r="BH59">
        <v>38.707999999999998</v>
      </c>
      <c r="BI59">
        <v>6.6289999999999996</v>
      </c>
      <c r="BJ59">
        <v>0</v>
      </c>
      <c r="BK59">
        <v>91</v>
      </c>
      <c r="BL59">
        <v>73</v>
      </c>
      <c r="BM59">
        <v>87</v>
      </c>
      <c r="BN59">
        <v>13</v>
      </c>
      <c r="BO59">
        <v>0</v>
      </c>
      <c r="BP59">
        <v>0</v>
      </c>
      <c r="BQ59">
        <v>0</v>
      </c>
      <c r="BR59">
        <v>0</v>
      </c>
      <c r="BS59">
        <v>0</v>
      </c>
      <c r="BT59">
        <v>0</v>
      </c>
      <c r="BU59">
        <v>0</v>
      </c>
      <c r="BV59">
        <v>0.3</v>
      </c>
      <c r="BW59">
        <v>0.81899999999999995</v>
      </c>
      <c r="BX59">
        <v>1</v>
      </c>
      <c r="BY59">
        <v>0.92</v>
      </c>
      <c r="BZ59">
        <v>1</v>
      </c>
      <c r="CA59">
        <v>0.05</v>
      </c>
      <c r="CB59">
        <v>0.1</v>
      </c>
      <c r="CC59">
        <v>0.31</v>
      </c>
      <c r="CD59">
        <v>4.0000000000000001E-3</v>
      </c>
      <c r="CE59">
        <v>0.2</v>
      </c>
      <c r="CF59" t="b">
        <v>0</v>
      </c>
      <c r="CG59" t="b">
        <v>1</v>
      </c>
      <c r="CH59" t="s">
        <v>93</v>
      </c>
      <c r="CI59">
        <v>100</v>
      </c>
      <c r="CJ59">
        <v>0</v>
      </c>
      <c r="CK59">
        <v>60.48</v>
      </c>
      <c r="CL59">
        <v>2.83</v>
      </c>
    </row>
    <row r="60" spans="1:90" x14ac:dyDescent="0.25">
      <c r="A60">
        <v>110</v>
      </c>
      <c r="B60" t="s">
        <v>157</v>
      </c>
      <c r="C60" t="s">
        <v>109</v>
      </c>
      <c r="D60" t="s">
        <v>92</v>
      </c>
      <c r="E60">
        <v>42.883000000000003</v>
      </c>
      <c r="F60">
        <v>10.597</v>
      </c>
      <c r="G60">
        <v>20.471</v>
      </c>
      <c r="H60">
        <v>52</v>
      </c>
      <c r="I60">
        <v>39</v>
      </c>
      <c r="J60">
        <v>9</v>
      </c>
      <c r="K60">
        <v>8.1739999999999995</v>
      </c>
      <c r="L60">
        <v>26.89</v>
      </c>
      <c r="M60">
        <v>70</v>
      </c>
      <c r="N60">
        <v>49.329000000000001</v>
      </c>
      <c r="O60">
        <v>1.248</v>
      </c>
      <c r="P60">
        <v>2.2450000000000001</v>
      </c>
      <c r="Q60">
        <v>33.683</v>
      </c>
      <c r="R60">
        <v>43.195</v>
      </c>
      <c r="S60">
        <v>49.411000000000001</v>
      </c>
      <c r="T60">
        <v>7.4189999999999996</v>
      </c>
      <c r="U60">
        <v>1.9730000000000001</v>
      </c>
      <c r="V60">
        <v>6.274</v>
      </c>
      <c r="W60">
        <v>2.3220000000000001</v>
      </c>
      <c r="X60">
        <v>2.8719999999999999</v>
      </c>
      <c r="Y60">
        <v>2.5880000000000001</v>
      </c>
      <c r="Z60">
        <v>1.254</v>
      </c>
      <c r="AA60">
        <v>0.35099999999999998</v>
      </c>
      <c r="AB60">
        <v>0.29799999999999999</v>
      </c>
      <c r="AC60">
        <v>2.8170000000000002</v>
      </c>
      <c r="AD60">
        <v>0.124</v>
      </c>
      <c r="AE60">
        <v>0.63500000000000001</v>
      </c>
      <c r="AF60">
        <v>0.13800000000000001</v>
      </c>
      <c r="AG60">
        <v>10.590999999999999</v>
      </c>
      <c r="AH60">
        <v>534.38199999999995</v>
      </c>
      <c r="AI60">
        <v>54.79</v>
      </c>
      <c r="AJ60">
        <v>28.855</v>
      </c>
      <c r="AK60">
        <v>2.0920000000000001</v>
      </c>
      <c r="AL60">
        <v>0.52</v>
      </c>
      <c r="AM60">
        <v>0</v>
      </c>
      <c r="AN60">
        <v>0</v>
      </c>
      <c r="AO60">
        <v>0.18</v>
      </c>
      <c r="AP60">
        <v>1.762</v>
      </c>
      <c r="AQ60">
        <v>1.917</v>
      </c>
      <c r="AR60">
        <v>4.1449999999999996</v>
      </c>
      <c r="AS60">
        <v>6.7359999999999998</v>
      </c>
      <c r="AT60">
        <v>4.7149999999999999</v>
      </c>
      <c r="AU60">
        <v>1.347</v>
      </c>
      <c r="AV60">
        <v>4.3520000000000003</v>
      </c>
      <c r="AW60">
        <v>3.8340000000000001</v>
      </c>
      <c r="AX60">
        <v>1.1919999999999999</v>
      </c>
      <c r="AY60">
        <v>5.0780000000000003</v>
      </c>
      <c r="AZ60">
        <v>11.978999999999999</v>
      </c>
      <c r="BA60">
        <v>0.65700000000000003</v>
      </c>
      <c r="BB60">
        <v>18.812999999999999</v>
      </c>
      <c r="BC60">
        <v>1.907</v>
      </c>
      <c r="BD60">
        <v>3.3530000000000002</v>
      </c>
      <c r="BE60">
        <v>0</v>
      </c>
      <c r="BF60">
        <v>2.048</v>
      </c>
      <c r="BG60">
        <v>15.906000000000001</v>
      </c>
      <c r="BH60">
        <v>38.707999999999998</v>
      </c>
      <c r="BI60">
        <v>6.6289999999999996</v>
      </c>
      <c r="BJ60">
        <v>0</v>
      </c>
      <c r="BK60">
        <v>91</v>
      </c>
      <c r="BL60">
        <v>73</v>
      </c>
      <c r="BM60">
        <v>87</v>
      </c>
      <c r="BN60">
        <v>13</v>
      </c>
      <c r="BO60">
        <v>0</v>
      </c>
      <c r="BP60">
        <v>0</v>
      </c>
      <c r="BQ60">
        <v>0</v>
      </c>
      <c r="BR60">
        <v>0</v>
      </c>
      <c r="BS60">
        <v>0</v>
      </c>
      <c r="BT60">
        <v>0</v>
      </c>
      <c r="BU60">
        <v>0</v>
      </c>
      <c r="BV60">
        <v>0.3</v>
      </c>
      <c r="BW60">
        <v>0.81899999999999995</v>
      </c>
      <c r="BX60">
        <v>1</v>
      </c>
      <c r="BY60">
        <v>0.92</v>
      </c>
      <c r="BZ60">
        <v>1</v>
      </c>
      <c r="CA60">
        <v>0.05</v>
      </c>
      <c r="CB60">
        <v>0.1</v>
      </c>
      <c r="CC60">
        <v>0.31</v>
      </c>
      <c r="CD60">
        <v>4.0000000000000001E-3</v>
      </c>
      <c r="CE60">
        <v>0.2</v>
      </c>
      <c r="CF60" t="b">
        <v>0</v>
      </c>
      <c r="CG60" t="b">
        <v>1</v>
      </c>
      <c r="CH60" t="s">
        <v>93</v>
      </c>
      <c r="CI60">
        <v>100</v>
      </c>
      <c r="CJ60">
        <v>0</v>
      </c>
      <c r="CK60">
        <v>56.75</v>
      </c>
      <c r="CL60">
        <v>2.65</v>
      </c>
    </row>
    <row r="61" spans="1:90" x14ac:dyDescent="0.25">
      <c r="A61">
        <v>112</v>
      </c>
      <c r="B61" t="s">
        <v>158</v>
      </c>
      <c r="C61" t="s">
        <v>95</v>
      </c>
      <c r="D61" t="s">
        <v>96</v>
      </c>
      <c r="E61">
        <v>89.646000000000001</v>
      </c>
      <c r="F61">
        <v>6.766</v>
      </c>
      <c r="G61">
        <v>38.481999999999999</v>
      </c>
      <c r="H61">
        <v>18</v>
      </c>
      <c r="I61">
        <v>67</v>
      </c>
      <c r="J61">
        <v>15</v>
      </c>
      <c r="K61">
        <v>5.367</v>
      </c>
      <c r="L61">
        <v>49.392000000000003</v>
      </c>
      <c r="M61">
        <v>84.424999999999997</v>
      </c>
      <c r="N61">
        <v>38.997999999999998</v>
      </c>
      <c r="O61">
        <v>1.706</v>
      </c>
      <c r="P61">
        <v>4.3490000000000002</v>
      </c>
      <c r="Q61">
        <v>16.928999999999998</v>
      </c>
      <c r="R61">
        <v>30.434000000000001</v>
      </c>
      <c r="S61">
        <v>49</v>
      </c>
      <c r="T61">
        <v>6.226</v>
      </c>
      <c r="U61">
        <v>2.0630000000000002</v>
      </c>
      <c r="V61">
        <v>5.8929999999999998</v>
      </c>
      <c r="W61">
        <v>3.08</v>
      </c>
      <c r="X61">
        <v>3.2029999999999998</v>
      </c>
      <c r="Y61">
        <v>3.2210000000000001</v>
      </c>
      <c r="Z61">
        <v>0.437</v>
      </c>
      <c r="AA61">
        <v>0.95</v>
      </c>
      <c r="AB61">
        <v>0.65100000000000002</v>
      </c>
      <c r="AC61">
        <v>1.304</v>
      </c>
      <c r="AD61">
        <v>0.13100000000000001</v>
      </c>
      <c r="AE61">
        <v>6.6000000000000003E-2</v>
      </c>
      <c r="AF61">
        <v>0.39900000000000002</v>
      </c>
      <c r="AG61">
        <v>21.007999999999999</v>
      </c>
      <c r="AH61">
        <v>312.49299999999999</v>
      </c>
      <c r="AI61">
        <v>52.453000000000003</v>
      </c>
      <c r="AJ61">
        <v>75.296000000000006</v>
      </c>
      <c r="AK61">
        <v>1</v>
      </c>
      <c r="AL61">
        <v>0</v>
      </c>
      <c r="AM61">
        <v>0</v>
      </c>
      <c r="AN61">
        <v>0</v>
      </c>
      <c r="AO61">
        <v>0</v>
      </c>
      <c r="AP61">
        <v>9.0980000000000008</v>
      </c>
      <c r="AQ61">
        <v>2.1720000000000002</v>
      </c>
      <c r="AR61">
        <v>4.0570000000000004</v>
      </c>
      <c r="AS61">
        <v>5.9429999999999996</v>
      </c>
      <c r="AT61">
        <v>4.0570000000000004</v>
      </c>
      <c r="AU61">
        <v>1.762</v>
      </c>
      <c r="AV61">
        <v>4.6310000000000002</v>
      </c>
      <c r="AW61">
        <v>3.6480000000000001</v>
      </c>
      <c r="AX61">
        <v>1.4750000000000001</v>
      </c>
      <c r="AY61">
        <v>4.8769999999999998</v>
      </c>
      <c r="AZ61">
        <v>0</v>
      </c>
      <c r="BA61">
        <v>0.16</v>
      </c>
      <c r="BB61">
        <v>5.74</v>
      </c>
      <c r="BC61">
        <v>0.18</v>
      </c>
      <c r="BD61">
        <v>4.3</v>
      </c>
      <c r="BE61">
        <v>0</v>
      </c>
      <c r="BF61">
        <v>18.88</v>
      </c>
      <c r="BG61">
        <v>14.15</v>
      </c>
      <c r="BH61">
        <v>55.95</v>
      </c>
      <c r="BI61">
        <v>0.64</v>
      </c>
      <c r="BJ61">
        <v>0</v>
      </c>
      <c r="BK61">
        <v>91</v>
      </c>
      <c r="BL61">
        <v>73</v>
      </c>
      <c r="BM61">
        <v>0</v>
      </c>
      <c r="BN61">
        <v>100</v>
      </c>
      <c r="BO61">
        <v>0</v>
      </c>
      <c r="BP61">
        <v>0</v>
      </c>
      <c r="BQ61">
        <v>0</v>
      </c>
      <c r="BR61">
        <v>0</v>
      </c>
      <c r="BS61">
        <v>0</v>
      </c>
      <c r="BT61">
        <v>0</v>
      </c>
      <c r="BU61">
        <v>0</v>
      </c>
      <c r="BV61">
        <v>0.6</v>
      </c>
      <c r="BW61">
        <v>0.68</v>
      </c>
      <c r="BX61">
        <v>1</v>
      </c>
      <c r="BY61">
        <v>0.92</v>
      </c>
      <c r="BZ61">
        <v>1</v>
      </c>
      <c r="CA61">
        <v>0.05</v>
      </c>
      <c r="CB61">
        <v>0.1</v>
      </c>
      <c r="CC61">
        <v>0.31</v>
      </c>
      <c r="CD61">
        <v>4.0000000000000001E-3</v>
      </c>
      <c r="CE61">
        <v>0.2</v>
      </c>
      <c r="CF61" t="b">
        <v>0</v>
      </c>
      <c r="CG61" t="b">
        <v>1</v>
      </c>
      <c r="CH61" t="s">
        <v>93</v>
      </c>
      <c r="CI61">
        <v>100</v>
      </c>
      <c r="CJ61">
        <v>0</v>
      </c>
      <c r="CK61">
        <v>65.44</v>
      </c>
      <c r="CL61">
        <v>3.19</v>
      </c>
    </row>
    <row r="62" spans="1:90" x14ac:dyDescent="0.25">
      <c r="A62">
        <v>115</v>
      </c>
      <c r="B62" t="s">
        <v>159</v>
      </c>
      <c r="C62" t="s">
        <v>95</v>
      </c>
      <c r="D62" t="s">
        <v>96</v>
      </c>
      <c r="E62">
        <v>96.064999999999998</v>
      </c>
      <c r="F62">
        <v>26.184000000000001</v>
      </c>
      <c r="G62">
        <v>56.634999999999998</v>
      </c>
      <c r="H62">
        <v>32</v>
      </c>
      <c r="I62">
        <v>42</v>
      </c>
      <c r="J62">
        <v>26</v>
      </c>
      <c r="K62">
        <v>8.8119999999999994</v>
      </c>
      <c r="L62">
        <v>43.792000000000002</v>
      </c>
      <c r="M62">
        <v>61.094000000000001</v>
      </c>
      <c r="N62">
        <v>14.949</v>
      </c>
      <c r="O62">
        <v>2.839</v>
      </c>
      <c r="P62">
        <v>11.827</v>
      </c>
      <c r="Q62">
        <v>0</v>
      </c>
      <c r="R62">
        <v>0</v>
      </c>
      <c r="S62">
        <v>0</v>
      </c>
      <c r="T62">
        <v>0</v>
      </c>
      <c r="U62">
        <v>0</v>
      </c>
      <c r="V62">
        <v>0</v>
      </c>
      <c r="W62">
        <v>7.45</v>
      </c>
      <c r="X62">
        <v>11.898</v>
      </c>
      <c r="Y62">
        <v>3.214</v>
      </c>
      <c r="Z62">
        <v>9.2880000000000003</v>
      </c>
      <c r="AA62">
        <v>4.5940000000000003</v>
      </c>
      <c r="AB62">
        <v>0.27800000000000002</v>
      </c>
      <c r="AC62">
        <v>0.90600000000000003</v>
      </c>
      <c r="AD62">
        <v>0.74099999999999999</v>
      </c>
      <c r="AE62">
        <v>0.49299999999999999</v>
      </c>
      <c r="AF62">
        <v>0.50900000000000001</v>
      </c>
      <c r="AG62">
        <v>20.012</v>
      </c>
      <c r="AH62">
        <v>451.00200000000001</v>
      </c>
      <c r="AI62">
        <v>24.361999999999998</v>
      </c>
      <c r="AJ62">
        <v>159.78299999999999</v>
      </c>
      <c r="AK62">
        <v>0</v>
      </c>
      <c r="AL62">
        <v>0</v>
      </c>
      <c r="AM62">
        <v>0</v>
      </c>
      <c r="AN62">
        <v>0</v>
      </c>
      <c r="AO62">
        <v>0</v>
      </c>
      <c r="AP62">
        <v>7.0090000000000003</v>
      </c>
      <c r="AQ62">
        <v>1.585</v>
      </c>
      <c r="AR62">
        <v>2.5670000000000002</v>
      </c>
      <c r="AS62">
        <v>5.4240000000000004</v>
      </c>
      <c r="AT62">
        <v>4.5759999999999996</v>
      </c>
      <c r="AU62">
        <v>1.25</v>
      </c>
      <c r="AV62">
        <v>3.125</v>
      </c>
      <c r="AW62">
        <v>2.9239999999999999</v>
      </c>
      <c r="AX62">
        <v>0.53600000000000003</v>
      </c>
      <c r="AY62">
        <v>3.8839999999999999</v>
      </c>
      <c r="AZ62">
        <v>8.2000000000000003E-2</v>
      </c>
      <c r="BA62">
        <v>1.6759999999999999</v>
      </c>
      <c r="BB62">
        <v>29.469000000000001</v>
      </c>
      <c r="BC62">
        <v>2.41</v>
      </c>
      <c r="BD62">
        <v>17.501999999999999</v>
      </c>
      <c r="BE62">
        <v>1.2649999999999999</v>
      </c>
      <c r="BF62">
        <v>40.430999999999997</v>
      </c>
      <c r="BG62">
        <v>3.7</v>
      </c>
      <c r="BH62">
        <v>8.2000000000000003E-2</v>
      </c>
      <c r="BI62">
        <v>3.383</v>
      </c>
      <c r="BJ62">
        <v>0</v>
      </c>
      <c r="BK62">
        <v>91</v>
      </c>
      <c r="BL62">
        <v>73</v>
      </c>
      <c r="BM62">
        <v>0</v>
      </c>
      <c r="BN62">
        <v>100</v>
      </c>
      <c r="BO62">
        <v>0</v>
      </c>
      <c r="BP62">
        <v>0</v>
      </c>
      <c r="BQ62">
        <v>0</v>
      </c>
      <c r="BR62">
        <v>0</v>
      </c>
      <c r="BS62">
        <v>0</v>
      </c>
      <c r="BT62">
        <v>0</v>
      </c>
      <c r="BU62">
        <v>0</v>
      </c>
      <c r="BV62">
        <v>0.6</v>
      </c>
      <c r="BW62">
        <v>0.68</v>
      </c>
      <c r="BX62">
        <v>1</v>
      </c>
      <c r="BY62">
        <v>0.92</v>
      </c>
      <c r="BZ62">
        <v>1</v>
      </c>
      <c r="CA62">
        <v>0.05</v>
      </c>
      <c r="CB62">
        <v>0.1</v>
      </c>
      <c r="CC62">
        <v>0.31</v>
      </c>
      <c r="CD62">
        <v>4.0000000000000001E-3</v>
      </c>
      <c r="CE62">
        <v>0.2</v>
      </c>
      <c r="CF62" t="b">
        <v>0</v>
      </c>
      <c r="CG62" t="b">
        <v>1</v>
      </c>
      <c r="CH62" t="s">
        <v>93</v>
      </c>
      <c r="CI62">
        <v>100</v>
      </c>
      <c r="CJ62">
        <v>0</v>
      </c>
      <c r="CK62">
        <v>62.41</v>
      </c>
      <c r="CL62">
        <v>3.22</v>
      </c>
    </row>
    <row r="63" spans="1:90" x14ac:dyDescent="0.25">
      <c r="A63">
        <v>119</v>
      </c>
      <c r="B63" t="s">
        <v>160</v>
      </c>
      <c r="C63" t="s">
        <v>95</v>
      </c>
      <c r="D63" t="s">
        <v>96</v>
      </c>
      <c r="E63">
        <v>65.394999999999996</v>
      </c>
      <c r="F63">
        <v>15.962999999999999</v>
      </c>
      <c r="G63">
        <v>9.2710000000000008</v>
      </c>
      <c r="H63">
        <v>74</v>
      </c>
      <c r="I63">
        <v>26</v>
      </c>
      <c r="J63">
        <v>0</v>
      </c>
      <c r="K63">
        <v>3.2</v>
      </c>
      <c r="L63">
        <v>20.928999999999998</v>
      </c>
      <c r="M63">
        <v>100</v>
      </c>
      <c r="N63">
        <v>95.85</v>
      </c>
      <c r="O63">
        <v>0</v>
      </c>
      <c r="P63">
        <v>0</v>
      </c>
      <c r="Q63">
        <v>0.183</v>
      </c>
      <c r="R63">
        <v>0.56799999999999995</v>
      </c>
      <c r="S63">
        <v>50</v>
      </c>
      <c r="T63">
        <v>0</v>
      </c>
      <c r="U63">
        <v>0.84599999999999997</v>
      </c>
      <c r="V63">
        <v>60</v>
      </c>
      <c r="W63">
        <v>0</v>
      </c>
      <c r="X63">
        <v>0.61099999999999999</v>
      </c>
      <c r="Y63">
        <v>3.073</v>
      </c>
      <c r="Z63">
        <v>0.72899999999999998</v>
      </c>
      <c r="AA63">
        <v>0.26300000000000001</v>
      </c>
      <c r="AB63">
        <v>0.27800000000000002</v>
      </c>
      <c r="AC63">
        <v>4.4859999999999998</v>
      </c>
      <c r="AD63">
        <v>1.512</v>
      </c>
      <c r="AE63">
        <v>2.0150000000000001</v>
      </c>
      <c r="AF63">
        <v>0.64100000000000001</v>
      </c>
      <c r="AG63">
        <v>36.713999999999999</v>
      </c>
      <c r="AH63">
        <v>216</v>
      </c>
      <c r="AI63">
        <v>73.713999999999999</v>
      </c>
      <c r="AJ63">
        <v>112.286</v>
      </c>
      <c r="AK63">
        <v>0</v>
      </c>
      <c r="AL63">
        <v>0.55000000000000004</v>
      </c>
      <c r="AM63">
        <v>0</v>
      </c>
      <c r="AN63">
        <v>0</v>
      </c>
      <c r="AO63">
        <v>0.13</v>
      </c>
      <c r="AP63">
        <v>4.91</v>
      </c>
      <c r="AQ63">
        <v>1.59</v>
      </c>
      <c r="AR63">
        <v>4.4400000000000004</v>
      </c>
      <c r="AS63">
        <v>3.59</v>
      </c>
      <c r="AT63">
        <v>1</v>
      </c>
      <c r="AU63">
        <v>0.22</v>
      </c>
      <c r="AV63">
        <v>2.71</v>
      </c>
      <c r="AW63">
        <v>1.57</v>
      </c>
      <c r="AX63">
        <v>0.45</v>
      </c>
      <c r="AY63">
        <v>3.36</v>
      </c>
      <c r="AZ63">
        <v>0</v>
      </c>
      <c r="BA63">
        <v>0</v>
      </c>
      <c r="BB63">
        <v>17.989999999999998</v>
      </c>
      <c r="BC63">
        <v>0.34</v>
      </c>
      <c r="BD63">
        <v>3.609</v>
      </c>
      <c r="BE63">
        <v>0</v>
      </c>
      <c r="BF63">
        <v>12.978999999999999</v>
      </c>
      <c r="BG63">
        <v>54.936999999999998</v>
      </c>
      <c r="BH63">
        <v>7.4619999999999997</v>
      </c>
      <c r="BI63">
        <v>2.6829999999999998</v>
      </c>
      <c r="BJ63">
        <v>0</v>
      </c>
      <c r="BK63">
        <v>91</v>
      </c>
      <c r="BL63">
        <v>73</v>
      </c>
      <c r="BM63">
        <v>0</v>
      </c>
      <c r="BN63">
        <v>100</v>
      </c>
      <c r="BO63">
        <v>0</v>
      </c>
      <c r="BP63">
        <v>0</v>
      </c>
      <c r="BQ63">
        <v>0</v>
      </c>
      <c r="BR63">
        <v>0</v>
      </c>
      <c r="BS63">
        <v>0</v>
      </c>
      <c r="BT63">
        <v>0</v>
      </c>
      <c r="BU63">
        <v>0</v>
      </c>
      <c r="BV63">
        <v>0.6</v>
      </c>
      <c r="BW63">
        <v>0.68</v>
      </c>
      <c r="BX63">
        <v>1</v>
      </c>
      <c r="BY63">
        <v>0.92</v>
      </c>
      <c r="BZ63">
        <v>1</v>
      </c>
      <c r="CA63">
        <v>0.05</v>
      </c>
      <c r="CB63">
        <v>0.1</v>
      </c>
      <c r="CC63">
        <v>0.31</v>
      </c>
      <c r="CD63">
        <v>4.0000000000000001E-3</v>
      </c>
      <c r="CE63">
        <v>0.2</v>
      </c>
      <c r="CF63" t="b">
        <v>0</v>
      </c>
      <c r="CG63" t="b">
        <v>1</v>
      </c>
      <c r="CH63" t="s">
        <v>93</v>
      </c>
      <c r="CI63">
        <v>100</v>
      </c>
      <c r="CJ63">
        <v>0</v>
      </c>
      <c r="CK63">
        <v>80.94</v>
      </c>
      <c r="CL63">
        <v>3.47</v>
      </c>
    </row>
    <row r="64" spans="1:90" x14ac:dyDescent="0.25">
      <c r="A64">
        <v>120</v>
      </c>
      <c r="B64" t="s">
        <v>161</v>
      </c>
      <c r="C64" t="s">
        <v>103</v>
      </c>
      <c r="D64" t="s">
        <v>96</v>
      </c>
      <c r="E64">
        <v>89.271000000000001</v>
      </c>
      <c r="F64">
        <v>3.2149999999999999</v>
      </c>
      <c r="G64">
        <v>12.172000000000001</v>
      </c>
      <c r="H64">
        <v>72</v>
      </c>
      <c r="I64">
        <v>20</v>
      </c>
      <c r="J64">
        <v>8</v>
      </c>
      <c r="K64">
        <v>26.4</v>
      </c>
      <c r="L64">
        <v>15.943</v>
      </c>
      <c r="M64">
        <v>72.278999999999996</v>
      </c>
      <c r="N64">
        <v>27.082000000000001</v>
      </c>
      <c r="O64">
        <v>0.76700000000000002</v>
      </c>
      <c r="P64">
        <v>1.2070000000000001</v>
      </c>
      <c r="Q64">
        <v>14.476000000000001</v>
      </c>
      <c r="R64">
        <v>28.556000000000001</v>
      </c>
      <c r="S64">
        <v>35.881999999999998</v>
      </c>
      <c r="T64">
        <v>3.2</v>
      </c>
      <c r="U64">
        <v>44.716999999999999</v>
      </c>
      <c r="V64">
        <v>2.9470000000000001</v>
      </c>
      <c r="W64">
        <v>4.8</v>
      </c>
      <c r="X64">
        <v>5.6790000000000003</v>
      </c>
      <c r="Y64">
        <v>3.2650000000000001</v>
      </c>
      <c r="Z64">
        <v>0.13500000000000001</v>
      </c>
      <c r="AA64">
        <v>0.38</v>
      </c>
      <c r="AB64">
        <v>0.14499999999999999</v>
      </c>
      <c r="AC64">
        <v>0.56100000000000005</v>
      </c>
      <c r="AD64">
        <v>1.4E-2</v>
      </c>
      <c r="AE64">
        <v>0.13500000000000001</v>
      </c>
      <c r="AF64">
        <v>0.16500000000000001</v>
      </c>
      <c r="AG64">
        <v>6.5759999999999996</v>
      </c>
      <c r="AH64">
        <v>128.98599999999999</v>
      </c>
      <c r="AI64">
        <v>52.554000000000002</v>
      </c>
      <c r="AJ64">
        <v>33.023000000000003</v>
      </c>
      <c r="AK64">
        <v>1.363</v>
      </c>
      <c r="AL64">
        <v>2.5000000000000001E-2</v>
      </c>
      <c r="AM64">
        <v>0</v>
      </c>
      <c r="AN64">
        <v>0</v>
      </c>
      <c r="AO64">
        <v>0.4</v>
      </c>
      <c r="AP64">
        <v>6.4880000000000004</v>
      </c>
      <c r="AQ64">
        <v>1.907</v>
      </c>
      <c r="AR64">
        <v>3.7440000000000002</v>
      </c>
      <c r="AS64">
        <v>7.1619999999999999</v>
      </c>
      <c r="AT64">
        <v>3.86</v>
      </c>
      <c r="AU64">
        <v>1.698</v>
      </c>
      <c r="AV64">
        <v>4.8369999999999997</v>
      </c>
      <c r="AW64">
        <v>3.5110000000000001</v>
      </c>
      <c r="AX64">
        <v>1.488</v>
      </c>
      <c r="AY64">
        <v>5.2560000000000002</v>
      </c>
      <c r="AZ64">
        <v>0</v>
      </c>
      <c r="BA64">
        <v>0.86699999999999999</v>
      </c>
      <c r="BB64">
        <v>17.646999999999998</v>
      </c>
      <c r="BC64">
        <v>0.156</v>
      </c>
      <c r="BD64">
        <v>1.3180000000000001</v>
      </c>
      <c r="BE64">
        <v>0</v>
      </c>
      <c r="BF64">
        <v>34.779000000000003</v>
      </c>
      <c r="BG64">
        <v>42.005000000000003</v>
      </c>
      <c r="BH64">
        <v>1.8460000000000001</v>
      </c>
      <c r="BI64">
        <v>1.3819999999999999</v>
      </c>
      <c r="BJ64">
        <v>0</v>
      </c>
      <c r="BK64">
        <v>91</v>
      </c>
      <c r="BL64">
        <v>73</v>
      </c>
      <c r="BM64">
        <v>15</v>
      </c>
      <c r="BN64">
        <v>85</v>
      </c>
      <c r="BO64">
        <v>0</v>
      </c>
      <c r="BP64">
        <v>0</v>
      </c>
      <c r="BQ64">
        <v>0</v>
      </c>
      <c r="BR64">
        <v>0</v>
      </c>
      <c r="BS64">
        <v>0</v>
      </c>
      <c r="BT64">
        <v>0</v>
      </c>
      <c r="BU64">
        <v>0</v>
      </c>
      <c r="BV64">
        <v>0.6</v>
      </c>
      <c r="BW64">
        <v>0.70399999999999996</v>
      </c>
      <c r="BX64">
        <v>1</v>
      </c>
      <c r="BY64">
        <v>0.92</v>
      </c>
      <c r="BZ64">
        <v>1</v>
      </c>
      <c r="CA64">
        <v>0.05</v>
      </c>
      <c r="CB64">
        <v>0.1</v>
      </c>
      <c r="CC64">
        <v>0.31</v>
      </c>
      <c r="CD64">
        <v>4.0000000000000001E-3</v>
      </c>
      <c r="CE64">
        <v>0.2</v>
      </c>
      <c r="CF64" t="b">
        <v>0</v>
      </c>
      <c r="CG64" t="b">
        <v>1</v>
      </c>
      <c r="CH64" t="s">
        <v>93</v>
      </c>
      <c r="CI64">
        <v>100</v>
      </c>
      <c r="CJ64">
        <v>0</v>
      </c>
      <c r="CK64">
        <v>78.510000000000005</v>
      </c>
      <c r="CL64">
        <v>3.47</v>
      </c>
    </row>
    <row r="65" spans="1:90" x14ac:dyDescent="0.25">
      <c r="A65">
        <v>121</v>
      </c>
      <c r="B65" t="s">
        <v>162</v>
      </c>
      <c r="C65" t="s">
        <v>106</v>
      </c>
      <c r="D65" t="s">
        <v>92</v>
      </c>
      <c r="E65">
        <v>89.503</v>
      </c>
      <c r="F65">
        <v>7.39</v>
      </c>
      <c r="G65">
        <v>8.4920000000000009</v>
      </c>
      <c r="H65">
        <v>35</v>
      </c>
      <c r="I65">
        <v>53</v>
      </c>
      <c r="J65">
        <v>12</v>
      </c>
      <c r="K65">
        <v>4.3</v>
      </c>
      <c r="L65">
        <v>42.39</v>
      </c>
      <c r="M65">
        <v>70</v>
      </c>
      <c r="N65">
        <v>39.517000000000003</v>
      </c>
      <c r="O65">
        <v>1.032</v>
      </c>
      <c r="P65">
        <v>2.052</v>
      </c>
      <c r="Q65">
        <v>37.494999999999997</v>
      </c>
      <c r="R65">
        <v>58.968000000000004</v>
      </c>
      <c r="S65">
        <v>55.954999999999998</v>
      </c>
      <c r="T65">
        <v>4.7140000000000004</v>
      </c>
      <c r="U65">
        <v>4.077</v>
      </c>
      <c r="V65">
        <v>17.754999999999999</v>
      </c>
      <c r="W65">
        <v>1.448</v>
      </c>
      <c r="X65">
        <v>2.3580000000000001</v>
      </c>
      <c r="Y65">
        <v>2.5059999999999998</v>
      </c>
      <c r="Z65">
        <v>0.318</v>
      </c>
      <c r="AA65">
        <v>0.21099999999999999</v>
      </c>
      <c r="AB65">
        <v>0.14299999999999999</v>
      </c>
      <c r="AC65">
        <v>1.7050000000000001</v>
      </c>
      <c r="AD65">
        <v>0.42199999999999999</v>
      </c>
      <c r="AE65">
        <v>0.94099999999999995</v>
      </c>
      <c r="AF65">
        <v>0.13200000000000001</v>
      </c>
      <c r="AG65">
        <v>6.77</v>
      </c>
      <c r="AH65">
        <v>257.47899999999998</v>
      </c>
      <c r="AI65">
        <v>65.644000000000005</v>
      </c>
      <c r="AJ65">
        <v>20.379000000000001</v>
      </c>
      <c r="AK65">
        <v>1.369</v>
      </c>
      <c r="AL65">
        <v>0</v>
      </c>
      <c r="AM65">
        <v>0</v>
      </c>
      <c r="AN65">
        <v>0</v>
      </c>
      <c r="AO65">
        <v>0</v>
      </c>
      <c r="AP65">
        <v>2.1800000000000002</v>
      </c>
      <c r="AQ65">
        <v>1.94</v>
      </c>
      <c r="AR65">
        <v>5.5</v>
      </c>
      <c r="AS65">
        <v>6.65</v>
      </c>
      <c r="AT65">
        <v>3.56</v>
      </c>
      <c r="AU65">
        <v>1.87</v>
      </c>
      <c r="AV65">
        <v>4.7</v>
      </c>
      <c r="AW65">
        <v>4.13</v>
      </c>
      <c r="AX65">
        <v>1.42</v>
      </c>
      <c r="AY65">
        <v>4.13</v>
      </c>
      <c r="AZ65">
        <v>1.1930000000000001</v>
      </c>
      <c r="BA65">
        <v>0.43</v>
      </c>
      <c r="BB65">
        <v>16.440000000000001</v>
      </c>
      <c r="BC65">
        <v>0.47599999999999998</v>
      </c>
      <c r="BD65">
        <v>1.33</v>
      </c>
      <c r="BE65">
        <v>5.5E-2</v>
      </c>
      <c r="BF65">
        <v>2.5339999999999998</v>
      </c>
      <c r="BG65">
        <v>23.382000000000001</v>
      </c>
      <c r="BH65">
        <v>49.896999999999998</v>
      </c>
      <c r="BI65">
        <v>4.2629999999999999</v>
      </c>
      <c r="BJ65">
        <v>0</v>
      </c>
      <c r="BK65">
        <v>91</v>
      </c>
      <c r="BL65">
        <v>73</v>
      </c>
      <c r="BM65">
        <v>67</v>
      </c>
      <c r="BN65">
        <v>33</v>
      </c>
      <c r="BO65">
        <v>0</v>
      </c>
      <c r="BP65">
        <v>0</v>
      </c>
      <c r="BQ65">
        <v>0</v>
      </c>
      <c r="BR65">
        <v>0</v>
      </c>
      <c r="BS65">
        <v>0</v>
      </c>
      <c r="BT65">
        <v>0</v>
      </c>
      <c r="BU65">
        <v>0</v>
      </c>
      <c r="BV65">
        <v>0.4</v>
      </c>
      <c r="BW65">
        <v>0.78700000000000003</v>
      </c>
      <c r="BX65">
        <v>1</v>
      </c>
      <c r="BY65">
        <v>0.92</v>
      </c>
      <c r="BZ65">
        <v>1</v>
      </c>
      <c r="CA65">
        <v>0.05</v>
      </c>
      <c r="CB65">
        <v>0.1</v>
      </c>
      <c r="CC65">
        <v>0.31</v>
      </c>
      <c r="CD65">
        <v>4.0000000000000001E-3</v>
      </c>
      <c r="CE65">
        <v>0.2</v>
      </c>
      <c r="CF65" t="b">
        <v>0</v>
      </c>
      <c r="CG65" t="b">
        <v>1</v>
      </c>
      <c r="CH65" t="s">
        <v>93</v>
      </c>
      <c r="CI65">
        <v>100</v>
      </c>
      <c r="CJ65">
        <v>0</v>
      </c>
      <c r="CK65">
        <v>55.91</v>
      </c>
      <c r="CL65">
        <v>2.46</v>
      </c>
    </row>
    <row r="66" spans="1:90" x14ac:dyDescent="0.25">
      <c r="A66">
        <v>129</v>
      </c>
      <c r="B66" t="s">
        <v>163</v>
      </c>
      <c r="C66" t="s">
        <v>95</v>
      </c>
      <c r="D66" t="s">
        <v>96</v>
      </c>
      <c r="E66">
        <v>93.962000000000003</v>
      </c>
      <c r="F66">
        <v>6.4820000000000002</v>
      </c>
      <c r="G66">
        <v>42.62</v>
      </c>
      <c r="H66">
        <v>62</v>
      </c>
      <c r="I66">
        <v>36</v>
      </c>
      <c r="J66">
        <v>2</v>
      </c>
      <c r="K66">
        <v>16.135000000000002</v>
      </c>
      <c r="L66">
        <v>14.849</v>
      </c>
      <c r="M66">
        <v>94.132999999999996</v>
      </c>
      <c r="N66">
        <v>37.67</v>
      </c>
      <c r="O66">
        <v>1.9490000000000001</v>
      </c>
      <c r="P66">
        <v>5.633</v>
      </c>
      <c r="Q66">
        <v>15.867000000000001</v>
      </c>
      <c r="R66">
        <v>22.9</v>
      </c>
      <c r="S66">
        <v>75</v>
      </c>
      <c r="T66">
        <v>5.3929999999999998</v>
      </c>
      <c r="U66">
        <v>6.3879999999999999</v>
      </c>
      <c r="V66">
        <v>5</v>
      </c>
      <c r="W66">
        <v>7.31</v>
      </c>
      <c r="X66">
        <v>8.4600000000000009</v>
      </c>
      <c r="Y66">
        <v>3.7229999999999999</v>
      </c>
      <c r="Z66">
        <v>0.35099999999999998</v>
      </c>
      <c r="AA66">
        <v>0.57299999999999995</v>
      </c>
      <c r="AB66">
        <v>0.41299999999999998</v>
      </c>
      <c r="AC66">
        <v>1.19</v>
      </c>
      <c r="AD66">
        <v>6.7000000000000004E-2</v>
      </c>
      <c r="AE66">
        <v>0.25900000000000001</v>
      </c>
      <c r="AF66">
        <v>0.30199999999999999</v>
      </c>
      <c r="AG66">
        <v>13.214</v>
      </c>
      <c r="AH66">
        <v>621.5</v>
      </c>
      <c r="AI66">
        <v>34.356999999999999</v>
      </c>
      <c r="AJ66">
        <v>48.356999999999999</v>
      </c>
      <c r="AK66">
        <v>5.3</v>
      </c>
      <c r="AL66">
        <v>0</v>
      </c>
      <c r="AM66">
        <v>0</v>
      </c>
      <c r="AN66">
        <v>0</v>
      </c>
      <c r="AO66">
        <v>0.2</v>
      </c>
      <c r="AP66">
        <v>11.013</v>
      </c>
      <c r="AQ66">
        <v>2.2200000000000002</v>
      </c>
      <c r="AR66">
        <v>3.2109999999999999</v>
      </c>
      <c r="AS66">
        <v>6.1420000000000003</v>
      </c>
      <c r="AT66">
        <v>3.2109999999999999</v>
      </c>
      <c r="AU66">
        <v>1.034</v>
      </c>
      <c r="AV66">
        <v>4.806</v>
      </c>
      <c r="AW66">
        <v>2.5649999999999999</v>
      </c>
      <c r="AX66">
        <v>1.034</v>
      </c>
      <c r="AY66">
        <v>3.879</v>
      </c>
      <c r="AZ66">
        <v>0</v>
      </c>
      <c r="BA66">
        <v>0</v>
      </c>
      <c r="BB66">
        <v>9.2420000000000009</v>
      </c>
      <c r="BC66">
        <v>8.5000000000000006E-2</v>
      </c>
      <c r="BD66">
        <v>2.3159999999999998</v>
      </c>
      <c r="BE66">
        <v>0</v>
      </c>
      <c r="BF66">
        <v>66.605999999999995</v>
      </c>
      <c r="BG66">
        <v>19.303999999999998</v>
      </c>
      <c r="BH66">
        <v>2.4470000000000001</v>
      </c>
      <c r="BI66">
        <v>0</v>
      </c>
      <c r="BJ66">
        <v>0</v>
      </c>
      <c r="BK66">
        <v>91</v>
      </c>
      <c r="BL66">
        <v>73</v>
      </c>
      <c r="BM66">
        <v>0</v>
      </c>
      <c r="BN66">
        <v>100</v>
      </c>
      <c r="BO66">
        <v>0</v>
      </c>
      <c r="BP66">
        <v>0</v>
      </c>
      <c r="BQ66">
        <v>0</v>
      </c>
      <c r="BR66">
        <v>0</v>
      </c>
      <c r="BS66">
        <v>0</v>
      </c>
      <c r="BT66">
        <v>0</v>
      </c>
      <c r="BU66">
        <v>0</v>
      </c>
      <c r="BV66">
        <v>0.6</v>
      </c>
      <c r="BW66">
        <v>0.68</v>
      </c>
      <c r="BX66">
        <v>1</v>
      </c>
      <c r="BY66">
        <v>0.92</v>
      </c>
      <c r="BZ66">
        <v>1</v>
      </c>
      <c r="CA66">
        <v>0.05</v>
      </c>
      <c r="CB66">
        <v>0.1</v>
      </c>
      <c r="CC66">
        <v>0.31</v>
      </c>
      <c r="CD66">
        <v>4.0000000000000001E-3</v>
      </c>
      <c r="CE66">
        <v>0.2</v>
      </c>
      <c r="CF66" t="b">
        <v>0</v>
      </c>
      <c r="CG66" t="b">
        <v>1</v>
      </c>
      <c r="CH66" t="s">
        <v>93</v>
      </c>
      <c r="CI66">
        <v>100</v>
      </c>
      <c r="CJ66">
        <v>0</v>
      </c>
      <c r="CK66">
        <v>74.75</v>
      </c>
      <c r="CL66">
        <v>3.85</v>
      </c>
    </row>
    <row r="67" spans="1:90" x14ac:dyDescent="0.25">
      <c r="A67">
        <v>135</v>
      </c>
      <c r="B67" t="s">
        <v>164</v>
      </c>
      <c r="C67" t="s">
        <v>95</v>
      </c>
      <c r="D67" t="s">
        <v>96</v>
      </c>
      <c r="E67">
        <v>22.98</v>
      </c>
      <c r="F67">
        <v>5.6</v>
      </c>
      <c r="G67">
        <v>9.9890000000000008</v>
      </c>
      <c r="H67">
        <v>5</v>
      </c>
      <c r="I67">
        <v>90</v>
      </c>
      <c r="J67">
        <v>5</v>
      </c>
      <c r="K67">
        <v>2</v>
      </c>
      <c r="L67">
        <v>70.608000000000004</v>
      </c>
      <c r="M67">
        <v>80</v>
      </c>
      <c r="N67">
        <v>39.049999999999997</v>
      </c>
      <c r="O67">
        <v>0.94299999999999995</v>
      </c>
      <c r="P67">
        <v>1.6279999999999999</v>
      </c>
      <c r="Q67">
        <v>10.705</v>
      </c>
      <c r="R67">
        <v>14.426</v>
      </c>
      <c r="S67">
        <v>80</v>
      </c>
      <c r="T67">
        <v>3.0030000000000001</v>
      </c>
      <c r="U67">
        <v>57.49</v>
      </c>
      <c r="V67">
        <v>7.1</v>
      </c>
      <c r="W67">
        <v>1.78</v>
      </c>
      <c r="X67">
        <v>2.78</v>
      </c>
      <c r="Y67">
        <v>3.1509999999999998</v>
      </c>
      <c r="Z67">
        <v>0.17399999999999999</v>
      </c>
      <c r="AA67">
        <v>0.252</v>
      </c>
      <c r="AB67">
        <v>0.108</v>
      </c>
      <c r="AC67">
        <v>1.395</v>
      </c>
      <c r="AD67">
        <v>0.125</v>
      </c>
      <c r="AE67">
        <v>0.28599999999999998</v>
      </c>
      <c r="AF67">
        <v>0.152</v>
      </c>
      <c r="AG67">
        <v>6.9329999999999998</v>
      </c>
      <c r="AH67">
        <v>348.01299999999998</v>
      </c>
      <c r="AI67">
        <v>16.600999999999999</v>
      </c>
      <c r="AJ67">
        <v>21.975999999999999</v>
      </c>
      <c r="AK67">
        <v>0</v>
      </c>
      <c r="AL67">
        <v>0</v>
      </c>
      <c r="AM67">
        <v>0</v>
      </c>
      <c r="AN67">
        <v>0</v>
      </c>
      <c r="AO67">
        <v>0</v>
      </c>
      <c r="AP67">
        <v>2.4700000000000002</v>
      </c>
      <c r="AQ67">
        <v>1.84</v>
      </c>
      <c r="AR67">
        <v>3.14</v>
      </c>
      <c r="AS67">
        <v>5.34</v>
      </c>
      <c r="AT67">
        <v>4.21</v>
      </c>
      <c r="AU67">
        <v>0.95</v>
      </c>
      <c r="AV67">
        <v>3.62</v>
      </c>
      <c r="AW67">
        <v>3.11</v>
      </c>
      <c r="AX67">
        <v>0.67</v>
      </c>
      <c r="AY67">
        <v>4.4000000000000004</v>
      </c>
      <c r="AZ67">
        <v>0.35199999999999998</v>
      </c>
      <c r="BA67">
        <v>0.49</v>
      </c>
      <c r="BB67">
        <v>12.183999999999999</v>
      </c>
      <c r="BC67">
        <v>0.55500000000000005</v>
      </c>
      <c r="BD67">
        <v>10.696</v>
      </c>
      <c r="BE67">
        <v>31.21</v>
      </c>
      <c r="BF67">
        <v>35.646999999999998</v>
      </c>
      <c r="BG67">
        <v>5.117</v>
      </c>
      <c r="BH67">
        <v>1.147</v>
      </c>
      <c r="BI67">
        <v>2.6019999999999999</v>
      </c>
      <c r="BJ67">
        <v>0</v>
      </c>
      <c r="BK67">
        <v>91</v>
      </c>
      <c r="BL67">
        <v>73</v>
      </c>
      <c r="BM67">
        <v>0</v>
      </c>
      <c r="BN67">
        <v>100</v>
      </c>
      <c r="BO67">
        <v>0</v>
      </c>
      <c r="BP67">
        <v>0</v>
      </c>
      <c r="BQ67">
        <v>0</v>
      </c>
      <c r="BR67">
        <v>0</v>
      </c>
      <c r="BS67">
        <v>0</v>
      </c>
      <c r="BT67">
        <v>0</v>
      </c>
      <c r="BU67">
        <v>0</v>
      </c>
      <c r="BV67">
        <v>0.6</v>
      </c>
      <c r="BW67">
        <v>0.68</v>
      </c>
      <c r="BX67">
        <v>1</v>
      </c>
      <c r="BY67">
        <v>0.92</v>
      </c>
      <c r="BZ67">
        <v>1</v>
      </c>
      <c r="CA67">
        <v>0.05</v>
      </c>
      <c r="CB67">
        <v>0.1</v>
      </c>
      <c r="CC67">
        <v>0.31</v>
      </c>
      <c r="CD67">
        <v>4.0000000000000001E-3</v>
      </c>
      <c r="CE67">
        <v>0.2</v>
      </c>
      <c r="CF67" t="b">
        <v>0</v>
      </c>
      <c r="CG67" t="b">
        <v>0</v>
      </c>
      <c r="CH67" t="s">
        <v>93</v>
      </c>
      <c r="CI67">
        <v>100</v>
      </c>
      <c r="CJ67">
        <v>0</v>
      </c>
      <c r="CK67">
        <v>80.7</v>
      </c>
      <c r="CL67">
        <v>3.51</v>
      </c>
    </row>
    <row r="68" spans="1:90" x14ac:dyDescent="0.25">
      <c r="A68">
        <v>137</v>
      </c>
      <c r="B68" t="s">
        <v>165</v>
      </c>
      <c r="C68" t="s">
        <v>95</v>
      </c>
      <c r="D68" t="s">
        <v>96</v>
      </c>
      <c r="E68">
        <v>95.521000000000001</v>
      </c>
      <c r="F68">
        <v>14.247</v>
      </c>
      <c r="G68">
        <v>65.623999999999995</v>
      </c>
      <c r="H68">
        <v>5</v>
      </c>
      <c r="I68">
        <v>90</v>
      </c>
      <c r="J68">
        <v>5</v>
      </c>
      <c r="K68">
        <v>2</v>
      </c>
      <c r="L68">
        <v>70.608000000000004</v>
      </c>
      <c r="M68">
        <v>90</v>
      </c>
      <c r="N68">
        <v>28.234000000000002</v>
      </c>
      <c r="O68">
        <v>3.89</v>
      </c>
      <c r="P68">
        <v>30.34</v>
      </c>
      <c r="Q68">
        <v>0</v>
      </c>
      <c r="R68">
        <v>0</v>
      </c>
      <c r="S68">
        <v>0</v>
      </c>
      <c r="T68">
        <v>0</v>
      </c>
      <c r="U68">
        <v>0</v>
      </c>
      <c r="V68">
        <v>0</v>
      </c>
      <c r="W68">
        <v>11.779</v>
      </c>
      <c r="X68">
        <v>12.779</v>
      </c>
      <c r="Y68">
        <v>4.2519999999999998</v>
      </c>
      <c r="Z68">
        <v>4.3140000000000001</v>
      </c>
      <c r="AA68">
        <v>2.4769999999999999</v>
      </c>
      <c r="AB68">
        <v>0.161</v>
      </c>
      <c r="AC68">
        <v>0.89300000000000002</v>
      </c>
      <c r="AD68">
        <v>0.376</v>
      </c>
      <c r="AE68">
        <v>0.55400000000000005</v>
      </c>
      <c r="AF68">
        <v>0.74199999999999999</v>
      </c>
      <c r="AG68">
        <v>14.138999999999999</v>
      </c>
      <c r="AH68">
        <v>233.36600000000001</v>
      </c>
      <c r="AI68">
        <v>44.761000000000003</v>
      </c>
      <c r="AJ68">
        <v>121.565</v>
      </c>
      <c r="AK68">
        <v>1.196</v>
      </c>
      <c r="AL68">
        <v>0</v>
      </c>
      <c r="AM68">
        <v>0</v>
      </c>
      <c r="AN68">
        <v>0</v>
      </c>
      <c r="AO68">
        <v>0</v>
      </c>
      <c r="AP68">
        <v>4.3</v>
      </c>
      <c r="AQ68">
        <v>1.38</v>
      </c>
      <c r="AR68">
        <v>2.5</v>
      </c>
      <c r="AS68">
        <v>4.5</v>
      </c>
      <c r="AT68">
        <v>3.9</v>
      </c>
      <c r="AU68">
        <v>1.3</v>
      </c>
      <c r="AV68">
        <v>2.5</v>
      </c>
      <c r="AW68">
        <v>2.5</v>
      </c>
      <c r="AX68">
        <v>0.7</v>
      </c>
      <c r="AY68">
        <v>3.1</v>
      </c>
      <c r="AZ68">
        <v>0</v>
      </c>
      <c r="BA68">
        <v>0</v>
      </c>
      <c r="BB68">
        <v>0</v>
      </c>
      <c r="BC68">
        <v>0</v>
      </c>
      <c r="BD68">
        <v>0</v>
      </c>
      <c r="BE68">
        <v>0</v>
      </c>
      <c r="BF68">
        <v>0</v>
      </c>
      <c r="BG68">
        <v>0</v>
      </c>
      <c r="BH68">
        <v>0</v>
      </c>
      <c r="BI68">
        <v>0</v>
      </c>
      <c r="BJ68">
        <v>0</v>
      </c>
      <c r="BK68">
        <v>91</v>
      </c>
      <c r="BL68">
        <v>73</v>
      </c>
      <c r="BM68">
        <v>0</v>
      </c>
      <c r="BN68">
        <v>100</v>
      </c>
      <c r="BO68">
        <v>0</v>
      </c>
      <c r="BP68">
        <v>0</v>
      </c>
      <c r="BQ68">
        <v>0</v>
      </c>
      <c r="BR68">
        <v>0</v>
      </c>
      <c r="BS68">
        <v>0</v>
      </c>
      <c r="BT68">
        <v>0</v>
      </c>
      <c r="BU68">
        <v>0</v>
      </c>
      <c r="BV68">
        <v>0.6</v>
      </c>
      <c r="BW68">
        <v>0.68</v>
      </c>
      <c r="BX68">
        <v>1</v>
      </c>
      <c r="BY68">
        <v>0.92</v>
      </c>
      <c r="BZ68">
        <v>1</v>
      </c>
      <c r="CA68">
        <v>0.05</v>
      </c>
      <c r="CB68">
        <v>0.1</v>
      </c>
      <c r="CC68">
        <v>0.31</v>
      </c>
      <c r="CD68">
        <v>4.0000000000000001E-3</v>
      </c>
      <c r="CE68">
        <v>0.2</v>
      </c>
      <c r="CF68" t="b">
        <v>0</v>
      </c>
      <c r="CG68" t="b">
        <v>1</v>
      </c>
      <c r="CH68" t="s">
        <v>93</v>
      </c>
      <c r="CI68">
        <v>100</v>
      </c>
      <c r="CJ68">
        <v>0</v>
      </c>
      <c r="CK68">
        <v>78.98</v>
      </c>
      <c r="CL68">
        <v>4.05</v>
      </c>
    </row>
    <row r="69" spans="1:90" x14ac:dyDescent="0.25">
      <c r="A69">
        <v>138</v>
      </c>
      <c r="B69" t="s">
        <v>166</v>
      </c>
      <c r="C69" t="s">
        <v>95</v>
      </c>
      <c r="D69" t="s">
        <v>96</v>
      </c>
      <c r="E69">
        <v>92.376000000000005</v>
      </c>
      <c r="F69">
        <v>10.021000000000001</v>
      </c>
      <c r="G69">
        <v>14.813000000000001</v>
      </c>
      <c r="H69">
        <v>31</v>
      </c>
      <c r="I69">
        <v>45</v>
      </c>
      <c r="J69">
        <v>24</v>
      </c>
      <c r="K69">
        <v>3.38</v>
      </c>
      <c r="L69">
        <v>53.429000000000002</v>
      </c>
      <c r="M69">
        <v>85.033000000000001</v>
      </c>
      <c r="N69">
        <v>30.483000000000001</v>
      </c>
      <c r="O69">
        <v>0.77800000000000002</v>
      </c>
      <c r="P69">
        <v>2.1800000000000002</v>
      </c>
      <c r="Q69">
        <v>13.84</v>
      </c>
      <c r="R69">
        <v>23.055</v>
      </c>
      <c r="S69">
        <v>23.332999999999998</v>
      </c>
      <c r="T69">
        <v>4.9429999999999996</v>
      </c>
      <c r="U69">
        <v>22.181000000000001</v>
      </c>
      <c r="V69">
        <v>7.9530000000000003</v>
      </c>
      <c r="W69">
        <v>12</v>
      </c>
      <c r="X69">
        <v>18.503</v>
      </c>
      <c r="Y69">
        <v>3.21</v>
      </c>
      <c r="Z69">
        <v>0.77900000000000003</v>
      </c>
      <c r="AA69">
        <v>1.774</v>
      </c>
      <c r="AB69">
        <v>0.78400000000000003</v>
      </c>
      <c r="AC69">
        <v>1.4019999999999999</v>
      </c>
      <c r="AD69">
        <v>0.02</v>
      </c>
      <c r="AE69">
        <v>0.13300000000000001</v>
      </c>
      <c r="AF69">
        <v>0.17399999999999999</v>
      </c>
      <c r="AG69">
        <v>8.6449999999999996</v>
      </c>
      <c r="AH69">
        <v>215.99299999999999</v>
      </c>
      <c r="AI69">
        <v>182.66800000000001</v>
      </c>
      <c r="AJ69">
        <v>60.923000000000002</v>
      </c>
      <c r="AK69">
        <v>1.139</v>
      </c>
      <c r="AL69">
        <v>0</v>
      </c>
      <c r="AM69">
        <v>0</v>
      </c>
      <c r="AN69">
        <v>0</v>
      </c>
      <c r="AO69">
        <v>0.17</v>
      </c>
      <c r="AP69">
        <v>7.7389999999999999</v>
      </c>
      <c r="AQ69">
        <v>2.75</v>
      </c>
      <c r="AR69">
        <v>3.7559999999999998</v>
      </c>
      <c r="AS69">
        <v>7.141</v>
      </c>
      <c r="AT69">
        <v>4.7270000000000003</v>
      </c>
      <c r="AU69">
        <v>2.181</v>
      </c>
      <c r="AV69">
        <v>4.4459999999999997</v>
      </c>
      <c r="AW69">
        <v>3.88</v>
      </c>
      <c r="AX69">
        <v>1.218</v>
      </c>
      <c r="AY69">
        <v>5.7190000000000003</v>
      </c>
      <c r="AZ69">
        <v>0</v>
      </c>
      <c r="BA69">
        <v>0.28000000000000003</v>
      </c>
      <c r="BB69">
        <v>17.53</v>
      </c>
      <c r="BC69">
        <v>0.21</v>
      </c>
      <c r="BD69">
        <v>1.56</v>
      </c>
      <c r="BE69">
        <v>0</v>
      </c>
      <c r="BF69">
        <v>39.1</v>
      </c>
      <c r="BG69">
        <v>38.11</v>
      </c>
      <c r="BH69">
        <v>1.46</v>
      </c>
      <c r="BI69">
        <v>1.75</v>
      </c>
      <c r="BJ69">
        <v>0</v>
      </c>
      <c r="BK69">
        <v>91</v>
      </c>
      <c r="BL69">
        <v>73</v>
      </c>
      <c r="BM69">
        <v>5</v>
      </c>
      <c r="BN69">
        <v>95</v>
      </c>
      <c r="BO69">
        <v>0</v>
      </c>
      <c r="BP69">
        <v>0</v>
      </c>
      <c r="BQ69">
        <v>0</v>
      </c>
      <c r="BR69">
        <v>0</v>
      </c>
      <c r="BS69">
        <v>0</v>
      </c>
      <c r="BT69">
        <v>0</v>
      </c>
      <c r="BU69">
        <v>0</v>
      </c>
      <c r="BV69">
        <v>0.6</v>
      </c>
      <c r="BW69">
        <v>0.68799999999999994</v>
      </c>
      <c r="BX69">
        <v>1</v>
      </c>
      <c r="BY69">
        <v>0.92</v>
      </c>
      <c r="BZ69">
        <v>1</v>
      </c>
      <c r="CA69">
        <v>0.05</v>
      </c>
      <c r="CB69">
        <v>0.1</v>
      </c>
      <c r="CC69">
        <v>0.31</v>
      </c>
      <c r="CD69">
        <v>4.0000000000000001E-3</v>
      </c>
      <c r="CE69">
        <v>0.2</v>
      </c>
      <c r="CF69" t="b">
        <v>0</v>
      </c>
      <c r="CG69" t="b">
        <v>1</v>
      </c>
      <c r="CH69" t="s">
        <v>93</v>
      </c>
      <c r="CI69">
        <v>100</v>
      </c>
      <c r="CJ69">
        <v>0</v>
      </c>
      <c r="CK69">
        <v>84.77</v>
      </c>
      <c r="CL69">
        <v>3.76</v>
      </c>
    </row>
    <row r="70" spans="1:90" x14ac:dyDescent="0.25">
      <c r="A70">
        <v>144</v>
      </c>
      <c r="B70" t="s">
        <v>167</v>
      </c>
      <c r="C70" t="s">
        <v>106</v>
      </c>
      <c r="D70" t="s">
        <v>92</v>
      </c>
      <c r="E70">
        <v>67.186000000000007</v>
      </c>
      <c r="F70">
        <v>8.718</v>
      </c>
      <c r="G70">
        <v>8.2840000000000007</v>
      </c>
      <c r="H70">
        <v>57</v>
      </c>
      <c r="I70">
        <v>33</v>
      </c>
      <c r="J70">
        <v>10</v>
      </c>
      <c r="K70">
        <v>5.9</v>
      </c>
      <c r="L70">
        <v>28.571999999999999</v>
      </c>
      <c r="M70">
        <v>65</v>
      </c>
      <c r="N70">
        <v>46.844000000000001</v>
      </c>
      <c r="O70">
        <v>0.7</v>
      </c>
      <c r="P70">
        <v>1.17</v>
      </c>
      <c r="Q70">
        <v>42.853999999999999</v>
      </c>
      <c r="R70">
        <v>66.213999999999999</v>
      </c>
      <c r="S70">
        <v>66.31</v>
      </c>
      <c r="T70">
        <v>5.7080000000000002</v>
      </c>
      <c r="U70">
        <v>1.448</v>
      </c>
      <c r="V70">
        <v>12.33</v>
      </c>
      <c r="W70">
        <v>1.2490000000000001</v>
      </c>
      <c r="X70">
        <v>2.2000000000000002</v>
      </c>
      <c r="Y70">
        <v>2.323</v>
      </c>
      <c r="Z70">
        <v>0.36199999999999999</v>
      </c>
      <c r="AA70">
        <v>0.249</v>
      </c>
      <c r="AB70">
        <v>0.156</v>
      </c>
      <c r="AC70">
        <v>2.0739999999999998</v>
      </c>
      <c r="AD70">
        <v>7.4999999999999997E-2</v>
      </c>
      <c r="AE70">
        <v>0.84599999999999997</v>
      </c>
      <c r="AF70">
        <v>0.154</v>
      </c>
      <c r="AG70">
        <v>6.6820000000000004</v>
      </c>
      <c r="AH70">
        <v>395.97300000000001</v>
      </c>
      <c r="AI70">
        <v>89.290999999999997</v>
      </c>
      <c r="AJ70">
        <v>27.454999999999998</v>
      </c>
      <c r="AK70">
        <v>1.595</v>
      </c>
      <c r="AL70">
        <v>0</v>
      </c>
      <c r="AM70">
        <v>0</v>
      </c>
      <c r="AN70">
        <v>0</v>
      </c>
      <c r="AO70">
        <v>0.09</v>
      </c>
      <c r="AP70">
        <v>3.06</v>
      </c>
      <c r="AQ70">
        <v>1.66</v>
      </c>
      <c r="AR70">
        <v>3.57</v>
      </c>
      <c r="AS70">
        <v>6.12</v>
      </c>
      <c r="AT70">
        <v>3.28</v>
      </c>
      <c r="AU70">
        <v>1.21</v>
      </c>
      <c r="AV70">
        <v>4.37</v>
      </c>
      <c r="AW70">
        <v>3.34</v>
      </c>
      <c r="AX70">
        <v>1.07</v>
      </c>
      <c r="AY70">
        <v>4.8899999999999997</v>
      </c>
      <c r="AZ70">
        <v>0.66200000000000003</v>
      </c>
      <c r="BA70">
        <v>1.87</v>
      </c>
      <c r="BB70">
        <v>20.398</v>
      </c>
      <c r="BC70">
        <v>1.1890000000000001</v>
      </c>
      <c r="BD70">
        <v>2.254</v>
      </c>
      <c r="BE70">
        <v>0</v>
      </c>
      <c r="BF70">
        <v>5.1349999999999998</v>
      </c>
      <c r="BG70">
        <v>19.117999999999999</v>
      </c>
      <c r="BH70">
        <v>39.069000000000003</v>
      </c>
      <c r="BI70">
        <v>10.305</v>
      </c>
      <c r="BJ70">
        <v>0</v>
      </c>
      <c r="BK70">
        <v>91</v>
      </c>
      <c r="BL70">
        <v>73</v>
      </c>
      <c r="BM70">
        <v>67</v>
      </c>
      <c r="BN70">
        <v>33</v>
      </c>
      <c r="BO70">
        <v>0</v>
      </c>
      <c r="BP70">
        <v>0</v>
      </c>
      <c r="BQ70">
        <v>0</v>
      </c>
      <c r="BR70">
        <v>0</v>
      </c>
      <c r="BS70">
        <v>0</v>
      </c>
      <c r="BT70">
        <v>0</v>
      </c>
      <c r="BU70">
        <v>0</v>
      </c>
      <c r="BV70">
        <v>0.4</v>
      </c>
      <c r="BW70">
        <v>0.78700000000000003</v>
      </c>
      <c r="BX70">
        <v>1</v>
      </c>
      <c r="BY70">
        <v>0.92</v>
      </c>
      <c r="BZ70">
        <v>1</v>
      </c>
      <c r="CA70">
        <v>0.05</v>
      </c>
      <c r="CB70">
        <v>0.1</v>
      </c>
      <c r="CC70">
        <v>0.31</v>
      </c>
      <c r="CD70">
        <v>4.0000000000000001E-3</v>
      </c>
      <c r="CE70">
        <v>0.2</v>
      </c>
      <c r="CF70" t="b">
        <v>0</v>
      </c>
      <c r="CG70" t="b">
        <v>0</v>
      </c>
      <c r="CH70" t="s">
        <v>93</v>
      </c>
      <c r="CI70">
        <v>100</v>
      </c>
      <c r="CJ70">
        <v>0</v>
      </c>
      <c r="CK70">
        <v>60.03</v>
      </c>
      <c r="CL70">
        <v>2.72</v>
      </c>
    </row>
    <row r="71" spans="1:90" x14ac:dyDescent="0.25">
      <c r="A71">
        <v>153</v>
      </c>
      <c r="B71" t="s">
        <v>168</v>
      </c>
      <c r="C71" t="s">
        <v>95</v>
      </c>
      <c r="D71" t="s">
        <v>96</v>
      </c>
      <c r="E71">
        <v>93.978999999999999</v>
      </c>
      <c r="F71">
        <v>4.915</v>
      </c>
      <c r="G71">
        <v>26.209</v>
      </c>
      <c r="H71">
        <v>23</v>
      </c>
      <c r="I71">
        <v>71</v>
      </c>
      <c r="J71">
        <v>6</v>
      </c>
      <c r="K71">
        <v>10.4</v>
      </c>
      <c r="L71">
        <v>31.391999999999999</v>
      </c>
      <c r="M71">
        <v>75</v>
      </c>
      <c r="N71">
        <v>31.2</v>
      </c>
      <c r="O71">
        <v>1.5229999999999999</v>
      </c>
      <c r="P71">
        <v>2.097</v>
      </c>
      <c r="Q71">
        <v>40.137</v>
      </c>
      <c r="R71">
        <v>55.396999999999998</v>
      </c>
      <c r="S71">
        <v>25.5</v>
      </c>
      <c r="T71">
        <v>13.792</v>
      </c>
      <c r="U71">
        <v>1.21</v>
      </c>
      <c r="V71">
        <v>5.0999999999999996</v>
      </c>
      <c r="W71">
        <v>3.88</v>
      </c>
      <c r="X71">
        <v>5.351</v>
      </c>
      <c r="Y71">
        <v>2.4820000000000002</v>
      </c>
      <c r="Z71">
        <v>0.32400000000000001</v>
      </c>
      <c r="AA71">
        <v>0.64600000000000002</v>
      </c>
      <c r="AB71">
        <v>0.34</v>
      </c>
      <c r="AC71">
        <v>1.0269999999999999</v>
      </c>
      <c r="AD71">
        <v>3.3000000000000002E-2</v>
      </c>
      <c r="AE71">
        <v>0.23</v>
      </c>
      <c r="AF71">
        <v>0.248</v>
      </c>
      <c r="AG71">
        <v>21.667000000000002</v>
      </c>
      <c r="AH71">
        <v>240.35</v>
      </c>
      <c r="AI71">
        <v>29</v>
      </c>
      <c r="AJ71">
        <v>66.444000000000003</v>
      </c>
      <c r="AK71">
        <v>1</v>
      </c>
      <c r="AL71">
        <v>0</v>
      </c>
      <c r="AM71">
        <v>0</v>
      </c>
      <c r="AN71">
        <v>0</v>
      </c>
      <c r="AO71">
        <v>0.15</v>
      </c>
      <c r="AP71">
        <v>8.3049999999999997</v>
      </c>
      <c r="AQ71">
        <v>2.4580000000000002</v>
      </c>
      <c r="AR71">
        <v>3.5169999999999999</v>
      </c>
      <c r="AS71">
        <v>6.2290000000000001</v>
      </c>
      <c r="AT71">
        <v>3.093</v>
      </c>
      <c r="AU71">
        <v>1.4830000000000001</v>
      </c>
      <c r="AV71">
        <v>4.407</v>
      </c>
      <c r="AW71">
        <v>3.1360000000000001</v>
      </c>
      <c r="AX71">
        <v>0.93200000000000005</v>
      </c>
      <c r="AY71">
        <v>4.9580000000000002</v>
      </c>
      <c r="AZ71">
        <v>0</v>
      </c>
      <c r="BA71">
        <v>0</v>
      </c>
      <c r="BB71">
        <v>5.4</v>
      </c>
      <c r="BC71">
        <v>0</v>
      </c>
      <c r="BD71">
        <v>1.6</v>
      </c>
      <c r="BE71">
        <v>0</v>
      </c>
      <c r="BF71">
        <v>13.2</v>
      </c>
      <c r="BG71">
        <v>79.5</v>
      </c>
      <c r="BH71">
        <v>0.3</v>
      </c>
      <c r="BI71">
        <v>0</v>
      </c>
      <c r="BJ71">
        <v>0</v>
      </c>
      <c r="BK71">
        <v>91</v>
      </c>
      <c r="BL71">
        <v>73</v>
      </c>
      <c r="BM71">
        <v>8</v>
      </c>
      <c r="BN71">
        <v>92</v>
      </c>
      <c r="BO71">
        <v>0</v>
      </c>
      <c r="BP71">
        <v>0</v>
      </c>
      <c r="BQ71">
        <v>0</v>
      </c>
      <c r="BR71">
        <v>0</v>
      </c>
      <c r="BS71">
        <v>0</v>
      </c>
      <c r="BT71">
        <v>0</v>
      </c>
      <c r="BU71">
        <v>0</v>
      </c>
      <c r="BV71">
        <v>0.6</v>
      </c>
      <c r="BW71">
        <v>0.69299999999999995</v>
      </c>
      <c r="BX71">
        <v>1</v>
      </c>
      <c r="BY71">
        <v>0.92</v>
      </c>
      <c r="BZ71">
        <v>1</v>
      </c>
      <c r="CA71">
        <v>0.05</v>
      </c>
      <c r="CB71">
        <v>0.1</v>
      </c>
      <c r="CC71">
        <v>0.31</v>
      </c>
      <c r="CD71">
        <v>4.0000000000000001E-3</v>
      </c>
      <c r="CE71">
        <v>0.2</v>
      </c>
      <c r="CF71" t="b">
        <v>0</v>
      </c>
      <c r="CG71" t="b">
        <v>1</v>
      </c>
      <c r="CH71" t="s">
        <v>93</v>
      </c>
      <c r="CI71">
        <v>100</v>
      </c>
      <c r="CJ71">
        <v>0</v>
      </c>
      <c r="CK71">
        <v>52.54</v>
      </c>
      <c r="CL71">
        <v>2.6</v>
      </c>
    </row>
    <row r="72" spans="1:90" x14ac:dyDescent="0.25">
      <c r="A72">
        <v>154</v>
      </c>
      <c r="B72" t="s">
        <v>169</v>
      </c>
      <c r="C72" t="s">
        <v>103</v>
      </c>
      <c r="D72" t="s">
        <v>96</v>
      </c>
      <c r="E72">
        <v>88.891000000000005</v>
      </c>
      <c r="F72">
        <v>2.496</v>
      </c>
      <c r="G72">
        <v>12.481</v>
      </c>
      <c r="H72">
        <v>24</v>
      </c>
      <c r="I72">
        <v>56</v>
      </c>
      <c r="J72">
        <v>20</v>
      </c>
      <c r="K72">
        <v>5</v>
      </c>
      <c r="L72">
        <v>50.308999999999997</v>
      </c>
      <c r="M72">
        <v>69.314999999999998</v>
      </c>
      <c r="N72">
        <v>20.173999999999999</v>
      </c>
      <c r="O72">
        <v>0.83099999999999996</v>
      </c>
      <c r="P72">
        <v>1.6040000000000001</v>
      </c>
      <c r="Q72">
        <v>3.9340000000000002</v>
      </c>
      <c r="R72">
        <v>6.1340000000000003</v>
      </c>
      <c r="S72">
        <v>59</v>
      </c>
      <c r="T72">
        <v>1.087</v>
      </c>
      <c r="U72">
        <v>72.585999999999999</v>
      </c>
      <c r="V72">
        <v>2.2349999999999999</v>
      </c>
      <c r="W72">
        <v>2.92</v>
      </c>
      <c r="X72">
        <v>4.0890000000000004</v>
      </c>
      <c r="Y72">
        <v>3.2719999999999998</v>
      </c>
      <c r="Z72">
        <v>9.7000000000000003E-2</v>
      </c>
      <c r="AA72">
        <v>0.38100000000000001</v>
      </c>
      <c r="AB72">
        <v>0.154</v>
      </c>
      <c r="AC72">
        <v>0.40799999999999997</v>
      </c>
      <c r="AD72">
        <v>3.3000000000000002E-2</v>
      </c>
      <c r="AE72">
        <v>0.16600000000000001</v>
      </c>
      <c r="AF72">
        <v>0.115</v>
      </c>
      <c r="AG72">
        <v>8.74</v>
      </c>
      <c r="AH72">
        <v>71.150000000000006</v>
      </c>
      <c r="AI72">
        <v>26.59</v>
      </c>
      <c r="AJ72">
        <v>23.273</v>
      </c>
      <c r="AK72">
        <v>1.085</v>
      </c>
      <c r="AL72">
        <v>0</v>
      </c>
      <c r="AM72">
        <v>0</v>
      </c>
      <c r="AN72">
        <v>0</v>
      </c>
      <c r="AO72">
        <v>0.12</v>
      </c>
      <c r="AP72">
        <v>3.827</v>
      </c>
      <c r="AQ72">
        <v>2.2530000000000001</v>
      </c>
      <c r="AR72">
        <v>4.1100000000000003</v>
      </c>
      <c r="AS72">
        <v>13.108000000000001</v>
      </c>
      <c r="AT72">
        <v>2.2170000000000001</v>
      </c>
      <c r="AU72">
        <v>1.7370000000000001</v>
      </c>
      <c r="AV72">
        <v>5.1459999999999999</v>
      </c>
      <c r="AW72">
        <v>3.3140000000000001</v>
      </c>
      <c r="AX72">
        <v>1.2</v>
      </c>
      <c r="AY72">
        <v>5.2759999999999998</v>
      </c>
      <c r="AZ72">
        <v>3.5000000000000003E-2</v>
      </c>
      <c r="BA72">
        <v>8.4000000000000005E-2</v>
      </c>
      <c r="BB72">
        <v>17.155999999999999</v>
      </c>
      <c r="BC72">
        <v>0.63100000000000001</v>
      </c>
      <c r="BD72">
        <v>1.65</v>
      </c>
      <c r="BE72">
        <v>0</v>
      </c>
      <c r="BF72">
        <v>29.702000000000002</v>
      </c>
      <c r="BG72">
        <v>48.179000000000002</v>
      </c>
      <c r="BH72">
        <v>1.611</v>
      </c>
      <c r="BI72">
        <v>0.95199999999999996</v>
      </c>
      <c r="BJ72">
        <v>0</v>
      </c>
      <c r="BK72">
        <v>83</v>
      </c>
      <c r="BL72">
        <v>73</v>
      </c>
      <c r="BM72">
        <v>10</v>
      </c>
      <c r="BN72">
        <v>90</v>
      </c>
      <c r="BO72">
        <v>0</v>
      </c>
      <c r="BP72">
        <v>0</v>
      </c>
      <c r="BQ72">
        <v>0</v>
      </c>
      <c r="BR72">
        <v>0</v>
      </c>
      <c r="BS72">
        <v>0</v>
      </c>
      <c r="BT72">
        <v>0</v>
      </c>
      <c r="BU72">
        <v>0</v>
      </c>
      <c r="BV72">
        <v>0.6</v>
      </c>
      <c r="BW72">
        <v>0.69599999999999995</v>
      </c>
      <c r="BX72">
        <v>1</v>
      </c>
      <c r="BY72">
        <v>0.92</v>
      </c>
      <c r="BZ72">
        <v>1</v>
      </c>
      <c r="CA72">
        <v>0.05</v>
      </c>
      <c r="CB72">
        <v>0.1</v>
      </c>
      <c r="CC72">
        <v>0.31</v>
      </c>
      <c r="CD72">
        <v>4.0000000000000001E-3</v>
      </c>
      <c r="CE72">
        <v>0.2</v>
      </c>
      <c r="CF72" t="b">
        <v>0</v>
      </c>
      <c r="CG72" t="b">
        <v>1</v>
      </c>
      <c r="CH72" t="s">
        <v>93</v>
      </c>
      <c r="CI72">
        <v>100</v>
      </c>
      <c r="CJ72">
        <v>0</v>
      </c>
      <c r="CK72">
        <v>80.59</v>
      </c>
      <c r="CL72">
        <v>3.53</v>
      </c>
    </row>
    <row r="73" spans="1:90" x14ac:dyDescent="0.25">
      <c r="A73">
        <v>155</v>
      </c>
      <c r="B73" t="s">
        <v>170</v>
      </c>
      <c r="C73" t="s">
        <v>103</v>
      </c>
      <c r="D73" t="s">
        <v>96</v>
      </c>
      <c r="E73">
        <v>88.891000000000005</v>
      </c>
      <c r="F73">
        <v>2.496</v>
      </c>
      <c r="G73">
        <v>12.481</v>
      </c>
      <c r="H73">
        <v>24</v>
      </c>
      <c r="I73">
        <v>56</v>
      </c>
      <c r="J73">
        <v>20</v>
      </c>
      <c r="K73">
        <v>5</v>
      </c>
      <c r="L73">
        <v>50.308999999999997</v>
      </c>
      <c r="M73">
        <v>69.314999999999998</v>
      </c>
      <c r="N73">
        <v>20.173999999999999</v>
      </c>
      <c r="O73">
        <v>0.83099999999999996</v>
      </c>
      <c r="P73">
        <v>1.6040000000000001</v>
      </c>
      <c r="Q73">
        <v>3.9340000000000002</v>
      </c>
      <c r="R73">
        <v>6.1340000000000003</v>
      </c>
      <c r="S73">
        <v>59</v>
      </c>
      <c r="T73">
        <v>1.087</v>
      </c>
      <c r="U73">
        <v>72.585999999999999</v>
      </c>
      <c r="V73">
        <v>2.2349999999999999</v>
      </c>
      <c r="W73">
        <v>2.92</v>
      </c>
      <c r="X73">
        <v>4.0890000000000004</v>
      </c>
      <c r="Y73">
        <v>3.61</v>
      </c>
      <c r="Z73">
        <v>9.7000000000000003E-2</v>
      </c>
      <c r="AA73">
        <v>0.38100000000000001</v>
      </c>
      <c r="AB73">
        <v>0.154</v>
      </c>
      <c r="AC73">
        <v>0.40799999999999997</v>
      </c>
      <c r="AD73">
        <v>3.3000000000000002E-2</v>
      </c>
      <c r="AE73">
        <v>0.16600000000000001</v>
      </c>
      <c r="AF73">
        <v>0.115</v>
      </c>
      <c r="AG73">
        <v>8.74</v>
      </c>
      <c r="AH73">
        <v>71.150000000000006</v>
      </c>
      <c r="AI73">
        <v>26.59</v>
      </c>
      <c r="AJ73">
        <v>23.273</v>
      </c>
      <c r="AK73">
        <v>1.085</v>
      </c>
      <c r="AL73">
        <v>0</v>
      </c>
      <c r="AM73">
        <v>0</v>
      </c>
      <c r="AN73">
        <v>0</v>
      </c>
      <c r="AO73">
        <v>0.12</v>
      </c>
      <c r="AP73">
        <v>3.827</v>
      </c>
      <c r="AQ73">
        <v>2.2530000000000001</v>
      </c>
      <c r="AR73">
        <v>4.1100000000000003</v>
      </c>
      <c r="AS73">
        <v>13.108000000000001</v>
      </c>
      <c r="AT73">
        <v>2.2170000000000001</v>
      </c>
      <c r="AU73">
        <v>1.7370000000000001</v>
      </c>
      <c r="AV73">
        <v>5.1459999999999999</v>
      </c>
      <c r="AW73">
        <v>3.3140000000000001</v>
      </c>
      <c r="AX73">
        <v>1.2</v>
      </c>
      <c r="AY73">
        <v>5.2759999999999998</v>
      </c>
      <c r="AZ73">
        <v>3.5000000000000003E-2</v>
      </c>
      <c r="BA73">
        <v>8.4000000000000005E-2</v>
      </c>
      <c r="BB73">
        <v>17.155999999999999</v>
      </c>
      <c r="BC73">
        <v>0.63100000000000001</v>
      </c>
      <c r="BD73">
        <v>1.65</v>
      </c>
      <c r="BE73">
        <v>0</v>
      </c>
      <c r="BF73">
        <v>29.702000000000002</v>
      </c>
      <c r="BG73">
        <v>48.179000000000002</v>
      </c>
      <c r="BH73">
        <v>1.611</v>
      </c>
      <c r="BI73">
        <v>0.95199999999999996</v>
      </c>
      <c r="BJ73">
        <v>0</v>
      </c>
      <c r="BK73">
        <v>94</v>
      </c>
      <c r="BL73">
        <v>73</v>
      </c>
      <c r="BM73">
        <v>10</v>
      </c>
      <c r="BN73">
        <v>90</v>
      </c>
      <c r="BO73">
        <v>0</v>
      </c>
      <c r="BP73">
        <v>0</v>
      </c>
      <c r="BQ73">
        <v>0</v>
      </c>
      <c r="BR73">
        <v>0</v>
      </c>
      <c r="BS73">
        <v>0</v>
      </c>
      <c r="BT73">
        <v>0</v>
      </c>
      <c r="BU73">
        <v>0</v>
      </c>
      <c r="BV73">
        <v>0.6</v>
      </c>
      <c r="BW73">
        <v>0.69599999999999995</v>
      </c>
      <c r="BX73">
        <v>1</v>
      </c>
      <c r="BY73">
        <v>0.92</v>
      </c>
      <c r="BZ73">
        <v>1</v>
      </c>
      <c r="CA73">
        <v>0.05</v>
      </c>
      <c r="CB73">
        <v>0.1</v>
      </c>
      <c r="CC73">
        <v>0.31</v>
      </c>
      <c r="CD73">
        <v>4.0000000000000001E-3</v>
      </c>
      <c r="CE73">
        <v>0.2</v>
      </c>
      <c r="CF73" t="b">
        <v>0</v>
      </c>
      <c r="CG73" t="b">
        <v>1</v>
      </c>
      <c r="CH73" t="s">
        <v>93</v>
      </c>
      <c r="CI73">
        <v>100</v>
      </c>
      <c r="CJ73">
        <v>0</v>
      </c>
      <c r="CK73">
        <v>89.43</v>
      </c>
      <c r="CL73">
        <v>3.91</v>
      </c>
    </row>
    <row r="74" spans="1:90" x14ac:dyDescent="0.25">
      <c r="A74">
        <v>156</v>
      </c>
      <c r="B74" t="s">
        <v>171</v>
      </c>
      <c r="C74" t="s">
        <v>106</v>
      </c>
      <c r="D74" t="s">
        <v>92</v>
      </c>
      <c r="E74">
        <v>28.724</v>
      </c>
      <c r="F74">
        <v>9.8960000000000008</v>
      </c>
      <c r="G74">
        <v>11.298</v>
      </c>
      <c r="H74">
        <v>48</v>
      </c>
      <c r="I74">
        <v>28</v>
      </c>
      <c r="J74">
        <v>24</v>
      </c>
      <c r="K74">
        <v>3</v>
      </c>
      <c r="L74">
        <v>44.4</v>
      </c>
      <c r="M74">
        <v>70</v>
      </c>
      <c r="N74">
        <v>51.012999999999998</v>
      </c>
      <c r="O74">
        <v>8.3059999999999992</v>
      </c>
      <c r="P74">
        <v>16.169</v>
      </c>
      <c r="Q74">
        <v>39.231000000000002</v>
      </c>
      <c r="R74">
        <v>61.570999999999998</v>
      </c>
      <c r="S74">
        <v>63.585999999999999</v>
      </c>
      <c r="T74">
        <v>5.1539999999999999</v>
      </c>
      <c r="U74">
        <v>2.7349999999999999</v>
      </c>
      <c r="V74">
        <v>5.2690000000000001</v>
      </c>
      <c r="W74">
        <v>1.4370000000000001</v>
      </c>
      <c r="X74">
        <v>3.0680000000000001</v>
      </c>
      <c r="Y74">
        <v>2.3809999999999998</v>
      </c>
      <c r="Z74">
        <v>0.49099999999999999</v>
      </c>
      <c r="AA74">
        <v>0.28799999999999998</v>
      </c>
      <c r="AB74">
        <v>0.27100000000000002</v>
      </c>
      <c r="AC74">
        <v>2.4710000000000001</v>
      </c>
      <c r="AD74">
        <v>2.4E-2</v>
      </c>
      <c r="AE74">
        <v>0.82699999999999996</v>
      </c>
      <c r="AF74">
        <v>0.17399999999999999</v>
      </c>
      <c r="AG74">
        <v>9.8800000000000008</v>
      </c>
      <c r="AH74">
        <v>516.21</v>
      </c>
      <c r="AI74">
        <v>60.320999999999998</v>
      </c>
      <c r="AJ74">
        <v>38.463000000000001</v>
      </c>
      <c r="AK74">
        <v>1.4359999999999999</v>
      </c>
      <c r="AL74">
        <v>0</v>
      </c>
      <c r="AM74">
        <v>0</v>
      </c>
      <c r="AN74">
        <v>0</v>
      </c>
      <c r="AO74">
        <v>0</v>
      </c>
      <c r="AP74">
        <v>4.07</v>
      </c>
      <c r="AQ74">
        <v>2.4700000000000002</v>
      </c>
      <c r="AR74">
        <v>3.91</v>
      </c>
      <c r="AS74">
        <v>13.04</v>
      </c>
      <c r="AT74">
        <v>2.64</v>
      </c>
      <c r="AU74">
        <v>1.93</v>
      </c>
      <c r="AV74">
        <v>5.24</v>
      </c>
      <c r="AW74">
        <v>3.59</v>
      </c>
      <c r="AX74">
        <v>1.1599999999999999</v>
      </c>
      <c r="AY74">
        <v>5</v>
      </c>
      <c r="AZ74">
        <v>2.859</v>
      </c>
      <c r="BA74">
        <v>0.88900000000000001</v>
      </c>
      <c r="BB74">
        <v>20.643999999999998</v>
      </c>
      <c r="BC74">
        <v>0.434</v>
      </c>
      <c r="BD74">
        <v>2.4209999999999998</v>
      </c>
      <c r="BE74">
        <v>0</v>
      </c>
      <c r="BF74">
        <v>10.179</v>
      </c>
      <c r="BG74">
        <v>30.364999999999998</v>
      </c>
      <c r="BH74">
        <v>25.53</v>
      </c>
      <c r="BI74">
        <v>6.6790000000000003</v>
      </c>
      <c r="BJ74">
        <v>0</v>
      </c>
      <c r="BK74">
        <v>91</v>
      </c>
      <c r="BL74">
        <v>73</v>
      </c>
      <c r="BM74">
        <v>67</v>
      </c>
      <c r="BN74">
        <v>33</v>
      </c>
      <c r="BO74">
        <v>0</v>
      </c>
      <c r="BP74">
        <v>0</v>
      </c>
      <c r="BQ74">
        <v>0</v>
      </c>
      <c r="BR74">
        <v>0</v>
      </c>
      <c r="BS74">
        <v>0</v>
      </c>
      <c r="BT74">
        <v>0</v>
      </c>
      <c r="BU74">
        <v>0</v>
      </c>
      <c r="BV74">
        <v>0.4</v>
      </c>
      <c r="BW74">
        <v>0.78700000000000003</v>
      </c>
      <c r="BX74">
        <v>1</v>
      </c>
      <c r="BY74">
        <v>0.92</v>
      </c>
      <c r="BZ74">
        <v>1</v>
      </c>
      <c r="CA74">
        <v>0.05</v>
      </c>
      <c r="CB74">
        <v>0.1</v>
      </c>
      <c r="CC74">
        <v>0.31</v>
      </c>
      <c r="CD74">
        <v>4.0000000000000001E-3</v>
      </c>
      <c r="CE74">
        <v>0.2</v>
      </c>
      <c r="CF74" t="b">
        <v>0</v>
      </c>
      <c r="CG74" t="b">
        <v>0</v>
      </c>
      <c r="CH74" t="s">
        <v>93</v>
      </c>
      <c r="CI74">
        <v>100</v>
      </c>
      <c r="CJ74">
        <v>0</v>
      </c>
      <c r="CK74">
        <v>56.66</v>
      </c>
      <c r="CL74">
        <v>2.48</v>
      </c>
    </row>
    <row r="75" spans="1:90" x14ac:dyDescent="0.25">
      <c r="A75">
        <v>160</v>
      </c>
      <c r="B75" t="s">
        <v>172</v>
      </c>
      <c r="C75" t="s">
        <v>106</v>
      </c>
      <c r="D75" t="s">
        <v>92</v>
      </c>
      <c r="E75">
        <v>31.709</v>
      </c>
      <c r="F75">
        <v>10.904</v>
      </c>
      <c r="G75">
        <v>12.25</v>
      </c>
      <c r="H75">
        <v>38</v>
      </c>
      <c r="I75">
        <v>30</v>
      </c>
      <c r="J75">
        <v>32</v>
      </c>
      <c r="K75">
        <v>3.7</v>
      </c>
      <c r="L75">
        <v>51.481000000000002</v>
      </c>
      <c r="M75">
        <v>55</v>
      </c>
      <c r="N75">
        <v>47.292000000000002</v>
      </c>
      <c r="O75">
        <v>1.1519999999999999</v>
      </c>
      <c r="P75">
        <v>1.899</v>
      </c>
      <c r="Q75">
        <v>38.905000000000001</v>
      </c>
      <c r="R75">
        <v>59.468000000000004</v>
      </c>
      <c r="S75">
        <v>54.914000000000001</v>
      </c>
      <c r="T75">
        <v>5.2480000000000002</v>
      </c>
      <c r="U75">
        <v>2.786</v>
      </c>
      <c r="V75">
        <v>5.6340000000000003</v>
      </c>
      <c r="W75">
        <v>1.633</v>
      </c>
      <c r="X75">
        <v>3.0129999999999999</v>
      </c>
      <c r="Y75">
        <v>2.3039999999999998</v>
      </c>
      <c r="Z75">
        <v>0.52400000000000002</v>
      </c>
      <c r="AA75">
        <v>0.29599999999999999</v>
      </c>
      <c r="AB75">
        <v>0.25800000000000001</v>
      </c>
      <c r="AC75">
        <v>2.4620000000000002</v>
      </c>
      <c r="AD75">
        <v>5.8000000000000003E-2</v>
      </c>
      <c r="AE75">
        <v>0.81499999999999995</v>
      </c>
      <c r="AF75">
        <v>0.16400000000000001</v>
      </c>
      <c r="AG75">
        <v>11.423</v>
      </c>
      <c r="AH75">
        <v>899.46500000000003</v>
      </c>
      <c r="AI75">
        <v>76.709999999999994</v>
      </c>
      <c r="AJ75">
        <v>38.981999999999999</v>
      </c>
      <c r="AK75">
        <v>1.601</v>
      </c>
      <c r="AL75">
        <v>0</v>
      </c>
      <c r="AM75">
        <v>0</v>
      </c>
      <c r="AN75">
        <v>0</v>
      </c>
      <c r="AO75">
        <v>0</v>
      </c>
      <c r="AP75">
        <v>3.06</v>
      </c>
      <c r="AQ75">
        <v>1.66</v>
      </c>
      <c r="AR75">
        <v>3.57</v>
      </c>
      <c r="AS75">
        <v>6.12</v>
      </c>
      <c r="AT75">
        <v>3.28</v>
      </c>
      <c r="AU75">
        <v>1.21</v>
      </c>
      <c r="AV75">
        <v>4.37</v>
      </c>
      <c r="AW75">
        <v>3.34</v>
      </c>
      <c r="AX75">
        <v>1.07</v>
      </c>
      <c r="AY75">
        <v>4.8899999999999997</v>
      </c>
      <c r="AZ75">
        <v>2.859</v>
      </c>
      <c r="BA75">
        <v>0.88900000000000001</v>
      </c>
      <c r="BB75">
        <v>20.643999999999998</v>
      </c>
      <c r="BC75">
        <v>0.434</v>
      </c>
      <c r="BD75">
        <v>2.4209999999999998</v>
      </c>
      <c r="BE75">
        <v>0</v>
      </c>
      <c r="BF75">
        <v>10.179</v>
      </c>
      <c r="BG75">
        <v>30.364999999999998</v>
      </c>
      <c r="BH75">
        <v>25.53</v>
      </c>
      <c r="BI75">
        <v>6.6790000000000003</v>
      </c>
      <c r="BJ75">
        <v>0</v>
      </c>
      <c r="BK75">
        <v>91</v>
      </c>
      <c r="BL75">
        <v>73</v>
      </c>
      <c r="BM75">
        <v>67</v>
      </c>
      <c r="BN75">
        <v>33</v>
      </c>
      <c r="BO75">
        <v>0</v>
      </c>
      <c r="BP75">
        <v>0</v>
      </c>
      <c r="BQ75">
        <v>0</v>
      </c>
      <c r="BR75">
        <v>0</v>
      </c>
      <c r="BS75">
        <v>0</v>
      </c>
      <c r="BT75">
        <v>0</v>
      </c>
      <c r="BU75">
        <v>0</v>
      </c>
      <c r="BV75">
        <v>0.4</v>
      </c>
      <c r="BW75">
        <v>0.78700000000000003</v>
      </c>
      <c r="BX75">
        <v>1</v>
      </c>
      <c r="BY75">
        <v>0.92</v>
      </c>
      <c r="BZ75">
        <v>1</v>
      </c>
      <c r="CA75">
        <v>0.05</v>
      </c>
      <c r="CB75">
        <v>0.1</v>
      </c>
      <c r="CC75">
        <v>0.31</v>
      </c>
      <c r="CD75">
        <v>4.0000000000000001E-3</v>
      </c>
      <c r="CE75">
        <v>0.2</v>
      </c>
      <c r="CF75" t="b">
        <v>0</v>
      </c>
      <c r="CG75" t="b">
        <v>0</v>
      </c>
      <c r="CH75" t="s">
        <v>93</v>
      </c>
      <c r="CI75">
        <v>100</v>
      </c>
      <c r="CJ75">
        <v>0</v>
      </c>
      <c r="CK75">
        <v>54.39</v>
      </c>
      <c r="CL75">
        <v>2.39</v>
      </c>
    </row>
    <row r="76" spans="1:90" x14ac:dyDescent="0.25">
      <c r="A76">
        <v>161</v>
      </c>
      <c r="B76" t="s">
        <v>173</v>
      </c>
      <c r="C76" t="s">
        <v>106</v>
      </c>
      <c r="D76" t="s">
        <v>92</v>
      </c>
      <c r="E76">
        <v>90.47</v>
      </c>
      <c r="F76">
        <v>10.036</v>
      </c>
      <c r="G76">
        <v>9.8130000000000006</v>
      </c>
      <c r="H76">
        <v>28</v>
      </c>
      <c r="I76">
        <v>53</v>
      </c>
      <c r="J76">
        <v>19</v>
      </c>
      <c r="K76">
        <v>5</v>
      </c>
      <c r="L76">
        <v>46.945999999999998</v>
      </c>
      <c r="M76">
        <v>60</v>
      </c>
      <c r="N76">
        <v>38.563000000000002</v>
      </c>
      <c r="O76">
        <v>1.0509999999999999</v>
      </c>
      <c r="P76">
        <v>2.5659999999999998</v>
      </c>
      <c r="Q76">
        <v>39.335999999999999</v>
      </c>
      <c r="R76">
        <v>61.017000000000003</v>
      </c>
      <c r="S76">
        <v>54.415999999999997</v>
      </c>
      <c r="T76">
        <v>4.9349999999999996</v>
      </c>
      <c r="U76">
        <v>3.7480000000000002</v>
      </c>
      <c r="V76">
        <v>10.364000000000001</v>
      </c>
      <c r="W76">
        <v>1.101</v>
      </c>
      <c r="X76">
        <v>1.9319999999999999</v>
      </c>
      <c r="Y76">
        <v>2.34</v>
      </c>
      <c r="Z76">
        <v>0.36799999999999999</v>
      </c>
      <c r="AA76">
        <v>0.24</v>
      </c>
      <c r="AB76">
        <v>0.254</v>
      </c>
      <c r="AC76">
        <v>1.998</v>
      </c>
      <c r="AD76">
        <v>2.8000000000000001E-2</v>
      </c>
      <c r="AE76">
        <v>0.98199999999999998</v>
      </c>
      <c r="AF76">
        <v>0.14399999999999999</v>
      </c>
      <c r="AG76">
        <v>9.3930000000000007</v>
      </c>
      <c r="AH76">
        <v>358.68299999999999</v>
      </c>
      <c r="AI76">
        <v>62.067</v>
      </c>
      <c r="AJ76">
        <v>38.645000000000003</v>
      </c>
      <c r="AK76">
        <v>1.4510000000000001</v>
      </c>
      <c r="AL76">
        <v>0</v>
      </c>
      <c r="AM76">
        <v>0</v>
      </c>
      <c r="AN76">
        <v>0</v>
      </c>
      <c r="AO76">
        <v>0</v>
      </c>
      <c r="AP76">
        <v>4.1040000000000001</v>
      </c>
      <c r="AQ76">
        <v>1.94</v>
      </c>
      <c r="AR76">
        <v>3.9550000000000001</v>
      </c>
      <c r="AS76">
        <v>7.3879999999999999</v>
      </c>
      <c r="AT76">
        <v>4.851</v>
      </c>
      <c r="AU76">
        <v>1.6419999999999999</v>
      </c>
      <c r="AV76">
        <v>4.7759999999999998</v>
      </c>
      <c r="AW76">
        <v>4.1040000000000001</v>
      </c>
      <c r="AX76">
        <v>2.09</v>
      </c>
      <c r="AY76">
        <v>5.2240000000000002</v>
      </c>
      <c r="AZ76">
        <v>2.859</v>
      </c>
      <c r="BA76">
        <v>0.88900000000000001</v>
      </c>
      <c r="BB76">
        <v>20.643999999999998</v>
      </c>
      <c r="BC76">
        <v>0.434</v>
      </c>
      <c r="BD76">
        <v>2.4209999999999998</v>
      </c>
      <c r="BE76">
        <v>0</v>
      </c>
      <c r="BF76">
        <v>10.179</v>
      </c>
      <c r="BG76">
        <v>30.364999999999998</v>
      </c>
      <c r="BH76">
        <v>25.53</v>
      </c>
      <c r="BI76">
        <v>6.6790000000000003</v>
      </c>
      <c r="BJ76">
        <v>0</v>
      </c>
      <c r="BK76">
        <v>91</v>
      </c>
      <c r="BL76">
        <v>73</v>
      </c>
      <c r="BM76">
        <v>67</v>
      </c>
      <c r="BN76">
        <v>33</v>
      </c>
      <c r="BO76">
        <v>0</v>
      </c>
      <c r="BP76">
        <v>0</v>
      </c>
      <c r="BQ76">
        <v>0</v>
      </c>
      <c r="BR76">
        <v>0</v>
      </c>
      <c r="BS76">
        <v>0</v>
      </c>
      <c r="BT76">
        <v>0</v>
      </c>
      <c r="BU76">
        <v>0</v>
      </c>
      <c r="BV76">
        <v>0.4</v>
      </c>
      <c r="BW76">
        <v>0.78700000000000003</v>
      </c>
      <c r="BX76">
        <v>1</v>
      </c>
      <c r="BY76">
        <v>0.92</v>
      </c>
      <c r="BZ76">
        <v>1</v>
      </c>
      <c r="CA76">
        <v>0.05</v>
      </c>
      <c r="CB76">
        <v>0.1</v>
      </c>
      <c r="CC76">
        <v>0.31</v>
      </c>
      <c r="CD76">
        <v>4.0000000000000001E-3</v>
      </c>
      <c r="CE76">
        <v>0.2</v>
      </c>
      <c r="CF76" t="b">
        <v>0</v>
      </c>
      <c r="CG76" t="b">
        <v>1</v>
      </c>
      <c r="CH76" t="s">
        <v>93</v>
      </c>
      <c r="CI76">
        <v>100</v>
      </c>
      <c r="CJ76">
        <v>0</v>
      </c>
      <c r="CK76">
        <v>54.38</v>
      </c>
      <c r="CL76">
        <v>2.41</v>
      </c>
    </row>
    <row r="77" spans="1:90" x14ac:dyDescent="0.25">
      <c r="A77">
        <v>163</v>
      </c>
      <c r="B77" t="s">
        <v>174</v>
      </c>
      <c r="C77" t="s">
        <v>95</v>
      </c>
      <c r="D77" t="s">
        <v>96</v>
      </c>
      <c r="E77">
        <v>90.372</v>
      </c>
      <c r="F77">
        <v>5.1790000000000003</v>
      </c>
      <c r="G77">
        <v>11.88</v>
      </c>
      <c r="H77">
        <v>26</v>
      </c>
      <c r="I77">
        <v>69.557000000000002</v>
      </c>
      <c r="J77">
        <v>3.8980000000000001</v>
      </c>
      <c r="K77">
        <v>6.4020000000000001</v>
      </c>
      <c r="L77">
        <v>37.012</v>
      </c>
      <c r="M77">
        <v>68</v>
      </c>
      <c r="N77">
        <v>26.268999999999998</v>
      </c>
      <c r="O77">
        <v>1.1519999999999999</v>
      </c>
      <c r="P77">
        <v>3.6469999999999998</v>
      </c>
      <c r="Q77">
        <v>47.94</v>
      </c>
      <c r="R77">
        <v>66.748999999999995</v>
      </c>
      <c r="S77">
        <v>88.11</v>
      </c>
      <c r="T77">
        <v>2.5720000000000001</v>
      </c>
      <c r="U77">
        <v>0.98399999999999999</v>
      </c>
      <c r="V77">
        <v>2.7469999999999999</v>
      </c>
      <c r="W77">
        <v>1.61</v>
      </c>
      <c r="X77">
        <v>1.885</v>
      </c>
      <c r="Y77">
        <v>2.7389999999999999</v>
      </c>
      <c r="Z77">
        <v>0.63600000000000001</v>
      </c>
      <c r="AA77">
        <v>0.13200000000000001</v>
      </c>
      <c r="AB77">
        <v>0.27600000000000002</v>
      </c>
      <c r="AC77">
        <v>1.403</v>
      </c>
      <c r="AD77">
        <v>1.0999999999999999E-2</v>
      </c>
      <c r="AE77">
        <v>4.1000000000000002E-2</v>
      </c>
      <c r="AF77">
        <v>0.11700000000000001</v>
      </c>
      <c r="AG77">
        <v>7.5830000000000002</v>
      </c>
      <c r="AH77">
        <v>463.84899999999999</v>
      </c>
      <c r="AI77">
        <v>20.504999999999999</v>
      </c>
      <c r="AJ77">
        <v>47.265999999999998</v>
      </c>
      <c r="AK77">
        <v>1.0509999999999999</v>
      </c>
      <c r="AL77">
        <v>0.4</v>
      </c>
      <c r="AM77">
        <v>0</v>
      </c>
      <c r="AN77">
        <v>0</v>
      </c>
      <c r="AO77">
        <v>0.2</v>
      </c>
      <c r="AP77">
        <v>5.21</v>
      </c>
      <c r="AQ77">
        <v>2.605</v>
      </c>
      <c r="AR77">
        <v>3.6970000000000001</v>
      </c>
      <c r="AS77">
        <v>6.3029999999999999</v>
      </c>
      <c r="AT77">
        <v>6.3029999999999999</v>
      </c>
      <c r="AU77">
        <v>1.0920000000000001</v>
      </c>
      <c r="AV77">
        <v>3.8660000000000001</v>
      </c>
      <c r="AW77">
        <v>3.613</v>
      </c>
      <c r="AX77">
        <v>1.345</v>
      </c>
      <c r="AY77">
        <v>4.37</v>
      </c>
      <c r="AZ77">
        <v>0</v>
      </c>
      <c r="BA77">
        <v>1.4650000000000001</v>
      </c>
      <c r="BB77">
        <v>16.216000000000001</v>
      </c>
      <c r="BC77">
        <v>0.28499999999999998</v>
      </c>
      <c r="BD77">
        <v>7.0270000000000001</v>
      </c>
      <c r="BE77">
        <v>0.69699999999999995</v>
      </c>
      <c r="BF77">
        <v>15.901</v>
      </c>
      <c r="BG77">
        <v>42.66</v>
      </c>
      <c r="BH77">
        <v>13.106999999999999</v>
      </c>
      <c r="BI77">
        <v>2.6419999999999999</v>
      </c>
      <c r="BJ77">
        <v>0</v>
      </c>
      <c r="BK77">
        <v>91</v>
      </c>
      <c r="BL77">
        <v>73</v>
      </c>
      <c r="BM77">
        <v>16</v>
      </c>
      <c r="BN77">
        <v>84</v>
      </c>
      <c r="BO77">
        <v>0</v>
      </c>
      <c r="BP77">
        <v>0</v>
      </c>
      <c r="BQ77">
        <v>0</v>
      </c>
      <c r="BR77">
        <v>0</v>
      </c>
      <c r="BS77">
        <v>0</v>
      </c>
      <c r="BT77">
        <v>0</v>
      </c>
      <c r="BU77">
        <v>0</v>
      </c>
      <c r="BV77">
        <v>0.6</v>
      </c>
      <c r="BW77">
        <v>0.70599999999999996</v>
      </c>
      <c r="BX77">
        <v>1</v>
      </c>
      <c r="BY77">
        <v>0.92</v>
      </c>
      <c r="BZ77">
        <v>1</v>
      </c>
      <c r="CA77">
        <v>0.05</v>
      </c>
      <c r="CB77">
        <v>0.1</v>
      </c>
      <c r="CC77">
        <v>0.31</v>
      </c>
      <c r="CD77">
        <v>4.0000000000000001E-3</v>
      </c>
      <c r="CE77">
        <v>0.2</v>
      </c>
      <c r="CF77" t="b">
        <v>0</v>
      </c>
      <c r="CG77" t="b">
        <v>1</v>
      </c>
      <c r="CH77" t="s">
        <v>93</v>
      </c>
      <c r="CI77">
        <v>100</v>
      </c>
      <c r="CJ77">
        <v>0</v>
      </c>
      <c r="CK77">
        <v>67.34</v>
      </c>
      <c r="CL77">
        <v>3.01</v>
      </c>
    </row>
    <row r="78" spans="1:90" x14ac:dyDescent="0.25">
      <c r="A78">
        <v>164</v>
      </c>
      <c r="B78" t="s">
        <v>175</v>
      </c>
      <c r="C78" t="s">
        <v>95</v>
      </c>
      <c r="D78" t="s">
        <v>96</v>
      </c>
      <c r="E78">
        <v>91.168999999999997</v>
      </c>
      <c r="F78">
        <v>6.7320000000000002</v>
      </c>
      <c r="G78">
        <v>47.603999999999999</v>
      </c>
      <c r="H78">
        <v>9</v>
      </c>
      <c r="I78">
        <v>91</v>
      </c>
      <c r="J78">
        <v>0</v>
      </c>
      <c r="K78">
        <v>2.4</v>
      </c>
      <c r="L78">
        <v>63.152999999999999</v>
      </c>
      <c r="M78">
        <v>93</v>
      </c>
      <c r="N78">
        <v>14.705</v>
      </c>
      <c r="O78">
        <v>0.91400000000000003</v>
      </c>
      <c r="P78">
        <v>3.6070000000000002</v>
      </c>
      <c r="Q78">
        <v>10.109</v>
      </c>
      <c r="R78">
        <v>19.591000000000001</v>
      </c>
      <c r="S78">
        <v>85</v>
      </c>
      <c r="T78">
        <v>2.0579999999999998</v>
      </c>
      <c r="U78">
        <v>1.804</v>
      </c>
      <c r="V78">
        <v>11.818</v>
      </c>
      <c r="W78">
        <v>6.1180000000000003</v>
      </c>
      <c r="X78">
        <v>7.1180000000000003</v>
      </c>
      <c r="Y78">
        <v>3.8820000000000001</v>
      </c>
      <c r="Z78">
        <v>0.33500000000000002</v>
      </c>
      <c r="AA78">
        <v>0.72399999999999998</v>
      </c>
      <c r="AB78">
        <v>0.312</v>
      </c>
      <c r="AC78">
        <v>2.2410000000000001</v>
      </c>
      <c r="AD78">
        <v>1.4E-2</v>
      </c>
      <c r="AE78">
        <v>0.06</v>
      </c>
      <c r="AF78">
        <v>0.39700000000000002</v>
      </c>
      <c r="AG78">
        <v>15.119</v>
      </c>
      <c r="AH78">
        <v>195.59100000000001</v>
      </c>
      <c r="AI78">
        <v>39.335000000000001</v>
      </c>
      <c r="AJ78">
        <v>52.892000000000003</v>
      </c>
      <c r="AK78">
        <v>2.72</v>
      </c>
      <c r="AL78">
        <v>0.21</v>
      </c>
      <c r="AM78">
        <v>0</v>
      </c>
      <c r="AN78">
        <v>0</v>
      </c>
      <c r="AO78">
        <v>0.2</v>
      </c>
      <c r="AP78">
        <v>7.2919999999999998</v>
      </c>
      <c r="AQ78">
        <v>2.6230000000000002</v>
      </c>
      <c r="AR78">
        <v>4.5419999999999998</v>
      </c>
      <c r="AS78">
        <v>7.5910000000000002</v>
      </c>
      <c r="AT78">
        <v>6.1189999999999998</v>
      </c>
      <c r="AU78">
        <v>1.343</v>
      </c>
      <c r="AV78">
        <v>5.0529999999999999</v>
      </c>
      <c r="AW78">
        <v>3.9020000000000001</v>
      </c>
      <c r="AX78">
        <v>1.343</v>
      </c>
      <c r="AY78">
        <v>4.7329999999999997</v>
      </c>
      <c r="AZ78">
        <v>0</v>
      </c>
      <c r="BA78">
        <v>7.0999999999999994E-2</v>
      </c>
      <c r="BB78">
        <v>11.553000000000001</v>
      </c>
      <c r="BC78">
        <v>8.6999999999999994E-2</v>
      </c>
      <c r="BD78">
        <v>3.7069999999999999</v>
      </c>
      <c r="BE78">
        <v>1.417</v>
      </c>
      <c r="BF78">
        <v>18.126000000000001</v>
      </c>
      <c r="BG78">
        <v>54.768000000000001</v>
      </c>
      <c r="BH78">
        <v>9.516</v>
      </c>
      <c r="BI78">
        <v>0.755</v>
      </c>
      <c r="BJ78">
        <v>0</v>
      </c>
      <c r="BK78">
        <v>91</v>
      </c>
      <c r="BL78">
        <v>73</v>
      </c>
      <c r="BM78">
        <v>7</v>
      </c>
      <c r="BN78">
        <v>93</v>
      </c>
      <c r="BO78">
        <v>0</v>
      </c>
      <c r="BP78">
        <v>0</v>
      </c>
      <c r="BQ78">
        <v>0</v>
      </c>
      <c r="BR78">
        <v>0</v>
      </c>
      <c r="BS78">
        <v>0</v>
      </c>
      <c r="BT78">
        <v>0</v>
      </c>
      <c r="BU78">
        <v>0</v>
      </c>
      <c r="BV78">
        <v>0.6</v>
      </c>
      <c r="BW78">
        <v>0.69099999999999995</v>
      </c>
      <c r="BX78">
        <v>1</v>
      </c>
      <c r="BY78">
        <v>0.92</v>
      </c>
      <c r="BZ78">
        <v>1</v>
      </c>
      <c r="CA78">
        <v>0.05</v>
      </c>
      <c r="CB78">
        <v>0.1</v>
      </c>
      <c r="CC78">
        <v>0.31</v>
      </c>
      <c r="CD78">
        <v>4.0000000000000001E-3</v>
      </c>
      <c r="CE78">
        <v>0.2</v>
      </c>
      <c r="CF78" t="b">
        <v>0</v>
      </c>
      <c r="CG78" t="b">
        <v>1</v>
      </c>
      <c r="CH78" t="s">
        <v>93</v>
      </c>
      <c r="CI78">
        <v>100</v>
      </c>
      <c r="CJ78">
        <v>0</v>
      </c>
      <c r="CK78">
        <v>88.53</v>
      </c>
      <c r="CL78">
        <v>4.3499999999999996</v>
      </c>
    </row>
    <row r="79" spans="1:90" x14ac:dyDescent="0.25">
      <c r="A79">
        <v>167</v>
      </c>
      <c r="B79" t="s">
        <v>176</v>
      </c>
      <c r="C79" t="s">
        <v>95</v>
      </c>
      <c r="D79" t="s">
        <v>96</v>
      </c>
      <c r="E79">
        <v>89.266999999999996</v>
      </c>
      <c r="F79">
        <v>7.2370000000000001</v>
      </c>
      <c r="G79">
        <v>52.643999999999998</v>
      </c>
      <c r="H79">
        <v>18</v>
      </c>
      <c r="I79">
        <v>80</v>
      </c>
      <c r="J79">
        <v>2</v>
      </c>
      <c r="K79">
        <v>9</v>
      </c>
      <c r="L79">
        <v>32.746000000000002</v>
      </c>
      <c r="M79">
        <v>91</v>
      </c>
      <c r="N79">
        <v>23.117000000000001</v>
      </c>
      <c r="O79">
        <v>0.627</v>
      </c>
      <c r="P79">
        <v>1.0049999999999999</v>
      </c>
      <c r="Q79">
        <v>7.1870000000000003</v>
      </c>
      <c r="R79">
        <v>11.065</v>
      </c>
      <c r="S79">
        <v>85.667000000000002</v>
      </c>
      <c r="T79">
        <v>1.0840000000000001</v>
      </c>
      <c r="U79">
        <v>1.879</v>
      </c>
      <c r="V79">
        <v>12.952999999999999</v>
      </c>
      <c r="W79">
        <v>1.08</v>
      </c>
      <c r="X79">
        <v>1.8149999999999999</v>
      </c>
      <c r="Y79">
        <v>3.9670000000000001</v>
      </c>
      <c r="Z79">
        <v>0.4</v>
      </c>
      <c r="AA79">
        <v>0.73899999999999999</v>
      </c>
      <c r="AB79">
        <v>0.32700000000000001</v>
      </c>
      <c r="AC79">
        <v>2.4209999999999998</v>
      </c>
      <c r="AD79">
        <v>1.9E-2</v>
      </c>
      <c r="AE79">
        <v>6.2E-2</v>
      </c>
      <c r="AF79">
        <v>0.41299999999999998</v>
      </c>
      <c r="AG79">
        <v>16.058</v>
      </c>
      <c r="AH79">
        <v>187.01499999999999</v>
      </c>
      <c r="AI79">
        <v>41.372</v>
      </c>
      <c r="AJ79">
        <v>52.923999999999999</v>
      </c>
      <c r="AK79">
        <v>4.3150000000000004</v>
      </c>
      <c r="AL79">
        <v>0.21</v>
      </c>
      <c r="AM79">
        <v>0</v>
      </c>
      <c r="AN79">
        <v>0</v>
      </c>
      <c r="AO79">
        <v>0.2</v>
      </c>
      <c r="AP79">
        <v>7.2910000000000004</v>
      </c>
      <c r="AQ79">
        <v>2.641</v>
      </c>
      <c r="AR79">
        <v>4.5369999999999999</v>
      </c>
      <c r="AS79">
        <v>7.63</v>
      </c>
      <c r="AT79">
        <v>6.1630000000000003</v>
      </c>
      <c r="AU79">
        <v>1.377</v>
      </c>
      <c r="AV79">
        <v>5.0339999999999998</v>
      </c>
      <c r="AW79">
        <v>3.95</v>
      </c>
      <c r="AX79">
        <v>1.377</v>
      </c>
      <c r="AY79">
        <v>4.7629999999999999</v>
      </c>
      <c r="AZ79">
        <v>0</v>
      </c>
      <c r="BA79">
        <v>0.83399999999999996</v>
      </c>
      <c r="BB79">
        <v>17.277999999999999</v>
      </c>
      <c r="BC79">
        <v>0</v>
      </c>
      <c r="BD79">
        <v>4.4459999999999997</v>
      </c>
      <c r="BE79">
        <v>0.43</v>
      </c>
      <c r="BF79">
        <v>13.223000000000001</v>
      </c>
      <c r="BG79">
        <v>54.162999999999997</v>
      </c>
      <c r="BH79">
        <v>8.4290000000000003</v>
      </c>
      <c r="BI79">
        <v>1.1970000000000001</v>
      </c>
      <c r="BJ79">
        <v>0</v>
      </c>
      <c r="BK79">
        <v>91</v>
      </c>
      <c r="BL79">
        <v>73</v>
      </c>
      <c r="BM79">
        <v>7</v>
      </c>
      <c r="BN79">
        <v>93</v>
      </c>
      <c r="BO79">
        <v>0</v>
      </c>
      <c r="BP79">
        <v>0</v>
      </c>
      <c r="BQ79">
        <v>0</v>
      </c>
      <c r="BR79">
        <v>0</v>
      </c>
      <c r="BS79">
        <v>0</v>
      </c>
      <c r="BT79">
        <v>0</v>
      </c>
      <c r="BU79">
        <v>0</v>
      </c>
      <c r="BV79">
        <v>0.6</v>
      </c>
      <c r="BW79">
        <v>0.69099999999999995</v>
      </c>
      <c r="BX79">
        <v>1</v>
      </c>
      <c r="BY79">
        <v>0.92</v>
      </c>
      <c r="BZ79">
        <v>1</v>
      </c>
      <c r="CA79">
        <v>0.05</v>
      </c>
      <c r="CB79">
        <v>0.1</v>
      </c>
      <c r="CC79">
        <v>0.31</v>
      </c>
      <c r="CD79">
        <v>4.0000000000000001E-3</v>
      </c>
      <c r="CE79">
        <v>0.2</v>
      </c>
      <c r="CF79" t="b">
        <v>0</v>
      </c>
      <c r="CG79" t="b">
        <v>1</v>
      </c>
      <c r="CH79" t="s">
        <v>93</v>
      </c>
      <c r="CI79">
        <v>100</v>
      </c>
      <c r="CJ79">
        <v>0</v>
      </c>
      <c r="CK79">
        <v>81.39</v>
      </c>
      <c r="CL79">
        <v>4.16</v>
      </c>
    </row>
    <row r="80" spans="1:90" x14ac:dyDescent="0.25">
      <c r="A80">
        <v>169</v>
      </c>
      <c r="B80" t="s">
        <v>177</v>
      </c>
      <c r="C80" t="s">
        <v>91</v>
      </c>
      <c r="D80" t="s">
        <v>96</v>
      </c>
      <c r="E80">
        <v>89.105000000000004</v>
      </c>
      <c r="F80">
        <v>5.31</v>
      </c>
      <c r="G80">
        <v>39.979999999999997</v>
      </c>
      <c r="H80">
        <v>26</v>
      </c>
      <c r="I80">
        <v>74</v>
      </c>
      <c r="J80">
        <v>0</v>
      </c>
      <c r="K80">
        <v>9.31</v>
      </c>
      <c r="L80">
        <v>28.457000000000001</v>
      </c>
      <c r="M80">
        <v>89.5</v>
      </c>
      <c r="N80">
        <v>42.085000000000001</v>
      </c>
      <c r="O80">
        <v>0.65800000000000003</v>
      </c>
      <c r="P80">
        <v>1.663</v>
      </c>
      <c r="Q80">
        <v>6.992</v>
      </c>
      <c r="R80">
        <v>11.882999999999999</v>
      </c>
      <c r="S80">
        <v>84</v>
      </c>
      <c r="T80">
        <v>1.516</v>
      </c>
      <c r="U80">
        <v>4.17</v>
      </c>
      <c r="V80">
        <v>9</v>
      </c>
      <c r="W80">
        <v>16.989999999999998</v>
      </c>
      <c r="X80">
        <v>20.728999999999999</v>
      </c>
      <c r="Y80">
        <v>4.3129999999999997</v>
      </c>
      <c r="Z80">
        <v>0.27200000000000002</v>
      </c>
      <c r="AA80">
        <v>0.65400000000000003</v>
      </c>
      <c r="AB80">
        <v>0.27400000000000002</v>
      </c>
      <c r="AC80">
        <v>2.028</v>
      </c>
      <c r="AD80">
        <v>1.0999999999999999E-2</v>
      </c>
      <c r="AE80">
        <v>3.9E-2</v>
      </c>
      <c r="AF80">
        <v>0.34399999999999997</v>
      </c>
      <c r="AG80">
        <v>11.865</v>
      </c>
      <c r="AH80">
        <v>102.792</v>
      </c>
      <c r="AI80">
        <v>26.013999999999999</v>
      </c>
      <c r="AJ80">
        <v>50.932000000000002</v>
      </c>
      <c r="AK80">
        <v>0</v>
      </c>
      <c r="AL80">
        <v>6.9000000000000006E-2</v>
      </c>
      <c r="AM80">
        <v>0</v>
      </c>
      <c r="AN80">
        <v>0</v>
      </c>
      <c r="AO80">
        <v>0.3</v>
      </c>
      <c r="AP80">
        <v>7.25</v>
      </c>
      <c r="AQ80">
        <v>2.6110000000000002</v>
      </c>
      <c r="AR80">
        <v>4.5279999999999996</v>
      </c>
      <c r="AS80">
        <v>7.5830000000000002</v>
      </c>
      <c r="AT80">
        <v>6.1390000000000002</v>
      </c>
      <c r="AU80">
        <v>1.333</v>
      </c>
      <c r="AV80">
        <v>5.0279999999999996</v>
      </c>
      <c r="AW80">
        <v>3.8889999999999998</v>
      </c>
      <c r="AX80">
        <v>1.333</v>
      </c>
      <c r="AY80">
        <v>4.7220000000000004</v>
      </c>
      <c r="AZ80">
        <v>0.57699999999999996</v>
      </c>
      <c r="BA80">
        <v>0.19500000000000001</v>
      </c>
      <c r="BB80">
        <v>11.925000000000001</v>
      </c>
      <c r="BC80">
        <v>0.08</v>
      </c>
      <c r="BD80">
        <v>4.0469999999999997</v>
      </c>
      <c r="BE80">
        <v>0</v>
      </c>
      <c r="BF80">
        <v>21.986000000000001</v>
      </c>
      <c r="BG80">
        <v>52.433999999999997</v>
      </c>
      <c r="BH80">
        <v>7.5890000000000004</v>
      </c>
      <c r="BI80">
        <v>1.167</v>
      </c>
      <c r="BJ80">
        <v>0</v>
      </c>
      <c r="BK80">
        <v>91</v>
      </c>
      <c r="BL80">
        <v>73</v>
      </c>
      <c r="BM80">
        <v>7</v>
      </c>
      <c r="BN80">
        <v>93</v>
      </c>
      <c r="BO80">
        <v>0</v>
      </c>
      <c r="BP80">
        <v>0</v>
      </c>
      <c r="BQ80">
        <v>0</v>
      </c>
      <c r="BR80">
        <v>0</v>
      </c>
      <c r="BS80">
        <v>0</v>
      </c>
      <c r="BT80">
        <v>0</v>
      </c>
      <c r="BU80">
        <v>0</v>
      </c>
      <c r="BV80">
        <v>0.6</v>
      </c>
      <c r="BW80">
        <v>0.69099999999999995</v>
      </c>
      <c r="BX80">
        <v>1</v>
      </c>
      <c r="BY80">
        <v>0.92</v>
      </c>
      <c r="BZ80">
        <v>1</v>
      </c>
      <c r="CA80">
        <v>0.05</v>
      </c>
      <c r="CB80">
        <v>0.1</v>
      </c>
      <c r="CC80">
        <v>0.31</v>
      </c>
      <c r="CD80">
        <v>4.0000000000000001E-3</v>
      </c>
      <c r="CE80">
        <v>0.2</v>
      </c>
      <c r="CF80" t="b">
        <v>0</v>
      </c>
      <c r="CG80" t="b">
        <v>1</v>
      </c>
      <c r="CH80" t="s">
        <v>93</v>
      </c>
      <c r="CI80">
        <v>100</v>
      </c>
      <c r="CJ80">
        <v>0</v>
      </c>
      <c r="CK80">
        <v>101.01</v>
      </c>
      <c r="CL80">
        <v>4.7699999999999996</v>
      </c>
    </row>
    <row r="81" spans="1:90" x14ac:dyDescent="0.25">
      <c r="A81">
        <v>170</v>
      </c>
      <c r="B81" t="s">
        <v>178</v>
      </c>
      <c r="C81" t="s">
        <v>91</v>
      </c>
      <c r="D81" t="s">
        <v>96</v>
      </c>
      <c r="E81">
        <v>94.040999999999997</v>
      </c>
      <c r="F81">
        <v>5.5629999999999997</v>
      </c>
      <c r="G81">
        <v>40.023000000000003</v>
      </c>
      <c r="H81">
        <v>18</v>
      </c>
      <c r="I81">
        <v>77</v>
      </c>
      <c r="J81">
        <v>5</v>
      </c>
      <c r="K81">
        <v>9.3000000000000007</v>
      </c>
      <c r="L81">
        <v>34.049999999999997</v>
      </c>
      <c r="M81">
        <v>87</v>
      </c>
      <c r="N81">
        <v>15.638999999999999</v>
      </c>
      <c r="O81">
        <v>0.97</v>
      </c>
      <c r="P81">
        <v>2.7850000000000001</v>
      </c>
      <c r="Q81">
        <v>10.07</v>
      </c>
      <c r="R81">
        <v>18.361999999999998</v>
      </c>
      <c r="S81">
        <v>84.25</v>
      </c>
      <c r="T81">
        <v>1.7969999999999999</v>
      </c>
      <c r="U81">
        <v>1.544</v>
      </c>
      <c r="V81">
        <v>9.7850000000000001</v>
      </c>
      <c r="W81">
        <v>15.35</v>
      </c>
      <c r="X81">
        <v>21.257000000000001</v>
      </c>
      <c r="Y81">
        <v>4.1360000000000001</v>
      </c>
      <c r="Z81">
        <v>0.27700000000000002</v>
      </c>
      <c r="AA81">
        <v>0.63</v>
      </c>
      <c r="AB81">
        <v>0.26100000000000001</v>
      </c>
      <c r="AC81">
        <v>1.901</v>
      </c>
      <c r="AD81">
        <v>1.6E-2</v>
      </c>
      <c r="AE81">
        <v>6.5000000000000002E-2</v>
      </c>
      <c r="AF81">
        <v>0.318</v>
      </c>
      <c r="AG81">
        <v>13.659000000000001</v>
      </c>
      <c r="AH81">
        <v>130.95599999999999</v>
      </c>
      <c r="AI81">
        <v>31.483000000000001</v>
      </c>
      <c r="AJ81">
        <v>46.000999999999998</v>
      </c>
      <c r="AK81">
        <v>3.004</v>
      </c>
      <c r="AL81">
        <v>6.9000000000000006E-2</v>
      </c>
      <c r="AM81">
        <v>0</v>
      </c>
      <c r="AN81">
        <v>0</v>
      </c>
      <c r="AO81">
        <v>0.3</v>
      </c>
      <c r="AP81">
        <v>7.25</v>
      </c>
      <c r="AQ81">
        <v>2.6110000000000002</v>
      </c>
      <c r="AR81">
        <v>4.5279999999999996</v>
      </c>
      <c r="AS81">
        <v>7.5830000000000002</v>
      </c>
      <c r="AT81">
        <v>6.1390000000000002</v>
      </c>
      <c r="AU81">
        <v>1.333</v>
      </c>
      <c r="AV81">
        <v>5.0279999999999996</v>
      </c>
      <c r="AW81">
        <v>3.8889999999999998</v>
      </c>
      <c r="AX81">
        <v>1.333</v>
      </c>
      <c r="AY81">
        <v>4.7220000000000004</v>
      </c>
      <c r="AZ81">
        <v>2E-3</v>
      </c>
      <c r="BA81">
        <v>0.108</v>
      </c>
      <c r="BB81">
        <v>11.795</v>
      </c>
      <c r="BC81">
        <v>7.4999999999999997E-2</v>
      </c>
      <c r="BD81">
        <v>4.3010000000000002</v>
      </c>
      <c r="BE81">
        <v>0</v>
      </c>
      <c r="BF81">
        <v>23.581</v>
      </c>
      <c r="BG81">
        <v>52.363</v>
      </c>
      <c r="BH81">
        <v>6.99</v>
      </c>
      <c r="BI81">
        <v>0.78500000000000003</v>
      </c>
      <c r="BJ81">
        <v>0</v>
      </c>
      <c r="BK81">
        <v>91</v>
      </c>
      <c r="BL81">
        <v>73</v>
      </c>
      <c r="BM81">
        <v>7</v>
      </c>
      <c r="BN81">
        <v>93</v>
      </c>
      <c r="BO81">
        <v>0</v>
      </c>
      <c r="BP81">
        <v>0</v>
      </c>
      <c r="BQ81">
        <v>0</v>
      </c>
      <c r="BR81">
        <v>0</v>
      </c>
      <c r="BS81">
        <v>0</v>
      </c>
      <c r="BT81">
        <v>0</v>
      </c>
      <c r="BU81">
        <v>0</v>
      </c>
      <c r="BV81">
        <v>0.6</v>
      </c>
      <c r="BW81">
        <v>0.69099999999999995</v>
      </c>
      <c r="BX81">
        <v>1</v>
      </c>
      <c r="BY81">
        <v>0.92</v>
      </c>
      <c r="BZ81">
        <v>1</v>
      </c>
      <c r="CA81">
        <v>0.05</v>
      </c>
      <c r="CB81">
        <v>0.1</v>
      </c>
      <c r="CC81">
        <v>0.31</v>
      </c>
      <c r="CD81">
        <v>4.0000000000000001E-3</v>
      </c>
      <c r="CE81">
        <v>0.2</v>
      </c>
      <c r="CF81" t="b">
        <v>0</v>
      </c>
      <c r="CG81" t="b">
        <v>1</v>
      </c>
      <c r="CH81" t="s">
        <v>93</v>
      </c>
      <c r="CI81">
        <v>100</v>
      </c>
      <c r="CJ81">
        <v>0</v>
      </c>
      <c r="CK81">
        <v>99.2</v>
      </c>
      <c r="CL81">
        <v>4.75</v>
      </c>
    </row>
    <row r="82" spans="1:90" x14ac:dyDescent="0.25">
      <c r="A82">
        <v>176</v>
      </c>
      <c r="B82" t="s">
        <v>179</v>
      </c>
      <c r="C82" t="s">
        <v>109</v>
      </c>
      <c r="D82" t="s">
        <v>92</v>
      </c>
      <c r="E82">
        <v>31.471</v>
      </c>
      <c r="F82">
        <v>10.601000000000001</v>
      </c>
      <c r="G82">
        <v>9.5380000000000003</v>
      </c>
      <c r="H82">
        <v>38</v>
      </c>
      <c r="I82">
        <v>30</v>
      </c>
      <c r="J82">
        <v>32</v>
      </c>
      <c r="K82">
        <v>3.7</v>
      </c>
      <c r="L82">
        <v>51.481000000000002</v>
      </c>
      <c r="M82">
        <v>55</v>
      </c>
      <c r="N82">
        <v>49.313000000000002</v>
      </c>
      <c r="O82">
        <v>0.999</v>
      </c>
      <c r="P82">
        <v>2.2549999999999999</v>
      </c>
      <c r="Q82">
        <v>43.844999999999999</v>
      </c>
      <c r="R82">
        <v>66.617000000000004</v>
      </c>
      <c r="S82">
        <v>61</v>
      </c>
      <c r="T82">
        <v>6.3419999999999996</v>
      </c>
      <c r="U82">
        <v>2.149</v>
      </c>
      <c r="V82">
        <v>4.0069999999999997</v>
      </c>
      <c r="W82">
        <v>1.528</v>
      </c>
      <c r="X82">
        <v>2.6920000000000002</v>
      </c>
      <c r="Y82">
        <v>2.157</v>
      </c>
      <c r="Z82">
        <v>0.44600000000000001</v>
      </c>
      <c r="AA82">
        <v>0.26600000000000001</v>
      </c>
      <c r="AB82">
        <v>0.253</v>
      </c>
      <c r="AC82">
        <v>2.4009999999999998</v>
      </c>
      <c r="AD82">
        <v>2.5999999999999999E-2</v>
      </c>
      <c r="AE82">
        <v>0.85</v>
      </c>
      <c r="AF82">
        <v>0.161</v>
      </c>
      <c r="AG82">
        <v>10.294</v>
      </c>
      <c r="AH82">
        <v>564.06100000000004</v>
      </c>
      <c r="AI82">
        <v>66.47</v>
      </c>
      <c r="AJ82">
        <v>37.043999999999997</v>
      </c>
      <c r="AK82">
        <v>1.286</v>
      </c>
      <c r="AL82">
        <v>0</v>
      </c>
      <c r="AM82">
        <v>0</v>
      </c>
      <c r="AN82">
        <v>0</v>
      </c>
      <c r="AO82">
        <v>0</v>
      </c>
      <c r="AP82">
        <v>3.06</v>
      </c>
      <c r="AQ82">
        <v>1.66</v>
      </c>
      <c r="AR82">
        <v>3.57</v>
      </c>
      <c r="AS82">
        <v>6.12</v>
      </c>
      <c r="AT82">
        <v>3.28</v>
      </c>
      <c r="AU82">
        <v>1.21</v>
      </c>
      <c r="AV82">
        <v>4.37</v>
      </c>
      <c r="AW82">
        <v>3.34</v>
      </c>
      <c r="AX82">
        <v>1.07</v>
      </c>
      <c r="AY82">
        <v>4.8899999999999997</v>
      </c>
      <c r="AZ82">
        <v>2.859</v>
      </c>
      <c r="BA82">
        <v>0.88900000000000001</v>
      </c>
      <c r="BB82">
        <v>20.643999999999998</v>
      </c>
      <c r="BC82">
        <v>0.434</v>
      </c>
      <c r="BD82">
        <v>2.4209999999999998</v>
      </c>
      <c r="BF82">
        <v>10.179</v>
      </c>
      <c r="BG82">
        <v>30.364999999999998</v>
      </c>
      <c r="BH82">
        <v>25.53</v>
      </c>
      <c r="BI82">
        <v>6.6790000000000003</v>
      </c>
      <c r="BJ82">
        <v>0</v>
      </c>
      <c r="BK82">
        <v>91</v>
      </c>
      <c r="BL82">
        <v>73</v>
      </c>
      <c r="BM82">
        <v>67</v>
      </c>
      <c r="BN82">
        <v>33</v>
      </c>
      <c r="BO82">
        <v>0</v>
      </c>
      <c r="BP82">
        <v>0</v>
      </c>
      <c r="BQ82">
        <v>0</v>
      </c>
      <c r="BR82">
        <v>0</v>
      </c>
      <c r="BS82">
        <v>0</v>
      </c>
      <c r="BT82">
        <v>0</v>
      </c>
      <c r="BU82">
        <v>0</v>
      </c>
      <c r="BV82">
        <v>0.4</v>
      </c>
      <c r="BW82">
        <v>0.78700000000000003</v>
      </c>
      <c r="BX82">
        <v>1</v>
      </c>
      <c r="BY82">
        <v>0.92</v>
      </c>
      <c r="BZ82">
        <v>1</v>
      </c>
      <c r="CA82">
        <v>0.05</v>
      </c>
      <c r="CB82">
        <v>0.1</v>
      </c>
      <c r="CC82">
        <v>0.31</v>
      </c>
      <c r="CD82">
        <v>4.0000000000000001E-3</v>
      </c>
      <c r="CE82">
        <v>0.2</v>
      </c>
      <c r="CF82" t="b">
        <v>0</v>
      </c>
      <c r="CG82" t="b">
        <v>1</v>
      </c>
      <c r="CH82" t="s">
        <v>93</v>
      </c>
      <c r="CI82">
        <v>100</v>
      </c>
      <c r="CJ82">
        <v>0</v>
      </c>
      <c r="CK82">
        <v>54.7</v>
      </c>
      <c r="CL82">
        <v>2.41</v>
      </c>
    </row>
    <row r="83" spans="1:90" x14ac:dyDescent="0.25">
      <c r="A83">
        <v>181</v>
      </c>
      <c r="B83" t="s">
        <v>180</v>
      </c>
      <c r="C83" t="s">
        <v>95</v>
      </c>
      <c r="D83" t="s">
        <v>96</v>
      </c>
      <c r="E83">
        <v>90.24</v>
      </c>
      <c r="F83">
        <v>7.3529999999999998</v>
      </c>
      <c r="G83">
        <v>37.01</v>
      </c>
      <c r="H83">
        <v>42</v>
      </c>
      <c r="I83">
        <v>53</v>
      </c>
      <c r="J83">
        <v>5</v>
      </c>
      <c r="K83">
        <v>29.2</v>
      </c>
      <c r="L83">
        <v>15.808999999999999</v>
      </c>
      <c r="M83">
        <v>90</v>
      </c>
      <c r="N83">
        <v>27.332999999999998</v>
      </c>
      <c r="O83">
        <v>1.6439999999999999</v>
      </c>
      <c r="P83">
        <v>2.3610000000000002</v>
      </c>
      <c r="Q83">
        <v>29.027999999999999</v>
      </c>
      <c r="R83">
        <v>40.195</v>
      </c>
      <c r="S83">
        <v>36.5</v>
      </c>
      <c r="T83">
        <v>9.0709999999999997</v>
      </c>
      <c r="U83">
        <v>1.1120000000000001</v>
      </c>
      <c r="V83">
        <v>9.218</v>
      </c>
      <c r="W83">
        <v>1.02</v>
      </c>
      <c r="X83">
        <v>2.202</v>
      </c>
      <c r="Y83">
        <v>2.9830000000000001</v>
      </c>
      <c r="Z83">
        <v>0.46200000000000002</v>
      </c>
      <c r="AA83">
        <v>1.127</v>
      </c>
      <c r="AB83">
        <v>0.60099999999999998</v>
      </c>
      <c r="AC83">
        <v>1.615</v>
      </c>
      <c r="AD83">
        <v>3.7999999999999999E-2</v>
      </c>
      <c r="AE83">
        <v>0.152</v>
      </c>
      <c r="AF83">
        <v>0.44700000000000001</v>
      </c>
      <c r="AG83">
        <v>32.866</v>
      </c>
      <c r="AH83">
        <v>274.99299999999999</v>
      </c>
      <c r="AI83">
        <v>48.317999999999998</v>
      </c>
      <c r="AJ83">
        <v>83.774000000000001</v>
      </c>
      <c r="AK83">
        <v>1.135</v>
      </c>
      <c r="AL83">
        <v>0</v>
      </c>
      <c r="AM83">
        <v>0</v>
      </c>
      <c r="AN83">
        <v>0</v>
      </c>
      <c r="AO83">
        <v>0.5</v>
      </c>
      <c r="AP83">
        <v>8.0310000000000006</v>
      </c>
      <c r="AQ83">
        <v>2.4369999999999998</v>
      </c>
      <c r="AR83">
        <v>4</v>
      </c>
      <c r="AS83">
        <v>6.2190000000000003</v>
      </c>
      <c r="AT83">
        <v>3.5</v>
      </c>
      <c r="AU83">
        <v>2.1880000000000002</v>
      </c>
      <c r="AV83">
        <v>4.5</v>
      </c>
      <c r="AW83">
        <v>3.625</v>
      </c>
      <c r="AX83">
        <v>1.2809999999999999</v>
      </c>
      <c r="AY83">
        <v>4.8440000000000003</v>
      </c>
      <c r="AZ83">
        <v>0</v>
      </c>
      <c r="BA83">
        <v>0.755</v>
      </c>
      <c r="BB83">
        <v>11.590999999999999</v>
      </c>
      <c r="BC83">
        <v>0</v>
      </c>
      <c r="BD83">
        <v>4.37</v>
      </c>
      <c r="BE83">
        <v>0</v>
      </c>
      <c r="BF83">
        <v>41.93</v>
      </c>
      <c r="BG83">
        <v>38.713999999999999</v>
      </c>
      <c r="BH83">
        <v>0.58799999999999997</v>
      </c>
      <c r="BI83">
        <v>2.052</v>
      </c>
      <c r="BJ83">
        <v>0</v>
      </c>
      <c r="BK83">
        <v>91</v>
      </c>
      <c r="BL83">
        <v>73</v>
      </c>
      <c r="BM83">
        <v>0</v>
      </c>
      <c r="BN83">
        <v>100</v>
      </c>
      <c r="BO83">
        <v>0</v>
      </c>
      <c r="BP83">
        <v>0</v>
      </c>
      <c r="BQ83">
        <v>0</v>
      </c>
      <c r="BR83">
        <v>0</v>
      </c>
      <c r="BS83">
        <v>0</v>
      </c>
      <c r="BT83">
        <v>0</v>
      </c>
      <c r="BU83">
        <v>0</v>
      </c>
      <c r="BV83">
        <v>0.6</v>
      </c>
      <c r="BW83">
        <v>0.68</v>
      </c>
      <c r="BX83">
        <v>1</v>
      </c>
      <c r="BY83">
        <v>0.92</v>
      </c>
      <c r="BZ83">
        <v>1</v>
      </c>
      <c r="CA83">
        <v>0.05</v>
      </c>
      <c r="CB83">
        <v>0.1</v>
      </c>
      <c r="CC83">
        <v>0.31</v>
      </c>
      <c r="CD83">
        <v>4.0000000000000001E-3</v>
      </c>
      <c r="CE83">
        <v>0.2</v>
      </c>
      <c r="CF83" t="b">
        <v>0</v>
      </c>
      <c r="CG83" t="b">
        <v>1</v>
      </c>
      <c r="CH83" t="s">
        <v>93</v>
      </c>
      <c r="CI83">
        <v>100</v>
      </c>
      <c r="CJ83">
        <v>0</v>
      </c>
      <c r="CK83">
        <v>59.88</v>
      </c>
      <c r="CL83">
        <v>2.9</v>
      </c>
    </row>
    <row r="84" spans="1:90" x14ac:dyDescent="0.25">
      <c r="A84">
        <v>182</v>
      </c>
      <c r="B84" t="s">
        <v>181</v>
      </c>
      <c r="C84" t="s">
        <v>95</v>
      </c>
      <c r="D84" t="s">
        <v>96</v>
      </c>
      <c r="E84">
        <v>92.715999999999994</v>
      </c>
      <c r="F84">
        <v>3.4710000000000001</v>
      </c>
      <c r="G84">
        <v>20.07</v>
      </c>
      <c r="H84">
        <v>66</v>
      </c>
      <c r="I84">
        <v>32</v>
      </c>
      <c r="J84">
        <v>2</v>
      </c>
      <c r="K84">
        <v>17</v>
      </c>
      <c r="L84">
        <v>13.811999999999999</v>
      </c>
      <c r="M84">
        <v>80</v>
      </c>
      <c r="N84">
        <v>50.5</v>
      </c>
      <c r="O84">
        <v>0.83899999999999997</v>
      </c>
      <c r="P84">
        <v>1.7070000000000001</v>
      </c>
      <c r="Q84">
        <v>24.379000000000001</v>
      </c>
      <c r="R84">
        <v>35.195999999999998</v>
      </c>
      <c r="S84">
        <v>15</v>
      </c>
      <c r="T84">
        <v>7.2119999999999997</v>
      </c>
      <c r="U84">
        <v>0.61399999999999999</v>
      </c>
      <c r="V84">
        <v>4</v>
      </c>
      <c r="W84">
        <v>37.200000000000003</v>
      </c>
      <c r="X84">
        <v>39.003</v>
      </c>
      <c r="Y84">
        <v>4.149</v>
      </c>
      <c r="Z84">
        <v>0.20300000000000001</v>
      </c>
      <c r="AA84">
        <v>0.72699999999999998</v>
      </c>
      <c r="AB84">
        <v>0.38700000000000001</v>
      </c>
      <c r="AC84">
        <v>0.97799999999999998</v>
      </c>
      <c r="AD84">
        <v>1.0999999999999999E-2</v>
      </c>
      <c r="AE84">
        <v>9.9000000000000005E-2</v>
      </c>
      <c r="AF84">
        <v>0.255</v>
      </c>
      <c r="AG84">
        <v>20.105</v>
      </c>
      <c r="AH84">
        <v>104.211</v>
      </c>
      <c r="AI84">
        <v>29.684000000000001</v>
      </c>
      <c r="AJ84">
        <v>56.262999999999998</v>
      </c>
      <c r="AK84">
        <v>1</v>
      </c>
      <c r="AL84">
        <v>0</v>
      </c>
      <c r="AM84">
        <v>0</v>
      </c>
      <c r="AN84">
        <v>0</v>
      </c>
      <c r="AO84">
        <v>0</v>
      </c>
      <c r="AP84">
        <v>7.9859999999999998</v>
      </c>
      <c r="AQ84">
        <v>2.4910000000000001</v>
      </c>
      <c r="AR84">
        <v>3.907</v>
      </c>
      <c r="AS84">
        <v>6.1219999999999999</v>
      </c>
      <c r="AT84">
        <v>3.702</v>
      </c>
      <c r="AU84">
        <v>2.1280000000000001</v>
      </c>
      <c r="AV84">
        <v>4.4740000000000002</v>
      </c>
      <c r="AW84">
        <v>3.589</v>
      </c>
      <c r="AX84">
        <v>1.409</v>
      </c>
      <c r="AY84">
        <v>4.7850000000000001</v>
      </c>
      <c r="AZ84">
        <v>0</v>
      </c>
      <c r="BA84">
        <v>0.1</v>
      </c>
      <c r="BB84">
        <v>5.2</v>
      </c>
      <c r="BC84">
        <v>0.1</v>
      </c>
      <c r="BD84">
        <v>4.0999999999999996</v>
      </c>
      <c r="BE84">
        <v>0</v>
      </c>
      <c r="BF84">
        <v>39.4</v>
      </c>
      <c r="BG84">
        <v>47.9</v>
      </c>
      <c r="BH84">
        <v>0.4</v>
      </c>
      <c r="BI84">
        <v>2.8</v>
      </c>
      <c r="BJ84">
        <v>0</v>
      </c>
      <c r="BK84">
        <v>91</v>
      </c>
      <c r="BL84">
        <v>73</v>
      </c>
      <c r="BM84">
        <v>0</v>
      </c>
      <c r="BN84">
        <v>100</v>
      </c>
      <c r="BO84">
        <v>0</v>
      </c>
      <c r="BP84">
        <v>0</v>
      </c>
      <c r="BQ84">
        <v>0</v>
      </c>
      <c r="BR84">
        <v>0</v>
      </c>
      <c r="BS84">
        <v>0</v>
      </c>
      <c r="BT84">
        <v>0</v>
      </c>
      <c r="BU84">
        <v>0</v>
      </c>
      <c r="BV84">
        <v>0.6</v>
      </c>
      <c r="BW84">
        <v>0.68</v>
      </c>
      <c r="BX84">
        <v>1</v>
      </c>
      <c r="BY84">
        <v>0.92</v>
      </c>
      <c r="BZ84">
        <v>1</v>
      </c>
      <c r="CA84">
        <v>0.05</v>
      </c>
      <c r="CB84">
        <v>0.1</v>
      </c>
      <c r="CC84">
        <v>0.31</v>
      </c>
      <c r="CD84">
        <v>4.0000000000000001E-3</v>
      </c>
      <c r="CE84">
        <v>0.2</v>
      </c>
      <c r="CF84" t="b">
        <v>0</v>
      </c>
      <c r="CG84" t="b">
        <v>1</v>
      </c>
      <c r="CH84" t="s">
        <v>93</v>
      </c>
      <c r="CI84">
        <v>100</v>
      </c>
      <c r="CJ84">
        <v>0</v>
      </c>
      <c r="CK84">
        <v>122.34</v>
      </c>
      <c r="CL84">
        <v>5.37</v>
      </c>
    </row>
    <row r="85" spans="1:90" x14ac:dyDescent="0.25">
      <c r="A85">
        <v>186</v>
      </c>
      <c r="B85" t="s">
        <v>182</v>
      </c>
      <c r="C85" t="s">
        <v>95</v>
      </c>
      <c r="D85" t="s">
        <v>96</v>
      </c>
      <c r="E85">
        <v>24.7</v>
      </c>
      <c r="F85">
        <v>5.5</v>
      </c>
      <c r="G85">
        <v>19.3</v>
      </c>
      <c r="H85">
        <v>42</v>
      </c>
      <c r="I85">
        <v>53</v>
      </c>
      <c r="J85">
        <v>5</v>
      </c>
      <c r="K85">
        <v>7.4</v>
      </c>
      <c r="L85">
        <v>29.766999999999999</v>
      </c>
      <c r="M85">
        <v>80</v>
      </c>
      <c r="N85">
        <v>38</v>
      </c>
      <c r="O85">
        <v>3.8</v>
      </c>
      <c r="P85">
        <v>8</v>
      </c>
      <c r="Q85">
        <v>47.6</v>
      </c>
      <c r="R85">
        <v>60</v>
      </c>
      <c r="S85">
        <v>70</v>
      </c>
      <c r="T85">
        <v>13.3</v>
      </c>
      <c r="U85">
        <v>1.19</v>
      </c>
      <c r="V85">
        <v>13</v>
      </c>
      <c r="W85">
        <v>12.3</v>
      </c>
      <c r="X85">
        <v>13.3</v>
      </c>
      <c r="Y85">
        <v>2.6219999999999999</v>
      </c>
      <c r="Z85">
        <v>0.22</v>
      </c>
      <c r="AA85">
        <v>0.47</v>
      </c>
      <c r="AB85">
        <v>0.28000000000000003</v>
      </c>
      <c r="AC85">
        <v>0.98</v>
      </c>
      <c r="AD85">
        <v>0.12</v>
      </c>
      <c r="AE85">
        <v>1</v>
      </c>
      <c r="AF85">
        <v>0.15</v>
      </c>
      <c r="AG85">
        <v>11</v>
      </c>
      <c r="AH85">
        <v>541</v>
      </c>
      <c r="AI85">
        <v>11</v>
      </c>
      <c r="AJ85">
        <v>54</v>
      </c>
      <c r="AK85">
        <v>1.8</v>
      </c>
      <c r="AL85">
        <v>0</v>
      </c>
      <c r="AM85">
        <v>0</v>
      </c>
      <c r="AN85">
        <v>0</v>
      </c>
      <c r="AO85">
        <v>0</v>
      </c>
      <c r="AP85">
        <v>11.5</v>
      </c>
      <c r="AQ85">
        <v>3.9</v>
      </c>
      <c r="AR85">
        <v>4.0999999999999996</v>
      </c>
      <c r="AS85">
        <v>7.1</v>
      </c>
      <c r="AT85">
        <v>8</v>
      </c>
      <c r="AU85">
        <v>2.2999999999999998</v>
      </c>
      <c r="AV85">
        <v>5.8</v>
      </c>
      <c r="AW85">
        <v>3.3</v>
      </c>
      <c r="AX85">
        <v>0</v>
      </c>
      <c r="AY85">
        <v>4.4000000000000004</v>
      </c>
      <c r="AZ85">
        <v>0</v>
      </c>
      <c r="BA85">
        <v>0</v>
      </c>
      <c r="BB85">
        <v>0</v>
      </c>
      <c r="BC85">
        <v>0</v>
      </c>
      <c r="BD85">
        <v>0</v>
      </c>
      <c r="BE85">
        <v>0</v>
      </c>
      <c r="BF85">
        <v>0</v>
      </c>
      <c r="BG85">
        <v>0</v>
      </c>
      <c r="BH85">
        <v>0</v>
      </c>
      <c r="BI85">
        <v>0</v>
      </c>
      <c r="BJ85">
        <v>0</v>
      </c>
      <c r="BK85">
        <v>91</v>
      </c>
      <c r="BL85">
        <v>73</v>
      </c>
      <c r="BM85">
        <v>28</v>
      </c>
      <c r="BN85">
        <v>72</v>
      </c>
      <c r="BO85">
        <v>0</v>
      </c>
      <c r="BP85">
        <v>0</v>
      </c>
      <c r="BQ85">
        <v>0</v>
      </c>
      <c r="BR85">
        <v>0</v>
      </c>
      <c r="BS85">
        <v>0</v>
      </c>
      <c r="BT85">
        <v>0</v>
      </c>
      <c r="BU85">
        <v>0</v>
      </c>
      <c r="BV85">
        <v>0.6</v>
      </c>
      <c r="BW85">
        <v>0.72499999999999998</v>
      </c>
      <c r="BX85">
        <v>1</v>
      </c>
      <c r="BY85">
        <v>0.92</v>
      </c>
      <c r="BZ85">
        <v>1</v>
      </c>
      <c r="CA85">
        <v>0.05</v>
      </c>
      <c r="CB85">
        <v>0.1</v>
      </c>
      <c r="CC85">
        <v>0.31</v>
      </c>
      <c r="CD85">
        <v>4.0000000000000001E-3</v>
      </c>
      <c r="CE85">
        <v>0.2</v>
      </c>
      <c r="CF85" t="b">
        <v>0</v>
      </c>
      <c r="CG85" t="b">
        <v>1</v>
      </c>
      <c r="CH85" t="s">
        <v>93</v>
      </c>
      <c r="CI85">
        <v>100</v>
      </c>
      <c r="CJ85">
        <v>0</v>
      </c>
      <c r="CK85">
        <v>65.489999999999995</v>
      </c>
      <c r="CL85">
        <v>2.99</v>
      </c>
    </row>
    <row r="86" spans="1:90" x14ac:dyDescent="0.25">
      <c r="A86">
        <v>187</v>
      </c>
      <c r="B86" t="s">
        <v>183</v>
      </c>
      <c r="C86" t="s">
        <v>106</v>
      </c>
      <c r="D86" t="s">
        <v>92</v>
      </c>
      <c r="E86">
        <v>30.141999999999999</v>
      </c>
      <c r="F86">
        <v>10.065</v>
      </c>
      <c r="G86">
        <v>14.16</v>
      </c>
      <c r="H86">
        <v>56</v>
      </c>
      <c r="I86">
        <v>33</v>
      </c>
      <c r="J86">
        <v>11</v>
      </c>
      <c r="K86">
        <v>5.9</v>
      </c>
      <c r="L86">
        <v>29.507999999999999</v>
      </c>
      <c r="M86">
        <v>65</v>
      </c>
      <c r="N86">
        <v>62.655000000000001</v>
      </c>
      <c r="O86">
        <v>0.80600000000000005</v>
      </c>
      <c r="P86">
        <v>1.69</v>
      </c>
      <c r="Q86">
        <v>37.164000000000001</v>
      </c>
      <c r="R86">
        <v>58.59</v>
      </c>
      <c r="S86">
        <v>58.453000000000003</v>
      </c>
      <c r="T86">
        <v>4.335</v>
      </c>
      <c r="U86">
        <v>1.7030000000000001</v>
      </c>
      <c r="V86">
        <v>10.061</v>
      </c>
      <c r="W86">
        <v>2.4750000000000001</v>
      </c>
      <c r="X86">
        <v>3.468</v>
      </c>
      <c r="Y86">
        <v>2.548</v>
      </c>
      <c r="Z86">
        <v>0.38400000000000001</v>
      </c>
      <c r="AA86">
        <v>0.33700000000000002</v>
      </c>
      <c r="AB86">
        <v>0.17199999999999999</v>
      </c>
      <c r="AC86">
        <v>2.823</v>
      </c>
      <c r="AD86">
        <v>5.0999999999999997E-2</v>
      </c>
      <c r="AE86">
        <v>0.86299999999999999</v>
      </c>
      <c r="AF86">
        <v>0.19600000000000001</v>
      </c>
      <c r="AG86">
        <v>8.9130000000000003</v>
      </c>
      <c r="AH86">
        <v>455.42200000000003</v>
      </c>
      <c r="AI86">
        <v>47.686999999999998</v>
      </c>
      <c r="AJ86">
        <v>35.402000000000001</v>
      </c>
      <c r="AK86">
        <v>1.4590000000000001</v>
      </c>
      <c r="AL86">
        <v>0</v>
      </c>
      <c r="AM86">
        <v>0</v>
      </c>
      <c r="AN86">
        <v>0</v>
      </c>
      <c r="AO86">
        <v>0</v>
      </c>
      <c r="AP86">
        <v>3.84</v>
      </c>
      <c r="AQ86">
        <v>2.5299999999999998</v>
      </c>
      <c r="AR86">
        <v>3.04</v>
      </c>
      <c r="AS86">
        <v>5.86</v>
      </c>
      <c r="AT86">
        <v>1.83</v>
      </c>
      <c r="AU86">
        <v>1.31</v>
      </c>
      <c r="AV86">
        <v>4.78</v>
      </c>
      <c r="AW86">
        <v>2.14</v>
      </c>
      <c r="AX86">
        <v>1.03</v>
      </c>
      <c r="AY86">
        <v>3.68</v>
      </c>
      <c r="AZ86">
        <v>1.123</v>
      </c>
      <c r="BA86">
        <v>0.42299999999999999</v>
      </c>
      <c r="BB86">
        <v>11.416</v>
      </c>
      <c r="BC86">
        <v>2.2320000000000002</v>
      </c>
      <c r="BD86">
        <v>0.91800000000000004</v>
      </c>
      <c r="BE86">
        <v>0</v>
      </c>
      <c r="BF86">
        <v>1.488</v>
      </c>
      <c r="BG86">
        <v>14.526999999999999</v>
      </c>
      <c r="BH86">
        <v>62.817</v>
      </c>
      <c r="BI86">
        <v>5.056</v>
      </c>
      <c r="BJ86">
        <v>0</v>
      </c>
      <c r="BK86">
        <v>91</v>
      </c>
      <c r="BL86">
        <v>73</v>
      </c>
      <c r="BM86">
        <v>67</v>
      </c>
      <c r="BN86">
        <v>33</v>
      </c>
      <c r="BO86">
        <v>0</v>
      </c>
      <c r="BP86">
        <v>0</v>
      </c>
      <c r="BQ86">
        <v>0</v>
      </c>
      <c r="BR86">
        <v>0</v>
      </c>
      <c r="BS86">
        <v>0</v>
      </c>
      <c r="BT86">
        <v>0</v>
      </c>
      <c r="BU86">
        <v>0</v>
      </c>
      <c r="BV86">
        <v>0.4</v>
      </c>
      <c r="BW86">
        <v>0.78700000000000003</v>
      </c>
      <c r="BX86">
        <v>1</v>
      </c>
      <c r="BY86">
        <v>0.92</v>
      </c>
      <c r="BZ86">
        <v>1</v>
      </c>
      <c r="CA86">
        <v>0.05</v>
      </c>
      <c r="CB86">
        <v>0.1</v>
      </c>
      <c r="CC86">
        <v>0.31</v>
      </c>
      <c r="CD86">
        <v>4.0000000000000001E-3</v>
      </c>
      <c r="CE86">
        <v>0.2</v>
      </c>
      <c r="CF86" t="b">
        <v>0</v>
      </c>
      <c r="CG86" t="b">
        <v>1</v>
      </c>
      <c r="CH86" t="s">
        <v>93</v>
      </c>
      <c r="CI86">
        <v>100</v>
      </c>
      <c r="CJ86">
        <v>0</v>
      </c>
      <c r="CK86">
        <v>57.23</v>
      </c>
      <c r="CL86">
        <v>2.57</v>
      </c>
    </row>
    <row r="87" spans="1:90" x14ac:dyDescent="0.25">
      <c r="A87">
        <v>193</v>
      </c>
      <c r="B87" t="s">
        <v>184</v>
      </c>
      <c r="C87" t="s">
        <v>95</v>
      </c>
      <c r="D87" t="s">
        <v>96</v>
      </c>
      <c r="E87">
        <v>90.094999999999999</v>
      </c>
      <c r="F87">
        <v>5.4850000000000003</v>
      </c>
      <c r="G87">
        <v>17.402999999999999</v>
      </c>
      <c r="H87">
        <v>43</v>
      </c>
      <c r="I87">
        <v>51</v>
      </c>
      <c r="J87">
        <v>6</v>
      </c>
      <c r="K87">
        <v>24.233000000000001</v>
      </c>
      <c r="L87">
        <v>17.882000000000001</v>
      </c>
      <c r="M87">
        <v>69.182000000000002</v>
      </c>
      <c r="N87">
        <v>39.950000000000003</v>
      </c>
      <c r="O87">
        <v>0.60899999999999999</v>
      </c>
      <c r="P87">
        <v>3.1</v>
      </c>
      <c r="Q87">
        <v>13.815</v>
      </c>
      <c r="R87">
        <v>40.085000000000001</v>
      </c>
      <c r="S87">
        <v>43.332999999999998</v>
      </c>
      <c r="T87">
        <v>4.1509999999999998</v>
      </c>
      <c r="U87">
        <v>20.803999999999998</v>
      </c>
      <c r="V87">
        <v>8.0210000000000008</v>
      </c>
      <c r="W87">
        <v>4.0199999999999996</v>
      </c>
      <c r="X87">
        <v>4.3869999999999996</v>
      </c>
      <c r="Y87">
        <v>3.048</v>
      </c>
      <c r="Z87">
        <v>0.13200000000000001</v>
      </c>
      <c r="AA87">
        <v>1.0549999999999999</v>
      </c>
      <c r="AB87">
        <v>0.42899999999999999</v>
      </c>
      <c r="AC87">
        <v>1.2210000000000001</v>
      </c>
      <c r="AD87">
        <v>3.1E-2</v>
      </c>
      <c r="AE87">
        <v>0.109</v>
      </c>
      <c r="AF87">
        <v>0.191</v>
      </c>
      <c r="AG87">
        <v>10.756</v>
      </c>
      <c r="AH87">
        <v>163.089</v>
      </c>
      <c r="AI87">
        <v>132.64099999999999</v>
      </c>
      <c r="AJ87">
        <v>76.582999999999998</v>
      </c>
      <c r="AK87">
        <v>1.37</v>
      </c>
      <c r="AL87">
        <v>0</v>
      </c>
      <c r="AM87">
        <v>0</v>
      </c>
      <c r="AN87">
        <v>0</v>
      </c>
      <c r="AO87">
        <v>0.5</v>
      </c>
      <c r="AP87">
        <v>6.9379999999999997</v>
      </c>
      <c r="AQ87">
        <v>2.754</v>
      </c>
      <c r="AR87">
        <v>3.1880000000000002</v>
      </c>
      <c r="AS87">
        <v>6.2130000000000001</v>
      </c>
      <c r="AT87">
        <v>4.0510000000000002</v>
      </c>
      <c r="AU87">
        <v>1.456</v>
      </c>
      <c r="AV87">
        <v>3.9060000000000001</v>
      </c>
      <c r="AW87">
        <v>3.1880000000000002</v>
      </c>
      <c r="AX87">
        <v>1.84</v>
      </c>
      <c r="AY87">
        <v>4.8150000000000004</v>
      </c>
      <c r="AZ87">
        <v>0</v>
      </c>
      <c r="BA87">
        <v>9.9000000000000005E-2</v>
      </c>
      <c r="BB87">
        <v>17.053999999999998</v>
      </c>
      <c r="BC87">
        <v>0</v>
      </c>
      <c r="BD87">
        <v>1.0840000000000001</v>
      </c>
      <c r="BE87">
        <v>0</v>
      </c>
      <c r="BF87">
        <v>17.806999999999999</v>
      </c>
      <c r="BG87">
        <v>59.09</v>
      </c>
      <c r="BH87">
        <v>4.7309999999999999</v>
      </c>
      <c r="BI87">
        <v>0.13500000000000001</v>
      </c>
      <c r="BJ87">
        <v>0</v>
      </c>
      <c r="BK87">
        <v>91</v>
      </c>
      <c r="BL87">
        <v>73</v>
      </c>
      <c r="BM87">
        <v>5</v>
      </c>
      <c r="BN87">
        <v>95</v>
      </c>
      <c r="BO87">
        <v>0</v>
      </c>
      <c r="BP87">
        <v>0</v>
      </c>
      <c r="BQ87">
        <v>0</v>
      </c>
      <c r="BR87">
        <v>0</v>
      </c>
      <c r="BS87">
        <v>0</v>
      </c>
      <c r="BT87">
        <v>0</v>
      </c>
      <c r="BU87">
        <v>0</v>
      </c>
      <c r="BV87">
        <v>0.6</v>
      </c>
      <c r="BW87">
        <v>0.68799999999999994</v>
      </c>
      <c r="BX87">
        <v>1</v>
      </c>
      <c r="BY87">
        <v>0.92</v>
      </c>
      <c r="BZ87">
        <v>1</v>
      </c>
      <c r="CA87">
        <v>0.05</v>
      </c>
      <c r="CB87">
        <v>0.1</v>
      </c>
      <c r="CC87">
        <v>0.31</v>
      </c>
      <c r="CD87">
        <v>4.0000000000000001E-3</v>
      </c>
      <c r="CE87">
        <v>0.2</v>
      </c>
      <c r="CF87" t="b">
        <v>0</v>
      </c>
      <c r="CG87" t="b">
        <v>0</v>
      </c>
      <c r="CH87" t="s">
        <v>93</v>
      </c>
      <c r="CI87">
        <v>100</v>
      </c>
      <c r="CJ87">
        <v>0</v>
      </c>
      <c r="CK87">
        <v>71.53</v>
      </c>
      <c r="CL87">
        <v>3.23</v>
      </c>
    </row>
    <row r="88" spans="1:90" x14ac:dyDescent="0.25">
      <c r="A88">
        <v>194</v>
      </c>
      <c r="B88" t="s">
        <v>185</v>
      </c>
      <c r="C88" t="s">
        <v>103</v>
      </c>
      <c r="D88" t="s">
        <v>96</v>
      </c>
      <c r="E88">
        <v>85.688999999999993</v>
      </c>
      <c r="F88">
        <v>2.0640000000000001</v>
      </c>
      <c r="G88">
        <v>13.484999999999999</v>
      </c>
      <c r="H88">
        <v>31</v>
      </c>
      <c r="I88">
        <v>54</v>
      </c>
      <c r="J88">
        <v>15</v>
      </c>
      <c r="K88">
        <v>19.100000000000001</v>
      </c>
      <c r="L88">
        <v>28.686</v>
      </c>
      <c r="M88">
        <v>87.733999999999995</v>
      </c>
      <c r="N88">
        <v>28.401</v>
      </c>
      <c r="O88">
        <v>0.44800000000000001</v>
      </c>
      <c r="P88">
        <v>1.593</v>
      </c>
      <c r="Q88">
        <v>4.1929999999999996</v>
      </c>
      <c r="R88">
        <v>12.46</v>
      </c>
      <c r="S88">
        <v>55.713999999999999</v>
      </c>
      <c r="T88">
        <v>1.518</v>
      </c>
      <c r="U88">
        <v>63.011000000000003</v>
      </c>
      <c r="V88">
        <v>5.9169999999999998</v>
      </c>
      <c r="W88">
        <v>1.78</v>
      </c>
      <c r="X88">
        <v>1.976</v>
      </c>
      <c r="Y88">
        <v>3.5579999999999998</v>
      </c>
      <c r="Z88">
        <v>0.1</v>
      </c>
      <c r="AA88">
        <v>0.35899999999999999</v>
      </c>
      <c r="AB88">
        <v>0.13500000000000001</v>
      </c>
      <c r="AC88">
        <v>0.47299999999999998</v>
      </c>
      <c r="AD88">
        <v>1.0999999999999999E-2</v>
      </c>
      <c r="AE88">
        <v>0.126</v>
      </c>
      <c r="AF88">
        <v>0.14799999999999999</v>
      </c>
      <c r="AG88">
        <v>4.4530000000000003</v>
      </c>
      <c r="AH88">
        <v>71.061999999999998</v>
      </c>
      <c r="AI88">
        <v>42.594999999999999</v>
      </c>
      <c r="AJ88">
        <v>31.687999999999999</v>
      </c>
      <c r="AK88">
        <v>1</v>
      </c>
      <c r="AL88">
        <v>0.04</v>
      </c>
      <c r="AM88">
        <v>0</v>
      </c>
      <c r="AN88">
        <v>0</v>
      </c>
      <c r="AO88">
        <v>0.3</v>
      </c>
      <c r="AP88">
        <v>4.7939999999999996</v>
      </c>
      <c r="AQ88">
        <v>2.1539999999999999</v>
      </c>
      <c r="AR88">
        <v>3.4449999999999998</v>
      </c>
      <c r="AS88">
        <v>6.5369999999999999</v>
      </c>
      <c r="AT88">
        <v>2.7610000000000001</v>
      </c>
      <c r="AU88">
        <v>1.5369999999999999</v>
      </c>
      <c r="AV88">
        <v>4.4470000000000001</v>
      </c>
      <c r="AW88">
        <v>2.9460000000000002</v>
      </c>
      <c r="AX88">
        <v>1.357</v>
      </c>
      <c r="AY88">
        <v>4.444</v>
      </c>
      <c r="AZ88">
        <v>0</v>
      </c>
      <c r="BA88">
        <v>0.23300000000000001</v>
      </c>
      <c r="BB88">
        <v>19.504000000000001</v>
      </c>
      <c r="BC88">
        <v>0</v>
      </c>
      <c r="BD88">
        <v>1.081</v>
      </c>
      <c r="BE88">
        <v>0</v>
      </c>
      <c r="BF88">
        <v>14.656000000000001</v>
      </c>
      <c r="BG88">
        <v>60.201999999999998</v>
      </c>
      <c r="BH88">
        <v>4.3239999999999998</v>
      </c>
      <c r="BI88">
        <v>0</v>
      </c>
      <c r="BJ88">
        <v>0</v>
      </c>
      <c r="BK88">
        <v>93</v>
      </c>
      <c r="BL88">
        <v>73</v>
      </c>
      <c r="BM88">
        <v>15</v>
      </c>
      <c r="BN88">
        <v>85</v>
      </c>
      <c r="BO88">
        <v>0</v>
      </c>
      <c r="BP88">
        <v>0</v>
      </c>
      <c r="BQ88">
        <v>0</v>
      </c>
      <c r="BR88">
        <v>0</v>
      </c>
      <c r="BS88">
        <v>0</v>
      </c>
      <c r="BT88">
        <v>0</v>
      </c>
      <c r="BU88">
        <v>0</v>
      </c>
      <c r="BV88">
        <v>0.6</v>
      </c>
      <c r="BW88">
        <v>0.70399999999999996</v>
      </c>
      <c r="BX88">
        <v>1</v>
      </c>
      <c r="BY88">
        <v>0.92</v>
      </c>
      <c r="BZ88">
        <v>1</v>
      </c>
      <c r="CA88">
        <v>0.05</v>
      </c>
      <c r="CB88">
        <v>0.1</v>
      </c>
      <c r="CC88">
        <v>0.31</v>
      </c>
      <c r="CD88">
        <v>4.0000000000000001E-3</v>
      </c>
      <c r="CE88">
        <v>0.2</v>
      </c>
      <c r="CF88" t="b">
        <v>0</v>
      </c>
      <c r="CG88" t="b">
        <v>0</v>
      </c>
      <c r="CH88" t="s">
        <v>93</v>
      </c>
      <c r="CI88">
        <v>100</v>
      </c>
      <c r="CJ88">
        <v>0</v>
      </c>
      <c r="CK88">
        <v>86.61</v>
      </c>
      <c r="CL88">
        <v>3.83</v>
      </c>
    </row>
    <row r="89" spans="1:90" x14ac:dyDescent="0.25">
      <c r="A89">
        <v>195</v>
      </c>
      <c r="B89" t="s">
        <v>186</v>
      </c>
      <c r="C89" t="s">
        <v>106</v>
      </c>
      <c r="D89" t="s">
        <v>92</v>
      </c>
      <c r="E89">
        <v>90.591999999999999</v>
      </c>
      <c r="F89">
        <v>8.1189999999999998</v>
      </c>
      <c r="G89">
        <v>9.8770000000000007</v>
      </c>
      <c r="H89">
        <v>35</v>
      </c>
      <c r="I89">
        <v>53</v>
      </c>
      <c r="J89">
        <v>12</v>
      </c>
      <c r="K89">
        <v>4.3</v>
      </c>
      <c r="L89">
        <v>42.39</v>
      </c>
      <c r="M89">
        <v>70</v>
      </c>
      <c r="N89">
        <v>39.805999999999997</v>
      </c>
      <c r="O89">
        <v>5.9260000000000002</v>
      </c>
      <c r="P89">
        <v>11.901</v>
      </c>
      <c r="Q89">
        <v>33.575000000000003</v>
      </c>
      <c r="R89">
        <v>52.847000000000001</v>
      </c>
      <c r="S89">
        <v>57.222000000000001</v>
      </c>
      <c r="T89">
        <v>4.9050000000000002</v>
      </c>
      <c r="U89">
        <v>12.164</v>
      </c>
      <c r="V89">
        <v>9.5950000000000006</v>
      </c>
      <c r="W89">
        <v>1.0129999999999999</v>
      </c>
      <c r="X89">
        <v>2.0880000000000001</v>
      </c>
      <c r="Y89">
        <v>2.5230000000000001</v>
      </c>
      <c r="Z89">
        <v>0.308</v>
      </c>
      <c r="AA89">
        <v>0.23300000000000001</v>
      </c>
      <c r="AB89">
        <v>0.14299999999999999</v>
      </c>
      <c r="AC89">
        <v>1.653</v>
      </c>
      <c r="AD89">
        <v>5.0999999999999997E-2</v>
      </c>
      <c r="AE89">
        <v>0.624</v>
      </c>
      <c r="AF89">
        <v>0.158</v>
      </c>
      <c r="AG89">
        <v>7.5179999999999998</v>
      </c>
      <c r="AH89">
        <v>303.33600000000001</v>
      </c>
      <c r="AI89">
        <v>51.345999999999997</v>
      </c>
      <c r="AJ89">
        <v>24.962</v>
      </c>
      <c r="AK89">
        <v>1.6479999999999999</v>
      </c>
      <c r="AL89">
        <v>0</v>
      </c>
      <c r="AM89">
        <v>0</v>
      </c>
      <c r="AN89">
        <v>0</v>
      </c>
      <c r="AO89">
        <v>0</v>
      </c>
      <c r="AP89">
        <v>2.02</v>
      </c>
      <c r="AQ89">
        <v>3.6</v>
      </c>
      <c r="AR89">
        <v>4.01</v>
      </c>
      <c r="AS89">
        <v>6.64</v>
      </c>
      <c r="AT89">
        <v>4.21</v>
      </c>
      <c r="AU89">
        <v>1.77</v>
      </c>
      <c r="AV89">
        <v>4.24</v>
      </c>
      <c r="AW89">
        <v>4.21</v>
      </c>
      <c r="AX89">
        <v>1.03</v>
      </c>
      <c r="AY89">
        <v>5.8</v>
      </c>
      <c r="AZ89">
        <v>1.1930000000000001</v>
      </c>
      <c r="BA89">
        <v>0.43</v>
      </c>
      <c r="BB89">
        <v>16.440000000000001</v>
      </c>
      <c r="BC89">
        <v>0.47599999999999998</v>
      </c>
      <c r="BD89">
        <v>1.33</v>
      </c>
      <c r="BE89">
        <v>5.5E-2</v>
      </c>
      <c r="BF89">
        <v>2.5339999999999998</v>
      </c>
      <c r="BG89">
        <v>23.382000000000001</v>
      </c>
      <c r="BH89">
        <v>49.896999999999998</v>
      </c>
      <c r="BI89">
        <v>4.2629999999999999</v>
      </c>
      <c r="BJ89">
        <v>0</v>
      </c>
      <c r="BK89">
        <v>91</v>
      </c>
      <c r="BL89">
        <v>73</v>
      </c>
      <c r="BM89">
        <v>67</v>
      </c>
      <c r="BN89">
        <v>33</v>
      </c>
      <c r="BO89">
        <v>0</v>
      </c>
      <c r="BP89">
        <v>0</v>
      </c>
      <c r="BQ89">
        <v>0</v>
      </c>
      <c r="BR89">
        <v>0</v>
      </c>
      <c r="BS89">
        <v>0</v>
      </c>
      <c r="BT89">
        <v>0</v>
      </c>
      <c r="BU89">
        <v>0</v>
      </c>
      <c r="BV89">
        <v>0.4</v>
      </c>
      <c r="BW89">
        <v>0.78700000000000003</v>
      </c>
      <c r="BX89">
        <v>1</v>
      </c>
      <c r="BY89">
        <v>0.92</v>
      </c>
      <c r="BZ89">
        <v>1</v>
      </c>
      <c r="CA89">
        <v>0.05</v>
      </c>
      <c r="CB89">
        <v>0.1</v>
      </c>
      <c r="CC89">
        <v>0.31</v>
      </c>
      <c r="CD89">
        <v>4.0000000000000001E-3</v>
      </c>
      <c r="CE89">
        <v>0.2</v>
      </c>
      <c r="CF89" t="b">
        <v>0</v>
      </c>
      <c r="CG89" t="b">
        <v>0</v>
      </c>
      <c r="CH89" t="s">
        <v>93</v>
      </c>
      <c r="CI89">
        <v>100</v>
      </c>
      <c r="CJ89">
        <v>0</v>
      </c>
      <c r="CK89">
        <v>52.68</v>
      </c>
      <c r="CL89">
        <v>2.33</v>
      </c>
    </row>
    <row r="90" spans="1:90" x14ac:dyDescent="0.25">
      <c r="A90">
        <v>197</v>
      </c>
      <c r="B90" t="s">
        <v>187</v>
      </c>
      <c r="C90" t="s">
        <v>95</v>
      </c>
      <c r="D90" t="s">
        <v>96</v>
      </c>
      <c r="E90">
        <v>88.275000000000006</v>
      </c>
      <c r="F90">
        <v>5.875</v>
      </c>
      <c r="G90">
        <v>19.096</v>
      </c>
      <c r="H90">
        <v>48</v>
      </c>
      <c r="I90">
        <v>44</v>
      </c>
      <c r="J90">
        <v>8</v>
      </c>
      <c r="K90">
        <v>16.18</v>
      </c>
      <c r="L90">
        <v>21.904</v>
      </c>
      <c r="M90">
        <v>57</v>
      </c>
      <c r="N90">
        <v>40.075000000000003</v>
      </c>
      <c r="O90">
        <v>0.68600000000000005</v>
      </c>
      <c r="P90">
        <v>2.7709999999999999</v>
      </c>
      <c r="Q90">
        <v>13.173999999999999</v>
      </c>
      <c r="R90">
        <v>38.673000000000002</v>
      </c>
      <c r="S90">
        <v>48.58</v>
      </c>
      <c r="T90">
        <v>3.7650000000000001</v>
      </c>
      <c r="U90">
        <v>22.922000000000001</v>
      </c>
      <c r="V90">
        <v>7.8959999999999999</v>
      </c>
      <c r="W90">
        <v>3.85</v>
      </c>
      <c r="X90">
        <v>4.3529999999999998</v>
      </c>
      <c r="Y90">
        <v>3.0489999999999999</v>
      </c>
      <c r="Z90">
        <v>0.13700000000000001</v>
      </c>
      <c r="AA90">
        <v>1.2150000000000001</v>
      </c>
      <c r="AB90">
        <v>0.44700000000000001</v>
      </c>
      <c r="AC90">
        <v>1.226</v>
      </c>
      <c r="AD90">
        <v>1.6E-2</v>
      </c>
      <c r="AE90">
        <v>0.1</v>
      </c>
      <c r="AF90">
        <v>0.20399999999999999</v>
      </c>
      <c r="AG90">
        <v>11.507</v>
      </c>
      <c r="AH90">
        <v>153.48699999999999</v>
      </c>
      <c r="AI90">
        <v>132.82499999999999</v>
      </c>
      <c r="AJ90">
        <v>90.180999999999997</v>
      </c>
      <c r="AK90">
        <v>1.641</v>
      </c>
      <c r="AL90">
        <v>0</v>
      </c>
      <c r="AM90">
        <v>0</v>
      </c>
      <c r="AN90">
        <v>0</v>
      </c>
      <c r="AO90">
        <v>0.5</v>
      </c>
      <c r="AP90">
        <v>6.6459999999999999</v>
      </c>
      <c r="AQ90">
        <v>2.609</v>
      </c>
      <c r="AR90">
        <v>3.1059999999999999</v>
      </c>
      <c r="AS90">
        <v>6.0869999999999997</v>
      </c>
      <c r="AT90">
        <v>3.9750000000000001</v>
      </c>
      <c r="AU90">
        <v>1.4910000000000001</v>
      </c>
      <c r="AV90">
        <v>3.9750000000000001</v>
      </c>
      <c r="AW90">
        <v>3.1680000000000001</v>
      </c>
      <c r="AX90">
        <v>1.429</v>
      </c>
      <c r="AY90">
        <v>4.5339999999999998</v>
      </c>
      <c r="AZ90">
        <v>0</v>
      </c>
      <c r="BA90">
        <v>9.6000000000000002E-2</v>
      </c>
      <c r="BB90">
        <v>17.088000000000001</v>
      </c>
      <c r="BC90">
        <v>0.122</v>
      </c>
      <c r="BD90">
        <v>1.1679999999999999</v>
      </c>
      <c r="BE90">
        <v>0</v>
      </c>
      <c r="BF90">
        <v>17.687000000000001</v>
      </c>
      <c r="BG90">
        <v>57.78</v>
      </c>
      <c r="BH90">
        <v>4.7140000000000004</v>
      </c>
      <c r="BI90">
        <v>1.345</v>
      </c>
      <c r="BJ90">
        <v>0</v>
      </c>
      <c r="BK90">
        <v>91</v>
      </c>
      <c r="BL90">
        <v>73</v>
      </c>
      <c r="BM90">
        <v>5</v>
      </c>
      <c r="BN90">
        <v>95</v>
      </c>
      <c r="BO90">
        <v>0</v>
      </c>
      <c r="BP90">
        <v>0</v>
      </c>
      <c r="BQ90">
        <v>0</v>
      </c>
      <c r="BR90">
        <v>0</v>
      </c>
      <c r="BS90">
        <v>0</v>
      </c>
      <c r="BT90">
        <v>0</v>
      </c>
      <c r="BU90">
        <v>0</v>
      </c>
      <c r="BV90">
        <v>0.6</v>
      </c>
      <c r="BW90">
        <v>0.68799999999999994</v>
      </c>
      <c r="BX90">
        <v>1</v>
      </c>
      <c r="BY90">
        <v>0.92</v>
      </c>
      <c r="BZ90">
        <v>1</v>
      </c>
      <c r="CA90">
        <v>0.05</v>
      </c>
      <c r="CB90">
        <v>0.1</v>
      </c>
      <c r="CC90">
        <v>0.31</v>
      </c>
      <c r="CD90">
        <v>4.0000000000000001E-3</v>
      </c>
      <c r="CE90">
        <v>0.2</v>
      </c>
      <c r="CF90" t="b">
        <v>0</v>
      </c>
      <c r="CG90" t="b">
        <v>0</v>
      </c>
      <c r="CH90" t="s">
        <v>93</v>
      </c>
      <c r="CI90">
        <v>100</v>
      </c>
      <c r="CJ90">
        <v>0</v>
      </c>
      <c r="CK90">
        <v>73.260000000000005</v>
      </c>
      <c r="CL90">
        <v>3.33</v>
      </c>
    </row>
    <row r="91" spans="1:90" x14ac:dyDescent="0.25">
      <c r="A91">
        <v>198</v>
      </c>
      <c r="B91" t="s">
        <v>188</v>
      </c>
      <c r="C91" t="s">
        <v>106</v>
      </c>
      <c r="D91" t="s">
        <v>92</v>
      </c>
      <c r="E91">
        <v>34.801000000000002</v>
      </c>
      <c r="F91">
        <v>10.534000000000001</v>
      </c>
      <c r="G91">
        <v>10.728</v>
      </c>
      <c r="H91">
        <v>62</v>
      </c>
      <c r="I91">
        <v>29</v>
      </c>
      <c r="J91">
        <v>9</v>
      </c>
      <c r="K91">
        <v>10</v>
      </c>
      <c r="L91">
        <v>22.466999999999999</v>
      </c>
      <c r="M91">
        <v>72.286000000000001</v>
      </c>
      <c r="N91">
        <v>69.465999999999994</v>
      </c>
      <c r="O91">
        <v>1.169</v>
      </c>
      <c r="P91">
        <v>1.552</v>
      </c>
      <c r="Q91">
        <v>35.052999999999997</v>
      </c>
      <c r="R91">
        <v>51.106000000000002</v>
      </c>
      <c r="S91">
        <v>61.439</v>
      </c>
      <c r="T91">
        <v>4.9909999999999997</v>
      </c>
      <c r="U91">
        <v>12.987</v>
      </c>
      <c r="V91">
        <v>6.51</v>
      </c>
      <c r="W91">
        <v>1.5329999999999999</v>
      </c>
      <c r="X91">
        <v>3.056</v>
      </c>
      <c r="Y91">
        <v>2.5070000000000001</v>
      </c>
      <c r="Z91">
        <v>0.29899999999999999</v>
      </c>
      <c r="AA91">
        <v>0.29299999999999998</v>
      </c>
      <c r="AB91">
        <v>0.13200000000000001</v>
      </c>
      <c r="AC91">
        <v>2.028</v>
      </c>
      <c r="AD91">
        <v>6.4000000000000001E-2</v>
      </c>
      <c r="AE91">
        <v>0.73799999999999999</v>
      </c>
      <c r="AF91">
        <v>0.16700000000000001</v>
      </c>
      <c r="AG91">
        <v>7.6849999999999996</v>
      </c>
      <c r="AH91">
        <v>542.60400000000004</v>
      </c>
      <c r="AI91">
        <v>45.948</v>
      </c>
      <c r="AJ91">
        <v>28.183</v>
      </c>
      <c r="AK91">
        <v>1.5760000000000001</v>
      </c>
      <c r="AL91">
        <v>0</v>
      </c>
      <c r="AM91">
        <v>0</v>
      </c>
      <c r="AN91">
        <v>0</v>
      </c>
      <c r="AO91">
        <v>0</v>
      </c>
      <c r="AP91">
        <v>2.02</v>
      </c>
      <c r="AQ91">
        <v>3.6</v>
      </c>
      <c r="AR91">
        <v>4.01</v>
      </c>
      <c r="AS91">
        <v>6.64</v>
      </c>
      <c r="AT91">
        <v>4.21</v>
      </c>
      <c r="AU91">
        <v>1.77</v>
      </c>
      <c r="AV91">
        <v>4.24</v>
      </c>
      <c r="AW91">
        <v>4.21</v>
      </c>
      <c r="AX91">
        <v>1.03</v>
      </c>
      <c r="AY91">
        <v>5.8</v>
      </c>
      <c r="AZ91">
        <v>6.5570000000000004</v>
      </c>
      <c r="BA91">
        <v>0.54100000000000004</v>
      </c>
      <c r="BB91">
        <v>16.763000000000002</v>
      </c>
      <c r="BC91">
        <v>1.6739999999999999</v>
      </c>
      <c r="BD91">
        <v>1.944</v>
      </c>
      <c r="BE91">
        <v>0</v>
      </c>
      <c r="BF91">
        <v>3.7970000000000002</v>
      </c>
      <c r="BG91">
        <v>19.963000000000001</v>
      </c>
      <c r="BH91">
        <v>44.298999999999999</v>
      </c>
      <c r="BI91">
        <v>4.4619999999999997</v>
      </c>
      <c r="BJ91">
        <v>0</v>
      </c>
      <c r="BK91">
        <v>91</v>
      </c>
      <c r="BL91">
        <v>73</v>
      </c>
      <c r="BM91">
        <v>67</v>
      </c>
      <c r="BN91">
        <v>33</v>
      </c>
      <c r="BO91">
        <v>0</v>
      </c>
      <c r="BP91">
        <v>0</v>
      </c>
      <c r="BQ91">
        <v>0</v>
      </c>
      <c r="BR91">
        <v>0</v>
      </c>
      <c r="BS91">
        <v>0</v>
      </c>
      <c r="BT91">
        <v>0</v>
      </c>
      <c r="BU91">
        <v>0</v>
      </c>
      <c r="BV91">
        <v>0.4</v>
      </c>
      <c r="BW91">
        <v>0.78700000000000003</v>
      </c>
      <c r="BX91">
        <v>1</v>
      </c>
      <c r="BY91">
        <v>0.92</v>
      </c>
      <c r="BZ91">
        <v>1</v>
      </c>
      <c r="CA91">
        <v>0.05</v>
      </c>
      <c r="CB91">
        <v>0.1</v>
      </c>
      <c r="CC91">
        <v>0.31</v>
      </c>
      <c r="CD91">
        <v>4.0000000000000001E-3</v>
      </c>
      <c r="CE91">
        <v>0.2</v>
      </c>
      <c r="CF91" t="b">
        <v>0</v>
      </c>
      <c r="CG91" t="b">
        <v>1</v>
      </c>
      <c r="CH91" t="s">
        <v>93</v>
      </c>
      <c r="CI91">
        <v>100</v>
      </c>
      <c r="CJ91">
        <v>0</v>
      </c>
      <c r="CK91">
        <v>57.25</v>
      </c>
      <c r="CL91">
        <v>2.5499999999999998</v>
      </c>
    </row>
    <row r="92" spans="1:90" x14ac:dyDescent="0.25">
      <c r="A92">
        <v>200</v>
      </c>
      <c r="B92" t="s">
        <v>189</v>
      </c>
      <c r="C92" t="s">
        <v>95</v>
      </c>
      <c r="D92" t="s">
        <v>92</v>
      </c>
      <c r="E92">
        <v>89.454999999999998</v>
      </c>
      <c r="F92">
        <v>8.0020000000000007</v>
      </c>
      <c r="G92">
        <v>4.4969999999999999</v>
      </c>
      <c r="H92">
        <v>10</v>
      </c>
      <c r="I92">
        <v>51</v>
      </c>
      <c r="J92">
        <v>39</v>
      </c>
      <c r="K92">
        <v>1.35</v>
      </c>
      <c r="L92">
        <v>79.572999999999993</v>
      </c>
      <c r="M92">
        <v>61.5</v>
      </c>
      <c r="N92">
        <v>35.982999999999997</v>
      </c>
      <c r="O92">
        <v>1.258</v>
      </c>
      <c r="P92">
        <v>1.514</v>
      </c>
      <c r="Q92">
        <v>53.131</v>
      </c>
      <c r="R92">
        <v>76.900000000000006</v>
      </c>
      <c r="S92">
        <v>41.816000000000003</v>
      </c>
      <c r="T92">
        <v>8.1940000000000008</v>
      </c>
      <c r="U92">
        <v>1.81</v>
      </c>
      <c r="V92">
        <v>4.1909999999999998</v>
      </c>
      <c r="W92">
        <v>0.54800000000000004</v>
      </c>
      <c r="X92">
        <v>1.49</v>
      </c>
      <c r="Y92">
        <v>1.9610000000000001</v>
      </c>
      <c r="Z92">
        <v>0.376</v>
      </c>
      <c r="AA92">
        <v>0.11899999999999999</v>
      </c>
      <c r="AB92">
        <v>0.123</v>
      </c>
      <c r="AC92">
        <v>1.41</v>
      </c>
      <c r="AD92">
        <v>7.4999999999999997E-2</v>
      </c>
      <c r="AE92">
        <v>0.48499999999999999</v>
      </c>
      <c r="AF92">
        <v>0.106</v>
      </c>
      <c r="AG92">
        <v>6.1950000000000003</v>
      </c>
      <c r="AH92">
        <v>223.91499999999999</v>
      </c>
      <c r="AI92">
        <v>50.488</v>
      </c>
      <c r="AJ92">
        <v>16.622</v>
      </c>
      <c r="AK92">
        <v>1.44</v>
      </c>
      <c r="AL92">
        <v>0</v>
      </c>
      <c r="AM92">
        <v>0</v>
      </c>
      <c r="AN92">
        <v>0</v>
      </c>
      <c r="AO92">
        <v>0</v>
      </c>
      <c r="AP92">
        <v>2.02</v>
      </c>
      <c r="AQ92">
        <v>3.6</v>
      </c>
      <c r="AR92">
        <v>4.01</v>
      </c>
      <c r="AS92">
        <v>6.64</v>
      </c>
      <c r="AT92">
        <v>4.21</v>
      </c>
      <c r="AU92">
        <v>1.77</v>
      </c>
      <c r="AV92">
        <v>4.24</v>
      </c>
      <c r="AW92">
        <v>4.21</v>
      </c>
      <c r="AX92">
        <v>1.03</v>
      </c>
      <c r="AY92">
        <v>5.8</v>
      </c>
      <c r="AZ92">
        <v>1.1930000000000001</v>
      </c>
      <c r="BA92">
        <v>0.43</v>
      </c>
      <c r="BB92">
        <v>16.440000000000001</v>
      </c>
      <c r="BC92">
        <v>0.47599999999999998</v>
      </c>
      <c r="BD92">
        <v>1.33</v>
      </c>
      <c r="BE92">
        <v>5.5E-2</v>
      </c>
      <c r="BF92">
        <v>2.5339999999999998</v>
      </c>
      <c r="BG92">
        <v>23.382000000000001</v>
      </c>
      <c r="BH92">
        <v>49.896999999999998</v>
      </c>
      <c r="BI92">
        <v>4.2629999999999999</v>
      </c>
      <c r="BJ92">
        <v>0</v>
      </c>
      <c r="BK92">
        <v>91</v>
      </c>
      <c r="BL92">
        <v>73</v>
      </c>
      <c r="BM92">
        <v>67</v>
      </c>
      <c r="BN92">
        <v>33</v>
      </c>
      <c r="BO92">
        <v>0</v>
      </c>
      <c r="BP92">
        <v>0</v>
      </c>
      <c r="BQ92">
        <v>0</v>
      </c>
      <c r="BR92">
        <v>0</v>
      </c>
      <c r="BS92">
        <v>0</v>
      </c>
      <c r="BT92">
        <v>0</v>
      </c>
      <c r="BU92">
        <v>0</v>
      </c>
      <c r="BV92">
        <v>0.4</v>
      </c>
      <c r="BW92">
        <v>0.78700000000000003</v>
      </c>
      <c r="BX92">
        <v>1</v>
      </c>
      <c r="BY92">
        <v>0.92</v>
      </c>
      <c r="BZ92">
        <v>1</v>
      </c>
      <c r="CA92">
        <v>0.05</v>
      </c>
      <c r="CB92">
        <v>0.1</v>
      </c>
      <c r="CC92">
        <v>0.31</v>
      </c>
      <c r="CD92">
        <v>4.0000000000000001E-3</v>
      </c>
      <c r="CE92">
        <v>0.2</v>
      </c>
      <c r="CF92" t="b">
        <v>0</v>
      </c>
      <c r="CG92" t="b">
        <v>0</v>
      </c>
      <c r="CH92" t="s">
        <v>93</v>
      </c>
      <c r="CI92">
        <v>100</v>
      </c>
      <c r="CJ92">
        <v>0</v>
      </c>
      <c r="CK92">
        <v>47.52</v>
      </c>
      <c r="CL92">
        <v>2.04</v>
      </c>
    </row>
    <row r="93" spans="1:90" x14ac:dyDescent="0.25">
      <c r="A93">
        <v>201</v>
      </c>
      <c r="B93" t="s">
        <v>190</v>
      </c>
      <c r="C93" t="s">
        <v>191</v>
      </c>
      <c r="D93" t="s">
        <v>96</v>
      </c>
      <c r="E93">
        <v>94</v>
      </c>
      <c r="F93">
        <v>6.9</v>
      </c>
      <c r="G93">
        <v>37.4</v>
      </c>
      <c r="H93">
        <v>0</v>
      </c>
      <c r="I93">
        <v>0</v>
      </c>
      <c r="J93">
        <v>0</v>
      </c>
      <c r="K93">
        <v>0</v>
      </c>
      <c r="L93">
        <v>0</v>
      </c>
      <c r="M93">
        <v>100</v>
      </c>
      <c r="N93">
        <v>0</v>
      </c>
      <c r="O93">
        <v>0</v>
      </c>
      <c r="P93">
        <v>0</v>
      </c>
      <c r="Q93">
        <v>0</v>
      </c>
      <c r="R93">
        <v>0</v>
      </c>
      <c r="S93">
        <v>0</v>
      </c>
      <c r="T93">
        <v>0</v>
      </c>
      <c r="U93">
        <v>0</v>
      </c>
      <c r="V93">
        <v>56</v>
      </c>
      <c r="W93">
        <v>0.8</v>
      </c>
      <c r="X93">
        <v>1</v>
      </c>
      <c r="Y93">
        <v>4.25</v>
      </c>
      <c r="Z93">
        <v>1.29</v>
      </c>
      <c r="AA93">
        <v>1.08</v>
      </c>
      <c r="AB93">
        <v>0.1</v>
      </c>
      <c r="AC93">
        <v>1.85</v>
      </c>
      <c r="AD93">
        <v>0.55000000000000004</v>
      </c>
      <c r="AE93">
        <v>1</v>
      </c>
      <c r="AF93">
        <v>0.45</v>
      </c>
      <c r="AG93">
        <v>0.42</v>
      </c>
      <c r="AH93">
        <v>3.3</v>
      </c>
      <c r="AI93">
        <v>0.2</v>
      </c>
      <c r="AJ93">
        <v>42</v>
      </c>
      <c r="AK93">
        <v>0</v>
      </c>
      <c r="AL93">
        <v>0</v>
      </c>
      <c r="AM93">
        <v>0.01</v>
      </c>
      <c r="AN93">
        <v>0.15</v>
      </c>
      <c r="AO93">
        <v>0.2</v>
      </c>
      <c r="AP93">
        <v>3.75</v>
      </c>
      <c r="AQ93">
        <v>2.92</v>
      </c>
      <c r="AR93">
        <v>6.18</v>
      </c>
      <c r="AS93">
        <v>10.6</v>
      </c>
      <c r="AT93">
        <v>8.8000000000000007</v>
      </c>
      <c r="AU93">
        <v>3</v>
      </c>
      <c r="AV93">
        <v>5.26</v>
      </c>
      <c r="AW93">
        <v>4.62</v>
      </c>
      <c r="AX93">
        <v>1.65</v>
      </c>
      <c r="AY93">
        <v>6.9</v>
      </c>
      <c r="AZ93">
        <v>0</v>
      </c>
      <c r="BA93">
        <v>0</v>
      </c>
      <c r="BB93">
        <v>0</v>
      </c>
      <c r="BC93">
        <v>0</v>
      </c>
      <c r="BD93">
        <v>0</v>
      </c>
      <c r="BE93">
        <v>0</v>
      </c>
      <c r="BF93">
        <v>0</v>
      </c>
      <c r="BG93">
        <v>0</v>
      </c>
      <c r="BH93">
        <v>0</v>
      </c>
      <c r="BI93">
        <v>0</v>
      </c>
      <c r="BJ93">
        <v>0</v>
      </c>
      <c r="BK93">
        <v>0</v>
      </c>
      <c r="BL93">
        <v>80</v>
      </c>
      <c r="BM93">
        <v>0</v>
      </c>
      <c r="BN93">
        <v>100</v>
      </c>
      <c r="BO93">
        <v>0</v>
      </c>
      <c r="BP93">
        <v>0</v>
      </c>
      <c r="BQ93">
        <v>0</v>
      </c>
      <c r="BR93">
        <v>0</v>
      </c>
      <c r="BS93">
        <v>0</v>
      </c>
      <c r="BT93">
        <v>0</v>
      </c>
      <c r="BU93">
        <v>0</v>
      </c>
      <c r="BV93">
        <v>0</v>
      </c>
      <c r="BW93">
        <v>0</v>
      </c>
      <c r="BX93">
        <v>0</v>
      </c>
      <c r="BY93">
        <v>0</v>
      </c>
      <c r="BZ93">
        <v>0</v>
      </c>
      <c r="CA93">
        <v>0</v>
      </c>
      <c r="CB93">
        <v>0</v>
      </c>
      <c r="CC93">
        <v>0</v>
      </c>
      <c r="CD93">
        <v>0</v>
      </c>
      <c r="CE93">
        <v>0</v>
      </c>
      <c r="CF93" t="b">
        <v>0</v>
      </c>
      <c r="CG93" t="b">
        <v>0</v>
      </c>
      <c r="CH93" t="s">
        <v>93</v>
      </c>
      <c r="CI93">
        <v>100</v>
      </c>
      <c r="CJ93">
        <v>0</v>
      </c>
      <c r="CK93">
        <v>0</v>
      </c>
      <c r="CL93">
        <v>4.25</v>
      </c>
    </row>
    <row r="94" spans="1:90" x14ac:dyDescent="0.25">
      <c r="A94">
        <v>202</v>
      </c>
      <c r="B94" t="s">
        <v>192</v>
      </c>
      <c r="C94" t="s">
        <v>191</v>
      </c>
      <c r="D94" t="s">
        <v>96</v>
      </c>
      <c r="E94">
        <v>12.5</v>
      </c>
      <c r="F94">
        <v>6.3</v>
      </c>
      <c r="G94">
        <v>25.4</v>
      </c>
      <c r="H94">
        <v>0</v>
      </c>
      <c r="I94">
        <v>0</v>
      </c>
      <c r="J94">
        <v>0</v>
      </c>
      <c r="K94">
        <v>0</v>
      </c>
      <c r="L94">
        <v>0</v>
      </c>
      <c r="M94">
        <v>100</v>
      </c>
      <c r="N94">
        <v>0</v>
      </c>
      <c r="O94">
        <v>0</v>
      </c>
      <c r="P94">
        <v>0</v>
      </c>
      <c r="Q94">
        <v>0</v>
      </c>
      <c r="R94">
        <v>0</v>
      </c>
      <c r="S94">
        <v>0</v>
      </c>
      <c r="T94">
        <v>0</v>
      </c>
      <c r="U94">
        <v>0</v>
      </c>
      <c r="V94">
        <v>0</v>
      </c>
      <c r="W94">
        <v>28.9</v>
      </c>
      <c r="X94">
        <v>30.8</v>
      </c>
      <c r="Y94">
        <v>5.59</v>
      </c>
      <c r="Z94">
        <v>1</v>
      </c>
      <c r="AA94">
        <v>0.75</v>
      </c>
      <c r="AB94">
        <v>0.1</v>
      </c>
      <c r="AC94">
        <v>1.23</v>
      </c>
      <c r="AD94">
        <v>0.4</v>
      </c>
      <c r="AE94">
        <v>0.92</v>
      </c>
      <c r="AF94">
        <v>0.32</v>
      </c>
      <c r="AG94">
        <v>0.8</v>
      </c>
      <c r="AH94">
        <v>4.0999999999999996</v>
      </c>
      <c r="AI94">
        <v>0.4</v>
      </c>
      <c r="AJ94">
        <v>38</v>
      </c>
      <c r="AK94">
        <v>0</v>
      </c>
      <c r="AL94">
        <v>0</v>
      </c>
      <c r="AM94">
        <v>0.01</v>
      </c>
      <c r="AN94">
        <v>0.15</v>
      </c>
      <c r="AO94">
        <v>0.16</v>
      </c>
      <c r="AP94">
        <v>3.75</v>
      </c>
      <c r="AQ94">
        <v>2.92</v>
      </c>
      <c r="AR94">
        <v>6.18</v>
      </c>
      <c r="AS94">
        <v>10.6</v>
      </c>
      <c r="AT94">
        <v>8.8000000000000007</v>
      </c>
      <c r="AU94">
        <v>3</v>
      </c>
      <c r="AV94">
        <v>5.26</v>
      </c>
      <c r="AW94">
        <v>4.62</v>
      </c>
      <c r="AX94">
        <v>1.65</v>
      </c>
      <c r="AY94">
        <v>6.9</v>
      </c>
      <c r="AZ94">
        <v>0</v>
      </c>
      <c r="BA94">
        <v>0</v>
      </c>
      <c r="BB94">
        <v>0</v>
      </c>
      <c r="BC94">
        <v>0</v>
      </c>
      <c r="BD94">
        <v>0</v>
      </c>
      <c r="BE94">
        <v>0</v>
      </c>
      <c r="BF94">
        <v>0</v>
      </c>
      <c r="BG94">
        <v>0</v>
      </c>
      <c r="BH94">
        <v>0</v>
      </c>
      <c r="BI94">
        <v>0</v>
      </c>
      <c r="BJ94">
        <v>0</v>
      </c>
      <c r="BK94">
        <v>0</v>
      </c>
      <c r="BL94">
        <v>0</v>
      </c>
      <c r="BM94">
        <v>0</v>
      </c>
      <c r="BN94">
        <v>100</v>
      </c>
      <c r="BO94">
        <v>0</v>
      </c>
      <c r="BP94">
        <v>0</v>
      </c>
      <c r="BQ94">
        <v>0</v>
      </c>
      <c r="BR94">
        <v>0</v>
      </c>
      <c r="BS94">
        <v>0</v>
      </c>
      <c r="BT94">
        <v>0</v>
      </c>
      <c r="BU94">
        <v>0</v>
      </c>
      <c r="BV94">
        <v>0</v>
      </c>
      <c r="BW94">
        <v>0.68</v>
      </c>
      <c r="BX94">
        <v>0</v>
      </c>
      <c r="BY94">
        <v>0</v>
      </c>
      <c r="BZ94">
        <v>0</v>
      </c>
      <c r="CA94">
        <v>0</v>
      </c>
      <c r="CB94">
        <v>0</v>
      </c>
      <c r="CC94">
        <v>0</v>
      </c>
      <c r="CD94">
        <v>0</v>
      </c>
      <c r="CE94">
        <v>0</v>
      </c>
      <c r="CF94" t="b">
        <v>0</v>
      </c>
      <c r="CG94" t="b">
        <v>0</v>
      </c>
      <c r="CH94" t="s">
        <v>93</v>
      </c>
      <c r="CI94">
        <v>100</v>
      </c>
      <c r="CJ94">
        <v>0</v>
      </c>
      <c r="CK94">
        <v>0</v>
      </c>
      <c r="CL94">
        <v>5.59</v>
      </c>
    </row>
    <row r="95" spans="1:90" x14ac:dyDescent="0.25">
      <c r="A95">
        <v>203</v>
      </c>
      <c r="B95" t="s">
        <v>193</v>
      </c>
      <c r="C95" t="s">
        <v>191</v>
      </c>
      <c r="D95" t="s">
        <v>96</v>
      </c>
      <c r="E95">
        <v>15</v>
      </c>
      <c r="F95">
        <v>7</v>
      </c>
      <c r="G95">
        <v>29.2</v>
      </c>
      <c r="H95">
        <v>0</v>
      </c>
      <c r="I95">
        <v>0</v>
      </c>
      <c r="J95">
        <v>0</v>
      </c>
      <c r="K95">
        <v>0</v>
      </c>
      <c r="L95">
        <v>0</v>
      </c>
      <c r="M95">
        <v>0</v>
      </c>
      <c r="N95">
        <v>0</v>
      </c>
      <c r="O95">
        <v>0</v>
      </c>
      <c r="P95">
        <v>0</v>
      </c>
      <c r="Q95">
        <v>0</v>
      </c>
      <c r="R95">
        <v>0</v>
      </c>
      <c r="S95">
        <v>0</v>
      </c>
      <c r="T95">
        <v>0</v>
      </c>
      <c r="U95">
        <v>0</v>
      </c>
      <c r="V95">
        <v>45.6</v>
      </c>
      <c r="W95">
        <v>18</v>
      </c>
      <c r="X95">
        <v>18.2</v>
      </c>
      <c r="Y95">
        <v>4.93</v>
      </c>
      <c r="Z95">
        <v>0.8</v>
      </c>
      <c r="AA95">
        <v>0.6</v>
      </c>
      <c r="AB95">
        <v>0.15</v>
      </c>
      <c r="AC95">
        <v>1.1000000000000001</v>
      </c>
      <c r="AD95">
        <v>0.4</v>
      </c>
      <c r="AE95">
        <v>0.32</v>
      </c>
      <c r="AF95">
        <v>0.2</v>
      </c>
      <c r="AG95">
        <v>5</v>
      </c>
      <c r="AH95">
        <v>85</v>
      </c>
      <c r="AI95">
        <v>60</v>
      </c>
      <c r="AJ95">
        <v>65</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c r="BH95">
        <v>0</v>
      </c>
      <c r="BI95">
        <v>0</v>
      </c>
      <c r="BJ95">
        <v>0</v>
      </c>
      <c r="BK95">
        <v>0</v>
      </c>
      <c r="BL95">
        <v>80</v>
      </c>
      <c r="BM95">
        <v>0</v>
      </c>
      <c r="BN95">
        <v>0</v>
      </c>
      <c r="BO95">
        <v>0</v>
      </c>
      <c r="BP95">
        <v>0.1</v>
      </c>
      <c r="BQ95">
        <v>1000</v>
      </c>
      <c r="BR95">
        <v>10</v>
      </c>
      <c r="BS95">
        <v>9800</v>
      </c>
      <c r="BT95">
        <v>3200</v>
      </c>
      <c r="BU95">
        <v>200</v>
      </c>
      <c r="BV95">
        <v>0</v>
      </c>
      <c r="BW95">
        <v>0</v>
      </c>
      <c r="BX95">
        <v>0</v>
      </c>
      <c r="BY95">
        <v>0</v>
      </c>
      <c r="BZ95">
        <v>0</v>
      </c>
      <c r="CA95">
        <v>0</v>
      </c>
      <c r="CB95">
        <v>0</v>
      </c>
      <c r="CC95">
        <v>0</v>
      </c>
      <c r="CD95">
        <v>0</v>
      </c>
      <c r="CE95">
        <v>0</v>
      </c>
      <c r="CF95" t="b">
        <v>0</v>
      </c>
      <c r="CG95" t="b">
        <v>0</v>
      </c>
      <c r="CH95" t="s">
        <v>93</v>
      </c>
      <c r="CI95">
        <v>100</v>
      </c>
      <c r="CJ95">
        <v>0</v>
      </c>
      <c r="CK95">
        <v>0</v>
      </c>
      <c r="CL95">
        <v>4.78</v>
      </c>
    </row>
    <row r="96" spans="1:90" x14ac:dyDescent="0.25">
      <c r="A96">
        <v>208</v>
      </c>
      <c r="B96" t="s">
        <v>194</v>
      </c>
      <c r="C96" t="s">
        <v>95</v>
      </c>
      <c r="D96" t="s">
        <v>96</v>
      </c>
      <c r="E96">
        <v>93</v>
      </c>
      <c r="F96">
        <v>16.5</v>
      </c>
      <c r="G96">
        <v>17.899999999999999</v>
      </c>
      <c r="H96">
        <v>0</v>
      </c>
      <c r="I96">
        <v>0</v>
      </c>
      <c r="J96">
        <v>0</v>
      </c>
      <c r="K96">
        <v>0</v>
      </c>
      <c r="L96">
        <v>0</v>
      </c>
      <c r="M96">
        <v>100</v>
      </c>
      <c r="N96">
        <v>91.105999999999995</v>
      </c>
      <c r="O96">
        <v>0</v>
      </c>
      <c r="P96">
        <v>0</v>
      </c>
      <c r="Q96">
        <v>0</v>
      </c>
      <c r="R96">
        <v>0</v>
      </c>
      <c r="S96">
        <v>0</v>
      </c>
      <c r="T96">
        <v>0</v>
      </c>
      <c r="U96">
        <v>0</v>
      </c>
      <c r="V96">
        <v>0</v>
      </c>
      <c r="W96">
        <v>5.274</v>
      </c>
      <c r="X96">
        <v>0.7</v>
      </c>
      <c r="Y96">
        <v>3.54</v>
      </c>
      <c r="Z96">
        <v>1.71</v>
      </c>
      <c r="AA96">
        <v>1.1200000000000001</v>
      </c>
      <c r="AB96">
        <v>0.23</v>
      </c>
      <c r="AC96">
        <v>3.16</v>
      </c>
      <c r="AD96">
        <v>1.54</v>
      </c>
      <c r="AE96">
        <v>1.1000000000000001</v>
      </c>
      <c r="AF96">
        <v>1.1499999999999999</v>
      </c>
      <c r="AG96">
        <v>0.72</v>
      </c>
      <c r="AH96">
        <v>9</v>
      </c>
      <c r="AI96">
        <v>0.1</v>
      </c>
      <c r="AJ96">
        <v>20</v>
      </c>
      <c r="AK96">
        <v>0</v>
      </c>
      <c r="AL96">
        <v>0</v>
      </c>
      <c r="AM96">
        <v>0.01</v>
      </c>
      <c r="AN96">
        <v>0</v>
      </c>
      <c r="AO96">
        <v>0.25</v>
      </c>
      <c r="AP96">
        <v>2.7509999999999999</v>
      </c>
      <c r="AQ96">
        <v>1.8340000000000001</v>
      </c>
      <c r="AR96">
        <v>5.0659999999999998</v>
      </c>
      <c r="AS96">
        <v>8.7769999999999992</v>
      </c>
      <c r="AT96">
        <v>6.9429999999999996</v>
      </c>
      <c r="AU96">
        <v>1.397</v>
      </c>
      <c r="AV96">
        <v>3.2309999999999999</v>
      </c>
      <c r="AW96">
        <v>5.4589999999999996</v>
      </c>
      <c r="AX96">
        <v>1.5</v>
      </c>
      <c r="AY96">
        <v>4.8029999999999999</v>
      </c>
      <c r="AZ96">
        <v>0.72</v>
      </c>
      <c r="BA96">
        <v>6.7510000000000003</v>
      </c>
      <c r="BB96">
        <v>35.743000000000002</v>
      </c>
      <c r="BC96">
        <v>0.94499999999999995</v>
      </c>
      <c r="BD96">
        <v>17.814</v>
      </c>
      <c r="BE96">
        <v>2.641</v>
      </c>
      <c r="BF96">
        <v>27.082999999999998</v>
      </c>
      <c r="BG96">
        <v>6.8849999999999998</v>
      </c>
      <c r="BH96">
        <v>0</v>
      </c>
      <c r="BI96">
        <v>1.4179999999999999</v>
      </c>
      <c r="BJ96">
        <v>0</v>
      </c>
      <c r="BK96">
        <v>91</v>
      </c>
      <c r="BL96">
        <v>73</v>
      </c>
      <c r="BM96">
        <v>0</v>
      </c>
      <c r="BN96">
        <v>100</v>
      </c>
      <c r="BO96">
        <v>0</v>
      </c>
      <c r="BP96">
        <v>0</v>
      </c>
      <c r="BQ96">
        <v>0</v>
      </c>
      <c r="BR96">
        <v>0</v>
      </c>
      <c r="BS96">
        <v>0</v>
      </c>
      <c r="BT96">
        <v>0</v>
      </c>
      <c r="BU96">
        <v>0</v>
      </c>
      <c r="BV96">
        <v>0.6</v>
      </c>
      <c r="BW96">
        <v>0.68</v>
      </c>
      <c r="BX96">
        <v>1</v>
      </c>
      <c r="BY96">
        <v>0.92</v>
      </c>
      <c r="BZ96">
        <v>1</v>
      </c>
      <c r="CA96">
        <v>0.05</v>
      </c>
      <c r="CB96">
        <v>0.1</v>
      </c>
      <c r="CC96">
        <v>0.31</v>
      </c>
      <c r="CD96">
        <v>4.0000000000000001E-3</v>
      </c>
      <c r="CE96">
        <v>0.2</v>
      </c>
      <c r="CF96" t="b">
        <v>0</v>
      </c>
      <c r="CG96" t="b">
        <v>0</v>
      </c>
      <c r="CH96" t="s">
        <v>93</v>
      </c>
      <c r="CI96">
        <v>100</v>
      </c>
      <c r="CJ96">
        <v>0</v>
      </c>
      <c r="CK96">
        <v>74.8</v>
      </c>
      <c r="CL96">
        <v>3.3</v>
      </c>
    </row>
    <row r="97" spans="1:90" x14ac:dyDescent="0.25">
      <c r="A97">
        <v>209</v>
      </c>
      <c r="B97" t="s">
        <v>195</v>
      </c>
      <c r="C97" t="s">
        <v>95</v>
      </c>
      <c r="D97" t="s">
        <v>96</v>
      </c>
      <c r="E97">
        <v>92.623999999999995</v>
      </c>
      <c r="F97">
        <v>9.66</v>
      </c>
      <c r="G97">
        <v>17.832999999999998</v>
      </c>
      <c r="H97">
        <v>90</v>
      </c>
      <c r="I97">
        <v>10</v>
      </c>
      <c r="J97">
        <v>0</v>
      </c>
      <c r="K97">
        <v>5</v>
      </c>
      <c r="L97">
        <v>10.898</v>
      </c>
      <c r="M97">
        <v>95</v>
      </c>
      <c r="N97">
        <v>91.105999999999995</v>
      </c>
      <c r="O97">
        <v>0.221</v>
      </c>
      <c r="P97">
        <v>0.53400000000000003</v>
      </c>
      <c r="Q97">
        <v>0.30199999999999999</v>
      </c>
      <c r="R97">
        <v>0.64700000000000002</v>
      </c>
      <c r="S97">
        <v>0</v>
      </c>
      <c r="T97">
        <v>0.22500000000000001</v>
      </c>
      <c r="U97">
        <v>1.43</v>
      </c>
      <c r="V97">
        <v>56.1</v>
      </c>
      <c r="W97">
        <v>5.274</v>
      </c>
      <c r="X97">
        <v>6.274</v>
      </c>
      <c r="Y97">
        <v>3.63</v>
      </c>
      <c r="Z97">
        <v>0.92300000000000004</v>
      </c>
      <c r="AA97">
        <v>0.89200000000000002</v>
      </c>
      <c r="AB97">
        <v>0.14499999999999999</v>
      </c>
      <c r="AC97">
        <v>2.6030000000000002</v>
      </c>
      <c r="AD97">
        <v>0.74199999999999999</v>
      </c>
      <c r="AE97">
        <v>1.6459999999999999</v>
      </c>
      <c r="AF97">
        <v>0.24</v>
      </c>
      <c r="AG97">
        <v>1.242</v>
      </c>
      <c r="AH97">
        <v>10.651999999999999</v>
      </c>
      <c r="AI97">
        <v>1.2410000000000001</v>
      </c>
      <c r="AJ97">
        <v>4.5110000000000001</v>
      </c>
      <c r="AK97">
        <v>0</v>
      </c>
      <c r="AL97">
        <v>0</v>
      </c>
      <c r="AM97">
        <v>0</v>
      </c>
      <c r="AN97">
        <v>0</v>
      </c>
      <c r="AO97">
        <v>0.06</v>
      </c>
      <c r="AP97">
        <v>2.7509999999999999</v>
      </c>
      <c r="AQ97">
        <v>1.8340000000000001</v>
      </c>
      <c r="AR97">
        <v>5.0659999999999998</v>
      </c>
      <c r="AS97">
        <v>8.7769999999999992</v>
      </c>
      <c r="AT97">
        <v>6.9429999999999996</v>
      </c>
      <c r="AU97">
        <v>1.397</v>
      </c>
      <c r="AV97">
        <v>3.2309999999999999</v>
      </c>
      <c r="AW97">
        <v>5.4589999999999996</v>
      </c>
      <c r="AX97">
        <v>1.5</v>
      </c>
      <c r="AY97">
        <v>4.8029999999999999</v>
      </c>
      <c r="AZ97">
        <v>0.72</v>
      </c>
      <c r="BA97">
        <v>6.7510000000000003</v>
      </c>
      <c r="BB97">
        <v>35.743000000000002</v>
      </c>
      <c r="BC97">
        <v>0.94499999999999995</v>
      </c>
      <c r="BD97">
        <v>17.814</v>
      </c>
      <c r="BE97">
        <v>2.641</v>
      </c>
      <c r="BF97">
        <v>27.082999999999998</v>
      </c>
      <c r="BG97">
        <v>6.8849999999999998</v>
      </c>
      <c r="BH97">
        <v>0</v>
      </c>
      <c r="BI97">
        <v>1.4179999999999999</v>
      </c>
      <c r="BJ97">
        <v>0</v>
      </c>
      <c r="BK97">
        <v>91</v>
      </c>
      <c r="BL97">
        <v>73</v>
      </c>
      <c r="BM97">
        <v>0</v>
      </c>
      <c r="BN97">
        <v>100</v>
      </c>
      <c r="BO97">
        <v>0</v>
      </c>
      <c r="BP97">
        <v>0</v>
      </c>
      <c r="BQ97">
        <v>0</v>
      </c>
      <c r="BR97">
        <v>0</v>
      </c>
      <c r="BS97">
        <v>0</v>
      </c>
      <c r="BT97">
        <v>0</v>
      </c>
      <c r="BU97">
        <v>0</v>
      </c>
      <c r="BV97">
        <v>0.6</v>
      </c>
      <c r="BW97">
        <v>0.68</v>
      </c>
      <c r="BX97">
        <v>1</v>
      </c>
      <c r="BY97">
        <v>0.92</v>
      </c>
      <c r="BZ97">
        <v>1</v>
      </c>
      <c r="CA97">
        <v>0.05</v>
      </c>
      <c r="CB97">
        <v>0.1</v>
      </c>
      <c r="CC97">
        <v>0.31</v>
      </c>
      <c r="CD97">
        <v>4.0000000000000001E-3</v>
      </c>
      <c r="CE97">
        <v>0.2</v>
      </c>
      <c r="CF97" t="b">
        <v>0</v>
      </c>
      <c r="CG97" t="b">
        <v>0</v>
      </c>
      <c r="CH97" t="s">
        <v>93</v>
      </c>
      <c r="CI97">
        <v>100</v>
      </c>
      <c r="CJ97">
        <v>0</v>
      </c>
      <c r="CK97">
        <v>74.8</v>
      </c>
      <c r="CL97">
        <v>3.6</v>
      </c>
    </row>
    <row r="98" spans="1:90" x14ac:dyDescent="0.25">
      <c r="A98">
        <v>210</v>
      </c>
      <c r="B98" t="s">
        <v>196</v>
      </c>
      <c r="C98" t="s">
        <v>95</v>
      </c>
      <c r="D98" t="s">
        <v>96</v>
      </c>
      <c r="E98">
        <v>22.87</v>
      </c>
      <c r="F98">
        <v>13.529</v>
      </c>
      <c r="G98">
        <v>7.4160000000000004</v>
      </c>
      <c r="H98">
        <v>90</v>
      </c>
      <c r="I98">
        <v>10</v>
      </c>
      <c r="J98">
        <v>0</v>
      </c>
      <c r="K98">
        <v>5</v>
      </c>
      <c r="L98">
        <v>10.898</v>
      </c>
      <c r="M98">
        <v>95</v>
      </c>
      <c r="N98">
        <v>53.671999999999997</v>
      </c>
      <c r="O98">
        <v>0.34100000000000003</v>
      </c>
      <c r="P98">
        <v>0.66600000000000004</v>
      </c>
      <c r="Q98">
        <v>0.92400000000000004</v>
      </c>
      <c r="R98">
        <v>2.1720000000000002</v>
      </c>
      <c r="S98">
        <v>0</v>
      </c>
      <c r="T98">
        <v>0.31900000000000001</v>
      </c>
      <c r="U98">
        <v>1.43</v>
      </c>
      <c r="V98">
        <v>50.6</v>
      </c>
      <c r="W98">
        <v>0.97099999999999997</v>
      </c>
      <c r="X98">
        <v>1.9710000000000001</v>
      </c>
      <c r="Y98">
        <v>3.1619999999999999</v>
      </c>
      <c r="Z98">
        <v>1.26</v>
      </c>
      <c r="AA98">
        <v>1.2849999999999999</v>
      </c>
      <c r="AB98">
        <v>0.22500000000000001</v>
      </c>
      <c r="AC98">
        <v>4.0060000000000002</v>
      </c>
      <c r="AD98">
        <v>1.4339999999999999</v>
      </c>
      <c r="AE98">
        <v>3.0009999999999999</v>
      </c>
      <c r="AF98">
        <v>0.19500000000000001</v>
      </c>
      <c r="AG98">
        <v>5.141</v>
      </c>
      <c r="AH98">
        <v>74.433999999999997</v>
      </c>
      <c r="AI98">
        <v>2.7389999999999999</v>
      </c>
      <c r="AJ98">
        <v>38.832000000000001</v>
      </c>
      <c r="AK98">
        <v>0</v>
      </c>
      <c r="AL98">
        <v>0</v>
      </c>
      <c r="AM98">
        <v>0</v>
      </c>
      <c r="AN98">
        <v>0</v>
      </c>
      <c r="AO98">
        <v>0.06</v>
      </c>
      <c r="AP98">
        <v>2.1739999999999999</v>
      </c>
      <c r="AQ98">
        <v>1.6519999999999999</v>
      </c>
      <c r="AR98">
        <v>5.391</v>
      </c>
      <c r="AS98">
        <v>9.0429999999999993</v>
      </c>
      <c r="AT98">
        <v>7.2169999999999996</v>
      </c>
      <c r="AU98">
        <v>1.391</v>
      </c>
      <c r="AV98">
        <v>2.9569999999999999</v>
      </c>
      <c r="AW98">
        <v>6.1740000000000004</v>
      </c>
      <c r="AX98">
        <v>1.5649999999999999</v>
      </c>
      <c r="AY98">
        <v>5.13</v>
      </c>
      <c r="AZ98">
        <v>0.72</v>
      </c>
      <c r="BA98">
        <v>6.7510000000000003</v>
      </c>
      <c r="BB98">
        <v>35.743000000000002</v>
      </c>
      <c r="BC98">
        <v>0.94499999999999995</v>
      </c>
      <c r="BD98">
        <v>17.814</v>
      </c>
      <c r="BE98">
        <v>2.641</v>
      </c>
      <c r="BF98">
        <v>27.082999999999998</v>
      </c>
      <c r="BG98">
        <v>6.8849999999999998</v>
      </c>
      <c r="BH98">
        <v>0</v>
      </c>
      <c r="BI98">
        <v>1.4179999999999999</v>
      </c>
      <c r="BJ98">
        <v>0</v>
      </c>
      <c r="BK98">
        <v>91</v>
      </c>
      <c r="BL98">
        <v>73</v>
      </c>
      <c r="BM98">
        <v>0</v>
      </c>
      <c r="BN98">
        <v>100</v>
      </c>
      <c r="BO98">
        <v>0</v>
      </c>
      <c r="BP98">
        <v>0</v>
      </c>
      <c r="BQ98">
        <v>0</v>
      </c>
      <c r="BR98">
        <v>0</v>
      </c>
      <c r="BS98">
        <v>0</v>
      </c>
      <c r="BT98">
        <v>0</v>
      </c>
      <c r="BU98">
        <v>0</v>
      </c>
      <c r="BV98">
        <v>0.6</v>
      </c>
      <c r="BW98">
        <v>0.68</v>
      </c>
      <c r="BX98">
        <v>1</v>
      </c>
      <c r="BY98">
        <v>0.92</v>
      </c>
      <c r="BZ98">
        <v>1</v>
      </c>
      <c r="CA98">
        <v>0.05</v>
      </c>
      <c r="CB98">
        <v>0.1</v>
      </c>
      <c r="CC98">
        <v>0.31</v>
      </c>
      <c r="CD98">
        <v>4.0000000000000001E-3</v>
      </c>
      <c r="CE98">
        <v>0.2</v>
      </c>
      <c r="CF98" t="b">
        <v>0</v>
      </c>
      <c r="CG98" t="b">
        <v>0</v>
      </c>
      <c r="CH98" t="s">
        <v>93</v>
      </c>
      <c r="CI98">
        <v>100</v>
      </c>
      <c r="CJ98">
        <v>0</v>
      </c>
      <c r="CK98">
        <v>80.33</v>
      </c>
      <c r="CL98">
        <v>3.6</v>
      </c>
    </row>
    <row r="99" spans="1:90" x14ac:dyDescent="0.25">
      <c r="A99">
        <v>216</v>
      </c>
      <c r="B99" t="s">
        <v>197</v>
      </c>
      <c r="C99" t="s">
        <v>103</v>
      </c>
      <c r="D99" t="s">
        <v>96</v>
      </c>
      <c r="E99">
        <v>88</v>
      </c>
      <c r="F99">
        <v>8.01</v>
      </c>
      <c r="G99">
        <v>20.6</v>
      </c>
      <c r="H99">
        <v>0</v>
      </c>
      <c r="I99">
        <v>0</v>
      </c>
      <c r="J99">
        <v>0</v>
      </c>
      <c r="K99">
        <v>0</v>
      </c>
      <c r="L99">
        <v>0</v>
      </c>
      <c r="M99">
        <v>85</v>
      </c>
      <c r="N99">
        <v>0</v>
      </c>
      <c r="O99">
        <v>0.63</v>
      </c>
      <c r="P99">
        <v>1.26</v>
      </c>
      <c r="Q99">
        <v>7.78</v>
      </c>
      <c r="R99">
        <v>17.37</v>
      </c>
      <c r="S99">
        <v>54.25</v>
      </c>
      <c r="T99">
        <v>1.96</v>
      </c>
      <c r="U99">
        <v>37.92</v>
      </c>
      <c r="V99">
        <v>7.68</v>
      </c>
      <c r="W99">
        <v>3</v>
      </c>
      <c r="X99">
        <v>3.73</v>
      </c>
      <c r="Y99">
        <v>3.2</v>
      </c>
      <c r="Z99">
        <v>0.75</v>
      </c>
      <c r="AA99">
        <v>0.37</v>
      </c>
      <c r="AB99">
        <v>0.15</v>
      </c>
      <c r="AC99">
        <v>0.6</v>
      </c>
      <c r="AD99">
        <v>0.22</v>
      </c>
      <c r="AE99">
        <v>0.17</v>
      </c>
      <c r="AF99">
        <v>0.2</v>
      </c>
      <c r="AG99">
        <v>6</v>
      </c>
      <c r="AH99">
        <v>60</v>
      </c>
      <c r="AI99">
        <v>40</v>
      </c>
      <c r="AJ99">
        <v>55</v>
      </c>
      <c r="AK99">
        <v>0</v>
      </c>
      <c r="AL99">
        <v>0</v>
      </c>
      <c r="AM99">
        <v>0.2</v>
      </c>
      <c r="AN99">
        <v>0.5</v>
      </c>
      <c r="AO99">
        <v>0.3</v>
      </c>
      <c r="AP99">
        <v>0</v>
      </c>
      <c r="AQ99">
        <v>0</v>
      </c>
      <c r="AR99">
        <v>0</v>
      </c>
      <c r="AS99">
        <v>0</v>
      </c>
      <c r="AT99">
        <v>0</v>
      </c>
      <c r="AU99">
        <v>0</v>
      </c>
      <c r="AV99">
        <v>0</v>
      </c>
      <c r="AW99">
        <v>0</v>
      </c>
      <c r="AX99">
        <v>0</v>
      </c>
      <c r="AY99">
        <v>0</v>
      </c>
      <c r="AZ99">
        <v>0</v>
      </c>
      <c r="BA99">
        <v>0</v>
      </c>
      <c r="BB99">
        <v>0</v>
      </c>
      <c r="BC99">
        <v>0</v>
      </c>
      <c r="BD99">
        <v>0</v>
      </c>
      <c r="BE99">
        <v>0</v>
      </c>
      <c r="BF99">
        <v>0</v>
      </c>
      <c r="BG99">
        <v>0</v>
      </c>
      <c r="BH99">
        <v>0</v>
      </c>
      <c r="BI99">
        <v>0</v>
      </c>
      <c r="BJ99">
        <v>0</v>
      </c>
      <c r="BK99">
        <v>90</v>
      </c>
      <c r="BL99">
        <v>81</v>
      </c>
      <c r="BM99">
        <v>80</v>
      </c>
      <c r="BN99">
        <v>20</v>
      </c>
      <c r="BO99">
        <v>0</v>
      </c>
      <c r="BP99">
        <v>0</v>
      </c>
      <c r="BQ99">
        <v>0</v>
      </c>
      <c r="BR99">
        <v>0</v>
      </c>
      <c r="BS99">
        <v>3700</v>
      </c>
      <c r="BT99">
        <v>1100</v>
      </c>
      <c r="BU99">
        <v>67</v>
      </c>
      <c r="BV99">
        <v>0.6</v>
      </c>
      <c r="BW99">
        <v>0.68</v>
      </c>
      <c r="BX99">
        <v>1</v>
      </c>
      <c r="BY99">
        <v>0.92</v>
      </c>
      <c r="BZ99">
        <v>1</v>
      </c>
      <c r="CA99">
        <v>0.05</v>
      </c>
      <c r="CB99">
        <v>0.1</v>
      </c>
      <c r="CC99">
        <v>0.3</v>
      </c>
      <c r="CD99">
        <v>4.0000000000000001E-3</v>
      </c>
      <c r="CE99">
        <v>0.2</v>
      </c>
      <c r="CF99" t="b">
        <v>0</v>
      </c>
      <c r="CG99" t="b">
        <v>0</v>
      </c>
      <c r="CH99" t="s">
        <v>93</v>
      </c>
      <c r="CI99">
        <v>100</v>
      </c>
      <c r="CJ99">
        <v>0</v>
      </c>
      <c r="CK99">
        <v>0</v>
      </c>
      <c r="CL99">
        <v>3.69</v>
      </c>
    </row>
    <row r="100" spans="1:90" x14ac:dyDescent="0.25">
      <c r="A100">
        <v>229</v>
      </c>
      <c r="B100" t="s">
        <v>198</v>
      </c>
      <c r="C100" t="s">
        <v>199</v>
      </c>
      <c r="D100" t="s">
        <v>96</v>
      </c>
      <c r="E100">
        <v>100</v>
      </c>
      <c r="F100">
        <v>79</v>
      </c>
      <c r="G100">
        <v>0</v>
      </c>
      <c r="H100">
        <v>0</v>
      </c>
      <c r="I100">
        <v>0</v>
      </c>
      <c r="J100">
        <v>0</v>
      </c>
      <c r="K100">
        <v>0</v>
      </c>
      <c r="L100">
        <v>0</v>
      </c>
      <c r="M100">
        <v>0</v>
      </c>
      <c r="N100">
        <v>0</v>
      </c>
      <c r="O100">
        <v>0</v>
      </c>
      <c r="P100">
        <v>0</v>
      </c>
      <c r="Q100">
        <v>0</v>
      </c>
      <c r="R100">
        <v>0</v>
      </c>
      <c r="S100">
        <v>0</v>
      </c>
      <c r="T100">
        <v>0</v>
      </c>
      <c r="U100">
        <v>0</v>
      </c>
      <c r="V100">
        <v>0</v>
      </c>
      <c r="W100">
        <v>0</v>
      </c>
      <c r="X100">
        <v>0</v>
      </c>
      <c r="Y100">
        <v>0</v>
      </c>
      <c r="Z100">
        <v>31</v>
      </c>
      <c r="AA100">
        <v>12.9</v>
      </c>
      <c r="AB100">
        <v>0</v>
      </c>
      <c r="AC100">
        <v>0</v>
      </c>
      <c r="AD100">
        <v>5.7</v>
      </c>
      <c r="AE100">
        <v>0</v>
      </c>
      <c r="AF100">
        <v>2.5</v>
      </c>
      <c r="AG100">
        <v>0</v>
      </c>
      <c r="AH100">
        <v>2.7</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c r="BH100">
        <v>0</v>
      </c>
      <c r="BI100">
        <v>0</v>
      </c>
      <c r="BJ100">
        <v>0</v>
      </c>
      <c r="BK100">
        <v>91</v>
      </c>
      <c r="BL100">
        <v>73</v>
      </c>
      <c r="BM100">
        <v>0</v>
      </c>
      <c r="BN100">
        <v>100</v>
      </c>
      <c r="BO100">
        <v>0</v>
      </c>
      <c r="BP100">
        <v>0</v>
      </c>
      <c r="BQ100">
        <v>0</v>
      </c>
      <c r="BR100">
        <v>0</v>
      </c>
      <c r="BS100">
        <v>0</v>
      </c>
      <c r="BT100">
        <v>0</v>
      </c>
      <c r="BU100">
        <v>0</v>
      </c>
      <c r="BV100">
        <v>0.6</v>
      </c>
      <c r="BW100">
        <v>0.8</v>
      </c>
      <c r="BX100">
        <v>1</v>
      </c>
      <c r="BY100">
        <v>0</v>
      </c>
      <c r="BZ100">
        <v>0</v>
      </c>
      <c r="CA100">
        <v>0</v>
      </c>
      <c r="CB100">
        <v>0.01</v>
      </c>
      <c r="CC100">
        <v>0</v>
      </c>
      <c r="CD100">
        <v>0</v>
      </c>
      <c r="CE100">
        <v>0</v>
      </c>
      <c r="CF100" t="b">
        <v>0</v>
      </c>
      <c r="CG100" t="b">
        <v>0</v>
      </c>
      <c r="CH100" t="s">
        <v>93</v>
      </c>
      <c r="CI100">
        <v>100</v>
      </c>
      <c r="CJ100">
        <v>0</v>
      </c>
      <c r="CK100">
        <v>0</v>
      </c>
      <c r="CL100">
        <v>0</v>
      </c>
    </row>
    <row r="101" spans="1:90" x14ac:dyDescent="0.25">
      <c r="A101">
        <v>230</v>
      </c>
      <c r="B101" t="s">
        <v>200</v>
      </c>
      <c r="C101" t="s">
        <v>199</v>
      </c>
      <c r="D101" t="s">
        <v>201</v>
      </c>
      <c r="E101">
        <v>100</v>
      </c>
      <c r="F101">
        <v>100</v>
      </c>
      <c r="G101">
        <v>0</v>
      </c>
      <c r="H101">
        <v>0</v>
      </c>
      <c r="I101">
        <v>0</v>
      </c>
      <c r="J101">
        <v>0</v>
      </c>
      <c r="K101">
        <v>0</v>
      </c>
      <c r="L101">
        <v>0</v>
      </c>
      <c r="M101">
        <v>0</v>
      </c>
      <c r="N101">
        <v>0</v>
      </c>
      <c r="O101">
        <v>0</v>
      </c>
      <c r="P101">
        <v>0</v>
      </c>
      <c r="Q101">
        <v>0</v>
      </c>
      <c r="R101">
        <v>0</v>
      </c>
      <c r="S101">
        <v>0</v>
      </c>
      <c r="T101">
        <v>0</v>
      </c>
      <c r="U101">
        <v>0</v>
      </c>
      <c r="V101">
        <v>0</v>
      </c>
      <c r="W101">
        <v>0</v>
      </c>
      <c r="X101">
        <v>0</v>
      </c>
      <c r="Y101">
        <v>0</v>
      </c>
      <c r="Z101">
        <v>39.4</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c r="BJ101">
        <v>0</v>
      </c>
      <c r="BK101">
        <v>91</v>
      </c>
      <c r="BL101">
        <v>73</v>
      </c>
      <c r="BM101">
        <v>0</v>
      </c>
      <c r="BN101">
        <v>100</v>
      </c>
      <c r="BO101">
        <v>0</v>
      </c>
      <c r="BP101">
        <v>0</v>
      </c>
      <c r="BQ101">
        <v>0</v>
      </c>
      <c r="BR101">
        <v>0</v>
      </c>
      <c r="BS101">
        <v>0</v>
      </c>
      <c r="BT101">
        <v>0</v>
      </c>
      <c r="BU101">
        <v>0</v>
      </c>
      <c r="BV101">
        <v>0.5</v>
      </c>
      <c r="BW101">
        <v>0.68</v>
      </c>
      <c r="BX101">
        <v>0</v>
      </c>
      <c r="BY101">
        <v>0</v>
      </c>
      <c r="BZ101">
        <v>0</v>
      </c>
      <c r="CA101">
        <v>0</v>
      </c>
      <c r="CB101">
        <v>0</v>
      </c>
      <c r="CC101">
        <v>0</v>
      </c>
      <c r="CD101">
        <v>0</v>
      </c>
      <c r="CE101">
        <v>0</v>
      </c>
      <c r="CF101" t="b">
        <v>0</v>
      </c>
      <c r="CG101" t="b">
        <v>0</v>
      </c>
      <c r="CH101" t="s">
        <v>93</v>
      </c>
      <c r="CI101">
        <v>100</v>
      </c>
      <c r="CJ101">
        <v>0</v>
      </c>
      <c r="CK101">
        <v>0</v>
      </c>
      <c r="CL101">
        <v>0</v>
      </c>
    </row>
    <row r="102" spans="1:90" x14ac:dyDescent="0.25">
      <c r="A102">
        <v>231</v>
      </c>
      <c r="B102" t="s">
        <v>202</v>
      </c>
      <c r="C102" t="s">
        <v>199</v>
      </c>
      <c r="D102" t="s">
        <v>201</v>
      </c>
      <c r="E102">
        <v>100</v>
      </c>
      <c r="F102">
        <v>100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22</v>
      </c>
      <c r="AA102">
        <v>19.3</v>
      </c>
      <c r="AB102">
        <v>0</v>
      </c>
      <c r="AC102">
        <v>0</v>
      </c>
      <c r="AD102">
        <v>0</v>
      </c>
      <c r="AE102">
        <v>0</v>
      </c>
      <c r="AF102">
        <v>0</v>
      </c>
      <c r="AG102">
        <v>0</v>
      </c>
      <c r="AH102">
        <v>1.4</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c r="BH102">
        <v>0</v>
      </c>
      <c r="BI102">
        <v>0</v>
      </c>
      <c r="BJ102">
        <v>0</v>
      </c>
      <c r="BK102">
        <v>91</v>
      </c>
      <c r="BL102">
        <v>73</v>
      </c>
      <c r="BM102">
        <v>0</v>
      </c>
      <c r="BN102">
        <v>100</v>
      </c>
      <c r="BO102">
        <v>0</v>
      </c>
      <c r="BP102">
        <v>0</v>
      </c>
      <c r="BQ102">
        <v>0</v>
      </c>
      <c r="BR102">
        <v>0</v>
      </c>
      <c r="BS102">
        <v>0</v>
      </c>
      <c r="BT102">
        <v>0</v>
      </c>
      <c r="BU102">
        <v>0</v>
      </c>
      <c r="BV102">
        <v>0.75</v>
      </c>
      <c r="BW102">
        <v>0.8</v>
      </c>
      <c r="BX102">
        <v>0</v>
      </c>
      <c r="BY102">
        <v>0</v>
      </c>
      <c r="BZ102">
        <v>0</v>
      </c>
      <c r="CA102">
        <v>0</v>
      </c>
      <c r="CB102">
        <v>0.01</v>
      </c>
      <c r="CC102">
        <v>0</v>
      </c>
      <c r="CD102">
        <v>0</v>
      </c>
      <c r="CE102">
        <v>0</v>
      </c>
      <c r="CF102" t="b">
        <v>0</v>
      </c>
      <c r="CG102" t="b">
        <v>0</v>
      </c>
      <c r="CH102" t="s">
        <v>93</v>
      </c>
      <c r="CI102">
        <v>100</v>
      </c>
      <c r="CJ102">
        <v>0</v>
      </c>
      <c r="CK102">
        <v>0</v>
      </c>
      <c r="CL102">
        <v>0</v>
      </c>
    </row>
    <row r="103" spans="1:90" x14ac:dyDescent="0.25">
      <c r="A103">
        <v>232</v>
      </c>
      <c r="B103" t="s">
        <v>203</v>
      </c>
      <c r="C103" t="s">
        <v>199</v>
      </c>
      <c r="D103" t="s">
        <v>201</v>
      </c>
      <c r="E103">
        <v>100</v>
      </c>
      <c r="F103">
        <v>100</v>
      </c>
      <c r="G103">
        <v>0</v>
      </c>
      <c r="H103">
        <v>0</v>
      </c>
      <c r="I103">
        <v>0</v>
      </c>
      <c r="J103">
        <v>0</v>
      </c>
      <c r="K103">
        <v>0</v>
      </c>
      <c r="L103">
        <v>0</v>
      </c>
      <c r="M103">
        <v>0</v>
      </c>
      <c r="N103">
        <v>0</v>
      </c>
      <c r="O103">
        <v>0</v>
      </c>
      <c r="P103">
        <v>0</v>
      </c>
      <c r="Q103">
        <v>0</v>
      </c>
      <c r="R103">
        <v>0</v>
      </c>
      <c r="S103">
        <v>0</v>
      </c>
      <c r="T103">
        <v>0</v>
      </c>
      <c r="U103">
        <v>0</v>
      </c>
      <c r="V103">
        <v>0</v>
      </c>
      <c r="W103">
        <v>0</v>
      </c>
      <c r="X103">
        <v>0</v>
      </c>
      <c r="Y103">
        <v>0</v>
      </c>
      <c r="Z103">
        <v>16.399999999999999</v>
      </c>
      <c r="AA103">
        <v>21.6</v>
      </c>
      <c r="AB103">
        <v>0</v>
      </c>
      <c r="AC103">
        <v>0</v>
      </c>
      <c r="AD103">
        <v>0</v>
      </c>
      <c r="AE103">
        <v>0</v>
      </c>
      <c r="AF103">
        <v>0</v>
      </c>
      <c r="AG103">
        <v>0</v>
      </c>
      <c r="AH103">
        <v>1.6</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0</v>
      </c>
      <c r="BG103">
        <v>0</v>
      </c>
      <c r="BH103">
        <v>0</v>
      </c>
      <c r="BI103">
        <v>0</v>
      </c>
      <c r="BJ103">
        <v>0</v>
      </c>
      <c r="BK103">
        <v>91</v>
      </c>
      <c r="BL103">
        <v>73</v>
      </c>
      <c r="BM103">
        <v>0</v>
      </c>
      <c r="BN103">
        <v>100</v>
      </c>
      <c r="BO103">
        <v>0</v>
      </c>
      <c r="BP103">
        <v>0</v>
      </c>
      <c r="BQ103">
        <v>0</v>
      </c>
      <c r="BR103">
        <v>0</v>
      </c>
      <c r="BS103">
        <v>0</v>
      </c>
      <c r="BT103">
        <v>0</v>
      </c>
      <c r="BU103">
        <v>0</v>
      </c>
      <c r="BV103">
        <v>0.6</v>
      </c>
      <c r="BW103">
        <v>0.68</v>
      </c>
      <c r="BX103">
        <v>0</v>
      </c>
      <c r="BY103">
        <v>0</v>
      </c>
      <c r="BZ103">
        <v>0</v>
      </c>
      <c r="CA103">
        <v>0</v>
      </c>
      <c r="CB103">
        <v>0.01</v>
      </c>
      <c r="CC103">
        <v>0</v>
      </c>
      <c r="CD103">
        <v>0</v>
      </c>
      <c r="CE103">
        <v>0</v>
      </c>
      <c r="CF103" t="b">
        <v>0</v>
      </c>
      <c r="CG103" t="b">
        <v>0</v>
      </c>
      <c r="CH103" t="s">
        <v>93</v>
      </c>
      <c r="CI103">
        <v>100</v>
      </c>
      <c r="CJ103">
        <v>0</v>
      </c>
      <c r="CK103">
        <v>0</v>
      </c>
      <c r="CL103">
        <v>0</v>
      </c>
    </row>
    <row r="104" spans="1:90" x14ac:dyDescent="0.25">
      <c r="A104">
        <v>233</v>
      </c>
      <c r="B104" t="s">
        <v>204</v>
      </c>
      <c r="C104" t="s">
        <v>199</v>
      </c>
      <c r="D104" t="s">
        <v>201</v>
      </c>
      <c r="E104">
        <v>100</v>
      </c>
      <c r="F104">
        <v>100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23.3</v>
      </c>
      <c r="AA104">
        <v>0</v>
      </c>
      <c r="AB104">
        <v>0</v>
      </c>
      <c r="AC104">
        <v>0</v>
      </c>
      <c r="AD104">
        <v>0</v>
      </c>
      <c r="AE104">
        <v>0</v>
      </c>
      <c r="AF104">
        <v>23.5</v>
      </c>
      <c r="AG104">
        <v>0</v>
      </c>
      <c r="AH104">
        <v>0</v>
      </c>
      <c r="AI104">
        <v>0</v>
      </c>
      <c r="AJ104">
        <v>0</v>
      </c>
      <c r="AK104">
        <v>0</v>
      </c>
      <c r="AL104">
        <v>0</v>
      </c>
      <c r="AM104">
        <v>0</v>
      </c>
      <c r="AN104">
        <v>0</v>
      </c>
      <c r="AO104">
        <v>0</v>
      </c>
      <c r="AP104">
        <v>0</v>
      </c>
      <c r="AQ104">
        <v>0</v>
      </c>
      <c r="AR104">
        <v>0</v>
      </c>
      <c r="AS104">
        <v>0</v>
      </c>
      <c r="AT104">
        <v>0</v>
      </c>
      <c r="AU104">
        <v>0</v>
      </c>
      <c r="AV104">
        <v>0</v>
      </c>
      <c r="AW104">
        <v>0</v>
      </c>
      <c r="AX104">
        <v>0</v>
      </c>
      <c r="AY104">
        <v>0</v>
      </c>
      <c r="AZ104">
        <v>0</v>
      </c>
      <c r="BA104">
        <v>0</v>
      </c>
      <c r="BB104">
        <v>0</v>
      </c>
      <c r="BC104">
        <v>0</v>
      </c>
      <c r="BD104">
        <v>0</v>
      </c>
      <c r="BE104">
        <v>0</v>
      </c>
      <c r="BF104">
        <v>0</v>
      </c>
      <c r="BG104">
        <v>0</v>
      </c>
      <c r="BH104">
        <v>0</v>
      </c>
      <c r="BI104">
        <v>0</v>
      </c>
      <c r="BJ104">
        <v>0</v>
      </c>
      <c r="BK104">
        <v>91</v>
      </c>
      <c r="BL104">
        <v>73</v>
      </c>
      <c r="BM104">
        <v>0</v>
      </c>
      <c r="BN104">
        <v>100</v>
      </c>
      <c r="BO104">
        <v>0</v>
      </c>
      <c r="BP104">
        <v>0</v>
      </c>
      <c r="BQ104">
        <v>0</v>
      </c>
      <c r="BR104">
        <v>0</v>
      </c>
      <c r="BS104">
        <v>0</v>
      </c>
      <c r="BT104">
        <v>0</v>
      </c>
      <c r="BU104">
        <v>0</v>
      </c>
      <c r="BV104">
        <v>0.6</v>
      </c>
      <c r="BW104">
        <v>0.68</v>
      </c>
      <c r="BX104">
        <v>0</v>
      </c>
      <c r="BY104">
        <v>0</v>
      </c>
      <c r="BZ104">
        <v>0</v>
      </c>
      <c r="CA104">
        <v>0</v>
      </c>
      <c r="CB104">
        <v>0</v>
      </c>
      <c r="CC104">
        <v>0</v>
      </c>
      <c r="CD104">
        <v>0</v>
      </c>
      <c r="CE104">
        <v>0</v>
      </c>
      <c r="CF104" t="b">
        <v>0</v>
      </c>
      <c r="CG104" t="b">
        <v>0</v>
      </c>
      <c r="CH104" t="s">
        <v>93</v>
      </c>
      <c r="CI104">
        <v>100</v>
      </c>
      <c r="CJ104">
        <v>0</v>
      </c>
      <c r="CK104">
        <v>0</v>
      </c>
      <c r="CL104">
        <v>0</v>
      </c>
    </row>
    <row r="105" spans="1:90" x14ac:dyDescent="0.25">
      <c r="A105">
        <v>234</v>
      </c>
      <c r="B105" t="s">
        <v>205</v>
      </c>
      <c r="C105" t="s">
        <v>199</v>
      </c>
      <c r="D105" t="s">
        <v>201</v>
      </c>
      <c r="E105">
        <v>100</v>
      </c>
      <c r="F105">
        <v>100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35</v>
      </c>
      <c r="AA105">
        <v>0</v>
      </c>
      <c r="AB105">
        <v>1</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0</v>
      </c>
      <c r="BD105">
        <v>0</v>
      </c>
      <c r="BE105">
        <v>0</v>
      </c>
      <c r="BF105">
        <v>0</v>
      </c>
      <c r="BG105">
        <v>0</v>
      </c>
      <c r="BH105">
        <v>0</v>
      </c>
      <c r="BI105">
        <v>0</v>
      </c>
      <c r="BJ105">
        <v>0</v>
      </c>
      <c r="BK105">
        <v>91</v>
      </c>
      <c r="BL105">
        <v>73</v>
      </c>
      <c r="BM105">
        <v>0</v>
      </c>
      <c r="BN105">
        <v>100</v>
      </c>
      <c r="BO105">
        <v>0</v>
      </c>
      <c r="BP105">
        <v>0</v>
      </c>
      <c r="BQ105">
        <v>0</v>
      </c>
      <c r="BR105">
        <v>0</v>
      </c>
      <c r="BS105">
        <v>0</v>
      </c>
      <c r="BT105">
        <v>0</v>
      </c>
      <c r="BU105">
        <v>0</v>
      </c>
      <c r="BV105">
        <v>0.45</v>
      </c>
      <c r="BW105">
        <v>0.68</v>
      </c>
      <c r="BX105">
        <v>0</v>
      </c>
      <c r="BY105">
        <v>0</v>
      </c>
      <c r="BZ105">
        <v>0</v>
      </c>
      <c r="CA105">
        <v>0</v>
      </c>
      <c r="CB105">
        <v>0</v>
      </c>
      <c r="CC105">
        <v>0.12</v>
      </c>
      <c r="CD105">
        <v>0</v>
      </c>
      <c r="CE105">
        <v>0</v>
      </c>
      <c r="CF105" t="b">
        <v>0</v>
      </c>
      <c r="CG105" t="b">
        <v>0</v>
      </c>
      <c r="CH105" t="s">
        <v>93</v>
      </c>
      <c r="CI105">
        <v>100</v>
      </c>
      <c r="CJ105">
        <v>0</v>
      </c>
      <c r="CK105">
        <v>0</v>
      </c>
      <c r="CL105">
        <v>0</v>
      </c>
    </row>
    <row r="106" spans="1:90" x14ac:dyDescent="0.25">
      <c r="A106">
        <v>235</v>
      </c>
      <c r="B106" t="s">
        <v>206</v>
      </c>
      <c r="C106" t="s">
        <v>199</v>
      </c>
      <c r="D106" t="s">
        <v>201</v>
      </c>
      <c r="E106">
        <v>100</v>
      </c>
      <c r="F106">
        <v>100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22</v>
      </c>
      <c r="AA106">
        <v>0</v>
      </c>
      <c r="AB106">
        <v>10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c r="BH106">
        <v>0</v>
      </c>
      <c r="BI106">
        <v>0</v>
      </c>
      <c r="BJ106">
        <v>0</v>
      </c>
      <c r="BK106">
        <v>91</v>
      </c>
      <c r="BL106">
        <v>73</v>
      </c>
      <c r="BM106">
        <v>0</v>
      </c>
      <c r="BN106">
        <v>100</v>
      </c>
      <c r="BO106">
        <v>0</v>
      </c>
      <c r="BP106">
        <v>0</v>
      </c>
      <c r="BQ106">
        <v>0</v>
      </c>
      <c r="BR106">
        <v>0</v>
      </c>
      <c r="BS106">
        <v>0</v>
      </c>
      <c r="BT106">
        <v>0</v>
      </c>
      <c r="BU106">
        <v>0</v>
      </c>
      <c r="BV106">
        <v>0.35</v>
      </c>
      <c r="BW106">
        <v>0.68</v>
      </c>
      <c r="BX106">
        <v>0</v>
      </c>
      <c r="BY106">
        <v>0</v>
      </c>
      <c r="BZ106">
        <v>0</v>
      </c>
      <c r="CA106">
        <v>0</v>
      </c>
      <c r="CB106">
        <v>0</v>
      </c>
      <c r="CC106">
        <v>0.12</v>
      </c>
      <c r="CD106">
        <v>0</v>
      </c>
      <c r="CE106">
        <v>0</v>
      </c>
      <c r="CF106" t="b">
        <v>0</v>
      </c>
      <c r="CG106" t="b">
        <v>0</v>
      </c>
      <c r="CH106" t="s">
        <v>93</v>
      </c>
      <c r="CI106">
        <v>100</v>
      </c>
      <c r="CJ106">
        <v>0</v>
      </c>
      <c r="CK106">
        <v>0</v>
      </c>
      <c r="CL106">
        <v>0</v>
      </c>
    </row>
    <row r="107" spans="1:90" x14ac:dyDescent="0.25">
      <c r="A107">
        <v>236</v>
      </c>
      <c r="B107" t="s">
        <v>207</v>
      </c>
      <c r="C107" t="s">
        <v>199</v>
      </c>
      <c r="D107" t="s">
        <v>201</v>
      </c>
      <c r="E107">
        <v>100</v>
      </c>
      <c r="F107">
        <v>100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56.2</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c r="BJ107">
        <v>0</v>
      </c>
      <c r="BK107">
        <v>91</v>
      </c>
      <c r="BL107">
        <v>73</v>
      </c>
      <c r="BM107">
        <v>0</v>
      </c>
      <c r="BN107">
        <v>100</v>
      </c>
      <c r="BO107">
        <v>0</v>
      </c>
      <c r="BP107">
        <v>0</v>
      </c>
      <c r="BQ107">
        <v>0</v>
      </c>
      <c r="BR107">
        <v>0</v>
      </c>
      <c r="BS107">
        <v>0</v>
      </c>
      <c r="BT107">
        <v>0</v>
      </c>
      <c r="BU107">
        <v>0</v>
      </c>
      <c r="BV107">
        <v>0.45</v>
      </c>
      <c r="BW107">
        <v>0.68</v>
      </c>
      <c r="BX107">
        <v>0</v>
      </c>
      <c r="BY107">
        <v>0</v>
      </c>
      <c r="BZ107">
        <v>0</v>
      </c>
      <c r="CA107">
        <v>0</v>
      </c>
      <c r="CB107">
        <v>0</v>
      </c>
      <c r="CC107">
        <v>0.23</v>
      </c>
      <c r="CD107">
        <v>0</v>
      </c>
      <c r="CE107">
        <v>0</v>
      </c>
      <c r="CF107" t="b">
        <v>0</v>
      </c>
      <c r="CG107" t="b">
        <v>0</v>
      </c>
      <c r="CH107" t="s">
        <v>93</v>
      </c>
      <c r="CI107">
        <v>100</v>
      </c>
      <c r="CJ107">
        <v>0</v>
      </c>
      <c r="CK107">
        <v>0</v>
      </c>
      <c r="CL107">
        <v>0</v>
      </c>
    </row>
    <row r="108" spans="1:90" x14ac:dyDescent="0.25">
      <c r="A108">
        <v>237</v>
      </c>
      <c r="B108" t="s">
        <v>208</v>
      </c>
      <c r="C108" t="s">
        <v>199</v>
      </c>
      <c r="D108" t="s">
        <v>201</v>
      </c>
      <c r="E108">
        <v>100</v>
      </c>
      <c r="F108">
        <v>100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50</v>
      </c>
      <c r="AD108">
        <v>0</v>
      </c>
      <c r="AE108">
        <v>50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c r="BJ108">
        <v>0</v>
      </c>
      <c r="BK108">
        <v>91</v>
      </c>
      <c r="BL108">
        <v>73</v>
      </c>
      <c r="BM108">
        <v>0</v>
      </c>
      <c r="BN108">
        <v>100</v>
      </c>
      <c r="BO108">
        <v>0</v>
      </c>
      <c r="BP108">
        <v>0</v>
      </c>
      <c r="BQ108">
        <v>0</v>
      </c>
      <c r="BR108">
        <v>0</v>
      </c>
      <c r="BS108">
        <v>0</v>
      </c>
      <c r="BT108">
        <v>0</v>
      </c>
      <c r="BU108">
        <v>0</v>
      </c>
      <c r="BV108">
        <v>0</v>
      </c>
      <c r="BW108">
        <v>0.68</v>
      </c>
      <c r="BX108">
        <v>0</v>
      </c>
      <c r="BY108">
        <v>0.92</v>
      </c>
      <c r="BZ108">
        <v>1</v>
      </c>
      <c r="CA108">
        <v>0</v>
      </c>
      <c r="CB108">
        <v>0</v>
      </c>
      <c r="CC108">
        <v>0</v>
      </c>
      <c r="CD108">
        <v>0</v>
      </c>
      <c r="CE108">
        <v>0</v>
      </c>
      <c r="CF108" t="b">
        <v>0</v>
      </c>
      <c r="CG108" t="b">
        <v>0</v>
      </c>
      <c r="CH108" t="s">
        <v>93</v>
      </c>
      <c r="CI108">
        <v>100</v>
      </c>
      <c r="CJ108">
        <v>0</v>
      </c>
      <c r="CK108">
        <v>0</v>
      </c>
      <c r="CL108">
        <v>0</v>
      </c>
    </row>
    <row r="109" spans="1:90" x14ac:dyDescent="0.25">
      <c r="A109">
        <v>239</v>
      </c>
      <c r="B109" t="s">
        <v>209</v>
      </c>
      <c r="C109" t="s">
        <v>199</v>
      </c>
      <c r="D109" t="s">
        <v>201</v>
      </c>
      <c r="E109">
        <v>100</v>
      </c>
      <c r="F109">
        <v>100</v>
      </c>
      <c r="G109">
        <v>0</v>
      </c>
      <c r="H109">
        <v>0</v>
      </c>
      <c r="I109">
        <v>0</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39.299999999999997</v>
      </c>
      <c r="AE109">
        <v>60.7</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c r="BH109">
        <v>0</v>
      </c>
      <c r="BI109">
        <v>0</v>
      </c>
      <c r="BJ109">
        <v>0</v>
      </c>
      <c r="BK109">
        <v>91</v>
      </c>
      <c r="BL109">
        <v>73</v>
      </c>
      <c r="BM109">
        <v>0</v>
      </c>
      <c r="BN109">
        <v>100</v>
      </c>
      <c r="BO109">
        <v>0</v>
      </c>
      <c r="BP109">
        <v>0</v>
      </c>
      <c r="BQ109">
        <v>0</v>
      </c>
      <c r="BR109">
        <v>0</v>
      </c>
      <c r="BS109">
        <v>0</v>
      </c>
      <c r="BT109">
        <v>0</v>
      </c>
      <c r="BU109">
        <v>0</v>
      </c>
      <c r="BV109">
        <v>0</v>
      </c>
      <c r="BW109">
        <v>0.68</v>
      </c>
      <c r="BX109">
        <v>1</v>
      </c>
      <c r="BY109">
        <v>0.92</v>
      </c>
      <c r="BZ109">
        <v>0</v>
      </c>
      <c r="CA109">
        <v>0</v>
      </c>
      <c r="CB109">
        <v>0</v>
      </c>
      <c r="CC109">
        <v>0</v>
      </c>
      <c r="CD109">
        <v>0</v>
      </c>
      <c r="CE109">
        <v>0</v>
      </c>
      <c r="CF109" t="b">
        <v>0</v>
      </c>
      <c r="CG109" t="b">
        <v>0</v>
      </c>
      <c r="CH109" t="s">
        <v>93</v>
      </c>
      <c r="CI109">
        <v>100</v>
      </c>
      <c r="CJ109">
        <v>0</v>
      </c>
      <c r="CK109">
        <v>0</v>
      </c>
      <c r="CL109">
        <v>0</v>
      </c>
    </row>
    <row r="110" spans="1:90" x14ac:dyDescent="0.25">
      <c r="A110">
        <v>240</v>
      </c>
      <c r="B110" t="s">
        <v>210</v>
      </c>
      <c r="C110" t="s">
        <v>199</v>
      </c>
      <c r="D110" t="s">
        <v>201</v>
      </c>
      <c r="E110">
        <v>100</v>
      </c>
      <c r="F110">
        <v>100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27</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c r="BH110">
        <v>0</v>
      </c>
      <c r="BI110">
        <v>0</v>
      </c>
      <c r="BJ110">
        <v>0</v>
      </c>
      <c r="BK110">
        <v>91</v>
      </c>
      <c r="BL110">
        <v>73</v>
      </c>
      <c r="BM110">
        <v>0</v>
      </c>
      <c r="BN110">
        <v>100</v>
      </c>
      <c r="BO110">
        <v>0</v>
      </c>
      <c r="BP110">
        <v>0</v>
      </c>
      <c r="BQ110">
        <v>0</v>
      </c>
      <c r="BR110">
        <v>0</v>
      </c>
      <c r="BS110">
        <v>0</v>
      </c>
      <c r="BT110">
        <v>0</v>
      </c>
      <c r="BU110">
        <v>0</v>
      </c>
      <c r="BV110">
        <v>0</v>
      </c>
      <c r="BW110">
        <v>0.68</v>
      </c>
      <c r="BX110">
        <v>1</v>
      </c>
      <c r="BY110">
        <v>0</v>
      </c>
      <c r="BZ110">
        <v>0</v>
      </c>
      <c r="CA110">
        <v>0</v>
      </c>
      <c r="CB110">
        <v>0</v>
      </c>
      <c r="CC110">
        <v>0</v>
      </c>
      <c r="CD110">
        <v>0</v>
      </c>
      <c r="CE110">
        <v>0</v>
      </c>
      <c r="CF110" t="b">
        <v>0</v>
      </c>
      <c r="CG110" t="b">
        <v>0</v>
      </c>
      <c r="CH110" t="s">
        <v>93</v>
      </c>
      <c r="CI110">
        <v>100</v>
      </c>
      <c r="CJ110">
        <v>0</v>
      </c>
      <c r="CK110">
        <v>0</v>
      </c>
      <c r="CL110">
        <v>0</v>
      </c>
    </row>
    <row r="111" spans="1:90" x14ac:dyDescent="0.25">
      <c r="A111">
        <v>241</v>
      </c>
      <c r="B111" t="s">
        <v>211</v>
      </c>
      <c r="C111" t="s">
        <v>199</v>
      </c>
      <c r="D111" t="s">
        <v>201</v>
      </c>
      <c r="E111">
        <v>100</v>
      </c>
      <c r="F111">
        <v>100</v>
      </c>
      <c r="G111">
        <v>0</v>
      </c>
      <c r="H111">
        <v>0</v>
      </c>
      <c r="I111">
        <v>0</v>
      </c>
      <c r="J111">
        <v>0</v>
      </c>
      <c r="K111">
        <v>0</v>
      </c>
      <c r="L111">
        <v>0</v>
      </c>
      <c r="M111">
        <v>0</v>
      </c>
      <c r="N111">
        <v>0</v>
      </c>
      <c r="O111">
        <v>0</v>
      </c>
      <c r="P111">
        <v>0</v>
      </c>
      <c r="Q111">
        <v>0</v>
      </c>
      <c r="R111">
        <v>0</v>
      </c>
      <c r="S111">
        <v>0</v>
      </c>
      <c r="T111">
        <v>0</v>
      </c>
      <c r="U111">
        <v>0</v>
      </c>
      <c r="V111">
        <v>0</v>
      </c>
      <c r="W111">
        <v>0</v>
      </c>
      <c r="X111">
        <v>0</v>
      </c>
      <c r="Y111">
        <v>0</v>
      </c>
      <c r="Z111">
        <v>0</v>
      </c>
      <c r="AA111">
        <v>22.5</v>
      </c>
      <c r="AB111">
        <v>0</v>
      </c>
      <c r="AC111">
        <v>0</v>
      </c>
      <c r="AD111">
        <v>16.7</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c r="BH111">
        <v>0</v>
      </c>
      <c r="BI111">
        <v>0</v>
      </c>
      <c r="BJ111">
        <v>0</v>
      </c>
      <c r="BK111">
        <v>91</v>
      </c>
      <c r="BL111">
        <v>73</v>
      </c>
      <c r="BM111">
        <v>0</v>
      </c>
      <c r="BN111">
        <v>100</v>
      </c>
      <c r="BO111">
        <v>0</v>
      </c>
      <c r="BP111">
        <v>0</v>
      </c>
      <c r="BQ111">
        <v>0</v>
      </c>
      <c r="BR111">
        <v>0</v>
      </c>
      <c r="BS111">
        <v>0</v>
      </c>
      <c r="BT111">
        <v>0</v>
      </c>
      <c r="BU111">
        <v>0</v>
      </c>
      <c r="BV111">
        <v>0</v>
      </c>
      <c r="BW111">
        <v>0.9</v>
      </c>
      <c r="BX111">
        <v>1</v>
      </c>
      <c r="BY111">
        <v>0</v>
      </c>
      <c r="BZ111">
        <v>0</v>
      </c>
      <c r="CA111">
        <v>0</v>
      </c>
      <c r="CB111">
        <v>0</v>
      </c>
      <c r="CC111">
        <v>0</v>
      </c>
      <c r="CD111">
        <v>0</v>
      </c>
      <c r="CE111">
        <v>0</v>
      </c>
      <c r="CF111" t="b">
        <v>0</v>
      </c>
      <c r="CG111" t="b">
        <v>0</v>
      </c>
      <c r="CH111" t="s">
        <v>93</v>
      </c>
      <c r="CI111">
        <v>100</v>
      </c>
      <c r="CJ111">
        <v>0</v>
      </c>
      <c r="CK111">
        <v>0</v>
      </c>
      <c r="CL111">
        <v>0</v>
      </c>
    </row>
    <row r="112" spans="1:90" x14ac:dyDescent="0.25">
      <c r="A112">
        <v>242</v>
      </c>
      <c r="B112" t="s">
        <v>212</v>
      </c>
      <c r="C112" t="s">
        <v>199</v>
      </c>
      <c r="D112" t="s">
        <v>201</v>
      </c>
      <c r="E112">
        <v>100</v>
      </c>
      <c r="F112">
        <v>100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14.3</v>
      </c>
      <c r="AE112">
        <v>0</v>
      </c>
      <c r="AF112">
        <v>10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c r="BH112">
        <v>0</v>
      </c>
      <c r="BI112">
        <v>0</v>
      </c>
      <c r="BJ112">
        <v>0</v>
      </c>
      <c r="BK112">
        <v>91</v>
      </c>
      <c r="BL112">
        <v>73</v>
      </c>
      <c r="BM112">
        <v>0</v>
      </c>
      <c r="BN112">
        <v>100</v>
      </c>
      <c r="BO112">
        <v>0</v>
      </c>
      <c r="BP112">
        <v>0</v>
      </c>
      <c r="BQ112">
        <v>0</v>
      </c>
      <c r="BR112">
        <v>0</v>
      </c>
      <c r="BS112">
        <v>0</v>
      </c>
      <c r="BT112">
        <v>0</v>
      </c>
      <c r="BU112">
        <v>0</v>
      </c>
      <c r="BV112">
        <v>0</v>
      </c>
      <c r="BW112">
        <v>0.68</v>
      </c>
      <c r="BX112">
        <v>1</v>
      </c>
      <c r="BY112">
        <v>0</v>
      </c>
      <c r="BZ112">
        <v>0</v>
      </c>
      <c r="CA112">
        <v>0</v>
      </c>
      <c r="CB112">
        <v>0</v>
      </c>
      <c r="CC112">
        <v>0</v>
      </c>
      <c r="CD112">
        <v>0</v>
      </c>
      <c r="CE112">
        <v>0</v>
      </c>
      <c r="CF112" t="b">
        <v>0</v>
      </c>
      <c r="CG112" t="b">
        <v>0</v>
      </c>
      <c r="CH112" t="s">
        <v>93</v>
      </c>
      <c r="CI112">
        <v>100</v>
      </c>
      <c r="CJ112">
        <v>0</v>
      </c>
      <c r="CK112">
        <v>0</v>
      </c>
      <c r="CL112">
        <v>0</v>
      </c>
    </row>
    <row r="113" spans="1:90" x14ac:dyDescent="0.25">
      <c r="A113">
        <v>243</v>
      </c>
      <c r="B113" t="s">
        <v>213</v>
      </c>
      <c r="C113" t="s">
        <v>199</v>
      </c>
      <c r="D113" t="s">
        <v>201</v>
      </c>
      <c r="E113">
        <v>100</v>
      </c>
      <c r="F113">
        <v>100</v>
      </c>
      <c r="G113">
        <v>0</v>
      </c>
      <c r="H113">
        <v>0</v>
      </c>
      <c r="I113">
        <v>0</v>
      </c>
      <c r="J113">
        <v>0</v>
      </c>
      <c r="K113">
        <v>0</v>
      </c>
      <c r="L113">
        <v>0</v>
      </c>
      <c r="M113">
        <v>0</v>
      </c>
      <c r="N113">
        <v>0</v>
      </c>
      <c r="O113">
        <v>0</v>
      </c>
      <c r="P113">
        <v>0</v>
      </c>
      <c r="Q113">
        <v>0</v>
      </c>
      <c r="R113">
        <v>0</v>
      </c>
      <c r="S113">
        <v>0</v>
      </c>
      <c r="T113">
        <v>0</v>
      </c>
      <c r="U113">
        <v>0</v>
      </c>
      <c r="V113">
        <v>0</v>
      </c>
      <c r="W113">
        <v>0</v>
      </c>
      <c r="X113">
        <v>0</v>
      </c>
      <c r="Y113">
        <v>0</v>
      </c>
      <c r="Z113">
        <v>0</v>
      </c>
      <c r="AA113">
        <v>0</v>
      </c>
      <c r="AB113">
        <v>0</v>
      </c>
      <c r="AC113">
        <v>41.8</v>
      </c>
      <c r="AD113">
        <v>0</v>
      </c>
      <c r="AE113">
        <v>0</v>
      </c>
      <c r="AF113">
        <v>17.399999999999999</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c r="BH113">
        <v>0</v>
      </c>
      <c r="BI113">
        <v>0</v>
      </c>
      <c r="BJ113">
        <v>0</v>
      </c>
      <c r="BK113">
        <v>91</v>
      </c>
      <c r="BL113">
        <v>73</v>
      </c>
      <c r="BM113">
        <v>0</v>
      </c>
      <c r="BN113">
        <v>100</v>
      </c>
      <c r="BO113">
        <v>0</v>
      </c>
      <c r="BP113">
        <v>0</v>
      </c>
      <c r="BQ113">
        <v>0</v>
      </c>
      <c r="BR113">
        <v>0</v>
      </c>
      <c r="BS113">
        <v>0</v>
      </c>
      <c r="BT113">
        <v>0</v>
      </c>
      <c r="BU113">
        <v>0</v>
      </c>
      <c r="BV113">
        <v>0</v>
      </c>
      <c r="BW113">
        <v>0.68</v>
      </c>
      <c r="BX113">
        <v>0</v>
      </c>
      <c r="BY113">
        <v>0</v>
      </c>
      <c r="BZ113">
        <v>1</v>
      </c>
      <c r="CA113">
        <v>0</v>
      </c>
      <c r="CB113">
        <v>0</v>
      </c>
      <c r="CC113">
        <v>0</v>
      </c>
      <c r="CD113">
        <v>0</v>
      </c>
      <c r="CE113">
        <v>0</v>
      </c>
      <c r="CF113" t="b">
        <v>0</v>
      </c>
      <c r="CG113" t="b">
        <v>0</v>
      </c>
      <c r="CH113" t="s">
        <v>93</v>
      </c>
      <c r="CI113">
        <v>100</v>
      </c>
      <c r="CJ113">
        <v>0</v>
      </c>
      <c r="CK113">
        <v>0</v>
      </c>
      <c r="CL113">
        <v>0</v>
      </c>
    </row>
    <row r="114" spans="1:90" x14ac:dyDescent="0.25">
      <c r="A114">
        <v>244</v>
      </c>
      <c r="B114" t="s">
        <v>214</v>
      </c>
      <c r="C114" t="s">
        <v>199</v>
      </c>
      <c r="D114" t="s">
        <v>201</v>
      </c>
      <c r="E114">
        <v>100</v>
      </c>
      <c r="F114">
        <v>33</v>
      </c>
      <c r="G114">
        <v>134.1</v>
      </c>
      <c r="H114">
        <v>100</v>
      </c>
      <c r="I114">
        <v>0</v>
      </c>
      <c r="J114">
        <v>0</v>
      </c>
      <c r="K114">
        <v>0</v>
      </c>
      <c r="L114">
        <v>11</v>
      </c>
      <c r="M114">
        <v>100</v>
      </c>
      <c r="N114">
        <v>0</v>
      </c>
      <c r="O114">
        <v>0</v>
      </c>
      <c r="P114">
        <v>0</v>
      </c>
      <c r="Q114">
        <v>0</v>
      </c>
      <c r="R114">
        <v>0</v>
      </c>
      <c r="S114">
        <v>0</v>
      </c>
      <c r="T114">
        <v>0</v>
      </c>
      <c r="U114">
        <v>0</v>
      </c>
      <c r="V114">
        <v>0</v>
      </c>
      <c r="W114">
        <v>0</v>
      </c>
      <c r="X114">
        <v>0</v>
      </c>
      <c r="Y114">
        <v>0</v>
      </c>
      <c r="Z114">
        <v>0</v>
      </c>
      <c r="AA114">
        <v>0</v>
      </c>
      <c r="AB114">
        <v>0</v>
      </c>
      <c r="AC114">
        <v>0</v>
      </c>
      <c r="AD114">
        <v>0</v>
      </c>
      <c r="AE114">
        <v>0</v>
      </c>
      <c r="AF114">
        <v>24.1</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c r="BH114">
        <v>0</v>
      </c>
      <c r="BI114">
        <v>0</v>
      </c>
      <c r="BJ114">
        <v>100</v>
      </c>
      <c r="BK114">
        <v>91</v>
      </c>
      <c r="BL114">
        <v>73</v>
      </c>
      <c r="BM114">
        <v>0</v>
      </c>
      <c r="BN114">
        <v>100</v>
      </c>
      <c r="BO114">
        <v>0</v>
      </c>
      <c r="BP114">
        <v>0</v>
      </c>
      <c r="BQ114">
        <v>0</v>
      </c>
      <c r="BR114">
        <v>0</v>
      </c>
      <c r="BS114">
        <v>0</v>
      </c>
      <c r="BT114">
        <v>0</v>
      </c>
      <c r="BU114">
        <v>0</v>
      </c>
      <c r="BV114">
        <v>0</v>
      </c>
      <c r="BW114">
        <v>0.68</v>
      </c>
      <c r="BX114">
        <v>0</v>
      </c>
      <c r="BY114">
        <v>0</v>
      </c>
      <c r="BZ114">
        <v>0</v>
      </c>
      <c r="CA114">
        <v>0</v>
      </c>
      <c r="CB114">
        <v>0</v>
      </c>
      <c r="CC114">
        <v>0</v>
      </c>
      <c r="CD114">
        <v>0</v>
      </c>
      <c r="CE114">
        <v>0</v>
      </c>
      <c r="CF114" t="b">
        <v>0</v>
      </c>
      <c r="CG114" t="b">
        <v>0</v>
      </c>
      <c r="CH114" t="s">
        <v>93</v>
      </c>
      <c r="CI114">
        <v>100</v>
      </c>
      <c r="CJ114">
        <v>0</v>
      </c>
      <c r="CK114">
        <v>0</v>
      </c>
      <c r="CL114">
        <v>0</v>
      </c>
    </row>
    <row r="115" spans="1:90" x14ac:dyDescent="0.25">
      <c r="A115">
        <v>245</v>
      </c>
      <c r="B115" t="s">
        <v>216</v>
      </c>
      <c r="C115" t="s">
        <v>199</v>
      </c>
      <c r="D115" t="s">
        <v>201</v>
      </c>
      <c r="E115">
        <v>100</v>
      </c>
      <c r="F115">
        <v>36</v>
      </c>
      <c r="G115">
        <v>115.9</v>
      </c>
      <c r="H115">
        <v>100</v>
      </c>
      <c r="I115">
        <v>0</v>
      </c>
      <c r="J115">
        <v>0</v>
      </c>
      <c r="K115">
        <v>0</v>
      </c>
      <c r="L115">
        <v>0</v>
      </c>
      <c r="M115">
        <v>100</v>
      </c>
      <c r="N115">
        <v>100</v>
      </c>
      <c r="O115">
        <v>0</v>
      </c>
      <c r="P115">
        <v>0</v>
      </c>
      <c r="Q115">
        <v>0</v>
      </c>
      <c r="R115">
        <v>0</v>
      </c>
      <c r="S115">
        <v>0</v>
      </c>
      <c r="T115">
        <v>0</v>
      </c>
      <c r="U115">
        <v>0</v>
      </c>
      <c r="V115">
        <v>0</v>
      </c>
      <c r="W115">
        <v>0</v>
      </c>
      <c r="X115">
        <v>0</v>
      </c>
      <c r="Y115">
        <v>0</v>
      </c>
      <c r="Z115">
        <v>0</v>
      </c>
      <c r="AA115">
        <v>20.6</v>
      </c>
      <c r="AB115">
        <v>0</v>
      </c>
      <c r="AC115">
        <v>0</v>
      </c>
      <c r="AD115">
        <v>0</v>
      </c>
      <c r="AE115">
        <v>0</v>
      </c>
      <c r="AF115">
        <v>2.2000000000000002</v>
      </c>
      <c r="AG115">
        <v>0</v>
      </c>
      <c r="AH115">
        <v>1.2</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c r="BH115">
        <v>0</v>
      </c>
      <c r="BI115">
        <v>0</v>
      </c>
      <c r="BJ115">
        <v>100</v>
      </c>
      <c r="BK115">
        <v>91</v>
      </c>
      <c r="BL115">
        <v>73</v>
      </c>
      <c r="BM115">
        <v>100</v>
      </c>
      <c r="BN115">
        <v>0</v>
      </c>
      <c r="BO115">
        <v>0</v>
      </c>
      <c r="BP115">
        <v>0</v>
      </c>
      <c r="BQ115">
        <v>0</v>
      </c>
      <c r="BR115">
        <v>0</v>
      </c>
      <c r="BS115">
        <v>0</v>
      </c>
      <c r="BT115">
        <v>0</v>
      </c>
      <c r="BU115">
        <v>0</v>
      </c>
      <c r="BV115">
        <v>0.6</v>
      </c>
      <c r="BW115">
        <v>0.8</v>
      </c>
      <c r="BX115">
        <v>1</v>
      </c>
      <c r="BY115">
        <v>0.92</v>
      </c>
      <c r="BZ115">
        <v>1</v>
      </c>
      <c r="CA115">
        <v>0.05</v>
      </c>
      <c r="CB115">
        <v>0.1</v>
      </c>
      <c r="CC115">
        <v>0.3</v>
      </c>
      <c r="CD115">
        <v>4.0000000000000001E-3</v>
      </c>
      <c r="CE115">
        <v>0.2</v>
      </c>
      <c r="CF115" t="b">
        <v>0</v>
      </c>
      <c r="CG115" t="b">
        <v>0</v>
      </c>
      <c r="CH115" t="s">
        <v>93</v>
      </c>
      <c r="CI115">
        <v>100</v>
      </c>
      <c r="CJ115">
        <v>0</v>
      </c>
      <c r="CK115">
        <v>0</v>
      </c>
      <c r="CL115">
        <v>0</v>
      </c>
    </row>
    <row r="116" spans="1:90" x14ac:dyDescent="0.25">
      <c r="A116">
        <v>246</v>
      </c>
      <c r="B116" t="s">
        <v>217</v>
      </c>
      <c r="C116" t="s">
        <v>199</v>
      </c>
      <c r="D116" t="s">
        <v>201</v>
      </c>
      <c r="E116">
        <v>100</v>
      </c>
      <c r="F116">
        <v>100</v>
      </c>
      <c r="G116">
        <v>163.6</v>
      </c>
      <c r="H116">
        <v>100</v>
      </c>
      <c r="I116">
        <v>0</v>
      </c>
      <c r="J116">
        <v>0</v>
      </c>
      <c r="K116">
        <v>1</v>
      </c>
      <c r="L116">
        <v>0</v>
      </c>
      <c r="M116">
        <v>100</v>
      </c>
      <c r="N116">
        <v>100</v>
      </c>
      <c r="O116">
        <v>0</v>
      </c>
      <c r="P116">
        <v>0</v>
      </c>
      <c r="Q116">
        <v>0</v>
      </c>
      <c r="R116">
        <v>0</v>
      </c>
      <c r="S116">
        <v>0</v>
      </c>
      <c r="T116">
        <v>0</v>
      </c>
      <c r="U116">
        <v>0</v>
      </c>
      <c r="V116">
        <v>0</v>
      </c>
      <c r="W116">
        <v>0</v>
      </c>
      <c r="X116">
        <v>0</v>
      </c>
      <c r="Y116">
        <v>0</v>
      </c>
      <c r="Z116">
        <v>0</v>
      </c>
      <c r="AA116">
        <v>0</v>
      </c>
      <c r="AB116">
        <v>0</v>
      </c>
      <c r="AC116">
        <v>0</v>
      </c>
      <c r="AD116">
        <v>0</v>
      </c>
      <c r="AE116">
        <v>66.3</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c r="BH116">
        <v>0</v>
      </c>
      <c r="BI116">
        <v>0</v>
      </c>
      <c r="BJ116">
        <v>100</v>
      </c>
      <c r="BK116">
        <v>91</v>
      </c>
      <c r="BL116">
        <v>73</v>
      </c>
      <c r="BM116">
        <v>100</v>
      </c>
      <c r="BN116">
        <v>0</v>
      </c>
      <c r="BO116">
        <v>0</v>
      </c>
      <c r="BP116">
        <v>0</v>
      </c>
      <c r="BQ116">
        <v>0</v>
      </c>
      <c r="BR116">
        <v>0</v>
      </c>
      <c r="BS116">
        <v>0</v>
      </c>
      <c r="BT116">
        <v>0</v>
      </c>
      <c r="BU116">
        <v>0</v>
      </c>
      <c r="BV116">
        <v>0</v>
      </c>
      <c r="BW116">
        <v>0</v>
      </c>
      <c r="BX116">
        <v>0</v>
      </c>
      <c r="BY116">
        <v>0.92</v>
      </c>
      <c r="BZ116">
        <v>0</v>
      </c>
      <c r="CA116">
        <v>0</v>
      </c>
      <c r="CB116">
        <v>0</v>
      </c>
      <c r="CC116">
        <v>0</v>
      </c>
      <c r="CD116">
        <v>0</v>
      </c>
      <c r="CE116">
        <v>0</v>
      </c>
      <c r="CF116" t="b">
        <v>0</v>
      </c>
      <c r="CG116" t="b">
        <v>0</v>
      </c>
      <c r="CH116" t="s">
        <v>93</v>
      </c>
      <c r="CI116">
        <v>100</v>
      </c>
      <c r="CJ116">
        <v>0</v>
      </c>
      <c r="CK116">
        <v>0</v>
      </c>
      <c r="CL116">
        <v>0</v>
      </c>
    </row>
    <row r="117" spans="1:90" x14ac:dyDescent="0.25">
      <c r="A117">
        <v>247</v>
      </c>
      <c r="B117" t="s">
        <v>218</v>
      </c>
      <c r="C117" t="s">
        <v>199</v>
      </c>
      <c r="D117" t="s">
        <v>201</v>
      </c>
      <c r="E117">
        <v>100</v>
      </c>
      <c r="F117">
        <v>100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27.5</v>
      </c>
      <c r="AA117">
        <v>0</v>
      </c>
      <c r="AB117">
        <v>0</v>
      </c>
      <c r="AC117">
        <v>0</v>
      </c>
      <c r="AD117">
        <v>0</v>
      </c>
      <c r="AE117">
        <v>48.2</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0</v>
      </c>
      <c r="AY117">
        <v>0</v>
      </c>
      <c r="AZ117">
        <v>0</v>
      </c>
      <c r="BA117">
        <v>0</v>
      </c>
      <c r="BB117">
        <v>0</v>
      </c>
      <c r="BC117">
        <v>0</v>
      </c>
      <c r="BD117">
        <v>0</v>
      </c>
      <c r="BE117">
        <v>0</v>
      </c>
      <c r="BF117">
        <v>0</v>
      </c>
      <c r="BG117">
        <v>0</v>
      </c>
      <c r="BH117">
        <v>0</v>
      </c>
      <c r="BI117">
        <v>0</v>
      </c>
      <c r="BJ117">
        <v>0</v>
      </c>
      <c r="BK117">
        <v>91</v>
      </c>
      <c r="BL117">
        <v>73</v>
      </c>
      <c r="BM117">
        <v>0</v>
      </c>
      <c r="BN117">
        <v>100</v>
      </c>
      <c r="BO117">
        <v>0</v>
      </c>
      <c r="BP117">
        <v>0</v>
      </c>
      <c r="BQ117">
        <v>0</v>
      </c>
      <c r="BR117">
        <v>0</v>
      </c>
      <c r="BS117">
        <v>0</v>
      </c>
      <c r="BT117">
        <v>0</v>
      </c>
      <c r="BU117">
        <v>0</v>
      </c>
      <c r="BV117">
        <v>0.6</v>
      </c>
      <c r="BW117">
        <v>0.68</v>
      </c>
      <c r="BX117">
        <v>0</v>
      </c>
      <c r="BY117">
        <v>0.92</v>
      </c>
      <c r="BZ117">
        <v>0</v>
      </c>
      <c r="CA117">
        <v>0</v>
      </c>
      <c r="CB117">
        <v>0</v>
      </c>
      <c r="CC117">
        <v>0</v>
      </c>
      <c r="CD117">
        <v>0</v>
      </c>
      <c r="CE117">
        <v>0</v>
      </c>
      <c r="CF117" t="b">
        <v>0</v>
      </c>
      <c r="CG117" t="b">
        <v>0</v>
      </c>
      <c r="CH117" t="s">
        <v>93</v>
      </c>
      <c r="CI117">
        <v>100</v>
      </c>
      <c r="CJ117">
        <v>0</v>
      </c>
      <c r="CK117">
        <v>0</v>
      </c>
      <c r="CL117">
        <v>0</v>
      </c>
    </row>
    <row r="118" spans="1:90" x14ac:dyDescent="0.25">
      <c r="A118">
        <v>248</v>
      </c>
      <c r="B118" t="s">
        <v>219</v>
      </c>
      <c r="C118" t="s">
        <v>199</v>
      </c>
      <c r="D118" t="s">
        <v>201</v>
      </c>
      <c r="E118">
        <v>100</v>
      </c>
      <c r="F118">
        <v>100</v>
      </c>
      <c r="G118">
        <v>0</v>
      </c>
      <c r="H118">
        <v>0</v>
      </c>
      <c r="I118">
        <v>0</v>
      </c>
      <c r="J118">
        <v>0</v>
      </c>
      <c r="K118">
        <v>0</v>
      </c>
      <c r="L118">
        <v>0</v>
      </c>
      <c r="M118">
        <v>0</v>
      </c>
      <c r="N118">
        <v>0</v>
      </c>
      <c r="O118">
        <v>0</v>
      </c>
      <c r="P118">
        <v>0</v>
      </c>
      <c r="Q118">
        <v>0</v>
      </c>
      <c r="R118">
        <v>0</v>
      </c>
      <c r="S118">
        <v>0</v>
      </c>
      <c r="T118">
        <v>0</v>
      </c>
      <c r="U118">
        <v>0</v>
      </c>
      <c r="V118">
        <v>0</v>
      </c>
      <c r="W118">
        <v>0</v>
      </c>
      <c r="X118">
        <v>0</v>
      </c>
      <c r="Y118">
        <v>0</v>
      </c>
      <c r="Z118">
        <v>36.1</v>
      </c>
      <c r="AA118">
        <v>0</v>
      </c>
      <c r="AB118">
        <v>0</v>
      </c>
      <c r="AC118">
        <v>0</v>
      </c>
      <c r="AD118">
        <v>0</v>
      </c>
      <c r="AE118">
        <v>63.9</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0</v>
      </c>
      <c r="BF118">
        <v>0</v>
      </c>
      <c r="BG118">
        <v>0</v>
      </c>
      <c r="BH118">
        <v>0</v>
      </c>
      <c r="BI118">
        <v>0</v>
      </c>
      <c r="BJ118">
        <v>0</v>
      </c>
      <c r="BK118">
        <v>91</v>
      </c>
      <c r="BL118">
        <v>73</v>
      </c>
      <c r="BM118">
        <v>0</v>
      </c>
      <c r="BN118">
        <v>100</v>
      </c>
      <c r="BO118">
        <v>0</v>
      </c>
      <c r="BP118">
        <v>0</v>
      </c>
      <c r="BQ118">
        <v>0</v>
      </c>
      <c r="BR118">
        <v>0</v>
      </c>
      <c r="BS118">
        <v>0</v>
      </c>
      <c r="BT118">
        <v>0</v>
      </c>
      <c r="BU118">
        <v>0</v>
      </c>
      <c r="BV118">
        <v>0.6</v>
      </c>
      <c r="BW118">
        <v>0.68</v>
      </c>
      <c r="BX118">
        <v>0</v>
      </c>
      <c r="BY118">
        <v>0.92</v>
      </c>
      <c r="BZ118">
        <v>0</v>
      </c>
      <c r="CA118">
        <v>0</v>
      </c>
      <c r="CB118">
        <v>0</v>
      </c>
      <c r="CC118">
        <v>0</v>
      </c>
      <c r="CD118">
        <v>0</v>
      </c>
      <c r="CE118">
        <v>0</v>
      </c>
      <c r="CF118" t="b">
        <v>0</v>
      </c>
      <c r="CG118" t="b">
        <v>0</v>
      </c>
      <c r="CH118" t="s">
        <v>93</v>
      </c>
      <c r="CI118">
        <v>100</v>
      </c>
      <c r="CJ118">
        <v>0</v>
      </c>
      <c r="CK118">
        <v>0</v>
      </c>
      <c r="CL118">
        <v>0</v>
      </c>
    </row>
    <row r="119" spans="1:90" x14ac:dyDescent="0.25">
      <c r="A119">
        <v>249</v>
      </c>
      <c r="B119" t="s">
        <v>220</v>
      </c>
      <c r="C119" t="s">
        <v>199</v>
      </c>
      <c r="D119" t="s">
        <v>201</v>
      </c>
      <c r="E119">
        <v>100</v>
      </c>
      <c r="F119">
        <v>100</v>
      </c>
      <c r="G119">
        <v>0</v>
      </c>
      <c r="H119">
        <v>0</v>
      </c>
      <c r="I119">
        <v>0</v>
      </c>
      <c r="J119">
        <v>0</v>
      </c>
      <c r="K119">
        <v>0</v>
      </c>
      <c r="L119">
        <v>0</v>
      </c>
      <c r="M119">
        <v>0</v>
      </c>
      <c r="N119">
        <v>0</v>
      </c>
      <c r="O119">
        <v>0</v>
      </c>
      <c r="P119">
        <v>0</v>
      </c>
      <c r="Q119">
        <v>0</v>
      </c>
      <c r="R119">
        <v>0</v>
      </c>
      <c r="S119">
        <v>0</v>
      </c>
      <c r="T119">
        <v>0</v>
      </c>
      <c r="U119">
        <v>0</v>
      </c>
      <c r="V119">
        <v>0</v>
      </c>
      <c r="W119">
        <v>0</v>
      </c>
      <c r="X119">
        <v>0</v>
      </c>
      <c r="Y119">
        <v>0</v>
      </c>
      <c r="Z119">
        <v>54.1</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c r="BJ119">
        <v>0</v>
      </c>
      <c r="BK119">
        <v>91</v>
      </c>
      <c r="BL119">
        <v>73</v>
      </c>
      <c r="BM119">
        <v>0</v>
      </c>
      <c r="BN119">
        <v>100</v>
      </c>
      <c r="BO119">
        <v>0</v>
      </c>
      <c r="BP119">
        <v>0</v>
      </c>
      <c r="BQ119">
        <v>0</v>
      </c>
      <c r="BR119">
        <v>0</v>
      </c>
      <c r="BS119">
        <v>0</v>
      </c>
      <c r="BT119">
        <v>0</v>
      </c>
      <c r="BU119">
        <v>0</v>
      </c>
      <c r="BV119">
        <v>0.6</v>
      </c>
      <c r="BW119">
        <v>0.68</v>
      </c>
      <c r="BX119">
        <v>0</v>
      </c>
      <c r="BY119">
        <v>0</v>
      </c>
      <c r="BZ119">
        <v>0</v>
      </c>
      <c r="CA119">
        <v>0</v>
      </c>
      <c r="CB119">
        <v>0</v>
      </c>
      <c r="CC119">
        <v>0</v>
      </c>
      <c r="CD119">
        <v>0</v>
      </c>
      <c r="CE119">
        <v>0</v>
      </c>
      <c r="CF119" t="b">
        <v>0</v>
      </c>
      <c r="CG119" t="b">
        <v>0</v>
      </c>
      <c r="CH119" t="s">
        <v>93</v>
      </c>
      <c r="CI119">
        <v>100</v>
      </c>
      <c r="CJ119">
        <v>0</v>
      </c>
      <c r="CK119">
        <v>0</v>
      </c>
      <c r="CL119">
        <v>-1</v>
      </c>
    </row>
    <row r="120" spans="1:90" x14ac:dyDescent="0.25">
      <c r="A120">
        <v>250</v>
      </c>
      <c r="B120" t="s">
        <v>221</v>
      </c>
      <c r="C120" t="s">
        <v>199</v>
      </c>
      <c r="D120" t="s">
        <v>201</v>
      </c>
      <c r="E120">
        <v>100</v>
      </c>
      <c r="F120">
        <v>100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71.5</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0</v>
      </c>
      <c r="BI120">
        <v>0</v>
      </c>
      <c r="BJ120">
        <v>0</v>
      </c>
      <c r="BK120">
        <v>91</v>
      </c>
      <c r="BL120">
        <v>73</v>
      </c>
      <c r="BM120">
        <v>0</v>
      </c>
      <c r="BN120">
        <v>100</v>
      </c>
      <c r="BO120">
        <v>0</v>
      </c>
      <c r="BP120">
        <v>0</v>
      </c>
      <c r="BQ120">
        <v>0</v>
      </c>
      <c r="BR120">
        <v>0</v>
      </c>
      <c r="BS120">
        <v>0</v>
      </c>
      <c r="BT120">
        <v>0</v>
      </c>
      <c r="BU120">
        <v>0</v>
      </c>
      <c r="BV120">
        <v>0.33</v>
      </c>
      <c r="BW120">
        <v>0.68</v>
      </c>
      <c r="BX120">
        <v>0</v>
      </c>
      <c r="BY120">
        <v>0</v>
      </c>
      <c r="BZ120">
        <v>0</v>
      </c>
      <c r="CA120">
        <v>0</v>
      </c>
      <c r="CB120">
        <v>0</v>
      </c>
      <c r="CC120">
        <v>0</v>
      </c>
      <c r="CD120">
        <v>0</v>
      </c>
      <c r="CE120">
        <v>0</v>
      </c>
      <c r="CF120" t="b">
        <v>0</v>
      </c>
      <c r="CG120" t="b">
        <v>0</v>
      </c>
      <c r="CH120" t="s">
        <v>93</v>
      </c>
      <c r="CI120">
        <v>100</v>
      </c>
      <c r="CJ120">
        <v>0</v>
      </c>
      <c r="CK120">
        <v>0</v>
      </c>
      <c r="CL120">
        <v>-1</v>
      </c>
    </row>
    <row r="121" spans="1:90" x14ac:dyDescent="0.25">
      <c r="A121">
        <v>251</v>
      </c>
      <c r="B121" t="s">
        <v>222</v>
      </c>
      <c r="C121" t="s">
        <v>199</v>
      </c>
      <c r="D121" t="s">
        <v>201</v>
      </c>
      <c r="E121">
        <v>100</v>
      </c>
      <c r="F121">
        <v>100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0</v>
      </c>
      <c r="AA121">
        <v>0</v>
      </c>
      <c r="AB121">
        <v>12</v>
      </c>
      <c r="AC121">
        <v>0</v>
      </c>
      <c r="AD121">
        <v>0</v>
      </c>
      <c r="AE121">
        <v>34.9</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c r="BH121">
        <v>0</v>
      </c>
      <c r="BI121">
        <v>0</v>
      </c>
      <c r="BJ121">
        <v>0</v>
      </c>
      <c r="BK121">
        <v>91</v>
      </c>
      <c r="BL121">
        <v>73</v>
      </c>
      <c r="BM121">
        <v>0</v>
      </c>
      <c r="BN121">
        <v>100</v>
      </c>
      <c r="BO121">
        <v>0</v>
      </c>
      <c r="BP121">
        <v>0</v>
      </c>
      <c r="BQ121">
        <v>0</v>
      </c>
      <c r="BR121">
        <v>0</v>
      </c>
      <c r="BS121">
        <v>0</v>
      </c>
      <c r="BT121">
        <v>0</v>
      </c>
      <c r="BU121">
        <v>0</v>
      </c>
      <c r="BV121">
        <v>0</v>
      </c>
      <c r="BW121">
        <v>0.68</v>
      </c>
      <c r="BX121">
        <v>0</v>
      </c>
      <c r="BY121">
        <v>0.92</v>
      </c>
      <c r="BZ121">
        <v>0</v>
      </c>
      <c r="CA121">
        <v>0</v>
      </c>
      <c r="CB121">
        <v>0</v>
      </c>
      <c r="CC121">
        <v>0.27</v>
      </c>
      <c r="CD121">
        <v>0</v>
      </c>
      <c r="CE121">
        <v>0</v>
      </c>
      <c r="CF121" t="b">
        <v>0</v>
      </c>
      <c r="CG121" t="b">
        <v>0</v>
      </c>
      <c r="CH121" t="s">
        <v>93</v>
      </c>
      <c r="CI121">
        <v>100</v>
      </c>
      <c r="CJ121">
        <v>0</v>
      </c>
      <c r="CK121">
        <v>0</v>
      </c>
      <c r="CL121">
        <v>0</v>
      </c>
    </row>
    <row r="122" spans="1:90" x14ac:dyDescent="0.25">
      <c r="A122">
        <v>252</v>
      </c>
      <c r="B122" t="s">
        <v>223</v>
      </c>
      <c r="C122" t="s">
        <v>199</v>
      </c>
      <c r="D122" t="s">
        <v>201</v>
      </c>
      <c r="E122">
        <v>100</v>
      </c>
      <c r="F122">
        <v>100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38</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v>0</v>
      </c>
      <c r="BE122">
        <v>0</v>
      </c>
      <c r="BF122">
        <v>0</v>
      </c>
      <c r="BG122">
        <v>0</v>
      </c>
      <c r="BH122">
        <v>0</v>
      </c>
      <c r="BI122">
        <v>0</v>
      </c>
      <c r="BJ122">
        <v>0</v>
      </c>
      <c r="BK122">
        <v>91</v>
      </c>
      <c r="BL122">
        <v>73</v>
      </c>
      <c r="BM122">
        <v>0</v>
      </c>
      <c r="BN122">
        <v>100</v>
      </c>
      <c r="BO122">
        <v>0</v>
      </c>
      <c r="BP122">
        <v>0</v>
      </c>
      <c r="BQ122">
        <v>0</v>
      </c>
      <c r="BR122">
        <v>0</v>
      </c>
      <c r="BS122">
        <v>0</v>
      </c>
      <c r="BT122">
        <v>0</v>
      </c>
      <c r="BU122">
        <v>0</v>
      </c>
      <c r="BV122">
        <v>0.5</v>
      </c>
      <c r="BW122">
        <v>0.68</v>
      </c>
      <c r="BX122">
        <v>0</v>
      </c>
      <c r="BY122">
        <v>0</v>
      </c>
      <c r="BZ122">
        <v>0</v>
      </c>
      <c r="CA122">
        <v>0</v>
      </c>
      <c r="CB122">
        <v>0</v>
      </c>
      <c r="CC122">
        <v>0</v>
      </c>
      <c r="CD122">
        <v>0</v>
      </c>
      <c r="CE122">
        <v>0</v>
      </c>
      <c r="CF122" t="b">
        <v>0</v>
      </c>
      <c r="CG122" t="b">
        <v>0</v>
      </c>
      <c r="CH122" t="s">
        <v>93</v>
      </c>
      <c r="CI122">
        <v>100</v>
      </c>
      <c r="CJ122">
        <v>0</v>
      </c>
      <c r="CK122">
        <v>0</v>
      </c>
      <c r="CL122">
        <v>-1</v>
      </c>
    </row>
    <row r="123" spans="1:90" x14ac:dyDescent="0.25">
      <c r="A123">
        <v>253</v>
      </c>
      <c r="B123" t="s">
        <v>224</v>
      </c>
      <c r="C123" t="s">
        <v>199</v>
      </c>
      <c r="D123" t="s">
        <v>201</v>
      </c>
      <c r="E123">
        <v>100</v>
      </c>
      <c r="F123">
        <v>100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30.8</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0</v>
      </c>
      <c r="BF123">
        <v>0</v>
      </c>
      <c r="BG123">
        <v>0</v>
      </c>
      <c r="BH123">
        <v>0</v>
      </c>
      <c r="BI123">
        <v>0</v>
      </c>
      <c r="BJ123">
        <v>0</v>
      </c>
      <c r="BK123">
        <v>91</v>
      </c>
      <c r="BL123">
        <v>73</v>
      </c>
      <c r="BM123">
        <v>0</v>
      </c>
      <c r="BN123">
        <v>100</v>
      </c>
      <c r="BO123">
        <v>0</v>
      </c>
      <c r="BP123">
        <v>0</v>
      </c>
      <c r="BQ123">
        <v>0</v>
      </c>
      <c r="BR123">
        <v>0</v>
      </c>
      <c r="BS123">
        <v>0</v>
      </c>
      <c r="BT123">
        <v>0</v>
      </c>
      <c r="BU123">
        <v>0</v>
      </c>
      <c r="BV123">
        <v>0</v>
      </c>
      <c r="BW123">
        <v>0.68</v>
      </c>
      <c r="BX123">
        <v>0</v>
      </c>
      <c r="BY123">
        <v>0</v>
      </c>
      <c r="BZ123">
        <v>0</v>
      </c>
      <c r="CA123">
        <v>0</v>
      </c>
      <c r="CB123">
        <v>0</v>
      </c>
      <c r="CC123">
        <v>0.23</v>
      </c>
      <c r="CD123">
        <v>0</v>
      </c>
      <c r="CE123">
        <v>0</v>
      </c>
      <c r="CF123" t="b">
        <v>0</v>
      </c>
      <c r="CG123" t="b">
        <v>0</v>
      </c>
      <c r="CH123" t="s">
        <v>93</v>
      </c>
      <c r="CI123">
        <v>100</v>
      </c>
      <c r="CJ123">
        <v>0</v>
      </c>
      <c r="CK123">
        <v>0</v>
      </c>
      <c r="CL123">
        <v>-1</v>
      </c>
    </row>
    <row r="124" spans="1:90" x14ac:dyDescent="0.25">
      <c r="A124">
        <v>254</v>
      </c>
      <c r="B124" t="s">
        <v>225</v>
      </c>
      <c r="C124" t="s">
        <v>199</v>
      </c>
      <c r="D124" t="s">
        <v>201</v>
      </c>
      <c r="E124">
        <v>100</v>
      </c>
      <c r="F124">
        <v>100</v>
      </c>
      <c r="G124">
        <v>0</v>
      </c>
      <c r="H124">
        <v>0</v>
      </c>
      <c r="I124">
        <v>0</v>
      </c>
      <c r="J124">
        <v>0</v>
      </c>
      <c r="K124">
        <v>0</v>
      </c>
      <c r="L124">
        <v>0</v>
      </c>
      <c r="M124">
        <v>0</v>
      </c>
      <c r="N124">
        <v>0</v>
      </c>
      <c r="O124">
        <v>0</v>
      </c>
      <c r="P124">
        <v>0</v>
      </c>
      <c r="Q124">
        <v>0</v>
      </c>
      <c r="R124">
        <v>0</v>
      </c>
      <c r="S124">
        <v>0</v>
      </c>
      <c r="T124">
        <v>0</v>
      </c>
      <c r="U124">
        <v>0</v>
      </c>
      <c r="V124">
        <v>0</v>
      </c>
      <c r="W124">
        <v>0</v>
      </c>
      <c r="X124">
        <v>0</v>
      </c>
      <c r="Y124">
        <v>0</v>
      </c>
      <c r="Z124">
        <v>0</v>
      </c>
      <c r="AA124">
        <v>0</v>
      </c>
      <c r="AB124">
        <v>41.7</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0</v>
      </c>
      <c r="BG124">
        <v>0</v>
      </c>
      <c r="BH124">
        <v>0</v>
      </c>
      <c r="BI124">
        <v>0</v>
      </c>
      <c r="BJ124">
        <v>0</v>
      </c>
      <c r="BK124">
        <v>91</v>
      </c>
      <c r="BL124">
        <v>73</v>
      </c>
      <c r="BM124">
        <v>0</v>
      </c>
      <c r="BN124">
        <v>100</v>
      </c>
      <c r="BO124">
        <v>0</v>
      </c>
      <c r="BP124">
        <v>0</v>
      </c>
      <c r="BQ124">
        <v>0</v>
      </c>
      <c r="BR124">
        <v>0</v>
      </c>
      <c r="BS124">
        <v>0</v>
      </c>
      <c r="BT124">
        <v>0</v>
      </c>
      <c r="BU124">
        <v>0</v>
      </c>
      <c r="BV124">
        <v>0</v>
      </c>
      <c r="BW124">
        <v>0.68</v>
      </c>
      <c r="BX124">
        <v>0</v>
      </c>
      <c r="BY124">
        <v>0</v>
      </c>
      <c r="BZ124">
        <v>0</v>
      </c>
      <c r="CA124">
        <v>0</v>
      </c>
      <c r="CB124">
        <v>0</v>
      </c>
      <c r="CC124">
        <v>0.23</v>
      </c>
      <c r="CD124">
        <v>0</v>
      </c>
      <c r="CE124">
        <v>0</v>
      </c>
      <c r="CF124" t="b">
        <v>0</v>
      </c>
      <c r="CG124" t="b">
        <v>0</v>
      </c>
      <c r="CH124" t="s">
        <v>93</v>
      </c>
      <c r="CI124">
        <v>100</v>
      </c>
      <c r="CJ124">
        <v>0</v>
      </c>
      <c r="CK124">
        <v>0</v>
      </c>
      <c r="CL124">
        <v>-1</v>
      </c>
    </row>
    <row r="125" spans="1:90" x14ac:dyDescent="0.25">
      <c r="A125">
        <v>255</v>
      </c>
      <c r="B125" t="s">
        <v>226</v>
      </c>
      <c r="C125" t="s">
        <v>199</v>
      </c>
      <c r="D125" t="s">
        <v>201</v>
      </c>
      <c r="E125">
        <v>100</v>
      </c>
      <c r="F125">
        <v>100</v>
      </c>
      <c r="G125">
        <v>0</v>
      </c>
      <c r="H125">
        <v>0</v>
      </c>
      <c r="I125">
        <v>0</v>
      </c>
      <c r="J125">
        <v>0</v>
      </c>
      <c r="K125">
        <v>0</v>
      </c>
      <c r="L125">
        <v>0</v>
      </c>
      <c r="M125">
        <v>0</v>
      </c>
      <c r="N125">
        <v>0</v>
      </c>
      <c r="O125">
        <v>0</v>
      </c>
      <c r="P125">
        <v>0</v>
      </c>
      <c r="Q125">
        <v>0</v>
      </c>
      <c r="R125">
        <v>0</v>
      </c>
      <c r="S125">
        <v>0</v>
      </c>
      <c r="T125">
        <v>0</v>
      </c>
      <c r="U125">
        <v>0</v>
      </c>
      <c r="V125">
        <v>0</v>
      </c>
      <c r="W125">
        <v>0</v>
      </c>
      <c r="X125">
        <v>0</v>
      </c>
      <c r="Y125">
        <v>0</v>
      </c>
      <c r="Z125">
        <v>0</v>
      </c>
      <c r="AA125">
        <v>0</v>
      </c>
      <c r="AB125">
        <v>9.8000000000000007</v>
      </c>
      <c r="AC125">
        <v>0</v>
      </c>
      <c r="AD125">
        <v>0</v>
      </c>
      <c r="AE125">
        <v>0</v>
      </c>
      <c r="AF125">
        <v>13.3</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c r="BH125">
        <v>0</v>
      </c>
      <c r="BI125">
        <v>0</v>
      </c>
      <c r="BJ125">
        <v>0</v>
      </c>
      <c r="BK125">
        <v>91</v>
      </c>
      <c r="BL125">
        <v>73</v>
      </c>
      <c r="BM125">
        <v>0</v>
      </c>
      <c r="BN125">
        <v>100</v>
      </c>
      <c r="BO125">
        <v>0</v>
      </c>
      <c r="BP125">
        <v>0</v>
      </c>
      <c r="BQ125">
        <v>0</v>
      </c>
      <c r="BR125">
        <v>0</v>
      </c>
      <c r="BS125">
        <v>0</v>
      </c>
      <c r="BT125">
        <v>0</v>
      </c>
      <c r="BU125">
        <v>0</v>
      </c>
      <c r="BV125">
        <v>0</v>
      </c>
      <c r="BW125">
        <v>0.68</v>
      </c>
      <c r="BX125">
        <v>0</v>
      </c>
      <c r="BY125">
        <v>0</v>
      </c>
      <c r="BZ125">
        <v>0</v>
      </c>
      <c r="CA125">
        <v>0</v>
      </c>
      <c r="CB125">
        <v>0</v>
      </c>
      <c r="CC125">
        <v>0.27</v>
      </c>
      <c r="CD125">
        <v>0</v>
      </c>
      <c r="CE125">
        <v>0</v>
      </c>
      <c r="CF125" t="b">
        <v>0</v>
      </c>
      <c r="CG125" t="b">
        <v>0</v>
      </c>
      <c r="CH125" t="s">
        <v>93</v>
      </c>
      <c r="CI125">
        <v>100</v>
      </c>
      <c r="CJ125">
        <v>0</v>
      </c>
      <c r="CK125">
        <v>0</v>
      </c>
      <c r="CL125">
        <v>-1</v>
      </c>
    </row>
    <row r="126" spans="1:90" x14ac:dyDescent="0.25">
      <c r="A126">
        <v>256</v>
      </c>
      <c r="B126" t="s">
        <v>227</v>
      </c>
      <c r="C126" t="s">
        <v>199</v>
      </c>
      <c r="D126" t="s">
        <v>201</v>
      </c>
      <c r="E126">
        <v>100</v>
      </c>
      <c r="F126">
        <v>36</v>
      </c>
      <c r="G126">
        <v>70.900000000000006</v>
      </c>
      <c r="H126">
        <v>100</v>
      </c>
      <c r="I126">
        <v>0</v>
      </c>
      <c r="J126">
        <v>0</v>
      </c>
      <c r="K126">
        <v>0</v>
      </c>
      <c r="L126">
        <v>0</v>
      </c>
      <c r="M126">
        <v>100</v>
      </c>
      <c r="N126">
        <v>0</v>
      </c>
      <c r="O126">
        <v>0</v>
      </c>
      <c r="P126">
        <v>0</v>
      </c>
      <c r="Q126">
        <v>0</v>
      </c>
      <c r="R126">
        <v>0</v>
      </c>
      <c r="S126">
        <v>0</v>
      </c>
      <c r="T126">
        <v>0</v>
      </c>
      <c r="U126">
        <v>0</v>
      </c>
      <c r="V126">
        <v>0</v>
      </c>
      <c r="W126">
        <v>0</v>
      </c>
      <c r="X126">
        <v>0</v>
      </c>
      <c r="Y126">
        <v>0</v>
      </c>
      <c r="Z126">
        <v>0</v>
      </c>
      <c r="AA126">
        <v>24.7</v>
      </c>
      <c r="AB126">
        <v>0</v>
      </c>
      <c r="AC126">
        <v>0</v>
      </c>
      <c r="AD126">
        <v>0</v>
      </c>
      <c r="AE126">
        <v>0</v>
      </c>
      <c r="AF126">
        <v>1.5</v>
      </c>
      <c r="AG126">
        <v>0</v>
      </c>
      <c r="AH126">
        <v>1.7</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c r="BH126">
        <v>0</v>
      </c>
      <c r="BI126">
        <v>0</v>
      </c>
      <c r="BJ126">
        <v>100</v>
      </c>
      <c r="BK126">
        <v>91</v>
      </c>
      <c r="BL126">
        <v>73</v>
      </c>
      <c r="BM126">
        <v>100</v>
      </c>
      <c r="BN126">
        <v>0</v>
      </c>
      <c r="BO126">
        <v>0</v>
      </c>
      <c r="BP126">
        <v>0</v>
      </c>
      <c r="BQ126">
        <v>0</v>
      </c>
      <c r="BR126">
        <v>0</v>
      </c>
      <c r="BS126">
        <v>0</v>
      </c>
      <c r="BT126">
        <v>0</v>
      </c>
      <c r="BU126">
        <v>0</v>
      </c>
      <c r="BV126">
        <v>0.6</v>
      </c>
      <c r="BW126">
        <v>0.8</v>
      </c>
      <c r="BX126">
        <v>1</v>
      </c>
      <c r="BY126">
        <v>0.92</v>
      </c>
      <c r="BZ126">
        <v>1</v>
      </c>
      <c r="CA126">
        <v>0.05</v>
      </c>
      <c r="CB126">
        <v>0.1</v>
      </c>
      <c r="CC126">
        <v>0.3</v>
      </c>
      <c r="CD126">
        <v>4.0000000000000001E-3</v>
      </c>
      <c r="CE126">
        <v>0.2</v>
      </c>
      <c r="CF126" t="b">
        <v>0</v>
      </c>
      <c r="CG126" t="b">
        <v>0</v>
      </c>
      <c r="CH126" t="s">
        <v>93</v>
      </c>
      <c r="CI126">
        <v>100</v>
      </c>
      <c r="CJ126">
        <v>0</v>
      </c>
      <c r="CK126">
        <v>0</v>
      </c>
      <c r="CL126">
        <v>-1</v>
      </c>
    </row>
    <row r="127" spans="1:90" x14ac:dyDescent="0.25">
      <c r="A127">
        <v>257</v>
      </c>
      <c r="B127" t="s">
        <v>228</v>
      </c>
      <c r="C127" t="s">
        <v>199</v>
      </c>
      <c r="D127" t="s">
        <v>201</v>
      </c>
      <c r="E127">
        <v>100</v>
      </c>
      <c r="F127">
        <v>100</v>
      </c>
      <c r="G127">
        <v>0</v>
      </c>
      <c r="H127">
        <v>0</v>
      </c>
      <c r="I127">
        <v>0</v>
      </c>
      <c r="J127">
        <v>0</v>
      </c>
      <c r="K127">
        <v>0</v>
      </c>
      <c r="L127">
        <v>0</v>
      </c>
      <c r="M127">
        <v>0</v>
      </c>
      <c r="N127">
        <v>0</v>
      </c>
      <c r="O127">
        <v>0</v>
      </c>
      <c r="P127">
        <v>0</v>
      </c>
      <c r="Q127">
        <v>0</v>
      </c>
      <c r="R127">
        <v>0</v>
      </c>
      <c r="S127">
        <v>0</v>
      </c>
      <c r="T127">
        <v>0</v>
      </c>
      <c r="U127">
        <v>0</v>
      </c>
      <c r="V127">
        <v>0</v>
      </c>
      <c r="W127">
        <v>0</v>
      </c>
      <c r="X127">
        <v>0</v>
      </c>
      <c r="Y127">
        <v>0</v>
      </c>
      <c r="Z127">
        <v>35.1</v>
      </c>
      <c r="AA127">
        <v>14.1</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0</v>
      </c>
      <c r="BG127">
        <v>0</v>
      </c>
      <c r="BH127">
        <v>0</v>
      </c>
      <c r="BI127">
        <v>0</v>
      </c>
      <c r="BJ127">
        <v>0</v>
      </c>
      <c r="BK127">
        <v>91</v>
      </c>
      <c r="BL127">
        <v>73</v>
      </c>
      <c r="BM127">
        <v>0</v>
      </c>
      <c r="BN127">
        <v>100</v>
      </c>
      <c r="BO127">
        <v>0</v>
      </c>
      <c r="BP127">
        <v>0</v>
      </c>
      <c r="BQ127">
        <v>0</v>
      </c>
      <c r="BR127">
        <v>0</v>
      </c>
      <c r="BS127">
        <v>0</v>
      </c>
      <c r="BT127">
        <v>0</v>
      </c>
      <c r="BU127">
        <v>0</v>
      </c>
      <c r="BV127">
        <v>0.45</v>
      </c>
      <c r="BW127">
        <v>0.85</v>
      </c>
      <c r="BX127">
        <v>0</v>
      </c>
      <c r="BY127">
        <v>0</v>
      </c>
      <c r="BZ127">
        <v>0</v>
      </c>
      <c r="CA127">
        <v>0</v>
      </c>
      <c r="CB127">
        <v>0</v>
      </c>
      <c r="CC127">
        <v>0</v>
      </c>
      <c r="CD127">
        <v>0</v>
      </c>
      <c r="CE127">
        <v>0</v>
      </c>
      <c r="CF127" t="b">
        <v>0</v>
      </c>
      <c r="CG127" t="b">
        <v>0</v>
      </c>
      <c r="CH127" t="s">
        <v>93</v>
      </c>
      <c r="CI127">
        <v>100</v>
      </c>
      <c r="CJ127">
        <v>0</v>
      </c>
      <c r="CK127">
        <v>0</v>
      </c>
      <c r="CL127">
        <v>-1</v>
      </c>
    </row>
    <row r="128" spans="1:90" x14ac:dyDescent="0.25">
      <c r="A128">
        <v>258</v>
      </c>
      <c r="B128" t="s">
        <v>229</v>
      </c>
      <c r="C128" t="s">
        <v>199</v>
      </c>
      <c r="D128" t="s">
        <v>201</v>
      </c>
      <c r="E128">
        <v>100</v>
      </c>
      <c r="F128">
        <v>100</v>
      </c>
      <c r="G128">
        <v>0</v>
      </c>
      <c r="H128">
        <v>0</v>
      </c>
      <c r="I128">
        <v>0</v>
      </c>
      <c r="J128">
        <v>0</v>
      </c>
      <c r="K128">
        <v>0</v>
      </c>
      <c r="L128">
        <v>0</v>
      </c>
      <c r="M128">
        <v>0</v>
      </c>
      <c r="N128">
        <v>0</v>
      </c>
      <c r="O128">
        <v>0</v>
      </c>
      <c r="P128">
        <v>0</v>
      </c>
      <c r="Q128">
        <v>0</v>
      </c>
      <c r="R128">
        <v>0</v>
      </c>
      <c r="S128">
        <v>0</v>
      </c>
      <c r="T128">
        <v>0</v>
      </c>
      <c r="U128">
        <v>0</v>
      </c>
      <c r="V128">
        <v>0</v>
      </c>
      <c r="W128">
        <v>0</v>
      </c>
      <c r="X128">
        <v>0</v>
      </c>
      <c r="Y128">
        <v>0</v>
      </c>
      <c r="Z128">
        <v>32</v>
      </c>
      <c r="AA128">
        <v>18</v>
      </c>
      <c r="AB128">
        <v>0</v>
      </c>
      <c r="AC128">
        <v>0</v>
      </c>
      <c r="AD128">
        <v>4.9000000000000004</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c r="BH128">
        <v>0</v>
      </c>
      <c r="BI128">
        <v>0</v>
      </c>
      <c r="BJ128">
        <v>0</v>
      </c>
      <c r="BK128">
        <v>91</v>
      </c>
      <c r="BL128">
        <v>73</v>
      </c>
      <c r="BM128">
        <v>0</v>
      </c>
      <c r="BN128">
        <v>100</v>
      </c>
      <c r="BO128">
        <v>0</v>
      </c>
      <c r="BP128">
        <v>0</v>
      </c>
      <c r="BQ128">
        <v>0</v>
      </c>
      <c r="BR128">
        <v>0</v>
      </c>
      <c r="BS128">
        <v>0</v>
      </c>
      <c r="BT128">
        <v>0</v>
      </c>
      <c r="BU128">
        <v>0</v>
      </c>
      <c r="BV128">
        <v>0.45</v>
      </c>
      <c r="BW128">
        <v>0.65</v>
      </c>
      <c r="BX128">
        <v>1</v>
      </c>
      <c r="BY128">
        <v>0</v>
      </c>
      <c r="BZ128">
        <v>0</v>
      </c>
      <c r="CA128">
        <v>0</v>
      </c>
      <c r="CB128">
        <v>0</v>
      </c>
      <c r="CC128">
        <v>0</v>
      </c>
      <c r="CD128">
        <v>0</v>
      </c>
      <c r="CE128">
        <v>0</v>
      </c>
      <c r="CF128" t="b">
        <v>0</v>
      </c>
      <c r="CG128" t="b">
        <v>0</v>
      </c>
      <c r="CH128" t="s">
        <v>93</v>
      </c>
      <c r="CI128">
        <v>100</v>
      </c>
      <c r="CJ128">
        <v>0</v>
      </c>
      <c r="CK128">
        <v>0</v>
      </c>
      <c r="CL128">
        <v>-1</v>
      </c>
    </row>
    <row r="129" spans="1:90" x14ac:dyDescent="0.25">
      <c r="A129">
        <v>259</v>
      </c>
      <c r="B129" t="s">
        <v>230</v>
      </c>
      <c r="C129" t="s">
        <v>199</v>
      </c>
      <c r="D129" t="s">
        <v>201</v>
      </c>
      <c r="E129">
        <v>75</v>
      </c>
      <c r="F129">
        <v>100</v>
      </c>
      <c r="G129">
        <v>0</v>
      </c>
      <c r="H129">
        <v>0</v>
      </c>
      <c r="I129">
        <v>0</v>
      </c>
      <c r="J129">
        <v>0</v>
      </c>
      <c r="K129">
        <v>0</v>
      </c>
      <c r="L129">
        <v>0</v>
      </c>
      <c r="M129">
        <v>0</v>
      </c>
      <c r="N129">
        <v>0</v>
      </c>
      <c r="O129">
        <v>0</v>
      </c>
      <c r="P129">
        <v>0</v>
      </c>
      <c r="Q129">
        <v>0</v>
      </c>
      <c r="R129">
        <v>0</v>
      </c>
      <c r="S129">
        <v>0</v>
      </c>
      <c r="T129">
        <v>0</v>
      </c>
      <c r="U129">
        <v>0</v>
      </c>
      <c r="V129">
        <v>0</v>
      </c>
      <c r="W129">
        <v>0</v>
      </c>
      <c r="X129">
        <v>0</v>
      </c>
      <c r="Y129">
        <v>0</v>
      </c>
      <c r="Z129">
        <v>0</v>
      </c>
      <c r="AA129">
        <v>31.6</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0</v>
      </c>
      <c r="AX129">
        <v>0</v>
      </c>
      <c r="AY129">
        <v>0</v>
      </c>
      <c r="AZ129">
        <v>0</v>
      </c>
      <c r="BA129">
        <v>0</v>
      </c>
      <c r="BB129">
        <v>0</v>
      </c>
      <c r="BC129">
        <v>0</v>
      </c>
      <c r="BD129">
        <v>0</v>
      </c>
      <c r="BE129">
        <v>0</v>
      </c>
      <c r="BF129">
        <v>0</v>
      </c>
      <c r="BG129">
        <v>0</v>
      </c>
      <c r="BH129">
        <v>0</v>
      </c>
      <c r="BI129">
        <v>0</v>
      </c>
      <c r="BJ129">
        <v>0</v>
      </c>
      <c r="BK129">
        <v>91</v>
      </c>
      <c r="BL129">
        <v>73</v>
      </c>
      <c r="BM129">
        <v>0</v>
      </c>
      <c r="BN129">
        <v>100</v>
      </c>
      <c r="BO129">
        <v>0</v>
      </c>
      <c r="BP129">
        <v>0</v>
      </c>
      <c r="BQ129">
        <v>0</v>
      </c>
      <c r="BR129">
        <v>0</v>
      </c>
      <c r="BS129">
        <v>0</v>
      </c>
      <c r="BT129">
        <v>0</v>
      </c>
      <c r="BU129">
        <v>0</v>
      </c>
      <c r="BV129">
        <v>0</v>
      </c>
      <c r="BW129">
        <v>0.9</v>
      </c>
      <c r="BX129">
        <v>0</v>
      </c>
      <c r="BY129">
        <v>0</v>
      </c>
      <c r="BZ129">
        <v>0</v>
      </c>
      <c r="CA129">
        <v>0</v>
      </c>
      <c r="CB129">
        <v>0</v>
      </c>
      <c r="CC129">
        <v>0</v>
      </c>
      <c r="CD129">
        <v>0</v>
      </c>
      <c r="CE129">
        <v>0</v>
      </c>
      <c r="CF129" t="b">
        <v>0</v>
      </c>
      <c r="CG129" t="b">
        <v>0</v>
      </c>
      <c r="CH129" t="s">
        <v>93</v>
      </c>
      <c r="CI129">
        <v>100</v>
      </c>
      <c r="CJ129">
        <v>0</v>
      </c>
      <c r="CK129">
        <v>0</v>
      </c>
      <c r="CL129">
        <v>-1</v>
      </c>
    </row>
    <row r="130" spans="1:90" x14ac:dyDescent="0.25">
      <c r="A130">
        <v>260</v>
      </c>
      <c r="B130" t="s">
        <v>231</v>
      </c>
      <c r="C130" t="s">
        <v>199</v>
      </c>
      <c r="D130" t="s">
        <v>201</v>
      </c>
      <c r="E130">
        <v>100</v>
      </c>
      <c r="F130">
        <v>100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25</v>
      </c>
      <c r="AB130">
        <v>0</v>
      </c>
      <c r="AC130">
        <v>0</v>
      </c>
      <c r="AD130">
        <v>31</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0</v>
      </c>
      <c r="BH130">
        <v>0</v>
      </c>
      <c r="BI130">
        <v>0</v>
      </c>
      <c r="BJ130">
        <v>0</v>
      </c>
      <c r="BK130">
        <v>91</v>
      </c>
      <c r="BL130">
        <v>73</v>
      </c>
      <c r="BM130">
        <v>0</v>
      </c>
      <c r="BN130">
        <v>100</v>
      </c>
      <c r="BO130">
        <v>0</v>
      </c>
      <c r="BP130">
        <v>0</v>
      </c>
      <c r="BQ130">
        <v>0</v>
      </c>
      <c r="BR130">
        <v>0</v>
      </c>
      <c r="BS130">
        <v>0</v>
      </c>
      <c r="BT130">
        <v>0</v>
      </c>
      <c r="BU130">
        <v>0</v>
      </c>
      <c r="BV130">
        <v>0</v>
      </c>
      <c r="BW130">
        <v>0.75</v>
      </c>
      <c r="BX130">
        <v>1</v>
      </c>
      <c r="BY130">
        <v>0</v>
      </c>
      <c r="BZ130">
        <v>0</v>
      </c>
      <c r="CA130">
        <v>0</v>
      </c>
      <c r="CB130">
        <v>0</v>
      </c>
      <c r="CC130">
        <v>0</v>
      </c>
      <c r="CD130">
        <v>0</v>
      </c>
      <c r="CE130">
        <v>0</v>
      </c>
      <c r="CF130" t="b">
        <v>0</v>
      </c>
      <c r="CG130" t="b">
        <v>0</v>
      </c>
      <c r="CH130" t="s">
        <v>93</v>
      </c>
      <c r="CI130">
        <v>100</v>
      </c>
      <c r="CJ130">
        <v>0</v>
      </c>
      <c r="CK130">
        <v>0</v>
      </c>
      <c r="CL130">
        <v>-1</v>
      </c>
    </row>
    <row r="131" spans="1:90" x14ac:dyDescent="0.25">
      <c r="A131">
        <v>261</v>
      </c>
      <c r="B131" t="s">
        <v>232</v>
      </c>
      <c r="C131" t="s">
        <v>199</v>
      </c>
      <c r="D131" t="s">
        <v>201</v>
      </c>
      <c r="E131">
        <v>100</v>
      </c>
      <c r="F131">
        <v>100</v>
      </c>
      <c r="G131">
        <v>0</v>
      </c>
      <c r="H131">
        <v>0</v>
      </c>
      <c r="I131">
        <v>0</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39.1</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c r="BH131">
        <v>0</v>
      </c>
      <c r="BI131">
        <v>0</v>
      </c>
      <c r="BJ131">
        <v>0</v>
      </c>
      <c r="BK131">
        <v>91</v>
      </c>
      <c r="BL131">
        <v>73</v>
      </c>
      <c r="BM131">
        <v>0</v>
      </c>
      <c r="BN131">
        <v>100</v>
      </c>
      <c r="BO131">
        <v>0</v>
      </c>
      <c r="BP131">
        <v>0</v>
      </c>
      <c r="BQ131">
        <v>0</v>
      </c>
      <c r="BR131">
        <v>0</v>
      </c>
      <c r="BS131">
        <v>0</v>
      </c>
      <c r="BT131">
        <v>0</v>
      </c>
      <c r="BU131">
        <v>0</v>
      </c>
      <c r="BV131">
        <v>0</v>
      </c>
      <c r="BW131">
        <v>0.68</v>
      </c>
      <c r="BX131">
        <v>0</v>
      </c>
      <c r="BY131">
        <v>0</v>
      </c>
      <c r="BZ131">
        <v>1</v>
      </c>
      <c r="CA131">
        <v>0</v>
      </c>
      <c r="CB131">
        <v>0</v>
      </c>
      <c r="CC131">
        <v>0</v>
      </c>
      <c r="CD131">
        <v>0</v>
      </c>
      <c r="CE131">
        <v>0</v>
      </c>
      <c r="CF131" t="b">
        <v>0</v>
      </c>
      <c r="CG131" t="b">
        <v>0</v>
      </c>
      <c r="CH131" t="s">
        <v>93</v>
      </c>
      <c r="CI131">
        <v>100</v>
      </c>
      <c r="CJ131">
        <v>0</v>
      </c>
      <c r="CK131">
        <v>0</v>
      </c>
      <c r="CL131">
        <v>-1</v>
      </c>
    </row>
    <row r="132" spans="1:90" x14ac:dyDescent="0.25">
      <c r="A132">
        <v>262</v>
      </c>
      <c r="B132" t="s">
        <v>233</v>
      </c>
      <c r="C132" t="s">
        <v>199</v>
      </c>
      <c r="D132" t="s">
        <v>201</v>
      </c>
      <c r="E132">
        <v>100</v>
      </c>
      <c r="F132">
        <v>100</v>
      </c>
      <c r="G132">
        <v>0</v>
      </c>
      <c r="H132">
        <v>0</v>
      </c>
      <c r="I132">
        <v>0</v>
      </c>
      <c r="J132">
        <v>0</v>
      </c>
      <c r="K132">
        <v>0</v>
      </c>
      <c r="L132">
        <v>0</v>
      </c>
      <c r="M132">
        <v>0</v>
      </c>
      <c r="N132">
        <v>0</v>
      </c>
      <c r="O132">
        <v>0</v>
      </c>
      <c r="P132">
        <v>0</v>
      </c>
      <c r="Q132">
        <v>0</v>
      </c>
      <c r="R132">
        <v>0</v>
      </c>
      <c r="S132">
        <v>0</v>
      </c>
      <c r="T132">
        <v>0</v>
      </c>
      <c r="U132">
        <v>0</v>
      </c>
      <c r="V132">
        <v>0</v>
      </c>
      <c r="W132">
        <v>0</v>
      </c>
      <c r="X132">
        <v>0</v>
      </c>
      <c r="Y132">
        <v>0</v>
      </c>
      <c r="Z132">
        <v>0</v>
      </c>
      <c r="AA132">
        <v>0</v>
      </c>
      <c r="AB132">
        <v>0</v>
      </c>
      <c r="AC132">
        <v>56.6</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c r="BH132">
        <v>0</v>
      </c>
      <c r="BI132">
        <v>0</v>
      </c>
      <c r="BJ132">
        <v>0</v>
      </c>
      <c r="BK132">
        <v>91</v>
      </c>
      <c r="BL132">
        <v>73</v>
      </c>
      <c r="BM132">
        <v>0</v>
      </c>
      <c r="BN132">
        <v>100</v>
      </c>
      <c r="BO132">
        <v>0</v>
      </c>
      <c r="BP132">
        <v>0</v>
      </c>
      <c r="BQ132">
        <v>0</v>
      </c>
      <c r="BR132">
        <v>0</v>
      </c>
      <c r="BS132">
        <v>0</v>
      </c>
      <c r="BT132">
        <v>0</v>
      </c>
      <c r="BU132">
        <v>0</v>
      </c>
      <c r="BV132">
        <v>0</v>
      </c>
      <c r="BW132">
        <v>0.68</v>
      </c>
      <c r="BX132">
        <v>0</v>
      </c>
      <c r="BY132">
        <v>0</v>
      </c>
      <c r="BZ132">
        <v>1</v>
      </c>
      <c r="CA132">
        <v>0</v>
      </c>
      <c r="CB132">
        <v>0</v>
      </c>
      <c r="CC132">
        <v>0</v>
      </c>
      <c r="CD132">
        <v>0</v>
      </c>
      <c r="CE132">
        <v>0</v>
      </c>
      <c r="CF132" t="b">
        <v>0</v>
      </c>
      <c r="CG132" t="b">
        <v>0</v>
      </c>
      <c r="CH132" t="s">
        <v>93</v>
      </c>
      <c r="CI132">
        <v>100</v>
      </c>
      <c r="CJ132">
        <v>0</v>
      </c>
      <c r="CK132">
        <v>0</v>
      </c>
      <c r="CL132">
        <v>-1</v>
      </c>
    </row>
    <row r="133" spans="1:90" x14ac:dyDescent="0.25">
      <c r="A133">
        <v>263</v>
      </c>
      <c r="B133" t="s">
        <v>234</v>
      </c>
      <c r="C133" t="s">
        <v>199</v>
      </c>
      <c r="D133" t="s">
        <v>201</v>
      </c>
      <c r="E133">
        <v>100</v>
      </c>
      <c r="F133">
        <v>100</v>
      </c>
      <c r="G133">
        <v>0</v>
      </c>
      <c r="H133">
        <v>0</v>
      </c>
      <c r="I133">
        <v>0</v>
      </c>
      <c r="J133">
        <v>0</v>
      </c>
      <c r="K133">
        <v>0</v>
      </c>
      <c r="L133">
        <v>0</v>
      </c>
      <c r="M133">
        <v>0</v>
      </c>
      <c r="N133">
        <v>0</v>
      </c>
      <c r="O133">
        <v>0</v>
      </c>
      <c r="P133">
        <v>0</v>
      </c>
      <c r="Q133">
        <v>0</v>
      </c>
      <c r="R133">
        <v>0</v>
      </c>
      <c r="S133">
        <v>0</v>
      </c>
      <c r="T133">
        <v>0</v>
      </c>
      <c r="U133">
        <v>0</v>
      </c>
      <c r="V133">
        <v>0</v>
      </c>
      <c r="W133">
        <v>0</v>
      </c>
      <c r="X133">
        <v>0</v>
      </c>
      <c r="Y133">
        <v>0</v>
      </c>
      <c r="Z133">
        <v>0</v>
      </c>
      <c r="AA133">
        <v>0</v>
      </c>
      <c r="AB133">
        <v>0</v>
      </c>
      <c r="AC133">
        <v>21</v>
      </c>
      <c r="AD133">
        <v>0</v>
      </c>
      <c r="AE133">
        <v>0</v>
      </c>
      <c r="AF133">
        <v>0</v>
      </c>
      <c r="AG133">
        <v>0</v>
      </c>
      <c r="AH133">
        <v>0</v>
      </c>
      <c r="AI133">
        <v>0</v>
      </c>
      <c r="AJ133">
        <v>0</v>
      </c>
      <c r="AK133">
        <v>0</v>
      </c>
      <c r="AL133">
        <v>0</v>
      </c>
      <c r="AM133">
        <v>0</v>
      </c>
      <c r="AN133">
        <v>688000</v>
      </c>
      <c r="AO133">
        <v>0</v>
      </c>
      <c r="AP133">
        <v>0</v>
      </c>
      <c r="AQ133">
        <v>0</v>
      </c>
      <c r="AR133">
        <v>0</v>
      </c>
      <c r="AS133">
        <v>0</v>
      </c>
      <c r="AT133">
        <v>0</v>
      </c>
      <c r="AU133">
        <v>0</v>
      </c>
      <c r="AV133">
        <v>0</v>
      </c>
      <c r="AW133">
        <v>0</v>
      </c>
      <c r="AX133">
        <v>0</v>
      </c>
      <c r="AY133">
        <v>0</v>
      </c>
      <c r="AZ133">
        <v>0</v>
      </c>
      <c r="BA133">
        <v>0</v>
      </c>
      <c r="BB133">
        <v>0</v>
      </c>
      <c r="BC133">
        <v>0</v>
      </c>
      <c r="BD133">
        <v>0</v>
      </c>
      <c r="BE133">
        <v>0</v>
      </c>
      <c r="BF133">
        <v>0</v>
      </c>
      <c r="BG133">
        <v>0</v>
      </c>
      <c r="BH133">
        <v>0</v>
      </c>
      <c r="BI133">
        <v>0</v>
      </c>
      <c r="BJ133">
        <v>0</v>
      </c>
      <c r="BK133">
        <v>91</v>
      </c>
      <c r="BL133">
        <v>73</v>
      </c>
      <c r="BM133">
        <v>0</v>
      </c>
      <c r="BN133">
        <v>100</v>
      </c>
      <c r="BO133">
        <v>0</v>
      </c>
      <c r="BP133">
        <v>0</v>
      </c>
      <c r="BQ133">
        <v>0</v>
      </c>
      <c r="BR133">
        <v>0</v>
      </c>
      <c r="BS133">
        <v>0</v>
      </c>
      <c r="BT133">
        <v>0</v>
      </c>
      <c r="BU133">
        <v>0</v>
      </c>
      <c r="BV133">
        <v>0</v>
      </c>
      <c r="BW133">
        <v>0.68</v>
      </c>
      <c r="BX133">
        <v>0</v>
      </c>
      <c r="BY133">
        <v>0</v>
      </c>
      <c r="BZ133">
        <v>1</v>
      </c>
      <c r="CA133">
        <v>0</v>
      </c>
      <c r="CB133">
        <v>0</v>
      </c>
      <c r="CC133">
        <v>0</v>
      </c>
      <c r="CD133">
        <v>0</v>
      </c>
      <c r="CE133">
        <v>0</v>
      </c>
      <c r="CF133" t="b">
        <v>0</v>
      </c>
      <c r="CG133" t="b">
        <v>0</v>
      </c>
      <c r="CH133" t="s">
        <v>93</v>
      </c>
      <c r="CI133">
        <v>100</v>
      </c>
      <c r="CJ133">
        <v>0</v>
      </c>
      <c r="CK133">
        <v>0</v>
      </c>
      <c r="CL133">
        <v>-1</v>
      </c>
    </row>
    <row r="134" spans="1:90" x14ac:dyDescent="0.25">
      <c r="A134">
        <v>264</v>
      </c>
      <c r="B134" t="s">
        <v>235</v>
      </c>
      <c r="C134" t="s">
        <v>199</v>
      </c>
      <c r="D134" t="s">
        <v>201</v>
      </c>
      <c r="E134">
        <v>100</v>
      </c>
      <c r="F134">
        <v>100</v>
      </c>
      <c r="G134">
        <v>0</v>
      </c>
      <c r="H134">
        <v>0</v>
      </c>
      <c r="I134">
        <v>0</v>
      </c>
      <c r="J134">
        <v>0</v>
      </c>
      <c r="K134">
        <v>0</v>
      </c>
      <c r="L134">
        <v>0</v>
      </c>
      <c r="M134">
        <v>0</v>
      </c>
      <c r="N134">
        <v>0</v>
      </c>
      <c r="O134">
        <v>0</v>
      </c>
      <c r="P134">
        <v>0</v>
      </c>
      <c r="Q134">
        <v>0</v>
      </c>
      <c r="R134">
        <v>0</v>
      </c>
      <c r="S134">
        <v>0</v>
      </c>
      <c r="T134">
        <v>0</v>
      </c>
      <c r="U134">
        <v>0</v>
      </c>
      <c r="V134">
        <v>0</v>
      </c>
      <c r="W134">
        <v>0</v>
      </c>
      <c r="X134">
        <v>0</v>
      </c>
      <c r="Y134">
        <v>0</v>
      </c>
      <c r="Z134">
        <v>0</v>
      </c>
      <c r="AA134">
        <v>0</v>
      </c>
      <c r="AB134">
        <v>0</v>
      </c>
      <c r="AC134">
        <v>0</v>
      </c>
      <c r="AD134">
        <v>37.1</v>
      </c>
      <c r="AE134">
        <v>0</v>
      </c>
      <c r="AF134">
        <v>0</v>
      </c>
      <c r="AG134">
        <v>0</v>
      </c>
      <c r="AH134">
        <v>0</v>
      </c>
      <c r="AI134">
        <v>0</v>
      </c>
      <c r="AJ134">
        <v>0</v>
      </c>
      <c r="AK134">
        <v>0</v>
      </c>
      <c r="AL134">
        <v>0</v>
      </c>
      <c r="AM134">
        <v>0</v>
      </c>
      <c r="AN134">
        <v>0</v>
      </c>
      <c r="AO134">
        <v>0</v>
      </c>
      <c r="AP134">
        <v>0</v>
      </c>
      <c r="AQ134">
        <v>0</v>
      </c>
      <c r="AR134">
        <v>0</v>
      </c>
      <c r="AS134">
        <v>0</v>
      </c>
      <c r="AT134">
        <v>0</v>
      </c>
      <c r="AU134">
        <v>0</v>
      </c>
      <c r="AV134">
        <v>0</v>
      </c>
      <c r="AW134">
        <v>0</v>
      </c>
      <c r="AX134">
        <v>0</v>
      </c>
      <c r="AY134">
        <v>0</v>
      </c>
      <c r="AZ134">
        <v>0</v>
      </c>
      <c r="BA134">
        <v>0</v>
      </c>
      <c r="BB134">
        <v>0</v>
      </c>
      <c r="BC134">
        <v>0</v>
      </c>
      <c r="BD134">
        <v>0</v>
      </c>
      <c r="BE134">
        <v>0</v>
      </c>
      <c r="BF134">
        <v>0</v>
      </c>
      <c r="BG134">
        <v>0</v>
      </c>
      <c r="BH134">
        <v>0</v>
      </c>
      <c r="BI134">
        <v>0</v>
      </c>
      <c r="BJ134">
        <v>0</v>
      </c>
      <c r="BK134">
        <v>91</v>
      </c>
      <c r="BL134">
        <v>73</v>
      </c>
      <c r="BM134">
        <v>0</v>
      </c>
      <c r="BN134">
        <v>100</v>
      </c>
      <c r="BO134">
        <v>0</v>
      </c>
      <c r="BP134">
        <v>0</v>
      </c>
      <c r="BQ134">
        <v>0</v>
      </c>
      <c r="BR134">
        <v>0</v>
      </c>
      <c r="BS134">
        <v>0</v>
      </c>
      <c r="BT134">
        <v>0</v>
      </c>
      <c r="BU134">
        <v>0</v>
      </c>
      <c r="BV134">
        <v>0</v>
      </c>
      <c r="BW134">
        <v>0.68</v>
      </c>
      <c r="BX134">
        <v>1</v>
      </c>
      <c r="BY134">
        <v>0</v>
      </c>
      <c r="BZ134">
        <v>0</v>
      </c>
      <c r="CA134">
        <v>0</v>
      </c>
      <c r="CB134">
        <v>0</v>
      </c>
      <c r="CC134">
        <v>0</v>
      </c>
      <c r="CD134">
        <v>0</v>
      </c>
      <c r="CE134">
        <v>0</v>
      </c>
      <c r="CF134" t="b">
        <v>0</v>
      </c>
      <c r="CG134" t="b">
        <v>0</v>
      </c>
      <c r="CH134" t="s">
        <v>93</v>
      </c>
      <c r="CI134">
        <v>100</v>
      </c>
      <c r="CJ134">
        <v>0</v>
      </c>
      <c r="CK134">
        <v>0</v>
      </c>
      <c r="CL134">
        <v>-1</v>
      </c>
    </row>
    <row r="135" spans="1:90" x14ac:dyDescent="0.25">
      <c r="A135">
        <v>265</v>
      </c>
      <c r="B135" t="s">
        <v>236</v>
      </c>
      <c r="C135" t="s">
        <v>199</v>
      </c>
      <c r="D135" t="s">
        <v>201</v>
      </c>
      <c r="E135">
        <v>100</v>
      </c>
      <c r="F135">
        <v>100</v>
      </c>
      <c r="G135">
        <v>0</v>
      </c>
      <c r="H135">
        <v>0</v>
      </c>
      <c r="I135">
        <v>0</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30.5</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c r="BH135">
        <v>0</v>
      </c>
      <c r="BI135">
        <v>0</v>
      </c>
      <c r="BJ135">
        <v>0</v>
      </c>
      <c r="BK135">
        <v>91</v>
      </c>
      <c r="BL135">
        <v>73</v>
      </c>
      <c r="BM135">
        <v>0</v>
      </c>
      <c r="BN135">
        <v>100</v>
      </c>
      <c r="BO135">
        <v>0</v>
      </c>
      <c r="BP135">
        <v>0</v>
      </c>
      <c r="BQ135">
        <v>0</v>
      </c>
      <c r="BR135">
        <v>0</v>
      </c>
      <c r="BS135">
        <v>0</v>
      </c>
      <c r="BT135">
        <v>0</v>
      </c>
      <c r="BU135">
        <v>0</v>
      </c>
      <c r="BV135">
        <v>0</v>
      </c>
      <c r="BW135">
        <v>0.68</v>
      </c>
      <c r="BX135">
        <v>1</v>
      </c>
      <c r="BY135">
        <v>0</v>
      </c>
      <c r="BZ135">
        <v>0</v>
      </c>
      <c r="CA135">
        <v>0</v>
      </c>
      <c r="CB135">
        <v>0</v>
      </c>
      <c r="CC135">
        <v>0</v>
      </c>
      <c r="CD135">
        <v>0</v>
      </c>
      <c r="CE135">
        <v>0</v>
      </c>
      <c r="CF135" t="b">
        <v>0</v>
      </c>
      <c r="CG135" t="b">
        <v>0</v>
      </c>
      <c r="CH135" t="s">
        <v>93</v>
      </c>
      <c r="CI135">
        <v>100</v>
      </c>
      <c r="CJ135">
        <v>0</v>
      </c>
      <c r="CK135">
        <v>0</v>
      </c>
      <c r="CL135">
        <v>-1</v>
      </c>
    </row>
    <row r="136" spans="1:90" x14ac:dyDescent="0.25">
      <c r="A136">
        <v>266</v>
      </c>
      <c r="B136" t="s">
        <v>237</v>
      </c>
      <c r="C136" t="s">
        <v>199</v>
      </c>
      <c r="D136" t="s">
        <v>201</v>
      </c>
      <c r="E136">
        <v>100</v>
      </c>
      <c r="F136">
        <v>100</v>
      </c>
      <c r="G136">
        <v>0</v>
      </c>
      <c r="H136">
        <v>0</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460000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c r="BH136">
        <v>0</v>
      </c>
      <c r="BI136">
        <v>0</v>
      </c>
      <c r="BJ136">
        <v>0</v>
      </c>
      <c r="BK136">
        <v>91</v>
      </c>
      <c r="BL136">
        <v>73</v>
      </c>
      <c r="BM136">
        <v>0</v>
      </c>
      <c r="BN136">
        <v>100</v>
      </c>
      <c r="BO136">
        <v>0</v>
      </c>
      <c r="BP136">
        <v>0</v>
      </c>
      <c r="BQ136">
        <v>0</v>
      </c>
      <c r="BR136">
        <v>0</v>
      </c>
      <c r="BS136">
        <v>0</v>
      </c>
      <c r="BT136">
        <v>0</v>
      </c>
      <c r="BU136">
        <v>0</v>
      </c>
      <c r="BV136">
        <v>0</v>
      </c>
      <c r="BW136">
        <v>0.68</v>
      </c>
      <c r="BX136">
        <v>0</v>
      </c>
      <c r="BY136">
        <v>0</v>
      </c>
      <c r="BZ136">
        <v>0</v>
      </c>
      <c r="CA136">
        <v>0</v>
      </c>
      <c r="CB136">
        <v>0</v>
      </c>
      <c r="CC136">
        <v>0</v>
      </c>
      <c r="CD136">
        <v>0</v>
      </c>
      <c r="CE136">
        <v>0</v>
      </c>
      <c r="CF136" t="b">
        <v>0</v>
      </c>
      <c r="CG136" t="b">
        <v>0</v>
      </c>
      <c r="CH136" t="s">
        <v>93</v>
      </c>
      <c r="CI136">
        <v>100</v>
      </c>
      <c r="CJ136">
        <v>0</v>
      </c>
      <c r="CK136">
        <v>0</v>
      </c>
      <c r="CL136">
        <v>-1</v>
      </c>
    </row>
    <row r="137" spans="1:90" x14ac:dyDescent="0.25">
      <c r="A137">
        <v>267</v>
      </c>
      <c r="B137" t="s">
        <v>238</v>
      </c>
      <c r="C137" t="s">
        <v>199</v>
      </c>
      <c r="D137" t="s">
        <v>201</v>
      </c>
      <c r="E137">
        <v>100</v>
      </c>
      <c r="F137">
        <v>100</v>
      </c>
      <c r="G137">
        <v>0</v>
      </c>
      <c r="H137">
        <v>0</v>
      </c>
      <c r="I137">
        <v>0</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259000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c r="BH137">
        <v>0</v>
      </c>
      <c r="BI137">
        <v>0</v>
      </c>
      <c r="BJ137">
        <v>0</v>
      </c>
      <c r="BK137">
        <v>91</v>
      </c>
      <c r="BL137">
        <v>73</v>
      </c>
      <c r="BM137">
        <v>0</v>
      </c>
      <c r="BN137">
        <v>100</v>
      </c>
      <c r="BO137">
        <v>0</v>
      </c>
      <c r="BP137">
        <v>0</v>
      </c>
      <c r="BQ137">
        <v>0</v>
      </c>
      <c r="BR137">
        <v>0</v>
      </c>
      <c r="BS137">
        <v>0</v>
      </c>
      <c r="BT137">
        <v>0</v>
      </c>
      <c r="BU137">
        <v>0</v>
      </c>
      <c r="BV137">
        <v>0</v>
      </c>
      <c r="BW137">
        <v>0.68</v>
      </c>
      <c r="BX137">
        <v>0</v>
      </c>
      <c r="BY137">
        <v>0</v>
      </c>
      <c r="BZ137">
        <v>0</v>
      </c>
      <c r="CA137">
        <v>0</v>
      </c>
      <c r="CB137">
        <v>0</v>
      </c>
      <c r="CC137">
        <v>0</v>
      </c>
      <c r="CD137">
        <v>0</v>
      </c>
      <c r="CE137">
        <v>0</v>
      </c>
      <c r="CF137" t="b">
        <v>0</v>
      </c>
      <c r="CG137" t="b">
        <v>0</v>
      </c>
      <c r="CH137" t="s">
        <v>93</v>
      </c>
      <c r="CI137">
        <v>100</v>
      </c>
      <c r="CJ137">
        <v>0</v>
      </c>
      <c r="CK137">
        <v>0</v>
      </c>
      <c r="CL137">
        <v>-1</v>
      </c>
    </row>
    <row r="138" spans="1:90" x14ac:dyDescent="0.25">
      <c r="A138">
        <v>268</v>
      </c>
      <c r="B138" t="s">
        <v>239</v>
      </c>
      <c r="C138" t="s">
        <v>199</v>
      </c>
      <c r="D138" t="s">
        <v>201</v>
      </c>
      <c r="E138">
        <v>100</v>
      </c>
      <c r="F138">
        <v>100</v>
      </c>
      <c r="G138">
        <v>0</v>
      </c>
      <c r="H138">
        <v>0</v>
      </c>
      <c r="I138">
        <v>0</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0</v>
      </c>
      <c r="AD138">
        <v>0</v>
      </c>
      <c r="AE138">
        <v>29.8</v>
      </c>
      <c r="AF138">
        <v>0</v>
      </c>
      <c r="AG138">
        <v>0</v>
      </c>
      <c r="AH138">
        <v>0</v>
      </c>
      <c r="AI138">
        <v>0</v>
      </c>
      <c r="AJ138">
        <v>0</v>
      </c>
      <c r="AK138">
        <v>0</v>
      </c>
      <c r="AL138">
        <v>0</v>
      </c>
      <c r="AM138">
        <v>248000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c r="BH138">
        <v>0</v>
      </c>
      <c r="BI138">
        <v>0</v>
      </c>
      <c r="BJ138">
        <v>0</v>
      </c>
      <c r="BK138">
        <v>91</v>
      </c>
      <c r="BL138">
        <v>73</v>
      </c>
      <c r="BM138">
        <v>0</v>
      </c>
      <c r="BN138">
        <v>100</v>
      </c>
      <c r="BO138">
        <v>0</v>
      </c>
      <c r="BP138">
        <v>0</v>
      </c>
      <c r="BQ138">
        <v>0</v>
      </c>
      <c r="BR138">
        <v>0</v>
      </c>
      <c r="BS138">
        <v>0</v>
      </c>
      <c r="BT138">
        <v>0</v>
      </c>
      <c r="BU138">
        <v>0</v>
      </c>
      <c r="BV138">
        <v>0</v>
      </c>
      <c r="BW138">
        <v>0.68</v>
      </c>
      <c r="BX138">
        <v>0</v>
      </c>
      <c r="BY138">
        <v>0.92</v>
      </c>
      <c r="BZ138">
        <v>0</v>
      </c>
      <c r="CA138">
        <v>0</v>
      </c>
      <c r="CB138">
        <v>0</v>
      </c>
      <c r="CC138">
        <v>0</v>
      </c>
      <c r="CD138">
        <v>0</v>
      </c>
      <c r="CE138">
        <v>0</v>
      </c>
      <c r="CF138" t="b">
        <v>0</v>
      </c>
      <c r="CG138" t="b">
        <v>0</v>
      </c>
      <c r="CH138" t="s">
        <v>93</v>
      </c>
      <c r="CI138">
        <v>100</v>
      </c>
      <c r="CJ138">
        <v>0</v>
      </c>
      <c r="CK138">
        <v>0</v>
      </c>
      <c r="CL138">
        <v>-1</v>
      </c>
    </row>
    <row r="139" spans="1:90" x14ac:dyDescent="0.25">
      <c r="A139">
        <v>269</v>
      </c>
      <c r="B139" t="s">
        <v>240</v>
      </c>
      <c r="C139" t="s">
        <v>199</v>
      </c>
      <c r="D139" t="s">
        <v>201</v>
      </c>
      <c r="E139">
        <v>100</v>
      </c>
      <c r="F139">
        <v>100</v>
      </c>
      <c r="G139">
        <v>0</v>
      </c>
      <c r="H139">
        <v>0</v>
      </c>
      <c r="I139">
        <v>0</v>
      </c>
      <c r="J139">
        <v>0</v>
      </c>
      <c r="K139">
        <v>0</v>
      </c>
      <c r="L139">
        <v>0</v>
      </c>
      <c r="M139">
        <v>0</v>
      </c>
      <c r="N139">
        <v>0</v>
      </c>
      <c r="O139">
        <v>0</v>
      </c>
      <c r="P139">
        <v>0</v>
      </c>
      <c r="Q139">
        <v>0</v>
      </c>
      <c r="R139">
        <v>0</v>
      </c>
      <c r="S139">
        <v>0</v>
      </c>
      <c r="T139">
        <v>0</v>
      </c>
      <c r="U139">
        <v>0</v>
      </c>
      <c r="V139">
        <v>0</v>
      </c>
      <c r="W139">
        <v>0</v>
      </c>
      <c r="X139">
        <v>0</v>
      </c>
      <c r="Y139">
        <v>0</v>
      </c>
      <c r="Z139">
        <v>0</v>
      </c>
      <c r="AA139">
        <v>0</v>
      </c>
      <c r="AB139">
        <v>0</v>
      </c>
      <c r="AC139">
        <v>0</v>
      </c>
      <c r="AD139">
        <v>0</v>
      </c>
      <c r="AE139">
        <v>0</v>
      </c>
      <c r="AF139">
        <v>11.4</v>
      </c>
      <c r="AG139">
        <v>0</v>
      </c>
      <c r="AH139">
        <v>0</v>
      </c>
      <c r="AI139">
        <v>0</v>
      </c>
      <c r="AJ139">
        <v>0</v>
      </c>
      <c r="AK139">
        <v>0</v>
      </c>
      <c r="AL139">
        <v>0</v>
      </c>
      <c r="AM139">
        <v>210000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c r="BH139">
        <v>0</v>
      </c>
      <c r="BI139">
        <v>0</v>
      </c>
      <c r="BJ139">
        <v>0</v>
      </c>
      <c r="BK139">
        <v>91</v>
      </c>
      <c r="BL139">
        <v>73</v>
      </c>
      <c r="BM139">
        <v>0</v>
      </c>
      <c r="BN139">
        <v>100</v>
      </c>
      <c r="BO139">
        <v>0</v>
      </c>
      <c r="BP139">
        <v>0</v>
      </c>
      <c r="BQ139">
        <v>0</v>
      </c>
      <c r="BR139">
        <v>0</v>
      </c>
      <c r="BS139">
        <v>0</v>
      </c>
      <c r="BT139">
        <v>0</v>
      </c>
      <c r="BU139">
        <v>0</v>
      </c>
      <c r="BV139">
        <v>0</v>
      </c>
      <c r="BW139">
        <v>0.68</v>
      </c>
      <c r="BX139">
        <v>0</v>
      </c>
      <c r="BY139">
        <v>0</v>
      </c>
      <c r="BZ139">
        <v>0</v>
      </c>
      <c r="CA139">
        <v>0</v>
      </c>
      <c r="CB139">
        <v>0</v>
      </c>
      <c r="CC139">
        <v>0</v>
      </c>
      <c r="CD139">
        <v>0</v>
      </c>
      <c r="CE139">
        <v>0</v>
      </c>
      <c r="CF139" t="b">
        <v>0</v>
      </c>
      <c r="CG139" t="b">
        <v>0</v>
      </c>
      <c r="CH139" t="s">
        <v>93</v>
      </c>
      <c r="CI139">
        <v>100</v>
      </c>
      <c r="CJ139">
        <v>0</v>
      </c>
      <c r="CK139">
        <v>0</v>
      </c>
      <c r="CL139">
        <v>-1</v>
      </c>
    </row>
    <row r="140" spans="1:90" x14ac:dyDescent="0.25">
      <c r="A140">
        <v>270</v>
      </c>
      <c r="B140" t="s">
        <v>241</v>
      </c>
      <c r="C140" t="s">
        <v>199</v>
      </c>
      <c r="D140" t="s">
        <v>201</v>
      </c>
      <c r="E140">
        <v>98</v>
      </c>
      <c r="F140">
        <v>80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1000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c r="BH140">
        <v>0</v>
      </c>
      <c r="BI140">
        <v>0</v>
      </c>
      <c r="BJ140">
        <v>0</v>
      </c>
      <c r="BK140">
        <v>0</v>
      </c>
      <c r="BL140">
        <v>0</v>
      </c>
      <c r="BM140">
        <v>100</v>
      </c>
      <c r="BN140">
        <v>0</v>
      </c>
      <c r="BO140">
        <v>0</v>
      </c>
      <c r="BP140">
        <v>0</v>
      </c>
      <c r="BQ140">
        <v>0</v>
      </c>
      <c r="BR140">
        <v>0</v>
      </c>
      <c r="BS140">
        <v>0</v>
      </c>
      <c r="BT140">
        <v>0</v>
      </c>
      <c r="BU140">
        <v>0</v>
      </c>
      <c r="BV140">
        <v>0</v>
      </c>
      <c r="BW140">
        <v>0</v>
      </c>
      <c r="BX140">
        <v>0</v>
      </c>
      <c r="BY140">
        <v>0</v>
      </c>
      <c r="BZ140">
        <v>0</v>
      </c>
      <c r="CA140">
        <v>0</v>
      </c>
      <c r="CB140">
        <v>0</v>
      </c>
      <c r="CC140">
        <v>0</v>
      </c>
      <c r="CD140">
        <v>0</v>
      </c>
      <c r="CE140">
        <v>0</v>
      </c>
      <c r="CF140" t="b">
        <v>0</v>
      </c>
      <c r="CG140" t="b">
        <v>0</v>
      </c>
      <c r="CH140" t="s">
        <v>93</v>
      </c>
      <c r="CI140">
        <v>100</v>
      </c>
      <c r="CJ140">
        <v>0</v>
      </c>
      <c r="CK140">
        <v>0</v>
      </c>
      <c r="CL140">
        <v>-1</v>
      </c>
    </row>
    <row r="141" spans="1:90" x14ac:dyDescent="0.25">
      <c r="A141">
        <v>271</v>
      </c>
      <c r="B141" t="s">
        <v>242</v>
      </c>
      <c r="C141" t="s">
        <v>199</v>
      </c>
      <c r="D141" t="s">
        <v>201</v>
      </c>
      <c r="E141">
        <v>100</v>
      </c>
      <c r="F141">
        <v>100</v>
      </c>
      <c r="G141">
        <v>0</v>
      </c>
      <c r="H141">
        <v>0</v>
      </c>
      <c r="I141">
        <v>0</v>
      </c>
      <c r="J141">
        <v>0</v>
      </c>
      <c r="K141">
        <v>0</v>
      </c>
      <c r="L141">
        <v>0</v>
      </c>
      <c r="M141">
        <v>0</v>
      </c>
      <c r="N141">
        <v>0</v>
      </c>
      <c r="O141">
        <v>0</v>
      </c>
      <c r="P141">
        <v>0</v>
      </c>
      <c r="Q141">
        <v>0</v>
      </c>
      <c r="R141">
        <v>0</v>
      </c>
      <c r="S141">
        <v>0</v>
      </c>
      <c r="T141">
        <v>0</v>
      </c>
      <c r="U141">
        <v>0</v>
      </c>
      <c r="V141">
        <v>0</v>
      </c>
      <c r="W141">
        <v>0</v>
      </c>
      <c r="X141">
        <v>0</v>
      </c>
      <c r="Y141">
        <v>0</v>
      </c>
      <c r="Z141">
        <v>0</v>
      </c>
      <c r="AA141">
        <v>0</v>
      </c>
      <c r="AB141">
        <v>0</v>
      </c>
      <c r="AC141">
        <v>0</v>
      </c>
      <c r="AD141">
        <v>0</v>
      </c>
      <c r="AE141">
        <v>41.7</v>
      </c>
      <c r="AF141">
        <v>0</v>
      </c>
      <c r="AG141">
        <v>372000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0</v>
      </c>
      <c r="BD141">
        <v>0</v>
      </c>
      <c r="BE141">
        <v>0</v>
      </c>
      <c r="BF141">
        <v>0</v>
      </c>
      <c r="BG141">
        <v>0</v>
      </c>
      <c r="BH141">
        <v>0</v>
      </c>
      <c r="BI141">
        <v>0</v>
      </c>
      <c r="BJ141">
        <v>0</v>
      </c>
      <c r="BK141">
        <v>91</v>
      </c>
      <c r="BL141">
        <v>73</v>
      </c>
      <c r="BM141">
        <v>0</v>
      </c>
      <c r="BN141">
        <v>100</v>
      </c>
      <c r="BO141">
        <v>0</v>
      </c>
      <c r="BP141">
        <v>0</v>
      </c>
      <c r="BQ141">
        <v>0</v>
      </c>
      <c r="BR141">
        <v>0</v>
      </c>
      <c r="BS141">
        <v>0</v>
      </c>
      <c r="BT141">
        <v>0</v>
      </c>
      <c r="BU141">
        <v>0</v>
      </c>
      <c r="BV141">
        <v>0</v>
      </c>
      <c r="BW141">
        <v>0.68</v>
      </c>
      <c r="BX141">
        <v>0</v>
      </c>
      <c r="BY141">
        <v>0.92</v>
      </c>
      <c r="BZ141">
        <v>0</v>
      </c>
      <c r="CA141">
        <v>0.05</v>
      </c>
      <c r="CB141">
        <v>0</v>
      </c>
      <c r="CC141">
        <v>0</v>
      </c>
      <c r="CD141">
        <v>0</v>
      </c>
      <c r="CE141">
        <v>0</v>
      </c>
      <c r="CF141" t="b">
        <v>0</v>
      </c>
      <c r="CG141" t="b">
        <v>0</v>
      </c>
      <c r="CH141" t="s">
        <v>93</v>
      </c>
      <c r="CI141">
        <v>100</v>
      </c>
      <c r="CJ141">
        <v>0</v>
      </c>
      <c r="CK141">
        <v>0</v>
      </c>
      <c r="CL141">
        <v>-1</v>
      </c>
    </row>
    <row r="142" spans="1:90" x14ac:dyDescent="0.25">
      <c r="A142">
        <v>272</v>
      </c>
      <c r="B142" t="s">
        <v>243</v>
      </c>
      <c r="C142" t="s">
        <v>199</v>
      </c>
      <c r="D142" t="s">
        <v>201</v>
      </c>
      <c r="E142">
        <v>100</v>
      </c>
      <c r="F142">
        <v>100</v>
      </c>
      <c r="G142">
        <v>0</v>
      </c>
      <c r="H142">
        <v>0</v>
      </c>
      <c r="I142">
        <v>0</v>
      </c>
      <c r="J142">
        <v>0</v>
      </c>
      <c r="K142">
        <v>0</v>
      </c>
      <c r="L142">
        <v>0</v>
      </c>
      <c r="M142">
        <v>0</v>
      </c>
      <c r="N142">
        <v>0</v>
      </c>
      <c r="O142">
        <v>0</v>
      </c>
      <c r="P142">
        <v>0</v>
      </c>
      <c r="Q142">
        <v>0</v>
      </c>
      <c r="R142">
        <v>0</v>
      </c>
      <c r="S142">
        <v>0</v>
      </c>
      <c r="T142">
        <v>0</v>
      </c>
      <c r="U142">
        <v>0</v>
      </c>
      <c r="V142">
        <v>0</v>
      </c>
      <c r="W142">
        <v>0</v>
      </c>
      <c r="X142">
        <v>0</v>
      </c>
      <c r="Y142">
        <v>0</v>
      </c>
      <c r="Z142">
        <v>0</v>
      </c>
      <c r="AA142">
        <v>0</v>
      </c>
      <c r="AB142">
        <v>0</v>
      </c>
      <c r="AC142">
        <v>0</v>
      </c>
      <c r="AD142">
        <v>0</v>
      </c>
      <c r="AE142">
        <v>0</v>
      </c>
      <c r="AF142">
        <v>12.8</v>
      </c>
      <c r="AG142">
        <v>255000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c r="BH142">
        <v>0</v>
      </c>
      <c r="BI142">
        <v>0</v>
      </c>
      <c r="BJ142">
        <v>0</v>
      </c>
      <c r="BK142">
        <v>91</v>
      </c>
      <c r="BL142">
        <v>73</v>
      </c>
      <c r="BM142">
        <v>0</v>
      </c>
      <c r="BN142">
        <v>100</v>
      </c>
      <c r="BO142">
        <v>0</v>
      </c>
      <c r="BP142">
        <v>0</v>
      </c>
      <c r="BQ142">
        <v>0</v>
      </c>
      <c r="BR142">
        <v>0</v>
      </c>
      <c r="BS142">
        <v>0</v>
      </c>
      <c r="BT142">
        <v>0</v>
      </c>
      <c r="BU142">
        <v>0</v>
      </c>
      <c r="BV142">
        <v>0</v>
      </c>
      <c r="BW142">
        <v>0.68</v>
      </c>
      <c r="BX142">
        <v>0</v>
      </c>
      <c r="BY142">
        <v>0</v>
      </c>
      <c r="BZ142">
        <v>0</v>
      </c>
      <c r="CA142">
        <v>0.05</v>
      </c>
      <c r="CB142">
        <v>0</v>
      </c>
      <c r="CC142">
        <v>0</v>
      </c>
      <c r="CD142">
        <v>0</v>
      </c>
      <c r="CE142">
        <v>0</v>
      </c>
      <c r="CF142" t="b">
        <v>0</v>
      </c>
      <c r="CG142" t="b">
        <v>0</v>
      </c>
      <c r="CH142" t="s">
        <v>93</v>
      </c>
      <c r="CI142">
        <v>100</v>
      </c>
      <c r="CJ142">
        <v>0</v>
      </c>
      <c r="CK142">
        <v>0</v>
      </c>
      <c r="CL142">
        <v>-1</v>
      </c>
    </row>
    <row r="143" spans="1:90" x14ac:dyDescent="0.25">
      <c r="A143">
        <v>273</v>
      </c>
      <c r="B143" t="s">
        <v>244</v>
      </c>
      <c r="C143" t="s">
        <v>199</v>
      </c>
      <c r="D143" t="s">
        <v>201</v>
      </c>
      <c r="E143">
        <v>100</v>
      </c>
      <c r="F143">
        <v>100</v>
      </c>
      <c r="G143">
        <v>0</v>
      </c>
      <c r="H143">
        <v>0</v>
      </c>
      <c r="I143">
        <v>0</v>
      </c>
      <c r="J143">
        <v>0</v>
      </c>
      <c r="K143">
        <v>0</v>
      </c>
      <c r="L143">
        <v>0</v>
      </c>
      <c r="M143">
        <v>0</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799000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0</v>
      </c>
      <c r="BD143">
        <v>0</v>
      </c>
      <c r="BE143">
        <v>0</v>
      </c>
      <c r="BF143">
        <v>0</v>
      </c>
      <c r="BG143">
        <v>0</v>
      </c>
      <c r="BH143">
        <v>0</v>
      </c>
      <c r="BI143">
        <v>0</v>
      </c>
      <c r="BJ143">
        <v>0</v>
      </c>
      <c r="BK143">
        <v>91</v>
      </c>
      <c r="BL143">
        <v>73</v>
      </c>
      <c r="BM143">
        <v>0</v>
      </c>
      <c r="BN143">
        <v>100</v>
      </c>
      <c r="BO143">
        <v>0</v>
      </c>
      <c r="BP143">
        <v>0</v>
      </c>
      <c r="BQ143">
        <v>0</v>
      </c>
      <c r="BR143">
        <v>0</v>
      </c>
      <c r="BS143">
        <v>0</v>
      </c>
      <c r="BT143">
        <v>0</v>
      </c>
      <c r="BU143">
        <v>0</v>
      </c>
      <c r="BV143">
        <v>0</v>
      </c>
      <c r="BW143">
        <v>0.68</v>
      </c>
      <c r="BX143">
        <v>0</v>
      </c>
      <c r="BY143">
        <v>0</v>
      </c>
      <c r="BZ143">
        <v>0</v>
      </c>
      <c r="CA143">
        <v>5.0000000000000001E-3</v>
      </c>
      <c r="CB143">
        <v>0</v>
      </c>
      <c r="CC143">
        <v>0</v>
      </c>
      <c r="CD143">
        <v>0</v>
      </c>
      <c r="CE143">
        <v>0</v>
      </c>
      <c r="CF143" t="b">
        <v>0</v>
      </c>
      <c r="CG143" t="b">
        <v>0</v>
      </c>
      <c r="CH143" t="s">
        <v>93</v>
      </c>
      <c r="CI143">
        <v>100</v>
      </c>
      <c r="CJ143">
        <v>0</v>
      </c>
      <c r="CK143">
        <v>0</v>
      </c>
      <c r="CL143">
        <v>-1</v>
      </c>
    </row>
    <row r="144" spans="1:90" x14ac:dyDescent="0.25">
      <c r="A144">
        <v>274</v>
      </c>
      <c r="B144" t="s">
        <v>245</v>
      </c>
      <c r="C144" t="s">
        <v>199</v>
      </c>
      <c r="D144" t="s">
        <v>201</v>
      </c>
      <c r="E144">
        <v>98</v>
      </c>
      <c r="F144">
        <v>80</v>
      </c>
      <c r="G144">
        <v>0</v>
      </c>
      <c r="H144">
        <v>0</v>
      </c>
      <c r="I144">
        <v>0</v>
      </c>
      <c r="J144">
        <v>0</v>
      </c>
      <c r="K144">
        <v>0</v>
      </c>
      <c r="L144">
        <v>0</v>
      </c>
      <c r="M144">
        <v>0</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1000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c r="BH144">
        <v>0</v>
      </c>
      <c r="BI144">
        <v>0</v>
      </c>
      <c r="BJ144">
        <v>0</v>
      </c>
      <c r="BK144">
        <v>0</v>
      </c>
      <c r="BL144">
        <v>0</v>
      </c>
      <c r="BM144">
        <v>100</v>
      </c>
      <c r="BN144">
        <v>0</v>
      </c>
      <c r="BO144">
        <v>0</v>
      </c>
      <c r="BP144">
        <v>0</v>
      </c>
      <c r="BQ144">
        <v>0</v>
      </c>
      <c r="BR144">
        <v>0</v>
      </c>
      <c r="BS144">
        <v>0</v>
      </c>
      <c r="BT144">
        <v>0</v>
      </c>
      <c r="BU144">
        <v>0</v>
      </c>
      <c r="BV144">
        <v>0</v>
      </c>
      <c r="BW144">
        <v>0</v>
      </c>
      <c r="BX144">
        <v>0</v>
      </c>
      <c r="BY144">
        <v>0</v>
      </c>
      <c r="BZ144">
        <v>0</v>
      </c>
      <c r="CA144">
        <v>0.05</v>
      </c>
      <c r="CB144">
        <v>0</v>
      </c>
      <c r="CC144">
        <v>0</v>
      </c>
      <c r="CD144">
        <v>0</v>
      </c>
      <c r="CE144">
        <v>0</v>
      </c>
      <c r="CF144" t="b">
        <v>0</v>
      </c>
      <c r="CG144" t="b">
        <v>0</v>
      </c>
      <c r="CH144" t="s">
        <v>93</v>
      </c>
      <c r="CI144">
        <v>100</v>
      </c>
      <c r="CJ144">
        <v>0</v>
      </c>
      <c r="CK144">
        <v>0</v>
      </c>
      <c r="CL144">
        <v>-1</v>
      </c>
    </row>
    <row r="145" spans="1:90" x14ac:dyDescent="0.25">
      <c r="A145">
        <v>275</v>
      </c>
      <c r="B145" t="s">
        <v>246</v>
      </c>
      <c r="C145" t="s">
        <v>199</v>
      </c>
      <c r="D145" t="s">
        <v>201</v>
      </c>
      <c r="E145">
        <v>100</v>
      </c>
      <c r="F145">
        <v>100</v>
      </c>
      <c r="G145">
        <v>0</v>
      </c>
      <c r="H145">
        <v>0</v>
      </c>
      <c r="I145">
        <v>0</v>
      </c>
      <c r="J145">
        <v>0</v>
      </c>
      <c r="K145">
        <v>0</v>
      </c>
      <c r="L145">
        <v>0</v>
      </c>
      <c r="M145">
        <v>0</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803000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c r="BH145">
        <v>0</v>
      </c>
      <c r="BI145">
        <v>0</v>
      </c>
      <c r="BJ145">
        <v>0</v>
      </c>
      <c r="BK145">
        <v>91</v>
      </c>
      <c r="BL145">
        <v>73</v>
      </c>
      <c r="BM145">
        <v>0</v>
      </c>
      <c r="BN145">
        <v>100</v>
      </c>
      <c r="BO145">
        <v>0</v>
      </c>
      <c r="BP145">
        <v>0</v>
      </c>
      <c r="BQ145">
        <v>0</v>
      </c>
      <c r="BR145">
        <v>0</v>
      </c>
      <c r="BS145">
        <v>0</v>
      </c>
      <c r="BT145">
        <v>0</v>
      </c>
      <c r="BU145">
        <v>0</v>
      </c>
      <c r="BV145">
        <v>0</v>
      </c>
      <c r="BW145">
        <v>0.68</v>
      </c>
      <c r="BX145">
        <v>0</v>
      </c>
      <c r="BY145">
        <v>0</v>
      </c>
      <c r="BZ145">
        <v>0</v>
      </c>
      <c r="CA145">
        <v>0</v>
      </c>
      <c r="CB145">
        <v>0</v>
      </c>
      <c r="CC145">
        <v>0</v>
      </c>
      <c r="CD145">
        <v>0</v>
      </c>
      <c r="CE145">
        <v>0</v>
      </c>
      <c r="CF145" t="b">
        <v>0</v>
      </c>
      <c r="CG145" t="b">
        <v>0</v>
      </c>
      <c r="CH145" t="s">
        <v>93</v>
      </c>
      <c r="CI145">
        <v>100</v>
      </c>
      <c r="CJ145">
        <v>0</v>
      </c>
      <c r="CK145">
        <v>0</v>
      </c>
      <c r="CL145">
        <v>-1</v>
      </c>
    </row>
    <row r="146" spans="1:90" x14ac:dyDescent="0.25">
      <c r="A146">
        <v>276</v>
      </c>
      <c r="B146" t="s">
        <v>247</v>
      </c>
      <c r="C146" t="s">
        <v>199</v>
      </c>
      <c r="D146" t="s">
        <v>201</v>
      </c>
      <c r="E146">
        <v>100</v>
      </c>
      <c r="F146">
        <v>100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10</v>
      </c>
      <c r="AA146">
        <v>0</v>
      </c>
      <c r="AB146">
        <v>0</v>
      </c>
      <c r="AC146">
        <v>0</v>
      </c>
      <c r="AD146">
        <v>0</v>
      </c>
      <c r="AE146">
        <v>0</v>
      </c>
      <c r="AF146">
        <v>0</v>
      </c>
      <c r="AG146">
        <v>0</v>
      </c>
      <c r="AH146">
        <v>0</v>
      </c>
      <c r="AI146">
        <v>0</v>
      </c>
      <c r="AJ146">
        <v>0</v>
      </c>
      <c r="AK146">
        <v>0</v>
      </c>
      <c r="AL146">
        <v>0</v>
      </c>
      <c r="AM146">
        <v>0</v>
      </c>
      <c r="AN146">
        <v>635000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c r="BH146">
        <v>0</v>
      </c>
      <c r="BI146">
        <v>0</v>
      </c>
      <c r="BJ146">
        <v>0</v>
      </c>
      <c r="BK146">
        <v>91</v>
      </c>
      <c r="BL146">
        <v>73</v>
      </c>
      <c r="BM146">
        <v>0</v>
      </c>
      <c r="BN146">
        <v>100</v>
      </c>
      <c r="BO146">
        <v>0</v>
      </c>
      <c r="BP146">
        <v>0</v>
      </c>
      <c r="BQ146">
        <v>0</v>
      </c>
      <c r="BR146">
        <v>0</v>
      </c>
      <c r="BS146">
        <v>0</v>
      </c>
      <c r="BT146">
        <v>0</v>
      </c>
      <c r="BU146">
        <v>0</v>
      </c>
      <c r="BV146">
        <v>0.6</v>
      </c>
      <c r="BW146">
        <v>0.68</v>
      </c>
      <c r="BX146">
        <v>0</v>
      </c>
      <c r="BY146">
        <v>0</v>
      </c>
      <c r="BZ146">
        <v>0</v>
      </c>
      <c r="CA146">
        <v>0</v>
      </c>
      <c r="CB146">
        <v>0</v>
      </c>
      <c r="CC146">
        <v>0</v>
      </c>
      <c r="CD146">
        <v>0</v>
      </c>
      <c r="CE146">
        <v>0</v>
      </c>
      <c r="CF146" t="b">
        <v>0</v>
      </c>
      <c r="CG146" t="b">
        <v>0</v>
      </c>
      <c r="CH146" t="s">
        <v>93</v>
      </c>
      <c r="CI146">
        <v>100</v>
      </c>
      <c r="CJ146">
        <v>0</v>
      </c>
      <c r="CK146">
        <v>0</v>
      </c>
      <c r="CL146">
        <v>-1</v>
      </c>
    </row>
    <row r="147" spans="1:90" x14ac:dyDescent="0.25">
      <c r="A147">
        <v>277</v>
      </c>
      <c r="B147" t="s">
        <v>248</v>
      </c>
      <c r="C147" t="s">
        <v>199</v>
      </c>
      <c r="D147" t="s">
        <v>201</v>
      </c>
      <c r="E147">
        <v>100</v>
      </c>
      <c r="F147">
        <v>100</v>
      </c>
      <c r="G147">
        <v>0</v>
      </c>
      <c r="H147">
        <v>0</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0</v>
      </c>
      <c r="AF147">
        <v>12.4</v>
      </c>
      <c r="AG147">
        <v>0</v>
      </c>
      <c r="AH147">
        <v>218000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c r="BH147">
        <v>0</v>
      </c>
      <c r="BI147">
        <v>0</v>
      </c>
      <c r="BJ147">
        <v>0</v>
      </c>
      <c r="BK147">
        <v>91</v>
      </c>
      <c r="BL147">
        <v>73</v>
      </c>
      <c r="BM147">
        <v>0</v>
      </c>
      <c r="BN147">
        <v>100</v>
      </c>
      <c r="BO147">
        <v>0</v>
      </c>
      <c r="BP147">
        <v>0</v>
      </c>
      <c r="BQ147">
        <v>0</v>
      </c>
      <c r="BR147">
        <v>0</v>
      </c>
      <c r="BS147">
        <v>0</v>
      </c>
      <c r="BT147">
        <v>0</v>
      </c>
      <c r="BU147">
        <v>0</v>
      </c>
      <c r="BV147">
        <v>0</v>
      </c>
      <c r="BW147">
        <v>0.68</v>
      </c>
      <c r="BX147">
        <v>0</v>
      </c>
      <c r="BY147">
        <v>0</v>
      </c>
      <c r="BZ147">
        <v>0</v>
      </c>
      <c r="CA147">
        <v>0</v>
      </c>
      <c r="CB147">
        <v>0.2</v>
      </c>
      <c r="CC147">
        <v>0</v>
      </c>
      <c r="CD147">
        <v>0</v>
      </c>
      <c r="CE147">
        <v>0</v>
      </c>
      <c r="CF147" t="b">
        <v>0</v>
      </c>
      <c r="CG147" t="b">
        <v>0</v>
      </c>
      <c r="CH147" t="s">
        <v>93</v>
      </c>
      <c r="CI147">
        <v>100</v>
      </c>
      <c r="CJ147">
        <v>0</v>
      </c>
      <c r="CK147">
        <v>0</v>
      </c>
      <c r="CL147">
        <v>-1</v>
      </c>
    </row>
    <row r="148" spans="1:90" x14ac:dyDescent="0.25">
      <c r="A148">
        <v>278</v>
      </c>
      <c r="B148" t="s">
        <v>249</v>
      </c>
      <c r="C148" t="s">
        <v>199</v>
      </c>
      <c r="D148" t="s">
        <v>201</v>
      </c>
      <c r="E148">
        <v>100</v>
      </c>
      <c r="F148">
        <v>100</v>
      </c>
      <c r="G148">
        <v>0</v>
      </c>
      <c r="H148">
        <v>0</v>
      </c>
      <c r="I148">
        <v>0</v>
      </c>
      <c r="J148">
        <v>0</v>
      </c>
      <c r="K148">
        <v>0</v>
      </c>
      <c r="L148">
        <v>0</v>
      </c>
      <c r="M148">
        <v>0</v>
      </c>
      <c r="N148">
        <v>0</v>
      </c>
      <c r="O148">
        <v>0</v>
      </c>
      <c r="P148">
        <v>0</v>
      </c>
      <c r="Q148">
        <v>0</v>
      </c>
      <c r="R148">
        <v>0</v>
      </c>
      <c r="S148">
        <v>0</v>
      </c>
      <c r="T148">
        <v>0</v>
      </c>
      <c r="U148">
        <v>0</v>
      </c>
      <c r="V148">
        <v>0</v>
      </c>
      <c r="W148">
        <v>0</v>
      </c>
      <c r="X148">
        <v>0</v>
      </c>
      <c r="Y148">
        <v>0</v>
      </c>
      <c r="Z148">
        <v>0</v>
      </c>
      <c r="AA148">
        <v>0</v>
      </c>
      <c r="AB148">
        <v>0</v>
      </c>
      <c r="AC148">
        <v>0</v>
      </c>
      <c r="AD148">
        <v>0</v>
      </c>
      <c r="AE148">
        <v>0</v>
      </c>
      <c r="AF148">
        <v>18.899999999999999</v>
      </c>
      <c r="AG148">
        <v>0</v>
      </c>
      <c r="AH148">
        <v>329000</v>
      </c>
      <c r="AI148">
        <v>0</v>
      </c>
      <c r="AJ148">
        <v>0</v>
      </c>
      <c r="AK148">
        <v>0</v>
      </c>
      <c r="AL148">
        <v>0</v>
      </c>
      <c r="AM148">
        <v>0</v>
      </c>
      <c r="AN148">
        <v>0</v>
      </c>
      <c r="AO148">
        <v>0</v>
      </c>
      <c r="AP148">
        <v>0</v>
      </c>
      <c r="AQ148">
        <v>0</v>
      </c>
      <c r="AR148">
        <v>0</v>
      </c>
      <c r="AS148">
        <v>0</v>
      </c>
      <c r="AT148">
        <v>0</v>
      </c>
      <c r="AU148">
        <v>0</v>
      </c>
      <c r="AV148">
        <v>0</v>
      </c>
      <c r="AW148">
        <v>0</v>
      </c>
      <c r="AX148">
        <v>0</v>
      </c>
      <c r="AY148">
        <v>0</v>
      </c>
      <c r="AZ148">
        <v>0</v>
      </c>
      <c r="BA148">
        <v>0</v>
      </c>
      <c r="BB148">
        <v>0</v>
      </c>
      <c r="BC148">
        <v>0</v>
      </c>
      <c r="BD148">
        <v>0</v>
      </c>
      <c r="BE148">
        <v>0</v>
      </c>
      <c r="BF148">
        <v>0</v>
      </c>
      <c r="BG148">
        <v>0</v>
      </c>
      <c r="BH148">
        <v>0</v>
      </c>
      <c r="BI148">
        <v>0</v>
      </c>
      <c r="BJ148">
        <v>0</v>
      </c>
      <c r="BK148">
        <v>91</v>
      </c>
      <c r="BL148">
        <v>73</v>
      </c>
      <c r="BM148">
        <v>0</v>
      </c>
      <c r="BN148">
        <v>100</v>
      </c>
      <c r="BO148">
        <v>0</v>
      </c>
      <c r="BP148">
        <v>0</v>
      </c>
      <c r="BQ148">
        <v>0</v>
      </c>
      <c r="BR148">
        <v>0</v>
      </c>
      <c r="BS148">
        <v>0</v>
      </c>
      <c r="BT148">
        <v>0</v>
      </c>
      <c r="BU148">
        <v>0</v>
      </c>
      <c r="BV148">
        <v>0</v>
      </c>
      <c r="BW148">
        <v>0.68</v>
      </c>
      <c r="BX148">
        <v>0</v>
      </c>
      <c r="BY148">
        <v>0</v>
      </c>
      <c r="BZ148">
        <v>0</v>
      </c>
      <c r="CA148">
        <v>0</v>
      </c>
      <c r="CB148">
        <v>0.2</v>
      </c>
      <c r="CC148">
        <v>0</v>
      </c>
      <c r="CD148">
        <v>0</v>
      </c>
      <c r="CE148">
        <v>0</v>
      </c>
      <c r="CF148" t="b">
        <v>0</v>
      </c>
      <c r="CG148" t="b">
        <v>0</v>
      </c>
      <c r="CH148" t="s">
        <v>93</v>
      </c>
      <c r="CI148">
        <v>100</v>
      </c>
      <c r="CJ148">
        <v>0</v>
      </c>
      <c r="CK148">
        <v>0</v>
      </c>
      <c r="CL148">
        <v>-1</v>
      </c>
    </row>
    <row r="149" spans="1:90" x14ac:dyDescent="0.25">
      <c r="A149">
        <v>279</v>
      </c>
      <c r="B149" t="s">
        <v>250</v>
      </c>
      <c r="C149" t="s">
        <v>199</v>
      </c>
      <c r="D149" t="s">
        <v>201</v>
      </c>
      <c r="E149">
        <v>100</v>
      </c>
      <c r="F149">
        <v>100</v>
      </c>
      <c r="G149">
        <v>0</v>
      </c>
      <c r="H149">
        <v>0</v>
      </c>
      <c r="I149">
        <v>0</v>
      </c>
      <c r="J149">
        <v>0</v>
      </c>
      <c r="K149">
        <v>0</v>
      </c>
      <c r="L149">
        <v>0</v>
      </c>
      <c r="M149">
        <v>0</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380000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0</v>
      </c>
      <c r="BH149">
        <v>0</v>
      </c>
      <c r="BI149">
        <v>0</v>
      </c>
      <c r="BJ149">
        <v>0</v>
      </c>
      <c r="BK149">
        <v>91</v>
      </c>
      <c r="BL149">
        <v>73</v>
      </c>
      <c r="BM149">
        <v>0</v>
      </c>
      <c r="BN149">
        <v>100</v>
      </c>
      <c r="BO149">
        <v>0</v>
      </c>
      <c r="BP149">
        <v>0</v>
      </c>
      <c r="BQ149">
        <v>0</v>
      </c>
      <c r="BR149">
        <v>0</v>
      </c>
      <c r="BS149">
        <v>0</v>
      </c>
      <c r="BT149">
        <v>0</v>
      </c>
      <c r="BU149">
        <v>0</v>
      </c>
      <c r="BV149">
        <v>0</v>
      </c>
      <c r="BW149">
        <v>0.68</v>
      </c>
      <c r="BX149">
        <v>0</v>
      </c>
      <c r="BY149">
        <v>0</v>
      </c>
      <c r="BZ149">
        <v>0</v>
      </c>
      <c r="CA149">
        <v>0</v>
      </c>
      <c r="CB149">
        <v>0.1</v>
      </c>
      <c r="CC149">
        <v>0</v>
      </c>
      <c r="CD149">
        <v>0</v>
      </c>
      <c r="CE149">
        <v>0</v>
      </c>
      <c r="CF149" t="b">
        <v>0</v>
      </c>
      <c r="CG149" t="b">
        <v>0</v>
      </c>
      <c r="CH149" t="s">
        <v>93</v>
      </c>
      <c r="CI149">
        <v>100</v>
      </c>
      <c r="CJ149">
        <v>0</v>
      </c>
      <c r="CK149">
        <v>0</v>
      </c>
      <c r="CL149">
        <v>-1</v>
      </c>
    </row>
    <row r="150" spans="1:90" x14ac:dyDescent="0.25">
      <c r="A150">
        <v>280</v>
      </c>
      <c r="B150" t="s">
        <v>251</v>
      </c>
      <c r="C150" t="s">
        <v>199</v>
      </c>
      <c r="D150" t="s">
        <v>201</v>
      </c>
      <c r="E150">
        <v>100</v>
      </c>
      <c r="F150">
        <v>100</v>
      </c>
      <c r="G150">
        <v>0</v>
      </c>
      <c r="H150">
        <v>0</v>
      </c>
      <c r="I150">
        <v>0</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600000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0</v>
      </c>
      <c r="BH150">
        <v>0</v>
      </c>
      <c r="BI150">
        <v>0</v>
      </c>
      <c r="BJ150">
        <v>0</v>
      </c>
      <c r="BK150">
        <v>91</v>
      </c>
      <c r="BL150">
        <v>73</v>
      </c>
      <c r="BM150">
        <v>0</v>
      </c>
      <c r="BN150">
        <v>100</v>
      </c>
      <c r="BO150">
        <v>0</v>
      </c>
      <c r="BP150">
        <v>0</v>
      </c>
      <c r="BQ150">
        <v>0</v>
      </c>
      <c r="BR150">
        <v>0</v>
      </c>
      <c r="BS150">
        <v>0</v>
      </c>
      <c r="BT150">
        <v>0</v>
      </c>
      <c r="BU150">
        <v>0</v>
      </c>
      <c r="BV150">
        <v>0</v>
      </c>
      <c r="BW150">
        <v>0.68</v>
      </c>
      <c r="BX150">
        <v>0</v>
      </c>
      <c r="BY150">
        <v>0</v>
      </c>
      <c r="BZ150">
        <v>0</v>
      </c>
      <c r="CA150">
        <v>0</v>
      </c>
      <c r="CB150">
        <v>0.01</v>
      </c>
      <c r="CC150">
        <v>0</v>
      </c>
      <c r="CD150">
        <v>0</v>
      </c>
      <c r="CE150">
        <v>0</v>
      </c>
      <c r="CF150" t="b">
        <v>0</v>
      </c>
      <c r="CG150" t="b">
        <v>0</v>
      </c>
      <c r="CH150" t="s">
        <v>93</v>
      </c>
      <c r="CI150">
        <v>100</v>
      </c>
      <c r="CJ150">
        <v>0</v>
      </c>
      <c r="CK150">
        <v>0</v>
      </c>
      <c r="CL150">
        <v>-1</v>
      </c>
    </row>
    <row r="151" spans="1:90" x14ac:dyDescent="0.25">
      <c r="A151">
        <v>281</v>
      </c>
      <c r="B151" t="s">
        <v>252</v>
      </c>
      <c r="C151" t="s">
        <v>199</v>
      </c>
      <c r="D151" t="s">
        <v>201</v>
      </c>
      <c r="E151">
        <v>95</v>
      </c>
      <c r="F151">
        <v>80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1000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c r="BH151">
        <v>0</v>
      </c>
      <c r="BI151">
        <v>0</v>
      </c>
      <c r="BJ151">
        <v>0</v>
      </c>
      <c r="BK151">
        <v>0</v>
      </c>
      <c r="BL151">
        <v>0</v>
      </c>
      <c r="BM151">
        <v>100</v>
      </c>
      <c r="BN151">
        <v>0</v>
      </c>
      <c r="BO151">
        <v>0</v>
      </c>
      <c r="BP151">
        <v>0</v>
      </c>
      <c r="BQ151">
        <v>0</v>
      </c>
      <c r="BR151">
        <v>0</v>
      </c>
      <c r="BS151">
        <v>0</v>
      </c>
      <c r="BT151">
        <v>0</v>
      </c>
      <c r="BU151">
        <v>0</v>
      </c>
      <c r="BV151">
        <v>0.6</v>
      </c>
      <c r="BW151">
        <v>0.68</v>
      </c>
      <c r="BX151">
        <v>1</v>
      </c>
      <c r="BY151">
        <v>0.92</v>
      </c>
      <c r="BZ151">
        <v>1</v>
      </c>
      <c r="CA151">
        <v>0.05</v>
      </c>
      <c r="CB151">
        <v>0.15</v>
      </c>
      <c r="CC151">
        <v>0.3</v>
      </c>
      <c r="CD151">
        <v>4.0000000000000001E-3</v>
      </c>
      <c r="CE151">
        <v>0.2</v>
      </c>
      <c r="CF151" t="b">
        <v>0</v>
      </c>
      <c r="CG151" t="b">
        <v>0</v>
      </c>
      <c r="CH151" t="s">
        <v>93</v>
      </c>
      <c r="CI151">
        <v>100</v>
      </c>
      <c r="CJ151">
        <v>0</v>
      </c>
      <c r="CK151">
        <v>0</v>
      </c>
      <c r="CL151">
        <v>-1</v>
      </c>
    </row>
    <row r="152" spans="1:90" x14ac:dyDescent="0.25">
      <c r="A152">
        <v>282</v>
      </c>
      <c r="B152" t="s">
        <v>253</v>
      </c>
      <c r="C152" t="s">
        <v>199</v>
      </c>
      <c r="D152" t="s">
        <v>201</v>
      </c>
      <c r="E152">
        <v>100</v>
      </c>
      <c r="F152">
        <v>100</v>
      </c>
      <c r="G152">
        <v>0</v>
      </c>
      <c r="H152">
        <v>0</v>
      </c>
      <c r="I152">
        <v>0</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0</v>
      </c>
      <c r="AE152">
        <v>56.3</v>
      </c>
      <c r="AF152">
        <v>0</v>
      </c>
      <c r="AG152">
        <v>0</v>
      </c>
      <c r="AH152">
        <v>0</v>
      </c>
      <c r="AI152">
        <v>430000</v>
      </c>
      <c r="AJ152">
        <v>0</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0</v>
      </c>
      <c r="BD152">
        <v>0</v>
      </c>
      <c r="BE152">
        <v>0</v>
      </c>
      <c r="BF152">
        <v>0</v>
      </c>
      <c r="BG152">
        <v>0</v>
      </c>
      <c r="BH152">
        <v>0</v>
      </c>
      <c r="BI152">
        <v>0</v>
      </c>
      <c r="BJ152">
        <v>0</v>
      </c>
      <c r="BK152">
        <v>91</v>
      </c>
      <c r="BL152">
        <v>73</v>
      </c>
      <c r="BM152">
        <v>0</v>
      </c>
      <c r="BN152">
        <v>100</v>
      </c>
      <c r="BO152">
        <v>0</v>
      </c>
      <c r="BP152">
        <v>0</v>
      </c>
      <c r="BQ152">
        <v>0</v>
      </c>
      <c r="BR152">
        <v>0</v>
      </c>
      <c r="BS152">
        <v>0</v>
      </c>
      <c r="BT152">
        <v>0</v>
      </c>
      <c r="BU152">
        <v>0</v>
      </c>
      <c r="BV152">
        <v>0</v>
      </c>
      <c r="BW152">
        <v>0.68</v>
      </c>
      <c r="BX152">
        <v>0</v>
      </c>
      <c r="BY152">
        <v>0.92</v>
      </c>
      <c r="BZ152">
        <v>0</v>
      </c>
      <c r="CA152">
        <v>0</v>
      </c>
      <c r="CB152">
        <v>0</v>
      </c>
      <c r="CC152">
        <v>0</v>
      </c>
      <c r="CD152">
        <v>5.0000000000000001E-3</v>
      </c>
      <c r="CE152">
        <v>0</v>
      </c>
      <c r="CF152" t="b">
        <v>0</v>
      </c>
      <c r="CG152" t="b">
        <v>0</v>
      </c>
      <c r="CH152" t="s">
        <v>93</v>
      </c>
      <c r="CI152">
        <v>100</v>
      </c>
      <c r="CJ152">
        <v>0</v>
      </c>
      <c r="CK152">
        <v>0</v>
      </c>
      <c r="CL152">
        <v>-1</v>
      </c>
    </row>
    <row r="153" spans="1:90" x14ac:dyDescent="0.25">
      <c r="A153">
        <v>283</v>
      </c>
      <c r="B153" t="s">
        <v>254</v>
      </c>
      <c r="C153" t="s">
        <v>199</v>
      </c>
      <c r="D153" t="s">
        <v>201</v>
      </c>
      <c r="E153">
        <v>100</v>
      </c>
      <c r="F153">
        <v>100</v>
      </c>
      <c r="G153">
        <v>0</v>
      </c>
      <c r="H153">
        <v>0</v>
      </c>
      <c r="I153">
        <v>0</v>
      </c>
      <c r="J153">
        <v>0</v>
      </c>
      <c r="K153">
        <v>0</v>
      </c>
      <c r="L153">
        <v>0</v>
      </c>
      <c r="M153">
        <v>0</v>
      </c>
      <c r="N153">
        <v>0</v>
      </c>
      <c r="O153">
        <v>0</v>
      </c>
      <c r="P153">
        <v>0</v>
      </c>
      <c r="Q153">
        <v>0</v>
      </c>
      <c r="R153">
        <v>0</v>
      </c>
      <c r="S153">
        <v>0</v>
      </c>
      <c r="T153">
        <v>0</v>
      </c>
      <c r="U153">
        <v>0</v>
      </c>
      <c r="V153">
        <v>0</v>
      </c>
      <c r="W153">
        <v>0</v>
      </c>
      <c r="X153">
        <v>0</v>
      </c>
      <c r="Y153">
        <v>0</v>
      </c>
      <c r="Z153">
        <v>0</v>
      </c>
      <c r="AA153">
        <v>0</v>
      </c>
      <c r="AB153">
        <v>0</v>
      </c>
      <c r="AC153">
        <v>0</v>
      </c>
      <c r="AD153">
        <v>0</v>
      </c>
      <c r="AE153">
        <v>35.799999999999997</v>
      </c>
      <c r="AF153">
        <v>0</v>
      </c>
      <c r="AG153">
        <v>0</v>
      </c>
      <c r="AH153">
        <v>0</v>
      </c>
      <c r="AI153">
        <v>277000</v>
      </c>
      <c r="AJ153">
        <v>0</v>
      </c>
      <c r="AK153">
        <v>0</v>
      </c>
      <c r="AL153">
        <v>0</v>
      </c>
      <c r="AM153">
        <v>0</v>
      </c>
      <c r="AN153">
        <v>0</v>
      </c>
      <c r="AO153">
        <v>0</v>
      </c>
      <c r="AP153">
        <v>0</v>
      </c>
      <c r="AQ153">
        <v>0</v>
      </c>
      <c r="AR153">
        <v>0</v>
      </c>
      <c r="AS153">
        <v>0</v>
      </c>
      <c r="AT153">
        <v>0</v>
      </c>
      <c r="AU153">
        <v>0</v>
      </c>
      <c r="AV153">
        <v>0</v>
      </c>
      <c r="AW153">
        <v>0</v>
      </c>
      <c r="AX153">
        <v>0</v>
      </c>
      <c r="AY153">
        <v>0</v>
      </c>
      <c r="AZ153">
        <v>0</v>
      </c>
      <c r="BA153">
        <v>0</v>
      </c>
      <c r="BB153">
        <v>0</v>
      </c>
      <c r="BC153">
        <v>0</v>
      </c>
      <c r="BD153">
        <v>0</v>
      </c>
      <c r="BE153">
        <v>0</v>
      </c>
      <c r="BF153">
        <v>0</v>
      </c>
      <c r="BG153">
        <v>0</v>
      </c>
      <c r="BH153">
        <v>0</v>
      </c>
      <c r="BI153">
        <v>0</v>
      </c>
      <c r="BJ153">
        <v>0</v>
      </c>
      <c r="BK153">
        <v>91</v>
      </c>
      <c r="BL153">
        <v>73</v>
      </c>
      <c r="BM153">
        <v>0</v>
      </c>
      <c r="BN153">
        <v>100</v>
      </c>
      <c r="BO153">
        <v>0</v>
      </c>
      <c r="BP153">
        <v>0</v>
      </c>
      <c r="BQ153">
        <v>0</v>
      </c>
      <c r="BR153">
        <v>0</v>
      </c>
      <c r="BS153">
        <v>0</v>
      </c>
      <c r="BT153">
        <v>0</v>
      </c>
      <c r="BU153">
        <v>0</v>
      </c>
      <c r="BV153">
        <v>0</v>
      </c>
      <c r="BW153">
        <v>0.68</v>
      </c>
      <c r="BX153">
        <v>0</v>
      </c>
      <c r="BY153">
        <v>0.92</v>
      </c>
      <c r="BZ153">
        <v>0</v>
      </c>
      <c r="CA153">
        <v>0</v>
      </c>
      <c r="CB153">
        <v>0</v>
      </c>
      <c r="CC153">
        <v>0</v>
      </c>
      <c r="CD153">
        <v>5.0000000000000001E-3</v>
      </c>
      <c r="CE153">
        <v>0</v>
      </c>
      <c r="CF153" t="b">
        <v>0</v>
      </c>
      <c r="CG153" t="b">
        <v>0</v>
      </c>
      <c r="CH153" t="s">
        <v>93</v>
      </c>
      <c r="CI153">
        <v>100</v>
      </c>
      <c r="CJ153">
        <v>0</v>
      </c>
      <c r="CK153">
        <v>0</v>
      </c>
      <c r="CL153">
        <v>-1</v>
      </c>
    </row>
    <row r="154" spans="1:90" x14ac:dyDescent="0.25">
      <c r="A154">
        <v>284</v>
      </c>
      <c r="B154" t="s">
        <v>255</v>
      </c>
      <c r="C154" t="s">
        <v>199</v>
      </c>
      <c r="D154" t="s">
        <v>201</v>
      </c>
      <c r="E154">
        <v>100</v>
      </c>
      <c r="F154">
        <v>100</v>
      </c>
      <c r="G154">
        <v>0</v>
      </c>
      <c r="H154">
        <v>0</v>
      </c>
      <c r="I154">
        <v>0</v>
      </c>
      <c r="J154">
        <v>0</v>
      </c>
      <c r="K154">
        <v>0</v>
      </c>
      <c r="L154">
        <v>0</v>
      </c>
      <c r="M154">
        <v>0</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478000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0</v>
      </c>
      <c r="BI154">
        <v>0</v>
      </c>
      <c r="BJ154">
        <v>0</v>
      </c>
      <c r="BK154">
        <v>91</v>
      </c>
      <c r="BL154">
        <v>73</v>
      </c>
      <c r="BM154">
        <v>0</v>
      </c>
      <c r="BN154">
        <v>100</v>
      </c>
      <c r="BO154">
        <v>0</v>
      </c>
      <c r="BP154">
        <v>0</v>
      </c>
      <c r="BQ154">
        <v>0</v>
      </c>
      <c r="BR154">
        <v>0</v>
      </c>
      <c r="BS154">
        <v>0</v>
      </c>
      <c r="BT154">
        <v>0</v>
      </c>
      <c r="BU154">
        <v>0</v>
      </c>
      <c r="BV154">
        <v>0</v>
      </c>
      <c r="BW154">
        <v>0.68</v>
      </c>
      <c r="BX154">
        <v>0</v>
      </c>
      <c r="BY154">
        <v>0</v>
      </c>
      <c r="BZ154">
        <v>0</v>
      </c>
      <c r="CA154">
        <v>0</v>
      </c>
      <c r="CB154">
        <v>0</v>
      </c>
      <c r="CC154">
        <v>0</v>
      </c>
      <c r="CD154">
        <v>2E-3</v>
      </c>
      <c r="CE154">
        <v>0</v>
      </c>
      <c r="CF154" t="b">
        <v>0</v>
      </c>
      <c r="CG154" t="b">
        <v>0</v>
      </c>
      <c r="CH154" t="s">
        <v>93</v>
      </c>
      <c r="CI154">
        <v>100</v>
      </c>
      <c r="CJ154">
        <v>0</v>
      </c>
      <c r="CK154">
        <v>0</v>
      </c>
      <c r="CL154">
        <v>-1</v>
      </c>
    </row>
    <row r="155" spans="1:90" x14ac:dyDescent="0.25">
      <c r="A155">
        <v>285</v>
      </c>
      <c r="B155" t="s">
        <v>256</v>
      </c>
      <c r="C155" t="s">
        <v>199</v>
      </c>
      <c r="D155" t="s">
        <v>201</v>
      </c>
      <c r="E155">
        <v>100</v>
      </c>
      <c r="F155">
        <v>100</v>
      </c>
      <c r="G155">
        <v>0</v>
      </c>
      <c r="H155">
        <v>0</v>
      </c>
      <c r="I155">
        <v>0</v>
      </c>
      <c r="J155">
        <v>0</v>
      </c>
      <c r="K155">
        <v>0</v>
      </c>
      <c r="L155">
        <v>0</v>
      </c>
      <c r="M155">
        <v>0</v>
      </c>
      <c r="N155">
        <v>0</v>
      </c>
      <c r="O155">
        <v>0</v>
      </c>
      <c r="P155">
        <v>0</v>
      </c>
      <c r="Q155">
        <v>0</v>
      </c>
      <c r="R155">
        <v>0</v>
      </c>
      <c r="S155">
        <v>0</v>
      </c>
      <c r="T155">
        <v>0</v>
      </c>
      <c r="U155">
        <v>0</v>
      </c>
      <c r="V155">
        <v>0</v>
      </c>
      <c r="W155">
        <v>0</v>
      </c>
      <c r="X155">
        <v>0</v>
      </c>
      <c r="Y155">
        <v>0</v>
      </c>
      <c r="Z155">
        <v>0</v>
      </c>
      <c r="AA155">
        <v>0</v>
      </c>
      <c r="AB155">
        <v>0</v>
      </c>
      <c r="AC155">
        <v>0</v>
      </c>
      <c r="AD155">
        <v>0</v>
      </c>
      <c r="AE155">
        <v>0</v>
      </c>
      <c r="AF155">
        <v>19</v>
      </c>
      <c r="AG155">
        <v>0</v>
      </c>
      <c r="AH155">
        <v>0</v>
      </c>
      <c r="AI155">
        <v>325000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c r="BH155">
        <v>0</v>
      </c>
      <c r="BI155">
        <v>0</v>
      </c>
      <c r="BJ155">
        <v>0</v>
      </c>
      <c r="BK155">
        <v>91</v>
      </c>
      <c r="BL155">
        <v>73</v>
      </c>
      <c r="BM155">
        <v>0</v>
      </c>
      <c r="BN155">
        <v>100</v>
      </c>
      <c r="BO155">
        <v>0</v>
      </c>
      <c r="BP155">
        <v>0</v>
      </c>
      <c r="BQ155">
        <v>0</v>
      </c>
      <c r="BR155">
        <v>0</v>
      </c>
      <c r="BS155">
        <v>0</v>
      </c>
      <c r="BT155">
        <v>0</v>
      </c>
      <c r="BU155">
        <v>0</v>
      </c>
      <c r="BV155">
        <v>0</v>
      </c>
      <c r="BW155">
        <v>0.68</v>
      </c>
      <c r="BX155">
        <v>0</v>
      </c>
      <c r="BY155">
        <v>0</v>
      </c>
      <c r="BZ155">
        <v>0</v>
      </c>
      <c r="CA155">
        <v>0</v>
      </c>
      <c r="CB155">
        <v>0</v>
      </c>
      <c r="CC155">
        <v>0</v>
      </c>
      <c r="CD155">
        <v>5.0000000000000001E-3</v>
      </c>
      <c r="CE155">
        <v>0</v>
      </c>
      <c r="CF155" t="b">
        <v>0</v>
      </c>
      <c r="CG155" t="b">
        <v>0</v>
      </c>
      <c r="CH155" t="s">
        <v>93</v>
      </c>
      <c r="CI155">
        <v>100</v>
      </c>
      <c r="CJ155">
        <v>0</v>
      </c>
      <c r="CK155">
        <v>0</v>
      </c>
      <c r="CL155">
        <v>-1</v>
      </c>
    </row>
    <row r="156" spans="1:90" x14ac:dyDescent="0.25">
      <c r="A156">
        <v>286</v>
      </c>
      <c r="B156" t="s">
        <v>257</v>
      </c>
      <c r="C156" t="s">
        <v>199</v>
      </c>
      <c r="D156" t="s">
        <v>201</v>
      </c>
      <c r="E156">
        <v>100</v>
      </c>
      <c r="F156">
        <v>100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v>0</v>
      </c>
      <c r="AE156">
        <v>0</v>
      </c>
      <c r="AF156">
        <v>13.3</v>
      </c>
      <c r="AG156">
        <v>0</v>
      </c>
      <c r="AH156">
        <v>0</v>
      </c>
      <c r="AI156">
        <v>228000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c r="BH156">
        <v>0</v>
      </c>
      <c r="BI156">
        <v>0</v>
      </c>
      <c r="BJ156">
        <v>0</v>
      </c>
      <c r="BK156">
        <v>91</v>
      </c>
      <c r="BL156">
        <v>73</v>
      </c>
      <c r="BM156">
        <v>0</v>
      </c>
      <c r="BN156">
        <v>100</v>
      </c>
      <c r="BO156">
        <v>0</v>
      </c>
      <c r="BP156">
        <v>0</v>
      </c>
      <c r="BQ156">
        <v>0</v>
      </c>
      <c r="BR156">
        <v>0</v>
      </c>
      <c r="BS156">
        <v>0</v>
      </c>
      <c r="BT156">
        <v>0</v>
      </c>
      <c r="BU156">
        <v>0</v>
      </c>
      <c r="BV156">
        <v>0</v>
      </c>
      <c r="BW156">
        <v>0.68</v>
      </c>
      <c r="BX156">
        <v>0</v>
      </c>
      <c r="BY156">
        <v>0</v>
      </c>
      <c r="BZ156">
        <v>0</v>
      </c>
      <c r="CA156">
        <v>0</v>
      </c>
      <c r="CB156">
        <v>0</v>
      </c>
      <c r="CC156">
        <v>0</v>
      </c>
      <c r="CD156">
        <v>5.0000000000000001E-3</v>
      </c>
      <c r="CE156">
        <v>0</v>
      </c>
      <c r="CF156" t="b">
        <v>0</v>
      </c>
      <c r="CG156" t="b">
        <v>0</v>
      </c>
      <c r="CH156" t="s">
        <v>93</v>
      </c>
      <c r="CI156">
        <v>100</v>
      </c>
      <c r="CJ156">
        <v>0</v>
      </c>
      <c r="CK156">
        <v>0</v>
      </c>
      <c r="CL156">
        <v>-1</v>
      </c>
    </row>
    <row r="157" spans="1:90" x14ac:dyDescent="0.25">
      <c r="A157">
        <v>287</v>
      </c>
      <c r="B157" t="s">
        <v>258</v>
      </c>
      <c r="C157" t="s">
        <v>199</v>
      </c>
      <c r="D157" t="s">
        <v>201</v>
      </c>
      <c r="E157">
        <v>100</v>
      </c>
      <c r="F157">
        <v>100</v>
      </c>
      <c r="G157">
        <v>0</v>
      </c>
      <c r="H157">
        <v>0</v>
      </c>
      <c r="I157">
        <v>0</v>
      </c>
      <c r="J157">
        <v>0</v>
      </c>
      <c r="K157">
        <v>0</v>
      </c>
      <c r="L157">
        <v>0</v>
      </c>
      <c r="M157">
        <v>0</v>
      </c>
      <c r="N157">
        <v>0</v>
      </c>
      <c r="O157">
        <v>0</v>
      </c>
      <c r="P157">
        <v>0</v>
      </c>
      <c r="Q157">
        <v>0</v>
      </c>
      <c r="R157">
        <v>0</v>
      </c>
      <c r="S157">
        <v>0</v>
      </c>
      <c r="T157">
        <v>0</v>
      </c>
      <c r="U157">
        <v>0</v>
      </c>
      <c r="V157">
        <v>0</v>
      </c>
      <c r="W157">
        <v>0</v>
      </c>
      <c r="X157">
        <v>0</v>
      </c>
      <c r="Y157">
        <v>0</v>
      </c>
      <c r="Z157">
        <v>0</v>
      </c>
      <c r="AA157">
        <v>0</v>
      </c>
      <c r="AB157">
        <v>0</v>
      </c>
      <c r="AC157">
        <v>0</v>
      </c>
      <c r="AD157">
        <v>0</v>
      </c>
      <c r="AE157">
        <v>0</v>
      </c>
      <c r="AF157">
        <v>0</v>
      </c>
      <c r="AG157">
        <v>0</v>
      </c>
      <c r="AH157">
        <v>0</v>
      </c>
      <c r="AI157">
        <v>775000</v>
      </c>
      <c r="AJ157">
        <v>0</v>
      </c>
      <c r="AK157">
        <v>0</v>
      </c>
      <c r="AL157">
        <v>0</v>
      </c>
      <c r="AM157">
        <v>0</v>
      </c>
      <c r="AN157">
        <v>0</v>
      </c>
      <c r="AO157">
        <v>0</v>
      </c>
      <c r="AP157">
        <v>0</v>
      </c>
      <c r="AQ157">
        <v>0</v>
      </c>
      <c r="AR157">
        <v>0</v>
      </c>
      <c r="AS157">
        <v>0</v>
      </c>
      <c r="AT157">
        <v>0</v>
      </c>
      <c r="AU157">
        <v>0</v>
      </c>
      <c r="AV157">
        <v>0</v>
      </c>
      <c r="AW157">
        <v>0</v>
      </c>
      <c r="AX157">
        <v>0</v>
      </c>
      <c r="AY157">
        <v>0</v>
      </c>
      <c r="AZ157">
        <v>0</v>
      </c>
      <c r="BA157">
        <v>0</v>
      </c>
      <c r="BB157">
        <v>0</v>
      </c>
      <c r="BC157">
        <v>0</v>
      </c>
      <c r="BD157">
        <v>0</v>
      </c>
      <c r="BE157">
        <v>0</v>
      </c>
      <c r="BF157">
        <v>0</v>
      </c>
      <c r="BG157">
        <v>0</v>
      </c>
      <c r="BH157">
        <v>0</v>
      </c>
      <c r="BI157">
        <v>0</v>
      </c>
      <c r="BJ157">
        <v>0</v>
      </c>
      <c r="BK157">
        <v>91</v>
      </c>
      <c r="BL157">
        <v>73</v>
      </c>
      <c r="BM157">
        <v>0</v>
      </c>
      <c r="BN157">
        <v>100</v>
      </c>
      <c r="BO157">
        <v>0</v>
      </c>
      <c r="BP157">
        <v>0</v>
      </c>
      <c r="BQ157">
        <v>0</v>
      </c>
      <c r="BR157">
        <v>0</v>
      </c>
      <c r="BS157">
        <v>0</v>
      </c>
      <c r="BT157">
        <v>0</v>
      </c>
      <c r="BU157">
        <v>0</v>
      </c>
      <c r="BV157">
        <v>0</v>
      </c>
      <c r="BW157">
        <v>0.68</v>
      </c>
      <c r="BX157">
        <v>0</v>
      </c>
      <c r="BY157">
        <v>0</v>
      </c>
      <c r="BZ157">
        <v>0</v>
      </c>
      <c r="CA157">
        <v>0</v>
      </c>
      <c r="CB157">
        <v>0</v>
      </c>
      <c r="CC157">
        <v>0</v>
      </c>
      <c r="CD157">
        <v>3.0000000000000001E-3</v>
      </c>
      <c r="CE157">
        <v>0</v>
      </c>
      <c r="CF157" t="b">
        <v>0</v>
      </c>
      <c r="CG157" t="b">
        <v>0</v>
      </c>
      <c r="CH157" t="s">
        <v>93</v>
      </c>
      <c r="CI157">
        <v>100</v>
      </c>
      <c r="CJ157">
        <v>0</v>
      </c>
      <c r="CK157">
        <v>0</v>
      </c>
      <c r="CL157">
        <v>-1</v>
      </c>
    </row>
    <row r="158" spans="1:90" x14ac:dyDescent="0.25">
      <c r="A158">
        <v>288</v>
      </c>
      <c r="B158" t="s">
        <v>259</v>
      </c>
      <c r="C158" t="s">
        <v>199</v>
      </c>
      <c r="D158" t="s">
        <v>201</v>
      </c>
      <c r="E158">
        <v>98</v>
      </c>
      <c r="F158">
        <v>80</v>
      </c>
      <c r="G158">
        <v>0</v>
      </c>
      <c r="H158">
        <v>0</v>
      </c>
      <c r="I158">
        <v>0</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0</v>
      </c>
      <c r="AH158">
        <v>0</v>
      </c>
      <c r="AI158">
        <v>1000</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0</v>
      </c>
      <c r="BF158">
        <v>0</v>
      </c>
      <c r="BG158">
        <v>0</v>
      </c>
      <c r="BH158">
        <v>0</v>
      </c>
      <c r="BI158">
        <v>0</v>
      </c>
      <c r="BJ158">
        <v>0</v>
      </c>
      <c r="BK158">
        <v>0</v>
      </c>
      <c r="BL158">
        <v>0</v>
      </c>
      <c r="BM158">
        <v>100</v>
      </c>
      <c r="BN158">
        <v>0</v>
      </c>
      <c r="BO158">
        <v>0</v>
      </c>
      <c r="BP158">
        <v>0</v>
      </c>
      <c r="BQ158">
        <v>0</v>
      </c>
      <c r="BR158">
        <v>0</v>
      </c>
      <c r="BS158">
        <v>0</v>
      </c>
      <c r="BT158">
        <v>0</v>
      </c>
      <c r="BU158">
        <v>0</v>
      </c>
      <c r="BV158">
        <v>0.6</v>
      </c>
      <c r="BW158">
        <v>0.68</v>
      </c>
      <c r="BX158">
        <v>1</v>
      </c>
      <c r="BY158">
        <v>0.92</v>
      </c>
      <c r="BZ158">
        <v>1</v>
      </c>
      <c r="CA158">
        <v>0.05</v>
      </c>
      <c r="CB158">
        <v>0.1</v>
      </c>
      <c r="CC158">
        <v>0.3</v>
      </c>
      <c r="CD158">
        <v>4.0000000000000001E-3</v>
      </c>
      <c r="CE158">
        <v>0.2</v>
      </c>
      <c r="CF158" t="b">
        <v>0</v>
      </c>
      <c r="CG158" t="b">
        <v>0</v>
      </c>
      <c r="CH158" t="s">
        <v>93</v>
      </c>
      <c r="CI158">
        <v>100</v>
      </c>
      <c r="CJ158">
        <v>0</v>
      </c>
      <c r="CK158">
        <v>0</v>
      </c>
      <c r="CL158">
        <v>-1</v>
      </c>
    </row>
    <row r="159" spans="1:90" x14ac:dyDescent="0.25">
      <c r="A159">
        <v>289</v>
      </c>
      <c r="B159" t="s">
        <v>260</v>
      </c>
      <c r="C159" t="s">
        <v>199</v>
      </c>
      <c r="D159" t="s">
        <v>201</v>
      </c>
      <c r="E159">
        <v>100</v>
      </c>
      <c r="F159">
        <v>100</v>
      </c>
      <c r="G159">
        <v>0</v>
      </c>
      <c r="H159">
        <v>0</v>
      </c>
      <c r="I159">
        <v>0</v>
      </c>
      <c r="J159">
        <v>0</v>
      </c>
      <c r="K159">
        <v>0</v>
      </c>
      <c r="L159">
        <v>0</v>
      </c>
      <c r="M159">
        <v>0</v>
      </c>
      <c r="N159">
        <v>0</v>
      </c>
      <c r="O159">
        <v>0</v>
      </c>
      <c r="P159">
        <v>0</v>
      </c>
      <c r="Q159">
        <v>0</v>
      </c>
      <c r="R159">
        <v>0</v>
      </c>
      <c r="S159">
        <v>0</v>
      </c>
      <c r="T159">
        <v>0</v>
      </c>
      <c r="U159">
        <v>0</v>
      </c>
      <c r="V159">
        <v>0</v>
      </c>
      <c r="W159">
        <v>0</v>
      </c>
      <c r="X159">
        <v>0</v>
      </c>
      <c r="Y159">
        <v>0</v>
      </c>
      <c r="Z159">
        <v>0</v>
      </c>
      <c r="AA159">
        <v>0</v>
      </c>
      <c r="AB159">
        <v>0</v>
      </c>
      <c r="AC159">
        <v>0</v>
      </c>
      <c r="AD159">
        <v>36.6</v>
      </c>
      <c r="AE159">
        <v>0</v>
      </c>
      <c r="AF159">
        <v>0</v>
      </c>
      <c r="AG159">
        <v>0</v>
      </c>
      <c r="AH159">
        <v>0</v>
      </c>
      <c r="AI159">
        <v>0</v>
      </c>
      <c r="AJ159">
        <v>0</v>
      </c>
      <c r="AK159">
        <v>0</v>
      </c>
      <c r="AL159">
        <v>0</v>
      </c>
      <c r="AM159">
        <v>0</v>
      </c>
      <c r="AN159">
        <v>0</v>
      </c>
      <c r="AO159">
        <v>456000</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0</v>
      </c>
      <c r="BJ159">
        <v>0</v>
      </c>
      <c r="BK159">
        <v>91</v>
      </c>
      <c r="BL159">
        <v>73</v>
      </c>
      <c r="BM159">
        <v>0</v>
      </c>
      <c r="BN159">
        <v>100</v>
      </c>
      <c r="BO159">
        <v>0</v>
      </c>
      <c r="BP159">
        <v>0</v>
      </c>
      <c r="BQ159">
        <v>0</v>
      </c>
      <c r="BR159">
        <v>0</v>
      </c>
      <c r="BS159">
        <v>0</v>
      </c>
      <c r="BT159">
        <v>0</v>
      </c>
      <c r="BU159">
        <v>0</v>
      </c>
      <c r="BV159">
        <v>0</v>
      </c>
      <c r="BW159">
        <v>0.68</v>
      </c>
      <c r="BX159">
        <v>1</v>
      </c>
      <c r="BY159">
        <v>0</v>
      </c>
      <c r="BZ159">
        <v>0</v>
      </c>
      <c r="CA159">
        <v>0</v>
      </c>
      <c r="CB159">
        <v>0</v>
      </c>
      <c r="CC159">
        <v>0</v>
      </c>
      <c r="CD159">
        <v>0</v>
      </c>
      <c r="CE159">
        <v>0</v>
      </c>
      <c r="CF159" t="b">
        <v>0</v>
      </c>
      <c r="CG159" t="b">
        <v>0</v>
      </c>
      <c r="CH159" t="s">
        <v>93</v>
      </c>
      <c r="CI159">
        <v>100</v>
      </c>
      <c r="CJ159">
        <v>0</v>
      </c>
      <c r="CK159">
        <v>0</v>
      </c>
      <c r="CL159">
        <v>-1</v>
      </c>
    </row>
    <row r="160" spans="1:90" x14ac:dyDescent="0.25">
      <c r="A160">
        <v>290</v>
      </c>
      <c r="B160" t="s">
        <v>261</v>
      </c>
      <c r="C160" t="s">
        <v>199</v>
      </c>
      <c r="D160" t="s">
        <v>201</v>
      </c>
      <c r="E160">
        <v>100</v>
      </c>
      <c r="F160">
        <v>100</v>
      </c>
      <c r="G160">
        <v>0</v>
      </c>
      <c r="H160">
        <v>0</v>
      </c>
      <c r="I160">
        <v>0</v>
      </c>
      <c r="J160">
        <v>0</v>
      </c>
      <c r="K160">
        <v>0</v>
      </c>
      <c r="L160">
        <v>0</v>
      </c>
      <c r="M160">
        <v>0</v>
      </c>
      <c r="N160">
        <v>0</v>
      </c>
      <c r="O160">
        <v>0</v>
      </c>
      <c r="P160">
        <v>0</v>
      </c>
      <c r="Q160">
        <v>0</v>
      </c>
      <c r="R160">
        <v>0</v>
      </c>
      <c r="S160">
        <v>0</v>
      </c>
      <c r="T160">
        <v>0</v>
      </c>
      <c r="U160">
        <v>0</v>
      </c>
      <c r="V160">
        <v>0</v>
      </c>
      <c r="W160">
        <v>0</v>
      </c>
      <c r="X160">
        <v>0</v>
      </c>
      <c r="Y160">
        <v>0</v>
      </c>
      <c r="Z160">
        <v>0</v>
      </c>
      <c r="AA160">
        <v>0</v>
      </c>
      <c r="AB160">
        <v>0</v>
      </c>
      <c r="AC160">
        <v>0</v>
      </c>
      <c r="AD160">
        <v>12.5</v>
      </c>
      <c r="AE160">
        <v>0</v>
      </c>
      <c r="AF160">
        <v>0</v>
      </c>
      <c r="AG160">
        <v>0</v>
      </c>
      <c r="AH160">
        <v>0</v>
      </c>
      <c r="AI160">
        <v>0</v>
      </c>
      <c r="AJ160">
        <v>0</v>
      </c>
      <c r="AK160">
        <v>0</v>
      </c>
      <c r="AL160">
        <v>0</v>
      </c>
      <c r="AM160">
        <v>0</v>
      </c>
      <c r="AN160">
        <v>0</v>
      </c>
      <c r="AO160">
        <v>214000</v>
      </c>
      <c r="AP160">
        <v>0</v>
      </c>
      <c r="AQ160">
        <v>0</v>
      </c>
      <c r="AR160">
        <v>0</v>
      </c>
      <c r="AS160">
        <v>0</v>
      </c>
      <c r="AT160">
        <v>0</v>
      </c>
      <c r="AU160">
        <v>0</v>
      </c>
      <c r="AV160">
        <v>0</v>
      </c>
      <c r="AW160">
        <v>0</v>
      </c>
      <c r="AX160">
        <v>0</v>
      </c>
      <c r="AY160">
        <v>0</v>
      </c>
      <c r="AZ160">
        <v>0</v>
      </c>
      <c r="BA160">
        <v>0</v>
      </c>
      <c r="BB160">
        <v>0</v>
      </c>
      <c r="BC160">
        <v>0</v>
      </c>
      <c r="BD160">
        <v>0</v>
      </c>
      <c r="BE160">
        <v>0</v>
      </c>
      <c r="BF160">
        <v>0</v>
      </c>
      <c r="BG160">
        <v>0</v>
      </c>
      <c r="BH160">
        <v>0</v>
      </c>
      <c r="BI160">
        <v>0</v>
      </c>
      <c r="BJ160">
        <v>0</v>
      </c>
      <c r="BK160">
        <v>91</v>
      </c>
      <c r="BL160">
        <v>73</v>
      </c>
      <c r="BM160">
        <v>0</v>
      </c>
      <c r="BN160">
        <v>100</v>
      </c>
      <c r="BO160">
        <v>0</v>
      </c>
      <c r="BP160">
        <v>0</v>
      </c>
      <c r="BQ160">
        <v>0</v>
      </c>
      <c r="BR160">
        <v>0</v>
      </c>
      <c r="BS160">
        <v>0</v>
      </c>
      <c r="BT160">
        <v>0</v>
      </c>
      <c r="BU160">
        <v>0</v>
      </c>
      <c r="BV160">
        <v>0</v>
      </c>
      <c r="BW160">
        <v>0.68</v>
      </c>
      <c r="BX160">
        <v>1</v>
      </c>
      <c r="BY160">
        <v>0</v>
      </c>
      <c r="BZ160">
        <v>0</v>
      </c>
      <c r="CA160">
        <v>0</v>
      </c>
      <c r="CB160">
        <v>0</v>
      </c>
      <c r="CC160">
        <v>0</v>
      </c>
      <c r="CD160">
        <v>0</v>
      </c>
      <c r="CE160">
        <v>0</v>
      </c>
      <c r="CF160" t="b">
        <v>0</v>
      </c>
      <c r="CG160" t="b">
        <v>0</v>
      </c>
      <c r="CH160" t="s">
        <v>93</v>
      </c>
      <c r="CI160">
        <v>100</v>
      </c>
      <c r="CJ160">
        <v>0</v>
      </c>
      <c r="CK160">
        <v>0</v>
      </c>
      <c r="CL160">
        <v>-1</v>
      </c>
    </row>
    <row r="161" spans="1:90" x14ac:dyDescent="0.25">
      <c r="A161">
        <v>291</v>
      </c>
      <c r="B161" t="s">
        <v>262</v>
      </c>
      <c r="C161" t="s">
        <v>199</v>
      </c>
      <c r="D161" t="s">
        <v>201</v>
      </c>
      <c r="E161">
        <v>99</v>
      </c>
      <c r="F161">
        <v>50</v>
      </c>
      <c r="G161">
        <v>0</v>
      </c>
      <c r="H161">
        <v>0</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1000</v>
      </c>
      <c r="AP161">
        <v>0</v>
      </c>
      <c r="AQ161">
        <v>0</v>
      </c>
      <c r="AR161">
        <v>0</v>
      </c>
      <c r="AS161">
        <v>0</v>
      </c>
      <c r="AT161">
        <v>0</v>
      </c>
      <c r="AU161">
        <v>0</v>
      </c>
      <c r="AV161">
        <v>0</v>
      </c>
      <c r="AW161">
        <v>0</v>
      </c>
      <c r="AX161">
        <v>0</v>
      </c>
      <c r="AY161">
        <v>0</v>
      </c>
      <c r="AZ161">
        <v>0</v>
      </c>
      <c r="BA161">
        <v>0</v>
      </c>
      <c r="BB161">
        <v>0</v>
      </c>
      <c r="BC161">
        <v>0</v>
      </c>
      <c r="BD161">
        <v>0</v>
      </c>
      <c r="BE161">
        <v>0</v>
      </c>
      <c r="BF161">
        <v>0</v>
      </c>
      <c r="BG161">
        <v>0</v>
      </c>
      <c r="BH161">
        <v>0</v>
      </c>
      <c r="BI161">
        <v>0</v>
      </c>
      <c r="BJ161">
        <v>0</v>
      </c>
      <c r="BK161">
        <v>0</v>
      </c>
      <c r="BL161">
        <v>0</v>
      </c>
      <c r="BM161">
        <v>0</v>
      </c>
      <c r="BN161">
        <v>100</v>
      </c>
      <c r="BO161">
        <v>0</v>
      </c>
      <c r="BP161">
        <v>0</v>
      </c>
      <c r="BQ161">
        <v>0</v>
      </c>
      <c r="BR161">
        <v>0</v>
      </c>
      <c r="BS161">
        <v>0</v>
      </c>
      <c r="BT161">
        <v>0</v>
      </c>
      <c r="BU161">
        <v>0</v>
      </c>
      <c r="BV161">
        <v>0.6</v>
      </c>
      <c r="BW161">
        <v>0.68</v>
      </c>
      <c r="BX161">
        <v>1</v>
      </c>
      <c r="BY161">
        <v>0.92</v>
      </c>
      <c r="BZ161">
        <v>1</v>
      </c>
      <c r="CA161">
        <v>0.05</v>
      </c>
      <c r="CB161">
        <v>0.1</v>
      </c>
      <c r="CC161">
        <v>0.3</v>
      </c>
      <c r="CD161">
        <v>4.0000000000000001E-3</v>
      </c>
      <c r="CE161">
        <v>0.2</v>
      </c>
      <c r="CF161" t="b">
        <v>0</v>
      </c>
      <c r="CG161" t="b">
        <v>0</v>
      </c>
      <c r="CH161" t="s">
        <v>93</v>
      </c>
      <c r="CI161">
        <v>100</v>
      </c>
      <c r="CJ161">
        <v>0</v>
      </c>
      <c r="CK161">
        <v>0</v>
      </c>
      <c r="CL161">
        <v>-1</v>
      </c>
    </row>
    <row r="162" spans="1:90" x14ac:dyDescent="0.25">
      <c r="A162">
        <v>292</v>
      </c>
      <c r="B162" t="s">
        <v>263</v>
      </c>
      <c r="C162" t="s">
        <v>199</v>
      </c>
      <c r="D162" t="s">
        <v>201</v>
      </c>
      <c r="E162">
        <v>100</v>
      </c>
      <c r="F162">
        <v>100</v>
      </c>
      <c r="G162">
        <v>0</v>
      </c>
      <c r="H162">
        <v>0</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521000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c r="BH162">
        <v>0</v>
      </c>
      <c r="BI162">
        <v>0</v>
      </c>
      <c r="BJ162">
        <v>0</v>
      </c>
      <c r="BK162">
        <v>91</v>
      </c>
      <c r="BL162">
        <v>73</v>
      </c>
      <c r="BM162">
        <v>0</v>
      </c>
      <c r="BN162">
        <v>100</v>
      </c>
      <c r="BO162">
        <v>0</v>
      </c>
      <c r="BP162">
        <v>0</v>
      </c>
      <c r="BQ162">
        <v>0</v>
      </c>
      <c r="BR162">
        <v>0</v>
      </c>
      <c r="BS162">
        <v>0</v>
      </c>
      <c r="BT162">
        <v>0</v>
      </c>
      <c r="BU162">
        <v>0</v>
      </c>
      <c r="BV162">
        <v>0</v>
      </c>
      <c r="BW162">
        <v>0.68</v>
      </c>
      <c r="BX162">
        <v>0</v>
      </c>
      <c r="BY162">
        <v>0</v>
      </c>
      <c r="BZ162">
        <v>0</v>
      </c>
      <c r="CA162">
        <v>0</v>
      </c>
      <c r="CB162">
        <v>0</v>
      </c>
      <c r="CC162">
        <v>0</v>
      </c>
      <c r="CD162">
        <v>0</v>
      </c>
      <c r="CE162">
        <v>0.2</v>
      </c>
      <c r="CF162" t="b">
        <v>0</v>
      </c>
      <c r="CG162" t="b">
        <v>0</v>
      </c>
      <c r="CH162" t="s">
        <v>93</v>
      </c>
      <c r="CI162">
        <v>100</v>
      </c>
      <c r="CJ162">
        <v>0</v>
      </c>
      <c r="CK162">
        <v>0</v>
      </c>
      <c r="CL162">
        <v>-1</v>
      </c>
    </row>
    <row r="163" spans="1:90" x14ac:dyDescent="0.25">
      <c r="A163">
        <v>293</v>
      </c>
      <c r="B163" t="s">
        <v>264</v>
      </c>
      <c r="C163" t="s">
        <v>199</v>
      </c>
      <c r="D163" t="s">
        <v>201</v>
      </c>
      <c r="E163">
        <v>100</v>
      </c>
      <c r="F163">
        <v>100</v>
      </c>
      <c r="G163">
        <v>0</v>
      </c>
      <c r="H163">
        <v>0</v>
      </c>
      <c r="I163">
        <v>0</v>
      </c>
      <c r="J163">
        <v>0</v>
      </c>
      <c r="K163">
        <v>0</v>
      </c>
      <c r="L163">
        <v>0</v>
      </c>
      <c r="M163">
        <v>0</v>
      </c>
      <c r="N163">
        <v>0</v>
      </c>
      <c r="O163">
        <v>0</v>
      </c>
      <c r="P163">
        <v>0</v>
      </c>
      <c r="Q163">
        <v>0</v>
      </c>
      <c r="R163">
        <v>0</v>
      </c>
      <c r="S163">
        <v>0</v>
      </c>
      <c r="T163">
        <v>0</v>
      </c>
      <c r="U163">
        <v>0</v>
      </c>
      <c r="V163">
        <v>0</v>
      </c>
      <c r="W163">
        <v>0</v>
      </c>
      <c r="X163">
        <v>0</v>
      </c>
      <c r="Y163">
        <v>0</v>
      </c>
      <c r="Z163">
        <v>0</v>
      </c>
      <c r="AA163">
        <v>0</v>
      </c>
      <c r="AB163">
        <v>0</v>
      </c>
      <c r="AC163">
        <v>0</v>
      </c>
      <c r="AD163">
        <v>0</v>
      </c>
      <c r="AE163">
        <v>52</v>
      </c>
      <c r="AF163">
        <v>0</v>
      </c>
      <c r="AG163">
        <v>0</v>
      </c>
      <c r="AH163">
        <v>0</v>
      </c>
      <c r="AI163">
        <v>0</v>
      </c>
      <c r="AJ163">
        <v>480000</v>
      </c>
      <c r="AK163">
        <v>0</v>
      </c>
      <c r="AL163">
        <v>0</v>
      </c>
      <c r="AM163">
        <v>0</v>
      </c>
      <c r="AN163">
        <v>0</v>
      </c>
      <c r="AO163">
        <v>0</v>
      </c>
      <c r="AP163">
        <v>0</v>
      </c>
      <c r="AQ163">
        <v>0</v>
      </c>
      <c r="AR163">
        <v>0</v>
      </c>
      <c r="AS163">
        <v>0</v>
      </c>
      <c r="AT163">
        <v>0</v>
      </c>
      <c r="AU163">
        <v>0</v>
      </c>
      <c r="AV163">
        <v>0</v>
      </c>
      <c r="AW163">
        <v>0</v>
      </c>
      <c r="AX163">
        <v>0</v>
      </c>
      <c r="AY163">
        <v>0</v>
      </c>
      <c r="AZ163">
        <v>0</v>
      </c>
      <c r="BA163">
        <v>0</v>
      </c>
      <c r="BB163">
        <v>0</v>
      </c>
      <c r="BC163">
        <v>0</v>
      </c>
      <c r="BD163">
        <v>0</v>
      </c>
      <c r="BE163">
        <v>0</v>
      </c>
      <c r="BF163">
        <v>0</v>
      </c>
      <c r="BG163">
        <v>0</v>
      </c>
      <c r="BH163">
        <v>0</v>
      </c>
      <c r="BI163">
        <v>0</v>
      </c>
      <c r="BJ163">
        <v>0</v>
      </c>
      <c r="BK163">
        <v>91</v>
      </c>
      <c r="BL163">
        <v>73</v>
      </c>
      <c r="BM163">
        <v>0</v>
      </c>
      <c r="BN163">
        <v>100</v>
      </c>
      <c r="BO163">
        <v>0</v>
      </c>
      <c r="BP163">
        <v>0</v>
      </c>
      <c r="BQ163">
        <v>0</v>
      </c>
      <c r="BR163">
        <v>0</v>
      </c>
      <c r="BS163">
        <v>0</v>
      </c>
      <c r="BT163">
        <v>0</v>
      </c>
      <c r="BU163">
        <v>0</v>
      </c>
      <c r="BV163">
        <v>0</v>
      </c>
      <c r="BW163">
        <v>0.68</v>
      </c>
      <c r="BX163">
        <v>0</v>
      </c>
      <c r="BY163">
        <v>0.92</v>
      </c>
      <c r="BZ163">
        <v>0</v>
      </c>
      <c r="CA163">
        <v>0</v>
      </c>
      <c r="CB163">
        <v>0</v>
      </c>
      <c r="CC163">
        <v>0</v>
      </c>
      <c r="CD163">
        <v>0</v>
      </c>
      <c r="CE163">
        <v>0.2</v>
      </c>
      <c r="CF163" t="b">
        <v>0</v>
      </c>
      <c r="CG163" t="b">
        <v>0</v>
      </c>
      <c r="CH163" t="s">
        <v>93</v>
      </c>
      <c r="CI163">
        <v>100</v>
      </c>
      <c r="CJ163">
        <v>0</v>
      </c>
      <c r="CK163">
        <v>0</v>
      </c>
      <c r="CL163">
        <v>-1</v>
      </c>
    </row>
    <row r="164" spans="1:90" x14ac:dyDescent="0.25">
      <c r="A164">
        <v>294</v>
      </c>
      <c r="B164" t="s">
        <v>265</v>
      </c>
      <c r="C164" t="s">
        <v>199</v>
      </c>
      <c r="D164" t="s">
        <v>201</v>
      </c>
      <c r="E164">
        <v>100</v>
      </c>
      <c r="F164">
        <v>100</v>
      </c>
      <c r="G164">
        <v>0</v>
      </c>
      <c r="H164">
        <v>0</v>
      </c>
      <c r="I164">
        <v>0</v>
      </c>
      <c r="J164">
        <v>0</v>
      </c>
      <c r="K164">
        <v>0</v>
      </c>
      <c r="L164">
        <v>0</v>
      </c>
      <c r="M164">
        <v>0</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780000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c r="BH164">
        <v>0</v>
      </c>
      <c r="BI164">
        <v>0</v>
      </c>
      <c r="BJ164">
        <v>0</v>
      </c>
      <c r="BK164">
        <v>91</v>
      </c>
      <c r="BL164">
        <v>73</v>
      </c>
      <c r="BM164">
        <v>0</v>
      </c>
      <c r="BN164">
        <v>100</v>
      </c>
      <c r="BO164">
        <v>0</v>
      </c>
      <c r="BP164">
        <v>0</v>
      </c>
      <c r="BQ164">
        <v>0</v>
      </c>
      <c r="BR164">
        <v>0</v>
      </c>
      <c r="BS164">
        <v>0</v>
      </c>
      <c r="BT164">
        <v>0</v>
      </c>
      <c r="BU164">
        <v>0</v>
      </c>
      <c r="BV164">
        <v>0</v>
      </c>
      <c r="BW164">
        <v>0.68</v>
      </c>
      <c r="BX164">
        <v>0</v>
      </c>
      <c r="BY164">
        <v>0</v>
      </c>
      <c r="BZ164">
        <v>0</v>
      </c>
      <c r="CA164">
        <v>0</v>
      </c>
      <c r="CB164">
        <v>0</v>
      </c>
      <c r="CC164">
        <v>0</v>
      </c>
      <c r="CD164">
        <v>0</v>
      </c>
      <c r="CE164">
        <v>0.16</v>
      </c>
      <c r="CF164" t="b">
        <v>0</v>
      </c>
      <c r="CG164" t="b">
        <v>0</v>
      </c>
      <c r="CH164" t="s">
        <v>93</v>
      </c>
      <c r="CI164">
        <v>100</v>
      </c>
      <c r="CJ164">
        <v>0</v>
      </c>
      <c r="CK164">
        <v>0</v>
      </c>
      <c r="CL164">
        <v>-1</v>
      </c>
    </row>
    <row r="165" spans="1:90" x14ac:dyDescent="0.25">
      <c r="A165">
        <v>295</v>
      </c>
      <c r="B165" t="s">
        <v>266</v>
      </c>
      <c r="C165" t="s">
        <v>199</v>
      </c>
      <c r="D165" t="s">
        <v>201</v>
      </c>
      <c r="E165">
        <v>100</v>
      </c>
      <c r="F165">
        <v>100</v>
      </c>
      <c r="G165">
        <v>0</v>
      </c>
      <c r="H165">
        <v>0</v>
      </c>
      <c r="I165">
        <v>0</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c r="AD165">
        <v>0</v>
      </c>
      <c r="AE165">
        <v>0</v>
      </c>
      <c r="AF165">
        <v>17.7</v>
      </c>
      <c r="AG165">
        <v>0</v>
      </c>
      <c r="AH165">
        <v>0</v>
      </c>
      <c r="AI165">
        <v>0</v>
      </c>
      <c r="AJ165">
        <v>364000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0</v>
      </c>
      <c r="BD165">
        <v>0</v>
      </c>
      <c r="BE165">
        <v>0</v>
      </c>
      <c r="BF165">
        <v>0</v>
      </c>
      <c r="BG165">
        <v>0</v>
      </c>
      <c r="BH165">
        <v>0</v>
      </c>
      <c r="BI165">
        <v>0</v>
      </c>
      <c r="BJ165">
        <v>0</v>
      </c>
      <c r="BK165">
        <v>91</v>
      </c>
      <c r="BL165">
        <v>73</v>
      </c>
      <c r="BM165">
        <v>0</v>
      </c>
      <c r="BN165">
        <v>100</v>
      </c>
      <c r="BO165">
        <v>0</v>
      </c>
      <c r="BP165">
        <v>0</v>
      </c>
      <c r="BQ165">
        <v>0</v>
      </c>
      <c r="BR165">
        <v>0</v>
      </c>
      <c r="BS165">
        <v>0</v>
      </c>
      <c r="BT165">
        <v>0</v>
      </c>
      <c r="BU165">
        <v>0</v>
      </c>
      <c r="BV165">
        <v>0</v>
      </c>
      <c r="BW165">
        <v>0.68</v>
      </c>
      <c r="BX165">
        <v>0</v>
      </c>
      <c r="BY165">
        <v>0</v>
      </c>
      <c r="BZ165">
        <v>0</v>
      </c>
      <c r="CA165">
        <v>0</v>
      </c>
      <c r="CB165">
        <v>0</v>
      </c>
      <c r="CC165">
        <v>0</v>
      </c>
      <c r="CD165">
        <v>0</v>
      </c>
      <c r="CE165">
        <v>0.2</v>
      </c>
      <c r="CF165" t="b">
        <v>0</v>
      </c>
      <c r="CG165" t="b">
        <v>0</v>
      </c>
      <c r="CH165" t="s">
        <v>93</v>
      </c>
      <c r="CI165">
        <v>100</v>
      </c>
      <c r="CJ165">
        <v>0</v>
      </c>
      <c r="CK165">
        <v>0</v>
      </c>
      <c r="CL165">
        <v>-1</v>
      </c>
    </row>
    <row r="166" spans="1:90" x14ac:dyDescent="0.25">
      <c r="A166">
        <v>296</v>
      </c>
      <c r="B166" t="s">
        <v>267</v>
      </c>
      <c r="C166" t="s">
        <v>199</v>
      </c>
      <c r="D166" t="s">
        <v>201</v>
      </c>
      <c r="E166">
        <v>98</v>
      </c>
      <c r="F166">
        <v>80</v>
      </c>
      <c r="G166">
        <v>0</v>
      </c>
      <c r="H166">
        <v>0</v>
      </c>
      <c r="I166">
        <v>0</v>
      </c>
      <c r="J166">
        <v>0</v>
      </c>
      <c r="K166">
        <v>0</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1000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c r="BH166">
        <v>0</v>
      </c>
      <c r="BI166">
        <v>0</v>
      </c>
      <c r="BJ166">
        <v>0</v>
      </c>
      <c r="BK166">
        <v>0</v>
      </c>
      <c r="BL166">
        <v>0</v>
      </c>
      <c r="BM166">
        <v>0</v>
      </c>
      <c r="BN166">
        <v>100</v>
      </c>
      <c r="BO166">
        <v>0</v>
      </c>
      <c r="BP166">
        <v>0</v>
      </c>
      <c r="BQ166">
        <v>0</v>
      </c>
      <c r="BR166">
        <v>0</v>
      </c>
      <c r="BS166">
        <v>0</v>
      </c>
      <c r="BT166">
        <v>0</v>
      </c>
      <c r="BU166">
        <v>0</v>
      </c>
      <c r="BV166">
        <v>0.6</v>
      </c>
      <c r="BW166">
        <v>0.68</v>
      </c>
      <c r="BX166">
        <v>1</v>
      </c>
      <c r="BY166">
        <v>0.92</v>
      </c>
      <c r="BZ166">
        <v>1</v>
      </c>
      <c r="CA166">
        <v>0.05</v>
      </c>
      <c r="CB166">
        <v>0.1</v>
      </c>
      <c r="CC166">
        <v>0.3</v>
      </c>
      <c r="CD166">
        <v>4.0000000000000001E-3</v>
      </c>
      <c r="CE166">
        <v>0.2</v>
      </c>
      <c r="CF166" t="b">
        <v>0</v>
      </c>
      <c r="CG166" t="b">
        <v>0</v>
      </c>
      <c r="CH166" t="s">
        <v>93</v>
      </c>
      <c r="CI166">
        <v>100</v>
      </c>
      <c r="CJ166">
        <v>0</v>
      </c>
      <c r="CK166">
        <v>0</v>
      </c>
      <c r="CL166">
        <v>-1</v>
      </c>
    </row>
    <row r="167" spans="1:90" x14ac:dyDescent="0.25">
      <c r="A167">
        <v>297</v>
      </c>
      <c r="B167" t="s">
        <v>268</v>
      </c>
      <c r="C167" t="s">
        <v>199</v>
      </c>
      <c r="D167" t="s">
        <v>201</v>
      </c>
      <c r="E167">
        <v>100</v>
      </c>
      <c r="F167">
        <v>5</v>
      </c>
      <c r="G167">
        <v>10</v>
      </c>
      <c r="H167">
        <v>0</v>
      </c>
      <c r="I167">
        <v>0</v>
      </c>
      <c r="J167">
        <v>0</v>
      </c>
      <c r="K167">
        <v>0</v>
      </c>
      <c r="L167">
        <v>0</v>
      </c>
      <c r="M167">
        <v>0</v>
      </c>
      <c r="N167">
        <v>0</v>
      </c>
      <c r="O167">
        <v>0</v>
      </c>
      <c r="P167">
        <v>0</v>
      </c>
      <c r="Q167">
        <v>0</v>
      </c>
      <c r="R167">
        <v>60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c r="BH167">
        <v>0</v>
      </c>
      <c r="BI167">
        <v>0</v>
      </c>
      <c r="BJ167">
        <v>0</v>
      </c>
      <c r="BK167">
        <v>91</v>
      </c>
      <c r="BL167">
        <v>73</v>
      </c>
      <c r="BM167">
        <v>100</v>
      </c>
      <c r="BN167">
        <v>0</v>
      </c>
      <c r="BO167">
        <v>0</v>
      </c>
      <c r="BP167">
        <v>0</v>
      </c>
      <c r="BQ167">
        <v>0</v>
      </c>
      <c r="BR167">
        <v>0</v>
      </c>
      <c r="BS167">
        <v>2500000</v>
      </c>
      <c r="BT167">
        <v>0</v>
      </c>
      <c r="BU167">
        <v>0</v>
      </c>
      <c r="BV167">
        <v>0.6</v>
      </c>
      <c r="BW167">
        <v>0.68</v>
      </c>
      <c r="BX167">
        <v>1</v>
      </c>
      <c r="BY167">
        <v>0.92</v>
      </c>
      <c r="BZ167">
        <v>1</v>
      </c>
      <c r="CA167">
        <v>0.05</v>
      </c>
      <c r="CB167">
        <v>0.1</v>
      </c>
      <c r="CC167">
        <v>0.3</v>
      </c>
      <c r="CD167">
        <v>4.0000000000000001E-3</v>
      </c>
      <c r="CE167">
        <v>0.2</v>
      </c>
      <c r="CF167" t="b">
        <v>0</v>
      </c>
      <c r="CG167" t="b">
        <v>0</v>
      </c>
      <c r="CH167" t="s">
        <v>93</v>
      </c>
      <c r="CI167">
        <v>100</v>
      </c>
      <c r="CJ167">
        <v>0</v>
      </c>
      <c r="CK167">
        <v>0</v>
      </c>
      <c r="CL167">
        <v>-1</v>
      </c>
    </row>
    <row r="168" spans="1:90" x14ac:dyDescent="0.25">
      <c r="A168">
        <v>298</v>
      </c>
      <c r="B168" t="s">
        <v>269</v>
      </c>
      <c r="C168" t="s">
        <v>199</v>
      </c>
      <c r="D168" t="s">
        <v>201</v>
      </c>
      <c r="E168">
        <v>100</v>
      </c>
      <c r="F168">
        <v>0</v>
      </c>
      <c r="G168">
        <v>0</v>
      </c>
      <c r="H168">
        <v>0</v>
      </c>
      <c r="I168">
        <v>0</v>
      </c>
      <c r="J168">
        <v>0</v>
      </c>
      <c r="K168">
        <v>0</v>
      </c>
      <c r="L168">
        <v>0</v>
      </c>
      <c r="M168">
        <v>0</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0</v>
      </c>
      <c r="BH168">
        <v>0</v>
      </c>
      <c r="BI168">
        <v>0</v>
      </c>
      <c r="BJ168">
        <v>0</v>
      </c>
      <c r="BK168">
        <v>91</v>
      </c>
      <c r="BL168">
        <v>73</v>
      </c>
      <c r="BM168">
        <v>100</v>
      </c>
      <c r="BN168">
        <v>0</v>
      </c>
      <c r="BO168">
        <v>0</v>
      </c>
      <c r="BP168">
        <v>0</v>
      </c>
      <c r="BQ168">
        <v>0</v>
      </c>
      <c r="BR168">
        <v>0</v>
      </c>
      <c r="BS168">
        <v>0</v>
      </c>
      <c r="BT168">
        <v>250000</v>
      </c>
      <c r="BU168">
        <v>0</v>
      </c>
      <c r="BV168">
        <v>0.6</v>
      </c>
      <c r="BW168">
        <v>0.68</v>
      </c>
      <c r="BX168">
        <v>1</v>
      </c>
      <c r="BY168">
        <v>0.92</v>
      </c>
      <c r="BZ168">
        <v>1</v>
      </c>
      <c r="CA168">
        <v>0.05</v>
      </c>
      <c r="CB168">
        <v>0.1</v>
      </c>
      <c r="CC168">
        <v>0.3</v>
      </c>
      <c r="CD168">
        <v>4.0000000000000001E-3</v>
      </c>
      <c r="CE168">
        <v>0.2</v>
      </c>
      <c r="CF168" t="b">
        <v>0</v>
      </c>
      <c r="CG168" t="b">
        <v>0</v>
      </c>
      <c r="CH168" t="s">
        <v>93</v>
      </c>
      <c r="CI168">
        <v>100</v>
      </c>
      <c r="CJ168">
        <v>0</v>
      </c>
      <c r="CK168">
        <v>0</v>
      </c>
      <c r="CL168">
        <v>-1</v>
      </c>
    </row>
    <row r="169" spans="1:90" x14ac:dyDescent="0.25">
      <c r="A169">
        <v>299</v>
      </c>
      <c r="B169" t="s">
        <v>270</v>
      </c>
      <c r="C169" t="s">
        <v>199</v>
      </c>
      <c r="D169" t="s">
        <v>201</v>
      </c>
      <c r="E169">
        <v>100</v>
      </c>
      <c r="F169">
        <v>0</v>
      </c>
      <c r="G169">
        <v>0</v>
      </c>
      <c r="H169">
        <v>0</v>
      </c>
      <c r="I169">
        <v>0</v>
      </c>
      <c r="J169">
        <v>0</v>
      </c>
      <c r="K169">
        <v>0</v>
      </c>
      <c r="L169">
        <v>0</v>
      </c>
      <c r="M169">
        <v>0</v>
      </c>
      <c r="N169">
        <v>0</v>
      </c>
      <c r="O169">
        <v>0</v>
      </c>
      <c r="P169">
        <v>0</v>
      </c>
      <c r="Q169">
        <v>0</v>
      </c>
      <c r="R169">
        <v>0</v>
      </c>
      <c r="S169">
        <v>0</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0</v>
      </c>
      <c r="BH169">
        <v>0</v>
      </c>
      <c r="BI169">
        <v>0</v>
      </c>
      <c r="BJ169">
        <v>0</v>
      </c>
      <c r="BK169">
        <v>91</v>
      </c>
      <c r="BL169">
        <v>73</v>
      </c>
      <c r="BM169">
        <v>100</v>
      </c>
      <c r="BN169">
        <v>0</v>
      </c>
      <c r="BO169">
        <v>0</v>
      </c>
      <c r="BP169">
        <v>0</v>
      </c>
      <c r="BQ169">
        <v>0</v>
      </c>
      <c r="BR169">
        <v>0</v>
      </c>
      <c r="BS169">
        <v>0</v>
      </c>
      <c r="BT169">
        <v>0</v>
      </c>
      <c r="BU169">
        <v>44000</v>
      </c>
      <c r="BV169">
        <v>0.6</v>
      </c>
      <c r="BW169">
        <v>0.68</v>
      </c>
      <c r="BX169">
        <v>1</v>
      </c>
      <c r="BY169">
        <v>0.92</v>
      </c>
      <c r="BZ169">
        <v>1</v>
      </c>
      <c r="CA169">
        <v>0.05</v>
      </c>
      <c r="CB169">
        <v>0.1</v>
      </c>
      <c r="CC169">
        <v>0.3</v>
      </c>
      <c r="CD169">
        <v>4.0000000000000001E-3</v>
      </c>
      <c r="CE169">
        <v>0.2</v>
      </c>
      <c r="CF169" t="b">
        <v>0</v>
      </c>
      <c r="CG169" t="b">
        <v>0</v>
      </c>
      <c r="CH169" t="s">
        <v>93</v>
      </c>
      <c r="CI169">
        <v>100</v>
      </c>
      <c r="CJ169">
        <v>0</v>
      </c>
      <c r="CK169">
        <v>0</v>
      </c>
      <c r="CL169">
        <v>-1</v>
      </c>
    </row>
    <row r="170" spans="1:90" x14ac:dyDescent="0.25">
      <c r="A170">
        <v>300</v>
      </c>
      <c r="B170" t="s">
        <v>271</v>
      </c>
      <c r="C170" t="s">
        <v>199</v>
      </c>
      <c r="D170" t="s">
        <v>96</v>
      </c>
      <c r="E170">
        <v>92</v>
      </c>
      <c r="F170">
        <v>18</v>
      </c>
      <c r="G170">
        <v>16</v>
      </c>
      <c r="H170">
        <v>40</v>
      </c>
      <c r="I170">
        <v>50</v>
      </c>
      <c r="J170">
        <v>10</v>
      </c>
      <c r="K170">
        <v>3.38</v>
      </c>
      <c r="L170">
        <v>43.054000000000002</v>
      </c>
      <c r="M170">
        <v>85.033000000000001</v>
      </c>
      <c r="N170">
        <v>18.222000000000001</v>
      </c>
      <c r="O170">
        <v>1</v>
      </c>
      <c r="P170">
        <v>3.5</v>
      </c>
      <c r="Q170">
        <v>12</v>
      </c>
      <c r="R170">
        <v>26</v>
      </c>
      <c r="S170">
        <v>0</v>
      </c>
      <c r="T170">
        <v>4.5</v>
      </c>
      <c r="U170">
        <v>15</v>
      </c>
      <c r="V170">
        <v>10</v>
      </c>
      <c r="W170">
        <v>2</v>
      </c>
      <c r="X170">
        <v>3</v>
      </c>
      <c r="Y170">
        <v>0</v>
      </c>
      <c r="Z170">
        <v>0.8</v>
      </c>
      <c r="AA170">
        <v>0.8</v>
      </c>
      <c r="AB170">
        <v>0.4</v>
      </c>
      <c r="AC170">
        <v>1</v>
      </c>
      <c r="AD170">
        <v>2.1000000000000001E-2</v>
      </c>
      <c r="AE170">
        <v>0.04</v>
      </c>
      <c r="AF170">
        <v>0.6</v>
      </c>
      <c r="AG170">
        <v>1600</v>
      </c>
      <c r="AH170">
        <v>1000</v>
      </c>
      <c r="AI170">
        <v>4000</v>
      </c>
      <c r="AJ170">
        <v>4000</v>
      </c>
      <c r="AK170">
        <v>0</v>
      </c>
      <c r="AL170">
        <v>0</v>
      </c>
      <c r="AM170">
        <v>0</v>
      </c>
      <c r="AN170">
        <v>80</v>
      </c>
      <c r="AO170">
        <v>50</v>
      </c>
      <c r="AP170">
        <v>0</v>
      </c>
      <c r="AQ170">
        <v>0</v>
      </c>
      <c r="AR170">
        <v>0</v>
      </c>
      <c r="AS170">
        <v>0</v>
      </c>
      <c r="AT170">
        <v>0</v>
      </c>
      <c r="AU170">
        <v>0</v>
      </c>
      <c r="AV170">
        <v>0</v>
      </c>
      <c r="AW170">
        <v>0</v>
      </c>
      <c r="AX170">
        <v>0</v>
      </c>
      <c r="AY170">
        <v>0</v>
      </c>
      <c r="AZ170">
        <v>0</v>
      </c>
      <c r="BA170">
        <v>0</v>
      </c>
      <c r="BB170">
        <v>0</v>
      </c>
      <c r="BC170">
        <v>0</v>
      </c>
      <c r="BD170">
        <v>0</v>
      </c>
      <c r="BE170">
        <v>0</v>
      </c>
      <c r="BF170">
        <v>0</v>
      </c>
      <c r="BG170">
        <v>0</v>
      </c>
      <c r="BH170">
        <v>0</v>
      </c>
      <c r="BI170">
        <v>0</v>
      </c>
      <c r="BJ170">
        <v>0</v>
      </c>
      <c r="BK170">
        <v>91</v>
      </c>
      <c r="BL170">
        <v>73</v>
      </c>
      <c r="BM170">
        <v>100</v>
      </c>
      <c r="BN170">
        <v>0</v>
      </c>
      <c r="BO170">
        <v>0</v>
      </c>
      <c r="BP170">
        <v>0</v>
      </c>
      <c r="BQ170">
        <v>0</v>
      </c>
      <c r="BR170">
        <v>0</v>
      </c>
      <c r="BS170">
        <v>560000</v>
      </c>
      <c r="BT170">
        <v>200000</v>
      </c>
      <c r="BU170">
        <v>4000</v>
      </c>
      <c r="BV170">
        <v>0.5</v>
      </c>
      <c r="BW170">
        <v>0.68</v>
      </c>
      <c r="BX170">
        <v>1</v>
      </c>
      <c r="BY170">
        <v>0.92</v>
      </c>
      <c r="BZ170">
        <v>1</v>
      </c>
      <c r="CA170">
        <v>0.05</v>
      </c>
      <c r="CB170">
        <v>0.1</v>
      </c>
      <c r="CC170">
        <v>0.23</v>
      </c>
      <c r="CD170">
        <v>5.0000000000000001E-3</v>
      </c>
      <c r="CE170">
        <v>0.2</v>
      </c>
      <c r="CF170" t="b">
        <v>0</v>
      </c>
      <c r="CG170" t="b">
        <v>0</v>
      </c>
      <c r="CH170" t="s">
        <v>93</v>
      </c>
      <c r="CI170">
        <v>100</v>
      </c>
      <c r="CJ170">
        <v>0</v>
      </c>
      <c r="CK170">
        <v>0</v>
      </c>
      <c r="CL170">
        <v>-1</v>
      </c>
    </row>
    <row r="171" spans="1:90" x14ac:dyDescent="0.25">
      <c r="A171">
        <v>301</v>
      </c>
      <c r="B171" t="s">
        <v>272</v>
      </c>
      <c r="C171" t="s">
        <v>199</v>
      </c>
      <c r="D171" t="s">
        <v>201</v>
      </c>
      <c r="E171">
        <v>99.459400000000002</v>
      </c>
      <c r="F171">
        <v>99.734700000000004</v>
      </c>
      <c r="G171">
        <v>3.5099999999999999E-2</v>
      </c>
      <c r="H171">
        <v>0</v>
      </c>
      <c r="I171">
        <v>0</v>
      </c>
      <c r="J171">
        <v>0</v>
      </c>
      <c r="K171">
        <v>0</v>
      </c>
      <c r="L171">
        <v>0</v>
      </c>
      <c r="M171">
        <v>0</v>
      </c>
      <c r="N171">
        <v>0</v>
      </c>
      <c r="O171">
        <v>0</v>
      </c>
      <c r="P171">
        <v>0</v>
      </c>
      <c r="Q171">
        <v>8.5900000000000004E-2</v>
      </c>
      <c r="R171">
        <v>0.1449</v>
      </c>
      <c r="S171">
        <v>0</v>
      </c>
      <c r="T171">
        <v>1.01E-2</v>
      </c>
      <c r="U171">
        <v>8.2000000000000007E-3</v>
      </c>
      <c r="V171">
        <v>1.8E-3</v>
      </c>
      <c r="W171">
        <v>1.1000000000000001E-3</v>
      </c>
      <c r="X171">
        <v>1.1999999999999999E-3</v>
      </c>
      <c r="Y171">
        <v>0</v>
      </c>
      <c r="Z171">
        <v>15.43</v>
      </c>
      <c r="AA171">
        <v>2.3199999999999998</v>
      </c>
      <c r="AB171">
        <v>2.89</v>
      </c>
      <c r="AC171">
        <v>0.06</v>
      </c>
      <c r="AD171">
        <v>13.55</v>
      </c>
      <c r="AE171">
        <v>8.3699999999999992</v>
      </c>
      <c r="AF171">
        <v>0.2417</v>
      </c>
      <c r="AG171">
        <v>251.36369999999999</v>
      </c>
      <c r="AH171">
        <v>2462.2800000000002</v>
      </c>
      <c r="AI171">
        <v>1292.51</v>
      </c>
      <c r="AJ171">
        <v>264.16000000000003</v>
      </c>
      <c r="AK171">
        <v>0</v>
      </c>
      <c r="AL171">
        <v>0</v>
      </c>
      <c r="AM171">
        <v>26.2607</v>
      </c>
      <c r="AN171">
        <v>25.010200000000001</v>
      </c>
      <c r="AO171">
        <v>7.8156999999999996</v>
      </c>
      <c r="AP171">
        <v>0</v>
      </c>
      <c r="AQ171">
        <v>0</v>
      </c>
      <c r="AR171">
        <v>0</v>
      </c>
      <c r="AS171">
        <v>0</v>
      </c>
      <c r="AT171">
        <v>0</v>
      </c>
      <c r="AU171">
        <v>0</v>
      </c>
      <c r="AV171">
        <v>0</v>
      </c>
      <c r="AW171">
        <v>0</v>
      </c>
      <c r="AX171">
        <v>0</v>
      </c>
      <c r="AY171">
        <v>0</v>
      </c>
      <c r="AZ171">
        <v>0</v>
      </c>
      <c r="BA171">
        <v>0</v>
      </c>
      <c r="BB171">
        <v>0</v>
      </c>
      <c r="BC171">
        <v>0</v>
      </c>
      <c r="BD171">
        <v>0</v>
      </c>
      <c r="BE171">
        <v>0</v>
      </c>
      <c r="BF171">
        <v>0</v>
      </c>
      <c r="BG171">
        <v>0</v>
      </c>
      <c r="BH171">
        <v>0</v>
      </c>
      <c r="BI171">
        <v>0</v>
      </c>
      <c r="BJ171">
        <v>0</v>
      </c>
      <c r="BK171">
        <v>0</v>
      </c>
      <c r="BL171">
        <v>0</v>
      </c>
      <c r="BM171">
        <v>0</v>
      </c>
      <c r="BN171">
        <v>0</v>
      </c>
      <c r="BO171">
        <v>0</v>
      </c>
      <c r="BP171">
        <v>0</v>
      </c>
      <c r="BQ171">
        <v>0</v>
      </c>
      <c r="BR171">
        <v>0</v>
      </c>
      <c r="BS171">
        <v>0</v>
      </c>
      <c r="BT171">
        <v>0</v>
      </c>
      <c r="BU171">
        <v>0</v>
      </c>
      <c r="BV171">
        <v>0</v>
      </c>
      <c r="BW171">
        <v>0</v>
      </c>
      <c r="BX171">
        <v>0</v>
      </c>
      <c r="BY171">
        <v>0</v>
      </c>
      <c r="BZ171">
        <v>0</v>
      </c>
      <c r="CA171">
        <v>0</v>
      </c>
      <c r="CB171">
        <v>0</v>
      </c>
      <c r="CC171">
        <v>0</v>
      </c>
      <c r="CD171">
        <v>0</v>
      </c>
      <c r="CE171">
        <v>0</v>
      </c>
      <c r="CF171" t="b">
        <v>0</v>
      </c>
      <c r="CG171" t="b">
        <v>0</v>
      </c>
      <c r="CH171" t="s">
        <v>93</v>
      </c>
      <c r="CI171">
        <v>100</v>
      </c>
      <c r="CJ171">
        <v>0</v>
      </c>
      <c r="CK171">
        <v>0</v>
      </c>
      <c r="CL171">
        <v>0</v>
      </c>
    </row>
    <row r="172" spans="1:90" x14ac:dyDescent="0.25">
      <c r="A172">
        <v>302</v>
      </c>
      <c r="B172" t="s">
        <v>273</v>
      </c>
      <c r="C172" t="s">
        <v>95</v>
      </c>
      <c r="D172" t="s">
        <v>96</v>
      </c>
      <c r="E172">
        <v>68.6995</v>
      </c>
      <c r="F172">
        <v>5.8903999999999996</v>
      </c>
      <c r="G172">
        <v>26.158300000000001</v>
      </c>
      <c r="H172">
        <v>0</v>
      </c>
      <c r="I172">
        <v>0</v>
      </c>
      <c r="J172">
        <v>0</v>
      </c>
      <c r="K172">
        <v>0</v>
      </c>
      <c r="L172">
        <v>76.615399999999994</v>
      </c>
      <c r="M172">
        <v>78</v>
      </c>
      <c r="N172">
        <v>23.384599999999999</v>
      </c>
      <c r="O172">
        <v>0</v>
      </c>
      <c r="P172">
        <v>0</v>
      </c>
      <c r="Q172">
        <v>14.931900000000001</v>
      </c>
      <c r="R172">
        <v>27.765499999999999</v>
      </c>
      <c r="S172">
        <v>0</v>
      </c>
      <c r="T172">
        <v>3.6962000000000002</v>
      </c>
      <c r="U172">
        <v>15.764900000000001</v>
      </c>
      <c r="V172">
        <v>11.6137</v>
      </c>
      <c r="W172">
        <v>4.9401000000000002</v>
      </c>
      <c r="X172">
        <v>5.7247000000000003</v>
      </c>
      <c r="Y172">
        <v>3.5536539999999999</v>
      </c>
      <c r="Z172">
        <v>0.34239999999999998</v>
      </c>
      <c r="AA172">
        <v>0.66369999999999996</v>
      </c>
      <c r="AB172">
        <v>0.29699999999999999</v>
      </c>
      <c r="AC172">
        <v>1.3867</v>
      </c>
      <c r="AD172">
        <v>0</v>
      </c>
      <c r="AE172">
        <v>0</v>
      </c>
      <c r="AF172">
        <v>0.35489999999999999</v>
      </c>
      <c r="AG172">
        <v>11.472</v>
      </c>
      <c r="AH172">
        <v>209.41650000000001</v>
      </c>
      <c r="AI172">
        <v>35.658700000000003</v>
      </c>
      <c r="AJ172">
        <v>52.45</v>
      </c>
      <c r="AK172">
        <v>0</v>
      </c>
      <c r="AL172">
        <v>0</v>
      </c>
      <c r="AM172">
        <v>0.1143</v>
      </c>
      <c r="AN172">
        <v>8.3000000000000001E-3</v>
      </c>
      <c r="AO172">
        <v>0.25180000000000002</v>
      </c>
      <c r="AP172">
        <v>0</v>
      </c>
      <c r="AQ172">
        <v>0</v>
      </c>
      <c r="AR172">
        <v>0</v>
      </c>
      <c r="AS172">
        <v>0</v>
      </c>
      <c r="AT172">
        <v>0</v>
      </c>
      <c r="AU172">
        <v>0</v>
      </c>
      <c r="AV172">
        <v>0</v>
      </c>
      <c r="AW172">
        <v>0</v>
      </c>
      <c r="AX172">
        <v>0</v>
      </c>
      <c r="AY172">
        <v>0</v>
      </c>
      <c r="AZ172">
        <v>0</v>
      </c>
      <c r="BA172">
        <v>0</v>
      </c>
      <c r="BB172">
        <v>0</v>
      </c>
      <c r="BC172">
        <v>0</v>
      </c>
      <c r="BD172">
        <v>0</v>
      </c>
      <c r="BE172">
        <v>0</v>
      </c>
      <c r="BF172">
        <v>0</v>
      </c>
      <c r="BG172">
        <v>0</v>
      </c>
      <c r="BH172">
        <v>0</v>
      </c>
      <c r="BI172">
        <v>0</v>
      </c>
      <c r="BJ172">
        <v>0</v>
      </c>
      <c r="BK172">
        <v>0</v>
      </c>
      <c r="BL172">
        <v>0</v>
      </c>
      <c r="BM172">
        <v>0</v>
      </c>
      <c r="BN172">
        <v>0</v>
      </c>
      <c r="BO172">
        <v>0</v>
      </c>
      <c r="BP172">
        <v>0</v>
      </c>
      <c r="BQ172">
        <v>0</v>
      </c>
      <c r="BR172">
        <v>0</v>
      </c>
      <c r="BS172">
        <v>0</v>
      </c>
      <c r="BT172">
        <v>0</v>
      </c>
      <c r="BU172">
        <v>0</v>
      </c>
      <c r="BV172">
        <v>0</v>
      </c>
      <c r="BW172">
        <v>0</v>
      </c>
      <c r="BX172">
        <v>0</v>
      </c>
      <c r="BY172">
        <v>0</v>
      </c>
      <c r="BZ172">
        <v>0</v>
      </c>
      <c r="CA172">
        <v>0</v>
      </c>
      <c r="CB172">
        <v>0</v>
      </c>
      <c r="CC172">
        <v>0</v>
      </c>
      <c r="CD172">
        <v>0</v>
      </c>
      <c r="CE172">
        <v>0</v>
      </c>
      <c r="CF172" t="b">
        <v>0</v>
      </c>
      <c r="CG172" t="b">
        <v>0</v>
      </c>
      <c r="CH172" t="s">
        <v>93</v>
      </c>
      <c r="CI172">
        <v>100</v>
      </c>
      <c r="CJ172">
        <v>0</v>
      </c>
      <c r="CK172">
        <v>80.599999999999994</v>
      </c>
      <c r="CL172">
        <v>3.5536539999999999</v>
      </c>
    </row>
    <row r="173" spans="1:90" x14ac:dyDescent="0.25">
      <c r="A173">
        <v>303</v>
      </c>
      <c r="B173" t="s">
        <v>274</v>
      </c>
      <c r="C173" t="s">
        <v>95</v>
      </c>
      <c r="D173" t="s">
        <v>96</v>
      </c>
      <c r="E173">
        <v>74.112700000000004</v>
      </c>
      <c r="F173">
        <v>6.4783999999999997</v>
      </c>
      <c r="G173">
        <v>33.373199999999997</v>
      </c>
      <c r="H173">
        <v>0</v>
      </c>
      <c r="I173">
        <v>0</v>
      </c>
      <c r="J173">
        <v>0</v>
      </c>
      <c r="K173">
        <v>0</v>
      </c>
      <c r="L173">
        <v>77.506100000000004</v>
      </c>
      <c r="M173">
        <v>78</v>
      </c>
      <c r="N173">
        <v>22.4939</v>
      </c>
      <c r="O173">
        <v>0</v>
      </c>
      <c r="P173">
        <v>0</v>
      </c>
      <c r="Q173">
        <v>13.2178</v>
      </c>
      <c r="R173">
        <v>23.876899999999999</v>
      </c>
      <c r="S173">
        <v>0</v>
      </c>
      <c r="T173">
        <v>3.2081</v>
      </c>
      <c r="U173">
        <v>10.424300000000001</v>
      </c>
      <c r="V173">
        <v>12.550800000000001</v>
      </c>
      <c r="W173">
        <v>4.4507000000000003</v>
      </c>
      <c r="X173">
        <v>5.2209000000000003</v>
      </c>
      <c r="Y173">
        <v>3.6947420000000002</v>
      </c>
      <c r="Z173">
        <v>0.42170000000000002</v>
      </c>
      <c r="AA173">
        <v>0.72970000000000002</v>
      </c>
      <c r="AB173">
        <v>0.35049999999999998</v>
      </c>
      <c r="AC173">
        <v>1.6252</v>
      </c>
      <c r="AD173">
        <v>0</v>
      </c>
      <c r="AE173">
        <v>0</v>
      </c>
      <c r="AF173">
        <v>0.45250000000000001</v>
      </c>
      <c r="AG173">
        <v>12.9095</v>
      </c>
      <c r="AH173">
        <v>213.53270000000001</v>
      </c>
      <c r="AI173">
        <v>42.710900000000002</v>
      </c>
      <c r="AJ173">
        <v>53.731499999999997</v>
      </c>
      <c r="AK173">
        <v>0</v>
      </c>
      <c r="AL173">
        <v>0</v>
      </c>
      <c r="AM173">
        <v>0.16300000000000001</v>
      </c>
      <c r="AN173">
        <v>8.9999999999999993E-3</v>
      </c>
      <c r="AO173">
        <v>0.39410000000000001</v>
      </c>
      <c r="AP173">
        <v>0</v>
      </c>
      <c r="AQ173">
        <v>0</v>
      </c>
      <c r="AR173">
        <v>0</v>
      </c>
      <c r="AS173">
        <v>0</v>
      </c>
      <c r="AT173">
        <v>0</v>
      </c>
      <c r="AU173">
        <v>0</v>
      </c>
      <c r="AV173">
        <v>0</v>
      </c>
      <c r="AW173">
        <v>0</v>
      </c>
      <c r="AX173">
        <v>0</v>
      </c>
      <c r="AY173">
        <v>0</v>
      </c>
      <c r="AZ173">
        <v>0</v>
      </c>
      <c r="BA173">
        <v>0</v>
      </c>
      <c r="BB173">
        <v>0</v>
      </c>
      <c r="BC173">
        <v>0</v>
      </c>
      <c r="BD173">
        <v>0</v>
      </c>
      <c r="BE173">
        <v>0</v>
      </c>
      <c r="BF173">
        <v>0</v>
      </c>
      <c r="BG173">
        <v>0</v>
      </c>
      <c r="BH173">
        <v>0</v>
      </c>
      <c r="BI173">
        <v>0</v>
      </c>
      <c r="BJ173">
        <v>0</v>
      </c>
      <c r="BK173">
        <v>0</v>
      </c>
      <c r="BL173">
        <v>0</v>
      </c>
      <c r="BM173">
        <v>0</v>
      </c>
      <c r="BN173">
        <v>0</v>
      </c>
      <c r="BO173">
        <v>0</v>
      </c>
      <c r="BP173">
        <v>0</v>
      </c>
      <c r="BQ173">
        <v>0</v>
      </c>
      <c r="BR173">
        <v>0</v>
      </c>
      <c r="BS173">
        <v>0</v>
      </c>
      <c r="BT173">
        <v>0</v>
      </c>
      <c r="BU173">
        <v>0</v>
      </c>
      <c r="BV173">
        <v>0</v>
      </c>
      <c r="BW173">
        <v>0</v>
      </c>
      <c r="BX173">
        <v>0</v>
      </c>
      <c r="BY173">
        <v>0</v>
      </c>
      <c r="BZ173">
        <v>0</v>
      </c>
      <c r="CA173">
        <v>0</v>
      </c>
      <c r="CB173">
        <v>0</v>
      </c>
      <c r="CC173">
        <v>0</v>
      </c>
      <c r="CD173">
        <v>0</v>
      </c>
      <c r="CE173">
        <v>0</v>
      </c>
      <c r="CF173" t="b">
        <v>0</v>
      </c>
      <c r="CG173" t="b">
        <v>0</v>
      </c>
      <c r="CH173" t="s">
        <v>93</v>
      </c>
      <c r="CI173">
        <v>100</v>
      </c>
      <c r="CJ173">
        <v>0</v>
      </c>
      <c r="CK173">
        <v>83.8</v>
      </c>
      <c r="CL173">
        <v>3.6947420000000002</v>
      </c>
    </row>
    <row r="174" spans="1:90" x14ac:dyDescent="0.25">
      <c r="A174">
        <v>304</v>
      </c>
      <c r="B174" t="s">
        <v>275</v>
      </c>
      <c r="C174" t="s">
        <v>95</v>
      </c>
      <c r="D174" t="s">
        <v>96</v>
      </c>
      <c r="E174">
        <v>67.175399999999996</v>
      </c>
      <c r="F174">
        <v>6.3973000000000004</v>
      </c>
      <c r="G174">
        <v>33.330500000000001</v>
      </c>
      <c r="H174">
        <v>0</v>
      </c>
      <c r="I174">
        <v>0</v>
      </c>
      <c r="J174">
        <v>0</v>
      </c>
      <c r="K174">
        <v>0</v>
      </c>
      <c r="L174">
        <v>73.267799999999994</v>
      </c>
      <c r="M174">
        <v>78</v>
      </c>
      <c r="N174">
        <v>26.732199999999999</v>
      </c>
      <c r="O174">
        <v>0</v>
      </c>
      <c r="P174">
        <v>0</v>
      </c>
      <c r="Q174">
        <v>15.9635</v>
      </c>
      <c r="R174">
        <v>27.598199999999999</v>
      </c>
      <c r="S174">
        <v>0</v>
      </c>
      <c r="T174">
        <v>3.8767</v>
      </c>
      <c r="U174">
        <v>5.0555000000000003</v>
      </c>
      <c r="V174">
        <v>12.050800000000001</v>
      </c>
      <c r="W174">
        <v>6.2880000000000003</v>
      </c>
      <c r="X174">
        <v>7.0928000000000004</v>
      </c>
      <c r="Y174">
        <v>3.7388319999999999</v>
      </c>
      <c r="Z174">
        <v>0.30649999999999999</v>
      </c>
      <c r="AA174">
        <v>0.8054</v>
      </c>
      <c r="AB174">
        <v>0.33739999999999998</v>
      </c>
      <c r="AC174">
        <v>1.556</v>
      </c>
      <c r="AD174">
        <v>0</v>
      </c>
      <c r="AE174">
        <v>0</v>
      </c>
      <c r="AF174">
        <v>0.44059999999999999</v>
      </c>
      <c r="AG174">
        <v>11.077400000000001</v>
      </c>
      <c r="AH174">
        <v>244.27799999999999</v>
      </c>
      <c r="AI174">
        <v>23.040099999999999</v>
      </c>
      <c r="AJ174">
        <v>53.671199999999999</v>
      </c>
      <c r="AK174">
        <v>0</v>
      </c>
      <c r="AL174">
        <v>0</v>
      </c>
      <c r="AM174">
        <v>4.4600000000000001E-2</v>
      </c>
      <c r="AN174">
        <v>1.2999999999999999E-3</v>
      </c>
      <c r="AO174">
        <v>0.18759999999999999</v>
      </c>
      <c r="AP174">
        <v>0</v>
      </c>
      <c r="AQ174">
        <v>0</v>
      </c>
      <c r="AR174">
        <v>0</v>
      </c>
      <c r="AS174">
        <v>0</v>
      </c>
      <c r="AT174">
        <v>0</v>
      </c>
      <c r="AU174">
        <v>0</v>
      </c>
      <c r="AV174">
        <v>0</v>
      </c>
      <c r="AW174">
        <v>0</v>
      </c>
      <c r="AX174">
        <v>0</v>
      </c>
      <c r="AY174">
        <v>0</v>
      </c>
      <c r="AZ174">
        <v>0</v>
      </c>
      <c r="BA174">
        <v>0</v>
      </c>
      <c r="BB174">
        <v>0</v>
      </c>
      <c r="BC174">
        <v>0</v>
      </c>
      <c r="BD174">
        <v>0</v>
      </c>
      <c r="BE174">
        <v>0</v>
      </c>
      <c r="BF174">
        <v>0</v>
      </c>
      <c r="BG174">
        <v>0</v>
      </c>
      <c r="BH174">
        <v>0</v>
      </c>
      <c r="BI174">
        <v>0</v>
      </c>
      <c r="BJ174">
        <v>0</v>
      </c>
      <c r="BK174">
        <v>0</v>
      </c>
      <c r="BL174">
        <v>0</v>
      </c>
      <c r="BM174">
        <v>0</v>
      </c>
      <c r="BN174">
        <v>0</v>
      </c>
      <c r="BO174">
        <v>0</v>
      </c>
      <c r="BP174">
        <v>0</v>
      </c>
      <c r="BQ174">
        <v>0</v>
      </c>
      <c r="BR174">
        <v>0</v>
      </c>
      <c r="BS174">
        <v>0</v>
      </c>
      <c r="BT174">
        <v>0</v>
      </c>
      <c r="BU174">
        <v>0</v>
      </c>
      <c r="BV174">
        <v>0</v>
      </c>
      <c r="BW174">
        <v>0</v>
      </c>
      <c r="BX174">
        <v>0</v>
      </c>
      <c r="BY174">
        <v>0</v>
      </c>
      <c r="BZ174">
        <v>0</v>
      </c>
      <c r="CA174">
        <v>0</v>
      </c>
      <c r="CB174">
        <v>0</v>
      </c>
      <c r="CC174">
        <v>0</v>
      </c>
      <c r="CD174">
        <v>0</v>
      </c>
      <c r="CE174">
        <v>0</v>
      </c>
      <c r="CF174" t="b">
        <v>0</v>
      </c>
      <c r="CG174" t="b">
        <v>0</v>
      </c>
      <c r="CH174" t="s">
        <v>93</v>
      </c>
      <c r="CI174">
        <v>100</v>
      </c>
      <c r="CJ174">
        <v>0</v>
      </c>
      <c r="CK174">
        <v>84.8</v>
      </c>
      <c r="CL174">
        <v>3.7388319999999999</v>
      </c>
    </row>
    <row r="175" spans="1:90" x14ac:dyDescent="0.25">
      <c r="A175">
        <v>305</v>
      </c>
      <c r="B175" t="s">
        <v>276</v>
      </c>
      <c r="C175" t="s">
        <v>95</v>
      </c>
      <c r="D175" t="s">
        <v>96</v>
      </c>
      <c r="E175">
        <v>68.512799999999999</v>
      </c>
      <c r="F175">
        <v>6.3278999999999996</v>
      </c>
      <c r="G175">
        <v>29.431000000000001</v>
      </c>
      <c r="H175">
        <v>0</v>
      </c>
      <c r="I175">
        <v>0</v>
      </c>
      <c r="J175">
        <v>0</v>
      </c>
      <c r="K175">
        <v>0</v>
      </c>
      <c r="L175">
        <v>76.723100000000002</v>
      </c>
      <c r="M175">
        <v>78</v>
      </c>
      <c r="N175">
        <v>23.276900000000001</v>
      </c>
      <c r="O175">
        <v>0</v>
      </c>
      <c r="P175">
        <v>0</v>
      </c>
      <c r="Q175">
        <v>19.9238</v>
      </c>
      <c r="R175">
        <v>31.793700000000001</v>
      </c>
      <c r="S175">
        <v>0</v>
      </c>
      <c r="T175">
        <v>6.2331000000000003</v>
      </c>
      <c r="U175">
        <v>6.3456999999999999</v>
      </c>
      <c r="V175">
        <v>11.099</v>
      </c>
      <c r="W175">
        <v>6.8228999999999997</v>
      </c>
      <c r="X175">
        <v>8.0803999999999991</v>
      </c>
      <c r="Y175">
        <v>3.4610650000000001</v>
      </c>
      <c r="Z175">
        <v>0.37319999999999998</v>
      </c>
      <c r="AA175">
        <v>0.77200000000000002</v>
      </c>
      <c r="AB175">
        <v>0.36890000000000001</v>
      </c>
      <c r="AC175">
        <v>1.4532</v>
      </c>
      <c r="AD175">
        <v>0</v>
      </c>
      <c r="AE175">
        <v>0</v>
      </c>
      <c r="AF175">
        <v>0.43109999999999998</v>
      </c>
      <c r="AG175">
        <v>7.9673999999999996</v>
      </c>
      <c r="AH175">
        <v>183.30549999999999</v>
      </c>
      <c r="AI175">
        <v>32.927599999999998</v>
      </c>
      <c r="AJ175">
        <v>54.015500000000003</v>
      </c>
      <c r="AK175">
        <v>0</v>
      </c>
      <c r="AL175">
        <v>0</v>
      </c>
      <c r="AM175">
        <v>5.5899999999999998E-2</v>
      </c>
      <c r="AN175">
        <v>2.3E-3</v>
      </c>
      <c r="AO175">
        <v>0.43059999999999998</v>
      </c>
      <c r="AP175">
        <v>0</v>
      </c>
      <c r="AQ175">
        <v>0</v>
      </c>
      <c r="AR175">
        <v>0</v>
      </c>
      <c r="AS175">
        <v>0</v>
      </c>
      <c r="AT175">
        <v>0</v>
      </c>
      <c r="AU175">
        <v>0</v>
      </c>
      <c r="AV175">
        <v>0</v>
      </c>
      <c r="AW175">
        <v>0</v>
      </c>
      <c r="AX175">
        <v>0</v>
      </c>
      <c r="AY175">
        <v>0</v>
      </c>
      <c r="AZ175">
        <v>0</v>
      </c>
      <c r="BA175">
        <v>0</v>
      </c>
      <c r="BB175">
        <v>0</v>
      </c>
      <c r="BC175">
        <v>0</v>
      </c>
      <c r="BD175">
        <v>0</v>
      </c>
      <c r="BE175">
        <v>0</v>
      </c>
      <c r="BF175">
        <v>0</v>
      </c>
      <c r="BG175">
        <v>0</v>
      </c>
      <c r="BH175">
        <v>0</v>
      </c>
      <c r="BI175">
        <v>0</v>
      </c>
      <c r="BJ175">
        <v>0</v>
      </c>
      <c r="BK175">
        <v>0</v>
      </c>
      <c r="BL175">
        <v>0</v>
      </c>
      <c r="BM175">
        <v>0</v>
      </c>
      <c r="BN175">
        <v>0</v>
      </c>
      <c r="BO175">
        <v>0</v>
      </c>
      <c r="BP175">
        <v>0</v>
      </c>
      <c r="BQ175">
        <v>0</v>
      </c>
      <c r="BR175">
        <v>0</v>
      </c>
      <c r="BS175">
        <v>0</v>
      </c>
      <c r="BT175">
        <v>0</v>
      </c>
      <c r="BU175">
        <v>0</v>
      </c>
      <c r="BV175">
        <v>0</v>
      </c>
      <c r="BW175">
        <v>0</v>
      </c>
      <c r="BX175">
        <v>0</v>
      </c>
      <c r="BY175">
        <v>0</v>
      </c>
      <c r="BZ175">
        <v>0</v>
      </c>
      <c r="CA175">
        <v>0</v>
      </c>
      <c r="CB175">
        <v>0</v>
      </c>
      <c r="CC175">
        <v>0</v>
      </c>
      <c r="CD175">
        <v>0</v>
      </c>
      <c r="CE175">
        <v>0</v>
      </c>
      <c r="CF175" t="b">
        <v>0</v>
      </c>
      <c r="CG175" t="b">
        <v>0</v>
      </c>
      <c r="CH175" t="s">
        <v>93</v>
      </c>
      <c r="CI175">
        <v>100</v>
      </c>
      <c r="CJ175">
        <v>0</v>
      </c>
      <c r="CK175">
        <v>78.5</v>
      </c>
      <c r="CL175">
        <v>3.4610650000000001</v>
      </c>
    </row>
    <row r="176" spans="1:90" x14ac:dyDescent="0.25">
      <c r="A176">
        <v>306</v>
      </c>
      <c r="B176" t="s">
        <v>277</v>
      </c>
      <c r="C176" t="s">
        <v>91</v>
      </c>
      <c r="D176" t="s">
        <v>96</v>
      </c>
      <c r="E176">
        <v>88</v>
      </c>
      <c r="F176">
        <v>7</v>
      </c>
      <c r="G176">
        <v>50</v>
      </c>
      <c r="H176">
        <v>7</v>
      </c>
      <c r="I176">
        <v>93</v>
      </c>
      <c r="J176">
        <v>0</v>
      </c>
      <c r="K176">
        <v>9</v>
      </c>
      <c r="L176">
        <v>36</v>
      </c>
      <c r="M176">
        <v>93</v>
      </c>
      <c r="N176">
        <v>23.117000000000001</v>
      </c>
      <c r="O176">
        <v>0.627</v>
      </c>
      <c r="P176">
        <v>1.0049999999999999</v>
      </c>
      <c r="Q176">
        <v>7.1870000000000003</v>
      </c>
      <c r="R176">
        <v>11.065</v>
      </c>
      <c r="S176">
        <v>85.667000000000002</v>
      </c>
      <c r="T176">
        <v>1.0840000000000001</v>
      </c>
      <c r="U176">
        <v>1.879</v>
      </c>
      <c r="V176">
        <v>12.952999999999999</v>
      </c>
      <c r="W176">
        <v>1.08</v>
      </c>
      <c r="X176">
        <v>1.8149999999999999</v>
      </c>
      <c r="Y176">
        <v>1.83</v>
      </c>
      <c r="Z176">
        <v>0.5</v>
      </c>
      <c r="AA176">
        <v>0.73</v>
      </c>
      <c r="AB176">
        <v>0.34</v>
      </c>
      <c r="AC176">
        <v>2.4</v>
      </c>
      <c r="AD176">
        <v>0.02</v>
      </c>
      <c r="AE176">
        <v>6.2E-2</v>
      </c>
      <c r="AF176">
        <v>0.41</v>
      </c>
      <c r="AG176">
        <v>16.5</v>
      </c>
      <c r="AH176">
        <v>187.01499999999999</v>
      </c>
      <c r="AI176">
        <v>40</v>
      </c>
      <c r="AJ176">
        <v>53</v>
      </c>
      <c r="AK176">
        <v>0</v>
      </c>
      <c r="AL176">
        <v>0</v>
      </c>
      <c r="AM176">
        <v>0.03</v>
      </c>
      <c r="AN176">
        <v>0</v>
      </c>
      <c r="AO176">
        <v>0</v>
      </c>
      <c r="AP176">
        <v>7.1</v>
      </c>
      <c r="AQ176">
        <v>2.5099999999999998</v>
      </c>
      <c r="AR176">
        <v>4.7300000000000004</v>
      </c>
      <c r="AS176">
        <v>7.99</v>
      </c>
      <c r="AT176">
        <v>6.17</v>
      </c>
      <c r="AU176">
        <v>1.57</v>
      </c>
      <c r="AV176">
        <v>5.15</v>
      </c>
      <c r="AW176">
        <v>4.18</v>
      </c>
      <c r="AX176">
        <v>1.39</v>
      </c>
      <c r="AY176">
        <v>5.48</v>
      </c>
      <c r="AZ176">
        <v>0</v>
      </c>
      <c r="BA176">
        <v>0.83399999999999996</v>
      </c>
      <c r="BB176">
        <v>17.277999999999999</v>
      </c>
      <c r="BC176">
        <v>0</v>
      </c>
      <c r="BD176">
        <v>4.4459999999999997</v>
      </c>
      <c r="BE176">
        <v>0.43</v>
      </c>
      <c r="BF176">
        <v>13.223000000000001</v>
      </c>
      <c r="BG176">
        <v>54.162999999999997</v>
      </c>
      <c r="BH176">
        <v>8.4290000000000003</v>
      </c>
      <c r="BI176">
        <v>1.1970000000000001</v>
      </c>
      <c r="BJ176">
        <v>0</v>
      </c>
      <c r="BK176">
        <v>91</v>
      </c>
      <c r="BL176">
        <v>73</v>
      </c>
      <c r="BM176">
        <v>7</v>
      </c>
      <c r="BN176">
        <v>93</v>
      </c>
      <c r="BO176">
        <v>0</v>
      </c>
      <c r="BP176">
        <v>0</v>
      </c>
      <c r="BQ176">
        <v>0</v>
      </c>
      <c r="BR176">
        <v>0</v>
      </c>
      <c r="BS176">
        <v>0</v>
      </c>
      <c r="BT176">
        <v>0</v>
      </c>
      <c r="BU176">
        <v>0</v>
      </c>
      <c r="BV176">
        <v>0.6</v>
      </c>
      <c r="BW176">
        <v>0.69099999999999995</v>
      </c>
      <c r="BX176">
        <v>1</v>
      </c>
      <c r="BY176">
        <v>0.92</v>
      </c>
      <c r="BZ176">
        <v>1</v>
      </c>
      <c r="CA176">
        <v>0.05</v>
      </c>
      <c r="CB176">
        <v>0.1</v>
      </c>
      <c r="CC176">
        <v>0.31</v>
      </c>
      <c r="CD176">
        <v>4.0000000000000001E-3</v>
      </c>
      <c r="CE176">
        <v>0.2</v>
      </c>
      <c r="CF176" t="b">
        <v>0</v>
      </c>
      <c r="CG176" t="b">
        <v>0</v>
      </c>
      <c r="CH176" t="s">
        <v>93</v>
      </c>
      <c r="CI176">
        <v>100</v>
      </c>
      <c r="CJ176">
        <v>0</v>
      </c>
      <c r="CK176">
        <v>81.39</v>
      </c>
      <c r="CL176">
        <v>4.3499999999999996</v>
      </c>
    </row>
    <row r="177" spans="1:90" x14ac:dyDescent="0.25">
      <c r="A177">
        <v>307</v>
      </c>
      <c r="B177" t="s">
        <v>279</v>
      </c>
      <c r="C177" t="s">
        <v>215</v>
      </c>
      <c r="D177" t="s">
        <v>96</v>
      </c>
      <c r="E177">
        <v>99</v>
      </c>
      <c r="F177">
        <v>0</v>
      </c>
      <c r="G177">
        <v>281</v>
      </c>
      <c r="H177">
        <v>100</v>
      </c>
      <c r="I177">
        <v>0</v>
      </c>
      <c r="J177">
        <v>0</v>
      </c>
      <c r="K177">
        <v>0</v>
      </c>
      <c r="L177">
        <v>0</v>
      </c>
      <c r="M177">
        <v>0</v>
      </c>
      <c r="N177">
        <v>100</v>
      </c>
      <c r="O177">
        <v>0</v>
      </c>
      <c r="P177">
        <v>0</v>
      </c>
      <c r="Q177">
        <v>0</v>
      </c>
      <c r="R177">
        <v>0</v>
      </c>
      <c r="S177">
        <v>0</v>
      </c>
      <c r="T177">
        <v>0</v>
      </c>
      <c r="U177">
        <v>0</v>
      </c>
      <c r="V177">
        <v>0</v>
      </c>
      <c r="W177">
        <v>0</v>
      </c>
      <c r="X177">
        <v>0</v>
      </c>
      <c r="Y177">
        <v>2.21</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v>0</v>
      </c>
      <c r="AS177">
        <v>0</v>
      </c>
      <c r="AT177">
        <v>0</v>
      </c>
      <c r="AU177">
        <v>0</v>
      </c>
      <c r="AV177">
        <v>0</v>
      </c>
      <c r="AW177">
        <v>0</v>
      </c>
      <c r="AX177">
        <v>0</v>
      </c>
      <c r="AY177">
        <v>0</v>
      </c>
      <c r="AZ177">
        <v>0</v>
      </c>
      <c r="BA177">
        <v>0</v>
      </c>
      <c r="BB177">
        <v>0</v>
      </c>
      <c r="BC177">
        <v>0</v>
      </c>
      <c r="BD177">
        <v>0</v>
      </c>
      <c r="BE177">
        <v>0</v>
      </c>
      <c r="BF177">
        <v>0</v>
      </c>
      <c r="BG177">
        <v>0</v>
      </c>
      <c r="BH177">
        <v>0</v>
      </c>
      <c r="BI177">
        <v>0</v>
      </c>
      <c r="BJ177">
        <v>0</v>
      </c>
      <c r="BK177">
        <v>0</v>
      </c>
      <c r="BL177">
        <v>0</v>
      </c>
      <c r="BM177">
        <v>0</v>
      </c>
      <c r="BN177">
        <v>0</v>
      </c>
      <c r="BO177">
        <v>0</v>
      </c>
      <c r="BP177">
        <v>0</v>
      </c>
      <c r="BQ177">
        <v>0</v>
      </c>
      <c r="BR177">
        <v>0</v>
      </c>
      <c r="BS177">
        <v>0</v>
      </c>
      <c r="BT177">
        <v>0</v>
      </c>
      <c r="BU177">
        <v>0</v>
      </c>
      <c r="BV177">
        <v>0</v>
      </c>
      <c r="BW177">
        <v>0</v>
      </c>
      <c r="BX177">
        <v>0</v>
      </c>
      <c r="BY177">
        <v>0</v>
      </c>
      <c r="BZ177">
        <v>0</v>
      </c>
      <c r="CA177">
        <v>0</v>
      </c>
      <c r="CB177">
        <v>0</v>
      </c>
      <c r="CC177">
        <v>0</v>
      </c>
      <c r="CD177">
        <v>0</v>
      </c>
      <c r="CE177">
        <v>0</v>
      </c>
      <c r="CF177" t="b">
        <v>0</v>
      </c>
      <c r="CG177" t="b">
        <v>0</v>
      </c>
      <c r="CH177" t="s">
        <v>93</v>
      </c>
      <c r="CI177">
        <v>100</v>
      </c>
      <c r="CJ177">
        <v>0</v>
      </c>
      <c r="CK177">
        <v>81.39</v>
      </c>
      <c r="CL177">
        <v>2.21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3A646-A381-4122-B2F4-D560C85E838B}">
  <sheetPr codeName="Sheet6"/>
  <dimension ref="A1:D22"/>
  <sheetViews>
    <sheetView workbookViewId="0">
      <selection activeCell="A3" sqref="A3:A15"/>
    </sheetView>
  </sheetViews>
  <sheetFormatPr defaultRowHeight="15" x14ac:dyDescent="0.25"/>
  <cols>
    <col min="2" max="2" width="9.7109375" bestFit="1" customWidth="1"/>
  </cols>
  <sheetData>
    <row r="1" spans="1:4" x14ac:dyDescent="0.25">
      <c r="A1" t="s">
        <v>327</v>
      </c>
    </row>
    <row r="2" spans="1:4" x14ac:dyDescent="0.25">
      <c r="A2" t="s">
        <v>314</v>
      </c>
      <c r="B2" t="s">
        <v>319</v>
      </c>
      <c r="C2" t="s">
        <v>315</v>
      </c>
      <c r="D2" t="s">
        <v>320</v>
      </c>
    </row>
    <row r="3" spans="1:4" x14ac:dyDescent="0.25">
      <c r="A3" s="31" cm="1">
        <f t="array" ref="A3:A16">_xlfn.UNIQUE(lac_cow!A3:A22)</f>
        <v>51</v>
      </c>
      <c r="B3" s="6" cm="1">
        <f t="array" ref="B3:B10">_xlfn.UNIQUE(close_up!A3:A22)</f>
        <v>51</v>
      </c>
      <c r="C3" s="6" cm="1">
        <f t="array" ref="C3:C10">_xlfn.UNIQUE(growing!$A$3:$A$22)</f>
        <v>51</v>
      </c>
      <c r="D3" s="7" cm="1">
        <f t="array" ref="D3:D5">_xlfn.UNIQUE(calf!A3:A22)</f>
        <v>202</v>
      </c>
    </row>
    <row r="4" spans="1:4" x14ac:dyDescent="0.25">
      <c r="A4" s="9">
        <v>100</v>
      </c>
      <c r="B4">
        <v>100</v>
      </c>
      <c r="C4">
        <v>100</v>
      </c>
      <c r="D4" s="8">
        <v>216</v>
      </c>
    </row>
    <row r="5" spans="1:4" x14ac:dyDescent="0.25">
      <c r="A5" s="9">
        <v>210</v>
      </c>
      <c r="B5">
        <v>210</v>
      </c>
      <c r="C5">
        <v>210</v>
      </c>
      <c r="D5" s="8" t="str">
        <v/>
      </c>
    </row>
    <row r="6" spans="1:4" x14ac:dyDescent="0.25">
      <c r="A6" s="9">
        <v>119</v>
      </c>
      <c r="B6">
        <v>119</v>
      </c>
      <c r="C6">
        <v>119</v>
      </c>
      <c r="D6" s="8"/>
    </row>
    <row r="7" spans="1:4" x14ac:dyDescent="0.25">
      <c r="A7" s="9">
        <v>44</v>
      </c>
      <c r="B7">
        <v>44</v>
      </c>
      <c r="C7">
        <v>44</v>
      </c>
      <c r="D7" s="8"/>
    </row>
    <row r="8" spans="1:4" x14ac:dyDescent="0.25">
      <c r="A8" s="9">
        <v>31</v>
      </c>
      <c r="B8">
        <v>31</v>
      </c>
      <c r="C8">
        <v>31</v>
      </c>
      <c r="D8" s="8"/>
    </row>
    <row r="9" spans="1:4" x14ac:dyDescent="0.25">
      <c r="A9" s="9">
        <v>170</v>
      </c>
      <c r="B9">
        <v>301</v>
      </c>
      <c r="C9">
        <v>301</v>
      </c>
      <c r="D9" s="8"/>
    </row>
    <row r="10" spans="1:4" x14ac:dyDescent="0.25">
      <c r="A10" s="9">
        <v>67</v>
      </c>
      <c r="B10" t="str">
        <v/>
      </c>
      <c r="C10" t="str">
        <v/>
      </c>
      <c r="D10" s="8"/>
    </row>
    <row r="11" spans="1:4" x14ac:dyDescent="0.25">
      <c r="A11" s="9">
        <v>22</v>
      </c>
      <c r="D11" s="8"/>
    </row>
    <row r="12" spans="1:4" x14ac:dyDescent="0.25">
      <c r="A12" s="9">
        <v>167</v>
      </c>
      <c r="D12" s="8"/>
    </row>
    <row r="13" spans="1:4" x14ac:dyDescent="0.25">
      <c r="A13" s="9">
        <v>32</v>
      </c>
      <c r="D13" s="8"/>
    </row>
    <row r="14" spans="1:4" x14ac:dyDescent="0.25">
      <c r="A14" s="9">
        <v>163</v>
      </c>
      <c r="D14" s="8"/>
    </row>
    <row r="15" spans="1:4" x14ac:dyDescent="0.25">
      <c r="A15" s="9">
        <v>301</v>
      </c>
      <c r="D15" s="8"/>
    </row>
    <row r="16" spans="1:4" x14ac:dyDescent="0.25">
      <c r="A16" s="9" t="str">
        <v/>
      </c>
      <c r="D16" s="8"/>
    </row>
    <row r="17" spans="1:4" x14ac:dyDescent="0.25">
      <c r="A17" s="9"/>
      <c r="D17" s="8"/>
    </row>
    <row r="18" spans="1:4" x14ac:dyDescent="0.25">
      <c r="A18" s="9"/>
      <c r="D18" s="8"/>
    </row>
    <row r="19" spans="1:4" x14ac:dyDescent="0.25">
      <c r="A19" s="9"/>
      <c r="D19" s="8"/>
    </row>
    <row r="20" spans="1:4" x14ac:dyDescent="0.25">
      <c r="A20" s="9"/>
      <c r="D20" s="8"/>
    </row>
    <row r="21" spans="1:4" x14ac:dyDescent="0.25">
      <c r="A21" s="9"/>
      <c r="D21" s="8"/>
    </row>
    <row r="22" spans="1:4" x14ac:dyDescent="0.25">
      <c r="A22" s="10"/>
      <c r="B22" s="11"/>
      <c r="C22" s="11"/>
      <c r="D22" s="1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Readme</vt:lpstr>
      <vt:lpstr>calf</vt:lpstr>
      <vt:lpstr>growing</vt:lpstr>
      <vt:lpstr>close_up</vt:lpstr>
      <vt:lpstr>lac_cow</vt:lpstr>
      <vt:lpstr>Global_inputs</vt:lpstr>
      <vt:lpstr>Feed library</vt:lpstr>
      <vt:lpstr>Helper</vt:lpstr>
      <vt:lpstr>A_PA</vt:lpstr>
      <vt:lpstr>buffer</vt:lpstr>
      <vt:lpstr>MAX_EE</vt:lpstr>
      <vt:lpstr>MAX_NDF</vt:lpstr>
      <vt:lpstr>MIN_ForNDF</vt:lpstr>
      <vt:lpstr>MIN_NDF</vt:lpstr>
      <vt:lpstr>PC_A</vt:lpstr>
      <vt:lpstr>RT_PA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Elle Andreen</dc:creator>
  <cp:lastModifiedBy>Elle Andreen</cp:lastModifiedBy>
  <dcterms:created xsi:type="dcterms:W3CDTF">2026-02-20T13:57:33Z</dcterms:created>
  <dcterms:modified xsi:type="dcterms:W3CDTF">2026-08-26T01:00:57Z</dcterms:modified>
</cp:coreProperties>
</file>