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ynologyDrive\Work Computer\C\Jonah_Work\RuFaS\"/>
    </mc:Choice>
  </mc:AlternateContent>
  <xr:revisionPtr revIDLastSave="0" documentId="13_ncr:1_{F55D0919-AA91-451E-AEDB-BE55405F92ED}" xr6:coauthVersionLast="47" xr6:coauthVersionMax="47" xr10:uidLastSave="{00000000-0000-0000-0000-000000000000}"/>
  <bookViews>
    <workbookView xWindow="-110" yWindow="-110" windowWidth="34620" windowHeight="14160" xr2:uid="{A8EA5B6F-6AB2-4841-9239-EF0AD03D8040}"/>
  </bookViews>
  <sheets>
    <sheet name="Commodities &amp; Services" sheetId="1" r:id="rId1"/>
    <sheet name="Equipment Costing Equations" sheetId="2" r:id="rId2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3" i="2" l="1"/>
  <c r="I67" i="2"/>
  <c r="H67" i="2"/>
  <c r="K67" i="2"/>
  <c r="J67" i="2"/>
  <c r="G67" i="2"/>
  <c r="F67" i="2"/>
  <c r="K66" i="2"/>
  <c r="J66" i="2"/>
  <c r="I66" i="2"/>
  <c r="H66" i="2"/>
  <c r="G66" i="2"/>
  <c r="F66" i="2"/>
  <c r="K64" i="2"/>
  <c r="J64" i="2"/>
  <c r="K63" i="2"/>
  <c r="J63" i="2"/>
  <c r="I64" i="2"/>
  <c r="H64" i="2"/>
  <c r="I63" i="2"/>
  <c r="H63" i="2"/>
  <c r="G64" i="2"/>
  <c r="F64" i="2"/>
  <c r="G63" i="2"/>
  <c r="H24" i="2" l="1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tc={9009174A-777A-4293-86FF-FEE28ABF6556}</author>
  </authors>
  <commentList>
    <comment ref="D10" authorId="0" shapeId="0" xr:uid="{9009174A-777A-4293-86FF-FEE28ABF655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single values will be used as placeholders. We will generate a county level CSV that has this value ($53.22)for all counties. This file can be updated later if we get better data, but for now it gives a placeholder that is non-zero. 
Reply:
    We will do the same thing for semen prices (rows 18-20), carbon credit prices (rows 25-26), and most likely manure hauling costs (although we need to look into this one more)</t>
      </text>
    </comment>
  </commentList>
</comments>
</file>

<file path=xl/sharedStrings.xml><?xml version="1.0" encoding="utf-8"?>
<sst xmlns="http://schemas.openxmlformats.org/spreadsheetml/2006/main" count="259" uniqueCount="165">
  <si>
    <t>Remaining Economic Data and Placeholders for RuFaS Economics Module</t>
  </si>
  <si>
    <t>commodity_prices.bedding_sand.dollar_per_kilogram.csv</t>
  </si>
  <si>
    <t>commodity_prices.bedding_straw.dollar_per_kilogram.csv</t>
  </si>
  <si>
    <t>commodity_prices.bedding_sawdust.dollar_per_kilogram.csv</t>
  </si>
  <si>
    <t>commodity_prices.bedding_manure_solids.dollar_per_kilogram.csv</t>
  </si>
  <si>
    <t>commodity_prices.bedding_compost_bedded_pack.dollar_per_kilogram.csv</t>
  </si>
  <si>
    <t>Variable Name</t>
  </si>
  <si>
    <t>Default Value</t>
  </si>
  <si>
    <t>Reference</t>
  </si>
  <si>
    <t>Notes</t>
  </si>
  <si>
    <t>U.S. Dairy Sustainability Economic Feasibility Assessment</t>
  </si>
  <si>
    <t>$53.22 per head per year</t>
  </si>
  <si>
    <t>Old File Name (.csv)</t>
  </si>
  <si>
    <t>New File Name (.csv)</t>
  </si>
  <si>
    <t>commodity_prices.bedding_sand.dollar_per_head.csv</t>
  </si>
  <si>
    <t>commodity_prices.bedding_straw.dollar_per_head.csv</t>
  </si>
  <si>
    <t>commodity_prices.bedding_sawdust.dollar_per_head.csv</t>
  </si>
  <si>
    <t>commodity_prices.bedding_manure_solids.dollar_per_head.csv</t>
  </si>
  <si>
    <t>commodity_prices.bedding_compost_bedded_pack.dollar_per_head.csv</t>
  </si>
  <si>
    <t>farm_services.tractor_small.dollar_per_hour.csv</t>
  </si>
  <si>
    <t>farm_services.tractor_medium.dollar_per_hour.csv</t>
  </si>
  <si>
    <t>farm_services.tractor_large.dollar_per_hour.csv</t>
  </si>
  <si>
    <t>capital_costs.tractor_small.dollar_per_tractor.csv</t>
  </si>
  <si>
    <t>capital_costs.tractor_medium.dollar_per_tractor.csv</t>
  </si>
  <si>
    <t>capital_costs.tractor_large.dollar_per_tractor.csv</t>
  </si>
  <si>
    <t>commodity_prices.semen_conventional.dollar_per_straw.csv</t>
  </si>
  <si>
    <t>commodity_prices.semen_sexed.dollar_per_straw.csv</t>
  </si>
  <si>
    <t>commodity_prices.semen_beef.dollar_per_straw.csv</t>
  </si>
  <si>
    <t>commodity_prices.manure_sales</t>
  </si>
  <si>
    <t>commodity_prices.carbon_credits_enteric.dollar_per_tonne.csv</t>
  </si>
  <si>
    <t>commodity_prices.carbon_credits_soil</t>
  </si>
  <si>
    <t>commodity_prices.carbon_credits_soil.dollar_per_tonne.csv</t>
  </si>
  <si>
    <t>commodity_prices.digester_rng</t>
  </si>
  <si>
    <t>commodity_prices.digester_elec</t>
  </si>
  <si>
    <t>commodity_prices.digester_carbon_credits</t>
  </si>
  <si>
    <t>commodity_prices.rng_upgrading_consumables</t>
  </si>
  <si>
    <t>$15 per straw</t>
  </si>
  <si>
    <t>$35 per straw</t>
  </si>
  <si>
    <t>Cabrera 2022</t>
  </si>
  <si>
    <t>No change</t>
  </si>
  <si>
    <r>
      <t>commodity_prices.</t>
    </r>
    <r>
      <rPr>
        <sz val="10"/>
        <color rgb="FFA02B93"/>
        <rFont val="Aptos Narrow"/>
        <family val="2"/>
        <scheme val="minor"/>
      </rPr>
      <t>bedding_sand</t>
    </r>
  </si>
  <si>
    <r>
      <t>commodity_prices.</t>
    </r>
    <r>
      <rPr>
        <sz val="10"/>
        <color rgb="FFA02B93"/>
        <rFont val="Aptos Narrow"/>
        <family val="2"/>
        <scheme val="minor"/>
      </rPr>
      <t xml:space="preserve">bedding_straw </t>
    </r>
  </si>
  <si>
    <r>
      <t>commodity_prices.</t>
    </r>
    <r>
      <rPr>
        <sz val="10"/>
        <color rgb="FFA02B93"/>
        <rFont val="Aptos Narrow"/>
        <family val="2"/>
        <scheme val="minor"/>
      </rPr>
      <t xml:space="preserve">bedding_sawdust </t>
    </r>
  </si>
  <si>
    <r>
      <t>commodity_prices.</t>
    </r>
    <r>
      <rPr>
        <sz val="10"/>
        <color rgb="FFA02B93"/>
        <rFont val="Aptos Narrow"/>
        <family val="2"/>
        <scheme val="minor"/>
      </rPr>
      <t xml:space="preserve">bedding_manure_solids </t>
    </r>
  </si>
  <si>
    <r>
      <t>commodity_prices.</t>
    </r>
    <r>
      <rPr>
        <sz val="10"/>
        <color rgb="FFA02B93"/>
        <rFont val="Aptos Narrow"/>
        <family val="2"/>
        <scheme val="minor"/>
      </rPr>
      <t>bedding_compost_bedded_pack</t>
    </r>
  </si>
  <si>
    <r>
      <t>farm_services.</t>
    </r>
    <r>
      <rPr>
        <sz val="10"/>
        <color rgb="FFA02B93"/>
        <rFont val="Aptos Narrow"/>
        <family val="2"/>
        <scheme val="minor"/>
      </rPr>
      <t>tractor_small</t>
    </r>
  </si>
  <si>
    <r>
      <t>farm_services.</t>
    </r>
    <r>
      <rPr>
        <sz val="10"/>
        <color rgb="FFA02B93"/>
        <rFont val="Aptos Narrow"/>
        <family val="2"/>
        <scheme val="minor"/>
      </rPr>
      <t>tractor_medium</t>
    </r>
  </si>
  <si>
    <r>
      <t>farm_services.</t>
    </r>
    <r>
      <rPr>
        <sz val="10"/>
        <color rgb="FFA02B93"/>
        <rFont val="Aptos Narrow"/>
        <family val="2"/>
        <scheme val="minor"/>
      </rPr>
      <t>tractor_large</t>
    </r>
  </si>
  <si>
    <r>
      <t>capital_costs.</t>
    </r>
    <r>
      <rPr>
        <sz val="10"/>
        <color rgb="FFA02B93"/>
        <rFont val="Aptos Narrow"/>
        <family val="2"/>
        <scheme val="minor"/>
      </rPr>
      <t>tractor_small</t>
    </r>
  </si>
  <si>
    <r>
      <t>capital_costs.</t>
    </r>
    <r>
      <rPr>
        <sz val="10"/>
        <color rgb="FFA02B93"/>
        <rFont val="Aptos Narrow"/>
        <family val="2"/>
        <scheme val="minor"/>
      </rPr>
      <t>tractor_medium</t>
    </r>
  </si>
  <si>
    <r>
      <t>capital_costs.</t>
    </r>
    <r>
      <rPr>
        <sz val="10"/>
        <color rgb="FFA02B93"/>
        <rFont val="Aptos Narrow"/>
        <family val="2"/>
        <scheme val="minor"/>
      </rPr>
      <t>tractor_large</t>
    </r>
  </si>
  <si>
    <r>
      <t>commodity_prices.</t>
    </r>
    <r>
      <rPr>
        <sz val="10"/>
        <color rgb="FFA02B93"/>
        <rFont val="Aptos Narrow"/>
        <family val="2"/>
        <scheme val="minor"/>
      </rPr>
      <t>semen_conventional</t>
    </r>
  </si>
  <si>
    <r>
      <t>commodity_prices.</t>
    </r>
    <r>
      <rPr>
        <sz val="10"/>
        <color rgb="FFA02B93"/>
        <rFont val="Aptos Narrow"/>
        <family val="2"/>
        <scheme val="minor"/>
      </rPr>
      <t>semen_sexed</t>
    </r>
  </si>
  <si>
    <r>
      <t>commodity_prices.</t>
    </r>
    <r>
      <rPr>
        <sz val="10"/>
        <color rgb="FFA02B93"/>
        <rFont val="Aptos Narrow"/>
        <family val="2"/>
        <scheme val="minor"/>
      </rPr>
      <t>semen_beef</t>
    </r>
  </si>
  <si>
    <r>
      <t>commodity_prices.</t>
    </r>
    <r>
      <rPr>
        <sz val="10"/>
        <color rgb="FF000000"/>
        <rFont val="Aptos Narrow"/>
        <family val="2"/>
        <scheme val="minor"/>
      </rPr>
      <t>carbon_credits_enteric</t>
    </r>
  </si>
  <si>
    <t>Screw Press</t>
  </si>
  <si>
    <t>Gravity Screen</t>
  </si>
  <si>
    <t>Bunker Silo</t>
  </si>
  <si>
    <t>Tower Silo</t>
  </si>
  <si>
    <t>Bag Silo</t>
  </si>
  <si>
    <t>Grain Bins</t>
  </si>
  <si>
    <t>Skid Steer</t>
  </si>
  <si>
    <t>Equipment</t>
  </si>
  <si>
    <t>Units</t>
  </si>
  <si>
    <t>Operational (Energy)</t>
  </si>
  <si>
    <t>Operational (Labor)</t>
  </si>
  <si>
    <t>Operational (Maintenance)</t>
  </si>
  <si>
    <t>Useful Life</t>
  </si>
  <si>
    <t>Salvage Value (%)</t>
  </si>
  <si>
    <t>Equipment Costs for RuFaS Economics Module</t>
  </si>
  <si>
    <t>commodity_prices.natgas_industrial.dollar_per_megajoule.csv</t>
  </si>
  <si>
    <t>Not Previously Defined</t>
  </si>
  <si>
    <t>commodity_prices.elec_industrial.dollar_per_kwh.csv</t>
  </si>
  <si>
    <t>Assumes industrial price (lowest price point)</t>
  </si>
  <si>
    <t>County Level Value</t>
  </si>
  <si>
    <t>EIA</t>
  </si>
  <si>
    <t>CAPEX Equation</t>
  </si>
  <si>
    <t>$6.53 per tonne CO2</t>
  </si>
  <si>
    <t>No Change</t>
  </si>
  <si>
    <t>Procton 2024</t>
  </si>
  <si>
    <t>2023 market average - based on Procton 2024 (State of the Voluntary Carbon Market 2024)</t>
  </si>
  <si>
    <t>commodity_prices.digester_carbon_credits_dollar_per_tonne.csv</t>
  </si>
  <si>
    <t>$15.91 per tonne CO2</t>
  </si>
  <si>
    <t>2023 average for removals - based on Procton 2024 (State of the Voluntary Carbon Market 2024)</t>
  </si>
  <si>
    <t>Tractor HP</t>
  </si>
  <si>
    <t>Purchase Price</t>
  </si>
  <si>
    <t>Fuel Use per Tractor Hour</t>
  </si>
  <si>
    <t>Labor Hours per Tractor Hour</t>
  </si>
  <si>
    <t>List Price (2023 USD)</t>
  </si>
  <si>
    <t>10 years</t>
  </si>
  <si>
    <t>Maintenance</t>
  </si>
  <si>
    <t>Salvage</t>
  </si>
  <si>
    <t>2024 USD</t>
  </si>
  <si>
    <t>Tractor Costs Obtained from University of Illinois Extension - Tractor Costs 2023 [https://farmdoc.illinois.edu/handbook/tractor-costs]</t>
  </si>
  <si>
    <t>Tractor Interest</t>
  </si>
  <si>
    <t>Insurance and Housing</t>
  </si>
  <si>
    <t>Tractor Hours per Year</t>
  </si>
  <si>
    <t>Hourly Overhead</t>
  </si>
  <si>
    <t>Salvage (% of list)</t>
  </si>
  <si>
    <t>Lifetime</t>
  </si>
  <si>
    <t>NA</t>
  </si>
  <si>
    <t>University of Illinois Extension on Tractor Costs</t>
  </si>
  <si>
    <t>Covered Lagoon - RNG</t>
  </si>
  <si>
    <t>Covered Lagoon - CHP</t>
  </si>
  <si>
    <t>Plug Flow - RNG</t>
  </si>
  <si>
    <t>Plug Flow - CHP</t>
  </si>
  <si>
    <t>RNG Trucking &amp; Pipeline</t>
  </si>
  <si>
    <t>Biogas Yield (ft3/cow/day)</t>
  </si>
  <si>
    <t>Methane Content</t>
  </si>
  <si>
    <t>System CAPEX</t>
  </si>
  <si>
    <t>Annual OPEX</t>
  </si>
  <si>
    <t>Labor</t>
  </si>
  <si>
    <t>Energy</t>
  </si>
  <si>
    <t>Repairs</t>
  </si>
  <si>
    <t>Covered Lagoon - Trucking/Inj.</t>
  </si>
  <si>
    <t>Plug Flow - Trucking/Inj.</t>
  </si>
  <si>
    <t>Other</t>
  </si>
  <si>
    <t>EQUATIONS SUMMARY</t>
  </si>
  <si>
    <t>CAPEX</t>
  </si>
  <si>
    <t>LABOR</t>
  </si>
  <si>
    <t>ENERGY OPEX</t>
  </si>
  <si>
    <t>REPAIRS</t>
  </si>
  <si>
    <t>OTHER</t>
  </si>
  <si>
    <t>CAPEX = 1312.5*COWS + 937500</t>
  </si>
  <si>
    <t>CAPEX = 875*COWS + 625000</t>
  </si>
  <si>
    <t>CAPEX = 1750*COWS + 1000000</t>
  </si>
  <si>
    <t>CAPEX = 2625*COWS + 2000000</t>
  </si>
  <si>
    <t>LABOR = 188.48*COWS + 113.75</t>
  </si>
  <si>
    <t>LABOR = 94.5*COWS + 67500</t>
  </si>
  <si>
    <t>LABOR = 287.47*COWS + 2670</t>
  </si>
  <si>
    <t>LABOR = 75*COWS + 45000</t>
  </si>
  <si>
    <t>ENERGY = 15.75*COWS + 11250</t>
  </si>
  <si>
    <t>ENERGY = 47.91*COWS + 445</t>
  </si>
  <si>
    <t>ENERGY = 34.80*COWS + 21</t>
  </si>
  <si>
    <t>ENERGY = 12.5*COWS + 7500</t>
  </si>
  <si>
    <t>REPAIRS = 66.69*COWS + 40.25</t>
  </si>
  <si>
    <t>REPAIRS = 47.25*COWS + 33750</t>
  </si>
  <si>
    <t>REPAIRS = 143.73*COWS + 1335</t>
  </si>
  <si>
    <t>REPAIRS = 37.5*COWS + 22500</t>
  </si>
  <si>
    <t>TRANSPORT = 137.5*COWS</t>
  </si>
  <si>
    <t>Questions for Fabian:</t>
  </si>
  <si>
    <t>What is total RNG/electricity yield? What are losses, or are they already included?</t>
  </si>
  <si>
    <t>Did vendors breakout costs between digester and biogas upgrading systems?</t>
  </si>
  <si>
    <t>Why is screw press CAPEX so high?</t>
  </si>
  <si>
    <t>What is biogas to electricity and biogas to RNG conversion efficiencies?</t>
  </si>
  <si>
    <t>Operational (Other)</t>
  </si>
  <si>
    <t>20 years</t>
  </si>
  <si>
    <t>User Input</t>
  </si>
  <si>
    <t>Get rid of variable alltogether - All CAPEX and OPEX included in hourly costs</t>
  </si>
  <si>
    <t>Get rid of this variable - Included in new digester OPEX equations</t>
  </si>
  <si>
    <t>commodity_prices.digester_bedding</t>
  </si>
  <si>
    <t>commodity_prices.digester_fertilizer</t>
  </si>
  <si>
    <t>farm_services.manure_hauling_dollars_per_tonne_km</t>
  </si>
  <si>
    <r>
      <t xml:space="preserve">Includes tractor purchase, depreciation, insurance and housing, interest, maintenance, lubrication, fuel, and labor. Captial costs are indexed using the Producer Price Index for farm equipment. </t>
    </r>
    <r>
      <rPr>
        <sz val="10"/>
        <color rgb="FFC00000"/>
        <rFont val="Aptos Narrow"/>
        <family val="2"/>
        <scheme val="minor"/>
      </rPr>
      <t>Jonah will make sure these CSVs get added to the GitHub Repo!</t>
    </r>
  </si>
  <si>
    <r>
      <t>Assumption obtained from Cabrera 2022. Semen prices can be highly variable. This provides a rough default value in the absense of any user input.</t>
    </r>
    <r>
      <rPr>
        <sz val="10"/>
        <color rgb="FFC00000"/>
        <rFont val="Aptos Narrow"/>
        <family val="2"/>
        <scheme val="minor"/>
      </rPr>
      <t xml:space="preserve"> Jonah will make sure these CSVs get added to the GitHub Repo!</t>
    </r>
  </si>
  <si>
    <r>
      <t xml:space="preserve">Still need to find data for manure hauling costs in $/tonne*km. </t>
    </r>
    <r>
      <rPr>
        <b/>
        <sz val="10"/>
        <color theme="1"/>
        <rFont val="Aptos Narrow"/>
        <family val="2"/>
        <scheme val="minor"/>
      </rPr>
      <t xml:space="preserve">Annual OPEX for manure hauling will then be → </t>
    </r>
    <r>
      <rPr>
        <sz val="10"/>
        <color theme="1"/>
        <rFont val="Aptos Narrow"/>
        <family val="2"/>
        <scheme val="minor"/>
      </rPr>
      <t>OPEX_manure_hauling [$/yr] =</t>
    </r>
    <r>
      <rPr>
        <b/>
        <sz val="10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 xml:space="preserve">animal_inputs.manure_disposal [kg/yr] * [1 tonne/1000 kg] * danimal_inputs.manure_disposal_transport_km [km] * farm_services.manure_hauling_dollars_per_tonne_km [$/tonne*km] </t>
    </r>
  </si>
  <si>
    <r>
      <t xml:space="preserve">This input should be flagged to request user input. As as a default, bedding and litter costs are from the DMI Economic Feasibility Assessment based on USDA ERS cost of production reports, using the "all farm size" value of $0.20 per cwt milk and 0.729 cwt of milk per cow per day https://www.ers.usda.gov/data-products/milk-cost-of-production-estimates. </t>
    </r>
    <r>
      <rPr>
        <sz val="10"/>
        <color rgb="FFC00000"/>
        <rFont val="Aptos Narrow"/>
        <family val="2"/>
        <scheme val="minor"/>
      </rPr>
      <t>Jonah will make sure these CSVs get added to the GitHub Repo!</t>
    </r>
  </si>
  <si>
    <t>Working on these still!</t>
  </si>
  <si>
    <t>These are the equations that can be built into the code to estimate CAPEX, Labor OPEX, Energy OPEX, Repair OPEX, and RNG trucking and injection costs as a function of the number of cows with manure going to the digester! These were all derived from the Economic Feasibility assessment from Fabian/DMI.</t>
  </si>
  <si>
    <t>Joe and Pooya - Don’t worry about anything below this line!</t>
  </si>
  <si>
    <t xml:space="preserve">User Input - default value assumes any manure that leaves the farm gate results in zero revenue. This can be adjusted by user. Manure hauling costs are calucated with the equation above. </t>
  </si>
  <si>
    <t>Still looking for data.</t>
  </si>
  <si>
    <t>Unable to obtain data - needs to be user input with default value of $0</t>
  </si>
  <si>
    <t>Key:</t>
  </si>
  <si>
    <t>File that needs to be updated (we will take care of replacing the file, just want you to be aware of the upcoming change!)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</si>
</sst>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A02B93"/>
      <name val="Aptos Narrow"/>
      <family val="2"/>
      <scheme val="minor"/>
    </font>
    <font>
      <sz val="10"/>
      <color rgb="FFC00000"/>
      <name val="Aptos Narrow"/>
      <family val="2"/>
      <scheme val="minor"/>
    </font>
    <font>
      <sz val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1"/>
      <name val="Aptos Narrow"/>
      <family val="2"/>
    </font>
    <font>
      <sz val="9"/>
      <color indexed="81"/>
      <name val="Tahoma"/>
      <family val="2"/>
    </font>
    <font>
      <sz val="11"/>
      <color rgb="FFC00000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sz val="2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3" tint="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theme="9"/>
      </left>
      <right style="thin">
        <color indexed="64"/>
      </right>
      <top style="medium">
        <color theme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9"/>
      </top>
      <bottom style="thin">
        <color indexed="64"/>
      </bottom>
      <diagonal/>
    </border>
    <border>
      <left style="thin">
        <color indexed="64"/>
      </left>
      <right style="medium">
        <color theme="9"/>
      </right>
      <top style="medium">
        <color theme="9"/>
      </top>
      <bottom style="thin">
        <color indexed="64"/>
      </bottom>
      <diagonal/>
    </border>
    <border>
      <left style="medium">
        <color theme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9"/>
      </right>
      <top style="thin">
        <color indexed="64"/>
      </top>
      <bottom style="thin">
        <color indexed="64"/>
      </bottom>
      <diagonal/>
    </border>
    <border>
      <left style="medium">
        <color theme="9"/>
      </left>
      <right style="thin">
        <color indexed="64"/>
      </right>
      <top style="thin">
        <color indexed="64"/>
      </top>
      <bottom style="medium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/>
      </bottom>
      <diagonal/>
    </border>
    <border>
      <left style="thin">
        <color indexed="64"/>
      </left>
      <right style="medium">
        <color theme="9"/>
      </right>
      <top style="thin">
        <color indexed="64"/>
      </top>
      <bottom style="medium">
        <color theme="9"/>
      </bottom>
      <diagonal/>
    </border>
    <border>
      <left style="medium">
        <color theme="9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4" fillId="3" borderId="6" xfId="0" applyFont="1" applyFill="1" applyBorder="1"/>
    <xf numFmtId="0" fontId="4" fillId="3" borderId="7" xfId="0" applyFont="1" applyFill="1" applyBorder="1"/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4" fillId="3" borderId="5" xfId="0" applyFont="1" applyFill="1" applyBorder="1"/>
    <xf numFmtId="0" fontId="4" fillId="3" borderId="9" xfId="0" applyFont="1" applyFill="1" applyBorder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/>
    <xf numFmtId="0" fontId="9" fillId="0" borderId="0" xfId="0" applyFont="1"/>
    <xf numFmtId="0" fontId="0" fillId="0" borderId="2" xfId="0" applyBorder="1"/>
    <xf numFmtId="0" fontId="0" fillId="0" borderId="10" xfId="0" applyBorder="1"/>
    <xf numFmtId="0" fontId="4" fillId="0" borderId="0" xfId="0" applyFont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9" fontId="0" fillId="0" borderId="1" xfId="0" applyNumberFormat="1" applyBorder="1"/>
    <xf numFmtId="9" fontId="0" fillId="0" borderId="2" xfId="0" applyNumberFormat="1" applyBorder="1"/>
    <xf numFmtId="10" fontId="0" fillId="0" borderId="1" xfId="0" applyNumberFormat="1" applyBorder="1"/>
    <xf numFmtId="0" fontId="11" fillId="2" borderId="1" xfId="0" applyFont="1" applyFill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right"/>
    </xf>
    <xf numFmtId="164" fontId="1" fillId="2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vertical="center"/>
    </xf>
    <xf numFmtId="0" fontId="0" fillId="5" borderId="2" xfId="0" applyFill="1" applyBorder="1" applyAlignment="1">
      <alignment horizontal="center"/>
    </xf>
    <xf numFmtId="0" fontId="0" fillId="0" borderId="10" xfId="0" applyBorder="1" applyAlignment="1">
      <alignment horizontal="right"/>
    </xf>
    <xf numFmtId="164" fontId="0" fillId="0" borderId="10" xfId="0" applyNumberFormat="1" applyBorder="1"/>
    <xf numFmtId="164" fontId="0" fillId="0" borderId="2" xfId="0" applyNumberFormat="1" applyBorder="1"/>
    <xf numFmtId="8" fontId="4" fillId="0" borderId="4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4" fillId="4" borderId="12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10" xfId="0" applyFill="1" applyBorder="1"/>
    <xf numFmtId="0" fontId="0" fillId="4" borderId="10" xfId="0" applyFill="1" applyBorder="1" applyAlignment="1">
      <alignment horizontal="center"/>
    </xf>
    <xf numFmtId="0" fontId="16" fillId="0" borderId="0" xfId="0" applyFont="1"/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0" fontId="13" fillId="3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7" fillId="5" borderId="21" xfId="0" applyFont="1" applyFill="1" applyBorder="1" applyAlignment="1">
      <alignment horizontal="left" vertical="center" wrapText="1"/>
    </xf>
    <xf numFmtId="0" fontId="17" fillId="5" borderId="0" xfId="0" applyFont="1" applyFill="1" applyAlignment="1">
      <alignment horizontal="left" vertical="center" wrapText="1"/>
    </xf>
    <xf numFmtId="0" fontId="2" fillId="5" borderId="2" xfId="0" applyFont="1" applyFill="1" applyBorder="1"/>
    <xf numFmtId="9" fontId="0" fillId="5" borderId="2" xfId="0" applyNumberFormat="1" applyFill="1" applyBorder="1" applyAlignment="1">
      <alignment horizontal="center"/>
    </xf>
    <xf numFmtId="0" fontId="0" fillId="5" borderId="22" xfId="0" applyFill="1" applyBorder="1" applyAlignment="1">
      <alignment horizontal="left" vertical="center" wrapText="1"/>
    </xf>
    <xf numFmtId="0" fontId="0" fillId="5" borderId="0" xfId="0" applyFill="1" applyBorder="1" applyAlignment="1">
      <alignment horizontal="left" vertical="center" wrapText="1"/>
    </xf>
    <xf numFmtId="0" fontId="2" fillId="5" borderId="10" xfId="0" applyFont="1" applyFill="1" applyBorder="1"/>
    <xf numFmtId="0" fontId="0" fillId="5" borderId="10" xfId="0" applyFill="1" applyBorder="1" applyAlignment="1">
      <alignment horizontal="center"/>
    </xf>
    <xf numFmtId="9" fontId="0" fillId="5" borderId="10" xfId="0" applyNumberFormat="1" applyFill="1" applyBorder="1" applyAlignment="1">
      <alignment horizontal="center"/>
    </xf>
    <xf numFmtId="0" fontId="2" fillId="5" borderId="11" xfId="0" applyFont="1" applyFill="1" applyBorder="1"/>
    <xf numFmtId="0" fontId="0" fillId="5" borderId="11" xfId="0" applyFill="1" applyBorder="1" applyAlignment="1">
      <alignment horizontal="center"/>
    </xf>
    <xf numFmtId="0" fontId="0" fillId="0" borderId="23" xfId="0" applyBorder="1"/>
    <xf numFmtId="0" fontId="18" fillId="0" borderId="23" xfId="0" applyFont="1" applyFill="1" applyBorder="1"/>
    <xf numFmtId="0" fontId="20" fillId="7" borderId="1" xfId="0" applyFont="1" applyFill="1" applyBorder="1" applyAlignment="1">
      <alignment vertical="center" wrapText="1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horizontal="left" vertical="center" wrapText="1"/>
    </xf>
    <xf numFmtId="6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20" fillId="0" borderId="1" xfId="0" applyFont="1" applyBorder="1"/>
    <xf numFmtId="0" fontId="20" fillId="0" borderId="1" xfId="0" applyFont="1" applyBorder="1" applyAlignment="1">
      <alignment horizontal="left" vertical="center"/>
    </xf>
    <xf numFmtId="6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9" fillId="0" borderId="24" xfId="0" applyFont="1" applyBorder="1"/>
    <xf numFmtId="0" fontId="7" fillId="0" borderId="25" xfId="0" applyFont="1" applyBorder="1" applyAlignment="1">
      <alignment wrapText="1"/>
    </xf>
    <xf numFmtId="0" fontId="4" fillId="4" borderId="25" xfId="0" applyFont="1" applyFill="1" applyBorder="1"/>
    <xf numFmtId="0" fontId="20" fillId="0" borderId="2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Tractor Purchase</a:t>
            </a:r>
            <a:r>
              <a:rPr lang="en-US" baseline="0"/>
              <a:t> </a:t>
            </a:r>
            <a:r>
              <a:rPr lang="en-US"/>
              <a:t>Price vs. HP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7056211723534556E-2"/>
                  <c:y val="0.300509259259259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'Equipment Costing Equations'!$A$23:$A$40</c:f>
              <c:numCache>
                <c:formatCode>General</c:formatCode>
                <c:ptCount val="18"/>
                <c:pt idx="0">
                  <c:v>85</c:v>
                </c:pt>
                <c:pt idx="1">
                  <c:v>95</c:v>
                </c:pt>
                <c:pt idx="2">
                  <c:v>110</c:v>
                </c:pt>
                <c:pt idx="3">
                  <c:v>120</c:v>
                </c:pt>
                <c:pt idx="4">
                  <c:v>140</c:v>
                </c:pt>
                <c:pt idx="5">
                  <c:v>155</c:v>
                </c:pt>
                <c:pt idx="6">
                  <c:v>175</c:v>
                </c:pt>
                <c:pt idx="7">
                  <c:v>205</c:v>
                </c:pt>
                <c:pt idx="8">
                  <c:v>225</c:v>
                </c:pt>
                <c:pt idx="9">
                  <c:v>240</c:v>
                </c:pt>
                <c:pt idx="10">
                  <c:v>260</c:v>
                </c:pt>
                <c:pt idx="11">
                  <c:v>285</c:v>
                </c:pt>
                <c:pt idx="12">
                  <c:v>310</c:v>
                </c:pt>
                <c:pt idx="13">
                  <c:v>390</c:v>
                </c:pt>
                <c:pt idx="14">
                  <c:v>440</c:v>
                </c:pt>
                <c:pt idx="15">
                  <c:v>490</c:v>
                </c:pt>
                <c:pt idx="16">
                  <c:v>590</c:v>
                </c:pt>
                <c:pt idx="17">
                  <c:v>640</c:v>
                </c:pt>
              </c:numCache>
            </c:numRef>
          </c:xVal>
          <c:yVal>
            <c:numRef>
              <c:f>'Equipment Costing Equations'!$C$23:$C$40</c:f>
              <c:numCache>
                <c:formatCode>"$"#,##0.00</c:formatCode>
                <c:ptCount val="18"/>
                <c:pt idx="0">
                  <c:v>167228.15</c:v>
                </c:pt>
                <c:pt idx="1">
                  <c:v>174633.35</c:v>
                </c:pt>
                <c:pt idx="2">
                  <c:v>212696.35</c:v>
                </c:pt>
                <c:pt idx="3">
                  <c:v>219175.9</c:v>
                </c:pt>
                <c:pt idx="4">
                  <c:v>240247.4</c:v>
                </c:pt>
                <c:pt idx="5">
                  <c:v>252931.1</c:v>
                </c:pt>
                <c:pt idx="6">
                  <c:v>265567.2</c:v>
                </c:pt>
                <c:pt idx="7">
                  <c:v>328487.59999999998</c:v>
                </c:pt>
                <c:pt idx="8">
                  <c:v>341405.89999999997</c:v>
                </c:pt>
                <c:pt idx="9">
                  <c:v>354325.05</c:v>
                </c:pt>
                <c:pt idx="10">
                  <c:v>449020.14999999997</c:v>
                </c:pt>
                <c:pt idx="11">
                  <c:v>465970.85</c:v>
                </c:pt>
                <c:pt idx="12">
                  <c:v>492953.25</c:v>
                </c:pt>
                <c:pt idx="13">
                  <c:v>442845.75</c:v>
                </c:pt>
                <c:pt idx="14">
                  <c:v>475164.45</c:v>
                </c:pt>
                <c:pt idx="15">
                  <c:v>512376.6</c:v>
                </c:pt>
                <c:pt idx="16">
                  <c:v>574541.35</c:v>
                </c:pt>
                <c:pt idx="17">
                  <c:v>617360.1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11-4128-AB23-4F26D1BDE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176655"/>
        <c:axId val="643250255"/>
      </c:scatterChart>
      <c:valAx>
        <c:axId val="64117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50255"/>
        <c:crosses val="autoZero"/>
        <c:crossBetween val="midCat"/>
      </c:valAx>
      <c:valAx>
        <c:axId val="6432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176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Diesel Consumption vs. HP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9522528433945763E-2"/>
                  <c:y val="0.356064814814814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'Equipment Costing Equations'!$A$23:$A$40</c:f>
              <c:numCache>
                <c:formatCode>General</c:formatCode>
                <c:ptCount val="18"/>
                <c:pt idx="0">
                  <c:v>85</c:v>
                </c:pt>
                <c:pt idx="1">
                  <c:v>95</c:v>
                </c:pt>
                <c:pt idx="2">
                  <c:v>110</c:v>
                </c:pt>
                <c:pt idx="3">
                  <c:v>120</c:v>
                </c:pt>
                <c:pt idx="4">
                  <c:v>140</c:v>
                </c:pt>
                <c:pt idx="5">
                  <c:v>155</c:v>
                </c:pt>
                <c:pt idx="6">
                  <c:v>175</c:v>
                </c:pt>
                <c:pt idx="7">
                  <c:v>205</c:v>
                </c:pt>
                <c:pt idx="8">
                  <c:v>225</c:v>
                </c:pt>
                <c:pt idx="9">
                  <c:v>240</c:v>
                </c:pt>
                <c:pt idx="10">
                  <c:v>260</c:v>
                </c:pt>
                <c:pt idx="11">
                  <c:v>285</c:v>
                </c:pt>
                <c:pt idx="12">
                  <c:v>310</c:v>
                </c:pt>
                <c:pt idx="13">
                  <c:v>390</c:v>
                </c:pt>
                <c:pt idx="14">
                  <c:v>440</c:v>
                </c:pt>
                <c:pt idx="15">
                  <c:v>490</c:v>
                </c:pt>
                <c:pt idx="16">
                  <c:v>590</c:v>
                </c:pt>
                <c:pt idx="17">
                  <c:v>640</c:v>
                </c:pt>
              </c:numCache>
            </c:numRef>
          </c:xVal>
          <c:yVal>
            <c:numRef>
              <c:f>'Equipment Costing Equations'!$E$23:$E$40</c:f>
              <c:numCache>
                <c:formatCode>General</c:formatCode>
                <c:ptCount val="18"/>
                <c:pt idx="0">
                  <c:v>3.7</c:v>
                </c:pt>
                <c:pt idx="1">
                  <c:v>4.2</c:v>
                </c:pt>
                <c:pt idx="2">
                  <c:v>4.8</c:v>
                </c:pt>
                <c:pt idx="3">
                  <c:v>5.2</c:v>
                </c:pt>
                <c:pt idx="4">
                  <c:v>6.1</c:v>
                </c:pt>
                <c:pt idx="5">
                  <c:v>6.8</c:v>
                </c:pt>
                <c:pt idx="6">
                  <c:v>7.7</c:v>
                </c:pt>
                <c:pt idx="7">
                  <c:v>9</c:v>
                </c:pt>
                <c:pt idx="8">
                  <c:v>9.8000000000000007</c:v>
                </c:pt>
                <c:pt idx="9">
                  <c:v>10.5</c:v>
                </c:pt>
                <c:pt idx="10">
                  <c:v>11.4</c:v>
                </c:pt>
                <c:pt idx="11">
                  <c:v>12.5</c:v>
                </c:pt>
                <c:pt idx="12">
                  <c:v>13.6</c:v>
                </c:pt>
                <c:pt idx="13">
                  <c:v>17.100000000000001</c:v>
                </c:pt>
                <c:pt idx="14">
                  <c:v>19.3</c:v>
                </c:pt>
                <c:pt idx="15">
                  <c:v>21.5</c:v>
                </c:pt>
                <c:pt idx="16">
                  <c:v>25.8</c:v>
                </c:pt>
                <c:pt idx="17">
                  <c:v>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BE-4DAB-BE3C-212C25FA2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176655"/>
        <c:axId val="643250255"/>
      </c:scatterChart>
      <c:valAx>
        <c:axId val="64117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50255"/>
        <c:crosses val="autoZero"/>
        <c:crossBetween val="midCat"/>
      </c:valAx>
      <c:valAx>
        <c:axId val="6432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176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</a:t>
            </a:r>
            <a:r>
              <a:rPr lang="en-US" baseline="0"/>
              <a:t> Overhead vs. HP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9522528433945763E-2"/>
                  <c:y val="0.356064814814814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'Equipment Costing Equations'!$A$23:$A$40</c:f>
              <c:numCache>
                <c:formatCode>General</c:formatCode>
                <c:ptCount val="18"/>
                <c:pt idx="0">
                  <c:v>85</c:v>
                </c:pt>
                <c:pt idx="1">
                  <c:v>95</c:v>
                </c:pt>
                <c:pt idx="2">
                  <c:v>110</c:v>
                </c:pt>
                <c:pt idx="3">
                  <c:v>120</c:v>
                </c:pt>
                <c:pt idx="4">
                  <c:v>140</c:v>
                </c:pt>
                <c:pt idx="5">
                  <c:v>155</c:v>
                </c:pt>
                <c:pt idx="6">
                  <c:v>175</c:v>
                </c:pt>
                <c:pt idx="7">
                  <c:v>205</c:v>
                </c:pt>
                <c:pt idx="8">
                  <c:v>225</c:v>
                </c:pt>
                <c:pt idx="9">
                  <c:v>240</c:v>
                </c:pt>
                <c:pt idx="10">
                  <c:v>260</c:v>
                </c:pt>
                <c:pt idx="11">
                  <c:v>285</c:v>
                </c:pt>
                <c:pt idx="12">
                  <c:v>310</c:v>
                </c:pt>
                <c:pt idx="13">
                  <c:v>390</c:v>
                </c:pt>
                <c:pt idx="14">
                  <c:v>440</c:v>
                </c:pt>
                <c:pt idx="15">
                  <c:v>490</c:v>
                </c:pt>
                <c:pt idx="16">
                  <c:v>590</c:v>
                </c:pt>
                <c:pt idx="17">
                  <c:v>640</c:v>
                </c:pt>
              </c:numCache>
            </c:numRef>
          </c:xVal>
          <c:yVal>
            <c:numRef>
              <c:f>'Equipment Costing Equations'!$D$23:$D$40</c:f>
              <c:numCache>
                <c:formatCode>"$"#,##0.00</c:formatCode>
                <c:ptCount val="18"/>
                <c:pt idx="0">
                  <c:v>58.9</c:v>
                </c:pt>
                <c:pt idx="1">
                  <c:v>61.5</c:v>
                </c:pt>
                <c:pt idx="2">
                  <c:v>75</c:v>
                </c:pt>
                <c:pt idx="3">
                  <c:v>77.2</c:v>
                </c:pt>
                <c:pt idx="4">
                  <c:v>84.7</c:v>
                </c:pt>
                <c:pt idx="5">
                  <c:v>89.1</c:v>
                </c:pt>
                <c:pt idx="6">
                  <c:v>93.6</c:v>
                </c:pt>
                <c:pt idx="7">
                  <c:v>115.8</c:v>
                </c:pt>
                <c:pt idx="8">
                  <c:v>120.3</c:v>
                </c:pt>
                <c:pt idx="9">
                  <c:v>124.9</c:v>
                </c:pt>
                <c:pt idx="10">
                  <c:v>158.30000000000001</c:v>
                </c:pt>
                <c:pt idx="11">
                  <c:v>164.2</c:v>
                </c:pt>
                <c:pt idx="12">
                  <c:v>173.7</c:v>
                </c:pt>
                <c:pt idx="13">
                  <c:v>156.1</c:v>
                </c:pt>
                <c:pt idx="14">
                  <c:v>167.5</c:v>
                </c:pt>
                <c:pt idx="15">
                  <c:v>180.6</c:v>
                </c:pt>
                <c:pt idx="16">
                  <c:v>202.5</c:v>
                </c:pt>
                <c:pt idx="17">
                  <c:v>217.6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3B-40E1-88B9-CDCA8A4BA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176655"/>
        <c:axId val="643250255"/>
      </c:scatterChart>
      <c:valAx>
        <c:axId val="64117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50255"/>
        <c:crosses val="autoZero"/>
        <c:crossBetween val="midCat"/>
      </c:valAx>
      <c:valAx>
        <c:axId val="6432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176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Lagoon Digester CAPEX vs. Number of Cows</a:t>
            </a:r>
          </a:p>
        </c:rich>
      </c:tx>
      <c:layout>
        <c:manualLayout>
          <c:xMode val="edge"/>
          <c:yMode val="edge"/>
          <c:x val="0.24397426677826026"/>
          <c:y val="3.28638497652582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'Equipment Costing Equations'!$A$63</c:f>
              <c:strCache>
                <c:ptCount val="1"/>
                <c:pt idx="0">
                  <c:v>Covered Lagoon - RNG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9453955553699795E-2"/>
                  <c:y val="0.223500425122915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'Equipment Costing Equations'!$D$62:$E$62</c:f>
              <c:numCache>
                <c:formatCode>General</c:formatCode>
                <c:ptCount val="2"/>
                <c:pt idx="0">
                  <c:v>1000</c:v>
                </c:pt>
                <c:pt idx="1">
                  <c:v>5000</c:v>
                </c:pt>
              </c:numCache>
            </c:numRef>
          </c:xVal>
          <c:yVal>
            <c:numRef>
              <c:f>'Equipment Costing Equations'!$D$63:$E$63</c:f>
              <c:numCache>
                <c:formatCode>"$"#,##0.00</c:formatCode>
                <c:ptCount val="2"/>
                <c:pt idx="0">
                  <c:v>1500000</c:v>
                </c:pt>
                <c:pt idx="1">
                  <c:v>5000000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871-4ED4-B31E-7DD8990B642C}"/>
            </c:ext>
          </c:extLst>
        </c:ser>
        <c:ser>
          <c:idx val="1"/>
          <c:order val="1"/>
          <c:tx>
            <c:strRef>
              <c:f>'Equipment Costing Equations'!$A$64</c:f>
              <c:strCache>
                <c:ptCount val="1"/>
                <c:pt idx="0">
                  <c:v>Covered Lagoon - CHP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'Equipment Costing Equations'!$D$62:$E$62</c:f>
              <c:numCache>
                <c:formatCode>General</c:formatCode>
                <c:ptCount val="2"/>
                <c:pt idx="0">
                  <c:v>1000</c:v>
                </c:pt>
                <c:pt idx="1">
                  <c:v>5000</c:v>
                </c:pt>
              </c:numCache>
            </c:numRef>
          </c:xVal>
          <c:yVal>
            <c:numRef>
              <c:f>'Equipment Costing Equations'!$D$64:$E$64</c:f>
              <c:numCache>
                <c:formatCode>"$"#,##0.00</c:formatCode>
                <c:ptCount val="2"/>
                <c:pt idx="0">
                  <c:v>2250000</c:v>
                </c:pt>
                <c:pt idx="1">
                  <c:v>7500000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871-4ED4-B31E-7DD8990B6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176655"/>
        <c:axId val="643250255"/>
      </c:scatterChart>
      <c:valAx>
        <c:axId val="64117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50255"/>
        <c:crosses val="autoZero"/>
        <c:crossBetween val="midCat"/>
      </c:valAx>
      <c:valAx>
        <c:axId val="6432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17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Lagoon Digester Labor vs. Number of Cows</a:t>
            </a:r>
          </a:p>
        </c:rich>
      </c:tx>
      <c:layout>
        <c:manualLayout>
          <c:xMode val="edge"/>
          <c:yMode val="edge"/>
          <c:x val="0.24397426677826026"/>
          <c:y val="3.28638497652582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'Equipment Costing Equations'!$A$63</c:f>
              <c:strCache>
                <c:ptCount val="1"/>
                <c:pt idx="0">
                  <c:v>Covered Lagoon - RNG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9672236906374456E-2"/>
                  <c:y val="7.46948356807511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'Equipment Costing Equations'!$F$62:$G$62</c:f>
              <c:numCache>
                <c:formatCode>General</c:formatCode>
                <c:ptCount val="2"/>
                <c:pt idx="0">
                  <c:v>1000</c:v>
                </c:pt>
                <c:pt idx="1">
                  <c:v>5000</c:v>
                </c:pt>
              </c:numCache>
            </c:numRef>
          </c:xVal>
          <c:yVal>
            <c:numRef>
              <c:f>'Equipment Costing Equations'!$F$63:$G$63</c:f>
              <c:numCache>
                <c:formatCode>"$"#,##0.00</c:formatCode>
                <c:ptCount val="2"/>
                <c:pt idx="0">
                  <c:v>188591</c:v>
                </c:pt>
                <c:pt idx="1">
                  <c:v>942500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98-440C-9AA2-FC31CD13DA1C}"/>
            </c:ext>
          </c:extLst>
        </c:ser>
        <c:ser>
          <c:idx val="1"/>
          <c:order val="1"/>
          <c:tx>
            <c:strRef>
              <c:f>'Equipment Costing Equations'!$A$64</c:f>
              <c:strCache>
                <c:ptCount val="1"/>
                <c:pt idx="0">
                  <c:v>Covered Lagoon - CHP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1501583469983063E-2"/>
                  <c:y val="0.195391297918746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'Equipment Costing Equations'!$F$62:$G$62</c:f>
              <c:numCache>
                <c:formatCode>General</c:formatCode>
                <c:ptCount val="2"/>
                <c:pt idx="0">
                  <c:v>1000</c:v>
                </c:pt>
                <c:pt idx="1">
                  <c:v>5000</c:v>
                </c:pt>
              </c:numCache>
            </c:numRef>
          </c:xVal>
          <c:yVal>
            <c:numRef>
              <c:f>'Equipment Costing Equations'!$F$64:$G$64</c:f>
              <c:numCache>
                <c:formatCode>"$"#,##0.00</c:formatCode>
                <c:ptCount val="2"/>
                <c:pt idx="0">
                  <c:v>162000</c:v>
                </c:pt>
                <c:pt idx="1">
                  <c:v>540000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98-440C-9AA2-FC31CD13D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176655"/>
        <c:axId val="643250255"/>
      </c:scatterChart>
      <c:valAx>
        <c:axId val="64117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50255"/>
        <c:crosses val="autoZero"/>
        <c:crossBetween val="midCat"/>
      </c:valAx>
      <c:valAx>
        <c:axId val="6432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17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Lagoon Digester Energy OPEX vs. Number of Cows</a:t>
            </a:r>
          </a:p>
        </c:rich>
      </c:tx>
      <c:layout>
        <c:manualLayout>
          <c:xMode val="edge"/>
          <c:yMode val="edge"/>
          <c:x val="0.15734385493550465"/>
          <c:y val="3.28638497652582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'Equipment Costing Equations'!$A$63</c:f>
              <c:strCache>
                <c:ptCount val="1"/>
                <c:pt idx="0">
                  <c:v>Covered Lagoon - RNG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9672236906374456E-2"/>
                  <c:y val="7.46948356807511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'Equipment Costing Equations'!$H$62:$I$62</c:f>
              <c:numCache>
                <c:formatCode>General</c:formatCode>
                <c:ptCount val="2"/>
                <c:pt idx="0">
                  <c:v>1000</c:v>
                </c:pt>
                <c:pt idx="1">
                  <c:v>5000</c:v>
                </c:pt>
              </c:numCache>
            </c:numRef>
          </c:xVal>
          <c:yVal>
            <c:numRef>
              <c:f>'Equipment Costing Equations'!$H$63:$I$63</c:f>
              <c:numCache>
                <c:formatCode>"$"#,##0.00</c:formatCode>
                <c:ptCount val="2"/>
                <c:pt idx="0">
                  <c:v>34816.799999999996</c:v>
                </c:pt>
                <c:pt idx="1">
                  <c:v>174000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7B-46E9-8FDC-1C727DB8CAA9}"/>
            </c:ext>
          </c:extLst>
        </c:ser>
        <c:ser>
          <c:idx val="1"/>
          <c:order val="1"/>
          <c:tx>
            <c:strRef>
              <c:f>'Equipment Costing Equations'!$A$64</c:f>
              <c:strCache>
                <c:ptCount val="1"/>
                <c:pt idx="0">
                  <c:v>Covered Lagoon - CHP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1501583469983063E-2"/>
                  <c:y val="0.195391297918746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'Equipment Costing Equations'!$H$62:$I$62</c:f>
              <c:numCache>
                <c:formatCode>General</c:formatCode>
                <c:ptCount val="2"/>
                <c:pt idx="0">
                  <c:v>1000</c:v>
                </c:pt>
                <c:pt idx="1">
                  <c:v>5000</c:v>
                </c:pt>
              </c:numCache>
            </c:numRef>
          </c:xVal>
          <c:yVal>
            <c:numRef>
              <c:f>'Equipment Costing Equations'!$H$64:$I$64</c:f>
              <c:numCache>
                <c:formatCode>"$"#,##0.00</c:formatCode>
                <c:ptCount val="2"/>
                <c:pt idx="0">
                  <c:v>27000</c:v>
                </c:pt>
                <c:pt idx="1">
                  <c:v>90000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7B-46E9-8FDC-1C727DB8C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176655"/>
        <c:axId val="643250255"/>
      </c:scatterChart>
      <c:valAx>
        <c:axId val="64117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50255"/>
        <c:crosses val="autoZero"/>
        <c:crossBetween val="midCat"/>
      </c:valAx>
      <c:valAx>
        <c:axId val="6432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17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Lagoon Digester Repair OPEX vs. Number of Cows</a:t>
            </a:r>
          </a:p>
        </c:rich>
      </c:tx>
      <c:layout>
        <c:manualLayout>
          <c:xMode val="edge"/>
          <c:yMode val="edge"/>
          <c:x val="0.15734385493550465"/>
          <c:y val="3.28638497652582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'Equipment Costing Equations'!$A$63</c:f>
              <c:strCache>
                <c:ptCount val="1"/>
                <c:pt idx="0">
                  <c:v>Covered Lagoon - RNG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9672236906374456E-2"/>
                  <c:y val="7.46948356807511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'Equipment Costing Equations'!$J$62:$K$62</c:f>
              <c:numCache>
                <c:formatCode>General</c:formatCode>
                <c:ptCount val="2"/>
                <c:pt idx="0">
                  <c:v>1000</c:v>
                </c:pt>
                <c:pt idx="1">
                  <c:v>5000</c:v>
                </c:pt>
              </c:numCache>
            </c:numRef>
          </c:xVal>
          <c:yVal>
            <c:numRef>
              <c:f>'Equipment Costing Equations'!$J$63:$K$63</c:f>
              <c:numCache>
                <c:formatCode>"$"#,##0.00</c:formatCode>
                <c:ptCount val="2"/>
                <c:pt idx="0">
                  <c:v>66732.2</c:v>
                </c:pt>
                <c:pt idx="1">
                  <c:v>333500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D8-4F44-A4C8-86619B797319}"/>
            </c:ext>
          </c:extLst>
        </c:ser>
        <c:ser>
          <c:idx val="1"/>
          <c:order val="1"/>
          <c:tx>
            <c:strRef>
              <c:f>'Equipment Costing Equations'!$A$64</c:f>
              <c:strCache>
                <c:ptCount val="1"/>
                <c:pt idx="0">
                  <c:v>Covered Lagoon - CHP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1501583469983063E-2"/>
                  <c:y val="0.195391297918746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'Equipment Costing Equations'!$J$62:$K$62</c:f>
              <c:numCache>
                <c:formatCode>General</c:formatCode>
                <c:ptCount val="2"/>
                <c:pt idx="0">
                  <c:v>1000</c:v>
                </c:pt>
                <c:pt idx="1">
                  <c:v>5000</c:v>
                </c:pt>
              </c:numCache>
            </c:numRef>
          </c:xVal>
          <c:yVal>
            <c:numRef>
              <c:f>'Equipment Costing Equations'!$J$64:$K$64</c:f>
              <c:numCache>
                <c:formatCode>"$"#,##0.00</c:formatCode>
                <c:ptCount val="2"/>
                <c:pt idx="0">
                  <c:v>81000</c:v>
                </c:pt>
                <c:pt idx="1">
                  <c:v>270000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FD8-4F44-A4C8-86619B797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176655"/>
        <c:axId val="643250255"/>
      </c:scatterChart>
      <c:valAx>
        <c:axId val="64117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50255"/>
        <c:crosses val="autoZero"/>
        <c:crossBetween val="midCat"/>
      </c:valAx>
      <c:valAx>
        <c:axId val="6432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17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RNG</a:t>
            </a:r>
            <a:r>
              <a:rPr lang="en-US" sz="1400" baseline="0"/>
              <a:t> Transport Cost </a:t>
            </a:r>
            <a:r>
              <a:rPr lang="en-US" sz="1400"/>
              <a:t>vs. Number of Cows</a:t>
            </a:r>
          </a:p>
        </c:rich>
      </c:tx>
      <c:layout>
        <c:manualLayout>
          <c:xMode val="edge"/>
          <c:yMode val="edge"/>
          <c:x val="0.25710008675443535"/>
          <c:y val="3.28638497652582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'Equipment Costing Equations'!$A$65</c:f>
              <c:strCache>
                <c:ptCount val="1"/>
                <c:pt idx="0">
                  <c:v>Covered Lagoon - Trucking/Inj.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9672236906374456E-2"/>
                  <c:y val="7.46948356807511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'Equipment Costing Equations'!$L$62:$M$62</c:f>
              <c:numCache>
                <c:formatCode>General</c:formatCode>
                <c:ptCount val="2"/>
                <c:pt idx="0">
                  <c:v>1000</c:v>
                </c:pt>
                <c:pt idx="1">
                  <c:v>5000</c:v>
                </c:pt>
              </c:numCache>
            </c:numRef>
          </c:xVal>
          <c:yVal>
            <c:numRef>
              <c:f>'Equipment Costing Equations'!$L$65:$M$65</c:f>
              <c:numCache>
                <c:formatCode>"$"#,##0.00</c:formatCode>
                <c:ptCount val="2"/>
                <c:pt idx="0">
                  <c:v>137500</c:v>
                </c:pt>
                <c:pt idx="1">
                  <c:v>687500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21-49DD-B957-D631C71C3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176655"/>
        <c:axId val="643250255"/>
      </c:scatterChart>
      <c:valAx>
        <c:axId val="64117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50255"/>
        <c:crosses val="autoZero"/>
        <c:crossBetween val="midCat"/>
      </c:valAx>
      <c:valAx>
        <c:axId val="6432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17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Plug</a:t>
            </a:r>
            <a:r>
              <a:rPr lang="en-US" baseline="0"/>
              <a:t> Flow</a:t>
            </a:r>
            <a:r>
              <a:rPr lang="en-US"/>
              <a:t> Digester CAPEX vs. Number of Cows</a:t>
            </a:r>
          </a:p>
        </c:rich>
      </c:tx>
      <c:layout>
        <c:manualLayout>
          <c:xMode val="edge"/>
          <c:yMode val="edge"/>
          <c:x val="0.24397426677826026"/>
          <c:y val="3.28638497652582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'Equipment Costing Equations'!$A$66</c:f>
              <c:strCache>
                <c:ptCount val="1"/>
                <c:pt idx="0">
                  <c:v>Plug Flow - RNG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9453955553699795E-2"/>
                  <c:y val="0.223500425122915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'Equipment Costing Equations'!$D$62:$E$62</c:f>
              <c:numCache>
                <c:formatCode>General</c:formatCode>
                <c:ptCount val="2"/>
                <c:pt idx="0">
                  <c:v>1000</c:v>
                </c:pt>
                <c:pt idx="1">
                  <c:v>5000</c:v>
                </c:pt>
              </c:numCache>
            </c:numRef>
          </c:xVal>
          <c:yVal>
            <c:numRef>
              <c:f>'Equipment Costing Equations'!$D$66:$E$66</c:f>
              <c:numCache>
                <c:formatCode>"$"#,##0.00</c:formatCode>
                <c:ptCount val="2"/>
                <c:pt idx="0">
                  <c:v>3000000</c:v>
                </c:pt>
                <c:pt idx="1">
                  <c:v>10000000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A8-4D13-803A-B57A2B6E8BCD}"/>
            </c:ext>
          </c:extLst>
        </c:ser>
        <c:ser>
          <c:idx val="1"/>
          <c:order val="1"/>
          <c:tx>
            <c:strRef>
              <c:f>'Equipment Costing Equations'!$A$67</c:f>
              <c:strCache>
                <c:ptCount val="1"/>
                <c:pt idx="0">
                  <c:v>Plug Flow - CHP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'Equipment Costing Equations'!$D$62:$E$62</c:f>
              <c:numCache>
                <c:formatCode>General</c:formatCode>
                <c:ptCount val="2"/>
                <c:pt idx="0">
                  <c:v>1000</c:v>
                </c:pt>
                <c:pt idx="1">
                  <c:v>5000</c:v>
                </c:pt>
              </c:numCache>
            </c:numRef>
          </c:xVal>
          <c:yVal>
            <c:numRef>
              <c:f>'Equipment Costing Equations'!$D$67:$E$67</c:f>
              <c:numCache>
                <c:formatCode>"$"#,##0.00</c:formatCode>
                <c:ptCount val="2"/>
                <c:pt idx="0">
                  <c:v>4500000</c:v>
                </c:pt>
                <c:pt idx="1">
                  <c:v>15000000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A8-4D13-803A-B57A2B6E8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176655"/>
        <c:axId val="643250255"/>
      </c:scatterChart>
      <c:valAx>
        <c:axId val="64117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50255"/>
        <c:crosses val="autoZero"/>
        <c:crossBetween val="midCat"/>
      </c:valAx>
      <c:valAx>
        <c:axId val="6432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17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Plug FLow Labor vs. Number of Cows</a:t>
            </a:r>
          </a:p>
        </c:rich>
      </c:tx>
      <c:layout>
        <c:manualLayout>
          <c:xMode val="edge"/>
          <c:yMode val="edge"/>
          <c:x val="0.27022590673061042"/>
          <c:y val="3.75586854460093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'Equipment Costing Equations'!$A$66</c:f>
              <c:strCache>
                <c:ptCount val="1"/>
                <c:pt idx="0">
                  <c:v>Plug Flow - RNG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9672236906374456E-2"/>
                  <c:y val="7.46948356807511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'Equipment Costing Equations'!$F$62:$G$62</c:f>
              <c:numCache>
                <c:formatCode>General</c:formatCode>
                <c:ptCount val="2"/>
                <c:pt idx="0">
                  <c:v>1000</c:v>
                </c:pt>
                <c:pt idx="1">
                  <c:v>5000</c:v>
                </c:pt>
              </c:numCache>
            </c:numRef>
          </c:xVal>
          <c:yVal>
            <c:numRef>
              <c:f>'Equipment Costing Equations'!$F$66:$G$66</c:f>
              <c:numCache>
                <c:formatCode>"$"#,##0.00</c:formatCode>
                <c:ptCount val="2"/>
                <c:pt idx="0">
                  <c:v>290136</c:v>
                </c:pt>
                <c:pt idx="1">
                  <c:v>1440000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61-4D06-BE36-058B1F0B3A1E}"/>
            </c:ext>
          </c:extLst>
        </c:ser>
        <c:ser>
          <c:idx val="1"/>
          <c:order val="1"/>
          <c:tx>
            <c:strRef>
              <c:f>'Equipment Costing Equations'!$A$67</c:f>
              <c:strCache>
                <c:ptCount val="1"/>
                <c:pt idx="0">
                  <c:v>Plug Flow - CHP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0541412056817633E-2"/>
                  <c:y val="0.123091937451480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'Equipment Costing Equations'!$F$62:$G$62</c:f>
              <c:numCache>
                <c:formatCode>General</c:formatCode>
                <c:ptCount val="2"/>
                <c:pt idx="0">
                  <c:v>1000</c:v>
                </c:pt>
                <c:pt idx="1">
                  <c:v>5000</c:v>
                </c:pt>
              </c:numCache>
            </c:numRef>
          </c:xVal>
          <c:yVal>
            <c:numRef>
              <c:f>'Equipment Costing Equations'!$F$67:$G$67</c:f>
              <c:numCache>
                <c:formatCode>"$"#,##0.00</c:formatCode>
                <c:ptCount val="2"/>
                <c:pt idx="0">
                  <c:v>120000</c:v>
                </c:pt>
                <c:pt idx="1">
                  <c:v>420000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61-4D06-BE36-058B1F0B3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176655"/>
        <c:axId val="643250255"/>
      </c:scatterChart>
      <c:valAx>
        <c:axId val="64117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50255"/>
        <c:crosses val="autoZero"/>
        <c:crossBetween val="midCat"/>
      </c:valAx>
      <c:valAx>
        <c:axId val="6432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17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Plug Flow</a:t>
            </a:r>
            <a:r>
              <a:rPr lang="en-US" baseline="0"/>
              <a:t> </a:t>
            </a:r>
            <a:r>
              <a:rPr lang="en-US"/>
              <a:t>Energy OPEX vs. Number of Cows</a:t>
            </a:r>
          </a:p>
        </c:rich>
      </c:tx>
      <c:layout>
        <c:manualLayout>
          <c:xMode val="edge"/>
          <c:yMode val="edge"/>
          <c:x val="0.15734385493550465"/>
          <c:y val="3.28638497652582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'Equipment Costing Equations'!$A$66</c:f>
              <c:strCache>
                <c:ptCount val="1"/>
                <c:pt idx="0">
                  <c:v>Plug Flow - RNG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9672236906374456E-2"/>
                  <c:y val="7.46948356807511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'Equipment Costing Equations'!$H$62:$I$62</c:f>
              <c:numCache>
                <c:formatCode>General</c:formatCode>
                <c:ptCount val="2"/>
                <c:pt idx="0">
                  <c:v>1000</c:v>
                </c:pt>
                <c:pt idx="1">
                  <c:v>5000</c:v>
                </c:pt>
              </c:numCache>
            </c:numRef>
          </c:xVal>
          <c:yVal>
            <c:numRef>
              <c:f>'Equipment Costing Equations'!$H$66:$I$66</c:f>
              <c:numCache>
                <c:formatCode>"$"#,##0.00</c:formatCode>
                <c:ptCount val="2"/>
                <c:pt idx="0">
                  <c:v>48356</c:v>
                </c:pt>
                <c:pt idx="1">
                  <c:v>240000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AA-4C3F-8B32-86849D38F8E0}"/>
            </c:ext>
          </c:extLst>
        </c:ser>
        <c:ser>
          <c:idx val="1"/>
          <c:order val="1"/>
          <c:tx>
            <c:strRef>
              <c:f>'Equipment Costing Equations'!$A$67</c:f>
              <c:strCache>
                <c:ptCount val="1"/>
                <c:pt idx="0">
                  <c:v>Plug Flow - CHP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0704982768998753E-2"/>
                  <c:y val="9.74751395512180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'Equipment Costing Equations'!$H$62:$I$62</c:f>
              <c:numCache>
                <c:formatCode>General</c:formatCode>
                <c:ptCount val="2"/>
                <c:pt idx="0">
                  <c:v>1000</c:v>
                </c:pt>
                <c:pt idx="1">
                  <c:v>5000</c:v>
                </c:pt>
              </c:numCache>
            </c:numRef>
          </c:xVal>
          <c:yVal>
            <c:numRef>
              <c:f>'Equipment Costing Equations'!$H$67:$I$67</c:f>
              <c:numCache>
                <c:formatCode>"$"#,##0.00</c:formatCode>
                <c:ptCount val="2"/>
                <c:pt idx="0">
                  <c:v>20000</c:v>
                </c:pt>
                <c:pt idx="1">
                  <c:v>70000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AA-4C3F-8B32-86849D38F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176655"/>
        <c:axId val="643250255"/>
      </c:scatterChart>
      <c:valAx>
        <c:axId val="64117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50255"/>
        <c:crosses val="autoZero"/>
        <c:crossBetween val="midCat"/>
      </c:valAx>
      <c:valAx>
        <c:axId val="6432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17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Plug Flow Repair OPEX vs. Number of Cows</a:t>
            </a:r>
          </a:p>
        </c:rich>
      </c:tx>
      <c:layout>
        <c:manualLayout>
          <c:xMode val="edge"/>
          <c:yMode val="edge"/>
          <c:x val="0.20984713484020504"/>
          <c:y val="3.28638497652582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'Equipment Costing Equations'!$A$66</c:f>
              <c:strCache>
                <c:ptCount val="1"/>
                <c:pt idx="0">
                  <c:v>Plug Flow - RNG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9672236906374456E-2"/>
                  <c:y val="7.46948356807511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'Equipment Costing Equations'!$J$62:$K$62</c:f>
              <c:numCache>
                <c:formatCode>General</c:formatCode>
                <c:ptCount val="2"/>
                <c:pt idx="0">
                  <c:v>1000</c:v>
                </c:pt>
                <c:pt idx="1">
                  <c:v>5000</c:v>
                </c:pt>
              </c:numCache>
            </c:numRef>
          </c:xVal>
          <c:yVal>
            <c:numRef>
              <c:f>'Equipment Costing Equations'!$J$66:$K$66</c:f>
              <c:numCache>
                <c:formatCode>"$"#,##0.00</c:formatCode>
                <c:ptCount val="2"/>
                <c:pt idx="0">
                  <c:v>145068</c:v>
                </c:pt>
                <c:pt idx="1">
                  <c:v>720000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26-4A6F-9197-075583C227F4}"/>
            </c:ext>
          </c:extLst>
        </c:ser>
        <c:ser>
          <c:idx val="1"/>
          <c:order val="1"/>
          <c:tx>
            <c:strRef>
              <c:f>'Equipment Costing Equations'!$A$67</c:f>
              <c:strCache>
                <c:ptCount val="1"/>
                <c:pt idx="0">
                  <c:v>Plug Flow - CHP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1173758607232341E-2"/>
                  <c:y val="0.137176444493734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'Equipment Costing Equations'!$J$62:$K$62</c:f>
              <c:numCache>
                <c:formatCode>General</c:formatCode>
                <c:ptCount val="2"/>
                <c:pt idx="0">
                  <c:v>1000</c:v>
                </c:pt>
                <c:pt idx="1">
                  <c:v>5000</c:v>
                </c:pt>
              </c:numCache>
            </c:numRef>
          </c:xVal>
          <c:yVal>
            <c:numRef>
              <c:f>'Equipment Costing Equations'!$J$67:$K$67</c:f>
              <c:numCache>
                <c:formatCode>"$"#,##0.00</c:formatCode>
                <c:ptCount val="2"/>
                <c:pt idx="0">
                  <c:v>60000</c:v>
                </c:pt>
                <c:pt idx="1">
                  <c:v>210000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26-4A6F-9197-075583C22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176655"/>
        <c:axId val="643250255"/>
      </c:scatterChart>
      <c:valAx>
        <c:axId val="64117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50255"/>
        <c:crosses val="autoZero"/>
        <c:crossBetween val="midCat"/>
      </c:valAx>
      <c:valAx>
        <c:axId val="6432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17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498475</xdr:colOff>
      <xdr:row>41</xdr:row>
      <xdr:rowOff>6350</xdr:rowOff>
    </xdr:from>
    <xdr:to>
      <xdr:col>3</xdr:col>
      <xdr:colOff>174625</xdr:colOff>
      <xdr:row>55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9EF60D-8C46-FC9B-BA72-2854B91A6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266700</xdr:colOff>
      <xdr:row>41</xdr:row>
      <xdr:rowOff>19050</xdr:rowOff>
    </xdr:from>
    <xdr:to>
      <xdr:col>5</xdr:col>
      <xdr:colOff>1549400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585259-BAF4-4A7A-BB7B-BF5E2E551E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1768928</xdr:colOff>
      <xdr:row>41</xdr:row>
      <xdr:rowOff>0</xdr:rowOff>
    </xdr:from>
    <xdr:to>
      <xdr:col>9</xdr:col>
      <xdr:colOff>693058</xdr:colOff>
      <xdr:row>55</xdr:row>
      <xdr:rowOff>162379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48FAFE-7209-40E4-818E-4148D5135E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489857</xdr:colOff>
      <xdr:row>69</xdr:row>
      <xdr:rowOff>90713</xdr:rowOff>
    </xdr:from>
    <xdr:to>
      <xdr:col>2</xdr:col>
      <xdr:colOff>1097643</xdr:colOff>
      <xdr:row>84</xdr:row>
      <xdr:rowOff>74385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3931BF-BB5D-4DFD-A73E-655F4EEEB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1224649</xdr:colOff>
      <xdr:row>69</xdr:row>
      <xdr:rowOff>117928</xdr:rowOff>
    </xdr:from>
    <xdr:to>
      <xdr:col>4</xdr:col>
      <xdr:colOff>1953086</xdr:colOff>
      <xdr:row>84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2B8A98-72A2-4BBF-9CA9-D95BECF66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2032007</xdr:colOff>
      <xdr:row>69</xdr:row>
      <xdr:rowOff>127000</xdr:rowOff>
    </xdr:from>
    <xdr:to>
      <xdr:col>7</xdr:col>
      <xdr:colOff>782870</xdr:colOff>
      <xdr:row>84</xdr:row>
      <xdr:rowOff>110672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E08F0F8-A3CE-426F-BC39-E1C9CF4C2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843645</xdr:colOff>
      <xdr:row>69</xdr:row>
      <xdr:rowOff>145142</xdr:rowOff>
    </xdr:from>
    <xdr:to>
      <xdr:col>12</xdr:col>
      <xdr:colOff>11794</xdr:colOff>
      <xdr:row>84</xdr:row>
      <xdr:rowOff>128814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6C53579-6624-432C-B206-4D70865C3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861786</xdr:colOff>
      <xdr:row>108</xdr:row>
      <xdr:rowOff>163287</xdr:rowOff>
    </xdr:from>
    <xdr:to>
      <xdr:col>5</xdr:col>
      <xdr:colOff>1327150</xdr:colOff>
      <xdr:row>123</xdr:row>
      <xdr:rowOff>146957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FA6D781-C4FE-4985-90D2-2C342A735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498929</xdr:colOff>
      <xdr:row>85</xdr:row>
      <xdr:rowOff>0</xdr:rowOff>
    </xdr:from>
    <xdr:to>
      <xdr:col>2</xdr:col>
      <xdr:colOff>1106715</xdr:colOff>
      <xdr:row>99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763F0F3-3A86-4985-926E-D33BA2C6B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1188363</xdr:colOff>
      <xdr:row>85</xdr:row>
      <xdr:rowOff>36286</xdr:rowOff>
    </xdr:from>
    <xdr:to>
      <xdr:col>4</xdr:col>
      <xdr:colOff>1916800</xdr:colOff>
      <xdr:row>100</xdr:row>
      <xdr:rowOff>19958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0EA583-17DE-4E31-BB11-35D1520A21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2032008</xdr:colOff>
      <xdr:row>85</xdr:row>
      <xdr:rowOff>54429</xdr:rowOff>
    </xdr:from>
    <xdr:to>
      <xdr:col>7</xdr:col>
      <xdr:colOff>782871</xdr:colOff>
      <xdr:row>100</xdr:row>
      <xdr:rowOff>38101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C5D0B03-2F7F-43BD-82BC-8E3A0E033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889000</xdr:colOff>
      <xdr:row>85</xdr:row>
      <xdr:rowOff>63500</xdr:rowOff>
    </xdr:from>
    <xdr:to>
      <xdr:col>12</xdr:col>
      <xdr:colOff>57149</xdr:colOff>
      <xdr:row>100</xdr:row>
      <xdr:rowOff>47172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068C84E-0F64-4C06-AFFB-9D68D8176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reene,Jonah" id="{5D4FEE5E-4CF5-4F65-AC38-22C6A9D29800}" userId="S::jonahg@colostate.edu::81ff0a90-a854-4f92-ab8f-0be0b0405ba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0" dT="2025-07-16T20:24:28.30" personId="{5D4FEE5E-4CF5-4F65-AC38-22C6A9D29800}" id="{9009174A-777A-4293-86FF-FEE28ABF6556}">
    <text xml:space="preserve">These single values will be used as placeholders. We will generate a county level CSV that has this value ($53.22)for all counties. This file can be updated later if we get better data, but for now it gives a placeholder that is non-zero. </text>
  </threadedComment>
  <threadedComment ref="D10" dT="2025-07-16T20:26:51.38" personId="{5D4FEE5E-4CF5-4F65-AC38-22C6A9D29800}" id="{F4619085-3256-4DC3-8358-990709DA97D7}" parentId="{9009174A-777A-4293-86FF-FEE28ABF6556}">
    <text>We will do the same thing for semen prices (rows 18-20), carbon credit prices (rows 25-26), and most likely manure hauling costs (although we need to look into this one more)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E75F-66D1-4D0F-BA93-F4E8AE8AAD9B}">
  <dimension ref="A1:F39"/>
  <sheetViews>
    <sheetView tabSelected="1" zoomScaleNormal="100" workbookViewId="0">
      <selection activeCell="A3" sqref="A3"/>
    </sheetView>
  </sheetViews>
  <sheetFormatPr defaultRowHeight="13" x14ac:dyDescent="0.3"/>
  <cols>
    <col min="1" max="1" width="54.36328125" style="7" customWidth="1"/>
    <col min="2" max="2" width="59.08984375" style="7" customWidth="1"/>
    <col min="3" max="3" width="56.26953125" style="7" bestFit="1" customWidth="1"/>
    <col min="4" max="4" width="19.81640625" style="29" customWidth="1"/>
    <col min="5" max="5" width="14.6328125" style="29" customWidth="1"/>
    <col min="6" max="6" width="73.81640625" style="69" customWidth="1"/>
    <col min="7" max="16384" width="8.7265625" style="7"/>
  </cols>
  <sheetData>
    <row r="1" spans="1:6" ht="23.5" x14ac:dyDescent="0.55000000000000004">
      <c r="A1" s="26" t="s">
        <v>0</v>
      </c>
    </row>
    <row r="2" spans="1:6" ht="13.5" thickBot="1" x14ac:dyDescent="0.35"/>
    <row r="3" spans="1:6" ht="16" x14ac:dyDescent="0.4">
      <c r="A3" s="113" t="s">
        <v>163</v>
      </c>
    </row>
    <row r="4" spans="1:6" ht="26" x14ac:dyDescent="0.3">
      <c r="A4" s="114" t="s">
        <v>164</v>
      </c>
    </row>
    <row r="5" spans="1:6" x14ac:dyDescent="0.3">
      <c r="A5" s="115" t="s">
        <v>161</v>
      </c>
    </row>
    <row r="6" spans="1:6" ht="13.5" thickBot="1" x14ac:dyDescent="0.35">
      <c r="A6" s="116" t="s">
        <v>162</v>
      </c>
    </row>
    <row r="9" spans="1:6" x14ac:dyDescent="0.3">
      <c r="A9" s="8" t="s">
        <v>6</v>
      </c>
      <c r="B9" s="8" t="s">
        <v>12</v>
      </c>
      <c r="C9" s="8" t="s">
        <v>13</v>
      </c>
      <c r="D9" s="9" t="s">
        <v>7</v>
      </c>
      <c r="E9" s="9" t="s">
        <v>8</v>
      </c>
      <c r="F9" s="70" t="s">
        <v>9</v>
      </c>
    </row>
    <row r="10" spans="1:6" x14ac:dyDescent="0.3">
      <c r="A10" s="10" t="s">
        <v>40</v>
      </c>
      <c r="B10" s="11" t="s">
        <v>1</v>
      </c>
      <c r="C10" s="12" t="s">
        <v>14</v>
      </c>
      <c r="D10" s="47" t="s">
        <v>11</v>
      </c>
      <c r="E10" s="50" t="s">
        <v>10</v>
      </c>
      <c r="F10" s="53" t="s">
        <v>156</v>
      </c>
    </row>
    <row r="11" spans="1:6" x14ac:dyDescent="0.3">
      <c r="A11" s="13" t="s">
        <v>41</v>
      </c>
      <c r="B11" s="14" t="s">
        <v>2</v>
      </c>
      <c r="C11" s="15" t="s">
        <v>15</v>
      </c>
      <c r="D11" s="48"/>
      <c r="E11" s="51"/>
      <c r="F11" s="53"/>
    </row>
    <row r="12" spans="1:6" x14ac:dyDescent="0.3">
      <c r="A12" s="13" t="s">
        <v>42</v>
      </c>
      <c r="B12" s="14" t="s">
        <v>3</v>
      </c>
      <c r="C12" s="15" t="s">
        <v>16</v>
      </c>
      <c r="D12" s="48"/>
      <c r="E12" s="51"/>
      <c r="F12" s="53"/>
    </row>
    <row r="13" spans="1:6" x14ac:dyDescent="0.3">
      <c r="A13" s="13" t="s">
        <v>43</v>
      </c>
      <c r="B13" s="14" t="s">
        <v>4</v>
      </c>
      <c r="C13" s="15" t="s">
        <v>17</v>
      </c>
      <c r="D13" s="48"/>
      <c r="E13" s="51"/>
      <c r="F13" s="53"/>
    </row>
    <row r="14" spans="1:6" x14ac:dyDescent="0.3">
      <c r="A14" s="13" t="s">
        <v>44</v>
      </c>
      <c r="B14" s="14" t="s">
        <v>5</v>
      </c>
      <c r="C14" s="15" t="s">
        <v>18</v>
      </c>
      <c r="D14" s="49"/>
      <c r="E14" s="52"/>
      <c r="F14" s="53"/>
    </row>
    <row r="15" spans="1:6" x14ac:dyDescent="0.3">
      <c r="A15" s="16"/>
      <c r="B15" s="17"/>
      <c r="C15" s="17"/>
      <c r="D15" s="30"/>
      <c r="E15" s="30"/>
      <c r="F15" s="71"/>
    </row>
    <row r="16" spans="1:6" x14ac:dyDescent="0.3">
      <c r="A16" s="18" t="s">
        <v>45</v>
      </c>
      <c r="B16" s="68" t="s">
        <v>19</v>
      </c>
      <c r="C16" s="20" t="s">
        <v>78</v>
      </c>
      <c r="D16" s="24" t="s">
        <v>74</v>
      </c>
      <c r="E16" s="50" t="s">
        <v>101</v>
      </c>
      <c r="F16" s="54" t="s">
        <v>153</v>
      </c>
    </row>
    <row r="17" spans="1:6" x14ac:dyDescent="0.3">
      <c r="A17" s="18" t="s">
        <v>46</v>
      </c>
      <c r="B17" s="68" t="s">
        <v>20</v>
      </c>
      <c r="C17" s="20" t="s">
        <v>78</v>
      </c>
      <c r="D17" s="24" t="s">
        <v>74</v>
      </c>
      <c r="E17" s="51"/>
      <c r="F17" s="55"/>
    </row>
    <row r="18" spans="1:6" x14ac:dyDescent="0.3">
      <c r="A18" s="18" t="s">
        <v>47</v>
      </c>
      <c r="B18" s="68" t="s">
        <v>21</v>
      </c>
      <c r="C18" s="20" t="s">
        <v>78</v>
      </c>
      <c r="D18" s="24" t="s">
        <v>74</v>
      </c>
      <c r="E18" s="52"/>
      <c r="F18" s="56"/>
    </row>
    <row r="19" spans="1:6" x14ac:dyDescent="0.3">
      <c r="A19" s="16"/>
      <c r="B19" s="17"/>
      <c r="C19" s="17"/>
      <c r="D19" s="30"/>
      <c r="E19" s="30"/>
      <c r="F19" s="71"/>
    </row>
    <row r="20" spans="1:6" x14ac:dyDescent="0.3">
      <c r="A20" s="18" t="s">
        <v>48</v>
      </c>
      <c r="B20" s="19" t="s">
        <v>22</v>
      </c>
      <c r="C20" s="20" t="s">
        <v>148</v>
      </c>
      <c r="D20" s="24" t="s">
        <v>100</v>
      </c>
      <c r="E20" s="24" t="s">
        <v>100</v>
      </c>
      <c r="F20" s="72" t="s">
        <v>100</v>
      </c>
    </row>
    <row r="21" spans="1:6" x14ac:dyDescent="0.3">
      <c r="A21" s="18" t="s">
        <v>49</v>
      </c>
      <c r="B21" s="19" t="s">
        <v>23</v>
      </c>
      <c r="C21" s="20" t="s">
        <v>148</v>
      </c>
      <c r="D21" s="24" t="s">
        <v>100</v>
      </c>
      <c r="E21" s="24" t="s">
        <v>100</v>
      </c>
      <c r="F21" s="72" t="s">
        <v>100</v>
      </c>
    </row>
    <row r="22" spans="1:6" x14ac:dyDescent="0.3">
      <c r="A22" s="18" t="s">
        <v>50</v>
      </c>
      <c r="B22" s="19" t="s">
        <v>24</v>
      </c>
      <c r="C22" s="20" t="s">
        <v>148</v>
      </c>
      <c r="D22" s="24" t="s">
        <v>100</v>
      </c>
      <c r="E22" s="24" t="s">
        <v>100</v>
      </c>
      <c r="F22" s="72" t="s">
        <v>100</v>
      </c>
    </row>
    <row r="23" spans="1:6" x14ac:dyDescent="0.3">
      <c r="A23" s="21"/>
      <c r="B23" s="22"/>
      <c r="C23" s="17"/>
      <c r="D23" s="30"/>
      <c r="E23" s="30"/>
      <c r="F23" s="71"/>
    </row>
    <row r="24" spans="1:6" x14ac:dyDescent="0.3">
      <c r="A24" s="23" t="s">
        <v>51</v>
      </c>
      <c r="B24" s="68" t="s">
        <v>25</v>
      </c>
      <c r="C24" s="20" t="s">
        <v>78</v>
      </c>
      <c r="D24" s="24" t="s">
        <v>36</v>
      </c>
      <c r="E24" s="57" t="s">
        <v>38</v>
      </c>
      <c r="F24" s="54" t="s">
        <v>154</v>
      </c>
    </row>
    <row r="25" spans="1:6" x14ac:dyDescent="0.3">
      <c r="A25" s="23" t="s">
        <v>52</v>
      </c>
      <c r="B25" s="68" t="s">
        <v>26</v>
      </c>
      <c r="C25" s="20" t="s">
        <v>78</v>
      </c>
      <c r="D25" s="24" t="s">
        <v>37</v>
      </c>
      <c r="E25" s="58"/>
      <c r="F25" s="55"/>
    </row>
    <row r="26" spans="1:6" x14ac:dyDescent="0.3">
      <c r="A26" s="23" t="s">
        <v>53</v>
      </c>
      <c r="B26" s="68" t="s">
        <v>27</v>
      </c>
      <c r="C26" s="20" t="s">
        <v>78</v>
      </c>
      <c r="D26" s="24" t="s">
        <v>36</v>
      </c>
      <c r="E26" s="59"/>
      <c r="F26" s="56"/>
    </row>
    <row r="27" spans="1:6" ht="13.5" thickBot="1" x14ac:dyDescent="0.35">
      <c r="A27" s="25"/>
      <c r="B27" s="25"/>
      <c r="C27" s="25"/>
      <c r="D27" s="31"/>
      <c r="E27" s="31"/>
      <c r="F27" s="73"/>
    </row>
    <row r="28" spans="1:6" ht="32.5" customHeight="1" thickBot="1" x14ac:dyDescent="0.35">
      <c r="A28" s="64" t="s">
        <v>152</v>
      </c>
      <c r="B28" s="42" t="s">
        <v>71</v>
      </c>
      <c r="C28" s="65" t="s">
        <v>155</v>
      </c>
      <c r="D28" s="66"/>
      <c r="E28" s="66"/>
      <c r="F28" s="67"/>
    </row>
    <row r="29" spans="1:6" ht="39" x14ac:dyDescent="0.3">
      <c r="A29" s="103" t="s">
        <v>28</v>
      </c>
      <c r="B29" s="104" t="s">
        <v>71</v>
      </c>
      <c r="C29" s="105" t="s">
        <v>147</v>
      </c>
      <c r="D29" s="106">
        <v>0</v>
      </c>
      <c r="E29" s="107" t="s">
        <v>147</v>
      </c>
      <c r="F29" s="105" t="s">
        <v>160</v>
      </c>
    </row>
    <row r="30" spans="1:6" x14ac:dyDescent="0.3">
      <c r="A30" s="25"/>
      <c r="B30" s="25"/>
      <c r="C30" s="25"/>
      <c r="D30" s="31"/>
      <c r="E30" s="31"/>
      <c r="F30" s="73"/>
    </row>
    <row r="31" spans="1:6" x14ac:dyDescent="0.3">
      <c r="A31" s="23" t="s">
        <v>54</v>
      </c>
      <c r="B31" s="19" t="s">
        <v>29</v>
      </c>
      <c r="C31" s="20" t="s">
        <v>39</v>
      </c>
      <c r="D31" s="24" t="s">
        <v>77</v>
      </c>
      <c r="E31" s="24" t="s">
        <v>79</v>
      </c>
      <c r="F31" s="74" t="s">
        <v>80</v>
      </c>
    </row>
    <row r="32" spans="1:6" x14ac:dyDescent="0.3">
      <c r="A32" s="18" t="s">
        <v>30</v>
      </c>
      <c r="B32" s="19" t="s">
        <v>31</v>
      </c>
      <c r="C32" s="20" t="s">
        <v>39</v>
      </c>
      <c r="D32" s="24" t="s">
        <v>82</v>
      </c>
      <c r="E32" s="24" t="s">
        <v>79</v>
      </c>
      <c r="F32" s="74" t="s">
        <v>83</v>
      </c>
    </row>
    <row r="33" spans="1:6" x14ac:dyDescent="0.3">
      <c r="A33" s="25"/>
      <c r="B33" s="25"/>
      <c r="C33" s="25"/>
      <c r="D33" s="31"/>
      <c r="E33" s="31"/>
      <c r="F33" s="73"/>
    </row>
    <row r="34" spans="1:6" x14ac:dyDescent="0.3">
      <c r="A34" s="18" t="s">
        <v>32</v>
      </c>
      <c r="B34" s="20" t="s">
        <v>71</v>
      </c>
      <c r="C34" s="20" t="s">
        <v>70</v>
      </c>
      <c r="D34" s="24" t="s">
        <v>74</v>
      </c>
      <c r="E34" s="24" t="s">
        <v>75</v>
      </c>
      <c r="F34" s="74" t="s">
        <v>73</v>
      </c>
    </row>
    <row r="35" spans="1:6" x14ac:dyDescent="0.3">
      <c r="A35" s="18" t="s">
        <v>33</v>
      </c>
      <c r="B35" s="20" t="s">
        <v>71</v>
      </c>
      <c r="C35" s="7" t="s">
        <v>72</v>
      </c>
      <c r="D35" s="24" t="s">
        <v>74</v>
      </c>
      <c r="E35" s="24" t="s">
        <v>75</v>
      </c>
      <c r="F35" s="74" t="s">
        <v>73</v>
      </c>
    </row>
    <row r="36" spans="1:6" x14ac:dyDescent="0.3">
      <c r="A36" s="108" t="s">
        <v>151</v>
      </c>
      <c r="B36" s="109" t="s">
        <v>71</v>
      </c>
      <c r="C36" s="105" t="s">
        <v>147</v>
      </c>
      <c r="D36" s="106">
        <v>0</v>
      </c>
      <c r="E36" s="107" t="s">
        <v>147</v>
      </c>
      <c r="F36" s="105" t="s">
        <v>147</v>
      </c>
    </row>
    <row r="37" spans="1:6" x14ac:dyDescent="0.3">
      <c r="A37" s="108" t="s">
        <v>150</v>
      </c>
      <c r="B37" s="109" t="s">
        <v>71</v>
      </c>
      <c r="C37" s="110" t="s">
        <v>147</v>
      </c>
      <c r="D37" s="111">
        <v>0</v>
      </c>
      <c r="E37" s="112" t="s">
        <v>147</v>
      </c>
      <c r="F37" s="110" t="s">
        <v>147</v>
      </c>
    </row>
    <row r="38" spans="1:6" x14ac:dyDescent="0.3">
      <c r="A38" s="18" t="s">
        <v>34</v>
      </c>
      <c r="B38" s="20" t="s">
        <v>71</v>
      </c>
      <c r="C38" s="18" t="s">
        <v>81</v>
      </c>
      <c r="D38" s="24" t="s">
        <v>77</v>
      </c>
      <c r="E38" s="24" t="s">
        <v>79</v>
      </c>
      <c r="F38" s="74" t="s">
        <v>80</v>
      </c>
    </row>
    <row r="39" spans="1:6" x14ac:dyDescent="0.3">
      <c r="A39" s="18" t="s">
        <v>35</v>
      </c>
      <c r="B39" s="32" t="s">
        <v>71</v>
      </c>
      <c r="C39" s="18" t="s">
        <v>149</v>
      </c>
      <c r="D39" s="24" t="s">
        <v>100</v>
      </c>
      <c r="E39" s="24" t="s">
        <v>100</v>
      </c>
      <c r="F39" s="74" t="s">
        <v>100</v>
      </c>
    </row>
  </sheetData>
  <mergeCells count="8">
    <mergeCell ref="C28:F28"/>
    <mergeCell ref="D10:D14"/>
    <mergeCell ref="E10:E14"/>
    <mergeCell ref="F10:F14"/>
    <mergeCell ref="F24:F26"/>
    <mergeCell ref="E24:E26"/>
    <mergeCell ref="E16:E18"/>
    <mergeCell ref="F16:F1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D756-4D1F-4E47-888E-608D613FC6EE}">
  <dimension ref="A1:N114"/>
  <sheetViews>
    <sheetView zoomScale="70" zoomScaleNormal="70" workbookViewId="0">
      <selection activeCell="M17" sqref="M17"/>
    </sheetView>
  </sheetViews>
  <sheetFormatPr defaultRowHeight="14.5" x14ac:dyDescent="0.35"/>
  <cols>
    <col min="1" max="1" width="26.36328125" customWidth="1"/>
    <col min="2" max="2" width="33.36328125" customWidth="1"/>
    <col min="3" max="3" width="27.54296875" bestFit="1" customWidth="1"/>
    <col min="4" max="5" width="31.26953125" bestFit="1" customWidth="1"/>
    <col min="6" max="6" width="25.90625" bestFit="1" customWidth="1"/>
    <col min="7" max="7" width="29.90625" bestFit="1" customWidth="1"/>
    <col min="8" max="8" width="27.7265625" bestFit="1" customWidth="1"/>
    <col min="9" max="9" width="20.54296875" bestFit="1" customWidth="1"/>
    <col min="10" max="10" width="20.6328125" bestFit="1" customWidth="1"/>
    <col min="11" max="11" width="38.453125" customWidth="1"/>
    <col min="12" max="13" width="10.90625" bestFit="1" customWidth="1"/>
  </cols>
  <sheetData>
    <row r="1" spans="1:14" ht="23.5" x14ac:dyDescent="0.55000000000000004">
      <c r="A1" s="26" t="s">
        <v>69</v>
      </c>
    </row>
    <row r="3" spans="1:14" x14ac:dyDescent="0.35">
      <c r="A3" s="4" t="s">
        <v>62</v>
      </c>
      <c r="B3" s="6" t="s">
        <v>76</v>
      </c>
      <c r="C3" s="6" t="s">
        <v>63</v>
      </c>
      <c r="D3" s="6" t="s">
        <v>64</v>
      </c>
      <c r="E3" s="6" t="s">
        <v>65</v>
      </c>
      <c r="F3" s="6" t="s">
        <v>145</v>
      </c>
      <c r="G3" s="6" t="s">
        <v>66</v>
      </c>
      <c r="H3" s="6" t="s">
        <v>67</v>
      </c>
      <c r="I3" s="6" t="s">
        <v>68</v>
      </c>
    </row>
    <row r="4" spans="1:14" x14ac:dyDescent="0.35">
      <c r="A4" s="75" t="s">
        <v>55</v>
      </c>
      <c r="B4" s="76"/>
      <c r="C4" s="76"/>
      <c r="D4" s="76"/>
      <c r="E4" s="76"/>
      <c r="F4" s="76"/>
      <c r="G4" s="76"/>
      <c r="H4" s="76"/>
      <c r="I4" s="76"/>
      <c r="J4" s="79" t="s">
        <v>157</v>
      </c>
    </row>
    <row r="5" spans="1:14" ht="15" thickBot="1" x14ac:dyDescent="0.4">
      <c r="A5" s="77" t="s">
        <v>56</v>
      </c>
      <c r="B5" s="78"/>
      <c r="C5" s="78"/>
      <c r="D5" s="78"/>
      <c r="E5" s="78"/>
      <c r="F5" s="78"/>
      <c r="G5" s="78"/>
      <c r="H5" s="78"/>
      <c r="I5" s="78"/>
      <c r="J5" s="79" t="s">
        <v>157</v>
      </c>
    </row>
    <row r="6" spans="1:14" ht="14.5" customHeight="1" x14ac:dyDescent="0.35">
      <c r="A6" s="92" t="s">
        <v>102</v>
      </c>
      <c r="B6" s="43" t="s">
        <v>124</v>
      </c>
      <c r="C6" s="43" t="s">
        <v>92</v>
      </c>
      <c r="D6" s="43" t="s">
        <v>133</v>
      </c>
      <c r="E6" s="43" t="s">
        <v>128</v>
      </c>
      <c r="F6" s="43" t="s">
        <v>100</v>
      </c>
      <c r="G6" s="43" t="s">
        <v>135</v>
      </c>
      <c r="H6" s="43" t="s">
        <v>146</v>
      </c>
      <c r="I6" s="93">
        <v>0.15</v>
      </c>
      <c r="J6" s="94" t="s">
        <v>158</v>
      </c>
      <c r="K6" s="95"/>
      <c r="L6" s="95"/>
      <c r="M6" s="95"/>
      <c r="N6" s="95"/>
    </row>
    <row r="7" spans="1:14" ht="15" thickBot="1" x14ac:dyDescent="0.4">
      <c r="A7" s="96" t="s">
        <v>103</v>
      </c>
      <c r="B7" s="97" t="s">
        <v>123</v>
      </c>
      <c r="C7" s="97" t="s">
        <v>92</v>
      </c>
      <c r="D7" s="97" t="s">
        <v>131</v>
      </c>
      <c r="E7" s="97" t="s">
        <v>127</v>
      </c>
      <c r="F7" s="97" t="s">
        <v>100</v>
      </c>
      <c r="G7" s="97" t="s">
        <v>136</v>
      </c>
      <c r="H7" s="97" t="s">
        <v>146</v>
      </c>
      <c r="I7" s="98">
        <v>0.15</v>
      </c>
      <c r="J7" s="94"/>
      <c r="K7" s="95"/>
      <c r="L7" s="95"/>
      <c r="M7" s="95"/>
      <c r="N7" s="95"/>
    </row>
    <row r="8" spans="1:14" x14ac:dyDescent="0.35">
      <c r="A8" s="92" t="s">
        <v>104</v>
      </c>
      <c r="B8" s="43" t="s">
        <v>125</v>
      </c>
      <c r="C8" s="43" t="s">
        <v>92</v>
      </c>
      <c r="D8" s="43" t="s">
        <v>132</v>
      </c>
      <c r="E8" s="43" t="s">
        <v>129</v>
      </c>
      <c r="F8" s="43" t="s">
        <v>100</v>
      </c>
      <c r="G8" s="43" t="s">
        <v>137</v>
      </c>
      <c r="H8" s="43" t="s">
        <v>146</v>
      </c>
      <c r="I8" s="93">
        <v>0.15</v>
      </c>
      <c r="J8" s="94"/>
      <c r="K8" s="95"/>
      <c r="L8" s="95"/>
      <c r="M8" s="95"/>
      <c r="N8" s="95"/>
    </row>
    <row r="9" spans="1:14" ht="15" thickBot="1" x14ac:dyDescent="0.4">
      <c r="A9" s="96" t="s">
        <v>105</v>
      </c>
      <c r="B9" s="97" t="s">
        <v>126</v>
      </c>
      <c r="C9" s="97" t="s">
        <v>92</v>
      </c>
      <c r="D9" s="97" t="s">
        <v>134</v>
      </c>
      <c r="E9" s="97" t="s">
        <v>130</v>
      </c>
      <c r="F9" s="97" t="s">
        <v>100</v>
      </c>
      <c r="G9" s="97" t="s">
        <v>138</v>
      </c>
      <c r="H9" s="97" t="s">
        <v>146</v>
      </c>
      <c r="I9" s="98">
        <v>0.15</v>
      </c>
      <c r="J9" s="94"/>
      <c r="K9" s="95"/>
      <c r="L9" s="95"/>
      <c r="M9" s="95"/>
      <c r="N9" s="95"/>
    </row>
    <row r="10" spans="1:14" ht="15" thickBot="1" x14ac:dyDescent="0.4">
      <c r="A10" s="99" t="s">
        <v>106</v>
      </c>
      <c r="B10" s="100" t="s">
        <v>100</v>
      </c>
      <c r="C10" s="100" t="s">
        <v>92</v>
      </c>
      <c r="D10" s="100" t="s">
        <v>100</v>
      </c>
      <c r="E10" s="100" t="s">
        <v>100</v>
      </c>
      <c r="F10" s="100" t="s">
        <v>139</v>
      </c>
      <c r="G10" s="100" t="s">
        <v>100</v>
      </c>
      <c r="H10" s="100" t="s">
        <v>100</v>
      </c>
      <c r="I10" s="100" t="s">
        <v>100</v>
      </c>
      <c r="J10" s="94"/>
      <c r="K10" s="95"/>
      <c r="L10" s="95"/>
      <c r="M10" s="95"/>
      <c r="N10" s="95"/>
    </row>
    <row r="11" spans="1:14" x14ac:dyDescent="0.35">
      <c r="A11" s="80" t="s">
        <v>57</v>
      </c>
      <c r="B11" s="81"/>
      <c r="C11" s="81"/>
      <c r="D11" s="81"/>
      <c r="E11" s="81"/>
      <c r="F11" s="81"/>
      <c r="G11" s="81"/>
      <c r="H11" s="81"/>
      <c r="I11" s="81"/>
      <c r="J11" s="79" t="s">
        <v>157</v>
      </c>
    </row>
    <row r="12" spans="1:14" x14ac:dyDescent="0.35">
      <c r="A12" s="75" t="s">
        <v>58</v>
      </c>
      <c r="B12" s="76"/>
      <c r="C12" s="76"/>
      <c r="D12" s="76"/>
      <c r="E12" s="76"/>
      <c r="F12" s="76"/>
      <c r="G12" s="76"/>
      <c r="H12" s="76"/>
      <c r="I12" s="76"/>
      <c r="J12" s="79" t="s">
        <v>157</v>
      </c>
    </row>
    <row r="13" spans="1:14" x14ac:dyDescent="0.35">
      <c r="A13" s="75" t="s">
        <v>59</v>
      </c>
      <c r="B13" s="76"/>
      <c r="C13" s="76"/>
      <c r="D13" s="76"/>
      <c r="E13" s="76"/>
      <c r="F13" s="76"/>
      <c r="G13" s="76"/>
      <c r="H13" s="76"/>
      <c r="I13" s="76"/>
      <c r="J13" s="79" t="s">
        <v>157</v>
      </c>
    </row>
    <row r="14" spans="1:14" ht="15" thickBot="1" x14ac:dyDescent="0.4">
      <c r="A14" s="77" t="s">
        <v>60</v>
      </c>
      <c r="B14" s="78"/>
      <c r="C14" s="78"/>
      <c r="D14" s="78"/>
      <c r="E14" s="78"/>
      <c r="F14" s="78"/>
      <c r="G14" s="78"/>
      <c r="H14" s="78"/>
      <c r="I14" s="78"/>
      <c r="J14" s="79" t="s">
        <v>157</v>
      </c>
    </row>
    <row r="15" spans="1:14" x14ac:dyDescent="0.35">
      <c r="A15" s="80" t="s">
        <v>61</v>
      </c>
      <c r="B15" s="81"/>
      <c r="C15" s="81"/>
      <c r="D15" s="81"/>
      <c r="E15" s="81"/>
      <c r="F15" s="81"/>
      <c r="G15" s="81"/>
      <c r="H15" s="81"/>
      <c r="I15" s="81"/>
      <c r="J15" s="79" t="s">
        <v>157</v>
      </c>
    </row>
    <row r="18" spans="1:11" s="101" customFormat="1" ht="29" thickBot="1" x14ac:dyDescent="0.7">
      <c r="A18" s="102" t="s">
        <v>159</v>
      </c>
    </row>
    <row r="21" spans="1:11" x14ac:dyDescent="0.35">
      <c r="A21" s="63" t="s">
        <v>93</v>
      </c>
      <c r="B21" s="63"/>
      <c r="C21" s="63"/>
      <c r="D21" s="63"/>
      <c r="E21" s="63"/>
      <c r="F21" s="63"/>
      <c r="G21" s="63"/>
      <c r="H21" s="63"/>
      <c r="J21" s="2" t="s">
        <v>94</v>
      </c>
      <c r="K21" s="37">
        <v>5.5E-2</v>
      </c>
    </row>
    <row r="22" spans="1:11" x14ac:dyDescent="0.35">
      <c r="A22" s="6" t="s">
        <v>84</v>
      </c>
      <c r="B22" s="6" t="s">
        <v>88</v>
      </c>
      <c r="C22" s="6" t="s">
        <v>85</v>
      </c>
      <c r="D22" s="41" t="s">
        <v>97</v>
      </c>
      <c r="E22" s="6" t="s">
        <v>86</v>
      </c>
      <c r="F22" s="6" t="s">
        <v>87</v>
      </c>
      <c r="G22" s="38" t="s">
        <v>90</v>
      </c>
      <c r="H22" s="38" t="s">
        <v>91</v>
      </c>
      <c r="J22" s="2" t="s">
        <v>95</v>
      </c>
      <c r="K22" s="35">
        <v>0.01</v>
      </c>
    </row>
    <row r="23" spans="1:11" x14ac:dyDescent="0.35">
      <c r="A23" s="5">
        <v>85</v>
      </c>
      <c r="B23" s="34">
        <v>196739</v>
      </c>
      <c r="C23" s="34">
        <f>0.85*B23</f>
        <v>167228.15</v>
      </c>
      <c r="D23" s="34">
        <v>58.9</v>
      </c>
      <c r="E23" s="5">
        <v>3.7</v>
      </c>
      <c r="F23" s="5">
        <v>1.1000000000000001</v>
      </c>
      <c r="G23" s="39">
        <f t="shared" ref="G23:G40" si="0">0.05546*B23</f>
        <v>10911.14494</v>
      </c>
      <c r="H23" s="39">
        <f t="shared" ref="H23:H40" si="1">0.36*B23</f>
        <v>70826.039999999994</v>
      </c>
      <c r="J23" s="2" t="s">
        <v>96</v>
      </c>
      <c r="K23" s="2">
        <v>300</v>
      </c>
    </row>
    <row r="24" spans="1:11" x14ac:dyDescent="0.35">
      <c r="A24" s="5">
        <v>95</v>
      </c>
      <c r="B24" s="34">
        <v>205451</v>
      </c>
      <c r="C24" s="34">
        <f t="shared" ref="C24:C40" si="2">0.85*B24</f>
        <v>174633.35</v>
      </c>
      <c r="D24" s="34">
        <v>61.5</v>
      </c>
      <c r="E24" s="5">
        <v>4.2</v>
      </c>
      <c r="F24" s="5">
        <v>1.1000000000000001</v>
      </c>
      <c r="G24" s="39">
        <f t="shared" si="0"/>
        <v>11394.312460000001</v>
      </c>
      <c r="H24" s="39">
        <f t="shared" si="1"/>
        <v>73962.36</v>
      </c>
      <c r="J24" s="2" t="s">
        <v>98</v>
      </c>
      <c r="K24" s="35">
        <v>0.36</v>
      </c>
    </row>
    <row r="25" spans="1:11" x14ac:dyDescent="0.35">
      <c r="A25" s="5">
        <v>110</v>
      </c>
      <c r="B25" s="34">
        <v>250231</v>
      </c>
      <c r="C25" s="34">
        <f t="shared" si="2"/>
        <v>212696.35</v>
      </c>
      <c r="D25" s="34">
        <v>75</v>
      </c>
      <c r="E25" s="5">
        <v>4.8</v>
      </c>
      <c r="F25" s="5">
        <v>1.1000000000000001</v>
      </c>
      <c r="G25" s="39">
        <f t="shared" si="0"/>
        <v>13877.81126</v>
      </c>
      <c r="H25" s="39">
        <f t="shared" si="1"/>
        <v>90083.16</v>
      </c>
      <c r="J25" s="2" t="s">
        <v>99</v>
      </c>
      <c r="K25" s="40" t="s">
        <v>89</v>
      </c>
    </row>
    <row r="26" spans="1:11" x14ac:dyDescent="0.35">
      <c r="A26" s="5">
        <v>120</v>
      </c>
      <c r="B26" s="34">
        <v>257854</v>
      </c>
      <c r="C26" s="34">
        <f t="shared" si="2"/>
        <v>219175.9</v>
      </c>
      <c r="D26" s="34">
        <v>77.2</v>
      </c>
      <c r="E26" s="5">
        <v>5.2</v>
      </c>
      <c r="F26" s="5">
        <v>1.1000000000000001</v>
      </c>
      <c r="G26" s="39">
        <f t="shared" si="0"/>
        <v>14300.582840000001</v>
      </c>
      <c r="H26" s="39">
        <f t="shared" si="1"/>
        <v>92827.44</v>
      </c>
    </row>
    <row r="27" spans="1:11" x14ac:dyDescent="0.35">
      <c r="A27" s="5">
        <v>140</v>
      </c>
      <c r="B27" s="34">
        <v>282644</v>
      </c>
      <c r="C27" s="34">
        <f t="shared" si="2"/>
        <v>240247.4</v>
      </c>
      <c r="D27" s="34">
        <v>84.7</v>
      </c>
      <c r="E27" s="5">
        <v>6.1</v>
      </c>
      <c r="F27" s="5">
        <v>1.1000000000000001</v>
      </c>
      <c r="G27" s="39">
        <f t="shared" si="0"/>
        <v>15675.436240000001</v>
      </c>
      <c r="H27" s="39">
        <f t="shared" si="1"/>
        <v>101751.84</v>
      </c>
    </row>
    <row r="28" spans="1:11" x14ac:dyDescent="0.35">
      <c r="A28" s="5">
        <v>155</v>
      </c>
      <c r="B28" s="34">
        <v>297566</v>
      </c>
      <c r="C28" s="34">
        <f t="shared" si="2"/>
        <v>252931.1</v>
      </c>
      <c r="D28" s="34">
        <v>89.1</v>
      </c>
      <c r="E28" s="5">
        <v>6.8</v>
      </c>
      <c r="F28" s="5">
        <v>1.1000000000000001</v>
      </c>
      <c r="G28" s="39">
        <f t="shared" si="0"/>
        <v>16503.01036</v>
      </c>
      <c r="H28" s="39">
        <f t="shared" si="1"/>
        <v>107123.76</v>
      </c>
    </row>
    <row r="29" spans="1:11" x14ac:dyDescent="0.35">
      <c r="A29" s="5">
        <v>175</v>
      </c>
      <c r="B29" s="34">
        <v>312432</v>
      </c>
      <c r="C29" s="34">
        <f t="shared" si="2"/>
        <v>265567.2</v>
      </c>
      <c r="D29" s="34">
        <v>93.6</v>
      </c>
      <c r="E29" s="5">
        <v>7.7</v>
      </c>
      <c r="F29" s="5">
        <v>1.1000000000000001</v>
      </c>
      <c r="G29" s="39">
        <f t="shared" si="0"/>
        <v>17327.478719999999</v>
      </c>
      <c r="H29" s="39">
        <f t="shared" si="1"/>
        <v>112475.51999999999</v>
      </c>
    </row>
    <row r="30" spans="1:11" x14ac:dyDescent="0.35">
      <c r="A30" s="5">
        <v>205</v>
      </c>
      <c r="B30" s="34">
        <v>386456</v>
      </c>
      <c r="C30" s="34">
        <f t="shared" si="2"/>
        <v>328487.59999999998</v>
      </c>
      <c r="D30" s="34">
        <v>115.8</v>
      </c>
      <c r="E30" s="5">
        <v>9</v>
      </c>
      <c r="F30" s="5">
        <v>1.1000000000000001</v>
      </c>
      <c r="G30" s="39">
        <f t="shared" si="0"/>
        <v>21432.849760000001</v>
      </c>
      <c r="H30" s="39">
        <f t="shared" si="1"/>
        <v>139124.16</v>
      </c>
    </row>
    <row r="31" spans="1:11" x14ac:dyDescent="0.35">
      <c r="A31" s="5">
        <v>225</v>
      </c>
      <c r="B31" s="34">
        <v>401654</v>
      </c>
      <c r="C31" s="34">
        <f t="shared" si="2"/>
        <v>341405.89999999997</v>
      </c>
      <c r="D31" s="34">
        <v>120.3</v>
      </c>
      <c r="E31" s="5">
        <v>9.8000000000000007</v>
      </c>
      <c r="F31" s="5">
        <v>1.1000000000000001</v>
      </c>
      <c r="G31" s="39">
        <f t="shared" si="0"/>
        <v>22275.73084</v>
      </c>
      <c r="H31" s="39">
        <f t="shared" si="1"/>
        <v>144595.44</v>
      </c>
    </row>
    <row r="32" spans="1:11" x14ac:dyDescent="0.35">
      <c r="A32" s="5">
        <v>240</v>
      </c>
      <c r="B32" s="34">
        <v>416853</v>
      </c>
      <c r="C32" s="34">
        <f t="shared" si="2"/>
        <v>354325.05</v>
      </c>
      <c r="D32" s="34">
        <v>124.9</v>
      </c>
      <c r="E32" s="5">
        <v>10.5</v>
      </c>
      <c r="F32" s="5">
        <v>1.1000000000000001</v>
      </c>
      <c r="G32" s="39">
        <f t="shared" si="0"/>
        <v>23118.667380000003</v>
      </c>
      <c r="H32" s="39">
        <f t="shared" si="1"/>
        <v>150067.07999999999</v>
      </c>
    </row>
    <row r="33" spans="1:8" x14ac:dyDescent="0.35">
      <c r="A33" s="5">
        <v>260</v>
      </c>
      <c r="B33" s="34">
        <v>528259</v>
      </c>
      <c r="C33" s="34">
        <f t="shared" si="2"/>
        <v>449020.14999999997</v>
      </c>
      <c r="D33" s="34">
        <v>158.30000000000001</v>
      </c>
      <c r="E33" s="5">
        <v>11.4</v>
      </c>
      <c r="F33" s="5">
        <v>1.1000000000000001</v>
      </c>
      <c r="G33" s="39">
        <f t="shared" si="0"/>
        <v>29297.244140000003</v>
      </c>
      <c r="H33" s="39">
        <f t="shared" si="1"/>
        <v>190173.24</v>
      </c>
    </row>
    <row r="34" spans="1:8" x14ac:dyDescent="0.35">
      <c r="A34" s="5">
        <v>285</v>
      </c>
      <c r="B34" s="34">
        <v>548201</v>
      </c>
      <c r="C34" s="34">
        <f t="shared" si="2"/>
        <v>465970.85</v>
      </c>
      <c r="D34" s="34">
        <v>164.2</v>
      </c>
      <c r="E34" s="5">
        <v>12.5</v>
      </c>
      <c r="F34" s="5">
        <v>1.1000000000000001</v>
      </c>
      <c r="G34" s="39">
        <f t="shared" si="0"/>
        <v>30403.227460000002</v>
      </c>
      <c r="H34" s="39">
        <f t="shared" si="1"/>
        <v>197352.36</v>
      </c>
    </row>
    <row r="35" spans="1:8" x14ac:dyDescent="0.35">
      <c r="A35" s="5">
        <v>310</v>
      </c>
      <c r="B35" s="34">
        <v>579945</v>
      </c>
      <c r="C35" s="34">
        <f t="shared" si="2"/>
        <v>492953.25</v>
      </c>
      <c r="D35" s="34">
        <v>173.7</v>
      </c>
      <c r="E35" s="5">
        <v>13.6</v>
      </c>
      <c r="F35" s="5">
        <v>1.1000000000000001</v>
      </c>
      <c r="G35" s="39">
        <f t="shared" si="0"/>
        <v>32163.7497</v>
      </c>
      <c r="H35" s="39">
        <f t="shared" si="1"/>
        <v>208780.19999999998</v>
      </c>
    </row>
    <row r="36" spans="1:8" x14ac:dyDescent="0.35">
      <c r="A36" s="5">
        <v>390</v>
      </c>
      <c r="B36" s="34">
        <v>520995</v>
      </c>
      <c r="C36" s="34">
        <f t="shared" si="2"/>
        <v>442845.75</v>
      </c>
      <c r="D36" s="34">
        <v>156.1</v>
      </c>
      <c r="E36" s="5">
        <v>17.100000000000001</v>
      </c>
      <c r="F36" s="5">
        <v>1.1000000000000001</v>
      </c>
      <c r="G36" s="39">
        <f t="shared" si="0"/>
        <v>28894.382700000002</v>
      </c>
      <c r="H36" s="39">
        <f t="shared" si="1"/>
        <v>187558.19999999998</v>
      </c>
    </row>
    <row r="37" spans="1:8" x14ac:dyDescent="0.35">
      <c r="A37" s="5">
        <v>440</v>
      </c>
      <c r="B37" s="34">
        <v>559017</v>
      </c>
      <c r="C37" s="34">
        <f t="shared" si="2"/>
        <v>475164.45</v>
      </c>
      <c r="D37" s="34">
        <v>167.5</v>
      </c>
      <c r="E37" s="5">
        <v>19.3</v>
      </c>
      <c r="F37" s="5">
        <v>1.1000000000000001</v>
      </c>
      <c r="G37" s="39">
        <f t="shared" si="0"/>
        <v>31003.08282</v>
      </c>
      <c r="H37" s="39">
        <f t="shared" si="1"/>
        <v>201246.12</v>
      </c>
    </row>
    <row r="38" spans="1:8" x14ac:dyDescent="0.35">
      <c r="A38" s="5">
        <v>490</v>
      </c>
      <c r="B38" s="34">
        <v>602796</v>
      </c>
      <c r="C38" s="34">
        <f t="shared" si="2"/>
        <v>512376.6</v>
      </c>
      <c r="D38" s="34">
        <v>180.6</v>
      </c>
      <c r="E38" s="5">
        <v>21.5</v>
      </c>
      <c r="F38" s="5">
        <v>1.1000000000000001</v>
      </c>
      <c r="G38" s="39">
        <f t="shared" si="0"/>
        <v>33431.066160000002</v>
      </c>
      <c r="H38" s="39">
        <f t="shared" si="1"/>
        <v>217006.56</v>
      </c>
    </row>
    <row r="39" spans="1:8" x14ac:dyDescent="0.35">
      <c r="A39" s="5">
        <v>590</v>
      </c>
      <c r="B39" s="34">
        <v>675931</v>
      </c>
      <c r="C39" s="34">
        <f t="shared" si="2"/>
        <v>574541.35</v>
      </c>
      <c r="D39" s="34">
        <v>202.5</v>
      </c>
      <c r="E39" s="5">
        <v>25.8</v>
      </c>
      <c r="F39" s="5">
        <v>1.1000000000000001</v>
      </c>
      <c r="G39" s="39">
        <f t="shared" si="0"/>
        <v>37487.133260000002</v>
      </c>
      <c r="H39" s="39">
        <f t="shared" si="1"/>
        <v>243335.16</v>
      </c>
    </row>
    <row r="40" spans="1:8" x14ac:dyDescent="0.35">
      <c r="A40" s="5">
        <v>640</v>
      </c>
      <c r="B40" s="34">
        <v>726306</v>
      </c>
      <c r="C40" s="34">
        <f t="shared" si="2"/>
        <v>617360.1</v>
      </c>
      <c r="D40" s="34">
        <v>217.6</v>
      </c>
      <c r="E40" s="5">
        <v>28</v>
      </c>
      <c r="F40" s="5">
        <v>1.1000000000000001</v>
      </c>
      <c r="G40" s="39">
        <f t="shared" si="0"/>
        <v>40280.930760000003</v>
      </c>
      <c r="H40" s="39">
        <f t="shared" si="1"/>
        <v>261470.16</v>
      </c>
    </row>
    <row r="60" spans="1:13" x14ac:dyDescent="0.35">
      <c r="F60" s="62" t="s">
        <v>110</v>
      </c>
      <c r="G60" s="62"/>
      <c r="H60" s="62"/>
      <c r="I60" s="62"/>
      <c r="J60" s="62"/>
      <c r="K60" s="62"/>
      <c r="L60" s="62"/>
      <c r="M60" s="62"/>
    </row>
    <row r="61" spans="1:13" x14ac:dyDescent="0.35">
      <c r="D61" s="61" t="s">
        <v>109</v>
      </c>
      <c r="E61" s="61"/>
      <c r="F61" s="60" t="s">
        <v>111</v>
      </c>
      <c r="G61" s="60"/>
      <c r="H61" s="60" t="s">
        <v>112</v>
      </c>
      <c r="I61" s="60"/>
      <c r="J61" s="60" t="s">
        <v>113</v>
      </c>
      <c r="K61" s="60"/>
      <c r="L61" s="61" t="s">
        <v>116</v>
      </c>
      <c r="M61" s="61"/>
    </row>
    <row r="62" spans="1:13" x14ac:dyDescent="0.35">
      <c r="B62" s="3" t="s">
        <v>107</v>
      </c>
      <c r="C62" s="3" t="s">
        <v>108</v>
      </c>
      <c r="D62" s="3">
        <v>1000</v>
      </c>
      <c r="E62" s="3">
        <v>5000</v>
      </c>
      <c r="F62" s="3">
        <v>1000</v>
      </c>
      <c r="G62" s="3">
        <v>5000</v>
      </c>
      <c r="H62" s="3">
        <v>1000</v>
      </c>
      <c r="I62" s="3">
        <v>5000</v>
      </c>
      <c r="J62" s="3">
        <v>1000</v>
      </c>
      <c r="K62" s="3">
        <v>5000</v>
      </c>
      <c r="L62" s="3">
        <v>1000</v>
      </c>
      <c r="M62" s="3">
        <v>5000</v>
      </c>
    </row>
    <row r="63" spans="1:13" x14ac:dyDescent="0.35">
      <c r="A63" s="2" t="s">
        <v>102</v>
      </c>
      <c r="B63" s="2">
        <v>72</v>
      </c>
      <c r="C63" s="35">
        <v>0.6</v>
      </c>
      <c r="D63" s="33">
        <v>1500000</v>
      </c>
      <c r="E63" s="33">
        <v>5000000</v>
      </c>
      <c r="F63" s="33">
        <f>0.65*290140</f>
        <v>188591</v>
      </c>
      <c r="G63" s="33">
        <f>0.65*1450000</f>
        <v>942500</v>
      </c>
      <c r="H63" s="33">
        <f>0.12*290140</f>
        <v>34816.799999999996</v>
      </c>
      <c r="I63" s="33">
        <f>0.12*1450000</f>
        <v>174000</v>
      </c>
      <c r="J63" s="33">
        <f>0.23*290140</f>
        <v>66732.2</v>
      </c>
      <c r="K63" s="33">
        <f>0.23*1450000</f>
        <v>333500</v>
      </c>
      <c r="L63" s="33"/>
      <c r="M63" s="33"/>
    </row>
    <row r="64" spans="1:13" x14ac:dyDescent="0.35">
      <c r="A64" s="2" t="s">
        <v>103</v>
      </c>
      <c r="B64" s="2">
        <v>72</v>
      </c>
      <c r="C64" s="35">
        <v>0.6</v>
      </c>
      <c r="D64" s="33">
        <v>2250000</v>
      </c>
      <c r="E64" s="33">
        <v>7500000</v>
      </c>
      <c r="F64" s="33">
        <f>0.6*270000</f>
        <v>162000</v>
      </c>
      <c r="G64" s="33">
        <f>0.6*900000</f>
        <v>540000</v>
      </c>
      <c r="H64" s="33">
        <f>0.1*270000</f>
        <v>27000</v>
      </c>
      <c r="I64" s="33">
        <f>0.1*900000</f>
        <v>90000</v>
      </c>
      <c r="J64" s="33">
        <f>0.3*270000</f>
        <v>81000</v>
      </c>
      <c r="K64" s="33">
        <f>0.3*900000</f>
        <v>270000</v>
      </c>
      <c r="L64" s="33"/>
      <c r="M64" s="33"/>
    </row>
    <row r="65" spans="1:13" ht="15" thickBot="1" x14ac:dyDescent="0.4">
      <c r="A65" s="28" t="s">
        <v>114</v>
      </c>
      <c r="B65" s="44"/>
      <c r="C65" s="44"/>
      <c r="D65" s="45"/>
      <c r="E65" s="45"/>
      <c r="F65" s="45"/>
      <c r="G65" s="45"/>
      <c r="H65" s="45"/>
      <c r="I65" s="45"/>
      <c r="J65" s="45"/>
      <c r="K65" s="45"/>
      <c r="L65" s="45">
        <v>137500</v>
      </c>
      <c r="M65" s="45">
        <v>687500</v>
      </c>
    </row>
    <row r="66" spans="1:13" x14ac:dyDescent="0.35">
      <c r="A66" s="27" t="s">
        <v>104</v>
      </c>
      <c r="B66" s="27">
        <v>120</v>
      </c>
      <c r="C66" s="36">
        <v>0.6</v>
      </c>
      <c r="D66" s="46">
        <v>3000000</v>
      </c>
      <c r="E66" s="46">
        <v>10000000</v>
      </c>
      <c r="F66" s="46">
        <f>0.6*483560</f>
        <v>290136</v>
      </c>
      <c r="G66" s="46">
        <f>0.6*2400000</f>
        <v>1440000</v>
      </c>
      <c r="H66" s="46">
        <f>0.1*483560</f>
        <v>48356</v>
      </c>
      <c r="I66" s="46">
        <f>0.1*2400000</f>
        <v>240000</v>
      </c>
      <c r="J66" s="46">
        <f>0.3*483560</f>
        <v>145068</v>
      </c>
      <c r="K66" s="46">
        <f>0.3*2400000</f>
        <v>720000</v>
      </c>
      <c r="L66" s="46"/>
      <c r="M66" s="46"/>
    </row>
    <row r="67" spans="1:13" x14ac:dyDescent="0.35">
      <c r="A67" s="2" t="s">
        <v>105</v>
      </c>
      <c r="B67" s="2">
        <v>120</v>
      </c>
      <c r="C67" s="35">
        <v>0.6</v>
      </c>
      <c r="D67" s="33">
        <v>4500000</v>
      </c>
      <c r="E67" s="33">
        <v>15000000</v>
      </c>
      <c r="F67" s="33">
        <f>0.6*200000</f>
        <v>120000</v>
      </c>
      <c r="G67" s="33">
        <f>0.6*700000</f>
        <v>420000</v>
      </c>
      <c r="H67" s="33">
        <f>0.1*200000</f>
        <v>20000</v>
      </c>
      <c r="I67" s="33">
        <f>0.1*700000</f>
        <v>70000</v>
      </c>
      <c r="J67" s="33">
        <f>0.3*200000</f>
        <v>60000</v>
      </c>
      <c r="K67" s="33">
        <f>0.3*700000</f>
        <v>210000</v>
      </c>
      <c r="L67" s="33"/>
      <c r="M67" s="33"/>
    </row>
    <row r="68" spans="1:13" x14ac:dyDescent="0.35">
      <c r="A68" s="2" t="s">
        <v>115</v>
      </c>
      <c r="B68" s="40"/>
      <c r="C68" s="40"/>
      <c r="D68" s="33"/>
      <c r="E68" s="33"/>
      <c r="F68" s="33"/>
      <c r="G68" s="33"/>
      <c r="H68" s="33"/>
      <c r="I68" s="33"/>
      <c r="J68" s="33"/>
      <c r="K68" s="33"/>
      <c r="L68" s="33">
        <v>137500</v>
      </c>
      <c r="M68" s="33">
        <v>687500</v>
      </c>
    </row>
    <row r="101" spans="1:8" ht="15" thickBot="1" x14ac:dyDescent="0.4"/>
    <row r="102" spans="1:8" x14ac:dyDescent="0.35">
      <c r="A102" s="82" t="s">
        <v>117</v>
      </c>
      <c r="B102" s="83" t="s">
        <v>118</v>
      </c>
      <c r="C102" s="83" t="s">
        <v>119</v>
      </c>
      <c r="D102" s="83" t="s">
        <v>120</v>
      </c>
      <c r="E102" s="83" t="s">
        <v>121</v>
      </c>
      <c r="F102" s="84" t="s">
        <v>122</v>
      </c>
      <c r="G102" s="90" t="s">
        <v>158</v>
      </c>
      <c r="H102" s="91"/>
    </row>
    <row r="103" spans="1:8" x14ac:dyDescent="0.35">
      <c r="A103" s="85" t="s">
        <v>102</v>
      </c>
      <c r="B103" s="2" t="s">
        <v>124</v>
      </c>
      <c r="C103" s="2" t="s">
        <v>128</v>
      </c>
      <c r="D103" s="2" t="s">
        <v>133</v>
      </c>
      <c r="E103" s="2" t="s">
        <v>135</v>
      </c>
      <c r="F103" s="86"/>
      <c r="G103" s="90"/>
      <c r="H103" s="91"/>
    </row>
    <row r="104" spans="1:8" x14ac:dyDescent="0.35">
      <c r="A104" s="85" t="s">
        <v>103</v>
      </c>
      <c r="B104" s="2" t="s">
        <v>123</v>
      </c>
      <c r="C104" s="2" t="s">
        <v>127</v>
      </c>
      <c r="D104" s="2" t="s">
        <v>131</v>
      </c>
      <c r="E104" s="2" t="s">
        <v>136</v>
      </c>
      <c r="F104" s="86"/>
      <c r="G104" s="90"/>
      <c r="H104" s="91"/>
    </row>
    <row r="105" spans="1:8" x14ac:dyDescent="0.35">
      <c r="A105" s="85" t="s">
        <v>104</v>
      </c>
      <c r="B105" s="2" t="s">
        <v>125</v>
      </c>
      <c r="C105" s="2" t="s">
        <v>129</v>
      </c>
      <c r="D105" s="2" t="s">
        <v>132</v>
      </c>
      <c r="E105" s="2" t="s">
        <v>137</v>
      </c>
      <c r="F105" s="86"/>
      <c r="G105" s="90"/>
      <c r="H105" s="91"/>
    </row>
    <row r="106" spans="1:8" x14ac:dyDescent="0.35">
      <c r="A106" s="85" t="s">
        <v>105</v>
      </c>
      <c r="B106" s="2" t="s">
        <v>126</v>
      </c>
      <c r="C106" s="2" t="s">
        <v>130</v>
      </c>
      <c r="D106" s="2" t="s">
        <v>134</v>
      </c>
      <c r="E106" s="2" t="s">
        <v>138</v>
      </c>
      <c r="F106" s="86"/>
      <c r="G106" s="90"/>
      <c r="H106" s="91"/>
    </row>
    <row r="107" spans="1:8" ht="15" thickBot="1" x14ac:dyDescent="0.4">
      <c r="A107" s="87" t="s">
        <v>114</v>
      </c>
      <c r="B107" s="88"/>
      <c r="C107" s="88"/>
      <c r="D107" s="88"/>
      <c r="E107" s="88"/>
      <c r="F107" s="89" t="s">
        <v>139</v>
      </c>
      <c r="G107" s="90"/>
      <c r="H107" s="91"/>
    </row>
    <row r="110" spans="1:8" x14ac:dyDescent="0.35">
      <c r="A110" s="1" t="s">
        <v>140</v>
      </c>
    </row>
    <row r="111" spans="1:8" x14ac:dyDescent="0.35">
      <c r="A111" t="s">
        <v>141</v>
      </c>
    </row>
    <row r="112" spans="1:8" x14ac:dyDescent="0.35">
      <c r="A112" t="s">
        <v>142</v>
      </c>
    </row>
    <row r="113" spans="1:1" x14ac:dyDescent="0.35">
      <c r="A113" t="s">
        <v>143</v>
      </c>
    </row>
    <row r="114" spans="1:1" x14ac:dyDescent="0.35">
      <c r="A114" t="s">
        <v>144</v>
      </c>
    </row>
  </sheetData>
  <mergeCells count="9">
    <mergeCell ref="G102:H107"/>
    <mergeCell ref="J6:N10"/>
    <mergeCell ref="J61:K61"/>
    <mergeCell ref="L61:M61"/>
    <mergeCell ref="F60:M60"/>
    <mergeCell ref="A21:H21"/>
    <mergeCell ref="D61:E61"/>
    <mergeCell ref="F61:G61"/>
    <mergeCell ref="H61:I61"/>
  </mergeCells>
  <phoneticPr fontId="1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Commodities &amp; Services</vt:lpstr>
      <vt:lpstr>Equipment Costing Equations</vt:lpstr>
    </vt:vector>
  </TitlesOfParts>
  <Company>Colorado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Greene,Jonah</dc:creator>
  <cp:lastModifiedBy>Greene,Jonah</cp:lastModifiedBy>
  <dcterms:created xsi:type="dcterms:W3CDTF">2025-06-03T19:09:10Z</dcterms:created>
  <dcterms:modified xsi:type="dcterms:W3CDTF">2025-07-16T20:54:33Z</dcterms:modified>
</cp:coreProperties>
</file>